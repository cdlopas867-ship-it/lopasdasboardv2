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Estoque" state="visible" r:id="rId5"/>
    <sheet sheetId="3" name="Reservas" state="visible" r:id="rId6"/>
    <sheet sheetId="4" name="Linha" state="visible" r:id="rId7"/>
    <sheet sheetId="5" name="Paletes" state="visible" r:id="rId8"/>
  </sheets>
  <calcPr calcId="171027" fullCalcOnLoad="1"/>
</workbook>
</file>

<file path=xl/sharedStrings.xml><?xml version="1.0" encoding="utf-8"?>
<sst xmlns="http://schemas.openxmlformats.org/spreadsheetml/2006/main" count="21053" uniqueCount="7293">
  <si>
    <t>RESUMO — POSIÇÃO DE ESTOQUE</t>
  </si>
  <si>
    <t>Gerado em 02/10/2026, 13:56:55 • Todos os valores são fórmulas ligadas à aba Estoque</t>
  </si>
  <si>
    <t>1. VISÃO GERAL</t>
  </si>
  <si>
    <t>GRUPO</t>
  </si>
  <si>
    <t>ITENS</t>
  </si>
  <si>
    <t>SALDO FOCCO</t>
  </si>
  <si>
    <t>SALDO FULL</t>
  </si>
  <si>
    <t>RESERVAS</t>
  </si>
  <si>
    <t>DISPONÍVEL</t>
  </si>
  <si>
    <t>PESO TOTAL (t)</t>
  </si>
  <si>
    <t>PESO RESERV. (t)</t>
  </si>
  <si>
    <t>VALOR ESTOQUE</t>
  </si>
  <si>
    <t>VALOR RESERVADO</t>
  </si>
  <si>
    <t>% RESERV.</t>
  </si>
  <si>
    <t>EM LINHA</t>
  </si>
  <si>
    <t>FORA DE LINHA</t>
  </si>
  <si>
    <t>NÃO CADASTRADO</t>
  </si>
  <si>
    <t>TOTAL</t>
  </si>
  <si>
    <t>2. FORA DE LINHA POR ORIGEM</t>
  </si>
  <si>
    <t>SO GERSON</t>
  </si>
  <si>
    <t>SO ELIANE</t>
  </si>
  <si>
    <t>EM AMBAS</t>
  </si>
  <si>
    <t>3. POR CATEGORIA</t>
  </si>
  <si>
    <t>EMBALAGEM JOGO DE PES</t>
  </si>
  <si>
    <t>UNIDADE DE COMPLEMENTOS</t>
  </si>
  <si>
    <t>UNIDADE DE SALAS</t>
  </si>
  <si>
    <t>UNIDADE GUARDA ROUPAS</t>
  </si>
  <si>
    <t>VIDRO/ESPELHO</t>
  </si>
  <si>
    <t>Legenda: azul = dado importado • verde = buscado em outra aba • preto = cálculo</t>
  </si>
  <si>
    <t>POSIÇÃO DE ESTOQUE — EM LINHA x FORA DE LINHA</t>
  </si>
  <si>
    <t>Base: Estoque Focco (785 itens) • Gerado em 02/10/2026, 13:56:55 • Totais da linha 3 respeitam filtros</t>
  </si>
  <si>
    <t>TOTAL (FILTRADO)</t>
  </si>
  <si>
    <t>CHAVE</t>
  </si>
  <si>
    <t>ITEM</t>
  </si>
  <si>
    <t>DESCRIÇÃO</t>
  </si>
  <si>
    <t>MÁSCARA (COR)</t>
  </si>
  <si>
    <t>REF. TEK</t>
  </si>
  <si>
    <t>CATEGORIA</t>
  </si>
  <si>
    <t>CLASSIF. N2</t>
  </si>
  <si>
    <t>SITUAÇÃO</t>
  </si>
  <si>
    <t>ORIGEM</t>
  </si>
  <si>
    <t>PESO UN. (kg)</t>
  </si>
  <si>
    <t>PESO TOTAL (kg)</t>
  </si>
  <si>
    <t>PESO RESERV. (kg)</t>
  </si>
  <si>
    <t>CUSTO MÉDIO</t>
  </si>
  <si>
    <t>PALETE (FORRO)</t>
  </si>
  <si>
    <t>UND / PALETE</t>
  </si>
  <si>
    <t>QTD PALETES</t>
  </si>
  <si>
    <t>PALETES DISP.</t>
  </si>
  <si>
    <t>VOL CX PAINEL CAMA CASAL 1,40 LOOP 2025 1,535X0,730X0,117</t>
  </si>
  <si>
    <t>(31290)FRASSINO#CORANO BEGE</t>
  </si>
  <si>
    <t>VOLUME</t>
  </si>
  <si>
    <t>VOL CX BARRA CAMA CASAL 1,40 LOOP/LEDER 2025 2,018X0,357X0,105</t>
  </si>
  <si>
    <t>(31285)FRASSINO</t>
  </si>
  <si>
    <t>VOL CX LAT/GAV COMODA LOOP 2025 EXP 0,880X0,495X0,197</t>
  </si>
  <si>
    <t>(89604)AMENDOA CLEAN#C/LOGO</t>
  </si>
  <si>
    <t>VOL CX GR 2PTS QUADRIX/PAMPULHA 1 PORTA MDF 2,190X0,750X0,055</t>
  </si>
  <si>
    <t>(69485)FRASSINO/OFF WHITE</t>
  </si>
  <si>
    <t>VOL CX GR 6 PTS ZEUS PLUS PTS/COSTAS 1,950X0,600X0,067</t>
  </si>
  <si>
    <t>(12218)AMENDOA CLEAN</t>
  </si>
  <si>
    <t>(64910)IMBUIA CLEAN</t>
  </si>
  <si>
    <t>VOL CX PES  ATHENAS  CASAL PLUS 1,625X0,200X0,100</t>
  </si>
  <si>
    <t>(15691)AMENDOA CLEAN</t>
  </si>
  <si>
    <t>VOL CX PES  ATHENAS  SOLT 0,90 PLUS 1,210X0,275X0,100</t>
  </si>
  <si>
    <t>(23982)FRASSINO</t>
  </si>
  <si>
    <t>VOL CX MESA DE CABECEIRA C/03 GAV MAGGIORE NEW 0,700X0,390X0,171</t>
  </si>
  <si>
    <t>(15497)AMENDOA CLEAN/OFF WH</t>
  </si>
  <si>
    <t>(15500)FRASSINO/OFF WHITE</t>
  </si>
  <si>
    <t>VOL CX TAMPO COMODA 8GAV URBAN 2019 1,588X0,495X0,110</t>
  </si>
  <si>
    <t>(15764)AMENDOA CLEAN</t>
  </si>
  <si>
    <t>VOL CX LATERAL COMODA 8GAV URBAN 2019 1,010X0,470X0,155</t>
  </si>
  <si>
    <t>(15562)BRANCO</t>
  </si>
  <si>
    <t>VOL CX TAMPO MESA 1,30 NEV PLUS/CELINA/ALYS CANTO COPO 1,405X0,750X0,1</t>
  </si>
  <si>
    <t>(16371)OFF WHITE</t>
  </si>
  <si>
    <t xml:space="preserve">VOL CX ASSENTO/ENCOSTO CAD CELINA C/2 </t>
  </si>
  <si>
    <t>(16394)LINHO RINZAI BEGE</t>
  </si>
  <si>
    <t>(16391)BOUCLE BEGE</t>
  </si>
  <si>
    <t>(16398)VELUDO NATURALE CREME</t>
  </si>
  <si>
    <t>(16396)VELUDO LISO CAPUCCINO</t>
  </si>
  <si>
    <t>VOL CX BARRA REALI/SPECIALE CASAL 1,40 2022 1,980X0,345X0,090</t>
  </si>
  <si>
    <t>(16283)AMENDOA CLEAN</t>
  </si>
  <si>
    <t>VOL CX BARRA ATHENAS  CASAL 2022 1,975X0,340X0,080</t>
  </si>
  <si>
    <t>(16428)FRASSINO</t>
  </si>
  <si>
    <t>VOL CX PAINEL CAB CASAL 1,60 LOOP 2025 1,737X0,590X0,118</t>
  </si>
  <si>
    <t>(37108)AMENDOA CLEAN#CORANO BEGE</t>
  </si>
  <si>
    <t xml:space="preserve">VOL CX ASSENTO/ENCOSTO CAD VENUS 2.3 C/2 </t>
  </si>
  <si>
    <t>(16661)LINHO CINZA CLARO</t>
  </si>
  <si>
    <t>VOL CX CADEIRA LAINI C/06 0,545X0,435X0,183</t>
  </si>
  <si>
    <t>(99258)AMENDOA CLEAN</t>
  </si>
  <si>
    <t/>
  </si>
  <si>
    <t>VOL CX GR 2PTS QUADRIX/PAMPULHA TAMPO/MOLD 1,590X0,535X0,097</t>
  </si>
  <si>
    <t>(69459)FRASSINO/OFF WHITE</t>
  </si>
  <si>
    <t>VOL CX ESPELHO C/1 ESP 1398X448X3 C/2 SUP 1,445X0,555X0,047</t>
  </si>
  <si>
    <t>VOL CX KIT C/6 PUXADORES P/PORTA VIDRO GR SUAVITA 0,485X0,172X0,120</t>
  </si>
  <si>
    <t>(93217)AMENDOA CLEAN</t>
  </si>
  <si>
    <t>VOL CX GR 6 PTS LOOP 2024 COSTAS 2,270X0,940X0,010</t>
  </si>
  <si>
    <t>(65257)BRANCO</t>
  </si>
  <si>
    <t>VOL CX PES CAMA CASAL 1,40 REALI PLUS/SPECIALE 2023 EXP 1,430X0,260X0,</t>
  </si>
  <si>
    <t>(99862)AMENDOA CLEAN#C/LOGO</t>
  </si>
  <si>
    <t>VOL CX BARRA CAMA CASAL 1,60 LOOP/LEDER 2025 2,130X0,357X0,117</t>
  </si>
  <si>
    <t>(36180)BRANCO</t>
  </si>
  <si>
    <t>VOL CX BASE MESA 1,70 LUAR 0,835X0,605X0,136</t>
  </si>
  <si>
    <t>(72896)FRASSINO</t>
  </si>
  <si>
    <t>VOL CX GR 6 PTS LOOP PORTAS 2,400X0,436X0,103</t>
  </si>
  <si>
    <t>(31363)SALVIA</t>
  </si>
  <si>
    <t>VOL CX CADEIRA ATHENAS C/2</t>
  </si>
  <si>
    <t>(16556)AMENDOA CLEAN</t>
  </si>
  <si>
    <t>(24026)IMBUIA CLEAN</t>
  </si>
  <si>
    <t>VOL CX BASE MESA CELEBRARE 1,20 0,870X0,510X0,096</t>
  </si>
  <si>
    <t>(16470)AMENDOA CLEAN</t>
  </si>
  <si>
    <t>VOL CX GR 6 PTS IMPERATORE/REALI/STIL KIT SAPAT 0,830X0,560X0,065</t>
  </si>
  <si>
    <t>(13154)BRANCO</t>
  </si>
  <si>
    <t>VOL CX GR 3/6 PTS OLLIE/CALEB/VINCE TAMPO/PRAT 2,745X0,550X0,103</t>
  </si>
  <si>
    <t>(16351)AMENDOA CLEAN</t>
  </si>
  <si>
    <t>VOL CX GR 3 PTS CALEB 2,40 COSTAS 2,245X0,806X0,015</t>
  </si>
  <si>
    <t>(15527)AMENDOA CLEAN</t>
  </si>
  <si>
    <t>VOL CX GR 3 PTS CALEB 2,40 KIT 3 GAV 0,750X0,428X0,080</t>
  </si>
  <si>
    <t>(16433)AMENDOA CLEAN</t>
  </si>
  <si>
    <t>VOL CX GR 6 PTS SOLARIS COSTAS/DIV 2,245X0,907X0,072</t>
  </si>
  <si>
    <t>(13272)AMENDOA CLEAN</t>
  </si>
  <si>
    <t>VOL CX GR 6 PTS SOLARIS 3 PORTAS VIDRO 2,305X0,460X0,072</t>
  </si>
  <si>
    <t>(16535)AMENDOA CLEAN</t>
  </si>
  <si>
    <t>VOL CX TAMPO GR 06 PTS 2,40 STYLE 2,450X0,510X0,092</t>
  </si>
  <si>
    <t>(31549)FRASSINO</t>
  </si>
  <si>
    <t>VOL CX GR 3 PTS SAION PLUS/ZION C/3PTS MDF 2,050X0,698X0,082</t>
  </si>
  <si>
    <t>(12738)BRANCO</t>
  </si>
  <si>
    <t>VOL CX PAINEL CAMA REALI SOLTEIRO 1,05 MUEBLES EL B</t>
  </si>
  <si>
    <t>(31405)FRASSINO</t>
  </si>
  <si>
    <t>VOL CX CAB S/LED/PAIN ESTOF CAMA 1,60 FREETOWN 25 1,835X0,698X0,092</t>
  </si>
  <si>
    <t>(49971)AMENDOA CLEAN/BRANCO#KOR.BRANCO S/LE</t>
  </si>
  <si>
    <t>VOL CX COSTAS GR 6PTS 2,40 STYLE 2,207X0,803X0,012</t>
  </si>
  <si>
    <t>(31795)AMENDOA CLEAN</t>
  </si>
  <si>
    <t>VOL CX ASSENTO/ENCOSTO CAD APOGEU/TESSERA C/20,585X0,370X0,430</t>
  </si>
  <si>
    <t>(16142)SUEDE ANIMALE BEGE</t>
  </si>
  <si>
    <t>(55179)COURO MORANO AVELA</t>
  </si>
  <si>
    <t>VOL CX ASSENTO/ENCOSTO CAD LAINI C/2 0,585X0,370X0,430</t>
  </si>
  <si>
    <t>(93315)LINHO RINZAI BEGE</t>
  </si>
  <si>
    <t>VOL CX BARRA CAMA CASAL 1,80 LOOP/LEDER 2025 2,130X0,357X0,117</t>
  </si>
  <si>
    <t>(90076)AMENDOA CLEAN#C/LOGO</t>
  </si>
  <si>
    <t>VOL CX TAMPO GR 04 PTS LOOP 1,880X0,520X0,105</t>
  </si>
  <si>
    <t>(90710)AMENDOA CLEAN</t>
  </si>
  <si>
    <t>VOL CX JOGO DE PES LOPAS C/06 GR LOOP 0,282X0,140X0,069</t>
  </si>
  <si>
    <t>(90734)AMENDOA CLEAN</t>
  </si>
  <si>
    <t>VOL CX GR 03PTS ATLAS PORTAS/COSTAS 1,920X0,555X0,095</t>
  </si>
  <si>
    <t>(90813)AMENDOA CLEAN/OFF WH</t>
  </si>
  <si>
    <t>(90814)BRANCO</t>
  </si>
  <si>
    <t>VOL CX GR 8PTS SERENATA PORTAS 1,950X0,305X0,130</t>
  </si>
  <si>
    <t>(91611)AMENDOA CLEAN</t>
  </si>
  <si>
    <t>VOL CX LAT/DIV GR 04 PTS LOOP 2,420X0,555X0,125</t>
  </si>
  <si>
    <t>(90719)BRANCO</t>
  </si>
  <si>
    <t>VOL CX CLOSET LISSA T/F</t>
  </si>
  <si>
    <t>(55637)PRETO FOSCO</t>
  </si>
  <si>
    <t>VOL CX PORTA/GAVETA COMODA 8GAV 2PTS TORONTO 2021 1,175X0,465X0,170</t>
  </si>
  <si>
    <t>(78154)AMENDOA CLEAN/OFF WH</t>
  </si>
  <si>
    <t>(78155)FRASSINO/OFF WHITE</t>
  </si>
  <si>
    <t>VOL CX GR 6 PTS ARIES 2021 TAMPO 2,470X0,510X0,087</t>
  </si>
  <si>
    <t>(12834)AMENDOA CLEAN</t>
  </si>
  <si>
    <t>(12836)BRANCO</t>
  </si>
  <si>
    <t>VOL CX GR 6 PTS ALONZO 2021 T/F 2,310X0,461X0,101</t>
  </si>
  <si>
    <t>(12236)AMENDOA CLEAN</t>
  </si>
  <si>
    <t>VOL CX GR 6 PTS BERTHA DIV/GAV 2,155X0,510X0,087</t>
  </si>
  <si>
    <t>(13733)AMENDOA CLEAN</t>
  </si>
  <si>
    <t>(13735)FRASSINO</t>
  </si>
  <si>
    <t>VOL CX ASSENTO/ENCOSTO CAD ATHENAS C/20,455X0,455X0,125</t>
  </si>
  <si>
    <t>(16026)CORINO CARAMELO</t>
  </si>
  <si>
    <t>VOL CX GR 3 PTS SAION/ZION LAT 2,255X0,530X0,097</t>
  </si>
  <si>
    <t>(13525)AMENDOA CLEAN</t>
  </si>
  <si>
    <t>VOL CX GR 6 PTS JAZZ 2023 PORTAS 2,030X0,338X0,103</t>
  </si>
  <si>
    <t>(13888)BRANCO</t>
  </si>
  <si>
    <t>VOL CX MESA 1,80 ATHENAS BR 1,875X0,910X0,072</t>
  </si>
  <si>
    <t>(15503)AMENDOA CLEAN</t>
  </si>
  <si>
    <t>VOL CX TAMPO COMODA 7GAV 2PTS VEDRA 1,800X0,465X0,123</t>
  </si>
  <si>
    <t>(16000)AMENDOA CLEAN</t>
  </si>
  <si>
    <t>VOL CX LATERAL COMODA 7GAV 2PTS VEDRA 1,237X0,445X0,160</t>
  </si>
  <si>
    <t>(16526)BRANCO</t>
  </si>
  <si>
    <t>VOL CX TAMPO MESA 1,70 CANTO COPO - C/VIDRO SERIG. 1,795X0,995X0,075</t>
  </si>
  <si>
    <t>(16550)OFF WHITE</t>
  </si>
  <si>
    <t>VOL CX PES  CAMA  SOLT 0,90 REALI PLUS/SPECIALE EXP 1,240X0,260X0,124</t>
  </si>
  <si>
    <t>(78567)BRANCO#C/LOGO</t>
  </si>
  <si>
    <t>VOL CX CAB/ESTOF C/LED CABECEIRA CALITAN 1,60 2023 1,675X0,693X0,130</t>
  </si>
  <si>
    <t>(16493)AMENDOA CLEAN/PRETO#KORINO PRETO#C/LED</t>
  </si>
  <si>
    <t>(16497)FRASSINO/PRETO FOSCO#KORINO PRETO#C/LED</t>
  </si>
  <si>
    <t>VOL CX CAB/ESTOF S/LED CABECEIRA CALITAN 1,60 2023 1,680X0,698X0,135</t>
  </si>
  <si>
    <t>(15534)AMENDOA CLEAN/PRETO#KORINO PRETO#S/LED</t>
  </si>
  <si>
    <t>VOL CX GR 6 PTS IMPERATORE 23 TAMPO CENT/COSTA MAIOR 2,345X0,890X0,055</t>
  </si>
  <si>
    <t>(12572)BRANCO</t>
  </si>
  <si>
    <t>VOL CX GR 6 PTS IMPERATORE 2023 LAT/DIV 2,475X0,665X0,073</t>
  </si>
  <si>
    <t>(12946)AMENDOA CLEAN</t>
  </si>
  <si>
    <t>VOL CX GR 6 PTS IMPERATORE 2023 PORTAS 2,365X0,450X0,105</t>
  </si>
  <si>
    <t>(13743)FRASSINO</t>
  </si>
  <si>
    <t>VOL CX GR 6 PTS IMPERATORE 2023 DIV/PRAT 2,250X0,640X0,102</t>
  </si>
  <si>
    <t>(13599)AMENDOA CLEAN</t>
  </si>
  <si>
    <t>VOL CX GR 3 PTS SAION PLUS/ZION C/2PTS MDF 2,045X0,683X0,067</t>
  </si>
  <si>
    <t>(12744)AMENDOA CL/OFF WHI/A</t>
  </si>
  <si>
    <t>VOL CX GR 8 PTS EASY SLIM/ANDARA SOFT PORTAS/COSTAS 1,950X0,600X0,096</t>
  </si>
  <si>
    <t>(12820)AMENDOA CLEAN/OFF WH</t>
  </si>
  <si>
    <t>VOL CX GR LEDER/VINCE/OLLIE/CALEB COSTAS 2,245X0,910X0,018</t>
  </si>
  <si>
    <t>(12520)FRASSINO</t>
  </si>
  <si>
    <t>VOL CX GR 6 PTS OLLIE 4 PORTAS LISA 2,295X0,455X0,073</t>
  </si>
  <si>
    <t>(13607)AMENDOA CLEAN</t>
  </si>
  <si>
    <t>VOL CX GR 3 PTS CALEB/OLLIE 2 PORTAS LAT MDF 2,250X0,845X0,062</t>
  </si>
  <si>
    <t>(13533)AMENDOA CLEAN/OFF WH</t>
  </si>
  <si>
    <t>VOL CX ASSENTO/ENCOSTO CAD RAYLA C/20,590X0,375X0,432</t>
  </si>
  <si>
    <t>(15890)SUEDE ANIMALE BEGE</t>
  </si>
  <si>
    <t>(15886)BOUCLE BEGE</t>
  </si>
  <si>
    <t>VOL CX GR 2 PTS ZEINE 2024 LAT 2,155X0,520X0,078</t>
  </si>
  <si>
    <t>(13294)BRANCO</t>
  </si>
  <si>
    <t>VOL KIT PES C/8 PES LOPAS LOOP 0,338X0,140X0,069</t>
  </si>
  <si>
    <t>(15700)FRASSINO</t>
  </si>
  <si>
    <t>VOL CX GR 6PTS SUAVITA PORTAS MDF 2,260X0,465X0,105</t>
  </si>
  <si>
    <t>(93214)OFF WHITE</t>
  </si>
  <si>
    <t>VOL CX BARRA CAMA CASAL ATHENAS 2022 EXP 1,975X0,340X0,080</t>
  </si>
  <si>
    <t>(99826)AMENDOA CLEAN#C/LOGO</t>
  </si>
  <si>
    <t>VOL CX CAB/PES CAMA CASAL ATHENAS PLUS EXP 1,290X0,460X0,057</t>
  </si>
  <si>
    <t>(99825)AMENDOA CLEAN/OFF WH#C/LOGO</t>
  </si>
  <si>
    <t>VOL CX SAPATEIRA ESTHELA 2024 1,898X0,625X0,107</t>
  </si>
  <si>
    <t>(16643)FRASSINO</t>
  </si>
  <si>
    <t>VOL CX GR 6 PTS OLLIE 2024 C/2 PORTAS RIPADA 2,295X0,455X0,060</t>
  </si>
  <si>
    <t>(13224)AMENDOA CLEAN</t>
  </si>
  <si>
    <t>VOL CX COMODA LOOP II TAMPO/DIV 1,590X0,492X0,100</t>
  </si>
  <si>
    <t>(32027)AMENDOA CLEAN/SALVIA</t>
  </si>
  <si>
    <t>(31287)AMENDOA CLEAN#BOUCLE SALVIA</t>
  </si>
  <si>
    <t>(31284)BRANCO</t>
  </si>
  <si>
    <t>VOL CX PRAT GR 08 PTS ERGON 0,745X0,485X0,193</t>
  </si>
  <si>
    <t>(30615)FRASSINO</t>
  </si>
  <si>
    <t>VOL CX CADEIRA LUAR C/06 0,530X0,495X0,160</t>
  </si>
  <si>
    <t>(46143)AMENDOA CLEAN</t>
  </si>
  <si>
    <t>(69481)AMENDOA CLEAN/OFF WH</t>
  </si>
  <si>
    <t>VOL CX PES REALI PLUS/SPECIALE CASAL 1,40 1,435X0,265X0,130</t>
  </si>
  <si>
    <t>(15967)FRASSINO</t>
  </si>
  <si>
    <t>VOL CX PAINEL REALI  SOLT 0,90 PLUS 0,895X0,710X0,025</t>
  </si>
  <si>
    <t>(16193)FRASSINO</t>
  </si>
  <si>
    <t>VOL CX PES  REALI PLUS/SPECIALE  SOLT 0,90 1,240X0,260X0,124</t>
  </si>
  <si>
    <t>(15748)FRASSINO</t>
  </si>
  <si>
    <t>(23978)BRANCO</t>
  </si>
  <si>
    <t>VOL CX TAMPO/PES COMODA HORIZ 6GAV MAGGIORE NEW/MAIA 1,650X0,534X0,060</t>
  </si>
  <si>
    <t>(15754)FRASSINO</t>
  </si>
  <si>
    <t>VOL CX GR 3 PTS SPAZIO 2,70 LAT 2,390X0,610X0,070</t>
  </si>
  <si>
    <t>(13410)BRANCO</t>
  </si>
  <si>
    <t>VOL CX GR 3 PTS SPAZIO 2,70 GAV 0,875X0,460X0,175</t>
  </si>
  <si>
    <t>(13759)BRANCO</t>
  </si>
  <si>
    <t>(15561)AMENDOA CLEAN</t>
  </si>
  <si>
    <t>VOL CX GR 2 PTS TORONTO PLUS DIV/GAV 1,735X0,460X0,130</t>
  </si>
  <si>
    <t>(13092)AMENDOA CLEAN</t>
  </si>
  <si>
    <t>VOL CX GR 4 PTS ALONZO LAT/DIV 2,315X0,460X0,075</t>
  </si>
  <si>
    <t>(12720)AMENDOA CLEAN</t>
  </si>
  <si>
    <t>(46282)LINHO MOSAICO</t>
  </si>
  <si>
    <t>VOL CX BASE MESA 1,70 TESSERA 0,740X0,595X0,515</t>
  </si>
  <si>
    <t>(68015)AMENDOA CLEAN</t>
  </si>
  <si>
    <t>VOL CX GR 6PTS EASY SLIM 2025 PTS/COSTA 1,96X0,605X0,077</t>
  </si>
  <si>
    <t>(101042)AMENDOA CLEAN</t>
  </si>
  <si>
    <t>(52526)BRANCO#KORINO BRANCO</t>
  </si>
  <si>
    <t>VOL CX TAMPO MESA 0,90 ALYS/CELEBRARE CANTO COPO 0,995X0,995X0,075</t>
  </si>
  <si>
    <t>(16019)OFF WHITE</t>
  </si>
  <si>
    <t>(36184)FRASSINO</t>
  </si>
  <si>
    <t>(72819)AMENDOA CLEAN</t>
  </si>
  <si>
    <t>VOL CX BARRA CAMA CASAL REALI/SPECIALE 2023 EXP 1,935X0,345X0,092</t>
  </si>
  <si>
    <t>(99860)AMENDOA CLEAN#C/LOGO</t>
  </si>
  <si>
    <t>VOL CX BARRA CAMA CASAL 1,40 LOOP/LEDER</t>
  </si>
  <si>
    <t>(16313)BRANCO</t>
  </si>
  <si>
    <t>(16314)FRASSINO</t>
  </si>
  <si>
    <t>VOL CX GR 6 PTS ARIES PORTAS 2,230X0,404X0,101</t>
  </si>
  <si>
    <t>(13140)BRANCO</t>
  </si>
  <si>
    <t>(13144)FRASSINO</t>
  </si>
  <si>
    <t>VOL CX GR 4 PTS ZEUS PLUS EXP PORTAS/COSTAS 1,950X0,600X0,052</t>
  </si>
  <si>
    <t>(72173)AMENDOA CLEAN#C/LOGO</t>
  </si>
  <si>
    <t>VOL CX GR 2 PTS VELARIS PORTAS/COSTAS 2,230X1,015X0,045</t>
  </si>
  <si>
    <t>(13008)AMENDOA CL/OFF WHI/A</t>
  </si>
  <si>
    <t>VOL CX GR 6 PTS SOLARIS TAMPO 2,775X0,580X0,082</t>
  </si>
  <si>
    <t>(13268)AMENDOA CLEAN</t>
  </si>
  <si>
    <t>(31547)AMENDOA CLEAN</t>
  </si>
  <si>
    <t>VOL CX COMODA LEDER II TAMPO 1,575X0,525X0,103</t>
  </si>
  <si>
    <t>(31367)FRASSINO</t>
  </si>
  <si>
    <t>VOL CX GR 3 PTS OLLIE/CALEB LAT/DIV 2,375X0,550X0,073</t>
  </si>
  <si>
    <t>(15783)FRASSINO</t>
  </si>
  <si>
    <t>VOL CX PES CAMA SOLTEIRO 1,05 REALI MUEBLES EL B</t>
  </si>
  <si>
    <t>(31779)FRASSINO</t>
  </si>
  <si>
    <t>VOL CX CADEIRA VENUS 2025 C/4 0,525X0,415X0,136</t>
  </si>
  <si>
    <t>(46266)AMENDOA CLEAN</t>
  </si>
  <si>
    <t>(31797)FRASSINO</t>
  </si>
  <si>
    <t>VOL CX PORTAS GR 6PTS 2,40 STYLE 2,292X0,410X0,102</t>
  </si>
  <si>
    <t>(31341)FRASSINO</t>
  </si>
  <si>
    <t>VOL CX CAB/PES CAMA SOLTEIRO ATHENAS PLUS EXP 0,790X0,470X0,056</t>
  </si>
  <si>
    <t>(99905)AMENDOA CLEAN/OFF WH#C/LOGO</t>
  </si>
  <si>
    <t>VOL CX DIV/PRAT GR 06 PTS LEDER 2025 2,275X0,550X0,103</t>
  </si>
  <si>
    <t>(30944)FRASSINO</t>
  </si>
  <si>
    <t>VOL CX C/4 ESPELHOS 1100X344X3MM 1,150X0,400X0,040</t>
  </si>
  <si>
    <t>VOL CX COMODA 4 GAV BAIAO 2021 1,020X0,490X0,170</t>
  </si>
  <si>
    <t>(31755)BRANCO</t>
  </si>
  <si>
    <t>VOL CX BASE MESA 1,20 TESSERA 0,740X0,615X0,615</t>
  </si>
  <si>
    <t>(60575)AMENDOA CLEAN</t>
  </si>
  <si>
    <t>VOL CX CADEIRA ATHENAS C/4 1,085X0,390X0,140</t>
  </si>
  <si>
    <t>(46224)AMENDOA CLEAN</t>
  </si>
  <si>
    <t>VOL CX GR 8PTS SERENATA DIV/COSTAS 1,970X0,595X0,080</t>
  </si>
  <si>
    <t>(91603)AMENDOA CLEAN</t>
  </si>
  <si>
    <t>VOL CX CADEIRA TESSERA C/6 0,540X0,435X0,197</t>
  </si>
  <si>
    <t>(48775)AMENDOA CLEAN</t>
  </si>
  <si>
    <t>(90077)BRANCO#C/LOGO</t>
  </si>
  <si>
    <t>(90717)AMENDOA CLEAN/OFF WH</t>
  </si>
  <si>
    <t>VOL CX CLOSET ANELI LATERAL</t>
  </si>
  <si>
    <t>(55688)BRANCO</t>
  </si>
  <si>
    <t>VOL CX CLOSET ELISE LATERAL</t>
  </si>
  <si>
    <t>(55683)AMENDOA CLEAN</t>
  </si>
  <si>
    <t>VOL CX COMODA 6 GAV 1 PTS DA VINCI 2021 1,165X0,485X0,215</t>
  </si>
  <si>
    <t>(16521)AMENDOA CLEAN</t>
  </si>
  <si>
    <t>VOL CX GR 6 PTS ZEUS 2021 LAT/TAMPO 2,122X0,460X0,125</t>
  </si>
  <si>
    <t>(88275)FRASSINO</t>
  </si>
  <si>
    <t>VOL CX GR 4 PTS ALONZO 2021 PORTAS 2,175X0,385X0,072</t>
  </si>
  <si>
    <t>(12970)BRANCO</t>
  </si>
  <si>
    <t>VOL CX GR 6 PTS ZEUS 2021 EXP LAT/TAMPO 2,122X0,460X0,125</t>
  </si>
  <si>
    <t>(78658)AMENDOA CLEAN#C/LOGO</t>
  </si>
  <si>
    <t xml:space="preserve">VOL CX ASSENTO/ENCOSTO CAD ASTRID C/2 </t>
  </si>
  <si>
    <t>(16702)VELUDO LISO MARROM</t>
  </si>
  <si>
    <t>(16701)VELUDO LISO CAPUCCINO</t>
  </si>
  <si>
    <t>(46226)COURO MORANO AVELA</t>
  </si>
  <si>
    <t>VOL CX BASE MESA ASTRID 1,60/1,70 1,275X0,595X0,122</t>
  </si>
  <si>
    <t>(20171)AMENDOA CLEAN/PRETO</t>
  </si>
  <si>
    <t>VOL CX BASE MESA APOGEU 1,70 0,810X0,432X0,122</t>
  </si>
  <si>
    <t>(16254)FRASSINO/OFF WHITE</t>
  </si>
  <si>
    <t>VOL CX TAMPO MESA 1,70 CANT.COPO - SEM VIDRO 1,759X0,995X0,075</t>
  </si>
  <si>
    <t>(15618)OFF WHITE</t>
  </si>
  <si>
    <t>VOL CX GR 6 PTS BERTHA LAT/PRAT 2,375X0,510X0,087</t>
  </si>
  <si>
    <t>(13402)AMENDOA CLEAN</t>
  </si>
  <si>
    <t>VOL CX GR 6 PTS BERTHA PORTAS 2,175X0,455X0,102</t>
  </si>
  <si>
    <t>(12848)OFF WHITE</t>
  </si>
  <si>
    <t>VOL CX GR 3 PTS NICE PORTAS 2,150X0,940X0,055</t>
  </si>
  <si>
    <t>(13072)AMENDOA CLEAN/OFF WH</t>
  </si>
  <si>
    <t>(16027)BOUCLE BEGE</t>
  </si>
  <si>
    <t>(60484)LINHO MOSAICO</t>
  </si>
  <si>
    <t>(13529)FRASSINO</t>
  </si>
  <si>
    <t>VOL CX GR 6 PTS JAZZ 2023 LAT 2,195X0,460X0,093</t>
  </si>
  <si>
    <t>(12342)BRANCO</t>
  </si>
  <si>
    <t>(16001)AMENDOA CLEAN/OFF WH</t>
  </si>
  <si>
    <t>(16003)FRASSINO</t>
  </si>
  <si>
    <t>(16004)FRASSINO/OFF WHITE</t>
  </si>
  <si>
    <t>(16525)AMENDOA CLEAN/OFF WH</t>
  </si>
  <si>
    <t>VOL CX PAINEL CAMA  REALI SOLTEIRO EXP 0,895X0,705X0,025</t>
  </si>
  <si>
    <t>(55479)BRANCO#C/LOGO</t>
  </si>
  <si>
    <t>(78384)AMENDOA CLEAN#C/LOGO</t>
  </si>
  <si>
    <t>VOL CX GR 6 PTS IMPERATORE 2023 TAMPO/MOLD 2,780X0,630X0,070</t>
  </si>
  <si>
    <t>(12386)FRASSINO</t>
  </si>
  <si>
    <t>VOL CX CAB BELICHE SOLTEIRO 0,90 OLGA 1,743X1,013X0,061</t>
  </si>
  <si>
    <t>(31967)FRASSINO</t>
  </si>
  <si>
    <t>(12822)AMENDOA CLEAN</t>
  </si>
  <si>
    <t>(12824)BRANCO</t>
  </si>
  <si>
    <t>(13611)FRASSINO</t>
  </si>
  <si>
    <t>(13613)OFF WHITE</t>
  </si>
  <si>
    <t>(13537)FRASSINO/OFF WHITE</t>
  </si>
  <si>
    <t>VOL CX JOGO DE PES LOPAS C/06 COMODA LOOP 0,282X0,140X0,069</t>
  </si>
  <si>
    <t>(79508)BRANCO</t>
  </si>
  <si>
    <t>VOL CX PES CAMA CASAL ATHENAS PLUS EXP 1,625X0,200X0,100</t>
  </si>
  <si>
    <t>(99824)AMENDOA CLEAN#C/LOGO</t>
  </si>
  <si>
    <t>VOL CX CAB BOX REGULAVEL 1,40/1,60 LIKE 1,605X0,668X0,090</t>
  </si>
  <si>
    <t>(15980)BRANCO</t>
  </si>
  <si>
    <t>(16642)BRANCO</t>
  </si>
  <si>
    <t>VOL CX JOGO DE PES LOPAS C/04 MESA DE CABECEIRA LOOP 0,185X0,140X0,075</t>
  </si>
  <si>
    <t>(55817)FRASSINO</t>
  </si>
  <si>
    <t>VOL CX GR 6 PTS LOOP 2024 PORTA 2,400X0,417X0,103</t>
  </si>
  <si>
    <t>(13790)OFF WHITE</t>
  </si>
  <si>
    <t>VOL CX MESA DE CABECEIRA LOOP 2024 0,720X0,393X0,128</t>
  </si>
  <si>
    <t>(31597)FRASSINO/OFF WHITE</t>
  </si>
  <si>
    <t>(32029)FRASSINO/OFF WHITE</t>
  </si>
  <si>
    <t>VOL CX COMODA LOOP II LAT/GAV 0,900X0,492X0,192</t>
  </si>
  <si>
    <t>(31501)AMENDOA CLEAN/OFF WH</t>
  </si>
  <si>
    <t>VOL CX ASSENTO/ENCOSTO CADEIRA LUAR C/2 0,615X0,455X0,460</t>
  </si>
  <si>
    <t>(46065)VELUDO NATURALE CREME</t>
  </si>
  <si>
    <t>VOL CX TAMPO GR 03PTS OLLIE II 2025 2,775X0,550X0,092</t>
  </si>
  <si>
    <t>(30747)AMENDOA CLEAN</t>
  </si>
  <si>
    <t>VOL CX TAMPO GR 06 PTS LOOP 2025 2,740X0,520X0,083</t>
  </si>
  <si>
    <t>(40350)FRASSINO/OFF WHITE</t>
  </si>
  <si>
    <t>VOL CX LAT GR 06 PTS LOOP 2025 2,340X0,555X0,083</t>
  </si>
  <si>
    <t>(43034)AMENDOA CLEAN</t>
  </si>
  <si>
    <t>(36932)BRANCO#C/LOGO</t>
  </si>
  <si>
    <t>(46144)FRASSINO</t>
  </si>
  <si>
    <t>VOL CX GR 2PTS QUADRIX/PAMPULHA LAT/DIV 2,380X0,535X0,078</t>
  </si>
  <si>
    <t>(69384)AMENDOA CLEAN/OFF WH</t>
  </si>
  <si>
    <t>VOL KIT PES C/6 PES LOPAS PVC 0,282X0,140X0,069</t>
  </si>
  <si>
    <t>(15490)FRASSINO</t>
  </si>
  <si>
    <t>VOL KIT PES C/10 PES LOPAS PVC 0,420X0,160X0,140</t>
  </si>
  <si>
    <t>(16653)BRANCO</t>
  </si>
  <si>
    <t>VOL CX ESPELHO C/1 ESP 695X300X3 0,798X0,347X0,026</t>
  </si>
  <si>
    <t>VOL CX TAMPO COMODA 8GAV 2PTS TORONTO 2016 1,435X0,480X0,085</t>
  </si>
  <si>
    <t>(15757)AMENDOA CLEAN</t>
  </si>
  <si>
    <t>(15760)FRASSINO</t>
  </si>
  <si>
    <t>VOL CX GR 6 PTS ALONZO NEW LAT/DIV 2,310X0,461X0,101</t>
  </si>
  <si>
    <t>(12674)BRANCO</t>
  </si>
  <si>
    <t>VOL CX GR 4 PTS ZEUS PLUS PORTAS/COSTAS 1,95X0,600X0,052</t>
  </si>
  <si>
    <t>(12424)AMENDOA CLEAN/OFF WH</t>
  </si>
  <si>
    <t>VOL CX PAINEL REALI CASAL 1,40 PLUS 1,380X0,715X0,025</t>
  </si>
  <si>
    <t>(16418)BRANCO</t>
  </si>
  <si>
    <t>(15966)BRANCO</t>
  </si>
  <si>
    <t>VOL CX CAB/PES CAMA CASAL ATHENAS PLUS 1,290X0,460X0,057</t>
  </si>
  <si>
    <t>(16161)AMENDOA CLEAN/OFF WH</t>
  </si>
  <si>
    <t>(15695)FRASSINO</t>
  </si>
  <si>
    <t>VOL CX LATERAL/GAVETA COMODA HORIZ 6GAV MAGGIORE NEW 0,850X0,440X0,206</t>
  </si>
  <si>
    <t>(16320)AMENDOA CLEAN</t>
  </si>
  <si>
    <t>(16322)BRANCO</t>
  </si>
  <si>
    <t>VOL CX GR 3 PTS SPAZIO 2,70 - (3 PORTAS MDF) - 2,290X0,895X0,080</t>
  </si>
  <si>
    <t>(12964)BRANCO</t>
  </si>
  <si>
    <t>(12966)FRASSINO/OFF WHITE/F</t>
  </si>
  <si>
    <t>VOL CX GR 2 PTS TORONTO PLUS L/D 2,315X0,580X0,072</t>
  </si>
  <si>
    <t>(12544)AMENDOA CLEAN</t>
  </si>
  <si>
    <t>(13094)BRANCO</t>
  </si>
  <si>
    <t>VOL CX PAINEL CAMA CASAL 1,40 LEDER 2025 1,535X0,590X0,160</t>
  </si>
  <si>
    <t>(37103)AMENDOA CLEAN#L R BEG/C DT M</t>
  </si>
  <si>
    <t>VOL CX C/02 PORTAS LAT MDF GR 03 PTS 2,30 FORMA 2,305X0,785X0,070</t>
  </si>
  <si>
    <t>(31463)AMENDOA CLEAN/OFF WH</t>
  </si>
  <si>
    <t>VOL CX PAINEL CAMA CASAL 1,60 LOOP</t>
  </si>
  <si>
    <t>(16176)BOUCLE SALVIA#FRASSINO</t>
  </si>
  <si>
    <t>(46395)COURO MORANO AVELA</t>
  </si>
  <si>
    <t>VOL CX BASE MESA 1,70 EASY TOWER/1,60 LAINI 0,938X0,437X0,097</t>
  </si>
  <si>
    <t>(74072)AMENDOA CLEAN/OFF WH</t>
  </si>
  <si>
    <t>VOL CX GR 4 PTS ZEUS 2021 EXP LAT/TAMPO 2,125X0,460X0,097</t>
  </si>
  <si>
    <t>(72163)AMENDOA CLEAN#C/LOGO</t>
  </si>
  <si>
    <t xml:space="preserve">VOL CX ASSENTO/ENCOSTO CAD EXCLUSIVE C/2 </t>
  </si>
  <si>
    <t>(16385)VELUDO LISO CAPUCCINO</t>
  </si>
  <si>
    <t>VOL CX VOL 2 COZINHA NINA - BALCÃO 3 PTS 1,270X0,515X0,135</t>
  </si>
  <si>
    <t>(90674)AMENDOA CLEAN/BRANCO</t>
  </si>
  <si>
    <t>VOL  CX LAT GR 06 PTS LEDER 2025 2,375X0,550X0,078</t>
  </si>
  <si>
    <t>(30942)FRASSINO</t>
  </si>
  <si>
    <t>VOL CX PAINEL CAMA REALI PLUS CASAL 1,40 EXP 1,375X0,710X0,025</t>
  </si>
  <si>
    <t>(31977)BRANCO#C/LOGO</t>
  </si>
  <si>
    <t>VOL CX BARRA CAMA CASAL 1,60 LOOP/LEDER</t>
  </si>
  <si>
    <t>(16465)AMENDOA CLEAN</t>
  </si>
  <si>
    <t>VOL CX GR 6 PTS LOOP LAT 2,335X0,550X0,083</t>
  </si>
  <si>
    <t>(31357)AMENDOA CLEAN</t>
  </si>
  <si>
    <t>VOL CX GR 6 PTS LOOP TAMPO 2,735X0,515X0,083</t>
  </si>
  <si>
    <t>(15572)FRASSINO/SALVIA</t>
  </si>
  <si>
    <t>VOL CX GR 6 PTS LOOP 2024 TAMPO 2,735X0,515X0,083</t>
  </si>
  <si>
    <t>(13218)AMENDOA CLEAN/SALVIA</t>
  </si>
  <si>
    <t>(13156)FRASSINO</t>
  </si>
  <si>
    <t>VOL CX TAMPO GR 06 PTS LEDER 2025 2,745X0,550X0,068</t>
  </si>
  <si>
    <t>(30939)AMENDOA CLEAN</t>
  </si>
  <si>
    <t>VOL CX COMODA LEDER II LAT/DIV 0,995X0,465X0,125</t>
  </si>
  <si>
    <t>(32033)AMENDOA CLEAN</t>
  </si>
  <si>
    <t>VOL CX GR 3 PTS OLLIE MOLD 2,775X0,150X0,066</t>
  </si>
  <si>
    <t>(25905)AMENDOA CLEAN</t>
  </si>
  <si>
    <t>(15781)BRANCO</t>
  </si>
  <si>
    <t>VOL CX CADEIRA EXCLUSIVE/ASTRID 2.3 C/2</t>
  </si>
  <si>
    <t>(16554)AMENDOA CLEAN</t>
  </si>
  <si>
    <t>VOL CX CADEIRA ATLA C/2</t>
  </si>
  <si>
    <t>(16376)FRASSINO</t>
  </si>
  <si>
    <t>VOL CX MAXI TAMPO 1,20 C/VIDRO CANT.COPO 1,295X0,895X0,090</t>
  </si>
  <si>
    <t>(45301)OFF WHITE</t>
  </si>
  <si>
    <t>VOL CX CADEIRA VENUS 2025 C/6 0,545X0,435X0,183</t>
  </si>
  <si>
    <t>(46195)FRASSINO</t>
  </si>
  <si>
    <t>VOL CX CADEIRA ASTRID C/4 0,510X0,400X0,126</t>
  </si>
  <si>
    <t>(46265)FRASSINO</t>
  </si>
  <si>
    <t>VOL CX LATERAL GR 06 PTS 2,40 STYLE 2,395X0,555X0,073</t>
  </si>
  <si>
    <t>(31335)AMENDOA CLEAN</t>
  </si>
  <si>
    <t>(16144)VELUDO LISO MARROM</t>
  </si>
  <si>
    <t>(16137)LIN RINZAI</t>
  </si>
  <si>
    <t>(55267)LINHO MOSAICO</t>
  </si>
  <si>
    <t>(31753)AMENDOA CLEAN</t>
  </si>
  <si>
    <t>VOL CX GR 03/06 PTS OLLIE/CALEB II LAT 2,3775X0,550X0,078</t>
  </si>
  <si>
    <t>(13794)AMENDOA CLEAN</t>
  </si>
  <si>
    <t>VOL CX GR 2/3PTS QUADRIX/PAMPULHA 2 PORTAS MDF 2,190X0,750X0,055</t>
  </si>
  <si>
    <t>(69508)FRASSINO/OFF WHITE</t>
  </si>
  <si>
    <t>VOL CX GR 3PTS QUADRIX/PAMPULHA 3 PORTAS MDF 2,190X0,750X0,069</t>
  </si>
  <si>
    <t>(70244)AMENDOA CLEAN/OFF WH</t>
  </si>
  <si>
    <t>VOL CX VOL 6 COZINHA NINA - BASCULANTE 0,880X0,350X0,095</t>
  </si>
  <si>
    <t>(90691)AMENDOA CLEAN/BRANCO</t>
  </si>
  <si>
    <t>VOL CX COMODA SUAVITA 1,070X0,485X0,151</t>
  </si>
  <si>
    <t>(90917)AMENDOA CLEAN</t>
  </si>
  <si>
    <t>VOL CX VOL 5 COZINHA NINA - AÉREO 2 PTS 0,880X0,405X0,120</t>
  </si>
  <si>
    <t>(90687)BRANCO</t>
  </si>
  <si>
    <t>VOL CX BASE MESA APOGEU 1,60 0,815X0,437X0,122</t>
  </si>
  <si>
    <t>(16713)AMENDOA CLEAN/OFF WH</t>
  </si>
  <si>
    <t>(55699)AMENDOA CLEAN</t>
  </si>
  <si>
    <t>VOL CX GR 4 PTS ZEUS 2021 LAT/TAMPO 2,122X0,460X0,097</t>
  </si>
  <si>
    <t>(12654)BRANCO</t>
  </si>
  <si>
    <t>(15795)BRANCO#C/LOGO</t>
  </si>
  <si>
    <t>VOL CX ESPELHO C/4 ESP 900X235X3 C/8 SUP CROMADO 0,960X0,295X0,046</t>
  </si>
  <si>
    <t>(16475)AMENDOA CLEAN/OFF WH</t>
  </si>
  <si>
    <t>VOL CX ESPELHO C/2 ESP 900X235X3 C/4 SUP CROMADO 0,960X0,295X0,040</t>
  </si>
  <si>
    <t>VOL CX BASE MESA CELEBRARE 0,90/1,00 0,810X0,510X0,090</t>
  </si>
  <si>
    <t>(16372)AMENDOA CLEAN</t>
  </si>
  <si>
    <t>(15617)FRASSINO</t>
  </si>
  <si>
    <t>VOL CX GR 3 PTS NICE DIV/PRAT 2,155X0,430X0,107</t>
  </si>
  <si>
    <t>(12522)AMENDOA CLEAN</t>
  </si>
  <si>
    <t>(12526)FRASSINO</t>
  </si>
  <si>
    <t>VOL CX QUADRO C/ESPELHO LEDER/LOOP EXP 1,285X0,683X0,042</t>
  </si>
  <si>
    <t>(79078)FRASSINO#C/LOGO</t>
  </si>
  <si>
    <t>VOL CX GR 6 PTS JAZZ 2023 TAMPO 2,015X0,460X0,100</t>
  </si>
  <si>
    <t>(13659)BRANCO</t>
  </si>
  <si>
    <t>(16524)AMENDOA CLEAN</t>
  </si>
  <si>
    <t>VOL CX VOL 1 COZINHA NINA - PANELEIRO 1,285X0,685X0,140</t>
  </si>
  <si>
    <t>(90670)AMENDOA CLEAN/BRANCO</t>
  </si>
  <si>
    <t>(90671)BRANCO</t>
  </si>
  <si>
    <t>VOL CX VOL 3 COZINHA NINA - BALCÃO 2 PTS 0,880X0,515X0,120</t>
  </si>
  <si>
    <t>(90679)BRANCO</t>
  </si>
  <si>
    <t>(15538)FRASSINO/PRETO FOSCO#KORINO PRETO#S/LED</t>
  </si>
  <si>
    <t>(12382)AMENDOA CLEAN</t>
  </si>
  <si>
    <t>VOL CX GR 3 PTS SAION PLUS/ZION C/1 PT GLASS 2,040X0,750X0,045</t>
  </si>
  <si>
    <t>(12324)BRANCO</t>
  </si>
  <si>
    <t>VOL CX BARRA C/LED BELICHE 0,90 OLGA 2,398X0,383X0,125</t>
  </si>
  <si>
    <t>(31311)FRASSINO</t>
  </si>
  <si>
    <t>VOL CX GR 6 PTS IMPERATORE 2023 KIT 2GAV 0,875X0,410X0,063</t>
  </si>
  <si>
    <t>(13808)AMENDOA CLEAN</t>
  </si>
  <si>
    <t>VOL CX CAMA AUXILIAR LOOP SOLT 0,90 2,005X0,357X0,088</t>
  </si>
  <si>
    <t>(15994)AMENDOA CLEAN</t>
  </si>
  <si>
    <t>VOL CX GR 2 PTS ZEINE 2024 1 PORTA MDP/COSTAS 1,985X0,905X0,055</t>
  </si>
  <si>
    <t>(13645)AMENDOA CLEAN/OFF WH</t>
  </si>
  <si>
    <t>VOL CX GR 2 PTS ZEINE 2024 1PT GLASS 1,975X0,965X0,070</t>
  </si>
  <si>
    <t>(13653)BRANCO</t>
  </si>
  <si>
    <t>VOL CX GR 03PTS ATLAS TAMPO/FUNDO/LATERAL 2,120X0,515X0,090</t>
  </si>
  <si>
    <t>(90810)BRANCO</t>
  </si>
  <si>
    <t>VOL CX MESA GUARAPARI C/4 CAD EASY LINE 1,120X0,710X0,135</t>
  </si>
  <si>
    <t>(91623)AMENDOA CLEAN#LINHO RINZAI BEGE</t>
  </si>
  <si>
    <t>VOL CX CADEIRA LAINI C/04 0,525X0,425X0,136</t>
  </si>
  <si>
    <t>(99250)AMENDOA CLEAN</t>
  </si>
  <si>
    <t>(55767)AMENDOA CLEAN</t>
  </si>
  <si>
    <t>VOL CX COMODA 4 GAV IMPERADOR 1,020X0,490X0,170</t>
  </si>
  <si>
    <t>(16633)BRANCO</t>
  </si>
  <si>
    <t>VOL CX MESA DE CABECEIRA 3GAV BAIAO 2021 EXP 0,670X0,390X0,140</t>
  </si>
  <si>
    <t>(99991)AMENDOA CLEAN#C/LOGO</t>
  </si>
  <si>
    <t>VOL CX GR 3 PTS OLLIE 2024 C/1 PORTA RIPADA 2,250X0,860X0,050</t>
  </si>
  <si>
    <t>(12586)AMENDOA CLEAN</t>
  </si>
  <si>
    <t>(55816)AMENDOA CLEAN</t>
  </si>
  <si>
    <t>(13792)SALVIA</t>
  </si>
  <si>
    <t>(31595)FRASSINO/SALVIA</t>
  </si>
  <si>
    <t>(66455)BRANCO</t>
  </si>
  <si>
    <t>(32025)AMENDOA CLEAN/OFF WH</t>
  </si>
  <si>
    <t>(66457)BRANCO</t>
  </si>
  <si>
    <t>(46061)LINHO MOSAICO</t>
  </si>
  <si>
    <t>(30748)FRASSINO</t>
  </si>
  <si>
    <t>(31283)AMENDOA CLEAN</t>
  </si>
  <si>
    <t>VOL CX DIVISAO GR 08 PTS ERGON 2,340X0,580X0,072</t>
  </si>
  <si>
    <t>(30612)AMENDOA CLEAN</t>
  </si>
  <si>
    <t>(30613)FRASSINO</t>
  </si>
  <si>
    <t>VOL CX C/4 ESP EXTERNO 1144X285X3 1,204X0,345X0,046</t>
  </si>
  <si>
    <t>(52020)BRANCO</t>
  </si>
  <si>
    <t>VOL CX DIV/PRAT GR 06 PTS LOOP 2025 2,310X0,525X0,103</t>
  </si>
  <si>
    <t>(42185)AMENDOA CLEAN</t>
  </si>
  <si>
    <t>VOL CX TAMPO GR 06 PTS OLLIE II 2025 2,775X0,550X0,092</t>
  </si>
  <si>
    <t>(30884)AMENDOA CLEAN</t>
  </si>
  <si>
    <t>(15488)BRANCO</t>
  </si>
  <si>
    <t>(16652)AMENDOA CLEAN</t>
  </si>
  <si>
    <t>(15758)BRANCO</t>
  </si>
  <si>
    <t>VOL CX ESPELHO C/6 ESP 695X300X3 C/12 SUP CROMADO 0,750X0,365X0,045</t>
  </si>
  <si>
    <t>(16419)FRASSINO</t>
  </si>
  <si>
    <t>(15746)AMENDOA CLEAN</t>
  </si>
  <si>
    <t>VOL CX CAMA AUXILIAR ATHENAS SOLT PLUS 1,970X0,549X0,072</t>
  </si>
  <si>
    <t>(16507)FRASSINO</t>
  </si>
  <si>
    <t>(15499)FRASSINO</t>
  </si>
  <si>
    <t>VOL CX GR 3 PTS SPAZIO 2,70 - (2 PORTAS MDF) - 2,290X0,895X0,067</t>
  </si>
  <si>
    <t>(12396)BRANCO</t>
  </si>
  <si>
    <t>VOL CX VIDRO 1300X1300 OFF WHITE CANTO COPO 1,405X1,350X0,046</t>
  </si>
  <si>
    <t>VOL CX MESA 1,20 ATHENAS BR 1,275X0,810X0,072</t>
  </si>
  <si>
    <t>(16049)AMENDOA CLEAN</t>
  </si>
  <si>
    <t>(16660)CORINO CARAMELO</t>
  </si>
  <si>
    <t>(16666)LINHO RINZAI BEGE</t>
  </si>
  <si>
    <t>(16664)LINHO CINZA</t>
  </si>
  <si>
    <t>VOL CX KIT C/6 PUX P/PORTA MDF GR SUAVITA 0,485X0,172X0,120</t>
  </si>
  <si>
    <t>(93212)OFF WHITE</t>
  </si>
  <si>
    <t>VOL CX ESPELHO C/1 ESP 1000X500X3 C/2 SUP CROMADO 1,032X0,536X0,030</t>
  </si>
  <si>
    <t>(90675)BRANCO</t>
  </si>
  <si>
    <t>VOL CX BARRA CAMA SOLT ATHENAS 2022 EXP 1,975X0,395X0,045</t>
  </si>
  <si>
    <t>(99891)AMENDOA CLEAN#C/LOGO</t>
  </si>
  <si>
    <t>(36176)AMENDOA CLEAN</t>
  </si>
  <si>
    <t>VOL CX CAB CAMA 1,60 FREETOWN C/LED</t>
  </si>
  <si>
    <t>(32089)AMENDOA CLEAN/BRANCO</t>
  </si>
  <si>
    <t>(15566)AMENDOA CLEAN/OFF WH</t>
  </si>
  <si>
    <t>VOL CX GR 6 PTS LOOP 2024 LATERAL 2,335X0,550X0,083</t>
  </si>
  <si>
    <t>(13615)AMENDOA CLEAN</t>
  </si>
  <si>
    <t>VOL CX ESPELHO C/2 ESP 1049X416X3 C/2 ESP 1235X430X3 ESP C/8 SUP CROMA</t>
  </si>
  <si>
    <t>VOL CX MESA DE CABECEIRA C/3 GAV BAIAO 2021 0,665X0,385X0,140</t>
  </si>
  <si>
    <t>(31905)AMENDOA CLEAN</t>
  </si>
  <si>
    <t>VOL CX COZINHA 01 EASY</t>
  </si>
  <si>
    <t>(56716)AMENDOA CLEAN/OFF WH</t>
  </si>
  <si>
    <t>VOL CX GR 4PTS ZEUS 2025 TAMP/LAT/DIV/PTS/GAV 2,130X0,465X0,155</t>
  </si>
  <si>
    <t>(31009)AMENDOA CLEAN</t>
  </si>
  <si>
    <t>(31010)BRANCO</t>
  </si>
  <si>
    <t>(31011)AMENDOA CLEAN/OFF WH</t>
  </si>
  <si>
    <t>VOL CX GR 3 PTS OLLIE 1 PORTA RIPADA 2,240X0,915X0,030</t>
  </si>
  <si>
    <t>(16010)AMENDOA CLEAN</t>
  </si>
  <si>
    <t>(16555)FRASSINO</t>
  </si>
  <si>
    <t>VOL CX CADEIRA CELINA 2025 C/4 0,525X0,400X0,140</t>
  </si>
  <si>
    <t>(46171)AMENDOA CLEAN</t>
  </si>
  <si>
    <t>(31339)AMENDOA CLEAN</t>
  </si>
  <si>
    <t>VOL CX PAINEL CAMA CASAL 1,60 LOOP 2025 1,735X0,730X0,117</t>
  </si>
  <si>
    <t>(34870)AMENDOA CLEAN#BOUCLE SALVIA</t>
  </si>
  <si>
    <t>(34891)FRASSINO#BOUCLE SALVIA</t>
  </si>
  <si>
    <t>(30943)AMENDOA CLEAN</t>
  </si>
  <si>
    <t>(16135)BOUCLE BEGE</t>
  </si>
  <si>
    <t>(16145)VELUDO NATURALE CREME</t>
  </si>
  <si>
    <t>(93316)VELUDO NATURALE CREME</t>
  </si>
  <si>
    <t>VOL CX PENTEADEIRA LIVIA C/LED - VOL 1 1,260X0,685X0,105</t>
  </si>
  <si>
    <t>(90821)BRANCO</t>
  </si>
  <si>
    <t>(13798)FRASSINO</t>
  </si>
  <si>
    <t>VOL CX CADEIRA ATHENAS C/6 1,085X0,390X0,190</t>
  </si>
  <si>
    <t>(46147)AMENDOA CLEAN</t>
  </si>
  <si>
    <t>VOL CX CADEIRA BONNA C/2 0,580X0,440X0,365</t>
  </si>
  <si>
    <t>(48662)AMENDOA CLEAN#VELUDO NATURALE CREME</t>
  </si>
  <si>
    <t>VOL CX PAINEL CAMA CASAL 1,80 LOOP 2025 1,940X0,593X0,180</t>
  </si>
  <si>
    <t>(90072)AMENDOA CLEAN#CORANO BEGE#C/LOGO</t>
  </si>
  <si>
    <t>(91612)BRANCO</t>
  </si>
  <si>
    <t>VOL CX C/4 ESP EXTERNO 1087X375X3MM C/8 SUP CROMADO 1,115X0,390X0,046</t>
  </si>
  <si>
    <t>VOL CX VOL 4 COZINHA NINA - AÉREO 3 PTS 1,415X0,405X0,105</t>
  </si>
  <si>
    <t>(90683)BRANCO</t>
  </si>
  <si>
    <t>VOL CX CLOSET ANELI DIV</t>
  </si>
  <si>
    <t>(55695)BRANCO</t>
  </si>
  <si>
    <t>(55696)AMENDOA CLEAN</t>
  </si>
  <si>
    <t>(16329)BRANCO</t>
  </si>
  <si>
    <t>(10338)BRANCO</t>
  </si>
  <si>
    <t>(12871)AMENDOA CLEAN</t>
  </si>
  <si>
    <t>(12908)BRANCO/AMENDOA CLEAN</t>
  </si>
  <si>
    <t>(12940)AMENDOA CLEAN/OFF WH</t>
  </si>
  <si>
    <t>(16700)SUEDE ANIMALE BEGE</t>
  </si>
  <si>
    <t>(82243)LINHO CINZA</t>
  </si>
  <si>
    <t>VOL CX BARRA ATHENAS  SOLT 0,90 2022 1,975X0,395X0,045</t>
  </si>
  <si>
    <t>(15984)FRASSINO</t>
  </si>
  <si>
    <t>VOL CX BASE MESA APOGEU 1,20 0,815X0,437X0,122</t>
  </si>
  <si>
    <t>(16036)AMENDOA CLEAN/OFF WH</t>
  </si>
  <si>
    <t>(13737)IMBUIA CLEAN</t>
  </si>
  <si>
    <t>(16031)LINHO RUSTICO</t>
  </si>
  <si>
    <t>(16002)BRANCO</t>
  </si>
  <si>
    <t>(16527)FRASSINO</t>
  </si>
  <si>
    <t>VOL CX TAMPO MESA 1,60 AL/APOG/AST C/VID SER C. COPO 1,695X0,895X0,075</t>
  </si>
  <si>
    <t>(16677)OFF WHITE</t>
  </si>
  <si>
    <t>(55618)AMENDOA CLEAN#CORANO BEGE#S/LED</t>
  </si>
  <si>
    <t>(55619)FRASSINO#CORANO BEGE#S/LED</t>
  </si>
  <si>
    <t>(13739)AMENDOA CLEAN</t>
  </si>
  <si>
    <t>VOL CX GR 3 PTS SAION PLUS TAMPO 2,075X0,530X0,087</t>
  </si>
  <si>
    <t>(13517)AMENDOA CLEAN</t>
  </si>
  <si>
    <t>(13806)FRASSINO</t>
  </si>
  <si>
    <t>(68373)LINHO MARRON</t>
  </si>
  <si>
    <t>(15893)VELUDO NATURALE CREME</t>
  </si>
  <si>
    <t>(49157)COURO MORANO AVELA</t>
  </si>
  <si>
    <t>VOL CX GR 2 PTS ZEINE 2024 TAMPO 1,845X0,520X0,092</t>
  </si>
  <si>
    <t>(13850)BRANCO</t>
  </si>
  <si>
    <t>(13651)AMENDOA CLEAN</t>
  </si>
  <si>
    <t>(52050)BRANCO</t>
  </si>
  <si>
    <t>(90809)AMENDOA CLEAN</t>
  </si>
  <si>
    <t>VOL CX GR SUAVITA 6PTS COSTAS 2,185X0,905X0,010</t>
  </si>
  <si>
    <t>(99485)AMENDOA CLEAN</t>
  </si>
  <si>
    <t>(112328)BRANCO#C/LOGO</t>
  </si>
  <si>
    <t>(99992)AMENDOA CLEAN/OFF WH#C/LOGO</t>
  </si>
  <si>
    <t>(99993)BRANCO#C/LOGO</t>
  </si>
  <si>
    <t>(15979)AMENDOA CLEAN</t>
  </si>
  <si>
    <t>(15981)FRASSINO</t>
  </si>
  <si>
    <t>(13228)FRASSINO</t>
  </si>
  <si>
    <t>(52117)AMENDOA CLEAN</t>
  </si>
  <si>
    <t>(32031)FRASSINO/SALVIA</t>
  </si>
  <si>
    <t>(31503)FRASSINO/OFF WHITE</t>
  </si>
  <si>
    <t>VOL CX BASE MESA 1,20 SINTONIA 0,803X0,495X0,092</t>
  </si>
  <si>
    <t>(46118)AMENDOA CLEAN/OFF WH</t>
  </si>
  <si>
    <t>(46119)FRASSINO/OFF WHITE</t>
  </si>
  <si>
    <t>(46060)COURO MORANO AVELA</t>
  </si>
  <si>
    <t>VOL CX LAT GR 03/06 PTS OLLIE II 2025 2,375X0,550X0,078</t>
  </si>
  <si>
    <t>(30749)AMENDOA CLEAN</t>
  </si>
  <si>
    <t>VOL CX DIV GR 03 PTS OLLIE II 2025 2,275X0,460X0,098</t>
  </si>
  <si>
    <t>(30752)FRASSINO</t>
  </si>
  <si>
    <t>(31288)AMENDOA CLEAN#CORANO BEGE</t>
  </si>
  <si>
    <t>VOL CX BARRA CAMA 0,90 LOOP 2025 2,018X0,357X0,100</t>
  </si>
  <si>
    <t>(36960)FRASSINO</t>
  </si>
  <si>
    <t>VOL CX LATERAL GR 08 PTS ERGON 2,480X0,698X0,070</t>
  </si>
  <si>
    <t>(30611)FRASSINO</t>
  </si>
  <si>
    <t>(40351)AMENDOA CLEAN/SALVIA</t>
  </si>
  <si>
    <t>(52032)BRANCO</t>
  </si>
  <si>
    <t>VOL CX TAMPO/DIV COMODA LOOP 2025 EXP 1,595X0,497X0,105</t>
  </si>
  <si>
    <t>(37035)BRANCO#C/LOGO</t>
  </si>
  <si>
    <t>VOL CX CADEIRA LUAR C/04 0,528X0,398X0,138</t>
  </si>
  <si>
    <t>(46422)AMENDOA CLEAN</t>
  </si>
  <si>
    <t>(46423)FRASSINO</t>
  </si>
  <si>
    <t>VOL CX CADEIRA APOGEU/RAYLA 2025 C/06 0,545X0,435X0,183</t>
  </si>
  <si>
    <t>(46365)AMENDOA CLEAN</t>
  </si>
  <si>
    <t>(46366)FRASSINO</t>
  </si>
  <si>
    <t>(69401)FRASSINO/OFF WHITE</t>
  </si>
  <si>
    <t>(15487)AMENDOA CLEAN</t>
  </si>
  <si>
    <t>VOL KIT PES C/8 PES LOPAS PVC 0,338X0,140X0,069</t>
  </si>
  <si>
    <t>(16634)AMENDOA CLEAN</t>
  </si>
  <si>
    <t>(12672)AMENDOA CLEAN</t>
  </si>
  <si>
    <t>VOL CX CAB/PES ATHENAS SOLT 0,90 PLUS 0,790X0,470X0,056</t>
  </si>
  <si>
    <t>(15542)BRANCO</t>
  </si>
  <si>
    <t>(15753)BRANCO</t>
  </si>
  <si>
    <t>(16324)FRASSINO/OFF WHITE</t>
  </si>
  <si>
    <t>(15765)BRANCO</t>
  </si>
  <si>
    <t>VOL CX GR 2 PTS TORONTO PLUS T/F 2,655X0,580X0,108</t>
  </si>
  <si>
    <t>(12362)AMENDOA CLEAN</t>
  </si>
  <si>
    <t>(16393)LINHO MARRON</t>
  </si>
  <si>
    <t>VOL CX PES CAMA SOLTEIRO ATHENAS PLUS EXP 1,210X0,275X0,100</t>
  </si>
  <si>
    <t>(99890)AMENDOA CLEAN#C/LOGO</t>
  </si>
  <si>
    <t>VOL CX PORTAS GR 08 PTS ERGON 2,380X0,351X0,133</t>
  </si>
  <si>
    <t>(30618)OFF WHITE</t>
  </si>
  <si>
    <t>(16284)BRANCO</t>
  </si>
  <si>
    <t>(16285)FRASSINO</t>
  </si>
  <si>
    <t>(37107)AMENDOA CLEAN#BOUCLE SALVIA</t>
  </si>
  <si>
    <t>VOL CX TAMPO MESA 1,0 RED ALYS/CELEBRARE</t>
  </si>
  <si>
    <t>(16675)OFF WHITE</t>
  </si>
  <si>
    <t>VOL CX C/01 PORTA CENT GLASS GR 3PTS 2,30 FORMA 2,260X0,855X0,060</t>
  </si>
  <si>
    <t>(31333)FRASSINO</t>
  </si>
  <si>
    <t>(16178)CORANO BEGE#FRASSINO</t>
  </si>
  <si>
    <t>VOL CX GR 3/6 PTS NICE/BERTHA KIT 2 GAV 0,880X0,372X0,060</t>
  </si>
  <si>
    <t>(12564)AMENDOA CLEAN</t>
  </si>
  <si>
    <t>(16668)SUEDE ANIMALE BEGE</t>
  </si>
  <si>
    <t>VOL CX BASE 1,20 EASY LOVE 0,830X0,565X0,075</t>
  </si>
  <si>
    <t>(88834)AMENDOA CLEAN</t>
  </si>
  <si>
    <t>(69433)AMENDOA CLEAN/OFF WH</t>
  </si>
  <si>
    <t>VOL CX PAINEL LOOP SOLT 0,90</t>
  </si>
  <si>
    <t>(23996)FRASSINO#CORANO BEGE</t>
  </si>
  <si>
    <t>VOL CX ESPELHO C/2 ESP 658X238X3 C/4 SUP CROMADO 0,719X0,298X0,055</t>
  </si>
  <si>
    <t>VOL CX MESA DE CABECEIRA C/2 GAV LEDER 0,625X0,437X0,133</t>
  </si>
  <si>
    <t>(15555)AMENDOA CLEAN</t>
  </si>
  <si>
    <t>VOL CX MESA DE CABECEIRA C/2 GAV LOOP 0,720X0,393X0,128</t>
  </si>
  <si>
    <t>(15557)AMENDOA CLEAN/OFF WH</t>
  </si>
  <si>
    <t>(13619)AMENDOA CLEAN</t>
  </si>
  <si>
    <t>(32093)BRANCO#C/LOGO</t>
  </si>
  <si>
    <t>(15568)AMENDOA CLEAN/SALVIA</t>
  </si>
  <si>
    <t>(15619)BRANCO#C/LOGO</t>
  </si>
  <si>
    <t>(31907)BRANCO</t>
  </si>
  <si>
    <t>VOL CX BARRA CAMA CASAL 1,60 FREETOWN</t>
  </si>
  <si>
    <t>(16432)BRANCO</t>
  </si>
  <si>
    <t>VOL CX GR 3/4/6 PTS OLLIE/CALEB/VINCE KIT 2GAV 0,850X0,362X0,063</t>
  </si>
  <si>
    <t>(16289)AMENDOA CLEAN</t>
  </si>
  <si>
    <t>VOL CX TAMPO GR 03 PTS 2,30 FORMA 2,35X0,565X0,087</t>
  </si>
  <si>
    <t>(31393)FRASSINO</t>
  </si>
  <si>
    <t>(32035)FRASSINO</t>
  </si>
  <si>
    <t>(31365)AMENDOA CLEAN</t>
  </si>
  <si>
    <t>(16014)FRASSINO</t>
  </si>
  <si>
    <t>(15779)AMENDOA CLEAN</t>
  </si>
  <si>
    <t>VOL CX CADEIRA VENUS 2.3 C/2</t>
  </si>
  <si>
    <t>(15584)AMENDOA CLEAN</t>
  </si>
  <si>
    <t>(46194)AMENDOA CLEAN</t>
  </si>
  <si>
    <t>VOL CX DIVISAO GR 03 PTS 2,30 FORMA 2,275X0,460X0,072</t>
  </si>
  <si>
    <t>(31853)FRASSINO</t>
  </si>
  <si>
    <t>VOL CX GR 3 PTS CALEB 2,40 MOLD 2,535X0,190X0,070</t>
  </si>
  <si>
    <t>(15722)AMENDOA CLEAN</t>
  </si>
  <si>
    <t>(34895)FRASSINO#CORANO BEGE</t>
  </si>
  <si>
    <t>(34883)BRANCO#KORINO BRANCO</t>
  </si>
  <si>
    <t>VOL CX C/03 PORTAS MDF GR 03 PTS 2,30 FORMA 2,31X0,78X0,08</t>
  </si>
  <si>
    <t>(31459)AMENDOA CLEAN/OFF WH</t>
  </si>
  <si>
    <t>(67869)AMENDOA CLEAN/OFF WH</t>
  </si>
  <si>
    <t>VOL CX MESA DE CABECEIRA LOOP 2024 EXP 0,720X0,393X0,128</t>
  </si>
  <si>
    <t>(94964)AMENDOA CLEAN#C/LOGO</t>
  </si>
  <si>
    <t>(94965)BRANCO#C/LOGO</t>
  </si>
  <si>
    <t>VOL CX GR 8PTS SERENATA TAMPO/LATERAL 2,425X0,468X0,095</t>
  </si>
  <si>
    <t>(91599)AMENDOA CLEAN</t>
  </si>
  <si>
    <t>(91604)BRANCO</t>
  </si>
  <si>
    <t>(69507)AMENDOA CLEAN/OFF WH</t>
  </si>
  <si>
    <t>(70245)FRASSINO/OFF WHITE</t>
  </si>
  <si>
    <t>VOL CX CADEIRA APOGEU/CAMINI/LOTUS/RAYLA C/2</t>
  </si>
  <si>
    <t>(16128)AMENDOA CLEAN</t>
  </si>
  <si>
    <t>(16129)FRASSINO</t>
  </si>
  <si>
    <t>VOL CX PTS/GAV COMODA 8GAV/2PTS IMPERADOR 1,175X0,465X0,170</t>
  </si>
  <si>
    <t>(79217)AMENDOA CLEAN</t>
  </si>
  <si>
    <t>(90073)BRANCO#KORINO BRANCO#C/LOGO</t>
  </si>
  <si>
    <t>VOL CX COSTAS GR 04 PTS LOOP 2,265X0,920X0,006</t>
  </si>
  <si>
    <t>(90730)AMENDOA CLEAN</t>
  </si>
  <si>
    <t>(102458)AMENDOA CLEAN/BRANCO</t>
  </si>
  <si>
    <t>(91613)OFF WHITE</t>
  </si>
  <si>
    <t>(90918)AMENDOA CLEAN/OFF WH</t>
  </si>
  <si>
    <t>VOL CX MULTIFUNCIONAL 2PTS DAVI/BLISS 1,845X0,515X0,081</t>
  </si>
  <si>
    <t>(90907)AMENDOA CLEAN</t>
  </si>
  <si>
    <t>(90908)AMENDOA CLEAN/BRANCO</t>
  </si>
  <si>
    <t>VOL CX GR 6PTS SUAVITA LAT/GAV 2,380X0,510X0,080</t>
  </si>
  <si>
    <t>(93189)AMENDOA CLEAN</t>
  </si>
  <si>
    <t>VOL CX PORTAS/MOLD GR 04 PTS LOOP 2,405X0,420X0,100</t>
  </si>
  <si>
    <t>(90724)AMENDOA CLEAN</t>
  </si>
  <si>
    <t>(56698)PRETO FOSCO</t>
  </si>
  <si>
    <t>(16522)BRANCO</t>
  </si>
  <si>
    <t>(16331)FRASSINO</t>
  </si>
  <si>
    <t>(20168)CORINO CARAMELO</t>
  </si>
  <si>
    <t>(16698)LINHO RINZAI BEGE</t>
  </si>
  <si>
    <t>(16699)LINHO RUSTICO</t>
  </si>
  <si>
    <t>(15982)AMENDOA CLEAN</t>
  </si>
  <si>
    <t>(15983)BRANCO</t>
  </si>
  <si>
    <t>VOL CX BARRA REALI/SPECIALE  SOLT 2022 1,975X0,395X0,055</t>
  </si>
  <si>
    <t>(15550)BRANCO</t>
  </si>
  <si>
    <t>VOL CX GR 3 PTS NICE TAMPO 2,775X0,580X0,092</t>
  </si>
  <si>
    <t>(12306)AMENDOA CLEAN</t>
  </si>
  <si>
    <t>VOL CX GR 3 PTS NICE LAT 2,375X0,580X0,057</t>
  </si>
  <si>
    <t>(12318)FRASSINO</t>
  </si>
  <si>
    <t>(13076)FRASSINO/OFF WHITE</t>
  </si>
  <si>
    <t>(16032)SUEDE ANIMALE BEGE</t>
  </si>
  <si>
    <t>(16033)VELUDO LISO CAPUCCINO</t>
  </si>
  <si>
    <t>(55584)COURO MORANO AVELA</t>
  </si>
  <si>
    <t>(13884)AMENDOA CLEAN</t>
  </si>
  <si>
    <t>(13886)OFF WHITE</t>
  </si>
  <si>
    <t>VOL CX TAMPO MESA 1,20 AL/APO/CEL C/VID SER CANTO CP 1,300X0,900X0,075</t>
  </si>
  <si>
    <t>(16676)OFF WHITE</t>
  </si>
  <si>
    <t>(55291)AMENDOA CLEAN#C/LOGO</t>
  </si>
  <si>
    <t>(12948)BRANCO</t>
  </si>
  <si>
    <t>(13741)BRANCO</t>
  </si>
  <si>
    <t>(13747)OFF WHITE</t>
  </si>
  <si>
    <t>(13601)BRANCO</t>
  </si>
  <si>
    <t>(12746)BRANCO</t>
  </si>
  <si>
    <t>(12748)FRASSINO/OFF WHITE/F</t>
  </si>
  <si>
    <t>(12322)AMENDOA CLEAN</t>
  </si>
  <si>
    <t>(31307)AMENDOA CLEAN</t>
  </si>
  <si>
    <t>VOL CX GR 8 PTS EASY SLIM/ANDARA TAMPO/LATERAL 2,430X0,460X0,128</t>
  </si>
  <si>
    <t>(12814)AMENDOA CLEAN</t>
  </si>
  <si>
    <t>(12516)AMENDOA CLEAN</t>
  </si>
  <si>
    <t>(13609)BRANCO</t>
  </si>
  <si>
    <t>VOL CX GR 3 PTS CALEB/OLLIE 1 PORTA LAT GLASS 2,240X0,965X0,070</t>
  </si>
  <si>
    <t>(13088)FRASSINO</t>
  </si>
  <si>
    <t>(13647)BRANCO</t>
  </si>
  <si>
    <t>VOL CX GR 2 PTS ZEINE 2024 PORTAS/COSTAS 1,980X0,910X0,065</t>
  </si>
  <si>
    <t>(12530)AMENDOA CLEAN/OFF WH</t>
  </si>
  <si>
    <t>(15699)AMENDOA CLEAN</t>
  </si>
  <si>
    <t>VOL CX GR 6PTS SUAVITA 3 PORTAS VIDRO 2,260X0,458X0,065</t>
  </si>
  <si>
    <t>(93215)AMENDOA CLEAN</t>
  </si>
  <si>
    <t>(55815)FRASSINO</t>
  </si>
  <si>
    <t>(112330)BRANCO#C/LOGO</t>
  </si>
  <si>
    <t>VOL CX ESPELHO C/3 ESP 575X390X3 C/6 SUP CROMADO 0,635X0,450X0,045</t>
  </si>
  <si>
    <t>(16641)AMENDOA CLEAN</t>
  </si>
  <si>
    <t>(79504)BRANCO</t>
  </si>
  <si>
    <t>(52047)BRANCO</t>
  </si>
  <si>
    <t>(67186)AMENDOA CLEAN</t>
  </si>
  <si>
    <t>(31593)AMENDOA CLEAN/OFF WH</t>
  </si>
  <si>
    <t>VOL CX MESA C/4 CAD EASY LINE 1,435X0,732X0,104</t>
  </si>
  <si>
    <t>(23873)AMENDOA CLEAN#LINHO RINZAI BEGE</t>
  </si>
  <si>
    <t>VOL CADEIRA EASY LINE C/2 0,970X0,385X0,104</t>
  </si>
  <si>
    <t>(94547)AMENDOA CLEAN#LINHO RINZAI BEGE</t>
  </si>
  <si>
    <t>VOL CX ESPELHO C/8 ESP 600X350X3</t>
  </si>
  <si>
    <t>VOL CX MESA BASE 1,60/1,70 SINTONIA 1,030X0,495X0,072</t>
  </si>
  <si>
    <t>(39410)FRASSINO/OFF WHITE</t>
  </si>
  <si>
    <t>(46059)BOUCLE BEGE</t>
  </si>
  <si>
    <t>(46062)LINHO RINZAI BEGE</t>
  </si>
  <si>
    <t>(46063)SUEDE ANIMALE BEGE</t>
  </si>
  <si>
    <t>VOL CX MAXI TAMPO 1,70 C/VIDRO CANT.COPO 1,800X1,000X0,095</t>
  </si>
  <si>
    <t>(45302)OFF WHITE</t>
  </si>
  <si>
    <t>(30750)FRASSINO</t>
  </si>
  <si>
    <t>(36958)AMENDOA CLEAN</t>
  </si>
  <si>
    <t>VOL CX PAINEL CAMA 0,90 LOOP 2025 1,035X0,730X0,117</t>
  </si>
  <si>
    <t>(36965)FRASSINO#CORANO BEGE</t>
  </si>
  <si>
    <t>VOL CX TAMPO GR 08 PTS ERGON 2,785X0,580X0,107</t>
  </si>
  <si>
    <t>(30608)AMENDOA CLEAN</t>
  </si>
  <si>
    <t>(30609)FRASSINO</t>
  </si>
  <si>
    <t>(52112)AMENDOA CLEAN</t>
  </si>
  <si>
    <t>(42186)FRASSINO</t>
  </si>
  <si>
    <t>VOL CX GR 4PTS ZEUS 2025 COSTAS 1,530X0,590X0,005</t>
  </si>
  <si>
    <t>(31012)AMENDOA CLEAN</t>
  </si>
  <si>
    <t>VOL CX ESPELHO C/8 ESP 750X350X3 C/16 SUP CROMADO 0,810X0,420X0,050</t>
  </si>
  <si>
    <t>(12426)AMENDOA CLEAN</t>
  </si>
  <si>
    <t>(16417)AMENDOA CLEAN</t>
  </si>
  <si>
    <t>(15965)AMENDOA CLEAN</t>
  </si>
  <si>
    <t>(16163)BRANCO</t>
  </si>
  <si>
    <t>(16164)FRASSINO/OFF WHITE</t>
  </si>
  <si>
    <t>(15541)AMENDOA CLEAN/OFF WH</t>
  </si>
  <si>
    <t>(15545)FRASSINO/OFF WHITE</t>
  </si>
  <si>
    <t>(16504)AMENDOA CLEAN</t>
  </si>
  <si>
    <t>(15496)AMENDOA CLEAN</t>
  </si>
  <si>
    <t>VOL CX GR 3 PTS SPAZIO 2,70 T/F 2,665X0,610X0,075</t>
  </si>
  <si>
    <t>(13178)BRANCO</t>
  </si>
  <si>
    <t>VOL CX GR 3 PTS SPAZIO 2,70 DIV 2,290X0,460X0,070</t>
  </si>
  <si>
    <t>(13194)BRANCO</t>
  </si>
  <si>
    <t>(12546)BRANCO</t>
  </si>
  <si>
    <t>VOL CX GR 2 PTS TORONTO PLUS PORTAS 1,305X0,720X0,102</t>
  </si>
  <si>
    <t>(13904)FRASSINO/OFF WHITE</t>
  </si>
  <si>
    <t>(16397)VELUDO LISO MARROM</t>
  </si>
  <si>
    <t>(16390)CORINO CARAMELO</t>
  </si>
  <si>
    <t>(55885)AMENDOA CLEAN/OFF WH</t>
  </si>
  <si>
    <t>(37109)FRASSINO#CORANO BEGE</t>
  </si>
  <si>
    <t>VOL CX PAINEL CAMA CASAL 1,40 LOOP</t>
  </si>
  <si>
    <t>(16223)KORINO BRANCO#BRANCO</t>
  </si>
  <si>
    <t>(12566)FRASSINO</t>
  </si>
  <si>
    <t>(46397)LINHO MOSAICO</t>
  </si>
  <si>
    <t>VOL CX KIT C/8 PUXADORES GR SERENATA 0,370X0,140X0,075</t>
  </si>
  <si>
    <t>(91618)BRANCO</t>
  </si>
  <si>
    <t>VOL CX CADEIRA LAINI C/02 0,515X0,235X0,158</t>
  </si>
  <si>
    <t>(93332)AMENDOA CLEAN</t>
  </si>
  <si>
    <t>(78588)VELVET ROSE</t>
  </si>
  <si>
    <t>(15556)FRASSINO</t>
  </si>
  <si>
    <t>(31969)BRANCO#C/LOGO</t>
  </si>
  <si>
    <t>(16312)AMENDOA CLEAN</t>
  </si>
  <si>
    <t>VOL CX GR 6 PTS LOOP DIV/PRAT 2,305X0,520X0,103</t>
  </si>
  <si>
    <t>(13753)FRASSINO</t>
  </si>
  <si>
    <t>VOL CX ESPELHO C/4 ESP 900X300X3 C/8 SUP CROMADO 0,960X0,360X0,036</t>
  </si>
  <si>
    <t>VOL CX GR 6 PTS SOLARIS LAT 2,375X0,580X0,105</t>
  </si>
  <si>
    <t>(13080)AMENDOA CLEAN</t>
  </si>
  <si>
    <t>(31469)FRASSINO</t>
  </si>
  <si>
    <t>VOL CX TAMPO MESA 1,80 ALYS/ARIES C/VIDRO SERIG CANTO COPO</t>
  </si>
  <si>
    <t>(16252)OFF WHITE</t>
  </si>
  <si>
    <t>VOL CX GR 3 PTS SPAZIO 2,70 - (1 PORTA GLASS) - 2,320X1,040X0,067</t>
  </si>
  <si>
    <t>VOL CX CADEIRA CELINA C/2</t>
  </si>
  <si>
    <t>(16388)AMENDOA CLEAN</t>
  </si>
  <si>
    <t>VOL CX CADEIRA ASTRID C/6 0,530X0,420X0,178</t>
  </si>
  <si>
    <t>(46104)FRASSINO</t>
  </si>
  <si>
    <t>VOL CX BARRA CAMA SOLTEIRO 1,05 REALI MUEBLES EL B</t>
  </si>
  <si>
    <t>(31935)FRASSINO</t>
  </si>
  <si>
    <t>VOL CX CLOSET ANELI TAMPO</t>
  </si>
  <si>
    <t>(55686)AMENDOA CLEAN</t>
  </si>
  <si>
    <t>VOL CX PAINEL S/LED CAMA 1,60 FREETOWN</t>
  </si>
  <si>
    <t>(15977)AMENDOA CLEAN/BRANCO#KOR.BRANCO S/LE</t>
  </si>
  <si>
    <t>(16140)LINHO RINZAI BEGE</t>
  </si>
  <si>
    <t>(46148)FRASSINO</t>
  </si>
  <si>
    <t>(67929)AMENDOA CLEAN#LINHO RINZAI BEGE</t>
  </si>
  <si>
    <t>VOL CX GR 3PTS QUADRIX/PAMPULHA TAMPO/MOLD 2,355X0,535X0,110</t>
  </si>
  <si>
    <t>(70257)AMENDOA CLEAN/OFF WH</t>
  </si>
  <si>
    <t>VOL CX GR 3PTS QUADRIX/PAMPULHA LAT/DIV 2,380X0,535X0,108</t>
  </si>
  <si>
    <t>(70254)FRASSINO</t>
  </si>
  <si>
    <t>VOL CX CADEIRA TESSERA C/4 0,540X0,295X0,170</t>
  </si>
  <si>
    <t>(48879)AMENDOA CLEAN</t>
  </si>
  <si>
    <t>VOL CX TAMPO COMODA 8GAV/2PTS IMPERADOR 1,435X0,480X0,085</t>
  </si>
  <si>
    <t>(79215)BRANCO</t>
  </si>
  <si>
    <t>(79216)BRANCO</t>
  </si>
  <si>
    <t>VOL CX GR 2/3PTS QUADRIX/PAMPULHA 1PT GLASS 2,185X0,915X0,040</t>
  </si>
  <si>
    <t>(93271)BRANCO</t>
  </si>
  <si>
    <t>VOL CX MESA DE CABECEIRA SUAVITA 0,711X0,470X0,112</t>
  </si>
  <si>
    <t>(91517)AMENDOA CLEAN/OFF WH</t>
  </si>
  <si>
    <t>(90727)BRANCO</t>
  </si>
  <si>
    <t>(55689)PRETO FOSCO</t>
  </si>
  <si>
    <t>(56697)BRANCO</t>
  </si>
  <si>
    <t>(4514)AMENDOA CLEAN</t>
  </si>
  <si>
    <t>VOL CX GR 4 PTS ALONZO 2021 T/F 1,345X0,460X0,110</t>
  </si>
  <si>
    <t>(12968)BRANCO</t>
  </si>
  <si>
    <t>(46235)LINHO MOSAICO</t>
  </si>
  <si>
    <t>(15551)FRASSINO</t>
  </si>
  <si>
    <t>(16373)FRASSINO</t>
  </si>
  <si>
    <t>VOL CX TAMPO MESA 1,20 ALYS/APOGEU/CELEB CANTO COPO 1,283X0,896X0,087</t>
  </si>
  <si>
    <t>(15806)FRASSINO</t>
  </si>
  <si>
    <t>(16253)AMENDOA CLEAN/OFF WH</t>
  </si>
  <si>
    <t>VOL CX GR 6 PTS BERTHA T/F 2,775X0,510X0,068</t>
  </si>
  <si>
    <t>(12378)FRASSINO</t>
  </si>
  <si>
    <t>(12310)FRASSINO</t>
  </si>
  <si>
    <t>(12314)AMENDOA CLEAN</t>
  </si>
  <si>
    <t>(13527)BRANCO</t>
  </si>
  <si>
    <t>(12340)AMENDOA CLEAN</t>
  </si>
  <si>
    <t>VOL CX ESPELHO C/2 ESP 1500X270X3 C/4 SUP CROMADO 1,565X0,345X0,038</t>
  </si>
  <si>
    <t>VOL CX TAMPO MESA 1,00 RED ALYS/CELEBRARE C/VIDRO SERIG</t>
  </si>
  <si>
    <t>(16548)OFF WHITE</t>
  </si>
  <si>
    <t>VOL CX BARRA CAMA  SOLT REALI/SPECIALE 2022 EXP 1,975X0,395X0,050</t>
  </si>
  <si>
    <t>(32103)BRANCO#C/LOGO</t>
  </si>
  <si>
    <t>(12570)AMENDOA CLEAN</t>
  </si>
  <si>
    <t>(12574)FRASSINO</t>
  </si>
  <si>
    <t>(31963)AMENDOA CLEAN</t>
  </si>
  <si>
    <t>(16632)AMENDOA CLEAN</t>
  </si>
  <si>
    <t>(112332)BRANCO#C/LOGO</t>
  </si>
  <si>
    <t>(31599)AMENDOA CLEAN/SALVIA</t>
  </si>
  <si>
    <t>(66452)AMENDOA CLEAN</t>
  </si>
  <si>
    <t>VOL CX CAMA AUXILIAR ATHENAS SOLTEIRO PLUS EXP 1,965X0,550X0,070</t>
  </si>
  <si>
    <t>(100020)AMENDOA CLEAN#C/LOGO</t>
  </si>
  <si>
    <t>VOL CX COZINHA 02 EASY</t>
  </si>
  <si>
    <t>(56717)AMENDOA CLEAN/OFF WH</t>
  </si>
  <si>
    <t>(39409)AMENDOA CLEAN/OFF WH</t>
  </si>
  <si>
    <t>(30751)AMENDOA CLEAN</t>
  </si>
  <si>
    <t>(31286)BRANCO#KORINO BRANCO</t>
  </si>
  <si>
    <t>(36959)BRANCO</t>
  </si>
  <si>
    <t>(40349)AMENDOA CLEAN/OFF WH</t>
  </si>
  <si>
    <t>VOL CX DIV GR 06 PTS OLLIE II 2025 2,275X0,550X0,073</t>
  </si>
  <si>
    <t>(30886)AMENDOA CLEAN</t>
  </si>
  <si>
    <t>(30887)FRASSINO</t>
  </si>
  <si>
    <t>(89592)AMENDOA CLEAN#C/LOGO</t>
  </si>
  <si>
    <t>VOL CX QUADRO C/ESPELHO LEDER/LOOP 2025 EXP 1,290X0,768X0,047</t>
  </si>
  <si>
    <t>(46258)AMENDOA CLEAN#C/LOGO</t>
  </si>
  <si>
    <t>(46259)BRANCO#C/LOGO</t>
  </si>
  <si>
    <t>(16635)BRANCO</t>
  </si>
  <si>
    <t>VOL KIT PES C/4 PES LOPAS PVC 0,185X0,140X0,075</t>
  </si>
  <si>
    <t>(16485)AMENDOA CLEAN</t>
  </si>
  <si>
    <t>(16486)BRANCO</t>
  </si>
  <si>
    <t>(16487)FRASSINO</t>
  </si>
  <si>
    <t>(12422)FRASSINO</t>
  </si>
  <si>
    <t>(12222)AMENDOA CLEAN/OFF WH</t>
  </si>
  <si>
    <t>(15747)BRANCO</t>
  </si>
  <si>
    <t>(23988)AMENDOA CLEAN</t>
  </si>
  <si>
    <t>(15752)AMENDOA CLEAN</t>
  </si>
  <si>
    <t>(15498)BRANCO</t>
  </si>
  <si>
    <t>VOL CX LATERAL MESA 1,30 NEVADA PLUS 0,870X0,685X0,100</t>
  </si>
  <si>
    <t>(16462)AMENDOA CLEAN</t>
  </si>
  <si>
    <t>(12364)BRANCO</t>
  </si>
  <si>
    <t>(13900)AMENDOA CLEAN/OFF WH</t>
  </si>
  <si>
    <t>(13902)BRANCO</t>
  </si>
  <si>
    <t>(12724)BRANCO</t>
  </si>
  <si>
    <t>(46268)COURO MORANO AVELA</t>
  </si>
  <si>
    <t>(30616)AMENDOA CLEAN</t>
  </si>
  <si>
    <t>(16424)AMENDOA CLEAN</t>
  </si>
  <si>
    <t>(31331)AMENDOA CLEAN</t>
  </si>
  <si>
    <t>(16662)BOUCLE BEGE</t>
  </si>
  <si>
    <t>(91617)AMENDOA CLEAN</t>
  </si>
  <si>
    <t>VOL KIT LED P/PORTA VIDRO 3,010X0,160X0,060</t>
  </si>
  <si>
    <t>VOL CX CADEIRA CELINA 2025 C/6 0,530X0,500X0,165</t>
  </si>
  <si>
    <t>(46145)AMENDOA CLEAN</t>
  </si>
  <si>
    <t>(16386)VELUDO LISO MARROM</t>
  </si>
  <si>
    <t>(16383)LINHO RINZAI BEGE</t>
  </si>
  <si>
    <t>(99864)AMENDOA CLEAN#C/LOGO</t>
  </si>
  <si>
    <t>VOL CX GR 6PTS SUAVITA DIV/PRAT 2,230X0,490X0,090</t>
  </si>
  <si>
    <t>(93191)AMENDOA CLEAN</t>
  </si>
  <si>
    <t>(16467)FRASSINO</t>
  </si>
  <si>
    <t>(72886)AMENDOA CLEAN/OFF WH</t>
  </si>
  <si>
    <t>(72897)FRASSINO/OFF WHITE</t>
  </si>
  <si>
    <t>VOL CX GR 6 PTS LOOP COSTAS 2,270X0,925X0,010</t>
  </si>
  <si>
    <t>(15523)AMENDOA CLEAN</t>
  </si>
  <si>
    <t>(31361)OFF WHITE</t>
  </si>
  <si>
    <t>(13222)FRASSINO/SALVIA</t>
  </si>
  <si>
    <t>(13138)AMENDOA CLEAN</t>
  </si>
  <si>
    <t>(13150)OFF WHITE</t>
  </si>
  <si>
    <t>(13152)AMENDOA CLEAN</t>
  </si>
  <si>
    <t>VOL CX ESPELHO C/1 ESP 1668X874X3 C/4 SUP CROMADO 1,710X0,982X0,047</t>
  </si>
  <si>
    <t>(67791)FRASSINO/OFF WHITE</t>
  </si>
  <si>
    <t>VOL CX GR 3 PTS CALEB 2,40 TAMPO/PRAT 2,445X0,550X0,103</t>
  </si>
  <si>
    <t>(31885)AMENDOA CLEAN</t>
  </si>
  <si>
    <t>(31391)AMENDOA CLEAN</t>
  </si>
  <si>
    <t>(30940)FRASSINO</t>
  </si>
  <si>
    <t>VOL CX TAMPO MESA 1,60 ALYS/APOGEU/ASTRID CANTO COPO 1,695X0,895X0,075</t>
  </si>
  <si>
    <t>(16549)OFF WHITE</t>
  </si>
  <si>
    <t>VOL CX BASE MESA ARIES 1,80 2020</t>
  </si>
  <si>
    <t>(16399)AMENDOA CLEAN</t>
  </si>
  <si>
    <t>(15585)FRASSINO</t>
  </si>
  <si>
    <t>(46264)AMENDOA CLEAN</t>
  </si>
  <si>
    <t>(31851)AMENDOA CLEAN</t>
  </si>
  <si>
    <t>(31337)FRASSINO</t>
  </si>
  <si>
    <t>VOL CX DIVISAO GR 06PTS 2,40 STYLE 2,250X0,510X0,073</t>
  </si>
  <si>
    <t>(32131)FRASSINO</t>
  </si>
  <si>
    <t>(31343)OFF WHITE</t>
  </si>
  <si>
    <t>VOL CX GR 3 PTS SPAZIO 2,40 TAMPO 2,480X0,610X0,092</t>
  </si>
  <si>
    <t>(55274)AMENDOA CLEAN</t>
  </si>
  <si>
    <t>(55687)PRETO FOSCO</t>
  </si>
  <si>
    <t>(16143)VELUDO LISO CAPUCCINO</t>
  </si>
  <si>
    <t>(31757)FRASSINO</t>
  </si>
  <si>
    <t>(67871)FRASSINO/OFF WHITE</t>
  </si>
  <si>
    <t>VOL CX BARRA LOOP SOLT 0,90</t>
  </si>
  <si>
    <t>(16514)FRASSINO</t>
  </si>
  <si>
    <t>(91600)BRANCO</t>
  </si>
  <si>
    <t>(70256)FRASSINO/OFF WHITE</t>
  </si>
  <si>
    <t>(90690)BRANCO</t>
  </si>
  <si>
    <t>(90711)BRANCO</t>
  </si>
  <si>
    <t>(90735)BRANCO</t>
  </si>
  <si>
    <t>VOL CX GR 6PTS SUAVITA TAMPO 2,775X0,490X0,077</t>
  </si>
  <si>
    <t>(93187)AMENDOA CLEAN</t>
  </si>
  <si>
    <t>(90686)AMENDOA CLEAN/BRANCO</t>
  </si>
  <si>
    <t>(55697)PRETO FOSCO</t>
  </si>
  <si>
    <t>VOL CX CLOSET LISSA LATERAL</t>
  </si>
  <si>
    <t>(55639)PRETO FOSCO</t>
  </si>
  <si>
    <t>VOL CX CLOSET ELISE TAMPO</t>
  </si>
  <si>
    <t>(55653)BRANCO</t>
  </si>
  <si>
    <t>(55681)AMENDOA CLEAN</t>
  </si>
  <si>
    <t>(16328)AMENDOA CLEAN</t>
  </si>
  <si>
    <t>VOL CX GR 6 PTS ARIES 2021 LAT 2,440X0,510X0,055</t>
  </si>
  <si>
    <t>(13947)BRANCO</t>
  </si>
  <si>
    <t>VOL CX GR 6 PTS ARIES 2021 DIV 1,800X0,510X0,100</t>
  </si>
  <si>
    <t>(13957)AMENDOA CLEAN</t>
  </si>
  <si>
    <t>(12238)BRANCO</t>
  </si>
  <si>
    <t>VOL CX GR 6 PTS ALONZO/LIKE PORTAS 2,172X0,390X0,101</t>
  </si>
  <si>
    <t>(13098)AMENDOA CLEAN</t>
  </si>
  <si>
    <t>(13128)OFF WHITE</t>
  </si>
  <si>
    <t>(13158)BRANCO</t>
  </si>
  <si>
    <t>(12865)AMENDOA CLEAN</t>
  </si>
  <si>
    <t>(16703)VELUDO NATURALE CREME</t>
  </si>
  <si>
    <t>(55615)AMENDOA CLEAN</t>
  </si>
  <si>
    <t>(15616)AMENDOA CLEAN</t>
  </si>
  <si>
    <t>(13404)FRASSINO</t>
  </si>
  <si>
    <t>(12846)AMENDOA CLEAN</t>
  </si>
  <si>
    <t>(12850)FRASSINO</t>
  </si>
  <si>
    <t>VOL CX VIDRO 1700X900 OFF WHITE CANTO COPO 1,750X1,050X0,045</t>
  </si>
  <si>
    <t>(16528)FRASSINO/OFF WHITE</t>
  </si>
  <si>
    <t>VOL CX TAMPO MESA 0,90 ALYS/CEL C/VID SER CANT COPO 0,995X0,995X0,075</t>
  </si>
  <si>
    <t>(16547)OFF WHITE</t>
  </si>
  <si>
    <t>(32101)AMENDOA CLEAN#C/LOGO</t>
  </si>
  <si>
    <t>(12384)BRANCO</t>
  </si>
  <si>
    <t>(12950)FRASSINO</t>
  </si>
  <si>
    <t>(31965)BRANCO</t>
  </si>
  <si>
    <t>(12816)BRANCO</t>
  </si>
  <si>
    <t>VOL CX ESPELHO C/4 ESP 1105X374X3 C/2 FUROS C/8 SUP CROMADO 1,165X0,43</t>
  </si>
  <si>
    <t>(15995)BRANCO</t>
  </si>
  <si>
    <t>(15996)FRASSINO</t>
  </si>
  <si>
    <t>VOL CX GR 3 PTS CALEB 1 PORTA CENTRAL GLASS 2,260X0,980X0,045</t>
  </si>
  <si>
    <t>(12334)AMENDOA CLEAN</t>
  </si>
  <si>
    <t>(15889)LINHO RINZAI BEGE</t>
  </si>
  <si>
    <t>(15891)VELUDO LISO CAPUCCINO</t>
  </si>
  <si>
    <t>(13288)FRASSINO</t>
  </si>
  <si>
    <t>(13292)AMENDOA CLEAN</t>
  </si>
  <si>
    <t>(14035)BRANCO</t>
  </si>
  <si>
    <t>(67187)BRANCO</t>
  </si>
  <si>
    <t>(66450)AMENDOA CLEAN</t>
  </si>
  <si>
    <t>(31505)FRASSINO/SALVIA</t>
  </si>
  <si>
    <t>VOL CX GR 6PTS EASY SLIM 2025 TAMPO/LATERAL 2,125X0,460X0,105</t>
  </si>
  <si>
    <t>(26000)AMENDOA CLEAN</t>
  </si>
  <si>
    <t>(46064)VELUDO LISO CAPUCCINO</t>
  </si>
  <si>
    <t>(31289)FRASSINO#BOUCLE SALVIA</t>
  </si>
  <si>
    <t>(36962)AMENDOA CLEAN#CORANO BEGE</t>
  </si>
  <si>
    <t>(36963)BRANCO#KORINO BRANCO</t>
  </si>
  <si>
    <t>(36961)AMENDOA CLEAN#BOUCLE SALVIA</t>
  </si>
  <si>
    <t>(30610)AMENDOA CLEAN</t>
  </si>
  <si>
    <t>(30614)AMENDOA CLEAN</t>
  </si>
  <si>
    <t>(52007)BRANCO</t>
  </si>
  <si>
    <t>(43035)FRASSINO</t>
  </si>
  <si>
    <t>(30885)FRASSINO</t>
  </si>
  <si>
    <t>(16636)FRASSINO</t>
  </si>
  <si>
    <t>(16655)FRASSINO</t>
  </si>
  <si>
    <t>(12418)BRANCO</t>
  </si>
  <si>
    <t>(12420)FRASSINO/OFF WHITE</t>
  </si>
  <si>
    <t>(12220)BRANCO</t>
  </si>
  <si>
    <t>(16191)AMENDOA CLEAN</t>
  </si>
  <si>
    <t>(16192)BRANCO</t>
  </si>
  <si>
    <t>(15693)BRANCO</t>
  </si>
  <si>
    <t>(16505)BRANCO</t>
  </si>
  <si>
    <t>(16321)AMENDOA CLEAN/OFF WH</t>
  </si>
  <si>
    <t>(16323)FRASSINO</t>
  </si>
  <si>
    <t>(13096)FRASSINO</t>
  </si>
  <si>
    <t>VOL CX GR 6 PTS EASY SLIM TAMPO/LATERAL 2,125X0,460X0,105</t>
  </si>
  <si>
    <t>(88802)AMENDOA CLEAN</t>
  </si>
  <si>
    <t>(16392)BOUCLE MARROM</t>
  </si>
  <si>
    <t>(16395)SUEDE ANIMALE BEGE</t>
  </si>
  <si>
    <t>VOL CX LATERAL GR 03 PTS 2,30 FORMA 2,375X0,560X0,072</t>
  </si>
  <si>
    <t>(31639)AMENDOA CLEAN</t>
  </si>
  <si>
    <t>(31641)FRASSINO</t>
  </si>
  <si>
    <t>(30617)FRASSINO</t>
  </si>
  <si>
    <t>(16426)BRANCO</t>
  </si>
  <si>
    <t>(31465)FRASSINO/OFF WHITE</t>
  </si>
  <si>
    <t>VOL CX PAINEL CAMA CASAL 1,60 LEDER 2025 1,735X0,590X0,185</t>
  </si>
  <si>
    <t>(37071)AMENDOA CLEAN#L R BEG/C DT M</t>
  </si>
  <si>
    <t>(93211)AMENDOA CLEAN</t>
  </si>
  <si>
    <t>(72164)BRANCO#C/LOGO</t>
  </si>
  <si>
    <t>(16382)LINHO MARRON</t>
  </si>
  <si>
    <t>(16384)SUEDE ANIMALE BEGE</t>
  </si>
  <si>
    <t>(13621)FRASSINO</t>
  </si>
  <si>
    <t>(30941)AMENDOA CLEAN</t>
  </si>
  <si>
    <t>(15525)FRASSINO</t>
  </si>
  <si>
    <t>(13617)FRASSINO</t>
  </si>
  <si>
    <t>(16557)FRASSINO</t>
  </si>
  <si>
    <t>VOL CX GR 6 PTS ZEUS PLUS EXP PORTAS/COSTAS 1,950X0,600X0,067</t>
  </si>
  <si>
    <t>(15811)BRANCO#C/LOGO</t>
  </si>
  <si>
    <t>(72176)AMENDOA CLEAN#C/LOGO</t>
  </si>
  <si>
    <t>(31909)FRASSINO</t>
  </si>
  <si>
    <t>(67790)AMENDOA CLEAN/OFF WH</t>
  </si>
  <si>
    <t>VOL CX GR 3 PTS SAION TAMPO 2,075X0,530X0,087</t>
  </si>
  <si>
    <t>(32157)AMENDOA CLEAN</t>
  </si>
  <si>
    <t>(46103)AMENDOA CLEAN</t>
  </si>
  <si>
    <t>VOL CX CAB C/LED/PAIN ESTOF CAMA 1,60 FREETOWN 2025 1,835X0,698X0,092</t>
  </si>
  <si>
    <t>(49955)AMENDOA CLEAN/BRANCO#KOR.BRANCO C/LED</t>
  </si>
  <si>
    <t>(46267)FRASSINO</t>
  </si>
  <si>
    <t>(32129)AMENDOA CLEAN</t>
  </si>
  <si>
    <t>(34878)AMENDOA CLEAN#CORANO BEGE</t>
  </si>
  <si>
    <t>VOL CX BARRA CAMA 1,60 FREETOWN 2025 2,075X0,345X0,110</t>
  </si>
  <si>
    <t>(49985)BRANCO</t>
  </si>
  <si>
    <t>VOL CX CADEIRA APOGEU/RAYLA 2025 C/04 0,525X0,425X0,136</t>
  </si>
  <si>
    <t>(46043)AMENDOA CLEAN</t>
  </si>
  <si>
    <t>(48661)AMENDOA CLEAN#SUEDE ANIMALE BEGE</t>
  </si>
  <si>
    <t>(70255)AMENDOA CLEAN</t>
  </si>
  <si>
    <t>(79214)AMENDOA CLEAN</t>
  </si>
  <si>
    <t>(90731)BRANCO</t>
  </si>
  <si>
    <t>VOL CX ESP PENTEADEIRA LIVIA - VOL 2 1,165X0,719X0,045</t>
  </si>
  <si>
    <t>(91516)AMENDOA CLEAN</t>
  </si>
  <si>
    <t>(90682)AMENDOA CLEAN/BRANCO</t>
  </si>
  <si>
    <t>(90716)AMENDOA CLEAN</t>
  </si>
  <si>
    <t>(90725)AMENDOA CLEAN/OFF WH</t>
  </si>
  <si>
    <t>(55643)PRETO FOSCO</t>
  </si>
  <si>
    <t>(12658)AMENDOA CLEAN</t>
  </si>
  <si>
    <t>(13945)AMENDOA CLEAN</t>
  </si>
  <si>
    <t>(13959)BRANCO</t>
  </si>
  <si>
    <t>(13963)FRASSINO</t>
  </si>
  <si>
    <t>(16694)BOUCLE BEGE</t>
  </si>
  <si>
    <t>(15549)AMENDOA CLEAN</t>
  </si>
  <si>
    <t>(15805)AMENDOA CLEAN</t>
  </si>
  <si>
    <t>(15807)OFF WHITE</t>
  </si>
  <si>
    <t>(12376)AMENDOA CLEAN</t>
  </si>
  <si>
    <t>(16030)LINHO RINZAI BEGE</t>
  </si>
  <si>
    <t>(16035)VELUDO NATURALE CREME</t>
  </si>
  <si>
    <t>(13657)AMENDOA CLEAN</t>
  </si>
  <si>
    <t>(90678)AMENDOA CLEAN/BRANCO</t>
  </si>
  <si>
    <t>(49908)FRASSINO#CORANO BEGE#C/LED</t>
  </si>
  <si>
    <t>(49907)AMENDOA CLEAN#CORANO BEGE#C/LED</t>
  </si>
  <si>
    <t>(13603)FRASSINO</t>
  </si>
  <si>
    <t>(13519)BRANCO</t>
  </si>
  <si>
    <t>(13521)FRASSINO</t>
  </si>
  <si>
    <t>(31309)BRANCO</t>
  </si>
  <si>
    <t>(13810)BRANCO</t>
  </si>
  <si>
    <t>(12518)BRANCO</t>
  </si>
  <si>
    <t>(13084)AMENDOA CLEAN</t>
  </si>
  <si>
    <t>(49167)LINHO MOSAICO</t>
  </si>
  <si>
    <t>(13848)AMENDOA CLEAN</t>
  </si>
  <si>
    <t>(93213)AMENDOA CLEAN</t>
  </si>
  <si>
    <t>VOL CX ESPELHO C/1 ESP 1795X385X3 SAP.ESTHELA 1,930X0,570X0,060</t>
  </si>
  <si>
    <t>(12590)FRASSINO</t>
  </si>
  <si>
    <t>(31499)AMENDOA CLEAN/SALVIA</t>
  </si>
  <si>
    <t>RESERVAS — SALDO DE ITENS COM RESERVA</t>
  </si>
  <si>
    <t>3665 linhas importadas • 02/10/2026, 13:56:55</t>
  </si>
  <si>
    <t>ALMOXARIFADO</t>
  </si>
  <si>
    <t>COD ITEM</t>
  </si>
  <si>
    <t>DESCRICAO ITEM</t>
  </si>
  <si>
    <t>MASCARA</t>
  </si>
  <si>
    <t>CLASS</t>
  </si>
  <si>
    <t>PESO BRT</t>
  </si>
  <si>
    <t>CUSTO MEDIO</t>
  </si>
  <si>
    <t>SALDO ATUAL</t>
  </si>
  <si>
    <t>QTD RESERVADA</t>
  </si>
  <si>
    <t>QTD DISPONIVEL</t>
  </si>
  <si>
    <t>11 - EXPEDIÇÃO WMS</t>
  </si>
  <si>
    <t>VOL CX PENTEADEIRA LIVIA - VOL 1 S/LED 1,260X0,685X0,105</t>
  </si>
  <si>
    <t>BRANCO ID: (118082)</t>
  </si>
  <si>
    <t>BRANCO ID: (10338)</t>
  </si>
  <si>
    <t>AMENDOA CLEAN ID: (4514)</t>
  </si>
  <si>
    <t>AMENDOA CLEAN/OFF WH ID: (12222)</t>
  </si>
  <si>
    <t>BRANCO ID: (12220)</t>
  </si>
  <si>
    <t>AMENDOA CLEAN ID: (12218)</t>
  </si>
  <si>
    <t>IMBUIA CLEAN ID: (64910)</t>
  </si>
  <si>
    <t>PRATELEIRA INFERIOR GR 4/6 PTS ZEUS 575X330X12 MDP</t>
  </si>
  <si>
    <t>AMENDOA CLEAN ID: (42272)</t>
  </si>
  <si>
    <t>FRASSINO ID: (42278)</t>
  </si>
  <si>
    <t>BRANCO ID: (42274)</t>
  </si>
  <si>
    <t>PRATELEIRA GR 4/6 PTS ZEUS/VIRGO/EASY P2L 575X330X12 MDP</t>
  </si>
  <si>
    <t>AMENDOA CLEAN ID: (41337)</t>
  </si>
  <si>
    <t>BRANCO ID: (41339)</t>
  </si>
  <si>
    <t>DIVISAO GAVETA GR 4/6 PTS ZEUS PLUS 449X362X12 MDP</t>
  </si>
  <si>
    <t>FRASSINO ID: (38686)</t>
  </si>
  <si>
    <t>AMENDOA CLEAN ID: (38680)</t>
  </si>
  <si>
    <t>BRANCO ID: (38682)</t>
  </si>
  <si>
    <t>PORTA GRANDE GR 4/6/8 PTS ZEUS/VIRGO/EASY SLIM 1877X290X15 MDP</t>
  </si>
  <si>
    <t>AMENDOA CLEAN ID: (31177)</t>
  </si>
  <si>
    <t>OFF WHITE ID: (31181)</t>
  </si>
  <si>
    <t>BRANCO ID: (31179)</t>
  </si>
  <si>
    <t>FRASSINO ID: (31183)</t>
  </si>
  <si>
    <t>PORTA PEQUENA GR 4/6 PTS ZEUS PLUS 1505X290X15 MDP</t>
  </si>
  <si>
    <t>FRASSINO ID: (38700)</t>
  </si>
  <si>
    <t>BRANCO ID: (38696)</t>
  </si>
  <si>
    <t>OFF WHITE ID: (38698)</t>
  </si>
  <si>
    <t>AMENDOA CLEAN ID: (38694)</t>
  </si>
  <si>
    <t>MOLDURA GR  6 PTS ZEUS/EASY 1770X80X15 MDP</t>
  </si>
  <si>
    <t>BRANCO ID: (43087)</t>
  </si>
  <si>
    <t>FRASSINO ID: (85405)</t>
  </si>
  <si>
    <t>AMENDOA CLEAN ID: (43085)</t>
  </si>
  <si>
    <t>FRENTE GAVETA GR 4/6 PTS ZEUS PLUS 582X160X15 MDP</t>
  </si>
  <si>
    <t>BRANCO ID: (42284)</t>
  </si>
  <si>
    <t>OFF WHITE ID: (42286)</t>
  </si>
  <si>
    <t>AMENDOA CLEAN ID: (42282)</t>
  </si>
  <si>
    <t>FRASSINO ID: (42288)</t>
  </si>
  <si>
    <t>VISTA GAVETA GR 4/6 PTS ZEUS PLUS 575X60X12 MDP</t>
  </si>
  <si>
    <t>BRANCO ID: (43878)</t>
  </si>
  <si>
    <t>FRASSINO ID: (43882)</t>
  </si>
  <si>
    <t>AMENDOA CLEAN ID: (43876)</t>
  </si>
  <si>
    <t>TRASEIRO GAVETA GR 4/6 PTS ZEUS PLUS 526X80X12 MDP</t>
  </si>
  <si>
    <t>BRANCO ID: (42300)</t>
  </si>
  <si>
    <t>AMENDOA CLEAN ID: (42298)</t>
  </si>
  <si>
    <t>TAMPO CENTRAL  GR  6 PTS ZEUS 1749X450X12 MDP</t>
  </si>
  <si>
    <t>AMENDOA CLEAN ID: (41246)</t>
  </si>
  <si>
    <t>BRANCO ID: (41248)</t>
  </si>
  <si>
    <t>TAMPO INFERIOR GR 6 PTS ZEUS 1749X450X12 MDP</t>
  </si>
  <si>
    <t>BRANCO ID: (43773)</t>
  </si>
  <si>
    <t>AMENDOA CLEAN ID: (43771)</t>
  </si>
  <si>
    <t>BATENTE FRONTAL C/MARCACAO  GR  6 PTS ZEUS 1137X80X12 MDP</t>
  </si>
  <si>
    <t>AMENDOA CLEAN ID: (37906)</t>
  </si>
  <si>
    <t>BATENTE TRASEIRO  GR  6 PTS ZEUS/VIRGO/BARDO 1137X80X12 MDP</t>
  </si>
  <si>
    <t>AMENDOA CLEAN ID: (41256)</t>
  </si>
  <si>
    <t>BRANCO ID: (41258)</t>
  </si>
  <si>
    <t>FRASSINO ID: (85391)</t>
  </si>
  <si>
    <t>LATERAL GAVETA DIREITA GR JA/ZE/ANN/BAR/SAI/EA/AND SO 350X120X12 MDP</t>
  </si>
  <si>
    <t>FRASSINO ID: (31136)</t>
  </si>
  <si>
    <t>AMENDOA CLEAN ID: (31130)</t>
  </si>
  <si>
    <t>BRANCO ID: (31132)</t>
  </si>
  <si>
    <t>LATERAL GAVETA ESQUERDA GR JA/ZE/ANN/BAR/SAI/EA/AND 350X120X12 MDP</t>
  </si>
  <si>
    <t>BRANCO ID: (31142)</t>
  </si>
  <si>
    <t>AMENDOA CLEAN ID: (31140)</t>
  </si>
  <si>
    <t>RODAPE FRONTAL  GR  6 PTS ZEUS 1749X90X12 MDP</t>
  </si>
  <si>
    <t>FRASSINO ID: (85410)</t>
  </si>
  <si>
    <t>AMENDOA CLEAN ID: (43781)</t>
  </si>
  <si>
    <t>BRANCO ID: (43783)</t>
  </si>
  <si>
    <t>PINAZIO GR ZEUS/JAZZ/CEL/BAR/EASY/AN SOFT 424X90X12 MDP</t>
  </si>
  <si>
    <t>ID: ()</t>
  </si>
  <si>
    <t>TAMPO SUPERIOR GR 6 PTS ZEUS 1749X450X12 MDP</t>
  </si>
  <si>
    <t>FRASSINO ID: (85413)</t>
  </si>
  <si>
    <t>BRANCO ID: (42202)</t>
  </si>
  <si>
    <t>LATERAL DIREITA GR 4/6 PTS ZEUS PLUS 2050X450X12 MDP</t>
  </si>
  <si>
    <t>AMENDOA CLEAN ID: (43063)</t>
  </si>
  <si>
    <t>BRANCO ID: (43065)</t>
  </si>
  <si>
    <t>FRASSINO ID: (43069)</t>
  </si>
  <si>
    <t>LATERAL ESQUERDA GR 4/6 PTS ZEUS PLUS 2050X450X12 MDP</t>
  </si>
  <si>
    <t>BRANCO ID: (43795)</t>
  </si>
  <si>
    <t>FRASSINO ID: (43799)</t>
  </si>
  <si>
    <t>AMENDOA CLEAN ID: (43793)</t>
  </si>
  <si>
    <t>DIVISAO GR 6 PTS ZEUS 1137X449X12 MDP</t>
  </si>
  <si>
    <t>AMENDOA CLEAN ID: (41287)</t>
  </si>
  <si>
    <t>BRANCO ID: (41289)</t>
  </si>
  <si>
    <t>FUNDO GR 4/6/8 PTS ZEUS/VIRGO/EASY/ANDARA SOFT 575X450X4 HDF</t>
  </si>
  <si>
    <t>FRASSINO ID: (31119)</t>
  </si>
  <si>
    <t>AMENDOA CLEAN ID: (31113)</t>
  </si>
  <si>
    <t>FUNDO GAVETA GR 4/6 PTS ZEUS PLUS 538X357X2,7 HDF</t>
  </si>
  <si>
    <t>AMENDOA CLEAN ID: (42214)</t>
  </si>
  <si>
    <t>FRASSINO ID: (42220)</t>
  </si>
  <si>
    <t>BRANCO ID: (42216)</t>
  </si>
  <si>
    <t>COSTAS MALEIRO GR 6 PTS ZEUS 2023 1765X365X2,7 HDF</t>
  </si>
  <si>
    <t>BRANCO ID: (38672)</t>
  </si>
  <si>
    <t>FRASSINO ID: (38674)</t>
  </si>
  <si>
    <t>AMENDOA CLEAN ID: (38670)</t>
  </si>
  <si>
    <t>COSTAS GR  3/4/6 PTS ZEUS/VIRGO 1530X588X2,7 HDF</t>
  </si>
  <si>
    <t>AMENDOA CLEAN ID: (41307)</t>
  </si>
  <si>
    <t>FRASSINO ID: (41311)</t>
  </si>
  <si>
    <t>BRANCO ID: (41309)</t>
  </si>
  <si>
    <t>DIVISAO MALEIRO GR 4/6 PTS F/T ZEUS/FRON LAN/ZEI/BAR 350X80X12 MDP</t>
  </si>
  <si>
    <t>AMENDOA CLEAN ID: (42224)</t>
  </si>
  <si>
    <t>FRASSINO ID: (42230)</t>
  </si>
  <si>
    <t>KIT FERRAGEM GR 6PTS ZEUS 2021</t>
  </si>
  <si>
    <t>AMENDOA CLEAN ID: (43848)</t>
  </si>
  <si>
    <t>AMENDOA CLEAN ID: (16634)</t>
  </si>
  <si>
    <t>BRANCO ID: (16635)</t>
  </si>
  <si>
    <t>FRASSINO ID: (16636)</t>
  </si>
  <si>
    <t>BRANCO ID: (15498)</t>
  </si>
  <si>
    <t>FRASSINO/OFF WHITE ID: (15500)</t>
  </si>
  <si>
    <t>AMENDOA CLEAN ID: (15496)</t>
  </si>
  <si>
    <t>AMENDOA CLEAN/OFF WH ID: (15497)</t>
  </si>
  <si>
    <t>FRASSINO ID: (15499)</t>
  </si>
  <si>
    <t>TAMPO MESA CAB 3 GAV MAGGIORE/MAIA 500X375X15 MDF</t>
  </si>
  <si>
    <t>BRANCO ID: (51192)</t>
  </si>
  <si>
    <t>FRASSINO ID: (51191)</t>
  </si>
  <si>
    <t>AMENDOA CLEAN ID: (51193)</t>
  </si>
  <si>
    <t>AMENDOA CLEAN ID: (15503)</t>
  </si>
  <si>
    <t>TRAVESSA APOIO MESA 1,80 ATHENAS BR 1719X80X15 MDF</t>
  </si>
  <si>
    <t>TRAVESSA MENOR LATERAL MESA 1,80 ATHENAS BR 820X100X18 MDF</t>
  </si>
  <si>
    <t>AMENDOA CLEAN ID: (42317)</t>
  </si>
  <si>
    <t>LATERAL ESQUERDA MESA CAB 3 GAV MAGGIORE 560X312X15 MDP</t>
  </si>
  <si>
    <t>AMENDOA CLEAN ID: (51156)</t>
  </si>
  <si>
    <t>FRASSINO ID: (51158)</t>
  </si>
  <si>
    <t>LATERAL DIREITA MESA CAB 3 GAV MAGGIORE/MAIA 560X312X15 MDP</t>
  </si>
  <si>
    <t>BRANCO ID: (51187)</t>
  </si>
  <si>
    <t>FRASSINO ID: (51185)</t>
  </si>
  <si>
    <t>AMENDOA CLEAN ID: (51186)</t>
  </si>
  <si>
    <t>FRENTE GAVETA MESA CAB 3 GAV MAGGIORE/MAIA 354X170X15 MDP</t>
  </si>
  <si>
    <t>AMENDOA CLEAN ID: (51146)</t>
  </si>
  <si>
    <t>FRASSINO ID: (51145)</t>
  </si>
  <si>
    <t>OFF WHITE ID: (51148)</t>
  </si>
  <si>
    <t>BRANCO ID: (51147)</t>
  </si>
  <si>
    <t>PE MAIOR MESA 2,00/1,80/1,20/0,80 ATHENAS BR 757X100X18 MDF</t>
  </si>
  <si>
    <t>AMENDOA CLEAN ID: (43897)</t>
  </si>
  <si>
    <t>BRANCO ID: (43895)</t>
  </si>
  <si>
    <t>PE MENOR MESA 2,00/1,80/1,20/0,80 ATHENAS 755X80X18 MDF</t>
  </si>
  <si>
    <t>AMENDOA CLEAN ID: (41349)</t>
  </si>
  <si>
    <t>BRANCO ID: (41347)</t>
  </si>
  <si>
    <t>LATERAL GAVETA DIREITA MESA CAB 3 GAV MAGGIORE/MAIA 300X120X15 MDP</t>
  </si>
  <si>
    <t>AMENDOA CLEAN ID: (51150)</t>
  </si>
  <si>
    <t>BRANCO ID: (51151)</t>
  </si>
  <si>
    <t>LATERAL GAVETA ESQUERDA MESA CAB 3 GAV MAGGIORE/MAIA 300X120X15 MDP</t>
  </si>
  <si>
    <t>BRANCO ID: (51161)</t>
  </si>
  <si>
    <t>AMENDOA CLEAN ID: (51160)</t>
  </si>
  <si>
    <t>TAMPO MESA 1,80 ATHENAS 1800X900X25 MDP</t>
  </si>
  <si>
    <t>BRANCO ID: (43863)</t>
  </si>
  <si>
    <t>PE TRAS DIR MESA CAB 3 GAV MAGGIORE/MAIA 650X65X25 MDF</t>
  </si>
  <si>
    <t>AMENDOA CLEAN ID: (51153)</t>
  </si>
  <si>
    <t>BRANCO ID: (51154)</t>
  </si>
  <si>
    <t>FRASSINO ID: (51155)</t>
  </si>
  <si>
    <t>BRANCO ID: (12654)</t>
  </si>
  <si>
    <t>AMENDOA CLEAN ID: (12658)</t>
  </si>
  <si>
    <t>AMENDOA CLEAN/OFF WH ID: (12424)</t>
  </si>
  <si>
    <t>BRANCO ID: (12418)</t>
  </si>
  <si>
    <t>AMENDOA CLEAN ID: (12426)</t>
  </si>
  <si>
    <t>KIT FERRAGEM GR 4PTS ZEUS 2021</t>
  </si>
  <si>
    <t>AMENDOA CLEAN ID: (41270)</t>
  </si>
  <si>
    <t>AMENDOA CLEAN ID: (15487)</t>
  </si>
  <si>
    <t>FRASSINO ID: (15490)</t>
  </si>
  <si>
    <t>BRANCO ID: (15488)</t>
  </si>
  <si>
    <t>TRAVESSA TRAS MESA CAB 3 GAV MAGGIORE/MAIA 360X60X25 MDF</t>
  </si>
  <si>
    <t>TRASEIRO GAVETA MESA CAB 3 GAV MAGGIORE/MAIA 305X100X15 MDP</t>
  </si>
  <si>
    <t>BRANCO ID: (51196)</t>
  </si>
  <si>
    <t>RODAPE FRONTAL  GR  4 PTS ZEUS 1162X90X12 MDP</t>
  </si>
  <si>
    <t>AMENDOA CLEAN ID: (37959)</t>
  </si>
  <si>
    <t>BRANCO ID: (37955)</t>
  </si>
  <si>
    <t>FRASSINO ID: (37957)</t>
  </si>
  <si>
    <t>DIVISAO GR 4 PTS ZEUS 1137X449X12 MDP</t>
  </si>
  <si>
    <t>AMENDOA CLEAN ID: (43906)</t>
  </si>
  <si>
    <t>BRANCO ID: (43902)</t>
  </si>
  <si>
    <t>FRASSINO ID: (43904)</t>
  </si>
  <si>
    <t>MOLDURA GR  4 PTS ZEUS 1185X80X15 MDP</t>
  </si>
  <si>
    <t>BRANCO ID: (43104)</t>
  </si>
  <si>
    <t>AMENDOA CLEAN ID: (43108)</t>
  </si>
  <si>
    <t>TAMPO SUPERIOR GR 4 PTS ZEUS 1162X450X12 MDP</t>
  </si>
  <si>
    <t>BRANCO ID: (43914)</t>
  </si>
  <si>
    <t>FRASSINO ID: (43916)</t>
  </si>
  <si>
    <t>AMENDOA CLEAN ID: (43918)</t>
  </si>
  <si>
    <t>TAMPO INFERIOR GR 4 PTS ZEUS 1162X450X12 MDP</t>
  </si>
  <si>
    <t>BRANCO ID: (41354)</t>
  </si>
  <si>
    <t>FRASSINO ID: (41356)</t>
  </si>
  <si>
    <t>PE FRONT DIR MESA CAB 3 GAV MAGGIORE/MAIA 650X65X25 MDF</t>
  </si>
  <si>
    <t>FRASSINO ID: (51142)</t>
  </si>
  <si>
    <t>AMENDOA CLEAN ID: (51143)</t>
  </si>
  <si>
    <t>BRANCO ID: (51144)</t>
  </si>
  <si>
    <t>TAMPO CENTRAL  GR  4 PTS ZEUS 1162X450X12 MDP</t>
  </si>
  <si>
    <t>AMENDOA CLEAN ID: (39512)</t>
  </si>
  <si>
    <t>FRASSINO ID: (39510)</t>
  </si>
  <si>
    <t>TRAVESSA FRONT MESA CAB 3 GAV MAGGIORE/MAIA 360X60X25 MDF</t>
  </si>
  <si>
    <t>FRASSINO ID: (51174)</t>
  </si>
  <si>
    <t>BRANCO ID: (51176)</t>
  </si>
  <si>
    <t>AMENDOA CLEAN ID: (51175)</t>
  </si>
  <si>
    <t>PE FRONT ESQ MESA CAB 3 GAV MAGGIORE/MAIA 650X65X25 MDF</t>
  </si>
  <si>
    <t>FRASSINO ID: (51198)</t>
  </si>
  <si>
    <t>AMENDOA CLEAN ID: (51199)</t>
  </si>
  <si>
    <t>BRANCO ID: (51200)</t>
  </si>
  <si>
    <t>PE TRAS ESQ MESA CAB 3 GAV MAGGIORE/MAIA 650X65X25 MDF</t>
  </si>
  <si>
    <t>AMENDOA CLEAN ID: (51203)</t>
  </si>
  <si>
    <t>BRANCO ID: (51204)</t>
  </si>
  <si>
    <t>FRASSINO ID: (51202)</t>
  </si>
  <si>
    <t>BRANCO ID: (12968)</t>
  </si>
  <si>
    <t>AMENDOA CLEAN ID: (12865)</t>
  </si>
  <si>
    <t>AMENDOA CLEAN ID: (12720)</t>
  </si>
  <si>
    <t>BRANCO ID: (12724)</t>
  </si>
  <si>
    <t>AMENDOA CLEAN ID: (12871)</t>
  </si>
  <si>
    <t>BRANCO/AMENDOA CLEAN ID: (12908)</t>
  </si>
  <si>
    <t>AMENDOA CLEAN/OFF WH ID: (12940)</t>
  </si>
  <si>
    <t>BRANCO ID: (12970)</t>
  </si>
  <si>
    <t>DISTANCIADOR TRAS MESA CAB 3 GAV MAGGIORE/MAIA 525X25X25 MDF</t>
  </si>
  <si>
    <t>AMENDOA CLEAN ID: (12834)</t>
  </si>
  <si>
    <t>BRANCO ID: (12836)</t>
  </si>
  <si>
    <t>AMENDOA CLEAN ID: (13945)</t>
  </si>
  <si>
    <t>AMENDOA CLEAN ID: (13957)</t>
  </si>
  <si>
    <t>BRANCO ID: (13959)</t>
  </si>
  <si>
    <t>AMENDOA CLEAN ID: (13138)</t>
  </si>
  <si>
    <t>OFF WHITE ID: (13150)</t>
  </si>
  <si>
    <t>BRANCO ID: (13140)</t>
  </si>
  <si>
    <t>FRASSINO ID: (12378)</t>
  </si>
  <si>
    <t>AMENDOA CLEAN ID: (12376)</t>
  </si>
  <si>
    <t>AMENDOA CLEAN ID: (13402)</t>
  </si>
  <si>
    <t>AMENDOA CLEAN ID: (13733)</t>
  </si>
  <si>
    <t>FRASSINO ID: (13735)</t>
  </si>
  <si>
    <t>IMBUIA CLEAN ID: (13737)</t>
  </si>
  <si>
    <t>COSTAS MESA CAB  3 GAV MAGGIORE/MAIA 400X280X2,7 HDF</t>
  </si>
  <si>
    <t>AMENDOA CLEAN ID: (12846)</t>
  </si>
  <si>
    <t>OFF WHITE ID: (12848)</t>
  </si>
  <si>
    <t>COSTAS MALEIRO GR 4 PTS ZEUS 2023 1180X365X2,7 HDF</t>
  </si>
  <si>
    <t>BRANCO ID: (39469)</t>
  </si>
  <si>
    <t>FRASSINO ID: (39471)</t>
  </si>
  <si>
    <t>AMENDOA CLEAN ID: (39473)</t>
  </si>
  <si>
    <t>FUNDO GAVETA MESA CAB 3 GAV MAGGIORE/MAIA 318X307X2,7 HDF</t>
  </si>
  <si>
    <t>BRANCO ID: (51190)</t>
  </si>
  <si>
    <t>AMENDOA CLEAN ID: (51189)</t>
  </si>
  <si>
    <t>FRASSINO ID: (16129)</t>
  </si>
  <si>
    <t>AMENDOA CLEAN ID: (16128)</t>
  </si>
  <si>
    <t>BRANCO ID: (16426)</t>
  </si>
  <si>
    <t>AMENDOA CLEAN ID: (16424)</t>
  </si>
  <si>
    <t>FRASSINO ID: (16428)</t>
  </si>
  <si>
    <t>FRASSINO/OFF WHITE ID: (16164)</t>
  </si>
  <si>
    <t>BRANCO ID: (16163)</t>
  </si>
  <si>
    <t>AMENDOA CLEAN/OFF WH ID: (16161)</t>
  </si>
  <si>
    <t>AMENDOA CLEAN ID: (15691)</t>
  </si>
  <si>
    <t>BRANCO ID: (15693)</t>
  </si>
  <si>
    <t>FRASSINO ID: (15695)</t>
  </si>
  <si>
    <t>LINHO MOSAICO ID: (55267)</t>
  </si>
  <si>
    <t>VELUDO LISO CAPUCCINO ID: (16143)</t>
  </si>
  <si>
    <t>SUEDE ANIMALE BEGE ID: (16142)</t>
  </si>
  <si>
    <t>LINHO RINZAI BEGE ID: (16140)</t>
  </si>
  <si>
    <t>VELUDO NATURALE CREME ID: (16145)</t>
  </si>
  <si>
    <t>BOUCLE BEGE ID: (16135)</t>
  </si>
  <si>
    <t>COURO MORANO AVELA ID: (55179)</t>
  </si>
  <si>
    <t>VELUDO LISO MARROM ID: (16144)</t>
  </si>
  <si>
    <t>BRANCO ID: (12384)</t>
  </si>
  <si>
    <t>FRASSINO ID: (12386)</t>
  </si>
  <si>
    <t>AMENDOA CLEAN ID: (12382)</t>
  </si>
  <si>
    <t>AMENDOA CLEAN ID: (12570)</t>
  </si>
  <si>
    <t>BRANCO ID: (12572)</t>
  </si>
  <si>
    <t>FRASSINO ID: (12574)</t>
  </si>
  <si>
    <t>AMENDOA CLEAN ID: (12946)</t>
  </si>
  <si>
    <t>FRASSINO ID: (12950)</t>
  </si>
  <si>
    <t>BRANCO ID: (12948)</t>
  </si>
  <si>
    <t>AMENDOA CLEAN ID: (13599)</t>
  </si>
  <si>
    <t>FRASSINO ID: (13603)</t>
  </si>
  <si>
    <t>BRANCO ID: (13601)</t>
  </si>
  <si>
    <t>OFF WHITE ID: (13747)</t>
  </si>
  <si>
    <t>AMENDOA CLEAN ID: (13739)</t>
  </si>
  <si>
    <t>FRASSINO ID: (13743)</t>
  </si>
  <si>
    <t>BRANCO ID: (13741)</t>
  </si>
  <si>
    <t>BRANCO ID: (13810)</t>
  </si>
  <si>
    <t>AMENDOA CLEAN ID: (13808)</t>
  </si>
  <si>
    <t>FRASSINO ID: (13806)</t>
  </si>
  <si>
    <t>BRANCO ID: (13154)</t>
  </si>
  <si>
    <t>FRASSINO ID: (13156)</t>
  </si>
  <si>
    <t>AMENDOA CLEAN ID: (13152)</t>
  </si>
  <si>
    <t>FRASSINO ID: (16655)</t>
  </si>
  <si>
    <t>BRANCO ID: (16653)</t>
  </si>
  <si>
    <t>AMENDOA CLEAN ID: (16652)</t>
  </si>
  <si>
    <t>TRAVESSA FRONT/TRAS MONT CADEIRA APOGEU/CAM/LAINI/RAYLA 325X70X18 MDF</t>
  </si>
  <si>
    <t>AMENDOA CLEAN ID: (13657)</t>
  </si>
  <si>
    <t>AMENDOA CLEAN ID: (12340)</t>
  </si>
  <si>
    <t>BRANCO ID: (12342)</t>
  </si>
  <si>
    <t>AMENDOA CLEAN ID: (13884)</t>
  </si>
  <si>
    <t>OFF WHITE ID: (13886)</t>
  </si>
  <si>
    <t>BRANCO ID: (13888)</t>
  </si>
  <si>
    <t>FRASSINO ID: (12520)</t>
  </si>
  <si>
    <t>AMENDOA CLEAN ID: (12516)</t>
  </si>
  <si>
    <t>FRASSINO ID: (15525)</t>
  </si>
  <si>
    <t>PE FRONTAL CADEIRA APOGEU/VEN/EXCL/ROC/LAIN/AST2.3/RAY 450X50X25 MDF</t>
  </si>
  <si>
    <t>AMENDOA CLEAN ID: (40416)</t>
  </si>
  <si>
    <t>FRASSINO ID: (40417)</t>
  </si>
  <si>
    <t>AMENDOA CLEAN ID: (15699)</t>
  </si>
  <si>
    <t>BRANCO ID: (52050)</t>
  </si>
  <si>
    <t>FRASSINO ID: (15700)</t>
  </si>
  <si>
    <t>AMENDOA CLEAN ID: (12306)</t>
  </si>
  <si>
    <t>FRASSINO ID: (12310)</t>
  </si>
  <si>
    <t>FRASSINO ID: (12318)</t>
  </si>
  <si>
    <t>AMENDOA CLEAN ID: (12314)</t>
  </si>
  <si>
    <t>AMENDOA CLEAN ID: (12522)</t>
  </si>
  <si>
    <t>FRASSINO ID: (12526)</t>
  </si>
  <si>
    <t>PINAZIO SUPERIOR ENC CADEIRA  APOGEU/CAM/LOT/RAYLA 390X25X25 MDF</t>
  </si>
  <si>
    <t>FRASSINO ID: (41328)</t>
  </si>
  <si>
    <t>AMENDOA CLEAN ID: (41327)</t>
  </si>
  <si>
    <t>AMENDOA CLEAN/OFF WH ID: (13072)</t>
  </si>
  <si>
    <t>FRASSINO/OFF WHITE ID: (13076)</t>
  </si>
  <si>
    <t>PE TRASEIRO CADEIRA APOGEU/VEN/EXC/LAII/AST 2.3/RAYLA 465X50X25 MDF</t>
  </si>
  <si>
    <t>FRASSINO ID: (43080)</t>
  </si>
  <si>
    <t>AMENDOA CLEAN ID: (43079)</t>
  </si>
  <si>
    <t>AMENDOA CLEAN ID: (13517)</t>
  </si>
  <si>
    <t>BRANCO ID: (13519)</t>
  </si>
  <si>
    <t>BRANCO ID: (13527)</t>
  </si>
  <si>
    <t>AMENDOA CLEAN ID: (13525)</t>
  </si>
  <si>
    <t>BRANCO ID: (12324)</t>
  </si>
  <si>
    <t>AMENDOA CLEAN ID: (12322)</t>
  </si>
  <si>
    <t>AMENDOA CL/OFF WHI/A ID: (12744)</t>
  </si>
  <si>
    <t>BRANCO ID: (12746)</t>
  </si>
  <si>
    <t>PE QUADRADO 70X70X70 BRANCO</t>
  </si>
  <si>
    <t>ITEM COMPRADO</t>
  </si>
  <si>
    <t>AMENDOA CLEAN ID: (13080)</t>
  </si>
  <si>
    <t>AMENDOA CLEAN ID: (13272)</t>
  </si>
  <si>
    <t>TRAVESSA LATERAL C/CHANFRO CADEIRA APOGEU 2.3/RAYLA/LAINI 325X70X18 MD</t>
  </si>
  <si>
    <t>BRANCO ID: (16432)</t>
  </si>
  <si>
    <t>ASSENTO MONTADO ESTOFADO CADEIRA APOG/CAM/ATA/LOT/RAYLA 455X413X123</t>
  </si>
  <si>
    <t>COURO MORANO AVELA ID: (66520)</t>
  </si>
  <si>
    <t>VELUDO LISO CAPUCCINO ID: (42252)</t>
  </si>
  <si>
    <t>BOUCLE MARROM ID: (66610)</t>
  </si>
  <si>
    <t>VELUDO NATURALE CREME ID: (42254)</t>
  </si>
  <si>
    <t>SUEDE ANIMALE BEGE ID: (42251)</t>
  </si>
  <si>
    <t>CORINO CARAMELO ID: (42244)</t>
  </si>
  <si>
    <t>BOUCLE BEGE ID: (42245)</t>
  </si>
  <si>
    <t>LINHO MOSAICO ID: (66522)</t>
  </si>
  <si>
    <t>LINHO RINZAI BEGE ID: (42242)</t>
  </si>
  <si>
    <t>BRANCO ID: (13178)</t>
  </si>
  <si>
    <t>BRANCO ID: (13194)</t>
  </si>
  <si>
    <t>BRANCO ID: (13410)</t>
  </si>
  <si>
    <t>BRANCO ID: (13759)</t>
  </si>
  <si>
    <t>BRANCO ID: (12964)</t>
  </si>
  <si>
    <t>BRANCO ID: (12396)</t>
  </si>
  <si>
    <t>BRANCO ID: (12364)</t>
  </si>
  <si>
    <t>AMENDOA CLEAN ID: (12362)</t>
  </si>
  <si>
    <t>AMENDOA CLEAN ID: (12544)</t>
  </si>
  <si>
    <t>BRANCO ID: (12546)</t>
  </si>
  <si>
    <t>AMENDOA CLEAN ID: (13092)</t>
  </si>
  <si>
    <t>BRANCO ID: (13094)</t>
  </si>
  <si>
    <t>BRANCO ID: (13902)</t>
  </si>
  <si>
    <t>AMENDOA CLEAN/OFF WH ID: (13900)</t>
  </si>
  <si>
    <t>AMENDOA CLEAN ID: (16049)</t>
  </si>
  <si>
    <t>KIT FERRAGEM MESA 1,20 ATHENAS BR</t>
  </si>
  <si>
    <t>AMENDOA CLEAN ID: (43827)</t>
  </si>
  <si>
    <t>LATERAL DIREITA COMODA LOOP 825X480X15 MDF</t>
  </si>
  <si>
    <t>FRASSINO ID: (35150)</t>
  </si>
  <si>
    <t>AMENDOA CLEAN ID: (35149)</t>
  </si>
  <si>
    <t>TRAVESSA MENOR LATERAL MESA 1,20/0,80 ATHENAS BR 720X100X18 MDF</t>
  </si>
  <si>
    <t>BRANCO ID: (88347)</t>
  </si>
  <si>
    <t>AMENDOA CLEAN ID: (41281)</t>
  </si>
  <si>
    <t>TRAVESSA MAIOR MESA 1,20 ATHENAS BR 1155X100X18 MDF</t>
  </si>
  <si>
    <t>AMENDOA CLEAN ID: (43834)</t>
  </si>
  <si>
    <t>LATERAL ESQUERDA COMODA LOOP 825X480X15 MDF</t>
  </si>
  <si>
    <t>AMENDOA CLEAN ID: (34899)</t>
  </si>
  <si>
    <t>FRASSINO ID: (34901)</t>
  </si>
  <si>
    <t>TAMPO MESA 1,20 ATHENAS BR 1200X800X25 MDP</t>
  </si>
  <si>
    <t>AMENDOA CLEAN ID: (40386)</t>
  </si>
  <si>
    <t>TAMPO INFERIOR COMODA LOOP 1400X480X15 MDF</t>
  </si>
  <si>
    <t>AMENDOA CLEAN ID: (34903)</t>
  </si>
  <si>
    <t>BRANCO ID: (36935)</t>
  </si>
  <si>
    <t>FRASSINO ID: (34904)</t>
  </si>
  <si>
    <t>TAMPO SUPERIOR COMODA LOOP 1400X480X15 MDF</t>
  </si>
  <si>
    <t>BRANCO ID: (36997)</t>
  </si>
  <si>
    <t>AMENDOA CLEAN ID: (35398)</t>
  </si>
  <si>
    <t>FRASSINO ID: (35399)</t>
  </si>
  <si>
    <t>AMENDOA CLEAN ID: (12236)</t>
  </si>
  <si>
    <t>BRANCO ID: (12238)</t>
  </si>
  <si>
    <t>BRANCO ID: (12674)</t>
  </si>
  <si>
    <t>AMENDOA CLEAN ID: (12672)</t>
  </si>
  <si>
    <t>OFF WHITE ID: (13128)</t>
  </si>
  <si>
    <t>BRANCO ID: (13158)</t>
  </si>
  <si>
    <t>AMENDOA CLEAN ID: (13098)</t>
  </si>
  <si>
    <t>ENCOSTO MONTADO ESTOFADO CADEIRA APOGEU 580X425X110</t>
  </si>
  <si>
    <t>SUEDE ANIMALE BEGE ID: (40400)</t>
  </si>
  <si>
    <t>COURO MORANO AVELA ID: (66539)</t>
  </si>
  <si>
    <t>BOUCLE BEGE ID: (40393)</t>
  </si>
  <si>
    <t>VELUDO NATURALE CREME ID: (40403)</t>
  </si>
  <si>
    <t>LINHO MOSAICO ID: (66541)</t>
  </si>
  <si>
    <t>BOUCLE MARROM ID: (86748)</t>
  </si>
  <si>
    <t>VELUDO LISO CAPUCCINO ID: (40401)</t>
  </si>
  <si>
    <t>CORINO CARAMELO ID: (40392)</t>
  </si>
  <si>
    <t>LINHO RINZAI BEGE ID: (40391)</t>
  </si>
  <si>
    <t>KIT FERRAGEM GR 6PTS ALONZO 2021</t>
  </si>
  <si>
    <t>BRANCO ID: (40410)</t>
  </si>
  <si>
    <t>AMENDOA CLEAN ID: (40408)</t>
  </si>
  <si>
    <t>RODAPE FRONTAL  GR  6 PTS ALONZO 2017 NEW 2275X70X15 MDF</t>
  </si>
  <si>
    <t>AMENDOA CLEAN ID: (39486)</t>
  </si>
  <si>
    <t>BRANCO ID: (39488)</t>
  </si>
  <si>
    <t>RODAPE TRASEIRO GR 6 PTS ALONZO NEW 2017/LIKE 2275X70X15 MDF</t>
  </si>
  <si>
    <t>PINAZIO GR 4/6 PTS ALONZO/LISSA/LIKE 418X70X15 MDF</t>
  </si>
  <si>
    <t>DISTANCIADOR TRAS GR ALONZO/LISSA/LIKE 380X25X25 MDF</t>
  </si>
  <si>
    <t>MOLDURA SUPERIOR GR 6 PTS ALONZO 2300X45X15 MDF</t>
  </si>
  <si>
    <t>FRASSINO ID: (43813)</t>
  </si>
  <si>
    <t>AMENDOA CLEAN ID: (43809)</t>
  </si>
  <si>
    <t>BRANCO ID: (43811)</t>
  </si>
  <si>
    <t>DISTANCIADOR FRONT GR ALONZO/LISSA/LIKE 380X25X25 MDF</t>
  </si>
  <si>
    <t>BRANCO ID: (40436)</t>
  </si>
  <si>
    <t>AMENDOA CLEAN ID: (40434)</t>
  </si>
  <si>
    <t>MOLDURA TRASEIRA  GR  6 PTS ALONZO/LIKE 2275X70X15 MDF</t>
  </si>
  <si>
    <t>BRANCO ID: (43868)</t>
  </si>
  <si>
    <t>FRASSINO ID: (43870)</t>
  </si>
  <si>
    <t>PE QUADRADO 70X70X70 AMENDOA</t>
  </si>
  <si>
    <t>PE RACK 40X18 MM MARROM</t>
  </si>
  <si>
    <t>PE CONICO MADEIRA CAB.LIKE 145X40 AMENDOA</t>
  </si>
  <si>
    <t>AMENDOA CLEAN ID: (13848)</t>
  </si>
  <si>
    <t>BRANCO ID: (13850)</t>
  </si>
  <si>
    <t>AMENDOA CLEAN ID: (13292)</t>
  </si>
  <si>
    <t>BRANCO ID: (13294)</t>
  </si>
  <si>
    <t>AMENDOA CLEAN/OFF WH ID: (12530)</t>
  </si>
  <si>
    <t>BRANCO ID: (14035)</t>
  </si>
  <si>
    <t>BRANCO ID: (13647)</t>
  </si>
  <si>
    <t>AMENDOA CLEAN/OFF WH ID: (13645)</t>
  </si>
  <si>
    <t>PE CONICO MADEIRA CAB.LIKE 145X40 FRASSINO</t>
  </si>
  <si>
    <t>AMENDOA CLEAN ID: (13651)</t>
  </si>
  <si>
    <t>BRANCO ID: (13653)</t>
  </si>
  <si>
    <t>BRANCO ID: (12816)</t>
  </si>
  <si>
    <t>AMENDOA CLEAN ID: (12814)</t>
  </si>
  <si>
    <t>BRANCO ID: (12824)</t>
  </si>
  <si>
    <t>AMENDOA CLEAN/OFF WH ID: (12820)</t>
  </si>
  <si>
    <t>AMENDOA CLEAN ID: (12822)</t>
  </si>
  <si>
    <t>FRASSINO ID: (13088)</t>
  </si>
  <si>
    <t>AMENDOA CLEAN ID: (13084)</t>
  </si>
  <si>
    <t>FRASSINO/OFF WHITE ID: (13537)</t>
  </si>
  <si>
    <t>AMENDOA CLEAN/OFF WH ID: (13533)</t>
  </si>
  <si>
    <t>SACOS P/ FERRAGENS 15X25X0,04</t>
  </si>
  <si>
    <t>FRASSINO ID: (12566)</t>
  </si>
  <si>
    <t>AMENDOA CLEAN ID: (12564)</t>
  </si>
  <si>
    <t>AMENDOA CLEAN ID: (13607)</t>
  </si>
  <si>
    <t>OFF WHITE ID: (13613)</t>
  </si>
  <si>
    <t>AMENDOA CLEAN/BRANCO#KOR.BRANCO S/LE ID: (15977)</t>
  </si>
  <si>
    <t>TRAVESSAO MULTILAMINADO 900 X  22 X  45 MM   SOLTEIRO</t>
  </si>
  <si>
    <t>PUXADOR KIT C/ 03 BRA-M-0192 (200X 15X 9MM) BRANCO</t>
  </si>
  <si>
    <t>GUIA BIBOX</t>
  </si>
  <si>
    <t>TRAVESSAO MULTILAMINADO 1396 X  22 X  45 MM  CASAL</t>
  </si>
  <si>
    <t>TUBO CABIDEIRO ALUM 64,0 ANNE/JAZ/SAION/ZION - RX 1515</t>
  </si>
  <si>
    <t>TUBO CABIDEIRO ALUM 73,8 GR ALONZO - RX 1515</t>
  </si>
  <si>
    <t>TUBO CABIDEIRO ALUM 77,0 GR TORONTO/ARIES RX 1515</t>
  </si>
  <si>
    <t>TUBO CABIDEIRO ALUM 85,0 TORONTO REALI UNIQUE IMP. RX 1515</t>
  </si>
  <si>
    <t>TUBO CABIDEIRO ALUM 85,5 GR SPAZIO RX 1515</t>
  </si>
  <si>
    <t>TUBO CABIDEIRO LEVE 56,5 GR 4-3 PTS ZEUS</t>
  </si>
  <si>
    <t>TUBO CABIDEIRO LEVE 57,6 GR 6 PTS ZEUS</t>
  </si>
  <si>
    <t>TUBO CABIDEIRO LEVE 80,0 GR CELEBRARE</t>
  </si>
  <si>
    <t>TUBO CABIDEIRO ALUM 46,2 GR REALI/IMPERATORI - RX 1515</t>
  </si>
  <si>
    <t>TUBO CABIDEIRO ALUM 87,0 BERTHA/NICE/ZINE/*LINE RX 1515</t>
  </si>
  <si>
    <t>TUBO CABIDEIRO ALUM 49,0 GR TORONTO PLUS RX 1515</t>
  </si>
  <si>
    <t>TUBO CABIDEIRO ALUM 40,8 LEVE</t>
  </si>
  <si>
    <t>TUBO CABIDEIRO PVC 565 MM CINZA</t>
  </si>
  <si>
    <t>BRANCO ID: (16313)</t>
  </si>
  <si>
    <t>TUBO CABIDEIRO ALUM 88,3 CONCEITO 01 RX 1515</t>
  </si>
  <si>
    <t>CORANO BEGE#FRASSINO ID: (16178)</t>
  </si>
  <si>
    <t>PUXADOR KIT C/03 BRA-M-1121(250X 18MM) FRASSINO</t>
  </si>
  <si>
    <t>PUXADOR KIT C/03-BRA- M-1121(250X 18MM) BRANCO</t>
  </si>
  <si>
    <t>PUXADOR KIT C/04-BRA-M-1121(1050X 18MM) AMENDOA</t>
  </si>
  <si>
    <t>PUXADOR KIT C/04-BRA-M-1121(1050X 18MM) BRANCO</t>
  </si>
  <si>
    <t>PUXADOR KIT C/04-BRA-M-1121(350X 18MM) AMENDOA</t>
  </si>
  <si>
    <t>PUXADOR KIT C/04-BRA-M-1121(350X 18MM) BRANCO</t>
  </si>
  <si>
    <t>PUXADOR KIT C/04- BRA-M-1121(350X 18MM) FRASSINO</t>
  </si>
  <si>
    <t>PUXADOR KIT C/05-BRA-M-1121(250X 18MM) AMENDOA</t>
  </si>
  <si>
    <t>BRANCO ID: (16486)</t>
  </si>
  <si>
    <t>FRASSINO ID: (16487)</t>
  </si>
  <si>
    <t>AMENDOA CLEAN ID: (16485)</t>
  </si>
  <si>
    <t>KIT DOBRADICA  C/ 18 DOBRADICA AL2 CURVA ALTA 9MM/CALCO CURVA 26MM</t>
  </si>
  <si>
    <t>FORMULARIO CONTINUO SIMPLES LARGURA 200CM</t>
  </si>
  <si>
    <t>FRASSINO ID: (16285)</t>
  </si>
  <si>
    <t>AMENDOA CLEAN ID: (16283)</t>
  </si>
  <si>
    <t>BRANCO ID: (16284)</t>
  </si>
  <si>
    <t>FRASSINO ID: (15967)</t>
  </si>
  <si>
    <t>BRANCO ID: (15966)</t>
  </si>
  <si>
    <t>AMENDOA CLEAN ID: (15965)</t>
  </si>
  <si>
    <t>AMENDOA CLEAN ID: (16417)</t>
  </si>
  <si>
    <t>BRANCO ID: (16418)</t>
  </si>
  <si>
    <t>FRASSINO ID: (16419)</t>
  </si>
  <si>
    <t>COLA SACHE 10GR</t>
  </si>
  <si>
    <t>COLA SACHE 3GR</t>
  </si>
  <si>
    <t>AMENDOA CLEAN/PRETO#KORINO PRETO#C/LED ID: (16493)</t>
  </si>
  <si>
    <t>FRASSINO/PRETO FOSCO#KORINO PRETO#C/LED ID: (16497)</t>
  </si>
  <si>
    <t>AMENDOA CLEAN#CORANO BEGE#C/LED ID: (49907)</t>
  </si>
  <si>
    <t>FRASSINO#CORANO BEGE#C/LED ID: (49908)</t>
  </si>
  <si>
    <t>AMENDOA CLEAN/PRETO#KORINO PRETO#S/LED ID: (15534)</t>
  </si>
  <si>
    <t>PERFIL PUXADOR DAKAR MV107 200MM ANOD FS RX1563</t>
  </si>
  <si>
    <t>FRASSINO ID: (15981)</t>
  </si>
  <si>
    <t>AMENDOA CLEAN ID: (15979)</t>
  </si>
  <si>
    <t>PERFIL PUXADOR 2135MM BRONZE GR TORONTO RX1034</t>
  </si>
  <si>
    <t>PERFIL PUXADOR 2247MM BRONZE GR SPAZIO RX1034</t>
  </si>
  <si>
    <t>PERFIL ENCAB 1930MM BRONZE GR APOENA NEW RX1120</t>
  </si>
  <si>
    <t>PERFIL ENCAB 2135MM BRONZE P2,5MM TORONTO RX1136</t>
  </si>
  <si>
    <t>PERFIL ENCAB 1970MM BRONZE GR SAION RX1557</t>
  </si>
  <si>
    <t>PERFIL PUXADOR 450MM BRONZE COM URBAN PVC</t>
  </si>
  <si>
    <t>TRILHO INF DUAS VIAS BRONZE 2605MM GR TORONTO RX500</t>
  </si>
  <si>
    <t>BRANCO ID: (15983)</t>
  </si>
  <si>
    <t>FRASSINO ID: (15984)</t>
  </si>
  <si>
    <t>AMENDOA CLEAN ID: (15982)</t>
  </si>
  <si>
    <t>TRILHO INF DUAS VIAS BRONZE 2624MM GR SPAZIO RX1056/RX500</t>
  </si>
  <si>
    <t>TRILHO SUP DUAS VIAS BRONZE 2624MM SPAZIO RX1021</t>
  </si>
  <si>
    <t>AMENDOA CLEAN ID: (23988)</t>
  </si>
  <si>
    <t>FRASSINO ID: (23982)</t>
  </si>
  <si>
    <t>BRANCO ID: (23978)</t>
  </si>
  <si>
    <t>TRILHO INF DUAS VIAS BRONZE 2669MM NICE/OLLIE/CALEB RX500</t>
  </si>
  <si>
    <t>TRILHO INF DUAS VIAS BRONZE 1765MM GR ZEINE RX500</t>
  </si>
  <si>
    <t>TRILHO INF DUAS VIAS BRONZE 1970MM GR ANNE/SAION RX500</t>
  </si>
  <si>
    <t>BRANCO ID: (15542)</t>
  </si>
  <si>
    <t>FRASSINO/OFF WHITE ID: (15545)</t>
  </si>
  <si>
    <t>AMENDOA CLEAN/OFF WH ID: (15541)</t>
  </si>
  <si>
    <t>AMENDOA CLEAN ID: (16504)</t>
  </si>
  <si>
    <t>FRASSINO ID: (16507)</t>
  </si>
  <si>
    <t>BRANCO ID: (16505)</t>
  </si>
  <si>
    <t>TRILHO TELESCOPICO H30 350MM 3 ESTAGIOS - SUP 6KG</t>
  </si>
  <si>
    <t>BRANCO ID: (15995)</t>
  </si>
  <si>
    <t>AMENDOA CLEAN ID: (15994)</t>
  </si>
  <si>
    <t>FRASSINO ID: (15996)</t>
  </si>
  <si>
    <t>TRILHO TELESCOPICO H35 400MM 3 ESTAGIOS - SUP 10KG</t>
  </si>
  <si>
    <t>TRILHO TELESCOPICO H32 300MM 3 ESTAGIOS - SUP 6KG</t>
  </si>
  <si>
    <t>AMENDOA CLEAN ID: (15549)</t>
  </si>
  <si>
    <t>FRASSINO ID: (15551)</t>
  </si>
  <si>
    <t>BRANCO ID: (15550)</t>
  </si>
  <si>
    <t>AMENDOA CLEAN ID: (15746)</t>
  </si>
  <si>
    <t>FRASSINO ID: (15748)</t>
  </si>
  <si>
    <t>BRANCO ID: (15747)</t>
  </si>
  <si>
    <t>AMENDOA CLEAN ID: (16191)</t>
  </si>
  <si>
    <t>BRANCO ID: (16192)</t>
  </si>
  <si>
    <t>FRASSINO ID: (16193)</t>
  </si>
  <si>
    <t>TRILHO PVC DUAS VIAS 2669MM SUPERIOR NATURAL MONTEBELLO</t>
  </si>
  <si>
    <t>TRILHO PVC DUAS VIAS 1970MM SUPERIOR ANNE</t>
  </si>
  <si>
    <t>TRILHO PVC DUAS VIAS 2605MM SUPERIOR NATURAL TORONTO</t>
  </si>
  <si>
    <t>TRILHO PVC DUAS VIAS 1570MM SUPERIOR GR TRIUMPHI</t>
  </si>
  <si>
    <t>TRILHO PVC DUAS VIAS 2668MM SUPERIOR GR SPECIALE/NICE/DANGELO</t>
  </si>
  <si>
    <t>TRILHO PVC DUAS VIAS 2365MM SUPERIOR NATURAL CALEB</t>
  </si>
  <si>
    <t>BRANCO ID: (16642)</t>
  </si>
  <si>
    <t>AMENDOA CLEAN ID: (16641)</t>
  </si>
  <si>
    <t>FRASSINO ID: (16643)</t>
  </si>
  <si>
    <t>TRILHO PVC DUAS VIAS 2065MM SUPERIOR NATURAL GR AQ</t>
  </si>
  <si>
    <t>TRILHO PVC UMA VIA 775MM SUPERIOR CINZA GR VEX</t>
  </si>
  <si>
    <t>PUXADOR KIT C/ 05-BRA-M-1121(250X 18MM) BRANCO</t>
  </si>
  <si>
    <t>TRILHO PVC DUAS VIAS 1765MM SUPERIOR NATURAL ZEINE/LANI</t>
  </si>
  <si>
    <t>PUXADOR KIT C/05 BRA-M-1121(250X 18MM) FRASSINO</t>
  </si>
  <si>
    <t>TRILHO PVC DUAS VIAS 1970MM SUPERIOR GR SAION</t>
  </si>
  <si>
    <t>PUXADOR KIT C/06 BRA-M-0000(435X 030X 15MM) AMENDOA</t>
  </si>
  <si>
    <t>PUXADOR KIT C/06 BRA-M-0750-600 MM AMENDOA</t>
  </si>
  <si>
    <t>PUXADOR KIT C/06- BRA-M-1121(1050X 18MM) AMENDOA</t>
  </si>
  <si>
    <t>PUXADOR KIT C/06- BRA-M-1121(1050X 18MM) FRASSINO</t>
  </si>
  <si>
    <t>PUXADOR KIT C/06 BRA-M-1121(1050X 18MM) BRANCO</t>
  </si>
  <si>
    <t>PUXADOR KIT C/06-BRA-M-1121(350X 18MM) AMENDOA</t>
  </si>
  <si>
    <t>FRASSINO ID: (15556)</t>
  </si>
  <si>
    <t>PUXADOR KIT C/06-BRA-M-1121(350X 18MM) BRANCO</t>
  </si>
  <si>
    <t>PUXADOR KIT C/06-BRA-M-1121(350X 18MM) FRASSINO</t>
  </si>
  <si>
    <t>PUXADOR KIT C06-BRA-M-0781(2220X 032X 15MM) AMENDOA</t>
  </si>
  <si>
    <t>PUXADOR KIT C/06 BRA-M-0781(2220X 032X 15MM) BRANCO</t>
  </si>
  <si>
    <t>PUXADOR KIT C/06 BRA-M-0781(2220X 032X 15MM) FRASSINO</t>
  </si>
  <si>
    <t>PUXADOR KIT C/04 BRA-M-0000(435X 30X 15MM) AMENDOA</t>
  </si>
  <si>
    <t>PUXADOR KIT C/04 BRA-M-000(435X 30X 15MM) BRANCO</t>
  </si>
  <si>
    <t>PUXADOR KIT C/06-BRA-M-0760 600MM BRANCO</t>
  </si>
  <si>
    <t>PUXADOR KIT C/02-BRA-M-0192(200X 15X 9MM) AMENDOA</t>
  </si>
  <si>
    <t>PUXADOR KIT C/02-BRA-M-0192(200X 15X 9MM) BRANCO</t>
  </si>
  <si>
    <t>PUXADOR KIT C/02 BRA-M-1121(250X 18MM) AMENDOA</t>
  </si>
  <si>
    <t>PUXADOR KIT C/02-BRA-M-1121(250X 18MM) BRANCO</t>
  </si>
  <si>
    <t>PUXADOR  EVOL BRANZO 280MM CUV.PV 392(FUR.224MM) MENOR EXP</t>
  </si>
  <si>
    <t>PUXADOR  EVOLUTO PRETO 224 MM</t>
  </si>
  <si>
    <t>PUXADOR  GRACE CHAMPAGNE (AKEO)</t>
  </si>
  <si>
    <t>AMENDOA CLEAN ID: (16521)</t>
  </si>
  <si>
    <t>BRANCO ID: (16522)</t>
  </si>
  <si>
    <t>PUXADOR  INOCENSE 192 MM (EXP)</t>
  </si>
  <si>
    <t>PUXADOR  LIMIT OURO FOSCO (AKEO)</t>
  </si>
  <si>
    <t>PUXADOR  MATTEO 192 MM BRONZE (CHAMPAGNE) EXP</t>
  </si>
  <si>
    <t>PUXADOR  PZ67 M4 (OURO VELHO)</t>
  </si>
  <si>
    <t>FRASSINO ID: (15754)</t>
  </si>
  <si>
    <t>AMENDOA CLEAN ID: (15752)</t>
  </si>
  <si>
    <t>BRANCO ID: (15753)</t>
  </si>
  <si>
    <t>AMENDOA CLEAN/OFF WH ID: (16321)</t>
  </si>
  <si>
    <t>AMENDOA CLEAN ID: (16320)</t>
  </si>
  <si>
    <t>BRANCO ID: (16322)</t>
  </si>
  <si>
    <t>FRASSINO ID: (16323)</t>
  </si>
  <si>
    <t>FRASSINO/OFF WHITE ID: (16324)</t>
  </si>
  <si>
    <t>BRANCO ID: (15758)</t>
  </si>
  <si>
    <t>FRASSINO ID: (15760)</t>
  </si>
  <si>
    <t>AMENDOA CLEAN ID: (15757)</t>
  </si>
  <si>
    <t>AMENDOA CLEAN ID: (16328)</t>
  </si>
  <si>
    <t>AMENDOA CLEAN/OFF WH ID: (78154)</t>
  </si>
  <si>
    <t>FRASSINO ID: (16331)</t>
  </si>
  <si>
    <t>BRANCO ID: (16329)</t>
  </si>
  <si>
    <t>FRASSINO/OFF WHITE ID: (78155)</t>
  </si>
  <si>
    <t>BRANCO ID: (15765)</t>
  </si>
  <si>
    <t>AMENDOA CLEAN ID: (15764)</t>
  </si>
  <si>
    <t>AMENDOA CLEAN ID: (15561)</t>
  </si>
  <si>
    <t>BRANCO ID: (15562)</t>
  </si>
  <si>
    <t>FRASSINO/OFF WHITE ID: (16004)</t>
  </si>
  <si>
    <t>AMENDOA CLEAN ID: (16000)</t>
  </si>
  <si>
    <t>BRANCO ID: (16002)</t>
  </si>
  <si>
    <t>FRASSINO ID: (16003)</t>
  </si>
  <si>
    <t>AMENDOA CLEAN/OFF WH ID: (16001)</t>
  </si>
  <si>
    <t>FRASSINO/OFF WHITE ID: (16528)</t>
  </si>
  <si>
    <t>BRANCO ID: (16526)</t>
  </si>
  <si>
    <t>AMENDOA CLEAN/OFF WH ID: (16525)</t>
  </si>
  <si>
    <t>FRASSINO ID: (16527)</t>
  </si>
  <si>
    <t>AMENDOA CLEAN ID: (16524)</t>
  </si>
  <si>
    <t>CAVILHA  10X50 (EXP) CASA REGIA</t>
  </si>
  <si>
    <t>CAVILHA  6 X 30</t>
  </si>
  <si>
    <t>CAVILHA  8 X 30</t>
  </si>
  <si>
    <t>CAVILHA  8 X 50</t>
  </si>
  <si>
    <t>CAVILHA  8 X 80</t>
  </si>
  <si>
    <t>CAVILHA  8 X 60</t>
  </si>
  <si>
    <t>CAVILHA  8 X 40 PLASTICA</t>
  </si>
  <si>
    <t>VIDRO OFF WHITE 1200X800X4MM CANTO COPO RAIO 50MM</t>
  </si>
  <si>
    <t>VIDRO OFF WHITE 1800X900X4MM CANTO COPO RAIO 50MM</t>
  </si>
  <si>
    <t>VIDRO OFF WHITE 1595X795X4MM CANTO COPO RAIO 50MM</t>
  </si>
  <si>
    <t>VIDRO OFF WHITE 1700X900X4MM CANTO COPO RAIO 50MM</t>
  </si>
  <si>
    <t>VIDRO OFF WHITE 1300X1300X4MM CANTO COPO RAIO 50MM</t>
  </si>
  <si>
    <t>VIDRO OFF WHITE 900X900X4MM CANTO COPO RAIO 50MM</t>
  </si>
  <si>
    <t>VIDRO OFF WHITE 1000X1000X4MM REDONDO</t>
  </si>
  <si>
    <t>OFF WHITE ID: (16019)</t>
  </si>
  <si>
    <t>OFF WHITE ID: (16547)</t>
  </si>
  <si>
    <t>OFF WHITE ID: (16675)</t>
  </si>
  <si>
    <t>OFF WHITE ID: (16548)</t>
  </si>
  <si>
    <t>FRASSINO ID: (15806)</t>
  </si>
  <si>
    <t>AMENDOA CLEAN ID: (15805)</t>
  </si>
  <si>
    <t>OFF WHITE ID: (15807)</t>
  </si>
  <si>
    <t>OFF WHITE ID: (16676)</t>
  </si>
  <si>
    <t>OFF WHITE ID: (16549)</t>
  </si>
  <si>
    <t>OFF WHITE ID: (16677)</t>
  </si>
  <si>
    <t>OFF WHITE ID: (15618)</t>
  </si>
  <si>
    <t>AMENDOA CLEAN ID: (15616)</t>
  </si>
  <si>
    <t>FRASSINO ID: (15617)</t>
  </si>
  <si>
    <t>OFF WHITE ID: (16550)</t>
  </si>
  <si>
    <t>OFF WHITE ID: (16252)</t>
  </si>
  <si>
    <t>OFF WHITE ID: (16371)</t>
  </si>
  <si>
    <t>AMENDOA CLEAN/OFF WH ID: (16036)</t>
  </si>
  <si>
    <t>AMENDOA CLEAN/OFF WH ID: (16713)</t>
  </si>
  <si>
    <t>AMENDOA CLEAN/OFF WH ID: (16253)</t>
  </si>
  <si>
    <t>FRASSINO/OFF WHITE ID: (16254)</t>
  </si>
  <si>
    <t>AMENDOA CLEAN ID: (55615)</t>
  </si>
  <si>
    <t>AMENDOA CLEAN ID: (16399)</t>
  </si>
  <si>
    <t>AMENDOA CLEAN/OFF WH ID: (16475)</t>
  </si>
  <si>
    <t>AMENDOA CLEAN ID: (16372)</t>
  </si>
  <si>
    <t>AMENDOA CLEAN ID: (16470)</t>
  </si>
  <si>
    <t>ESPELHO 1398X448X3MM C/2 FUROS GR SAION</t>
  </si>
  <si>
    <t>ESPELHO 695X300X3MM C/02 FUROS - IMP INT - BERTHA</t>
  </si>
  <si>
    <t>ESPELHO 750X270X3MM S/FUROS GR JAZZ/LIBRA</t>
  </si>
  <si>
    <t>ESPELHO 900X300X3MM C/02 FUROS GR ALONZO/ARIES</t>
  </si>
  <si>
    <t>ESPELHO 1152X430X3MM C/02 FUROS GR UNIQUE</t>
  </si>
  <si>
    <t>ESPELHO 1235X430X3MM C/02 FUROS IMPERATORE</t>
  </si>
  <si>
    <t>ESPELHO 1668X874X3MM C/04 FUROS SPECALE/NICE</t>
  </si>
  <si>
    <t>ESPELHO 238X658X3MM C/02 S/FUROS VELARIS 02 PTS</t>
  </si>
  <si>
    <t>ESPELHO 900X235X3MM C/02 FUROS GR ZEUS/DUNA</t>
  </si>
  <si>
    <t>ESPELHO 1668X658X3MM C/04 FUROS GR VELARIS</t>
  </si>
  <si>
    <t>ESPELHO 1500X270X3MM C/02 FUROS GR JAZZ</t>
  </si>
  <si>
    <t>ESPELHO 1105X374X3MM C/02 FUROS GR LIKE/OLLIE ***</t>
  </si>
  <si>
    <t>ESPELHO 1795X385X3MM SAPATEIRA ESTHELA</t>
  </si>
  <si>
    <t>APLIQUE MOLDURA 04 BRA-M (0258X380MM)FRASSINO</t>
  </si>
  <si>
    <t>APLIQUE MOLDURA 04 BRA-M (0258X380MM)AMENDOA</t>
  </si>
  <si>
    <t>APLIQUE MOLDURA 04 BRA-M (0258X480MM)AMENDOA</t>
  </si>
  <si>
    <t>APLIQUE  PERFIL BRA-M-0258+1082 (540X085X30MM)FRASSINO</t>
  </si>
  <si>
    <t>APLIQUE  PERFIL BRA-M-0258+1072 (540X085X30MM)AMENDOA</t>
  </si>
  <si>
    <t>APLIQUE KIT-SUP/LED BRA-M-14001(400X 035X 25MM) PRETO (ESQ+DIR)</t>
  </si>
  <si>
    <t>APLIQUE PORTA OBJETOS (320X338MM)CRISTAL NATURAL</t>
  </si>
  <si>
    <t>PUXADOR KIT C/02- BRA-M-1121(250X 18MM) IMBUIA</t>
  </si>
  <si>
    <t>AMENDOA CLEAN ID: (16462)</t>
  </si>
  <si>
    <t>PUXADOR KIT C/02 BRA-M-0192(200X 15X 9MM) IMBUIA</t>
  </si>
  <si>
    <t>FRASSINO ID: (16555)</t>
  </si>
  <si>
    <t>AMENDOA CLEAN ID: (16554)</t>
  </si>
  <si>
    <t>CORINO CARAMELO ID: (20168)</t>
  </si>
  <si>
    <t>LINHO MOSAICO ID: (46235)</t>
  </si>
  <si>
    <t>LINHO RINZAI BEGE ID: (16698)</t>
  </si>
  <si>
    <t>VELUDO NATURALE CREME ID: (16703)</t>
  </si>
  <si>
    <t>BOUCLE BEGE ID: (16694)</t>
  </si>
  <si>
    <t>FRASSINO ID: (16376)</t>
  </si>
  <si>
    <t>FRASSINO ID: (16557)</t>
  </si>
  <si>
    <t>IMBUIA CLEAN ID: (24026)</t>
  </si>
  <si>
    <t>LINHO MOSAICO ID: (60484)</t>
  </si>
  <si>
    <t>COURO MORANO AVELA ID: (55584)</t>
  </si>
  <si>
    <t>LINHO RUSTICO ID: (16031)</t>
  </si>
  <si>
    <t>VELUDO NATURALE CREME ID: (16035)</t>
  </si>
  <si>
    <t>SUEDE ANIMALE BEGE ID: (16032)</t>
  </si>
  <si>
    <t>VELUDO LISO CAPUCCINO ID: (16033)</t>
  </si>
  <si>
    <t>LINHO RINZAI BEGE ID: (16030)</t>
  </si>
  <si>
    <t>BOUCLE BEGE ID: (16027)</t>
  </si>
  <si>
    <t>CORINO CARAMELO ID: (16026)</t>
  </si>
  <si>
    <t>AMENDOA CLEAN ID: (16388)</t>
  </si>
  <si>
    <t>CORINO CARAMELO ID: (16390)</t>
  </si>
  <si>
    <t>LINHO RINZAI BEGE ID: (16394)</t>
  </si>
  <si>
    <t>SUEDE ANIMALE BEGE ID: (16395)</t>
  </si>
  <si>
    <t>VELUDO NATURALE CREME ID: (16398)</t>
  </si>
  <si>
    <t>LINHO MARRON ID: (16393)</t>
  </si>
  <si>
    <t>LINHO MOSAICO ID: (46282)</t>
  </si>
  <si>
    <t>VELUDO LISO CAPUCCINO ID: (16396)</t>
  </si>
  <si>
    <t>BOUCLE BEGE ID: (16391)</t>
  </si>
  <si>
    <t>COURO MORANO AVELA ID: (46268)</t>
  </si>
  <si>
    <t>VELUDO LISO MARROM ID: (16386)</t>
  </si>
  <si>
    <t>VELUDO LISO CAPUCCINO ID: (16385)</t>
  </si>
  <si>
    <t>LINHO MARRON ID: (16382)</t>
  </si>
  <si>
    <t>SUEDE ANIMALE BEGE ID: (16384)</t>
  </si>
  <si>
    <t>LINHO RINZAI BEGE ID: (16383)</t>
  </si>
  <si>
    <t>BOUCLE BEGE ID: (15886)</t>
  </si>
  <si>
    <t>LINHO MOSAICO ID: (49167)</t>
  </si>
  <si>
    <t>COURO MORANO AVELA ID: (49157)</t>
  </si>
  <si>
    <t>VELUDO LISO CAPUCCINO ID: (15891)</t>
  </si>
  <si>
    <t>LINHO RINZAI BEGE ID: (15889)</t>
  </si>
  <si>
    <t>SUEDE ANIMALE BEGE ID: (15890)</t>
  </si>
  <si>
    <t>VELUDO NATURALE CREME ID: (15893)</t>
  </si>
  <si>
    <t>AMENDOA CLEAN ID: (15584)</t>
  </si>
  <si>
    <t>FRASSINO ID: (15585)</t>
  </si>
  <si>
    <t>SUEDE ANIMALE BEGE ID: (16668)</t>
  </si>
  <si>
    <t>COURO MORANO AVELA ID: (46395)</t>
  </si>
  <si>
    <t>LINHO RINZAI BEGE ID: (16666)</t>
  </si>
  <si>
    <t>BOUCLE BEGE ID: (16662)</t>
  </si>
  <si>
    <t>CORINO CARAMELO ID: (16660)</t>
  </si>
  <si>
    <t>LINHO MOSAICO ID: (46397)</t>
  </si>
  <si>
    <t>PARAFUSO  .MAQ. FLANG. PHS. M4X20 -ZP/ZB/ZA</t>
  </si>
  <si>
    <t>PARAFUSO  MINIFIX ACO SOBERBO 31MM</t>
  </si>
  <si>
    <t>PARAFUSO MADEIRA CC PHS TIPO CHIPBOARD 4,5X60 -ZP/ZB/ZA</t>
  </si>
  <si>
    <t>PARAFUSO MAD. CC. NORMAL PHS. TIPO CHIPBOARD 3,5X12- ZP/ZB/ZA</t>
  </si>
  <si>
    <t>PARAFUSO MAD. CC. PHS. TIPO CHIPBOARD 3,0X20- ZP/ZB/ZA</t>
  </si>
  <si>
    <t>PARAFUSO MAD. CC. PHS. TIPO CHIPBOARD 3,5X14 -ZB/ZA/ZP</t>
  </si>
  <si>
    <t>BRANCO#C/LOGO ID: (15619)</t>
  </si>
  <si>
    <t>AMENDOA CLEAN#C/LOGO ID: (72173)</t>
  </si>
  <si>
    <t>AMENDOA CLEAN#C/LOGO ID: (72176)</t>
  </si>
  <si>
    <t>BRANCO#C/LOGO ID: (15811)</t>
  </si>
  <si>
    <t>AMENDOA CLEAN/OFF WH#C/LOGO ID: (99905)</t>
  </si>
  <si>
    <t>AMENDOA CLEAN ID: (31905)</t>
  </si>
  <si>
    <t>FRASSINO/OFF WHITE ID: (67791)</t>
  </si>
  <si>
    <t>AMENDOA CLEAN/OFF WH ID: (67790)</t>
  </si>
  <si>
    <t>BRANCO ID: (31907)</t>
  </si>
  <si>
    <t>FRASSINO ID: (31757)</t>
  </si>
  <si>
    <t>AMENDOA CLEAN ID: (31753)</t>
  </si>
  <si>
    <t>AMENDOA CLEAN/OFF WH ID: (67869)</t>
  </si>
  <si>
    <t>BRANCO ID: (31755)</t>
  </si>
  <si>
    <t>FRASSINO/OFF WHITE ID: (67871)</t>
  </si>
  <si>
    <t>BRANCO#C/LOGO ID: (72164)</t>
  </si>
  <si>
    <t>BRANCO#C/LOGO ID: (15795)</t>
  </si>
  <si>
    <t>AMENDOA CLEAN#C/LOGO ID: (78658)</t>
  </si>
  <si>
    <t>PARAFUSO   MAD. CC. PHS. TIPO CHIPBOARD  3,5 X16 ZB/ZA</t>
  </si>
  <si>
    <t>AMENDOA CLEAN#C/LOGO ID: (55291)</t>
  </si>
  <si>
    <t>BRANCO#C/LOGO ID: (32103)</t>
  </si>
  <si>
    <t>AMENDOA CLEAN#C/LOGO ID: (99864)</t>
  </si>
  <si>
    <t>AMENDOA CLEAN ID: (31307)</t>
  </si>
  <si>
    <t>BRANCO ID: (31309)</t>
  </si>
  <si>
    <t>AMENDOA CLEAN ID: (31963)</t>
  </si>
  <si>
    <t>BRANCO ID: (31965)</t>
  </si>
  <si>
    <t>BRANCO ID: (55695)</t>
  </si>
  <si>
    <t>BRANCO ID: (55653)</t>
  </si>
  <si>
    <t>COSTAS GR 6 PTS CASTELLARO/BERTHA 2695X418X2,7 HDF</t>
  </si>
  <si>
    <t>AMENDOA CLEAN ID: (43941)</t>
  </si>
  <si>
    <t>FRASSINO ID: (43943)</t>
  </si>
  <si>
    <t>KIT DOBRADICA  GR CASTELLARO/BERTHA/AZAEL/OLLIE/VINCE - PC</t>
  </si>
  <si>
    <t>KIT FERRAGEM P/ESPELHO C/ 12 SUP PRATA</t>
  </si>
  <si>
    <t>KIT FERRAGEM</t>
  </si>
  <si>
    <t>COSTAS GR 3 PTS MONTEBELLO/SPECIALE 2695X524X2,7 HDF</t>
  </si>
  <si>
    <t>BRANCO ID: (103274)</t>
  </si>
  <si>
    <t>MOLDURA GR  3 PTS MONTEBELLO/SPECIALE/NICE 2700X120X15 MDP</t>
  </si>
  <si>
    <t>BRANCO ID: (42357)</t>
  </si>
  <si>
    <t>FRASSINO ID: (42358)</t>
  </si>
  <si>
    <t>RODAPE FRONTAL  GR  3 PTS MONTEBELLO/SPECIALE/NICE 2669X120X15 MDP</t>
  </si>
  <si>
    <t>BRANCO ID: (39544)</t>
  </si>
  <si>
    <t>FRASSINO ID: (39545)</t>
  </si>
  <si>
    <t>AMENDOA CLEAN ID: (39543)</t>
  </si>
  <si>
    <t>RODAPE TRASEIRO GR 3 PTS MONTEBELLO/SPECIALE/NICE 2669X120X15 MDP</t>
  </si>
  <si>
    <t>KIT FERRAGEM P/ESPELHO C/ 4 SUP PRATA</t>
  </si>
  <si>
    <t>DISTANCIADOR FRONT COMODA HOR 6 GAV MAGGIORE/MAIA 765X25X25 MDF</t>
  </si>
  <si>
    <t>BRANCO ID: (34545)</t>
  </si>
  <si>
    <t>AMENDOA CLEAN ID: (34544)</t>
  </si>
  <si>
    <t>KIT DOBRADICA  C/ 12 AL2 CURV.ALTA 9MMCALÇO CURVA 26X3 PC</t>
  </si>
  <si>
    <t>DISTANCIADOR TRAS COMODA HOR 6 GAV MAGGIORE/MAIA 765X25X25 MDF</t>
  </si>
  <si>
    <t>PE FRONTAL CENT COMODA HOR 6 GAV MAGGIORE/MAIA 925X65X25 MDF</t>
  </si>
  <si>
    <t>AMENDOA CLEAN ID: (34905)</t>
  </si>
  <si>
    <t>BRANCO ID: (34906)</t>
  </si>
  <si>
    <t>FRASSINO ID: (34907)</t>
  </si>
  <si>
    <t>PE FRONT DIR COMODA HOR 6 GAV MAGGIORE/MAIA 925X65X25 MDF</t>
  </si>
  <si>
    <t>FRASSINO ID: (35686)</t>
  </si>
  <si>
    <t>AMENDOA CLEAN ID: (35684)</t>
  </si>
  <si>
    <t>BRANCO ID: (35685)</t>
  </si>
  <si>
    <t>PE FRONT ESQ COMODA HOR 6 GAV MAGGIORE/MAIA 925X65X25 MDF</t>
  </si>
  <si>
    <t>BRANCO ID: (34549)</t>
  </si>
  <si>
    <t>FRASSINO ID: (34550)</t>
  </si>
  <si>
    <t>PE TRASEIRO CENT COMODA HOR 6 GAV MAGGIORE/MAIA 925X65X25 MDF</t>
  </si>
  <si>
    <t>PE TRAS DIR COMODA HOR 6 GAV MAGGIORE/MAIA 925X65X25 MDF</t>
  </si>
  <si>
    <t>FRASSINO ID: (35156)</t>
  </si>
  <si>
    <t>AMENDOA CLEAN ID: (35154)</t>
  </si>
  <si>
    <t>BRANCO ID: (35155)</t>
  </si>
  <si>
    <t>PE TRAS ESQ COMODA HOR 6 GAV MAGGIORE/MAIA 925X65X25 MDF</t>
  </si>
  <si>
    <t>FRASSINO ID: (35936)</t>
  </si>
  <si>
    <t>AMENDOA CLEAN ID: (35934)</t>
  </si>
  <si>
    <t>BRANCO ID: (35935)</t>
  </si>
  <si>
    <t>TRAVESSA FRONT COMODA HOR 6 GAV MAGGIORE/MAIA 710X60X25 MDF</t>
  </si>
  <si>
    <t>FRASSINO ID: (35690)</t>
  </si>
  <si>
    <t>AMENDOA CLEAN ID: (35688)</t>
  </si>
  <si>
    <t>BRANCO ID: (35689)</t>
  </si>
  <si>
    <t>TRAVESSA TRAS COMODA HOR 6 GAV MAGGIORE/MAIA 710X60X25 MDF</t>
  </si>
  <si>
    <t>TAMPO COMODA HOR 6 GAV MAGGIORE/MAIA 1625X490X25 MDP</t>
  </si>
  <si>
    <t>BRANCO ID: (35159)</t>
  </si>
  <si>
    <t>AMENDOA CLEAN ID: (35158)</t>
  </si>
  <si>
    <t>FRASSINO ID: (35160)</t>
  </si>
  <si>
    <t>DIVISAO COMODA HOR 6 GAV MAGGIORE NEW/MAIA 825X430X15 MDP</t>
  </si>
  <si>
    <t>AMENDOA CLEAN ID: (36194)</t>
  </si>
  <si>
    <t>BRANCO ID: (36195)</t>
  </si>
  <si>
    <t>LATERAL DIREITA COMODA HOR 6 GAV MAGGIORE/MAIA 825X430X15 MDP</t>
  </si>
  <si>
    <t>FRASSINO ID: (78599)</t>
  </si>
  <si>
    <t>AMENDOA CLEAN ID: (78865)</t>
  </si>
  <si>
    <t>BRANCO ID: (74310)</t>
  </si>
  <si>
    <t>LATERAL ESQUERDA COMODA HOR 6 GAV MAGGIORE NEW/MAIA 825X430X15 MDP</t>
  </si>
  <si>
    <t>FRASSINO ID: (78601)</t>
  </si>
  <si>
    <t>BRANCO ID: (74312)</t>
  </si>
  <si>
    <t>AMENDOA CLEAN ID: (78867)</t>
  </si>
  <si>
    <t>FRENTE GAVETA COMODA HOR 6 GAV MAGGIORE 703X230X15 MDP</t>
  </si>
  <si>
    <t>BRANCO ID: (35405)</t>
  </si>
  <si>
    <t>FRASSINO ID: (35406)</t>
  </si>
  <si>
    <t>OFF WHITE ID: (35408)</t>
  </si>
  <si>
    <t>AMENDOA CLEAN ID: (35404)</t>
  </si>
  <si>
    <t>LATERAL GAVETA DIREITA COMODA HOR 6 GAV MAGGIORE/MAIA 400X140X15 MDP</t>
  </si>
  <si>
    <t>BRANCO ID: (36408)</t>
  </si>
  <si>
    <t>AMENDOA CLEAN ID: (36407)</t>
  </si>
  <si>
    <t>FRASSINO ID: (36409)</t>
  </si>
  <si>
    <t>LATERAL GAVETA ESQUERDA COMODA HOR 6 GAV MAGGIORE/MAIA 400X140X15 MDP</t>
  </si>
  <si>
    <t>FRASSINO ID: (35946)</t>
  </si>
  <si>
    <t>AMENDOA CLEAN ID: (35942)</t>
  </si>
  <si>
    <t>BRANCO ID: (35944)</t>
  </si>
  <si>
    <t>KIT FERRAGEM JOGO DE PES C/6 PVC</t>
  </si>
  <si>
    <t>TRASEIRO GAVETA COMODA HOR 6 GAV MAGGIORE/MAIA 655X140X15 MDP</t>
  </si>
  <si>
    <t>BRANCO ID: (34554)</t>
  </si>
  <si>
    <t>AMENDOA CLEAN ID: (34552)</t>
  </si>
  <si>
    <t>COSTAS COMODA HOR 6 GAV MAGGIORE/MAIA 750X370X2,7 HDF</t>
  </si>
  <si>
    <t>FUNDO GAVETA COMODA HOR 6 GAV MAGGIORE/MAIA 668X400X2,7 HDF</t>
  </si>
  <si>
    <t>AMENDOA CLEAN ID: (78863)</t>
  </si>
  <si>
    <t>BRANCO ID: (74308)</t>
  </si>
  <si>
    <t>KIT FERRAGEM COMODA 6GAV HORIZONTAL MAGGIORE NEW/MAIA</t>
  </si>
  <si>
    <t>FRASSINO ID: (35952)</t>
  </si>
  <si>
    <t>AMENDOA CLEAN ID: (35950)</t>
  </si>
  <si>
    <t>BRANCO ID: (35951)</t>
  </si>
  <si>
    <t>FRENTE GAVETA GR 4/6 PTS ALONZO NEW/LISSA/LIKE 690X160X15 MDF</t>
  </si>
  <si>
    <t>FRASSINO ID: (41425)</t>
  </si>
  <si>
    <t>AMENDOA CLEAN ID: (41421)</t>
  </si>
  <si>
    <t>BRANCO ID: (41423)</t>
  </si>
  <si>
    <t>FUNDO GAVETA GR 4/6 PTS ALONZO NEW/LISSA/LIKE 661X357X2,7 HDF</t>
  </si>
  <si>
    <t>BRANCO ID: (78047)</t>
  </si>
  <si>
    <t>AMENDOA CLEAN ID: (78046)</t>
  </si>
  <si>
    <t>LATERAL GAVETA DIREITA GR 4/6 PTS ALONZO NEW/LISSA/LIKE 350X120X12 MDF</t>
  </si>
  <si>
    <t>FRASSINO ID: (43962)</t>
  </si>
  <si>
    <t>AMENDOA CLEAN ID: (43958)</t>
  </si>
  <si>
    <t>BRANCO ID: (43960)</t>
  </si>
  <si>
    <t>LATERAL GAVETA ESQUERDA GR 4/6 PTS ALONZO NEW/LISSA/LIKE 350X120X12 MD</t>
  </si>
  <si>
    <t>BRANCO ID: (40508)</t>
  </si>
  <si>
    <t>AMENDOA CLEAN ID: (40506)</t>
  </si>
  <si>
    <t>TAMPO CENTRAL GR 6 PTS ALONZO 2017 NEW/LIKE 2275X450X12 MDF</t>
  </si>
  <si>
    <t>FRASSINO ID: (42372)</t>
  </si>
  <si>
    <t>BRANCO ID: (42370)</t>
  </si>
  <si>
    <t>TAMPO INFERIOR GR 6 PTS ALONZO 2017 NEW/LIKE 2275X450X12 MDF</t>
  </si>
  <si>
    <t>BRANCO ID: (39550)</t>
  </si>
  <si>
    <t>AMENDOA CLEAN ID: (39548)</t>
  </si>
  <si>
    <t>BRANCO/SISAL ID: (85477)</t>
  </si>
  <si>
    <t>TAMPO SUPERIOR GR 6 PTS ALONZO 2017 NEW/LIKE 2275X450X12 MDF</t>
  </si>
  <si>
    <t>BRANCO ID: (41452)</t>
  </si>
  <si>
    <t>FRASSINO ID: (41454)</t>
  </si>
  <si>
    <t>AMENDOA CLEAN ID: (41450)</t>
  </si>
  <si>
    <t>PARAFUSO MAD. CC. PHS. TIPO CHIPBOARD 3,5X20- ZP/ZB/ZA</t>
  </si>
  <si>
    <t>COSTAS GR 6 PTS ALONZO 2017 NEW/LIKE 2294X428X2,7 HDF</t>
  </si>
  <si>
    <t>FRASSINO ID: (39562)</t>
  </si>
  <si>
    <t>AMENDOA CLEAN ID: (39558)</t>
  </si>
  <si>
    <t>BRANCO ID: (39560)</t>
  </si>
  <si>
    <t>DIVISAO DIREITA GR 6 PTS ALONZO NEW/LIKE 1700X450X15 MDF</t>
  </si>
  <si>
    <t>BRANCO ID: (40520)</t>
  </si>
  <si>
    <t>AMENDOA CLEAN ID: (40518)</t>
  </si>
  <si>
    <t>DIVISAO ESQUERDA GR 4/6 PTS ALONZO NEW/LIKE 1700X450X15 MDF</t>
  </si>
  <si>
    <t>BRANCO ID: (39570)</t>
  </si>
  <si>
    <t>FRASSINO ID: (39574)</t>
  </si>
  <si>
    <t>AMENDOA CLEAN ID: (39568)</t>
  </si>
  <si>
    <t>DIVISAO MALEIRO GR 4/6 PTS ALONZO/LISSA/LIKE 423X80X15 MDF</t>
  </si>
  <si>
    <t>FRASSINO ID: (41468)</t>
  </si>
  <si>
    <t>AMENDOA CLEAN ID: (41460)</t>
  </si>
  <si>
    <t>BRANCO ID: (41462)</t>
  </si>
  <si>
    <t>PARAFUSO MAD. CC. PHS. TIPO CHIPBOARD 3,5X 25-ZP/ZB/ZA</t>
  </si>
  <si>
    <t>PARAFUSO MAD. CC. PHS. TIPO CHIPBOARD 3,5X30- ZP/ZB/ZA</t>
  </si>
  <si>
    <t>PARAFUSO MAD. CC. PHS TIPO CHIPBOARD 3,5X35- ZP/ZB/ZA</t>
  </si>
  <si>
    <t>PARAFUSO MAD. CC. PHS. TIPO CHIPBOARD 3,5X40- ZP/ZB/ZA</t>
  </si>
  <si>
    <t>LATERAL DIREITA GR 6 PTS ALONZO NEW/LIKE 2300X450X12</t>
  </si>
  <si>
    <t>AMENDOA CLEAN ID: (40532)</t>
  </si>
  <si>
    <t>BRANCO ID: (40534)</t>
  </si>
  <si>
    <t>PARAFUSO  MAD. CC. PHS. TIPO CHIPBOARD 4,0X25- ZP/ZB/ZA</t>
  </si>
  <si>
    <t>LATERAL ESQUERDA GR 4/6 PTS ALONZO NEW/LIKE 2300X450X12 MDF</t>
  </si>
  <si>
    <t>FRASSINO ID: (39592)</t>
  </si>
  <si>
    <t>AMENDOA CLEAN ID: (39584)</t>
  </si>
  <si>
    <t>BRANCO ID: (39586)</t>
  </si>
  <si>
    <t>PRATELEIRA GR 4/6 PTS ALONZO/LISSA/LIKE 748X395X12 MDF</t>
  </si>
  <si>
    <t>AMENDOA CLEAN ID: (43978)</t>
  </si>
  <si>
    <t>PRATELEIRA GRANDE GR 4/6 PTS ALONZO 2017 NEW/LISSA/LIKE 748X449X12 MDF</t>
  </si>
  <si>
    <t>AMENDOA CLEAN ID: (43990)</t>
  </si>
  <si>
    <t>BRANCO ID: (43992)</t>
  </si>
  <si>
    <t>FRASSINO ID: (43994)</t>
  </si>
  <si>
    <t>PRATELEIRA PEQUENA  GR  4/6 PTS ALONZO 2017NEW/LISSA/LIKE 748X200X12 M</t>
  </si>
  <si>
    <t>AMENDOA CLEAN ID: (39602)</t>
  </si>
  <si>
    <t>FRASSINO ID: (39606)</t>
  </si>
  <si>
    <t>BRANCO ID: (39604)</t>
  </si>
  <si>
    <t>TRASEIRO GAVETA GR 4/6 PTS ALONZO NEW/LISSA/LIKE 649X80X12 MDF</t>
  </si>
  <si>
    <t>FRASSINO ID: (39618)</t>
  </si>
  <si>
    <t>BRANCO ID: (39616)</t>
  </si>
  <si>
    <t>AMENDOA CLEAN ID: (39614)</t>
  </si>
  <si>
    <t>PORTA GR  4/6 PTS ALONZO 2021/LIKE 2160X378X15 MDF</t>
  </si>
  <si>
    <t>BRANCO ID: (39628)</t>
  </si>
  <si>
    <t>OFF WHITE ID: (39636)</t>
  </si>
  <si>
    <t>AMENDOA CLEAN ID: (39626)</t>
  </si>
  <si>
    <t>KIT FERRAGEM P/ESPELHO C/ 8 SUP CROMADO</t>
  </si>
  <si>
    <t>COSTAS GR 4 PTS ALONZO PLUS 1530X428X2,7 HDF</t>
  </si>
  <si>
    <t>BRANCO ID: (42332)</t>
  </si>
  <si>
    <t>AMENDOA CLEAN ID: (42330)</t>
  </si>
  <si>
    <t>KIT DOBRADICA  C/ 16 AL2 CURV.ALTA 9MM/CALCO CURVA26X3</t>
  </si>
  <si>
    <t>KIT FERRAGEM GR 4PTS ALONZO 2021</t>
  </si>
  <si>
    <t>BRANCO ID: (40483)</t>
  </si>
  <si>
    <t>AMENDOA CLEAN ID: (40481)</t>
  </si>
  <si>
    <t>MOLDURA SUPERIOR GR 4 PTS ALONZO 1535X45X15 MDF</t>
  </si>
  <si>
    <t>BRANCO ID: (38723)</t>
  </si>
  <si>
    <t>AMENDOA CLEAN ID: (38721)</t>
  </si>
  <si>
    <t>FRASSINO ID: (38727)</t>
  </si>
  <si>
    <t>MOLDURA SUPERIOR TRAS  GR  4 PTS ALONZO 1511X70X15 MDF</t>
  </si>
  <si>
    <t>AMENDOA CLEAN ID: (42340)</t>
  </si>
  <si>
    <t>BRANCO ID: (42342)</t>
  </si>
  <si>
    <t>RODAPE FRONTAL  GR  4 PTS ALONZO/LISSA 1511X70X15 MDF</t>
  </si>
  <si>
    <t>AMENDOA CLEAN ID: (41406)</t>
  </si>
  <si>
    <t>RODAPE TRASEIRO GR 4 PTS ALONZO/LISSA 1511X70X15 MDF</t>
  </si>
  <si>
    <t>TAMPO CENTRAL GR 4 PTS ALONZO/LISSA 1511X450X12 MDF</t>
  </si>
  <si>
    <t>BRANCO ID: (37987)</t>
  </si>
  <si>
    <t>AMENDOA CLEAN ID: (37985)</t>
  </si>
  <si>
    <t>TAMPO INF/SUP  GR  4 PTS ALONZO/LISSA 1511X450X12 MDF</t>
  </si>
  <si>
    <t>AMENDOA CLEAN ID: (43128)</t>
  </si>
  <si>
    <t>BRANCO ID: (43130)</t>
  </si>
  <si>
    <t>LATERAL DIREITA GR 4 PTS ALONZO 2300X450X12 MDF</t>
  </si>
  <si>
    <t>AMENDOA CLEAN ID: (31317)</t>
  </si>
  <si>
    <t>BRANCO ID: (31319)</t>
  </si>
  <si>
    <t>TRASEIRO GAVETA GRA COMODA 2 PTS 8 GAV TORONTO 601X80X15 MDP</t>
  </si>
  <si>
    <t>AMENDOA CLEAN ID: (36416)</t>
  </si>
  <si>
    <t>FRASSINO ID: (36418)</t>
  </si>
  <si>
    <t>FUNDO GAVETA GR BOLERO/HERCULES PLUS/ANNE 612X357X2,7 HDF</t>
  </si>
  <si>
    <t>BRANCO ID: (38208)</t>
  </si>
  <si>
    <t>AMENDOA CLEAN ID: (38207)</t>
  </si>
  <si>
    <t>TRASEIRO GAVETA PEQ 2 PTS 8 GAV COMODA TORONTO 292X80X15 MDP</t>
  </si>
  <si>
    <t>AMENDOA CLEAN ID: (36480)</t>
  </si>
  <si>
    <t>FRASSINO ID: (36482)</t>
  </si>
  <si>
    <t>TRAVESSA DIV COMODA 2PTS 8GAV TORONTO 710X100X15 MDP</t>
  </si>
  <si>
    <t>AMENDOA CLEAN ID: (34647)</t>
  </si>
  <si>
    <t>BRANCO ID: (34648)</t>
  </si>
  <si>
    <t>KIT FERRAGEM GR 3PTS ANNE</t>
  </si>
  <si>
    <t>MOLDURA GR  3 PTS HERCULES PLUS/ANNE 2000X90X15 MDP</t>
  </si>
  <si>
    <t>BRANCO ID: (38756)</t>
  </si>
  <si>
    <t>TRAVA COMODA 2 PTS 8 GAV TORONTO 655X50X15 MDP</t>
  </si>
  <si>
    <t>RODAPE FRONTAL  GR  3 PTS HERC /ANNE 1974X90X12 MDP</t>
  </si>
  <si>
    <t>BRANCO ID: (38759)</t>
  </si>
  <si>
    <t>AMENDOA CLEAN ID: (38758)</t>
  </si>
  <si>
    <t>RODAPE TRASEIRO GR 3 PTS HERC /ANNE 1974X90X12 MDP</t>
  </si>
  <si>
    <t>TAMPO CENTRAL GR 3 PTS HERC /ANNE 1974X510X15 MDP</t>
  </si>
  <si>
    <t>AMENDOA CLEAN ID: (39644)</t>
  </si>
  <si>
    <t>BRANCO ID: (39645)</t>
  </si>
  <si>
    <t>TAMPO SUPERIOR GR 3 PTS HERC /ANNE 1974X510X12 MDP</t>
  </si>
  <si>
    <t>AMENDOA CLEAN ID: (41490)</t>
  </si>
  <si>
    <t>BRANCO ID: (41491)</t>
  </si>
  <si>
    <t>TRASEIRO GAVETA GR BOL/HERC/ANNE 601X80X15 MDP</t>
  </si>
  <si>
    <t>AMENDOA CLEAN ID: (41493)</t>
  </si>
  <si>
    <t>BRANCO ID: (41494)</t>
  </si>
  <si>
    <t>COSTAS INFERIOR  GR  3 PTS HERCULES PLUS/ANNE 2000X287X2,7 HDF</t>
  </si>
  <si>
    <t>DIVISAO INFERIOR  GR  3 PTS HERCULES 2021/ANNE 550X509X12 MDP</t>
  </si>
  <si>
    <t>AMENDOA CLEAN ID: (43154)</t>
  </si>
  <si>
    <t>DIVISAO MALEIRO GR 3 PTS ANNE/BARDO 350X80X12 MDP</t>
  </si>
  <si>
    <t>AMENDOA CLEAN ID: (42386)</t>
  </si>
  <si>
    <t>BRANCO ID: (42387)</t>
  </si>
  <si>
    <t>DIVISAO SUPERIOR  GR  3 PTS ANNE 1018X440X12 MDP</t>
  </si>
  <si>
    <t>BRANCO ID: (39652)</t>
  </si>
  <si>
    <t>AMENDOA CLEAN ID: (39651)</t>
  </si>
  <si>
    <t>LATERAL DIREITA GR 3 PTS ANNE 2080X510X15 MDP</t>
  </si>
  <si>
    <t>AMENDOA CLEAN ID: (44002)</t>
  </si>
  <si>
    <t>LATERAL ESQUERDA GR 3 PTS HERCULES 2021/ANNE 2080X510X15 MDP</t>
  </si>
  <si>
    <t>BRANCO ID: (43158)</t>
  </si>
  <si>
    <t>AMENDOA CLEAN ID: (43157)</t>
  </si>
  <si>
    <t>PINAZIO GR 2/3 PTS HERCULES PLUS/ANNE 485X90X12 MDP</t>
  </si>
  <si>
    <t>PRATELEIRA GR 2/3 PTS HERCULES PLUS/ANNE 650X439X12 MDP</t>
  </si>
  <si>
    <t>AMENDOA CLEAN ID: (40548)</t>
  </si>
  <si>
    <t>BRANCO ID: (40549)</t>
  </si>
  <si>
    <t>TAMPO CENTRAL GR 3 PTS ANNE 1974X441X12 MDP</t>
  </si>
  <si>
    <t>AMENDOA CLEAN ID: (39655)</t>
  </si>
  <si>
    <t>BRANCO ID: (39656)</t>
  </si>
  <si>
    <t>DIVISAO GRA COMODA 2 PTS 8 GAV TORONTO 1060X450X15 MDP</t>
  </si>
  <si>
    <t>FRASSINO ID: (36009)</t>
  </si>
  <si>
    <t>AMENDOA CLEAN ID: (36007)</t>
  </si>
  <si>
    <t>BRANCO ID: (36008)</t>
  </si>
  <si>
    <t>COSTAS SUPERIOR  GR  3 PTS HERCULES PLUS/ANNE 1398X664X2,7 HDF</t>
  </si>
  <si>
    <t>AMENDOA CLEAN ID: (40555)</t>
  </si>
  <si>
    <t>DIVISAO PEQUENA COMODA 2 PTS 8 GAV TORONTO 2016 450X175X15 MDP</t>
  </si>
  <si>
    <t>AMENDOA CLEAN ID: (35753)</t>
  </si>
  <si>
    <t>FRASSINO ID: (35755)</t>
  </si>
  <si>
    <t>BRANCO ID: (35754)</t>
  </si>
  <si>
    <t>FRENTE GAVETA GR 3 PTS HERCULES 2021/ANNE 658X183X15 MDP</t>
  </si>
  <si>
    <t>BRANCO ID: (41504)</t>
  </si>
  <si>
    <t>AMENDOA CLEAN ID: (41503)</t>
  </si>
  <si>
    <t>FRENTE GAVETA GRA COMODA 2 PTS 8 GAV TORONTO 2021 665X174X15 MDP</t>
  </si>
  <si>
    <t>OFF WHITE ID: (78165)</t>
  </si>
  <si>
    <t>FRASSINO ID: (35498)</t>
  </si>
  <si>
    <t>BRANCO ID: (35497)</t>
  </si>
  <si>
    <t>AMENDOA CLEAN ID: (35496)</t>
  </si>
  <si>
    <t>FRENTE GAVETA PEQ COFRE COMODA 2 PTS 8 GAV TORONTO 2021 358X174X15 MDP</t>
  </si>
  <si>
    <t>AMENDOA CLEAN ID: (35501)</t>
  </si>
  <si>
    <t>FRASSINO ID: (35503)</t>
  </si>
  <si>
    <t>OFF WHITE ID: (78167)</t>
  </si>
  <si>
    <t>BRANCO ID: (35502)</t>
  </si>
  <si>
    <t>PORTA GR  3 PTS HERCULES 2021/ANNE 1360X670X15 MDP</t>
  </si>
  <si>
    <t>BRANCO ID: (42391)</t>
  </si>
  <si>
    <t>AMENDOA CL/OFF WHI/A ID: (42390)</t>
  </si>
  <si>
    <t>KIT FERRAGEM P/ESPELHO C/ 2 SUP PRATA</t>
  </si>
  <si>
    <t>FRENTE GAVETA PEQ COMODA 2 PTS 8 GAV TORONTO 2021 358X174X15 MDP</t>
  </si>
  <si>
    <t>OFF WHITE ID: (78169)</t>
  </si>
  <si>
    <t>FRASSINO ID: (36014)</t>
  </si>
  <si>
    <t>AMENDOA CLEAN ID: (36012)</t>
  </si>
  <si>
    <t>BRANCO ID: (36013)</t>
  </si>
  <si>
    <t>KIT FERRAGEM COMODA 8GAV 2PTS TORONTO/IMPERADOR 2021</t>
  </si>
  <si>
    <t>BRANCO ID: (57744)</t>
  </si>
  <si>
    <t>AMENDOA CLEAN ID: (57746)</t>
  </si>
  <si>
    <t>LATERAL DIREITA COMODA 2 PTS 8 GAV TORONTO 2016 1160X450X15 MDP</t>
  </si>
  <si>
    <t>FRASSINO ID: (36249)</t>
  </si>
  <si>
    <t>BRANCO ID: (36248)</t>
  </si>
  <si>
    <t>AMENDOA CLEAN ID: (36247)</t>
  </si>
  <si>
    <t>LATERAL ESQUERDA COMODA 2 PTS 8 GAV TORONTO 2016 1160X450X15 MDP</t>
  </si>
  <si>
    <t>FRASSINO ID: (36254)</t>
  </si>
  <si>
    <t>BRANCO ID: (36253)</t>
  </si>
  <si>
    <t>AMENDOA CLEAN ID: (36252)</t>
  </si>
  <si>
    <t>LATERAL GAVETA DIREITA COMODA 2 PTS 8 GAV TORONTO 2016 400X120X15 MDP</t>
  </si>
  <si>
    <t>FRASSINO ID: (34666)</t>
  </si>
  <si>
    <t>AMENDOA CLEAN ID: (34664)</t>
  </si>
  <si>
    <t>BRANCO ID: (34665)</t>
  </si>
  <si>
    <t>LATERAL GAVETA ESQUERDA COMODA 2 PTS 8 GAV TORONTO 2016 400X120X15 MDP</t>
  </si>
  <si>
    <t>FRASSINO ID: (35508)</t>
  </si>
  <si>
    <t>BRANCO ID: (35507)</t>
  </si>
  <si>
    <t>AMENDOA CLEAN ID: (35506)</t>
  </si>
  <si>
    <t>PORTA COMODA  2 PTS 8 GAV TORONTO 2021 885X358X15 MDP</t>
  </si>
  <si>
    <t>OFF WHITE ID: (78171)</t>
  </si>
  <si>
    <t>FRASSINO ID: (34977)</t>
  </si>
  <si>
    <t>BRANCO ID: (34976)</t>
  </si>
  <si>
    <t>AMENDOA CLEAN ID: (34975)</t>
  </si>
  <si>
    <t>PRATELEIRA COMODA 2 PTS 8 GAV TORONTO 710X449X12 MDP</t>
  </si>
  <si>
    <t>AMENDOA CLEAN ID: (35230)</t>
  </si>
  <si>
    <t>BRANCO ID: (35231)</t>
  </si>
  <si>
    <t>FRASSINO ID: (35232)</t>
  </si>
  <si>
    <t>PAIN CAB CAMA CASAL 1,40 REALI/SPECIALE 1365X700X15 MDF</t>
  </si>
  <si>
    <t>AMENDOA CLEAN ID: (34669)</t>
  </si>
  <si>
    <t>BRANCO ID: (34670)</t>
  </si>
  <si>
    <t>FRASSINO ID: (34671)</t>
  </si>
  <si>
    <t>OFF WHITE ID: (85430)</t>
  </si>
  <si>
    <t>COSTAS GR URBAN/ROYAL/TAURUS/ARIES 2395X442X2,7 HDF</t>
  </si>
  <si>
    <t>FRASSINO ID: (38094)</t>
  </si>
  <si>
    <t>AMENDOA CLEAN ID: (38092)</t>
  </si>
  <si>
    <t>BRANCO ID: (38093)</t>
  </si>
  <si>
    <t>COSTAS PEQUENA  GR  6 PTS ARIES 2395X390X2,7 HDF</t>
  </si>
  <si>
    <t>FRASSINO ID: (39766)</t>
  </si>
  <si>
    <t>BRANCO ID: (39765)</t>
  </si>
  <si>
    <t>AMENDOA CLEAN ID: (39764)</t>
  </si>
  <si>
    <t>DISTANCIADOR FRONT GR URBAN NEW/ARIES/TAURUS 380X38X25 MDF</t>
  </si>
  <si>
    <t>FRASSINO ID: (39771)</t>
  </si>
  <si>
    <t>AMENDOA CLEAN ID: (39769)</t>
  </si>
  <si>
    <t>DISTANCIADOR GRANDE FRONTAL GR TAURUS ED/ARIES 2021 580X38X25 MDF</t>
  </si>
  <si>
    <t>FRASSINO ID: (44093)</t>
  </si>
  <si>
    <t>DISTANCIADOR TRAS GR URBAN NEW/ARIES/TAURUS 380X38X25 MDF</t>
  </si>
  <si>
    <t>KIT FERRAGEM CAMA CASAL REALI PLUS/SPECIALE</t>
  </si>
  <si>
    <t>BRANCO ID: (36258)</t>
  </si>
  <si>
    <t>FRASSINO ID: (36259)</t>
  </si>
  <si>
    <t>AMENDOA CLEAN ID: (36257)</t>
  </si>
  <si>
    <t>PAIN PESEIRA CAMA CASAL 1,40 REALI/SPECIALE 1365X250X15 MDP</t>
  </si>
  <si>
    <t>AMENDOA CLEAN ID: (35235)</t>
  </si>
  <si>
    <t>FRASSINO ID: (35237)</t>
  </si>
  <si>
    <t>BRANCO ID: (35236)</t>
  </si>
  <si>
    <t>DISTANCIADOR GRANDE TRAS GR TAURUS ED/ARIES 2021 580X38X25 MDF</t>
  </si>
  <si>
    <t>DIVISAO MALEIRO GR 6 PTS ARIES 405X80X15 MDP</t>
  </si>
  <si>
    <t>BRANCO ID: (40558)</t>
  </si>
  <si>
    <t>AMENDOA CLEAN ID: (40557)</t>
  </si>
  <si>
    <t>FRASSINO ID: (40559)</t>
  </si>
  <si>
    <t>KIT DOBRADICA GR 6 PTS ARIES</t>
  </si>
  <si>
    <t>PE GRAND DIR CAMA CASAL REALI/SPECIALE 1190X70X62 MDF COL</t>
  </si>
  <si>
    <t>AMENDOA CLEAN ID: (34984)</t>
  </si>
  <si>
    <t>BRANCO ID: (34985)</t>
  </si>
  <si>
    <t>FRASSINO ID: (34986)</t>
  </si>
  <si>
    <t>PE GRAND ESQ CAMA CASAL REALI/SPECIALE 1190X70X62 MDF COL</t>
  </si>
  <si>
    <t>FRASSINO ID: (36502)</t>
  </si>
  <si>
    <t>BRANCO ID: (36501)</t>
  </si>
  <si>
    <t>AMENDOA CLEAN ID: (36500)</t>
  </si>
  <si>
    <t>MOLDURA LATERAL GR TAURUS/ARIES 2300X60X18 MDF</t>
  </si>
  <si>
    <t>FRASSINO ID: (41687)</t>
  </si>
  <si>
    <t>AMENDOA CLEAN ID: (41685)</t>
  </si>
  <si>
    <t>BRANCO ID: (41686)</t>
  </si>
  <si>
    <t>PE PESEIRA DIR CAMA CASAL REALI/SPECIALE 475X70X62 MDF COL</t>
  </si>
  <si>
    <t>BRANCO ID: (36269)</t>
  </si>
  <si>
    <t>AMENDOA CLEAN ID: (36268)</t>
  </si>
  <si>
    <t>FRASSINO ID: (36270)</t>
  </si>
  <si>
    <t>PE PESEIRA ESQ CAMA CASAL REALI/SPECIALE 475X70X62 MDF COL</t>
  </si>
  <si>
    <t>AMENDOA CLEAN ID: (34991)</t>
  </si>
  <si>
    <t>BRANCO ID: (34992)</t>
  </si>
  <si>
    <t>FRASSINO ID: (34993)</t>
  </si>
  <si>
    <t>MOLDURA SUPERIOR GR 6 PTS ARIES 2400X65X18 MDF</t>
  </si>
  <si>
    <t>AMENDOA CLEAN ID: (43361)</t>
  </si>
  <si>
    <t>BRANCO ID: (43362)</t>
  </si>
  <si>
    <t>FRASSINO ID: (43363)</t>
  </si>
  <si>
    <t>TRAVESSA CAB/PES CAMA CASAL 1,40 REALI/SPECIALE 1365X60X36 MDF COL</t>
  </si>
  <si>
    <t>AMENDOA CLEAN ID: (34696)</t>
  </si>
  <si>
    <t>FRASSINO ID: (34698)</t>
  </si>
  <si>
    <t>BRANCO ID: (34697)</t>
  </si>
  <si>
    <t>RODAPE FRONTAL  GR  6 PTS ARIES 2370X70X15 MDP</t>
  </si>
  <si>
    <t>BRANCO ID: (38248)</t>
  </si>
  <si>
    <t>AMENDOA CLEAN ID: (38247)</t>
  </si>
  <si>
    <t>RODAPE TRASEIRO GR 6 PTS ARIES 2370X70X15 MDP</t>
  </si>
  <si>
    <t>BARRA CAMA CASAL 1,40 REALI/SPECIALE FUR NOVA 1860X125X25 MDF</t>
  </si>
  <si>
    <t>AMENDOA CLEAN ID: (35241)</t>
  </si>
  <si>
    <t>BRANCO ID: (35242)</t>
  </si>
  <si>
    <t>TAMPO INFERIOR GR 6 PTS ARIES 2370X500X15 MDP</t>
  </si>
  <si>
    <t>BRANCO ID: (40771)</t>
  </si>
  <si>
    <t>FRASSINO ID: (40772)</t>
  </si>
  <si>
    <t>AMENDOA CLEAN ID: (40770)</t>
  </si>
  <si>
    <t>FUNDO ESTRADO CAMA CASAL/SOLT 1850X330X6 MDF</t>
  </si>
  <si>
    <t>TAMPO SUPERIOR GR 6 PTS ARIES 2370X500X15 MDP</t>
  </si>
  <si>
    <t>AMENDOA CLEAN ID: (44278)</t>
  </si>
  <si>
    <t>FRASSINO ID: (44280)</t>
  </si>
  <si>
    <t>TRAVESSAO CAMA CASAL 1,40 1396X45X23</t>
  </si>
  <si>
    <t>LATERAL DIREITA GR 6 PTS ARIES 2021 2300X500X15 MDP</t>
  </si>
  <si>
    <t>FRASSINO ID: (41634)</t>
  </si>
  <si>
    <t>BRANCO/SISAL/BRANCO ID: (41633)</t>
  </si>
  <si>
    <t>BRANCO ID: (41632)</t>
  </si>
  <si>
    <t>AMENDOA CLEAN ID: (41631)</t>
  </si>
  <si>
    <t>LATERAL ESQUERDA GR 6 PTS ARIES 2021 2300X500X15 MDP</t>
  </si>
  <si>
    <t>AMENDOA CLEAN ID: (41637)</t>
  </si>
  <si>
    <t>FRASSINO ID: (41640)</t>
  </si>
  <si>
    <t>BRANCO ID: (41638)</t>
  </si>
  <si>
    <t>BRANCO/SISAL/BRANCO ID: (41639)</t>
  </si>
  <si>
    <t>PINAZIO GR 6 PTS ARIES 468X70X15 MDP</t>
  </si>
  <si>
    <t>TAMPO CENTRAL GR 6 PTS ARIES 2370X500X15 MDP</t>
  </si>
  <si>
    <t>BRANCO ID: (38211)</t>
  </si>
  <si>
    <t>FRASSINO ID: (38213)</t>
  </si>
  <si>
    <t>AMENDOA CLEAN ID: (38210)</t>
  </si>
  <si>
    <t>DIVISAO DIREITA GR 6 PTS ARIES 2021 1730X500X15 MDP</t>
  </si>
  <si>
    <t>AMENDOA CLEAN ID: (38937)</t>
  </si>
  <si>
    <t>DIVISAO ESQUERDA GR 6 PTS ARIES 2021 1730X500X15 MDP</t>
  </si>
  <si>
    <t>AMENDOA CLEAN ID: (40709)</t>
  </si>
  <si>
    <t>FRASSINO ID: (40715)</t>
  </si>
  <si>
    <t>FRENTE GAVETA GR VEX/ARIES 705X160X15 MDP</t>
  </si>
  <si>
    <t>BRANCO ID: (39851)</t>
  </si>
  <si>
    <t>AMENDOA CLEAN ID: (39849)</t>
  </si>
  <si>
    <t>FRASSINO ID: (39853)</t>
  </si>
  <si>
    <t>FUNDO GAVETA GR URBAN NEW/TAURUS/ARIES/VEX 665X351X2,7 HDF</t>
  </si>
  <si>
    <t>FRASSINO ID: (44184)</t>
  </si>
  <si>
    <t>AMENDOA CLEAN ID: (44180)</t>
  </si>
  <si>
    <t>BRANCO ID: (44182)</t>
  </si>
  <si>
    <t>LATERAL GAVETA DIREITA GR 6 PTS ARIES/UNIQUE 350X120X15 MDP</t>
  </si>
  <si>
    <t>AMENDOA CLEAN ID: (44188)</t>
  </si>
  <si>
    <t>BRANCO ID: (44190)</t>
  </si>
  <si>
    <t>LATERAL GAVETA ESQUERDA GR 6 PTS ARIES/UNIQUE 350X120X15 MDP</t>
  </si>
  <si>
    <t>BRANCO ID: (43282)</t>
  </si>
  <si>
    <t>AMENDOA CLEAN ID: (43280)</t>
  </si>
  <si>
    <t>PRATELEIRA GAVETA  GR  VEX/ARIES 780X400X15 MDP</t>
  </si>
  <si>
    <t>AMENDOA CLEAN ID: (42570)</t>
  </si>
  <si>
    <t>FRASSINO ID: (42574)</t>
  </si>
  <si>
    <t>BRANCO ID: (42572)</t>
  </si>
  <si>
    <t>PAIN CAB CAMA SOLT ATHENAS 2012 780X460X15 MDP</t>
  </si>
  <si>
    <t>BRANCO ID: (35417)</t>
  </si>
  <si>
    <t>AMENDOA CLEAN/OFF WH ID: (35416)</t>
  </si>
  <si>
    <t>FRASSINO/OFF WHITE ID: (35420)</t>
  </si>
  <si>
    <t>PRATELEIRA PEQUENA C/FURO GR 6 PTS ARIES P 1L 780X350X15 MDP</t>
  </si>
  <si>
    <t>BRANCO ID: (40722)</t>
  </si>
  <si>
    <t>FRASSINO ID: (40723)</t>
  </si>
  <si>
    <t>PRATELEIRA PEQ S/FURO CENT  GR  6 PTS ARIES P 2L 780X350X15 MDP</t>
  </si>
  <si>
    <t>AMENDOA CLEAN ID: (43290)</t>
  </si>
  <si>
    <t>FRASSINO ID: (43292)</t>
  </si>
  <si>
    <t>BRANCO ID: (43291)</t>
  </si>
  <si>
    <t>TRASEIRO GAVETA GR 6 PTS ARIES 649X100X15 MDP</t>
  </si>
  <si>
    <t>FRASSINO ID: (38223)</t>
  </si>
  <si>
    <t>BRANCO ID: (38222)</t>
  </si>
  <si>
    <t>AMENDOA CLEAN ID: (38221)</t>
  </si>
  <si>
    <t>PAIN FRIZ CAMA SOLT ATHENAS 2012 780X160X15 MDF</t>
  </si>
  <si>
    <t>AMENDOA CLEAN ID: (35181)</t>
  </si>
  <si>
    <t>FRASSINO ID: (35184)</t>
  </si>
  <si>
    <t>BRANCO ID: (35182)</t>
  </si>
  <si>
    <t>PORTA GR  6 PTS ARIES 2160X393X15 MDP</t>
  </si>
  <si>
    <t>OFF WHITE ID: (44203)</t>
  </si>
  <si>
    <t>BRANCO ID: (44201)</t>
  </si>
  <si>
    <t>AMENDOA CLEAN ID: (44200)</t>
  </si>
  <si>
    <t>FRASSINO ID: (44202)</t>
  </si>
  <si>
    <t>KIT FERRAGEM CAMA SOLT ATHENAS PLUS</t>
  </si>
  <si>
    <t>BRANCO ID: (35955)</t>
  </si>
  <si>
    <t>AMENDOA CLEAN ID: (35954)</t>
  </si>
  <si>
    <t>FRASSINO ID: (35957)</t>
  </si>
  <si>
    <t>PE CAB CAMA SOLT ATHENAS 2012 1100X90X74 MDF COL</t>
  </si>
  <si>
    <t>AMENDOA CLEAN ID: (35696)</t>
  </si>
  <si>
    <t>FRASSINO ID: (35699)</t>
  </si>
  <si>
    <t>BRANCO ID: (35697)</t>
  </si>
  <si>
    <t>PE PESEIRA CAMA SOLT ATHENAS 2012 540X90X74 MDF COL</t>
  </si>
  <si>
    <t>FRASSINO ID: (35169)</t>
  </si>
  <si>
    <t>BRANCO ID: (35167)</t>
  </si>
  <si>
    <t>AMENDOA CLEAN ID: (35166)</t>
  </si>
  <si>
    <t>FUNDO GAVETA GR BER/DA/AZ/LA/ZE/NIC/ELI/SOL/CAL/OLL/VI 766X351X2,7 HDF</t>
  </si>
  <si>
    <t>FRASSINO ID: (44209)</t>
  </si>
  <si>
    <t>AMENDOA CLEAN ID: (44205)</t>
  </si>
  <si>
    <t>MOLDURA SUPERIOR GR 6 PTS BERTHA 2700X95X15 MDP</t>
  </si>
  <si>
    <t>AMENDOA CLEAN ID: (43295)</t>
  </si>
  <si>
    <t>FRASSINO ID: (43297)</t>
  </si>
  <si>
    <t>RODAPE FRONTAL  GR  6 PTS BERTHA 2670X100X15 MDP</t>
  </si>
  <si>
    <t>FRASSINO ID: (39861)</t>
  </si>
  <si>
    <t>AMENDOA CLEAN ID: (39859)</t>
  </si>
  <si>
    <t>RODAPE TRASEIRO GR 6 PTS BERTHA 2670X100X15 MDP</t>
  </si>
  <si>
    <t>TAMPO INFERIOR GR 6 PTS BERTHA 2670X500X15 MDP</t>
  </si>
  <si>
    <t>FRASSINO ID: (44217)</t>
  </si>
  <si>
    <t>AMENDOA CLEAN ID: (44215)</t>
  </si>
  <si>
    <t>TAMPO SUPERIOR GR 6 PTS BERTHA 2670X500X15 MDP</t>
  </si>
  <si>
    <t>AMENDOA CLEAN ID: (44221)</t>
  </si>
  <si>
    <t>LATERAL DIREITA GR 6 PTS BERTHA 2300X500X15 MDP</t>
  </si>
  <si>
    <t>FRASSINO ID: (44229)</t>
  </si>
  <si>
    <t>AMENDOA CLEAN ID: (44227)</t>
  </si>
  <si>
    <t>LATERAL ESQUERDA GR 6 PTS BERTHA 2300X500X15 MDP</t>
  </si>
  <si>
    <t>AMENDOA CLEAN ID: (38949)</t>
  </si>
  <si>
    <t>PRATELEIRA GAVETA  GR  BERTHA/LANI/ZEINE/ELISE 880X420X15 MDP</t>
  </si>
  <si>
    <t>BRANCO ID: (42590)</t>
  </si>
  <si>
    <t>AMENDOA CLEAN ID: (42588)</t>
  </si>
  <si>
    <t>PRATELEIRA SUPERIOR GR 6 PTS BERTHA 880X420X15 MDP</t>
  </si>
  <si>
    <t>FRASSINO ID: (42401)</t>
  </si>
  <si>
    <t>AMENDOA CLEAN ID: (42399)</t>
  </si>
  <si>
    <t>TRAVESSA CAB/PES CAMA SOLT ATHENAS 2012 980X85X15 MDF</t>
  </si>
  <si>
    <t>AMENDOA CLEAN ID: (34613)</t>
  </si>
  <si>
    <t>FRASSINO ID: (34616)</t>
  </si>
  <si>
    <t>BRANCO ID: (34614)</t>
  </si>
  <si>
    <t>DISTANCIADOR FRONT GR DAN/AZA/VEX/BERT/LAN/ZEI/NICE/ELI 380X38X25 MDF</t>
  </si>
  <si>
    <t>FRASSINO ID: (38765)</t>
  </si>
  <si>
    <t>AMENDOA CLEAN ID: (38761)</t>
  </si>
  <si>
    <t>PRETO FOSCO ID: (82321)</t>
  </si>
  <si>
    <t>BRANCO ID: (38763)</t>
  </si>
  <si>
    <t>DISTANCIADOR TRAS GR DAN/AZA/VEX/BERT/LAN/ZEI/NICE/ELI 380X38X25 MDF</t>
  </si>
  <si>
    <t>FRENTE  CAMA BIBOX 1890X300X15 MDP</t>
  </si>
  <si>
    <t>AMENDOA CLEAN ID: (34620)</t>
  </si>
  <si>
    <t>BRANCO ID: (34621)</t>
  </si>
  <si>
    <t>FRASSINO ID: (34623)</t>
  </si>
  <si>
    <t>DIVISAO GR 6 PTS BERTHA 2080X500X15 MDP</t>
  </si>
  <si>
    <t>AMENDOA CLEAN ID: (44006)</t>
  </si>
  <si>
    <t>FRASSINO ID: (44008)</t>
  </si>
  <si>
    <t>FRENTE GAVETA USINADA CAMA BIBOX 2018 580X155X15 MDP</t>
  </si>
  <si>
    <t>FRASSINO ID: (35457)</t>
  </si>
  <si>
    <t>AMENDOA CLEAN ID: (35454)</t>
  </si>
  <si>
    <t>BRANCO ID: (35455)</t>
  </si>
  <si>
    <t>FRENTE GAVETA GR BERTHA/LANI/ZEINE/NICE/ELISE 805X160X15 MDP</t>
  </si>
  <si>
    <t>BRANCO ID: (44014)</t>
  </si>
  <si>
    <t>FRASSINO ID: (44016)</t>
  </si>
  <si>
    <t>AMENDOA CLEAN ID: (44012)</t>
  </si>
  <si>
    <t>FUNDO GAVETA CAMA BIBOX 513X407X2,7 HDF</t>
  </si>
  <si>
    <t>BRANCO ID: (35462)</t>
  </si>
  <si>
    <t>AMENDOA CLEAN ID: (35461)</t>
  </si>
  <si>
    <t>KIT FERRAGEM CAMA SOLT AUXILIAR PLUS</t>
  </si>
  <si>
    <t>BRANCO ID: (35468)</t>
  </si>
  <si>
    <t>AMENDOA CLEAN ID: (35467)</t>
  </si>
  <si>
    <t>LATERAL CAMA BIBOX 900X220X15 MDP</t>
  </si>
  <si>
    <t>AMENDOA CLEAN ID: (34634)</t>
  </si>
  <si>
    <t>BRANCO ID: (34635)</t>
  </si>
  <si>
    <t>FRASSINO ID: (34637)</t>
  </si>
  <si>
    <t>LATERAL GAVETA DIREITA GR AU/VE/BE/LA/ZE/NI/EL/OL/CA/VI 350X120X15 MDP</t>
  </si>
  <si>
    <t>AMENDOA CLEAN ID: (38774)</t>
  </si>
  <si>
    <t>BRANCO ID: (38776)</t>
  </si>
  <si>
    <t>FRASSINO ID: (38778)</t>
  </si>
  <si>
    <t>LATERAL GAVETA ESQUERDA GR AU/VE/BE/LA/ZE/NI/EL/OL/CA/VI 350X120X15 MD</t>
  </si>
  <si>
    <t>BRANCO ID: (39668)</t>
  </si>
  <si>
    <t>FRASSINO ID: (39670)</t>
  </si>
  <si>
    <t>AMENDOA CLEAN ID: (39666)</t>
  </si>
  <si>
    <t>PINAZIO GR 6 PTS BERTHA 468X100X15 MDP</t>
  </si>
  <si>
    <t>PRATELEIRA INFERIOR S/FURO  GR  6 PTS BERTHA 880X420X15 MDP</t>
  </si>
  <si>
    <t>AMENDOA CLEAN ID: (40562)</t>
  </si>
  <si>
    <t>TRASEIRO GAVETA GR BERT/LAN/ZEI/NIC/EL/OLL/CAL/VI 750X110X15 MDP</t>
  </si>
  <si>
    <t>AMENDOA CLEAN ID: (44022)</t>
  </si>
  <si>
    <t>PORTA GR  6 PTS BERTHA 2100X444X15 MDP</t>
  </si>
  <si>
    <t>AMENDOA CLEAN ID: (41519)</t>
  </si>
  <si>
    <t>OFF WHITE ID: (41525)</t>
  </si>
  <si>
    <t>FRASSINO ID: (41521)</t>
  </si>
  <si>
    <t>LATERAL GAVETA DIREITA CAMA BIBOX 2018 400X110X15 MDP</t>
  </si>
  <si>
    <t>BRANCO ID: (34947)</t>
  </si>
  <si>
    <t>AMENDOA CLEAN ID: (34945)</t>
  </si>
  <si>
    <t>LATERAL GAVETA ESQUERDA CAMA BIBOX 2018 400X110X15 MDP</t>
  </si>
  <si>
    <t>BRANCO ID: (36468)</t>
  </si>
  <si>
    <t>AMENDOA CLEAN ID: (36467)</t>
  </si>
  <si>
    <t>DISTANCIADOR FRONT KIT GR ROYAL/BERTHA/NICE 198X38X25 MDF</t>
  </si>
  <si>
    <t>AMENDOA CLEAN ID: (42405)</t>
  </si>
  <si>
    <t>TRASEIRO   CAMA  BIBOX 1890X220X15 MDP</t>
  </si>
  <si>
    <t>AMENDOA CLEAN ID: (35993)</t>
  </si>
  <si>
    <t>FRASSINO ID: (35996)</t>
  </si>
  <si>
    <t>BRANCO ID: (35994)</t>
  </si>
  <si>
    <t>TRASEIRO GAVETA CAMA BIBOX 500X80X15 MDP</t>
  </si>
  <si>
    <t>AMENDOA CLEAN ID: (35475)</t>
  </si>
  <si>
    <t>BRANCO ID: (35476)</t>
  </si>
  <si>
    <t>DISTANCIADOR TRAS KIT GR BERTHA/NICE 198X38X25 MDF</t>
  </si>
  <si>
    <t>TRAVESSA CAMA BIBOX 2018 900X187X15 MDP</t>
  </si>
  <si>
    <t>KIT FERRAGEM KIT 2GAV GR BERTHA/NICE</t>
  </si>
  <si>
    <t>COSTAS LATERAL  GR  6 PTS IMPERATORE 2270X488X6 MDF</t>
  </si>
  <si>
    <t>AMENDOA CLEAN ID: (38788)</t>
  </si>
  <si>
    <t>MOLDURA INFERIOR  GR  6 PTS REALI/STILL NEW/IMPERAT 2705X85X15 MDF</t>
  </si>
  <si>
    <t>BRANCO ID: (39678)</t>
  </si>
  <si>
    <t>FRASSINO ID: (39682)</t>
  </si>
  <si>
    <t>MOLDURA SUP DEITADA  GR  6 PTS REALI/STILL NEW/IMPERAT 2705X35X15 MDF</t>
  </si>
  <si>
    <t>FRASSINO ID: (39696)</t>
  </si>
  <si>
    <t>AMENDOA CLEAN ID: (39690)</t>
  </si>
  <si>
    <t>BRANCO ID: (39692)</t>
  </si>
  <si>
    <t>MOLDURA SUP FRONTAL  GR  6 PTS REALI/STILL NEW/IMPERAT 2705X60X15 MDF</t>
  </si>
  <si>
    <t>BRANCO ID: (43165)</t>
  </si>
  <si>
    <t>RODAPE  GR  6 PTS REALI/STILLUS NEW/IMPERATORE 2704X70X15 MDF</t>
  </si>
  <si>
    <t>TAMPO INFERIOR GR 6 PTS REALI/STILL NEW/IMPER 2705X615X15 MDF</t>
  </si>
  <si>
    <t>FRASSINO ID: (44047)</t>
  </si>
  <si>
    <t>BRANCO ID: (44043)</t>
  </si>
  <si>
    <t>AMENDOA CLEAN ID: (44041)</t>
  </si>
  <si>
    <t>TAMPO SUPERIOR GR 6 PTS REALI/STILL NEW/IMPER 2705X615X15 MDF</t>
  </si>
  <si>
    <t>CARVALHO NATURALE ID: (44059)</t>
  </si>
  <si>
    <t>FRASSINO ID: (44061)</t>
  </si>
  <si>
    <t>AMENDOA CLEAN ID: (44055)</t>
  </si>
  <si>
    <t>BRANCO ID: (44057)</t>
  </si>
  <si>
    <t>ROVERE NATURALE ID: (44067)</t>
  </si>
  <si>
    <t>COSTAS CENTRAL  GR  6 PTS IMPERATORE 2270X875X6 MDF</t>
  </si>
  <si>
    <t>BRANCO ID: (38800)</t>
  </si>
  <si>
    <t>AMENDOA CLEAN ID: (38798)</t>
  </si>
  <si>
    <t>FRASSINO ID: (38802)</t>
  </si>
  <si>
    <t>FRENTE GAVETA GR 6 PTS REALI/IMPERATORE 2023 780X160X15 MDF</t>
  </si>
  <si>
    <t>AMENDOA CLEAN ID: (38027)</t>
  </si>
  <si>
    <t>FRASSINO ID: (38031)</t>
  </si>
  <si>
    <t>BRANCO ID: (38029)</t>
  </si>
  <si>
    <t>PINAZIO GR 4/6 PTS REALI/STILLUS NEW/IMPERATORE 585X70X15 MDF</t>
  </si>
  <si>
    <t>TAMPO CENTRAL INF  GR  6 PTS REALI/STIL NEW/IMPERAT 1735X630X15 MDF</t>
  </si>
  <si>
    <t>BRANCO ID: (39706)</t>
  </si>
  <si>
    <t>FRASSINO ID: (39708)</t>
  </si>
  <si>
    <t>AMENDOA CLEAN ID: (39704)</t>
  </si>
  <si>
    <t>TAMPO CENTRAL SUP  GR  6 PTS REALI/STIL NEW/IMPERAT 1735X630X15 MDF</t>
  </si>
  <si>
    <t>AMENDOA CLEAN ID: (43366)</t>
  </si>
  <si>
    <t>BRANCO ID: (43368)</t>
  </si>
  <si>
    <t>TRASEIRO GAVETA GR 6 PTS REALI/IMPERATORE 2023 728X120X15 MDF</t>
  </si>
  <si>
    <t>FRASSINO ID: (38256)</t>
  </si>
  <si>
    <t>AMENDOA CLEAN ID: (38252)</t>
  </si>
  <si>
    <t>BRANCO ID: (38254)</t>
  </si>
  <si>
    <t>DIVISAO CENTRAL GR 6 PTS REALI/STIL NEW/IMPERAT 1115X630X15 MDF</t>
  </si>
  <si>
    <t>AMENDOA CLEAN ID: (44291)</t>
  </si>
  <si>
    <t>BRANCO ID: (44293)</t>
  </si>
  <si>
    <t>FRASSINO ID: (44289)</t>
  </si>
  <si>
    <t>DIVISAO GAVETA GR 6 PTS REALI/STILL NEW/IMPERAT 745X630X15 MDF</t>
  </si>
  <si>
    <t>CARVALHO NATURALE/SI ID: (43382)</t>
  </si>
  <si>
    <t>FRASSINO ID: (43384)</t>
  </si>
  <si>
    <t>AMENDOA CLEAN ID: (43376)</t>
  </si>
  <si>
    <t>BRANCO ID: (43378)</t>
  </si>
  <si>
    <t>DIVISAO MALEIRO FRONTAL  GR  6 PTS REALI/STILLNEW/IMPER 350X100X15 MDF</t>
  </si>
  <si>
    <t>FRASSINO ID: (42618)</t>
  </si>
  <si>
    <t>AMENDOA CLEAN ID: (42614)</t>
  </si>
  <si>
    <t>BRANCO ID: (42616)</t>
  </si>
  <si>
    <t>PAIN CAB CAMA CASAL ATHENAS 2012 1280X450X15 MDP</t>
  </si>
  <si>
    <t>BRANCO ID: (34580)</t>
  </si>
  <si>
    <t>AMENDOA CLEAN/OFF WH ID: (34578)</t>
  </si>
  <si>
    <t>FRASSINO/OFF WHITE ID: (34582)</t>
  </si>
  <si>
    <t>AMENDOA CLEAN ID: (85352)</t>
  </si>
  <si>
    <t>PAIN PESEIRA CAMA CASAL ATHENAS 2012 1280X250X15 MDP</t>
  </si>
  <si>
    <t>AMENDOA CLEAN ID: (36213)</t>
  </si>
  <si>
    <t>FRASSINO ID: (36217)</t>
  </si>
  <si>
    <t>BRANCO ID: (36215)</t>
  </si>
  <si>
    <t>DIVISAO MALEIRO TRAS  GR  6 PTS REALI/STILL NEW/IMPERAT 350X100X15 MDF</t>
  </si>
  <si>
    <t>AMENDOA CLEAN ID: (44297)</t>
  </si>
  <si>
    <t>BRANCO ID: (44299)</t>
  </si>
  <si>
    <t>IMBUIA CLEAN ID: (44303)</t>
  </si>
  <si>
    <t>FRASSINO ID: (44301)</t>
  </si>
  <si>
    <t>PAIN FRIZ CAMA CASAL ATHENAS 2012 1280X160X15 MDF</t>
  </si>
  <si>
    <t>BRANCO ID: (35977)</t>
  </si>
  <si>
    <t>AMENDOA CLEAN ID: (35975)</t>
  </si>
  <si>
    <t>FRASSINO ID: (35979)</t>
  </si>
  <si>
    <t>FUNDO GAVETA GR 6 PTS REALI/STILL NEW/IMPERAT 740X398X4 HDF</t>
  </si>
  <si>
    <t>FRASSINO ID: (39897)</t>
  </si>
  <si>
    <t>BRANCO ID: (39893)</t>
  </si>
  <si>
    <t>TRAVESSA CENTRAL CAMA CASAL ATHENAS 2012 1280X58X25 MDF</t>
  </si>
  <si>
    <t>AMENDOA CLEAN ID: (34929)</t>
  </si>
  <si>
    <t>BRANCO ID: (34931)</t>
  </si>
  <si>
    <t>FRASSINO ID: (34933)</t>
  </si>
  <si>
    <t>KIT FERRAGEM CAMA CASAL ATHENAS PLUS</t>
  </si>
  <si>
    <t>AMENDOA CLEAN ID: (35425)</t>
  </si>
  <si>
    <t>LATERAL DIREITA GR 4/6 PTS REALI/STIL NEW/IMPERAT 2400X650X15 MDF</t>
  </si>
  <si>
    <t>AMENDOA CLEAN ID: (42622)</t>
  </si>
  <si>
    <t>BRANCO ID: (42624)</t>
  </si>
  <si>
    <t>FRASSINO ID: (42628)</t>
  </si>
  <si>
    <t>LATERAL ESQUERDA GR 4/6 PTS REALI/STIL NEW/IMPERAT 2400X650X15 MDF</t>
  </si>
  <si>
    <t>BRANCO ID: (39905)</t>
  </si>
  <si>
    <t>FRASSINO ID: (39909)</t>
  </si>
  <si>
    <t>AMENDOA CLEAN ID: (39903)</t>
  </si>
  <si>
    <t>LATERAL GAVETA DIREITA GR REALI/IMPERATORE 2023 400X120X15 MDF</t>
  </si>
  <si>
    <t>AMENDOA CLEAN ID: (38265)</t>
  </si>
  <si>
    <t>FRASSINO ID: (38269)</t>
  </si>
  <si>
    <t>BRANCO ID: (38267)</t>
  </si>
  <si>
    <t>LATERAL GAVETA ESQUERDA GR REALI/IMPERATORE 2023 400X120X15 MDF</t>
  </si>
  <si>
    <t>BRANCO ID: (38983)</t>
  </si>
  <si>
    <t>AMENDOA CLEAN ID: (38981)</t>
  </si>
  <si>
    <t>FRASSINO ID: (38985)</t>
  </si>
  <si>
    <t>PE CAB CAMA CASAL ATHENAS 2012 1100X90X74 MDF COL</t>
  </si>
  <si>
    <t>BRANCO ID: (35722)</t>
  </si>
  <si>
    <t>AMENDOA CLEAN ID: (35720)</t>
  </si>
  <si>
    <t>FRASSINO ID: (35724)</t>
  </si>
  <si>
    <t>DISTANCIADOR FRONT GR 6 PTS REALI/STILL NEW/IMPERAT 520X38X25 MDF</t>
  </si>
  <si>
    <t>FRASSINO ID: (38273)</t>
  </si>
  <si>
    <t>AMENDOA CLEAN ID: (38275)</t>
  </si>
  <si>
    <t>BRANCO ID: (38277)</t>
  </si>
  <si>
    <t>PE PESEIRA CAMA CASAL ATHENAS 2012/ROYAL 430X90X74 MDF COL</t>
  </si>
  <si>
    <t>AMENDOA CLEAN ID: (36439)</t>
  </si>
  <si>
    <t>FRASSINO ID: (36443)</t>
  </si>
  <si>
    <t>BRANCO ID: (36441)</t>
  </si>
  <si>
    <t>TRAVESSA CAB/PES CAMA CASAL ATHENAS 2012/ROYAL 1473X85X15 MDF</t>
  </si>
  <si>
    <t>FRASSINO ID: (36451)</t>
  </si>
  <si>
    <t>AMENDOA CLEAN ID: (36447)</t>
  </si>
  <si>
    <t>DISTANCIADOR TRAS GR 6 PTS REALI/STILL NEW/IMPERAT 520X38X25 MDF</t>
  </si>
  <si>
    <t>BARRA CAMA CASAL 1,40 ATHENAS 2022 FUR NOVA 1900X125X25 MDF</t>
  </si>
  <si>
    <t>FRASSINO ID: (34590)</t>
  </si>
  <si>
    <t>BRANCO ID: (34588)</t>
  </si>
  <si>
    <t>AMENDOA CLEAN ID: (34586)</t>
  </si>
  <si>
    <t>DIVISAO DIREITA GR 4/6 PTS REALI/STIL NEW/IMPERAT 2240X630X15 MDF</t>
  </si>
  <si>
    <t>FRASSINO ID: (40783)</t>
  </si>
  <si>
    <t>AMENDOA CLEAN ID: (40775)</t>
  </si>
  <si>
    <t>BRANCO ID: (40777)</t>
  </si>
  <si>
    <t>DIVISAO ESQUERDA GR 4/6 PTS REALI/STIL NEW/IMPERAT 2240X630X15 MDF</t>
  </si>
  <si>
    <t>AMENDOA CLEAN ID: (44317)</t>
  </si>
  <si>
    <t>FRASSINO ID: (44325)</t>
  </si>
  <si>
    <t>BRANCO ID: (44319)</t>
  </si>
  <si>
    <t>KIT DOBRADICA GR 6 PTS IMPERATORE/SOLARIS</t>
  </si>
  <si>
    <t>KIT FERRAGEM GR 6PTS IMPERATORE 2023 400X250X60</t>
  </si>
  <si>
    <t>AMENDOA CLEAN ID: (41698)</t>
  </si>
  <si>
    <t>AMENDOA CLEAN/OFF WH ID: (111750)</t>
  </si>
  <si>
    <t>MOLDURA LAT COLADA DIR GR 4/6 PTS REALI/STILL/IMPERAT 2239X61X43 MDF</t>
  </si>
  <si>
    <t>FRASSINO ID: (38289)</t>
  </si>
  <si>
    <t>AMENDOA CLEAN ID: (38283)</t>
  </si>
  <si>
    <t>BRANCO ID: (38285)</t>
  </si>
  <si>
    <t>BARRA CAMA SOLT ATHENAS 2022 FUR NOVA 1900X125X25 MDF</t>
  </si>
  <si>
    <t>BRANCO ID: (34595)</t>
  </si>
  <si>
    <t>FRASSINO ID: (34597)</t>
  </si>
  <si>
    <t>AMENDOA CLEAN ID: (34594)</t>
  </si>
  <si>
    <t>TRAVESSAO CAMA SOLT 0,90 900X45X23</t>
  </si>
  <si>
    <t>MOLDURA LAT COLADA ESQ GR 4/6 PTS REALI/STILL/IMPERAT 2239X61X43 MDF</t>
  </si>
  <si>
    <t>AMENDOA CLEAN ID: (38989)</t>
  </si>
  <si>
    <t>BRANCO ID: (38991)</t>
  </si>
  <si>
    <t>FRASSINO ID: (38995)</t>
  </si>
  <si>
    <t>PAIN CAB CAMA SOLT REALI/SPECIALE 865X700X15 MDF</t>
  </si>
  <si>
    <t>BRANCO ID: (35434)</t>
  </si>
  <si>
    <t>IMBUIA CLEAN ID: (35436)</t>
  </si>
  <si>
    <t>FRASSINO ID: (35435)</t>
  </si>
  <si>
    <t>AMENDOA CLEAN ID: (35433)</t>
  </si>
  <si>
    <t>PAIN PESEIRA CAMA SOLT ATHENAS 2012 780X400X15 MDP</t>
  </si>
  <si>
    <t>BRANCO ID: (35189)</t>
  </si>
  <si>
    <t>AMENDOA CLEAN ID: (35188)</t>
  </si>
  <si>
    <t>FRASSINO ID: (35191)</t>
  </si>
  <si>
    <t>PRATELEIRA C/FURO GR 4/6 PTS REALI/STILL/IMPERAT P2L 470X470X15 MDF</t>
  </si>
  <si>
    <t>FRASSINO ID: (42645)</t>
  </si>
  <si>
    <t>BRANCO ID: (42643)</t>
  </si>
  <si>
    <t>AMENDOA CLEAN ID: (42641)</t>
  </si>
  <si>
    <t>PRATELEIRA C/FURO INF  GR  4/6 PTS REALI/STILL/IMPERA P1L 470X470X15 M</t>
  </si>
  <si>
    <t>FRASSINO ID: (42655)</t>
  </si>
  <si>
    <t>PRATELEIRA S/FURO GR 4/6 PTS REALI/STILL/IMPERAT P2L 470X470X15 MDF</t>
  </si>
  <si>
    <t>FRASSINO ID: (39007)</t>
  </si>
  <si>
    <t>AMENDOA CLEAN ID: (39003)</t>
  </si>
  <si>
    <t>BRANCO ID: (39005)</t>
  </si>
  <si>
    <t>PAIN PESEIRA CAMA SOLT REALI 865X250X15 MDP</t>
  </si>
  <si>
    <t>AMENDOA CLEAN ID: (34601)</t>
  </si>
  <si>
    <t>FRASSINO ID: (34603)</t>
  </si>
  <si>
    <t>BRANCO ID: (34602)</t>
  </si>
  <si>
    <t>PORTA GR  4/6 PTS IMPERATORE 2290X434X15 MDF</t>
  </si>
  <si>
    <t>BRANCO ID: (43394)</t>
  </si>
  <si>
    <t>OFF WHITE ID: (43406)</t>
  </si>
  <si>
    <t>AMENDOA CLEAN ID: (43392)</t>
  </si>
  <si>
    <t>FRASSINO ID: (43400)</t>
  </si>
  <si>
    <t>PE GRAND DIR CAMA SOLT REALI 1190X70X62 MDF COL</t>
  </si>
  <si>
    <t>FRASSINO ID: (35197)</t>
  </si>
  <si>
    <t>AMENDOA CLEAN ID: (35195)</t>
  </si>
  <si>
    <t>BRANCO ID: (35196)</t>
  </si>
  <si>
    <t>PE GRAND ESQ CAMA SOLT REALI 1190X70X62 MDF COL</t>
  </si>
  <si>
    <t>FRASSINO ID: (35203)</t>
  </si>
  <si>
    <t>AMENDOA CLEAN ID: (35201)</t>
  </si>
  <si>
    <t>BRANCO ID: (35202)</t>
  </si>
  <si>
    <t>DISTANCIADOR FRONT KIT GR 6 PTS REALI/STIL NEW/IMPERAT 220X38X25 MDF</t>
  </si>
  <si>
    <t>FRASSINO ID: (44337)</t>
  </si>
  <si>
    <t>PE PESEIRA DIR CAMA SOLT REALI 475X70X62 MDF COL</t>
  </si>
  <si>
    <t>AMENDOA CLEAN ID: (34607)</t>
  </si>
  <si>
    <t>FRASSINO ID: (34609)</t>
  </si>
  <si>
    <t>BRANCO ID: (34608)</t>
  </si>
  <si>
    <t>PE PESEIRA ESQ CAMA SOLT REALI 475X70X62 MDF COL</t>
  </si>
  <si>
    <t>BRANCO ID: (36456)</t>
  </si>
  <si>
    <t>AMENDOA CLEAN ID: (36455)</t>
  </si>
  <si>
    <t>FRASSINO ID: (36457)</t>
  </si>
  <si>
    <t>TRAVESSA CAB/PES CAMA SOLT REALI 865X60X36 MDF COL</t>
  </si>
  <si>
    <t>AMENDOA CLEAN ID: (35983)</t>
  </si>
  <si>
    <t>FRASSINO ID: (35985)</t>
  </si>
  <si>
    <t>BRANCO ID: (35984)</t>
  </si>
  <si>
    <t>BARRA CAMA SOLT REALI/SPECIALE 2022 1860X125X25 MDF</t>
  </si>
  <si>
    <t>AMENDOA CLEAN ID: (36461)</t>
  </si>
  <si>
    <t>BRANCO ID: (36462)</t>
  </si>
  <si>
    <t>DISTANCIADOR TRAS KIT GR 6 PTS REALI/STIL NEW/IMPERAT 220X38X25 MDF</t>
  </si>
  <si>
    <t>AMENDOA CLEAN ID: (44343)</t>
  </si>
  <si>
    <t>PRATELEIRA SAPATEIRA  GR  6 PTS REALI/STILNEW/IMPER P1L 758X550X15 MDF</t>
  </si>
  <si>
    <t>AMENDOA CLEAN ID: (43412)</t>
  </si>
  <si>
    <t>REGUA PRATELEIRA GR 6 PTS REALI/STIL NEW/IMPER 758X55X15 MDF</t>
  </si>
  <si>
    <t>AMENDOA CLEAN ID: (43422)</t>
  </si>
  <si>
    <t>KIT FERRAGEM JOGO DE PES C/10 PVC</t>
  </si>
  <si>
    <t>COSTAS GR BOLERO/JAZZ/VALSA/SAION/ZION 2000X403X2,7 HDF</t>
  </si>
  <si>
    <t>BRANCO ID: (43434)</t>
  </si>
  <si>
    <t>FRASSINO ID: (43433)</t>
  </si>
  <si>
    <t>AMENDOA CLEAN ID: (43432)</t>
  </si>
  <si>
    <t>DISTANCIADOR FRONTAL MAIOR GR DA/AZA/VE/SA/JAZ23/ZI/SO 580X38X25 MDF</t>
  </si>
  <si>
    <t>AMENDOA CLEAN ID: (42666)</t>
  </si>
  <si>
    <t>BRANCO ID: (42667)</t>
  </si>
  <si>
    <t>DISTANCIADOR TRAS MAIOR GR DAN/AZA/VEX/SAI/JAZ23/ZI/SOL 580X38X25 MDF</t>
  </si>
  <si>
    <t>FRENTE GAVETA GR JAZZ 2023/SAION/ZION 575X160X15 MDP</t>
  </si>
  <si>
    <t>BRANCO ID: (43437)</t>
  </si>
  <si>
    <t>AMENDOA CLEAN ID: (43436)</t>
  </si>
  <si>
    <t>FRASSINO ID: (43438)</t>
  </si>
  <si>
    <t>KIT FERRAGEM GR 6PTS JAZZ 2023</t>
  </si>
  <si>
    <t>BRANCO ID: (38303)</t>
  </si>
  <si>
    <t>MOLDURA GR  6 PTS BOLERO/JAZZ 2000X70X15 MDP</t>
  </si>
  <si>
    <t>BRANCO ID: (43441)</t>
  </si>
  <si>
    <t>AMENDOA CLEAN ID: (43440)</t>
  </si>
  <si>
    <t>FRASSINO ID: (43443)</t>
  </si>
  <si>
    <t>PINAZIO GR JAZZ 2023 423X90X12 MDP</t>
  </si>
  <si>
    <t>RODAPE FRONTAL  GR  JAZZ/VALSA/SAION/ZION 1980X90X12 MDP</t>
  </si>
  <si>
    <t>BRANCO ID: (40813)</t>
  </si>
  <si>
    <t>AMENDOA CLEAN ID: (40812)</t>
  </si>
  <si>
    <t>TAMPO CENTRAL GR JAZZ 2023/SAION/ZION 1980X450X12 MDF</t>
  </si>
  <si>
    <t>FRASSINO ID: (41718)</t>
  </si>
  <si>
    <t>AMENDOA CLEAN ID: (41716)</t>
  </si>
  <si>
    <t>BRANCO ID: (41717)</t>
  </si>
  <si>
    <t>TAMPO INFERIOR GR 6 PTS JAZZ 2023 1980X450X12 MDP</t>
  </si>
  <si>
    <t>AMENDOA CLEAN ID: (39017)</t>
  </si>
  <si>
    <t>BRANCO ID: (39018)</t>
  </si>
  <si>
    <t>TAMPO SUPERIOR GR 6 PTS JAZZ 2023 1980X450X12 MDP</t>
  </si>
  <si>
    <t>FRASSINO ID: (38312)</t>
  </si>
  <si>
    <t>BRANCO ID: (38311)</t>
  </si>
  <si>
    <t>TRASEIRO GAVETA GR SAION/JAZZ 2023/ZION 526X80X12 MDP</t>
  </si>
  <si>
    <t>FRASSINO ID: (39919)</t>
  </si>
  <si>
    <t>BRANCO ID: (39918)</t>
  </si>
  <si>
    <t>AMENDOA CLEAN ID: (39917)</t>
  </si>
  <si>
    <t>FITA DF CINZA 50X20 MC 54MM C/360 PÇS</t>
  </si>
  <si>
    <t>DIVISAO MALEIRO GR BOLERO/JAZZ/VALSA/SAION/ZION 350X80X15 MDP</t>
  </si>
  <si>
    <t>BRANCO ID: (39922)</t>
  </si>
  <si>
    <t>DIVISAO GR JAZZ 2023/SAION/ZION 1640X450X15 MDP</t>
  </si>
  <si>
    <t>BRANCO ID: (41554)</t>
  </si>
  <si>
    <t>FRASSINO ID: (41555)</t>
  </si>
  <si>
    <t>FITA MI-94AM 9MM X 8400MM</t>
  </si>
  <si>
    <t>DIVISAO MALEIRO TRAS  GR  DUN/AND/SAI/JAZZ23/ANE/ZI 350X80X15 MDP</t>
  </si>
  <si>
    <t>BRANCO ID: (38104)</t>
  </si>
  <si>
    <t>FITA MI-94AM 9MM X 4400M</t>
  </si>
  <si>
    <t>FITA MI-94AM 9,5MM X 50MM C/2100 UN APROX.</t>
  </si>
  <si>
    <t>FUNDO GAVETA GR SAION/JAZZ 2023/ZION 538X358X2,7 HDF</t>
  </si>
  <si>
    <t>FRASSINO ID: (38111)</t>
  </si>
  <si>
    <t>BRANCO ID: (38110)</t>
  </si>
  <si>
    <t>AMENDOA CLEAN ID: (38109)</t>
  </si>
  <si>
    <t>FITA MI-94AM 15MM X 9500MM</t>
  </si>
  <si>
    <t>LATERAL DIREITA GR 6 PTS JAZZ 2023 2180X450X12 MDP</t>
  </si>
  <si>
    <t>AMENDOA CLEAN ID: (39774)</t>
  </si>
  <si>
    <t>BRANCO ID: (39775)</t>
  </si>
  <si>
    <t>FRASSINO ID: (39776)</t>
  </si>
  <si>
    <t>FITA MI-94AM 15MM X 27 METROS</t>
  </si>
  <si>
    <t>FITA MI-94AM 15MM X 9000MM</t>
  </si>
  <si>
    <t>LATERAL ESQUERDA GR 6 PTS JAZZ 2023 2180X450X12 MDP</t>
  </si>
  <si>
    <t>BRANCO ID: (38114)</t>
  </si>
  <si>
    <t>AMENDOA CLEAN ID: (38113)</t>
  </si>
  <si>
    <t>PRATELEIRA GAVETA  GR  JAZZ 2023/SAION/ZION 650X445X12 MDF</t>
  </si>
  <si>
    <t>AMENDOA CLEAN ID: (41557)</t>
  </si>
  <si>
    <t>BRANCO ID: (41558)</t>
  </si>
  <si>
    <t>PRATELEIRA PEQUENA GR SAION/JAZZ 2023/ZION 650X350X12 MDP</t>
  </si>
  <si>
    <t>FRASSINO ID: (38119)</t>
  </si>
  <si>
    <t>BRANCO ID: (38118)</t>
  </si>
  <si>
    <t>AMENDOA CLEAN ID: (38117)</t>
  </si>
  <si>
    <t>PRATELEIRA PEQUENA S/FURO GR BOL/JAZZ/VAL/SAI/ZION 650X350X12 MDP</t>
  </si>
  <si>
    <t>FRASSINO ID: (38123)</t>
  </si>
  <si>
    <t>BRANCO ID: (38122)</t>
  </si>
  <si>
    <t>AMENDOA CLEAN ID: (38121)</t>
  </si>
  <si>
    <t>PORTA LATERAL GR 6 PTS JAZZ 2015X328X15 MDP</t>
  </si>
  <si>
    <t>BRANCO ID: (39779)</t>
  </si>
  <si>
    <t>AMENDOA CLEAN ID: (39778)</t>
  </si>
  <si>
    <t>OFF WHITE ID: (39782)</t>
  </si>
  <si>
    <t>FRASSINO ID: (39780)</t>
  </si>
  <si>
    <t>APLIQUE GR 6 PTS LEDER 2250X60X4 MDF</t>
  </si>
  <si>
    <t>TEXTURA COURO ID: (40629)</t>
  </si>
  <si>
    <t>MOLDURA INFERIOR  GR  6 PTS LEDER 2616X30X25 MDF</t>
  </si>
  <si>
    <t>AMENDOA CLEAN ID: (44100)</t>
  </si>
  <si>
    <t>FRASSINO ID: (44101)</t>
  </si>
  <si>
    <t>MOLDURA LAT DIR INT  GR  6 PTS LEDER 2200X70X25 MDF</t>
  </si>
  <si>
    <t>AMENDOA CLEAN ID: (44102)</t>
  </si>
  <si>
    <t>MOLDURA LAT ESQ INT  GR  6 PTS LEDER 2200X70X25 MDF</t>
  </si>
  <si>
    <t>AMENDOA CLEAN ID: (38861)</t>
  </si>
  <si>
    <t>MOLDURA LATERAL GR 6 PTS LEDER 2325X43X25 MDF</t>
  </si>
  <si>
    <t>AMENDOA CLEAN ID: (43220)</t>
  </si>
  <si>
    <t>MOLDURA SUPERIOR GR 6 PTS LEDER 2616X65X25 MDF</t>
  </si>
  <si>
    <t>FRASSINO ID: (43223)</t>
  </si>
  <si>
    <t>AMENDOA CLEAN ID: (43222)</t>
  </si>
  <si>
    <t>RODAPE FRONTAL  GR  6 PTS LEDER 2670X70X15 MDP</t>
  </si>
  <si>
    <t>FRASSINO ID: (40633)</t>
  </si>
  <si>
    <t>RODAPE TRASEIRO GR LEDER/CALEB/VINCE/OLLIE 2670X70X15 MDP</t>
  </si>
  <si>
    <t>TAMPO INFERIOR GR LEDER/CALEB/OLLIE/VINCE 2670X540X15 MDP</t>
  </si>
  <si>
    <t>FRASSINO ID: (38128)</t>
  </si>
  <si>
    <t>BRANCO ID: (38127)</t>
  </si>
  <si>
    <t>TAMPO SUPERIOR GR LEDER/VINCE/OLLIE/CALEB 2670X540X15 MDP</t>
  </si>
  <si>
    <t>FRASSINO ID: (38865)</t>
  </si>
  <si>
    <t>AMENDOA CLEAN ID: (38863)</t>
  </si>
  <si>
    <t>DISTANCIADOR FRONT GR LEDER/OLLIE/CALEB/VINCE 510X38X25 MDF</t>
  </si>
  <si>
    <t>AMENDOA CLEAN ID: (40729)</t>
  </si>
  <si>
    <t>DISTANCIADOR FRONTAL MAIOR GR 6 PTS LEDER 510X60X25 MDF</t>
  </si>
  <si>
    <t>AMENDOA CLEAN ID: (42513)</t>
  </si>
  <si>
    <t>DISTANCIADOR TRAS GR LEDER/OLLIE/CALEB/VINCE 510X38X25 MDF</t>
  </si>
  <si>
    <t>DISTANCIADOR TRAS MAIOR GR 6 PTS LEDER 510X60X25 MDF</t>
  </si>
  <si>
    <t>FRENTE GAVETA GR 6 PTS LEDER 780X160X15 MDP</t>
  </si>
  <si>
    <t>FRASSINO ID: (42518)</t>
  </si>
  <si>
    <t>AMENDOA CLEAN ID: (42517)</t>
  </si>
  <si>
    <t>PARAFUSO  MAD. CC.PHS. TIPO CHIPBOARD 4,5X50-ZP/ZB/ZA</t>
  </si>
  <si>
    <t>PARAFUSO  MAD.CC.PHS.TIPO CHIPBOARD 4X14-ZB/ZA/ZP</t>
  </si>
  <si>
    <t>PARAFUSO  MAD. FLANG. PHS. TIPO CHIPBOARD 3,5X12-ZB/ZA/ZP</t>
  </si>
  <si>
    <t>PARAFUSO  MAD.FLANG. PHS. TIPO CHIPBOARD 3,5X14-ZP/ZB/ZA</t>
  </si>
  <si>
    <t>FUNDO GAVETA GR 6 PTS LEDER 743X351X2,7 HDF</t>
  </si>
  <si>
    <t>FRASSINO ID: (38188)</t>
  </si>
  <si>
    <t>AMENDOA CLEAN ID: (38187)</t>
  </si>
  <si>
    <t>PARAFUSO  MAD. FLANG.PHS. TIPO CHIPBOARD 3,5X25-ZP/ZB/ZA</t>
  </si>
  <si>
    <t>LATERAL DIREITA GR 6 PTS LEDER 2300X540X15 MDP</t>
  </si>
  <si>
    <t>AMENDOA CLEAN ID: (43255)</t>
  </si>
  <si>
    <t>PARAFUSO  MAD. FLANG. PHS.TIPO CHIPBOARS 3,5X40-ZP</t>
  </si>
  <si>
    <t>LATERAL ESQUERDA GR 6 PTS LEDER 2300X540X15 MDP</t>
  </si>
  <si>
    <t>FRASSINO ID: (43258)</t>
  </si>
  <si>
    <t>PARAFUSO  MAD. FLANG. PHS. TIPO CHIPBOARD 4,5X40-ZP/ZA</t>
  </si>
  <si>
    <t>TRASEIRO GAVETA GR 6 PTS LEDER 727X110X15 MDP</t>
  </si>
  <si>
    <t>FRASSINO ID: (44161)</t>
  </si>
  <si>
    <t>PARAFUSO  P/ MOV.MAQ. C/SEXT. INT. CAB. 13MM 1/4X100- ZP/ZB/ZA</t>
  </si>
  <si>
    <t>PARAFUSO  P/ MOV.MAQ. C/SEXT. INT. CAB. 13MM 1/4X130-ZP/ZB/ZA</t>
  </si>
  <si>
    <t>DIVISAO GR 6 PTS LEDER 2200X540X15 MDP</t>
  </si>
  <si>
    <t>AMENDOA CLEAN ID: (38143)</t>
  </si>
  <si>
    <t>FRASSINO ID: (38144)</t>
  </si>
  <si>
    <t>KIT DOBRADICA GR 6 PTS PORTA CENTRAL LEDER</t>
  </si>
  <si>
    <t>MOLDURA SUPERIOR LATERAL  GR  6 PTS LEDER 540X42X25 MDF</t>
  </si>
  <si>
    <t>FRASSINO ID: (40635)</t>
  </si>
  <si>
    <t>PINAZIO GR LEDER/CALEB/OLLIE/VINCE 508X70X15 MDP</t>
  </si>
  <si>
    <t>PRATELEIRA INFERIOR GR LEDER/CALEB/VINCE/OLLIE 880X420X15 MDP</t>
  </si>
  <si>
    <t>BRANCO ID: (39926)</t>
  </si>
  <si>
    <t>AMENDOA CLEAN ID: (39925)</t>
  </si>
  <si>
    <t>PARAFUSO  P/ MOV. MAQ. C/ SEXT. INT. CAB. 13MM 1/4X45-ZB/ZA/ZP</t>
  </si>
  <si>
    <t>PARAFUSO  P/ MOV. MAQ. C/ SEXT. INT. CAB. 13MM 1/4X80- ZP/ZB/ZA</t>
  </si>
  <si>
    <t>PRATELEIRA SUPERIOR GR LEDER/CALEB/VINCE/OLLIE 880X420X15 MDP</t>
  </si>
  <si>
    <t>BRANCO ID: (40823)</t>
  </si>
  <si>
    <t>AMENDOA CLEAN ID: (40822)</t>
  </si>
  <si>
    <t>FRASSINO ID: (40824)</t>
  </si>
  <si>
    <t>PARAFUSO  P/ MOV. SOB. C/SEXT. INT. CAB. 13MM 7,0X100-ZP/ZB/ZA</t>
  </si>
  <si>
    <t>PARAFUSO  P/ MOV. SOB. C/ SEXT. INT. CAB. 13MM 7,0X130-ZP/ZB/ZA</t>
  </si>
  <si>
    <t>PARAFUSO  P/ MOV. SOB. C/SEXT. INT. CAB. 13MM 7,0X30- ZP/ZB/ZA</t>
  </si>
  <si>
    <t>PARAFUSO  P/ MOV. SOB.C/ SEXT. INT. CAB. 13MM 7,0X40- ZP/ZB/ZA</t>
  </si>
  <si>
    <t>PARAFUSO  P/ MOV. SOB. C/SEXT. INT. CAB. 13MM 7,0X50- ZP/ZB/ZA</t>
  </si>
  <si>
    <t>PARAFUSO  P/MOV. SOB. C/SEXT. INT. CAB. 13MM 7,0X60- ZP/ZB/ZA</t>
  </si>
  <si>
    <t>PARAFUSO  P/ MOV. SOB. PHS. CAB. 7,5MM 5,0X40 ZP</t>
  </si>
  <si>
    <t>PARAFUSO  P/ MOV.SOB. PHS. CAB. 7,5 5,0X50- ZP</t>
  </si>
  <si>
    <t>PORTA CENTRAL GR 6 PTS LEDER 2250X425X15 MDF</t>
  </si>
  <si>
    <t>FRASSINO ID: (40653)</t>
  </si>
  <si>
    <t>AMENDOA CLEAN ID: (40652)</t>
  </si>
  <si>
    <t>PORTA LATERAL GR 6 PTS LEDER 2250X390X15 MDF</t>
  </si>
  <si>
    <t>FRASSINO ID: (42522)</t>
  </si>
  <si>
    <t>COSTAS GR LEDER/OLLIE/CALEB/VINCE 2230X896X2,7 HDF</t>
  </si>
  <si>
    <t>FRASSINO ID: (42525)</t>
  </si>
  <si>
    <t>AMENDOA CLEAN ID: (42523)</t>
  </si>
  <si>
    <t>APLIQUE GR 6 PTS LOOP 2220X60X4 MDF</t>
  </si>
  <si>
    <t>OFF WHITE ID: (42431)</t>
  </si>
  <si>
    <t>SALVIA ID: (42432)</t>
  </si>
  <si>
    <t>KIT DOBRADICA GR 6 PTS LOOP/ERGON/LEDER 2025 PORTA LATERAL</t>
  </si>
  <si>
    <t>KIT FERRAGEM GR 6PTS LOOP</t>
  </si>
  <si>
    <t>FRASSINO ID: (44076)</t>
  </si>
  <si>
    <t>MOLDURA LAT COLADA GR 6 PTS LOOP 2341X75X40</t>
  </si>
  <si>
    <t>OFF WHITE ID: (38066)</t>
  </si>
  <si>
    <t>MOLDURA SUPERIOR TRAS  GR  6 PTS LOOP 2579X41X15 MDF</t>
  </si>
  <si>
    <t>FRASSINO ID: (38069)</t>
  </si>
  <si>
    <t>AMENDOA CLEAN ID: (38068)</t>
  </si>
  <si>
    <t>BRANCO ID: (52014)</t>
  </si>
  <si>
    <t>MOLDURA SUP/INF  GR  6 PTS LOOP 2578X50X18 MDF</t>
  </si>
  <si>
    <t>FRASSINO ID: (42434)</t>
  </si>
  <si>
    <t>AMENDOA CLEAN ID: (42433)</t>
  </si>
  <si>
    <t>BRANCO ID: (52015)</t>
  </si>
  <si>
    <t>RODAPE FRONTAL  GR  6 PTS LOOP 2579X41X15 MDF</t>
  </si>
  <si>
    <t>AMENDOA CLEAN ID: (38826)</t>
  </si>
  <si>
    <t>FRASSINO ID: (38827)</t>
  </si>
  <si>
    <t>RODAPE TRASEIRO GR 6 PTS LOOP 2578X60X15 MDF</t>
  </si>
  <si>
    <t>SAPATA DESLIZADORA 15X6X2MM MARRON</t>
  </si>
  <si>
    <t>SAPATA REDONDA 22MM PRETA</t>
  </si>
  <si>
    <t>SAPATA 15MM CINZA EM "L"</t>
  </si>
  <si>
    <t>SAPATA REGULAVEL 20,5X26,5 (NIQUEL) - 02.03.296-421</t>
  </si>
  <si>
    <t>SAPATA DESLIZADORA 15X30MM (R) PRETO C/PREGO</t>
  </si>
  <si>
    <t>TAMPO INFERIOR GR 6 PTS LOOP 2661X505X15 MDP</t>
  </si>
  <si>
    <t>FRASSINO ID: (38829)</t>
  </si>
  <si>
    <t>TAMPO SUPERIOR GR 6 PTS LOOP 2661X505X15 MDP</t>
  </si>
  <si>
    <t>FRASSINO ID: (43201)</t>
  </si>
  <si>
    <t>SAPATA REGULAVEL REDONDA 1/4X3/4 17MM PRETO BORRACHA</t>
  </si>
  <si>
    <t>FRENTE GAVETA GR 6 PTS LOOP 770X160X15 MDP</t>
  </si>
  <si>
    <t>FRASSINO ID: (43203)</t>
  </si>
  <si>
    <t>FUNDO GAVETA GR 6 PTS LOOP 740X401X2,7 HDF</t>
  </si>
  <si>
    <t>BRANCO ID: (52023)</t>
  </si>
  <si>
    <t>AMENDOA CLEAN ID: (39753)</t>
  </si>
  <si>
    <t>FRASSINO ID: (39754)</t>
  </si>
  <si>
    <t>SAPATA QUAD 40X40MM LINHA LOOP AMEND</t>
  </si>
  <si>
    <t>LATERAL GAVETA DIREITA GR 6 PTS LOOP 400X120X15 MDP</t>
  </si>
  <si>
    <t>FRASSINO ID: (38831)</t>
  </si>
  <si>
    <t>AMENDOA CLEAN ID: (38830)</t>
  </si>
  <si>
    <t>SUPORTE TRAVESSAO 25MM PRETO</t>
  </si>
  <si>
    <t>LATERAL GAVETA ESQUERDA GR 6 PTS LOOP 400X120X15 MDP</t>
  </si>
  <si>
    <t>AMENDOA CLEAN ID: (38832)</t>
  </si>
  <si>
    <t>FRASSINO ID: (38833)</t>
  </si>
  <si>
    <t>SUPORTE P/ESPELHO CROMADO</t>
  </si>
  <si>
    <t>LATERAL DIREITA GR 6 PTS LOOP 2260X540X18 MDF</t>
  </si>
  <si>
    <t>FRASSINO ID: (41536)</t>
  </si>
  <si>
    <t>SUPORTE PRATELEIRA BRANCO</t>
  </si>
  <si>
    <t>SUPORTE PRATELEIRA PRATA</t>
  </si>
  <si>
    <t>LATERAL ESQUERDA GR 6 PTS LOOP 2260X540X18 MDF</t>
  </si>
  <si>
    <t>FRASSINO ID: (41538)</t>
  </si>
  <si>
    <t>AMENDOA CLEAN ID: (41537)</t>
  </si>
  <si>
    <t>SUPORTE CABIDE OBILONGO CROMADO</t>
  </si>
  <si>
    <t>SUPORTE CABIDEIRO U CENTRAL</t>
  </si>
  <si>
    <t>SUPORTE TRIANGULAR PRETO (F GAVETA)</t>
  </si>
  <si>
    <t>SUPORTE J - NIQUEL</t>
  </si>
  <si>
    <t>TRASEIRO GAVETA GR 6 PTS LOOP 724X110X15 MDP</t>
  </si>
  <si>
    <t>FRASSINO ID: (42438)</t>
  </si>
  <si>
    <t>AMENDOA CLEAN ID: (42437)</t>
  </si>
  <si>
    <t>DISTANCIADOR TRAS GR 6 PTS LOOP 510X38X25 MDF</t>
  </si>
  <si>
    <t>DISTANCIADOR TRAS MAIOR GR 6 PTS LOOP 510X75X25 MDF</t>
  </si>
  <si>
    <t>DIVISAO GR 6 PTS LOOP 2230X505X15 MDP</t>
  </si>
  <si>
    <t>AMENDOA CLEAN ID: (38834)</t>
  </si>
  <si>
    <t>PINAZIO GR 6 PTS LOOP 473X60X15 MDF</t>
  </si>
  <si>
    <t>PINAZIO LAT GR  6 PTS LOOP 473X60X15 MDF</t>
  </si>
  <si>
    <t>PRATELEIRA INFERIOR GR 6 PTS LOOP 845X420X15 MDP</t>
  </si>
  <si>
    <t>AMENDOA CLEAN ID: (40591)</t>
  </si>
  <si>
    <t>PRATELEIRA SUPERIOR GR 6 PTS LOOP 845X420X15 MDP</t>
  </si>
  <si>
    <t>AMENDOA CLEAN ID: (43206)</t>
  </si>
  <si>
    <t>FRASSINO ID: (43207)</t>
  </si>
  <si>
    <t>PRATELEIRA INFERIOR LATERAL  GR  6 PTS LOOP 893X430X15 MDP</t>
  </si>
  <si>
    <t>AMENDOA CLEAN ID: (43208)</t>
  </si>
  <si>
    <t>PRATELEIRA SUPERIOR LATERAL  GR  6 PTS LOOP 893X420X15 MDP</t>
  </si>
  <si>
    <t>AMENDOA CLEAN ID: (38838)</t>
  </si>
  <si>
    <t>FRASSINO ID: (38839)</t>
  </si>
  <si>
    <t>VISTA FRONTAL GAV  GR  6 PTS LOOP 510X38X25 MDF</t>
  </si>
  <si>
    <t>BRANCO ID: (52042)</t>
  </si>
  <si>
    <t>FRASSINO ID: (38840)</t>
  </si>
  <si>
    <t>AMENDOA CLEAN ID: (38841)</t>
  </si>
  <si>
    <t>VISTA FRONTAL GAV MAIOR  GR  6 PTS LOOP 510X75X25 MDF</t>
  </si>
  <si>
    <t>FRASSINO ID: (44080)</t>
  </si>
  <si>
    <t>BRANCO ID: (52045)</t>
  </si>
  <si>
    <t>AMENDOA CLEAN ID: (44079)</t>
  </si>
  <si>
    <t>PORTA GR  6 PTS LOOP 2325X426X15 MDF</t>
  </si>
  <si>
    <t>OFF WHITE ID: (44081)</t>
  </si>
  <si>
    <t>SALVIA ID: (44082)</t>
  </si>
  <si>
    <t>COSTAS CENTRAL  GR  6 PTS LOOP 2260X860X2,7 HDF</t>
  </si>
  <si>
    <t>BRANCO ID: (65259)</t>
  </si>
  <si>
    <t>AMENDOA CLEAN ID: (40593)</t>
  </si>
  <si>
    <t>FRASSINO ID: (40594)</t>
  </si>
  <si>
    <t>COSTAS GR 6 PTS LOOP 2260X915X2,7 HDF</t>
  </si>
  <si>
    <t>FRASSINO ID: (38077)</t>
  </si>
  <si>
    <t>AMENDOA CLEAN ID: (38076)</t>
  </si>
  <si>
    <t>BRANCO ID: (65261)</t>
  </si>
  <si>
    <t>APLIQUE GR 6 PTS LOOP 2024 2324X60X4 MDF</t>
  </si>
  <si>
    <t>OFF WHITE ID: (44116)</t>
  </si>
  <si>
    <t>AMENDOA CLEAN ID: (52113)</t>
  </si>
  <si>
    <t>SALVIA ID: (44117)</t>
  </si>
  <si>
    <t>BRANCO ID: (52008)</t>
  </si>
  <si>
    <t>MOLDURA LATERAL EXTERNA  GR  6 PTS LOOP 2024 2342X41X18 MDF</t>
  </si>
  <si>
    <t>SALVIA ID: (41583)</t>
  </si>
  <si>
    <t>OFF WHITE ID: (41582)</t>
  </si>
  <si>
    <t>AMENDOA CLEAN ID: (52115)</t>
  </si>
  <si>
    <t>BRANCO ID: (52011)</t>
  </si>
  <si>
    <t>MOLDURA LAT INT COLADA  GR  6 PTS LOOP 2024 2230X55X40 MDF COL</t>
  </si>
  <si>
    <t>AMENDOA CLEAN ID: (44120)</t>
  </si>
  <si>
    <t>FRASSINO ID: (44121)</t>
  </si>
  <si>
    <t>BRANCO ID: (52013)</t>
  </si>
  <si>
    <t>TAMPO INFERIOR GR 6 PTS LOOP 2024 2661X505X15 MDP</t>
  </si>
  <si>
    <t>FRASSINO ID: (38146)</t>
  </si>
  <si>
    <t>TAMPO SUPERIOR GR 6 PTS LOOP 2024 2661X505X15 MDP</t>
  </si>
  <si>
    <t>AMENDOA CLEAN ID: (38880)</t>
  </si>
  <si>
    <t>LATERAL DIREITA GR 6 PTS LOOP 2024 2260X540X18 MDF</t>
  </si>
  <si>
    <t>BRANCO ID: (52027)</t>
  </si>
  <si>
    <t>FRASSINO ID: (41584)</t>
  </si>
  <si>
    <t>LATERAL ESQUERDA GR 6 PTS LOOP 2024 2260X540X18 MDF</t>
  </si>
  <si>
    <t>BRANCO ID: (52029)</t>
  </si>
  <si>
    <t>AMENDOA CLEAN ID: (44122)</t>
  </si>
  <si>
    <t>FRASSINO ID: (44123)</t>
  </si>
  <si>
    <t>AMENDOA CLEAN ID: (52117)</t>
  </si>
  <si>
    <t>BRANCO ID: (52047)</t>
  </si>
  <si>
    <t>OFF WHITE ID: (13790)</t>
  </si>
  <si>
    <t>PORTA GR  6 PTS LOOP 2024 2325X406X15 MDF</t>
  </si>
  <si>
    <t>AMENDOA CLEAN ID: (52118)</t>
  </si>
  <si>
    <t>BRANCO ID: (52048)</t>
  </si>
  <si>
    <t>OFF WHITE ID: (41586)</t>
  </si>
  <si>
    <t>SALVIA ID: (41587)</t>
  </si>
  <si>
    <t>AMENDOA CLEAN ID: (13619)</t>
  </si>
  <si>
    <t>FRASSINO ID: (13621)</t>
  </si>
  <si>
    <t>BRANCO ID: (65257)</t>
  </si>
  <si>
    <t>APLIQUE GRANDE PORTA  GR  3 PTS SPECIALE/NICE 875X53X2,7 HDF</t>
  </si>
  <si>
    <t>FRASSINO ID: (42529)</t>
  </si>
  <si>
    <t>AMENDOA CLEAN ID: (42526)</t>
  </si>
  <si>
    <t>BRANCO ID: (42527)</t>
  </si>
  <si>
    <t>APLIQUE MENOR PORTA  GR  3 PTS NICE 765X53X2,7 HDF</t>
  </si>
  <si>
    <t>FRASSINO ID: (38149)</t>
  </si>
  <si>
    <t>BRANCO ID: (38148)</t>
  </si>
  <si>
    <t>AMENDOA CLEAN ID: (38147)</t>
  </si>
  <si>
    <t>ENCABECAMENTO LATERAL PORTA GR 3 PTS VEX/NICE 2048X55X25 MDF</t>
  </si>
  <si>
    <t>FRASSINO ID: (38153)</t>
  </si>
  <si>
    <t>BRANCO ID: (38152)</t>
  </si>
  <si>
    <t>AMENDOA CLEAN ID: (38151)</t>
  </si>
  <si>
    <t>MOLD/PUXADOR LAT PORTA GR SPECIALE/PRESTIGE/VEX/NICE 2048X70X25 MDF</t>
  </si>
  <si>
    <t>AMENDOA CLEAN ID: (43240)</t>
  </si>
  <si>
    <t>FRASSINO ID: (43243)</t>
  </si>
  <si>
    <t>BRANCO ID: (43241)</t>
  </si>
  <si>
    <t>PINAZIO GR 3 PTS VEX/NICE 538X120X15 MDP</t>
  </si>
  <si>
    <t>TAMPO INFERIOR GR 3 PTS NICE 2670X570X15 MDP</t>
  </si>
  <si>
    <t>AMENDOA CLEAN ID: (38889)</t>
  </si>
  <si>
    <t>FRASSINO ID: (38891)</t>
  </si>
  <si>
    <t>BRANCO ID: (38890)</t>
  </si>
  <si>
    <t>TAMPO SUPERIOR GR 3 PTS NICE 2670X570X15 MDP</t>
  </si>
  <si>
    <t>BRANCO ID: (43248)</t>
  </si>
  <si>
    <t>AMENDOA CLEAN ID: (43247)</t>
  </si>
  <si>
    <t>FRASSINO ID: (43249)</t>
  </si>
  <si>
    <t>LATERAL GR 3 PTS VEX/NICE 2300X570X15 MDP</t>
  </si>
  <si>
    <t>FRASSINO ID: (44126)</t>
  </si>
  <si>
    <t>AMENDOA CLEAN ID: (44124)</t>
  </si>
  <si>
    <t>DIVISAO GR 3 PTS VEX/NICE 2080X420X15 MDP</t>
  </si>
  <si>
    <t>AMENDOA CLEAN ID: (38897)</t>
  </si>
  <si>
    <t>FRASSINO ID: (38899)</t>
  </si>
  <si>
    <t>BRANCO ID: (38898)</t>
  </si>
  <si>
    <t>PRATELEIRA GAVETA  GR  3 PTS NICE 880X400X15 MDP</t>
  </si>
  <si>
    <t>FRASSINO ID: (38157)</t>
  </si>
  <si>
    <t>BRANCO ID: (38156)</t>
  </si>
  <si>
    <t>AMENDOA CLEAN ID: (38155)</t>
  </si>
  <si>
    <t>PRATELEIRA S/FURO GR 3 PTS NICE 880X350X15 MDP</t>
  </si>
  <si>
    <t>BRANCO ID: (44133)</t>
  </si>
  <si>
    <t>FRASSINO ID: (44134)</t>
  </si>
  <si>
    <t>AMENDOA CLEAN ID: (44132)</t>
  </si>
  <si>
    <t>PRATELEIRA SUPERIOR GR 3 PTS NICE 880X400X15 MDP</t>
  </si>
  <si>
    <t>BRANCO ID: (39792)</t>
  </si>
  <si>
    <t>AMENDOA CLEAN ID: (39791)</t>
  </si>
  <si>
    <t>COSTAS GR 3 PTS NICE 2110X896X2,7 HDF</t>
  </si>
  <si>
    <t>AMENDOA CLEAN ID: (39795)</t>
  </si>
  <si>
    <t>PORTA CENTRAL GR 3 PTS SPECIALE/NICE 2048X930X12 MDP</t>
  </si>
  <si>
    <t>BRANCO ID: (38164)</t>
  </si>
  <si>
    <t>AMENDOA CLEAN/OFF WH ID: (38163)</t>
  </si>
  <si>
    <t>FRASSINO/OFF WHITE ID: (38167)</t>
  </si>
  <si>
    <t>PORTA LATERAL GR 3 PTS NICE 2048X820X12 MDP</t>
  </si>
  <si>
    <t>AMENDOA CLEAN/OFF WH ID: (43251)</t>
  </si>
  <si>
    <t>FRASSINO/OFF WHITE ID: (43253)</t>
  </si>
  <si>
    <t>PRATELEIRA C/FURO INF  GR  2 PTS VELARIS/NIX/UPPER 425X332X15 MDF</t>
  </si>
  <si>
    <t>AMENDOA CLEAN ID: (38901)</t>
  </si>
  <si>
    <t>FRASSINO ID: (38903)</t>
  </si>
  <si>
    <t>BRANCO ID: (38902)</t>
  </si>
  <si>
    <t>PRATELEIRA SUPERIOR S/FURO  GR  2 PTS VELARIS/NIX/UPPER 425X332X15 MDF</t>
  </si>
  <si>
    <t>FRASSINO ID: (42539)</t>
  </si>
  <si>
    <t>BRANCO ID: (42538)</t>
  </si>
  <si>
    <t>TAMPO INFERIOR GR 2 PTS VELARIS/NIX/UPPER 2120X535X15 MDF</t>
  </si>
  <si>
    <t>AMENDOA CLEAN ID: (41588)</t>
  </si>
  <si>
    <t>BRANCO ID: (41589)</t>
  </si>
  <si>
    <t>KIT FERRAGEM COMODA 07GAV 02PTS VEDRA</t>
  </si>
  <si>
    <t>TAMPO SUPERIOR GR 2 PTS VELARIS/NIX/UPPER 2120X535X15 MDF</t>
  </si>
  <si>
    <t>AMENDOA CLEAN ID: (39802)</t>
  </si>
  <si>
    <t>BRANCO ID: (39803)</t>
  </si>
  <si>
    <t>COSTAS HORIZONTAL  GR  2 PTS VELARIS/NIX/UPPER 2145X380X2,7 HDF</t>
  </si>
  <si>
    <t>AMENDOA CLEAN ID: (38171)</t>
  </si>
  <si>
    <t>BRANCO ID: (38172)</t>
  </si>
  <si>
    <t>DISTANCIADOR FRONT GR RO/UNI/MAL/VEL/DUN/AND/NIX/ANE/UPP 380X38X25 MDF</t>
  </si>
  <si>
    <t>BRANCO ID: (41603)</t>
  </si>
  <si>
    <t>AMENDOA CLEAN ID: (41602)</t>
  </si>
  <si>
    <t>DISTANCIADOR TRAS GR ROY/UNI/MAL/VELA/DUN/AND/NIX/ANE/UP 380X38X25 MDF</t>
  </si>
  <si>
    <t>DIVISAO MALEIRO FRONTAL  GR  VELARIS/SUB/SIRIUS/NIX/UPPER 360X80X15 MD</t>
  </si>
  <si>
    <t>BRANCO ID: (38079)</t>
  </si>
  <si>
    <t>DIVISAO MALEIRO TRAS  GR  VELARIS/SUBL/SIRIUS/NIX/UPPER 360X80X15 MDF</t>
  </si>
  <si>
    <t>AMENDOA CLEAN ID: (40595)</t>
  </si>
  <si>
    <t>BRANCO ID: (40596)</t>
  </si>
  <si>
    <t>FRENTE GAVETA COFRE COMODA 02 PTS 07 GAV VEDRA 385X135X15 MDP</t>
  </si>
  <si>
    <t>AMENDOA CLEAN ID: (35511)</t>
  </si>
  <si>
    <t>FRASSINO ID: (35513)</t>
  </si>
  <si>
    <t>BRANCO ID: (35512)</t>
  </si>
  <si>
    <t>KIT ROLDANA CM 155 GUIA RODIZIO 26,8MM (02 PTS) - MP 45826</t>
  </si>
  <si>
    <t>LATERAL DIREITA GR 2 PTS VELARIS/NIX/UPPER 2300X535X15 MDF</t>
  </si>
  <si>
    <t>BRANCO ID: (42444)</t>
  </si>
  <si>
    <t>AMENDOA CLEAN ID: (42443)</t>
  </si>
  <si>
    <t>FRENTE GAVETA COMODA 02 PTS 07 GAV VEDRA 815X145X15 MDP</t>
  </si>
  <si>
    <t>FRASSINO ID: (36019)</t>
  </si>
  <si>
    <t>AMENDOA CLEAN ID: (36017)</t>
  </si>
  <si>
    <t>OFF WHITE ID: (36021)</t>
  </si>
  <si>
    <t>BRANCO ID: (36018)</t>
  </si>
  <si>
    <t>LATERAL ESQUERDA GR 2 PTS VELARIS/NIX/UPPER 2300X535X15 MDF</t>
  </si>
  <si>
    <t>AMENDOA CLEAN ID: (44083)</t>
  </si>
  <si>
    <t>BRANCO ID: (44084)</t>
  </si>
  <si>
    <t>LATERAL GAVETA DIREITA COMODA BAL/VEG/ARE/AUS/VAL/MON/GEN 350X120X15 M</t>
  </si>
  <si>
    <t>AMENDOA CLEAN ID: (36263)</t>
  </si>
  <si>
    <t>BRANCO ID: (36264)</t>
  </si>
  <si>
    <t>LATERAL GAVETA ESQUERDA COMODA BA/VE/AR/AU/VAL/MON/GEN 350X120X15 MDP</t>
  </si>
  <si>
    <t>BRANCO ID: (34678)</t>
  </si>
  <si>
    <t>AMENDOA CLEAN ID: (34676)</t>
  </si>
  <si>
    <t>PINAZIO ROD C/FURO COMODA 02 PTS 07 GAV VEDRA 404X70X15 MDP</t>
  </si>
  <si>
    <t>PINAZIO ROD S/FURO COMODA 02 PTS 07 GAV VEDRA 404X70X15 MDP</t>
  </si>
  <si>
    <t>BRANCO ID: (34688)</t>
  </si>
  <si>
    <t>AMENDOA CLEAN ID: (34686)</t>
  </si>
  <si>
    <t>RODAPE FRONTAL  COMODA  02 PTS 07 GAV VEDRA 1670X70X15 MDP</t>
  </si>
  <si>
    <t>RODAPE FRONTAL  EXT COMODA  02 PTS 07 GAV VEDRA 1726X70X15 MDP</t>
  </si>
  <si>
    <t>BRANCO ID: (36497)</t>
  </si>
  <si>
    <t>AMENDOA CLEAN ID: (36496)</t>
  </si>
  <si>
    <t>FRASSINO ID: (36498)</t>
  </si>
  <si>
    <t>PINAZIO GR 2 PTS VELARIS/NIX/UPPER 503X70X15 MDF</t>
  </si>
  <si>
    <t>RODAPE TRASEIRO COMODA 02 PTS 07 GAV VEDRA 1670X70X15 MDP</t>
  </si>
  <si>
    <t>DIVISAO CENTRAL GR 2 PTS VELARIS/NIX/UPPER 1190X450X15 MDF</t>
  </si>
  <si>
    <t>FRASSINO ID: (38846)</t>
  </si>
  <si>
    <t>BRANCO ID: (38845)</t>
  </si>
  <si>
    <t>AMENDOA CLEAN ID: (38844)</t>
  </si>
  <si>
    <t>TRASEIRO GAVETA COMODA 02 PTS 07 GAV VEDRA 750X120X15 MDP</t>
  </si>
  <si>
    <t>BRANCO ID: (34709)</t>
  </si>
  <si>
    <t>FRASSINO ID: (34711)</t>
  </si>
  <si>
    <t>AMENDOA CLEAN ID: (34707)</t>
  </si>
  <si>
    <t>TAMPO COMODA 02 PTS 07 GAV VEDRA 1710X455X25 MDP</t>
  </si>
  <si>
    <t>BRANCO ID: (36508)</t>
  </si>
  <si>
    <t>FRASSINO ID: (36509)</t>
  </si>
  <si>
    <t>AMENDOA CLEAN ID: (36507)</t>
  </si>
  <si>
    <t>DIVISAO GAVETA GR 2 PTS VELARIS/NIX/UPPER 600X450X15 MDF</t>
  </si>
  <si>
    <t>BRANCO ID: (43178)</t>
  </si>
  <si>
    <t>AMENDOA CLEAN ID: (43177)</t>
  </si>
  <si>
    <t>FRENTE GAVETA GR MALI/VELARIS/NIX/UPPER 630X160X15 MDF</t>
  </si>
  <si>
    <t>BRANCO ID: (39721)</t>
  </si>
  <si>
    <t>FRASSINO ID: (39722)</t>
  </si>
  <si>
    <t>AMENDOA CLEAN ID: (39720)</t>
  </si>
  <si>
    <t>LATERAL GAVETA DIREITA GR MA/VEL/SU/SI/AZ/DAN/NIX/UP/SO 350X120X15 MDF</t>
  </si>
  <si>
    <t>FRASSINO ID: (38037)</t>
  </si>
  <si>
    <t>BRANCO ID: (38036)</t>
  </si>
  <si>
    <t>AMENDOA CLEAN ID: (38035)</t>
  </si>
  <si>
    <t>COSTAS MAIOR COMODA 02 PTS 07 GAV VEDRA 1130X436X2,7 HDF</t>
  </si>
  <si>
    <t>AMENDOA CLEAN ID: (35535)</t>
  </si>
  <si>
    <t>BRANCO ID: (35536)</t>
  </si>
  <si>
    <t>FRASSINO ID: (35537)</t>
  </si>
  <si>
    <t>COSTAS PEQUENA  COMODA  02 PTS 07 GAV VEDRA 1130X406X2,7 HDF</t>
  </si>
  <si>
    <t>LATERAL GAVETA ESQUERDA GR MA/VE/SU/SI/AZ/DAN/NIX/UP/SO 350X120X15 MDF</t>
  </si>
  <si>
    <t>FRASSINO ID: (39734)</t>
  </si>
  <si>
    <t>BRANCO ID: (39733)</t>
  </si>
  <si>
    <t>TRASEIRO GAVETA GR MALI/VELARIS/NIX/UPPER 574X120X15 MDF</t>
  </si>
  <si>
    <t>AMENDOA CLEAN ID: (38041)</t>
  </si>
  <si>
    <t>BRANCO ID: (38042)</t>
  </si>
  <si>
    <t>FUNDO GAVETA COFRE COMODA 02 PTS 07 GAV VEDRA 350X348X2,7 HDF</t>
  </si>
  <si>
    <t>AMENDOA CLEAN ID: (36023)</t>
  </si>
  <si>
    <t>FRASSINO ID: (36025)</t>
  </si>
  <si>
    <t>BRANCO ID: (36024)</t>
  </si>
  <si>
    <t>PORTA COMODA  02 PTS 07 GAV VEDRA 1087X430X15 MDP</t>
  </si>
  <si>
    <t>OFF WHITE ID: (36031)</t>
  </si>
  <si>
    <t>BRANCO ID: (36028)</t>
  </si>
  <si>
    <t>AMENDOA CLEAN ID: (36027)</t>
  </si>
  <si>
    <t>COSTAS VERTICAL PEQUENA  GR  2 PTS VELARIS/NIX/UPPER 1830X350X2,7 HDF</t>
  </si>
  <si>
    <t>AMENDOA CLEAN ID: (39024)</t>
  </si>
  <si>
    <t>ENCABECAMENTO LATERAL PORTA GR VEL/SUB/SIR/NIX/UPPER 2148X55X25 MDF</t>
  </si>
  <si>
    <t>FRASSINO ID: (43186)</t>
  </si>
  <si>
    <t>BRANCO ID: (43184)</t>
  </si>
  <si>
    <t>AMENDOA CLEAN ID: (43183)</t>
  </si>
  <si>
    <t>PRATELEIRA C/FURO COMODA 02 PTS 07 GAV VEDRA 417X360X15 MDP</t>
  </si>
  <si>
    <t>AMENDOA CLEAN ID: (35446)</t>
  </si>
  <si>
    <t>FUNDO GAVETA GR MALI/VELARIS/NIX/UPPER 590X351X2,7 HDF</t>
  </si>
  <si>
    <t>BRANCO ID: (42420)</t>
  </si>
  <si>
    <t>PRATELEIRA S/FURO COMODA 02 PTS 07 GAV VEDRA 434X417X12 MDP</t>
  </si>
  <si>
    <t>AMENDOA CLEAN ID: (35450)</t>
  </si>
  <si>
    <t>BRANCO ID: (35451)</t>
  </si>
  <si>
    <t>DIVISAO DIREITA COMODA 02 PTS 07 GAV VEDRA 1095X435X15 MDP</t>
  </si>
  <si>
    <t>BRANCO ID: (35729)</t>
  </si>
  <si>
    <t>AMENDOA CLEAN ID: (35728)</t>
  </si>
  <si>
    <t>DIVISAO ESQUERDA COMODA 02 PTS 07 GAV VEDRA 1095X435X15 MDP</t>
  </si>
  <si>
    <t>BRANCO ID: (36222)</t>
  </si>
  <si>
    <t>AMENDOA CLEAN ID: (36221)</t>
  </si>
  <si>
    <t>LATERAL DIREITA COMODA 02 PTS 07 GAV VEDRA 1165X435X15 MDP</t>
  </si>
  <si>
    <t>AMENDOA CLEAN ID: (35207)</t>
  </si>
  <si>
    <t>BRANCO ID: (35208)</t>
  </si>
  <si>
    <t>LATERAL ESQUERDA COMODA 02 PTS 07 GAV VEDRA 1165X435X15 MDP</t>
  </si>
  <si>
    <t>AMENDOA CLEAN ID: (35989)</t>
  </si>
  <si>
    <t>BRANCO ID: (35990)</t>
  </si>
  <si>
    <t>RODAPE  LAT COMODA  02 PTS 07 GAV VEDRA 435X70X12 MDP</t>
  </si>
  <si>
    <t>AMENDOA CLEAN ID: (34937)</t>
  </si>
  <si>
    <t>BRANCO ID: (34939)</t>
  </si>
  <si>
    <t>VISTA COMODA  02 PTS 07 GAV VEDRA 805X50X15 MDP</t>
  </si>
  <si>
    <t>FRASSINO ID: (35734)</t>
  </si>
  <si>
    <t>AMENDOA CLEAN ID: (35732)</t>
  </si>
  <si>
    <t>BRANCO ID: (35733)</t>
  </si>
  <si>
    <t>FUNDO GAVETA COMODA 02 PTS 07 GAV VEDRA 762X348X2,7 HDF</t>
  </si>
  <si>
    <t>BRANCO ID: (36226)</t>
  </si>
  <si>
    <t>FRASSINO ID: (36227)</t>
  </si>
  <si>
    <t>AMENDOA CLEAN ID: (36225)</t>
  </si>
  <si>
    <t>TAMPO COMODA URBAN 8 GAV 1520X485X25 MDF</t>
  </si>
  <si>
    <t>AMENDOA CLEAN ID: (34998)</t>
  </si>
  <si>
    <t>BRANCO ID: (34999)</t>
  </si>
  <si>
    <t>FRENTE GAVETA DIR COMODA URBAN 8 GAV 712X195X15 MDF</t>
  </si>
  <si>
    <t>BRANCO ID: (35759)</t>
  </si>
  <si>
    <t>OFF WHITE ID: (86935)</t>
  </si>
  <si>
    <t>AMENDOA CLEAN ID: (35758)</t>
  </si>
  <si>
    <t>KIT FERRAGEM GR 3PTS SAION PLUS</t>
  </si>
  <si>
    <t>FRASSINO ID: (40587)</t>
  </si>
  <si>
    <t>FRENTE GAVETA ESQ COMODA URBAN 8 GAV 712X195X15 MDF</t>
  </si>
  <si>
    <t>BRANCO ID: (35519)</t>
  </si>
  <si>
    <t>AMENDOA CLEAN ID: (35518)</t>
  </si>
  <si>
    <t>OFF WHITE ID: (86939)</t>
  </si>
  <si>
    <t>MOLDURA GR  2/3 PTS VALSA/SAION/ZION 2000X120X15 MDP</t>
  </si>
  <si>
    <t>AMENDOA CLEAN ID: (39749)</t>
  </si>
  <si>
    <t>PINAZIO ROD COMODA URBAN 8 GAV 427X70X15 MDF</t>
  </si>
  <si>
    <t>AMENDOA CLEAN ID: (34959)</t>
  </si>
  <si>
    <t>BRANCO ID: (34960)</t>
  </si>
  <si>
    <t>TAMPO INFERIOR GR 3 PTS SAION/ZION 1980X520X12 MDP</t>
  </si>
  <si>
    <t>FRASSINO ID: (44106)</t>
  </si>
  <si>
    <t>BRANCO ID: (44105)</t>
  </si>
  <si>
    <t>RODAPE FRONTAL  COMODA  URBAN 8 GAV 1435X70X15 MDF</t>
  </si>
  <si>
    <t>AMENDOA CLEAN ID: (36474)</t>
  </si>
  <si>
    <t>BRANCO ID: (36475)</t>
  </si>
  <si>
    <t>TAMPO SUPERIOR GR 3 PTS SAION/ZION 1980X520X12 MDP</t>
  </si>
  <si>
    <t>BRANCO ID: (40637)</t>
  </si>
  <si>
    <t>AMENDOA CLEAN ID: (40636)</t>
  </si>
  <si>
    <t>FRASSINO ID: (40638)</t>
  </si>
  <si>
    <t>LATERAL DIREITA GR 3 PTS SAION/ZION 2180X520X12 MDP</t>
  </si>
  <si>
    <t>AMENDOA CLEAN ID: (40640)</t>
  </si>
  <si>
    <t>FRASSINO ID: (40642)</t>
  </si>
  <si>
    <t>LATERAL ESQUERDA GR 3 PTS SAION/ZION 2180X520X12 MDP</t>
  </si>
  <si>
    <t>FRASSINO ID: (38868)</t>
  </si>
  <si>
    <t>BRANCO ID: (38867)</t>
  </si>
  <si>
    <t>AMENDOA CLEAN ID: (38866)</t>
  </si>
  <si>
    <t>VISTA COMODA  URBAN 8 GAV 1435X60X15 MDF</t>
  </si>
  <si>
    <t>BRANCO ID: (36001)</t>
  </si>
  <si>
    <t>AMENDOA CLEAN ID: (36000)</t>
  </si>
  <si>
    <t>PORTA CENTRAL GR 3 PTS SAION/ZION 1970X680X15 MDP</t>
  </si>
  <si>
    <t>FRASSINO/OFF WHITE ID: (38131)</t>
  </si>
  <si>
    <t>BRANCO ID: (38130)</t>
  </si>
  <si>
    <t>AMENDOA CLEAN/OFF WH ID: (38129)</t>
  </si>
  <si>
    <t>PORTA LATERAL GR 3 PTS SAION/ZION 1970X670X15 MDP</t>
  </si>
  <si>
    <t>FRASSINO/OFF WHITE/F ID: (42460)</t>
  </si>
  <si>
    <t>AMENDOA CL/OFF WHI/A ID: (42458)</t>
  </si>
  <si>
    <t>PORTA MONTADA GR 3 PTS SAION/ZION 1970X672X25</t>
  </si>
  <si>
    <t>FRASSINO ID: (39787)</t>
  </si>
  <si>
    <t>COSTAS COMODA 8 GAV URBAN 1460X450X2,7 HDF</t>
  </si>
  <si>
    <t>FUNDO GAVETA COMODA URBAN 8 GAV 668X398X2,7 HDF</t>
  </si>
  <si>
    <t>BRANCO ID: (35219)</t>
  </si>
  <si>
    <t>AMENDOA CLEAN ID: (35218)</t>
  </si>
  <si>
    <t>MOLDURA EXTERNA  GR  6 PTS SOLARIS 2699X30X25 MDF</t>
  </si>
  <si>
    <t>AMENDOA CLEAN ID: (42550)</t>
  </si>
  <si>
    <t>DIVISAO COMODA URBAN 8 GAV 2019 870X396X15 MDF</t>
  </si>
  <si>
    <t>AMENDOA CLEAN ID: (34560)</t>
  </si>
  <si>
    <t>BRANCO ID: (34562)</t>
  </si>
  <si>
    <t>LATERAL DIREITA COMODA URBAN 8 GAV 2019 940X460X15 MDF</t>
  </si>
  <si>
    <t>AMENDOA CLEAN ID: (36421)</t>
  </si>
  <si>
    <t>BRANCO ID: (36422)</t>
  </si>
  <si>
    <t>LATERAL ESQUERDA COMODA URBAN 8 GAV 2019 940X460X15 MDF</t>
  </si>
  <si>
    <t>BRANCO ID: (35961)</t>
  </si>
  <si>
    <t>AMENDOA CLEAN ID: (35960)</t>
  </si>
  <si>
    <t>MOLDURA SUPERIOR INTERNA  GR  6 PTS SOLARIS 2670X60X15 MDF</t>
  </si>
  <si>
    <t>AMENDOA CLEAN ID: (41610)</t>
  </si>
  <si>
    <t>LATERAL GAVETA DIREITA COMODA URBAN 8 GAV 400X140X15 MDF</t>
  </si>
  <si>
    <t>AMENDOA CLEAN ID: (36427)</t>
  </si>
  <si>
    <t>BRANCO ID: (36428)</t>
  </si>
  <si>
    <t>RODAPE FRONTAL  GR  6 PTS SOLARIS 2670X70X15 MDF</t>
  </si>
  <si>
    <t>AMENDOA CLEAN ID: (38924)</t>
  </si>
  <si>
    <t>LATERAL GAVETA ESQUERDA COMODA URBAN 8 GAV 400X140X15 MDF</t>
  </si>
  <si>
    <t>AMENDOA CLEAN ID: (34914)</t>
  </si>
  <si>
    <t>BRANCO ID: (34916)</t>
  </si>
  <si>
    <t>RODAPE TRASEIRO GR AZAEL/DANGELO/SOLARIS 2670X70X15 MDF</t>
  </si>
  <si>
    <t>MOLDURA LATERAL COMODA URBAN 8 GAV 940X60X25 MDF</t>
  </si>
  <si>
    <t>BRANCO ID: (35709)</t>
  </si>
  <si>
    <t>AMENDOA CLEAN ID: (35708)</t>
  </si>
  <si>
    <t>TAMPO INFERIOR GR AZAEL/DANGELO/SOLARIS 2670X570X15 MDF</t>
  </si>
  <si>
    <t>AMENDOA CLEAN ID: (38926)</t>
  </si>
  <si>
    <t>TAMPO SUPERIOR GR 6 PTS SOLARIS 2670X570X15 MDF</t>
  </si>
  <si>
    <t>AMENDOA CLEAN ID: (43259)</t>
  </si>
  <si>
    <t>TRASEIRO GAVETA COMODA URBAN 8 GAV 656X140X15 MDF</t>
  </si>
  <si>
    <t>BRANCO ID: (36434)</t>
  </si>
  <si>
    <t>AMENDOA CLEAN ID: (36433)</t>
  </si>
  <si>
    <t>LATERAL DIREITA GR 6 PTS SOLARIS 2300X570X15 MDF</t>
  </si>
  <si>
    <t>BRANCO ID: (39828)</t>
  </si>
  <si>
    <t>AMENDOA CLEAN ID: (39827)</t>
  </si>
  <si>
    <t>LATERAL ESQUERDA GR 6 PTS SOLARIS 2300X570X15 MDF</t>
  </si>
  <si>
    <t>AMENDOA CLEAN ID: (38929)</t>
  </si>
  <si>
    <t>BRANCO ID: (38930)</t>
  </si>
  <si>
    <t>MOLDURA LATERAL MENOR  GR  6 PTS SOLARIS 530X30X18 MDF</t>
  </si>
  <si>
    <t>AMENDOA CLEAN ID: (39829)</t>
  </si>
  <si>
    <t>PRATELEIRA GAVETA  GR  AZAEL/DANGELO/SOLARIS 880X445X15 MDF</t>
  </si>
  <si>
    <t>AMENDOA CLEAN ID: (40691)</t>
  </si>
  <si>
    <t>PORTA COMODA  1 PTS 6 GAV DA VINCI 885X410X15 MDP</t>
  </si>
  <si>
    <t>AMENDOA CLEAN ID: (35172)</t>
  </si>
  <si>
    <t>BRANCO ID: (35173)</t>
  </si>
  <si>
    <t>PRATELEIRA S/FURO GR AZAEL/DANGELO/SOLARIS 880X350X15 MDF</t>
  </si>
  <si>
    <t>AMENDOA CLEAN ID: (43262)</t>
  </si>
  <si>
    <t>PRATELEIRA PEQUENA  COMODA  5 GAV DA VINCI 450X400X12 MDP</t>
  </si>
  <si>
    <t>BRANCO ID: (36205)</t>
  </si>
  <si>
    <t>AMENDOA CLEAN ID: (36204)</t>
  </si>
  <si>
    <t>DIVISAO COMODA 5 GAV DA VINCI 2019 1057X450X15 MDP</t>
  </si>
  <si>
    <t>BRANCO ID: (35718)</t>
  </si>
  <si>
    <t>AMENDOA CLEAN ID: (35717)</t>
  </si>
  <si>
    <t>DIVISAO GR 6 PTS AZAEL/SOLARIS 2140X570X15 MDF</t>
  </si>
  <si>
    <t>BRANCO ID: (38932)</t>
  </si>
  <si>
    <t>AMENDOA CLEAN ID: (38931)</t>
  </si>
  <si>
    <t>FRENTE GAVETA COFRE COMODA 1 PTS 6 GAV DA VINCI 2021 410X164X15 MDP</t>
  </si>
  <si>
    <t>BRANCO ID: (36208)</t>
  </si>
  <si>
    <t>FRASSINO ID: (88266)</t>
  </si>
  <si>
    <t>AMENDOA CLEAN ID: (36207)</t>
  </si>
  <si>
    <t>FRENTE GAVETA COMODA 1 PTS 6 GAV DA VINCI 2021 665X174X15 MDP</t>
  </si>
  <si>
    <t>BRANCO ID: (35176)</t>
  </si>
  <si>
    <t>AMENDOA CLEAN ID: (35175)</t>
  </si>
  <si>
    <t>LATERAL DIREITA COMODA 5 GAV DA VINCI 2019 1157X450X15 MDP</t>
  </si>
  <si>
    <t>AMENDOA CLEAN ID: (35969)</t>
  </si>
  <si>
    <t>BRANCO ID: (35970)</t>
  </si>
  <si>
    <t>FRENTE GAVETA GR 6 PTS SOLARIS 805X160X15 MDF</t>
  </si>
  <si>
    <t>AMENDOA CLEAN ID: (42556)</t>
  </si>
  <si>
    <t>BRANCO ID: (42557)</t>
  </si>
  <si>
    <t>LATERAL ESQUERDA COMODA 5 GAV DA VINCI 2019 1157X450X15 MDP</t>
  </si>
  <si>
    <t>BRANCO ID: (35410)</t>
  </si>
  <si>
    <t>AMENDOA CLEAN ID: (35409)</t>
  </si>
  <si>
    <t>LATERAL GAVETA DIREITA COMODA 5 GAV DA VINCI 2016 400X120X15 MDP</t>
  </si>
  <si>
    <t>AMENDOA CLEAN ID: (35972)</t>
  </si>
  <si>
    <t>BRANCO ID: (35973)</t>
  </si>
  <si>
    <t>LATERAL GAVETA ESQUERDA COMODA 5 GAV DA VINCI 2016 400X120X15 MDP</t>
  </si>
  <si>
    <t>BRANCO ID: (35413)</t>
  </si>
  <si>
    <t>AMENDOA CLEAN ID: (35412)</t>
  </si>
  <si>
    <t>PINAZIO GR AZAEL/DANGELO/SOLARIS 538X70X15 MDF</t>
  </si>
  <si>
    <t>PRATELEIRA GRANDE COMODA 5 GAV DA VINCI 655X449X15 MDP</t>
  </si>
  <si>
    <t>BRANCO ID: (34576)</t>
  </si>
  <si>
    <t>AMENDOA CLEAN ID: (34575)</t>
  </si>
  <si>
    <t>RODAPE FRONTAL  COMODA  5 GAV DA VINCI 1070X100X15 MDP</t>
  </si>
  <si>
    <t>AMENDOA CLEAN ID: (36210)</t>
  </si>
  <si>
    <t>BRANCO ID: (36211)</t>
  </si>
  <si>
    <t>PRATELEIRA C/FURO INF  GR  AZAEL/DANGELO/SOLARIS 880X445X15 MDF</t>
  </si>
  <si>
    <t>AMENDOA CLEAN ID: (44166)</t>
  </si>
  <si>
    <t>RODAPE TRASEIRO COMODA 5 GAV DA VINCI 1070X100X15 MDP</t>
  </si>
  <si>
    <t>PRATELEIRA SUPERIOR GR AZAEL/DANGELO/SOLARIS 880X445X15 MDF</t>
  </si>
  <si>
    <t>AMENDOA CLEAN ID: (43265)</t>
  </si>
  <si>
    <t>BRANCO ID: (43266)</t>
  </si>
  <si>
    <t>PORTA GR  6 PTS SOLARIS 2224X444X15 MDF</t>
  </si>
  <si>
    <t>AMENDOA CLEAN ID: (43453)</t>
  </si>
  <si>
    <t>COSTAS GR 3 PTS SPAZIO/DANTE/EASY 2650X574X2,7 HDF</t>
  </si>
  <si>
    <t>BRANCO ID: (43456)</t>
  </si>
  <si>
    <t>FRASSINO ID: (43457)</t>
  </si>
  <si>
    <t>MOLDURA LATERAL GR 3 PTS SPAZIO/EASY 1,60/1,80/2,70 2405X60X25 MDF</t>
  </si>
  <si>
    <t>BRANCO ID: (44370)</t>
  </si>
  <si>
    <t>FRASSINO ID: (44372)</t>
  </si>
  <si>
    <t>TRASEIRO GAVETA GRA COMODA 5 GAV DA VINCI 601X80X15 MDP</t>
  </si>
  <si>
    <t>AMENDOA CLEAN ID: (36485)</t>
  </si>
  <si>
    <t>BRANCO ID: (36486)</t>
  </si>
  <si>
    <t>TRASEIRO GAVETA PEQ COMODA 5 GAV DA VINCI 346X80X15 MDP</t>
  </si>
  <si>
    <t>AMENDOA CLEAN ID: (35744)</t>
  </si>
  <si>
    <t>BRANCO ID: (35745)</t>
  </si>
  <si>
    <t>MOLDURA SUPERIOR GR 3 PTS SPAZIO/EASY 2,70 2655X60X25 MDF</t>
  </si>
  <si>
    <t>FRASSINO ID: (44379)</t>
  </si>
  <si>
    <t>BRANCO ID: (44377)</t>
  </si>
  <si>
    <t>AMENDOA CLEAN ID: (44376)</t>
  </si>
  <si>
    <t>TRAVESSA COMODA 5GAV DA VINCI 655X50X15 MDP</t>
  </si>
  <si>
    <t>RODAPE FRONTAL  GR  3 PTS SPAZIO/EASY 2,70 2625X70X15 MDF</t>
  </si>
  <si>
    <t>FRASSINO ID: (43463)</t>
  </si>
  <si>
    <t>BRANCO ID: (43461)</t>
  </si>
  <si>
    <t>AMENDOA CLEAN ID: (43460)</t>
  </si>
  <si>
    <t>RODAPE TRASEIRO GR 3 PTS SPAZIO/EASY 2,70 2625X70X15 MDF</t>
  </si>
  <si>
    <t>TAMPO COMODA 5 GAV DA VINCI 1110X470X25 MDP</t>
  </si>
  <si>
    <t>AMENDOA CLEAN ID: (34652)</t>
  </si>
  <si>
    <t>BRANCO ID: (34653)</t>
  </si>
  <si>
    <t>COSTAS GRA COMODA 5 GAV DA VINCI 1090X420X2,7 HDF</t>
  </si>
  <si>
    <t>AMENDOA CLEAN ID: (35485)</t>
  </si>
  <si>
    <t>COSTAS PEQUENA  COMODA  5 GAV DA VINCI 672X220X2,7 HDF</t>
  </si>
  <si>
    <t>FUNDO GAVETA GRA COMODA 5 GAV DA VINCI 2016 614X407X2,7 HDF</t>
  </si>
  <si>
    <t>AMENDOA CLEAN ID: (35488)</t>
  </si>
  <si>
    <t>BRANCO ID: (35489)</t>
  </si>
  <si>
    <t>TAMPO INFERIOR GR 3 PTS SPAZIO/EASY 2,70 2625X600X15 MDF</t>
  </si>
  <si>
    <t>BRANCO ID: (39941)</t>
  </si>
  <si>
    <t>FUNDO GAVETA PEQ COMODA 5 GAV DA VINCI 2016 407X359X2,7 HDF</t>
  </si>
  <si>
    <t>AMENDOA CLEAN ID: (34655)</t>
  </si>
  <si>
    <t>BRANCO ID: (34656)</t>
  </si>
  <si>
    <t>TAMPO SUPERIOR GR 3 PTS SPAZIO/EASY 2,70 2625X600X15 MDF</t>
  </si>
  <si>
    <t>BRANCO ID: (41740)</t>
  </si>
  <si>
    <t>DISTANCIADOR FRONT GR 3 PTS SPAZIO/DANTE/EASY 510X38X25 MDF</t>
  </si>
  <si>
    <t>AMENDOA CLEAN ID: (41746)</t>
  </si>
  <si>
    <t>BRANCO ID: (41747)</t>
  </si>
  <si>
    <t>DISTANCIADOR TRAS GR 3 PTS SPAZIO/DANTE/EASY 510X38X25 MDF</t>
  </si>
  <si>
    <t>KIT FERRAGEM SAPATEIRA ESTHELA</t>
  </si>
  <si>
    <t>BRANCO ID: (35492)</t>
  </si>
  <si>
    <t>AMENDOA CLEAN ID: (35491)</t>
  </si>
  <si>
    <t>FRASSINO ID: (35493)</t>
  </si>
  <si>
    <t>DIVISAO DIREITA GR 3 PTS SPAZIO/EASY 2,70 2280X450X15 MDF</t>
  </si>
  <si>
    <t>BRANCO ID: (40834)</t>
  </si>
  <si>
    <t>AMENDOA CLEAN ID: (40833)</t>
  </si>
  <si>
    <t>DIVISAO ESQUERDA GR 3 PTS SPAZIO/EASY 1,60/1,80/2,70 2280X450X15 MDF</t>
  </si>
  <si>
    <t>AMENDOA CLEAN ID: (40838)</t>
  </si>
  <si>
    <t>BRANCO ID: (40839)</t>
  </si>
  <si>
    <t>PRATELEIRA INFERIOR GR 3 PTS SPAZIO/EASY 1,80/2,70 865X448X15 MDF</t>
  </si>
  <si>
    <t>AMENDOA CLEAN ID: (39030)</t>
  </si>
  <si>
    <t>BRANCO ID: (39031)</t>
  </si>
  <si>
    <t>LATERAL SAPATEIRA ESTHELA 1800X420X15 MDP</t>
  </si>
  <si>
    <t>BRANCO ID: (36489)</t>
  </si>
  <si>
    <t>LATERAL DIREITA GR 3 PTS SPAZIO/EASY 2,70 2380X600X15 MDF</t>
  </si>
  <si>
    <t>BRANCO ID: (42679)</t>
  </si>
  <si>
    <t>FRASSINO ID: (42681)</t>
  </si>
  <si>
    <t>AMENDOA CLEAN ID: (42678)</t>
  </si>
  <si>
    <t>LATERAL ESQUERDA GR 3 PTS SPAZIO/EASY 1,60/1,80/2,70 2380X600X15 MDF</t>
  </si>
  <si>
    <t>BRANCO ID: (38324)</t>
  </si>
  <si>
    <t>FRASSINO ID: (38326)</t>
  </si>
  <si>
    <t>AMENDOA CLEAN ID: (38323)</t>
  </si>
  <si>
    <t>PRATELEIRA SUPERIOR GR 3 PTS SPAZIO/EASY 1,80/2,70 865X448X15 MDF</t>
  </si>
  <si>
    <t>BRANCO ID: (39036)</t>
  </si>
  <si>
    <t>AMENDOA CLEAN ID: (39035)</t>
  </si>
  <si>
    <t>FRASSINO ID: (39037)</t>
  </si>
  <si>
    <t>FRENTE GAVETA GR 3 PTS SPAZIO/EASY 1,80/2,70 790X160X15 MDF</t>
  </si>
  <si>
    <t>AMENDOA CLEAN ID: (44383)</t>
  </si>
  <si>
    <t>FRASSINO ID: (44386)</t>
  </si>
  <si>
    <t>BRANCO ID: (44384)</t>
  </si>
  <si>
    <t>FUNDO GAVETA GR 3 PTS SPAZIO/EASY 1,60/1,80/2,70 750X401X2,7 HDF</t>
  </si>
  <si>
    <t>BRANCO ID: (42685)</t>
  </si>
  <si>
    <t>AMENDOA CLEAN ID: (42687)</t>
  </si>
  <si>
    <t>KIT FERRAGEM GR 3PTS SPAZIO</t>
  </si>
  <si>
    <t>AMENDOA CLEAN ID: (40845)</t>
  </si>
  <si>
    <t>BRANCO ID: (40843)</t>
  </si>
  <si>
    <t>KIT ROLDANA CM 155 GUIA RODIZIO 26,8MM (03 PTS) - MP 43858</t>
  </si>
  <si>
    <t>LATERAL GAVETA DIREITA GR URBAN/SPAZIO/EASY 400X120X15 MDF</t>
  </si>
  <si>
    <t>AMENDOA CLEAN ID: (39042)</t>
  </si>
  <si>
    <t>BRANCO ID: (39040)</t>
  </si>
  <si>
    <t>FRASSINO ID: (39041)</t>
  </si>
  <si>
    <t>LATERAL GAVETA ESQUERDA GR URBAN/SPAZIO/EASY 400X120X15 MDF</t>
  </si>
  <si>
    <t>AMENDOA CLEAN ID: (44390)</t>
  </si>
  <si>
    <t>BRANCO ID: (44388)</t>
  </si>
  <si>
    <t>PINAZIO GR 3 PTS SPAZIO/EASY 1,60/1,80/2,70 568X70X15 MDF</t>
  </si>
  <si>
    <t>TRAVESSAO CAMA CASAL SPZ/UB/LOS ANG/RUST/ATHEN/LOOP/LEDER 1597X45X23</t>
  </si>
  <si>
    <t>TRASEIRO GAVETA GR 3 PTS SPAZIO/EASY 1,80/2,70 734X120X15 MDF</t>
  </si>
  <si>
    <t>BRANCO ID: (39046)</t>
  </si>
  <si>
    <t>AMENDOA CLEAN ID: (39048)</t>
  </si>
  <si>
    <t>BARRA DIR CAMA CASAL 1,20/1,60/1,80 FREETOWN 2000X200X25 MDF</t>
  </si>
  <si>
    <t>BRANCO ID: (34968)</t>
  </si>
  <si>
    <t>BARRA ESQ CAMA SOLT/CASAL 1,20/1,60/1,80 FREETOWN 2000X200X25 MDF</t>
  </si>
  <si>
    <t>BRANCO ID: (35747)</t>
  </si>
  <si>
    <t>PORTA CENTRAL GR 3 PTS SPAZIO/EASY 2248X850X15 MDF</t>
  </si>
  <si>
    <t>AMENDOA CLEAN/OFF WH ID: (42691)</t>
  </si>
  <si>
    <t>BRANCO ID: (42697)</t>
  </si>
  <si>
    <t>PORTA LATERAL GR 3 PTS SPAZIO/EASY 1,80 2248X850X15 MDF</t>
  </si>
  <si>
    <t>AMENDOA CL/OFF WHI/A ID: (40849)</t>
  </si>
  <si>
    <t>BRANCO ID: (40854)</t>
  </si>
  <si>
    <t>BRANCO/SISAL ID: (40851)</t>
  </si>
  <si>
    <t>COSTAS GR TORONTO 2017 NEW/UNIQUE/EASY LEBLON 2635X544X2,7 HDF</t>
  </si>
  <si>
    <t>AMENDOA CLEAN ID: (39949)</t>
  </si>
  <si>
    <t>BRANCO ID: (39950)</t>
  </si>
  <si>
    <t>KIT FERRAGEM GR 2PTS TORONTO PLUS/EASY LEBLON</t>
  </si>
  <si>
    <t>AMENDOA CLEAN ID: (40858)</t>
  </si>
  <si>
    <t>BRANCO ID: (40859)</t>
  </si>
  <si>
    <t>MOLDURA LATERAL GR 2 PTS TORONTO PLUS/EASY LEBLON 2300X60X25 MDF</t>
  </si>
  <si>
    <t>AMENDOA CLEAN ID: (41763)</t>
  </si>
  <si>
    <t>MOLDURA SUPERIOR GR TORONTO PLUS/EASY LEBLON 2640X88X15 MDF</t>
  </si>
  <si>
    <t>BRANCO ID: (40864)</t>
  </si>
  <si>
    <t>AMENDOA CLEAN ID: (40863)</t>
  </si>
  <si>
    <t>PAIN PESEIRA CAMA CASAL 1,60 FREETOWN 1655X205X25 MDF</t>
  </si>
  <si>
    <t>BRANCO ID: (34969)</t>
  </si>
  <si>
    <t>RODAPE FRONTAL  GR  2 PTS TORONTO PLUS 2609X70X15 MDF</t>
  </si>
  <si>
    <t>AMENDOA CLEAN ID: (39058)</t>
  </si>
  <si>
    <t>BRANCO ID: (39059)</t>
  </si>
  <si>
    <t>RODAPE TRASEIRO GR 2 PTS TORONTO PLUS 2609X70X15 MDF</t>
  </si>
  <si>
    <t>TAMPO INFERIOR GR 2 PTS TORONTO PLUS 2610X570X15 MDF</t>
  </si>
  <si>
    <t>BRANCO ID: (40869)</t>
  </si>
  <si>
    <t>PAIN  INF CAB CAMA CASAL 1,60 FREETOWN C/LED 1699X680X15 MDP</t>
  </si>
  <si>
    <t>BRANCO ID: (36006)</t>
  </si>
  <si>
    <t>PAIN  SUP CAB CAMA CASAL 1,60 FREETOWN 1699X420X15 MDP</t>
  </si>
  <si>
    <t>BRANCO ID: (35748)</t>
  </si>
  <si>
    <t>TAMPO SUPERIOR GR 2 PTS TORONTO PLUS 2610X570X15 MDF</t>
  </si>
  <si>
    <t>AMENDOA CLEAN ID: (43479)</t>
  </si>
  <si>
    <t>BRANCO ID: (43480)</t>
  </si>
  <si>
    <t>DISTANCIADOR FRONT GR TOR PLUS/URB/SUBL/SIR/EASY LEB 580X38X25 MDF</t>
  </si>
  <si>
    <t>BRANCO ID: (40874)</t>
  </si>
  <si>
    <t>AMENDOA CLEAN ID: (40873)</t>
  </si>
  <si>
    <t>APOIO CAMA EXPORTACAO 2022 1600X320X12 MDP</t>
  </si>
  <si>
    <t>DISTANCIADOR TRAS GR TOR PLUS/URB/SUBL/SIRIUS/EASY LEBL 580X38X25 MDF</t>
  </si>
  <si>
    <t>DIVISAO DIREITA GR 2 PTS TORONTO PLUS 2167X450X15 MDF</t>
  </si>
  <si>
    <t>AMENDOA CLEAN ID: (42475)</t>
  </si>
  <si>
    <t>BRANCO ID: (42476)</t>
  </si>
  <si>
    <t>DIVISAO ESQUERDA GR 2 PTS TORONTO PLUS 2167X450X15 MDF</t>
  </si>
  <si>
    <t>BRANCO ID: (38873)</t>
  </si>
  <si>
    <t>AMENDOA CLEAN ID: (38872)</t>
  </si>
  <si>
    <t>FUNDO GAVETA GR 2 PTS TORONTO PLUS/EASY LEBLON 665X401X2,7 HDF</t>
  </si>
  <si>
    <t>AMENDOA CLEAN ID: (43230)</t>
  </si>
  <si>
    <t>BRANCO ID: (43231)</t>
  </si>
  <si>
    <t>LATERAL DIREITA GR 2 PTS TORONTO PLUS 2300X570X15 MDF</t>
  </si>
  <si>
    <t>BRANCO ID: (42481)</t>
  </si>
  <si>
    <t>LATERAL ESQUERDA GR 2 PTS TORONTO PLUS 2300X570X15 MDF</t>
  </si>
  <si>
    <t>FRASSINO ID: (42487)</t>
  </si>
  <si>
    <t>AMENDOA CLEAN ID: (42485)</t>
  </si>
  <si>
    <t>BRANCO ID: (42486)</t>
  </si>
  <si>
    <t>PINAZIO GR 2 PTS TORONTO PLUS/EASY LEB 539X70X15 MDF</t>
  </si>
  <si>
    <t>DIVISAO CENTRAL GR 2 PTS TORONTO PLUS 1000X449X15 MDF</t>
  </si>
  <si>
    <t>BRANCO ID: (38136)</t>
  </si>
  <si>
    <t>AMENDOA CLEAN ID: (38135)</t>
  </si>
  <si>
    <t>DIVISAO GAVETA GR 2 PTS TORONTO PLUS 775X449X15 MDF</t>
  </si>
  <si>
    <t>AMENDOA CLEAN ID: (42495)</t>
  </si>
  <si>
    <t>BRANCO ID: (42496)</t>
  </si>
  <si>
    <t>DIVISAO MALEIRO FRONTAL  GR  2 PTS TORONTO PLUS 362X95X15 MDF</t>
  </si>
  <si>
    <t>BRANCO ID: (41567)</t>
  </si>
  <si>
    <t>AMENDOA CLEAN ID: (41566)</t>
  </si>
  <si>
    <t>DIVISAO MALEIRO TRAS  GR  2 PTS TORONTO PLUS 362X95X15 MDF</t>
  </si>
  <si>
    <t>AMENDOA CLEAN ID: (41571)</t>
  </si>
  <si>
    <t>BRANCO ID: (41572)</t>
  </si>
  <si>
    <t>FRENTE GAVETA GR 2 PTS TORONTO PLUS 705X160X15 MDF</t>
  </si>
  <si>
    <t>BRANCO ID: (41577)</t>
  </si>
  <si>
    <t>AMENDOA CLEAN ID: (41576)</t>
  </si>
  <si>
    <t>LATERAL GAVETA DIREITA GR 2 PTS TORONTO PLUS 400X120X15 MDF</t>
  </si>
  <si>
    <t>BRANCO ID: (38141)</t>
  </si>
  <si>
    <t>AMENDOA CLEAN ID: (38140)</t>
  </si>
  <si>
    <t>LATERAL GAVETA ESQUERDA GR 2 PTS TORONTO PLUS 400X120X15 MDF</t>
  </si>
  <si>
    <t>FRASSINO ID: (42512)</t>
  </si>
  <si>
    <t>BRANCO ID: (42511)</t>
  </si>
  <si>
    <t>AMENDOA CLEAN ID: (42510)</t>
  </si>
  <si>
    <t>PRATELEIRA C/FURO GR 2 PTS TORONTO PLUS P1L 502X449X15 MDF</t>
  </si>
  <si>
    <t>BRANCO ID: (43236)</t>
  </si>
  <si>
    <t>AMENDOA CLEAN ID: (43235)</t>
  </si>
  <si>
    <t>PRATELEIRA C/FURO GR 2 PTS TORONTO PLUS P2L 502X449X15 MDF</t>
  </si>
  <si>
    <t>BRANCO ID: (38922)</t>
  </si>
  <si>
    <t>AMENDOA CLEAN ID: (38921)</t>
  </si>
  <si>
    <t>PRATELEIRA S/FURO GR 2 PTS TORONTO PLUS 502X449X15 MDF</t>
  </si>
  <si>
    <t>BRANCO ID: (44153)</t>
  </si>
  <si>
    <t>AMENDOA CLEAN ID: (44152)</t>
  </si>
  <si>
    <t>TAMPO CENTRAL INF  GR  2 PTS TORONTO PLUS 1575X449X15 MDF</t>
  </si>
  <si>
    <t>BRANCO ID: (39810)</t>
  </si>
  <si>
    <t>AMENDOA CLEAN ID: (39809)</t>
  </si>
  <si>
    <t>TAMPO CENTRAL SUP  GR  2 PTS TORONTO PLUS 1575X449X15 MDF</t>
  </si>
  <si>
    <t>BRANCO ID: (44158)</t>
  </si>
  <si>
    <t>AMENDOA CLEAN ID: (44157)</t>
  </si>
  <si>
    <t>TRASEIRO GAVETA GR 2 PTS TORONTO PLUS 649X120X15 MDF</t>
  </si>
  <si>
    <t>BRANCO ID: (40687)</t>
  </si>
  <si>
    <t>AMENDOA CLEAN ID: (40686)</t>
  </si>
  <si>
    <t>PORTA GR  2 PTS TORONTO PLUS 1290X711X15 MDF</t>
  </si>
  <si>
    <t>AMENDOA CLEAN/OFF WH ID: (39814)</t>
  </si>
  <si>
    <t>FRASSINO/OFF WHITE ID: (39816)</t>
  </si>
  <si>
    <t>BRANCO ID: (39815)</t>
  </si>
  <si>
    <t>KIT FERRAGEM P/ESPELHO C/ 16 SUP PRATA</t>
  </si>
  <si>
    <t>KIT FERRAGEM GR 2PTS VELARIS</t>
  </si>
  <si>
    <t>AMENDOA CLEAN ID: (39817)</t>
  </si>
  <si>
    <t>RIPADO GR VELARIS/SUBLIME/SIRIUS/UPPER 2148X145X6 MDF</t>
  </si>
  <si>
    <t>ROVERE NATURALE ID: (88314)</t>
  </si>
  <si>
    <t>CARVALHO NATURALE ID: (42543)</t>
  </si>
  <si>
    <t>BRANCO ID: (42548)</t>
  </si>
  <si>
    <t>AMENDOA CLEAN ID: (42547)</t>
  </si>
  <si>
    <t>PE CAB CAMA SOLT/CASAL FREETOWN 1101X100X25 MDP</t>
  </si>
  <si>
    <t>AMENDOA CLEAN ID: (34658)</t>
  </si>
  <si>
    <t>TRAVESSA PE PESEIRA CAMA CASAL 1,60 FREETOWN 1600X98X25 MDP</t>
  </si>
  <si>
    <t>AMENDOA CLEAN ID: (35494)</t>
  </si>
  <si>
    <t>DIVISAO GR 2 PTS LANI/ZEINE/ELISE 1575X425X12 MDP</t>
  </si>
  <si>
    <t>FRASSINO ID: (39867)</t>
  </si>
  <si>
    <t>BRANCO ID: (39866)</t>
  </si>
  <si>
    <t>AMENDOA CLEAN ID: (39865)</t>
  </si>
  <si>
    <t>DIVISAO MALEIRO TRAS  GR  2 PTS LANI/ZEINE/ELISE 350X80X12 MDP</t>
  </si>
  <si>
    <t>BRANCO ID: (41673)</t>
  </si>
  <si>
    <t>AMENDOA CLEAN ID: (41672)</t>
  </si>
  <si>
    <t>TRAVESSA SUP CAMA CASAL 1,60 FREETOWN 1757X110X25 MDP</t>
  </si>
  <si>
    <t>AMENDOA CLEAN ID: (35749)</t>
  </si>
  <si>
    <t>PRATELEIRA INFERIOR MENOR  GR  2 PTS LANI/ZEINE/ELISE 880X350X15 MDP</t>
  </si>
  <si>
    <t>FRASSINO ID: (43312)</t>
  </si>
  <si>
    <t>BRANCO ID: (43311)</t>
  </si>
  <si>
    <t>AMENDOA CLEAN ID: (43310)</t>
  </si>
  <si>
    <t>PE PESEIRA CAMA SOLT/CASAL 1,20/1,40/1,60/1,80 FREETOWN 400X100X25 MDF</t>
  </si>
  <si>
    <t>AMENDOA CLEAN ID: (35751)</t>
  </si>
  <si>
    <t>PAIN CAB MONT ESTOF CAMA CASAL 1,60 FREETOWN 1690X510X32</t>
  </si>
  <si>
    <t>KORINO BRANCO ID: (34660)</t>
  </si>
  <si>
    <t>PRATELEIRA SUPERIOR MENOR  GR   2 PTS LANI/ZEINE/ELISE 880X350X15 MDP</t>
  </si>
  <si>
    <t>BRANCO ID: (41677)</t>
  </si>
  <si>
    <t>AMENDOA CLEAN ID: (41678)</t>
  </si>
  <si>
    <t>TAMPO CENTRAL GR 2 PTS LANI/ZEINE/ELISE 1772X427X12 MDP</t>
  </si>
  <si>
    <t>AMENDOA CLEAN ID: (44233)</t>
  </si>
  <si>
    <t>FRASSINO ID: (44235)</t>
  </si>
  <si>
    <t>TAMPO INFERIOR GR 2 PTS LANI/ZEINE/ELISE 1772X510X12 MDP</t>
  </si>
  <si>
    <t>FRASSINO ID: (43317)</t>
  </si>
  <si>
    <t>AMENDOA CLEAN ID: (43315)</t>
  </si>
  <si>
    <t>BRANCO ID: (43316)</t>
  </si>
  <si>
    <t>SUPORTE APOIO  LONGITUDINAL 400X320X12 MDP</t>
  </si>
  <si>
    <t>TAMPO SUPERIOR GR 2 PTS LANI/ZEINE/ELISE 1772X510X12 MDP</t>
  </si>
  <si>
    <t>AMENDOA CLEAN ID: (44243)</t>
  </si>
  <si>
    <t>FRASSINO ID: (44245)</t>
  </si>
  <si>
    <t>KIT FERRAGEM GR 2PTS ZEINE 2024</t>
  </si>
  <si>
    <t>BRANCO ID: (38233)</t>
  </si>
  <si>
    <t>AMENDOA CLEAN ID: (38232)</t>
  </si>
  <si>
    <t>SUPORTE PE PESEIRA CAMA SOLT/CASAL FREETOWN 203X98X25 MDF</t>
  </si>
  <si>
    <t>AMENDOA CLEAN ID: (35515)</t>
  </si>
  <si>
    <t>LATERAL DIREITA GR 2 PTS LANI/ZEINE/ELISE 2080X510X12 MDP</t>
  </si>
  <si>
    <t>BRANCO ID: (43321)</t>
  </si>
  <si>
    <t>AMENDOA CLEAN ID: (43320)</t>
  </si>
  <si>
    <t>LATERAL ESQUERDA GR 2 PTS LANI/ZEINE/ELISE 2080X510X12 MDP</t>
  </si>
  <si>
    <t>BRANCO ID: (43326)</t>
  </si>
  <si>
    <t>FRASSINO ID: (43327)</t>
  </si>
  <si>
    <t>MOLDURA GR 2 PTS LANI/ZEINE/ELISE 1790X90X12 MDP</t>
  </si>
  <si>
    <t>BRANCO ID: (40733)</t>
  </si>
  <si>
    <t>FRASSINO ID: (40734)</t>
  </si>
  <si>
    <t>AMENDOA CLEAN ID: (40732)</t>
  </si>
  <si>
    <t>PINAZIO GR 2 PTS LANI/ZEINE/ELISE 483X90X12 MDP</t>
  </si>
  <si>
    <t>RODAPE FRONTAL  GR  2 PTS LANI/ZEINE/ELISE 1772X90X12 MDP</t>
  </si>
  <si>
    <t>BRANCO ID: (42597)</t>
  </si>
  <si>
    <t>AMENDOA CLEAN ID: (42596)</t>
  </si>
  <si>
    <t>FRASSINO ID: (42598)</t>
  </si>
  <si>
    <t>RODAPE TRASEIRO GR 2 PTS LANI/ZEINE/ELISE 1772X90X12 MDP</t>
  </si>
  <si>
    <t>TRAVESSA ROD COMODA 5GAV DA VINCI 419X100X15 MDP</t>
  </si>
  <si>
    <t>COSTAS GR 2 PTS LANI/ZEINE/ELISE 1960X895X2,7 HDF</t>
  </si>
  <si>
    <t>BRANCO ID: (44250)</t>
  </si>
  <si>
    <t>FRASSINO ID: (44251)</t>
  </si>
  <si>
    <t>AMENDOA CLEAN ID: (44249)</t>
  </si>
  <si>
    <t>ENCABECAMENTO LATERAL PORTA GR 2 PTS LANI/ZEINE 1905X55X25 MDF</t>
  </si>
  <si>
    <t>FRASSINO ID: (44255)</t>
  </si>
  <si>
    <t>AMENDOA CLEAN ID: (44253)</t>
  </si>
  <si>
    <t>BRANCO ID: (44254)</t>
  </si>
  <si>
    <t>MOLD/PUXADOR LAT PORTA GR 2 PTS LANI/ZEINE 1905X70X25 MDF</t>
  </si>
  <si>
    <t>AMENDOA CLEAN ID: (40738)</t>
  </si>
  <si>
    <t>PORTA GR 2 PTS LANI/ZEINE 1905X830X12 MDP</t>
  </si>
  <si>
    <t>BRANCO ID: (43337)</t>
  </si>
  <si>
    <t>FRASSINO/OFF WHITE ID: (43338)</t>
  </si>
  <si>
    <t>AMENDOA CLEAN/OFF WH ID: (43336)</t>
  </si>
  <si>
    <t>PORTA MONTADA GR 2 PTS ZEINE 2024</t>
  </si>
  <si>
    <t>FRASSINO ID: (42603)</t>
  </si>
  <si>
    <t>AMENDOA CLEAN ID: (42601)</t>
  </si>
  <si>
    <t>MOLDURA ENCAB LAT MONT PORTA  GR  2 PTS ZEINE 1905X55X25 MDF</t>
  </si>
  <si>
    <t>BRANCO ID: (43340)</t>
  </si>
  <si>
    <t>AMENDOA CLEAN ID: (43339)</t>
  </si>
  <si>
    <t>FRASSINO ID: (43341)</t>
  </si>
  <si>
    <t>MOLD/PUXADOR LAT PORTA GR 2 PTS ZEINE 1905X70X25 MDF</t>
  </si>
  <si>
    <t>FRASSINO ID: (40747)</t>
  </si>
  <si>
    <t>AMENDOA CLEAN ID: (40745)</t>
  </si>
  <si>
    <t>BRANCO ID: (40746)</t>
  </si>
  <si>
    <t>DIVISAO CENTRAL GR 8 PTS EASY SLIM/ANDARA SOFT 1165X450X12 MDP</t>
  </si>
  <si>
    <t>FRASSINO ID: (31100)</t>
  </si>
  <si>
    <t>BRANCO ID: (31099)</t>
  </si>
  <si>
    <t>AMENDOA CLEAN ID: (31098)</t>
  </si>
  <si>
    <t>DIVISAO GAVETA GR 8 PTS EASY SLIM/ANDARA SOFT 696X450X12 MDP</t>
  </si>
  <si>
    <t>AMENDOA CLEAN ID: (31102)</t>
  </si>
  <si>
    <t>DIVISAO GR 8 PTS EASY SLIM/ANDARA SOFT 1873X450X12 MDP</t>
  </si>
  <si>
    <t>AMENDOA CLEAN ID: (31104)</t>
  </si>
  <si>
    <t>BRANCO ID: (31105)</t>
  </si>
  <si>
    <t>FRENTE GAVETA GR 6/8 PTS EASY SLIM/ANDARA SOFT 520X160X12 MDP</t>
  </si>
  <si>
    <t>AMENDOA CLEAN ID: (31107)</t>
  </si>
  <si>
    <t>FRASSINO ID: (31109)</t>
  </si>
  <si>
    <t>FUNDO GAVETA GR 6/8 PTS EASY SLIM/ANDARA SOFT 488X357X2,7 HDF</t>
  </si>
  <si>
    <t>BRANCO ID: (31111)</t>
  </si>
  <si>
    <t>FRASSINO ID: (31112)</t>
  </si>
  <si>
    <t>AMENDOA CLEAN ID: (31110)</t>
  </si>
  <si>
    <t>KIT DOBRADICA GR 8 PTS EASY SLIM/ANDARA SOFT/SERENATA</t>
  </si>
  <si>
    <t>FRENTE GAVETA C/PUX INF C/CAB MESA CAB LOOP 438X200X15 MDF</t>
  </si>
  <si>
    <t>OFF WHITE ID: (39833)</t>
  </si>
  <si>
    <t>KIT FERRAGEM GR 8PTS EASY SLIM/ANDARA SOFT 2024</t>
  </si>
  <si>
    <t>BRANCO ID: (31128)</t>
  </si>
  <si>
    <t>AMENDOA CLEAN/OFF WH ID: (111853)</t>
  </si>
  <si>
    <t>AMENDOA CLEAN ID: (31127)</t>
  </si>
  <si>
    <t>LATERAL DIREITA GR 8 PTS EASY SLIM/ANDARA SOFT 2050X450X12 MDP</t>
  </si>
  <si>
    <t>BRANCO ID: (31151)</t>
  </si>
  <si>
    <t>FRASSINO ID: (31152)</t>
  </si>
  <si>
    <t>AMENDOA CLEAN ID: (31150)</t>
  </si>
  <si>
    <t>FRENTE GAVETA C/PUX SUP C/ACAB MESA DE CAB LOOP 438X200X15 MDF</t>
  </si>
  <si>
    <t>OFF WHITE ID: (41617)</t>
  </si>
  <si>
    <t>SALVIA ID: (41618)</t>
  </si>
  <si>
    <t>LATERAL ESQUERDA GR 8 PTS EASY SLIM/ANDARA SOFT 2050X450X12 MDP</t>
  </si>
  <si>
    <t>FRASSINO ID: (31155)</t>
  </si>
  <si>
    <t>AMENDOA CLEAN ID: (31153)</t>
  </si>
  <si>
    <t>BRANCO ID: (31154)</t>
  </si>
  <si>
    <t>MOLDURA GR  8 PTS EASY SLIM/ANDARA SOFT 2355X80X15 MDP</t>
  </si>
  <si>
    <t>BRANCO ID: (31157)</t>
  </si>
  <si>
    <t>AMENDOA CLEAN ID: (31156)</t>
  </si>
  <si>
    <t>FRASSINO ID: (31158)</t>
  </si>
  <si>
    <t>HDF PUXADOR  MESA DE CAB LOOP 369X43X4 MDF</t>
  </si>
  <si>
    <t>SALVIA ID: (44169)</t>
  </si>
  <si>
    <t>OFF WHITE ID: (44168)</t>
  </si>
  <si>
    <t>PRATELEIRA INFERIOR GR EASY SLIM/ANDARA SOFT 575X330X12 MDP</t>
  </si>
  <si>
    <t>BRANCO ID: (31160)</t>
  </si>
  <si>
    <t>AMENDOA CLEAN ID: (31159)</t>
  </si>
  <si>
    <t>RODAPE FRONTAL  GR  8 PTS EASY SLIM/ANDARA SOFT 2336X90X12 MDP</t>
  </si>
  <si>
    <t>BRANCO ID: (31163)</t>
  </si>
  <si>
    <t>AMENDOA CLEAN ID: (31162)</t>
  </si>
  <si>
    <t>RODAPE TRASEIRO GR 8 PTS EASY SLIM/ANDARA SOFT 2336X90X12 MDP</t>
  </si>
  <si>
    <t>TAMPO CENTRAL GR 8 PTS EASY SLIM/ANDARA SOFT 1162X450X12 MDP</t>
  </si>
  <si>
    <t>BRANCO ID: (31166)</t>
  </si>
  <si>
    <t>FRASSINO ID: (31167)</t>
  </si>
  <si>
    <t>AMENDOA CLEAN ID: (31165)</t>
  </si>
  <si>
    <t>TAMPO SUPERIOR GR 8 PTS EASY SLIM/ANDARA SOFT 2336X450X12 MDP</t>
  </si>
  <si>
    <t>AMENDOA CLEAN ID: (31169)</t>
  </si>
  <si>
    <t>BRANCO ID: (31168)</t>
  </si>
  <si>
    <t>LATERAL GAVETA DIREITA MESA CAB LOOP 300X120X15 MDP</t>
  </si>
  <si>
    <t>BRANCO ID: (67216)</t>
  </si>
  <si>
    <t>AMENDOA CLEAN ID: (34694)</t>
  </si>
  <si>
    <t>TRASEIRO GAVETA GR EASY SLIM/ANDARA SOFT 476X80X12 MDP</t>
  </si>
  <si>
    <t>FRASSINO ID: (31171)</t>
  </si>
  <si>
    <t>AMENDOA CLEAN ID: (31172)</t>
  </si>
  <si>
    <t>BRANCO ID: (31173)</t>
  </si>
  <si>
    <t>LATERAL GAVETA ESQUERDA MESA DE CAB LOOP 300X120X15 MDP</t>
  </si>
  <si>
    <t>AMENDOA CLEAN ID: (44170)</t>
  </si>
  <si>
    <t>LATERAL DIREITA MESA DE CAB LOOP 380X322X15 MDF</t>
  </si>
  <si>
    <t>AMENDOA CLEAN ID: (38198)</t>
  </si>
  <si>
    <t>LATERAL ESQUERDA MESA DE CAB LOOP 380X322X15 MDF</t>
  </si>
  <si>
    <t>FRASSINO ID: (38935)</t>
  </si>
  <si>
    <t>COSTAS GR EASY SLIM/ANDARA SOFT 1900X588X2,7 HDF</t>
  </si>
  <si>
    <t>FRASSINO ID: (31176)</t>
  </si>
  <si>
    <t>AMENDOA CLEAN ID: (31174)</t>
  </si>
  <si>
    <t>MOLDURA LATERAL MESA DE CAB LOOP 408X38X25 MDF</t>
  </si>
  <si>
    <t>SALVIA ID: (43269)</t>
  </si>
  <si>
    <t>PRATELEIRA SUPERIOR GR EASY SLIM/ANDARA SOFT 575X330X12 MDP</t>
  </si>
  <si>
    <t>AMENDOA CLEAN ID: (31195)</t>
  </si>
  <si>
    <t>BRANCO ID: (31196)</t>
  </si>
  <si>
    <t>TAMPO INFERIOR MESA DE CAB LOOP 432X380X15 MDF</t>
  </si>
  <si>
    <t>AMENDOA CLEAN ID: (42558)</t>
  </si>
  <si>
    <t>TAMPO SUPERIOR MESA DE CAB LOOP 432X380X15 MDF</t>
  </si>
  <si>
    <t>AMENDOA CLEAN ID: (41622)</t>
  </si>
  <si>
    <t>BRANCO ID: (67236)</t>
  </si>
  <si>
    <t>FRASSINO ID: (41623)</t>
  </si>
  <si>
    <t>TRASEIRO GAVETA MESA DE CAB LOOP 370X120X15 MDP</t>
  </si>
  <si>
    <t>AMENDOA CLEAN ID: (39842)</t>
  </si>
  <si>
    <t>PERFIL H  1740MM BEGE- (GR APOENA NEW)**</t>
  </si>
  <si>
    <t>COSTAS MESA DE CAB LOOP 540X212X2,7 HDF</t>
  </si>
  <si>
    <t>FUNDO GAVETA MESA DE CAB LOOP 382X297X2,7 HDF</t>
  </si>
  <si>
    <t>FRASSINO ID: (44174)</t>
  </si>
  <si>
    <t>AMENDOA CLEAN ID: (44173)</t>
  </si>
  <si>
    <t>RODAPE TRASEIRO GR 6 PTS EASY SLIM/FLEX</t>
  </si>
  <si>
    <t>TAMPO SUPERIOR GR 6 PTS EASY SLIM/FLEX 1749X450X12 MDP</t>
  </si>
  <si>
    <t>BRANCO ID: (42561)</t>
  </si>
  <si>
    <t>PRATELEIRA GAVETA  GR  6 PTS EASY SLIM/FLEX 575X440X12 MDP</t>
  </si>
  <si>
    <t>AMENDOA CLEAN ID: (43275)</t>
  </si>
  <si>
    <t>KIT FERRAGEM CABECEIRA BOX 1,60 CALITAN</t>
  </si>
  <si>
    <t>PERFIL H  2370MM BEGE -(GR GENOVA)</t>
  </si>
  <si>
    <t>PERFIL H  1180MM BEGE - COMODA AUSTIN</t>
  </si>
  <si>
    <t>KIT FERRAGEM P/ESPELHO C/ 6 SUP CROMADO</t>
  </si>
  <si>
    <t>PERFIL H  2080MM BEGE- GR MATTEO/AUSTIN EXPORTAÇÃO</t>
  </si>
  <si>
    <t>RODAPE FRONTAL  GR  OLLIE/CALEB/VINCE 2670X70X15 MDP</t>
  </si>
  <si>
    <t>BRANCO ID: (44265)</t>
  </si>
  <si>
    <t>PERFIL H  1980MM BEGE- JAZZ/EXP</t>
  </si>
  <si>
    <t>DIVISAO GR 3 PTS OLLIE/CALEB 2200X450X15 MDP</t>
  </si>
  <si>
    <t>AMENDOA CLEAN ID: (38244)</t>
  </si>
  <si>
    <t>FRASSINO ID: (38246)</t>
  </si>
  <si>
    <t>BRANCO ID: (38245)</t>
  </si>
  <si>
    <t>PERFIL H  2705MM BEGE- (GR REALI)</t>
  </si>
  <si>
    <t>LATERAL DIREITA GR OLLIE/CALEB/VINCE 2300X540X15 MDP</t>
  </si>
  <si>
    <t>FRASSINO ID: (43347)</t>
  </si>
  <si>
    <t>AMENDOA CLEAN ID: (43348)</t>
  </si>
  <si>
    <t>LATERAL ESQUERDA GR OLLIE/CALEB/VINCE 2300X540X15 MDP</t>
  </si>
  <si>
    <t>FRASSINO ID: (40759)</t>
  </si>
  <si>
    <t>BRANCO ID: (40758)</t>
  </si>
  <si>
    <t>AMENDOA CLEAN ID: (40757)</t>
  </si>
  <si>
    <t>MOLDURA GR  3 PTS CALEB 2,70 2732X60X18 MDF</t>
  </si>
  <si>
    <t>FRASSINO ID: (40762)</t>
  </si>
  <si>
    <t>PERFIL H  1400MM BEGE- (COMODA TORONTO)</t>
  </si>
  <si>
    <t>PERFIL H  665MM BEGE- (COMODA DA VINCI)</t>
  </si>
  <si>
    <t>PERFIL H  430MM BEGE- (CRIADO DA VINCI E BAIAO)</t>
  </si>
  <si>
    <t>MOLDURA LATERAL GR 3 PTS CALEB 540X60X15 MDP</t>
  </si>
  <si>
    <t>FRASSINO ID: (38965)</t>
  </si>
  <si>
    <t>BRANCO ID: (38964)</t>
  </si>
  <si>
    <t>MOLDURA SUPERIOR GR 3 PTS CALEB 1380X80X25 MDP</t>
  </si>
  <si>
    <t>AMENDOA CLEAN ID: (41682)</t>
  </si>
  <si>
    <t>FRASSINO ID: (41684)</t>
  </si>
  <si>
    <t>BRANCO ID: (41683)</t>
  </si>
  <si>
    <t>MOLDURA SUPERIOR LATERAL  GR  3 PTS CALEB 492X80X25 MDP</t>
  </si>
  <si>
    <t>AMENDOA CLEAN ID: (44267)</t>
  </si>
  <si>
    <t>FRASSINO ID: (44269)</t>
  </si>
  <si>
    <t>BRANCO ID: (44268)</t>
  </si>
  <si>
    <t>PERFIL H  840MM BEGE- (COMODA BAIAO)</t>
  </si>
  <si>
    <t>PERFIL H  535MM BEGE- (CRIADO MATTEO- AUSTIN/LOOP)</t>
  </si>
  <si>
    <t>PERFIL H  1774MM BEGE- (GR 02 PTS PRESTIGE)***</t>
  </si>
  <si>
    <t>PERFIL H  400MM BEGE- (CRIADO MAGGIORE)</t>
  </si>
  <si>
    <t>PERFIL H  750MM BEGE- (COMODA HORZ. MAGGIORE)</t>
  </si>
  <si>
    <t>FUNDO GAVETA  GR  CALEB/OLLIE/VINCE</t>
  </si>
  <si>
    <t>BRANCO ID: (40767)</t>
  </si>
  <si>
    <t>AMENDOA CLEAN ID: (40766)</t>
  </si>
  <si>
    <t>LATERAL GAVETA DIREITA  GR  OLLIE/CALEB/VINCE</t>
  </si>
  <si>
    <t>AMENDOA CLEAN ID: (39878)</t>
  </si>
  <si>
    <t>LATERAL GAVETA ESQUERDA  GR  OLLIE/CALEB/VINCE</t>
  </si>
  <si>
    <t>AMENDOA CLEAN ID: (39928)</t>
  </si>
  <si>
    <t>TRASEIRO GAVETA  GR  OLLIE/CALEB/VINCE</t>
  </si>
  <si>
    <t>AMENDOA CLEAN ID: (44353)</t>
  </si>
  <si>
    <t>MOLDURA ENCAB LAT PORTA  GR  RASGO 12 3 PTS OLLIE/CALEB 2170X55X25 MDF</t>
  </si>
  <si>
    <t>AMENDOA CLEAN ID: (38317)</t>
  </si>
  <si>
    <t>FRASSINO ID: (38319)</t>
  </si>
  <si>
    <t>PAIN CAB CAMA BOX 1,60 CALITAN 1600X680X15 MDP</t>
  </si>
  <si>
    <t>AMENDOA CLEAN ID: (34702)</t>
  </si>
  <si>
    <t>BRANCO ID: (88548)</t>
  </si>
  <si>
    <t>FRASSINO ID: (34704)</t>
  </si>
  <si>
    <t>TAMPO INFERIOR MESA DE CAB BOX 1,60 CALITAN 461X389X15 MDP</t>
  </si>
  <si>
    <t>BRANCO ID: (88608)</t>
  </si>
  <si>
    <t>FRASSINO ID: (36277)</t>
  </si>
  <si>
    <t>AMENDOA CLEAN ID: (36275)</t>
  </si>
  <si>
    <t>MOLD/PUXADOR LAT PORTA GR RASGO 12 3 PTS OLLIE/CALEB 2170X70X25 MDF</t>
  </si>
  <si>
    <t>AMENDOA CLEAN ID: (43447)</t>
  </si>
  <si>
    <t>FRASSINO ID: (43449)</t>
  </si>
  <si>
    <t>PAIN  VERT CAB BOX 1,60 CALITAN C/LED 1075X680X12 MDP</t>
  </si>
  <si>
    <t>FRASSINO ID: (35006)</t>
  </si>
  <si>
    <t>BRANCO ID: (88546)</t>
  </si>
  <si>
    <t>AMENDOA CLEAN ID: (35004)</t>
  </si>
  <si>
    <t>FRENTE GAVETA MESA DE CAB BOX 1,60 CALITAN 485X195X15 MDP</t>
  </si>
  <si>
    <t>FRASSINO ID: (35525)</t>
  </si>
  <si>
    <t>BRANCO ID: (88614)</t>
  </si>
  <si>
    <t>AMENDOA CLEAN ID: (35523)</t>
  </si>
  <si>
    <t>LATERAL GAVETA DIREITA MESA CAB AR/BA/VE/AU22/MO/GE/VA 300X120X15 MDP</t>
  </si>
  <si>
    <t>BRANCO ID: (36280)</t>
  </si>
  <si>
    <t>FRASSINO ID: (36282)</t>
  </si>
  <si>
    <t>AMENDOA CLEAN ID: (36279)</t>
  </si>
  <si>
    <t>LATERAL GAVETA ESQUERDA MESA CAB AR/BA/VE/A22/MO/GE/VA 300X120X15 MDP</t>
  </si>
  <si>
    <t>BRANCO ID: (35765)</t>
  </si>
  <si>
    <t>AMENDOA CLEAN ID: (35763)</t>
  </si>
  <si>
    <t>FRASSINO ID: (35769)</t>
  </si>
  <si>
    <t>PORTA CENTRAL GR 3 PTS CALEB 2170X845X12 MDF</t>
  </si>
  <si>
    <t>AMENDOA CLEAN/OFF WH ID: (39021)</t>
  </si>
  <si>
    <t>FRASSINO/OFF WHITE ID: (39023)</t>
  </si>
  <si>
    <t>PORTA LATERAL GR 3 PTS OLLIE/CALEB 2170X830X12 MDF</t>
  </si>
  <si>
    <t>AMENDOA CLEAN/OFF WH ID: (44360)</t>
  </si>
  <si>
    <t>BRANCO ID: (44361)</t>
  </si>
  <si>
    <t>LATERAL DIREITA MESA DE CAB 1,60 CALITAN 435X390X15 MDP</t>
  </si>
  <si>
    <t>AMENDOA CLEAN ID: (35527)</t>
  </si>
  <si>
    <t>FRASSINO ID: (35529)</t>
  </si>
  <si>
    <t>BRANCO ID: (88584)</t>
  </si>
  <si>
    <t>LATERAL ESQUERDA MESA DE CAB 1,60 CALITAN 435X390X15 MDP</t>
  </si>
  <si>
    <t>BRANCO ID: (88577)</t>
  </si>
  <si>
    <t>FRASSINO ID: (35777)</t>
  </si>
  <si>
    <t>AMENDOA CLEAN ID: (35775)</t>
  </si>
  <si>
    <t>MOLD/PUXADOR LAT PORTA GR RASGO 15 3 PTS OLLIE/CALEB 2170X70X25 MDF</t>
  </si>
  <si>
    <t>AMENDOA CLEAN ID: (40825)</t>
  </si>
  <si>
    <t>FRASSINO ID: (40827)</t>
  </si>
  <si>
    <t>BRANCO ID: (40826)</t>
  </si>
  <si>
    <t>PAIN CAB MONT ESTOF CAB BOX 1,60 CALITAN 1590X335X26</t>
  </si>
  <si>
    <t>CORANO BEGE ID: (49972)</t>
  </si>
  <si>
    <t>KORINO PRETO ID: (36022)</t>
  </si>
  <si>
    <t>TRASEIRO GAVETA MESA DE CAB BOX 1,60 CALITAN 406X120X15 MDP</t>
  </si>
  <si>
    <t>AMENDOA CLEAN ID: (35008)</t>
  </si>
  <si>
    <t>FRASSINO ID: (35012)</t>
  </si>
  <si>
    <t>TAMPO SUPERIOR MESA DE CAB BOX 1,60 CALITAN 494X410X25 MDP</t>
  </si>
  <si>
    <t>FRASSINO ID: (35533)</t>
  </si>
  <si>
    <t>BRANCO ID: (88568)</t>
  </si>
  <si>
    <t>AMENDOA CLEAN ID: (35531)</t>
  </si>
  <si>
    <t>FUNDO GAVETA MESA DE CAB BOX 1,60 CALITAN 418X297X2,7 HDF</t>
  </si>
  <si>
    <t>BRANCO ID: (88624)</t>
  </si>
  <si>
    <t>AMENDOA CLEAN ID: (35251)</t>
  </si>
  <si>
    <t>PRATELEIRA INFERIOR GR 3 PTS CALEB 2,40</t>
  </si>
  <si>
    <t>AMENDOA CLEAN ID: (41727)</t>
  </si>
  <si>
    <t>BRANCO ID: (41728)</t>
  </si>
  <si>
    <t>PRATELEIRA SUPERIOR GR 3 PTS CALEB 2,40</t>
  </si>
  <si>
    <t>FRASSINO ID: (38322)</t>
  </si>
  <si>
    <t>RODAPE FRONTAL  GR  3 PTS CALEB 2,40 2370X70X15 MDP</t>
  </si>
  <si>
    <t>BRANCO ID: (41731)</t>
  </si>
  <si>
    <t>RODAPE TRASEIRO GR 3 PTS CALEB 2,40</t>
  </si>
  <si>
    <t>TAMPO INFERIOR GR 3 PTS CALEB 2,40</t>
  </si>
  <si>
    <t>AMENDOA CLEAN ID: (44393)</t>
  </si>
  <si>
    <t>FRASSINO ID: (44395)</t>
  </si>
  <si>
    <t>TAMPO SUPERIOR GR 3 PTS CALEB 2,40</t>
  </si>
  <si>
    <t>BRANCO ID: (38337)</t>
  </si>
  <si>
    <t>AMENDOA CLEAN ID: (38336)</t>
  </si>
  <si>
    <t>MOLDURA GR  3 PTS CALEB 2,40 2432X60X18 MDF</t>
  </si>
  <si>
    <t>BRANCO ID: (41772)</t>
  </si>
  <si>
    <t>FRASSINO ID: (41773)</t>
  </si>
  <si>
    <t>AMENDOA CLEAN ID: (41771)</t>
  </si>
  <si>
    <t>MOLDURA SUPERIOR GR 3 PTS CALEB 2,40 2460X80X25 MDP</t>
  </si>
  <si>
    <t>BRANCO ID: (43483)</t>
  </si>
  <si>
    <t>AMENDOA CLEAN ID: (43482)</t>
  </si>
  <si>
    <t>FRENTE GAVETA GR 3 PTS CALEB 2,40</t>
  </si>
  <si>
    <t>AMENDOA CLEAN ID: (43485)</t>
  </si>
  <si>
    <t>BRANCO ID: (43486)</t>
  </si>
  <si>
    <t>FUNDO GAVETA  GR  3 PTS CALEB 2,40</t>
  </si>
  <si>
    <t>BRANCO ID: (42703)</t>
  </si>
  <si>
    <t>PORTA CENTRAL GR 3 PTS CALEB 2,40 2170X745X12 MDF</t>
  </si>
  <si>
    <t>BRANCO ID: (39956)</t>
  </si>
  <si>
    <t>PORTA LATERAL GR 3 PTS CALEB 2,40 2170X730X12 MDF</t>
  </si>
  <si>
    <t>AMENDOA CLEAN/OFF WH ID: (43488)</t>
  </si>
  <si>
    <t>KIT FERRAGEM GR 3PTS OLLIE MOLD</t>
  </si>
  <si>
    <t>AMENDOA CLEAN ID: (57795)</t>
  </si>
  <si>
    <t>MOLDURA LATERAL GR OLLIE 2325X65X18 MDF</t>
  </si>
  <si>
    <t>AMENDOA CLEAN ID: (41841)</t>
  </si>
  <si>
    <t>FRASSINO ID: (41843)</t>
  </si>
  <si>
    <t>MOLDURA SUPERIOR GR 3 PTS OLLIE 2700X70X18 MDF</t>
  </si>
  <si>
    <t>AMENDOA CLEAN ID: (42735)</t>
  </si>
  <si>
    <t>FRASSINO ID: (42737)</t>
  </si>
  <si>
    <t>BRANCO ID: (42736)</t>
  </si>
  <si>
    <t>MOLDURA SUPERIOR LATERAL  GR  3 PTS OLLIE 495X70X15 MDP</t>
  </si>
  <si>
    <t>BRANCO ID: (39097)</t>
  </si>
  <si>
    <t>AMENDOA CLEAN ID: (39096)</t>
  </si>
  <si>
    <t>FRASSINO ID: (39098)</t>
  </si>
  <si>
    <t>PORTA CENTRAL GR 3 PTS OLLIE 2170X845X12 MDF</t>
  </si>
  <si>
    <t>AMENDOA CLEAN ID: (40933)</t>
  </si>
  <si>
    <t>FRASSINO ID: (40935)</t>
  </si>
  <si>
    <t>RIPADO GR 3 PTS OLLIE 2168X131X6 MDF</t>
  </si>
  <si>
    <t>AMENDOA CLEAN ID: (44462)</t>
  </si>
  <si>
    <t>BRANCO ID: (44463)</t>
  </si>
  <si>
    <t>FRASSINO ID: (44464)</t>
  </si>
  <si>
    <t>DIVISAO GR 4/6 PTS OLLIE/VINCE 2200X540X15 MDP</t>
  </si>
  <si>
    <t>AMENDOA CLEAN ID: (38380)</t>
  </si>
  <si>
    <t>FRASSINO ID: (38382)</t>
  </si>
  <si>
    <t>MOLDURA LATERAL SUPERIOR  GR  4/6 PTS OLLIE/VINCE 495X65X25 MDP</t>
  </si>
  <si>
    <t>BRANCO ID: (44466)</t>
  </si>
  <si>
    <t>FRASSINO ID: (44467)</t>
  </si>
  <si>
    <t>AMENDOA CLEAN ID: (44465)</t>
  </si>
  <si>
    <t>MOLDURA SUPERIOR GR 6 PTS OLLIE 2700X65X25 MDF</t>
  </si>
  <si>
    <t>AMENDOA CLEAN ID: (39099)</t>
  </si>
  <si>
    <t>FRASSINO ID: (39101)</t>
  </si>
  <si>
    <t>BRANCO ID: (39100)</t>
  </si>
  <si>
    <t>PORTA GR  4/6 PTS OLLIE/VINCE 2220X444X15 MDF</t>
  </si>
  <si>
    <t>FRASSINO ID: (38385)</t>
  </si>
  <si>
    <t>AMENDOA CLEAN ID: (38383)</t>
  </si>
  <si>
    <t>OFF WHITE ID: (38386)</t>
  </si>
  <si>
    <t>RIPADO GR 6 PTS OLLIE 2220X131X6 MDF</t>
  </si>
  <si>
    <t>FRASSINO ID: (42746)</t>
  </si>
  <si>
    <t>BRANCO ID: (42745)</t>
  </si>
  <si>
    <t>APLIQUE PUXADOR COMODA LOOP</t>
  </si>
  <si>
    <t>OFF WHITE ID: (35255)</t>
  </si>
  <si>
    <t>SALVIA ID: (35257)</t>
  </si>
  <si>
    <t>DISTANCIADOR FRONT COMODA LOOP 775X48X25 MDF</t>
  </si>
  <si>
    <t>AMENDOA CLEAN ID: (35539)</t>
  </si>
  <si>
    <t>DISTANCIADOR TRAS COMODA LOOP</t>
  </si>
  <si>
    <t>DIVISAO COMODA LOOP 913X450X15 MDP</t>
  </si>
  <si>
    <t>AMENDOA CLEAN ID: (34715)</t>
  </si>
  <si>
    <t>FRENTE GAVETA C/PUX INF C/ACAB COMODA LOOP 700X224X15 MDF</t>
  </si>
  <si>
    <t>SALVIA ID: (34720)</t>
  </si>
  <si>
    <t>FRENTE GAVETA C/PUX SUP C/ACAB COMODA LOOP 700X224X15 MDF</t>
  </si>
  <si>
    <t>OFF WHITE ID: (36285)</t>
  </si>
  <si>
    <t>SALVIA ID: (36286)</t>
  </si>
  <si>
    <t>RODAPE FRONTAL  GR  4 PTS VINCE 1775X70X15 MDP</t>
  </si>
  <si>
    <t>AMENDOA CLEAN ID: (38387)</t>
  </si>
  <si>
    <t>FRASSINO ID: (38389)</t>
  </si>
  <si>
    <t>LATERAL GAVETA DIREITA COMODA LOOP 400X120X15 MDP</t>
  </si>
  <si>
    <t>AMENDOA CLEAN ID: (36287)</t>
  </si>
  <si>
    <t>BRANCO ID: (37077)</t>
  </si>
  <si>
    <t>FRASSINO ID: (36288)</t>
  </si>
  <si>
    <t>RODAPE TRASEIRO GR 4 PTS VINCE</t>
  </si>
  <si>
    <t>LATERAL GAVETA ESQUERDA COMODA LOOP 400X120X15 MDP</t>
  </si>
  <si>
    <t>AMENDOA CLEAN ID: (36289)</t>
  </si>
  <si>
    <t>FRASSINO ID: (36290)</t>
  </si>
  <si>
    <t>TAMPO INFERIOR GR 4 PTS VINCE 1775X540X15 MDP</t>
  </si>
  <si>
    <t>FRASSINO ID: (44470)</t>
  </si>
  <si>
    <t>AMENDOA CLEAN ID: (44468)</t>
  </si>
  <si>
    <t>MOLDURA LATERAL COMODA LOOP 912X38X25 MDF</t>
  </si>
  <si>
    <t>OFF WHITE ID: (35779)</t>
  </si>
  <si>
    <t>SALVIA ID: (35780)</t>
  </si>
  <si>
    <t>RODAPE  MAIOR COMODA  LOOP 1280X50X12 MDP</t>
  </si>
  <si>
    <t>RODAPE  MENOR COMODA  LOOP 338X70X12 MDP</t>
  </si>
  <si>
    <t>AMENDOA CLEAN ID: (35781)</t>
  </si>
  <si>
    <t>BRANCO ID: (37046)</t>
  </si>
  <si>
    <t>LATERAL DIREITA GR 4 PTS VINCE 2300X540X15 MDP</t>
  </si>
  <si>
    <t>AMENDOA CLEAN ID: (41844)</t>
  </si>
  <si>
    <t>FRASSINO ID: (41846)</t>
  </si>
  <si>
    <t>TRASEIRO GAVETA COMODA LOOP 636X120X15 MDP</t>
  </si>
  <si>
    <t>AMENDOA CLEAN ID: (35802)</t>
  </si>
  <si>
    <t>FRASSINO ID: (35804)</t>
  </si>
  <si>
    <t>TRAVA COMODA LOOP 737X50X15 MDP</t>
  </si>
  <si>
    <t>COSTAS COMODA LOOP 1513X466X2,7 HDF</t>
  </si>
  <si>
    <t>FUNDO GAVETA COMODA LOOP 648X398X2,7 HDF</t>
  </si>
  <si>
    <t>BRANCO ID: (36916)</t>
  </si>
  <si>
    <t>AMENDOA CLEAN ID: (34744)</t>
  </si>
  <si>
    <t>KIT FERRAGEM CABECEIRA BOX 1,4/1,60 NOVITA</t>
  </si>
  <si>
    <t>BRANCO ID: (35574)</t>
  </si>
  <si>
    <t>MOLDURA MAIOR SUPERIOR  GR  4 PTS VINCE 1840X65X25 MDP</t>
  </si>
  <si>
    <t>AMENDOA CLEAN ID: (40951)</t>
  </si>
  <si>
    <t>MOLDURA SUPERIOR GR 4 PTS VINCE 1870X80X12 MDP</t>
  </si>
  <si>
    <t>AMENDOA CLEAN ID: (41847)</t>
  </si>
  <si>
    <t>FRASSINO ID: (41849)</t>
  </si>
  <si>
    <t>APLIQUE CAB BOX 1,40/1,60 NOVITA 2019 1570X250X12 MDF</t>
  </si>
  <si>
    <t>BRANCO ID: (36318)</t>
  </si>
  <si>
    <t>PORTA FRISADA  GR  4/6 PTS VINCE 2220X444X15 MDF</t>
  </si>
  <si>
    <t>OFF WHITE ID: (35809)</t>
  </si>
  <si>
    <t>AMENDOA CLEAN ID: (35806)</t>
  </si>
  <si>
    <t>PORTA LISA  GR  4 PTS VINCE 2220X444X15 MDF</t>
  </si>
  <si>
    <t>AMENDOA CLEAN ID: (35576)</t>
  </si>
  <si>
    <t>MOLDURA MAIOR SUPERIOR  GR  6 PTS VINCE 2735X65X25 MDF</t>
  </si>
  <si>
    <t>AMENDOA CLEAN ID: (41850)</t>
  </si>
  <si>
    <t>BRANCO ID: (41851)</t>
  </si>
  <si>
    <t>FRASSINO ID: (41852)</t>
  </si>
  <si>
    <t>MOLDURA SUPERIOR GR 6 PTS VINCE 1382X80X12 MDP</t>
  </si>
  <si>
    <t>BRANCO ID: (43530)</t>
  </si>
  <si>
    <t>PAIN CRIADO BOX 1,40/1,60 NOVITA 2019 1100X600X15 MDP</t>
  </si>
  <si>
    <t>BRANCO ID: (35811)</t>
  </si>
  <si>
    <t>PAIN CAB CAMA BOX 1,40/1,60 NOVITA 2019 1400X650X12 MDP</t>
  </si>
  <si>
    <t>BRANCO ID: (35291)</t>
  </si>
  <si>
    <t>AMENDOA CLEAN ID: (35290)</t>
  </si>
  <si>
    <t>FRENTE GAVETA CRIADO BOX 1,40/1,60 NOVITA 2019 364X140X15 MDP</t>
  </si>
  <si>
    <t>BRANCO ID: (36064)</t>
  </si>
  <si>
    <t>LATERAL DIREITA CRIADO BOX 1,40/1,60 NOVITA 2019 490X326X15 MDP</t>
  </si>
  <si>
    <t>BRANCO ID: (34751)</t>
  </si>
  <si>
    <t>LATERAL ESQUERDA CRIADO BOX 1,40/1,60 NOVITA 2019 490X326X15 MDP</t>
  </si>
  <si>
    <t>BRANCO ID: (35584)</t>
  </si>
  <si>
    <t>AMENDOA CLEAN ID: (35583)</t>
  </si>
  <si>
    <t>LATERAL GAVETA DIREITA CRIADO BOX 1,40/1,60 NOVITA 2019 300X110X12 MDP</t>
  </si>
  <si>
    <t>ROVERE NATURALE ID: (88165)</t>
  </si>
  <si>
    <t>AMENDOA CLEAN ID: (36534)</t>
  </si>
  <si>
    <t>LATERAL GAVETA ESQUERDA CRIADO 1,40/1,60 NOVITA 2019 300X110X12 MDP</t>
  </si>
  <si>
    <t>AMENDOA CLEAN ID: (35586)</t>
  </si>
  <si>
    <t>PRATELEIRA CRIADO BOX 1,40/1,60 NOVITA 2019 370X325X15 MDP</t>
  </si>
  <si>
    <t>AMENDOA CLEAN ID: (36066)</t>
  </si>
  <si>
    <t>RODAPE FRONTAL  CRIADO BOX 1,40/1,60  NOVITA 2019 370X60X12 MDP</t>
  </si>
  <si>
    <t>BRANCO ID: (35295)</t>
  </si>
  <si>
    <t>AMENDOA CLEAN ID: (35293)</t>
  </si>
  <si>
    <t>TRASEIRO GAVETA CRIADO BOX 1,40/1,60 NOVITA 2019 320X70X12 MDP</t>
  </si>
  <si>
    <t>AMENDOA CLEAN ID: (36072)</t>
  </si>
  <si>
    <t>BRANCO ID: (36073)</t>
  </si>
  <si>
    <t>FRENTE GAVETA GR 3/4/6 PTS OLLIE/CALEB/VINCE 2024 805X160X15 MDP</t>
  </si>
  <si>
    <t>AMENDOA CLEAN ID: (40032)</t>
  </si>
  <si>
    <t>FRASSINO ID: (40034)</t>
  </si>
  <si>
    <t>FUNDO GAVETA GR 3/4/6 PTS CALEB/OLLIE/VINCE 2024 766X351X2,7 HDF</t>
  </si>
  <si>
    <t>FRASSINO ID: (40040)</t>
  </si>
  <si>
    <t>AMENDOA CLEAN ID: (40038)</t>
  </si>
  <si>
    <t>BRANCO ID: (40039)</t>
  </si>
  <si>
    <t>FUNDO GAVETA CRIADO BOX 1,40/1,60 NOVITA 2019 330X307X2,7 HDF</t>
  </si>
  <si>
    <t>AMENDOA CLEAN ID: (34755)</t>
  </si>
  <si>
    <t>KIT FERRAGEM COMODA 04GAV BAIAO 2021</t>
  </si>
  <si>
    <t>AMENDOA CLEAN ID: (44475)</t>
  </si>
  <si>
    <t>FRASSINO ID: (12590)</t>
  </si>
  <si>
    <t>AMENDOA CLEAN ID: (12586)</t>
  </si>
  <si>
    <t>FRENTE GAVETA COMODA 4 GAV BAIAO 2021/IMPERADOR 845X215X15 MDP</t>
  </si>
  <si>
    <t>FRASSINO ID: (38399)</t>
  </si>
  <si>
    <t>LATERAL GAVETA DIREITA COMODA 4 GAV BAIAO 2018/IMPERAD 400X140X15 MDP</t>
  </si>
  <si>
    <t>BRANCO ID: (40042)</t>
  </si>
  <si>
    <t>AMENDOA CLEAN ID: (40041)</t>
  </si>
  <si>
    <t>FRASSINO ID: (40043)</t>
  </si>
  <si>
    <t>LATERAL GAVETA ESQUERDA COMODA 4 GAV BAIAO 2018/IMPERAD 400X140X15 MDP</t>
  </si>
  <si>
    <t>BRANCO ID: (39116)</t>
  </si>
  <si>
    <t>FRASSINO ID: (39117)</t>
  </si>
  <si>
    <t>TRASEIRO GAVETA COMODA 4 GAV BAIAO 2018/IMPERADOR 775X100X15 MDP</t>
  </si>
  <si>
    <t>AMENDOA CLEAN ID: (40973)</t>
  </si>
  <si>
    <t>BRANCO ID: (40974)</t>
  </si>
  <si>
    <t>TAMPO COMODA 4 GAV BAIAO PLUS 880X480X25 MDP</t>
  </si>
  <si>
    <t>FRASSINO ID: (40058)</t>
  </si>
  <si>
    <t>BRANCO ID: (40057)</t>
  </si>
  <si>
    <t>AMENDOA CLEAN ID: (40056)</t>
  </si>
  <si>
    <t>PERFIL H  1515MM BEGE (COMODA LOOP)</t>
  </si>
  <si>
    <t>PERFIL H  1435MM BEGE- (COMODA URBAN)</t>
  </si>
  <si>
    <t>KIT FERRAGEM GR 6PTS OLLIE 2024</t>
  </si>
  <si>
    <t>AMENDOA CLEAN ID: (38404)</t>
  </si>
  <si>
    <t>BUCHA DE FIXAÇÃO M8</t>
  </si>
  <si>
    <t>BUCHA ROSCA (1/4 PRETA) - 08.03.276-015</t>
  </si>
  <si>
    <t>AMENDOA CLEAN ID: (13224)</t>
  </si>
  <si>
    <t>PERFIL H  2680MM BEGE-(GR MONTEBELLO- CASTELARO- SPECIALE)</t>
  </si>
  <si>
    <t>PERFIL H  2620MM- BEGE (GR UNIQUE)</t>
  </si>
  <si>
    <t>BARRA CAMA 0,90/1,40 LOOP/LEDER 1937X125X25 MDF</t>
  </si>
  <si>
    <t>AMENDOA CLEAN ID: (35592)</t>
  </si>
  <si>
    <t>BRANCO ID: (35593)</t>
  </si>
  <si>
    <t>FRASSINO ID: (35594)</t>
  </si>
  <si>
    <t>PAIN INF CAB CASAL 1,40 LOOP/LEDER 1345X525X15 MDP</t>
  </si>
  <si>
    <t>AMENDOA CLEAN ID: (35595)</t>
  </si>
  <si>
    <t>FRASSINO ID: (35597)</t>
  </si>
  <si>
    <t>PAIN PESEIRA CAMA CASAL 1,40 LOOP/LEDER 1345X375X15 MDP</t>
  </si>
  <si>
    <t>AMENDOA CLEAN ID: (35816)</t>
  </si>
  <si>
    <t>FRASSINO ID: (35818)</t>
  </si>
  <si>
    <t>LATERAL DIREITA GR 3 PTS LOS ANGELES 2080X540X15 MDP</t>
  </si>
  <si>
    <t>BRANCO ID: (38363)</t>
  </si>
  <si>
    <t>LATERAL ESQUERDA GR 3 PTS LOS ANGELES 2080X540X15 MDP</t>
  </si>
  <si>
    <t>BRANCO ID: (41798)</t>
  </si>
  <si>
    <t>PAIN SUP CAB CAMA CASAL 1,40 LOOP/LEDER 1345X525X15 MDP</t>
  </si>
  <si>
    <t>FRASSINO ID: (35027)</t>
  </si>
  <si>
    <t>AMENDOA CLEAN ID: (35025)</t>
  </si>
  <si>
    <t>MOLDURA LATERAL CAB DIR CAMA SOL/CAS LOOP/LEDER 1100X80X50 MDF COL</t>
  </si>
  <si>
    <t>BRANCO ID: (35260)</t>
  </si>
  <si>
    <t>FRASSINO ID: (35261)</t>
  </si>
  <si>
    <t>MOLDURA LATERAL CAB ESQ CAMA LOOP/LEDER 1100X80X50 MDF COL</t>
  </si>
  <si>
    <t>FRASSINO ID: (35543)</t>
  </si>
  <si>
    <t>BRANCO ID: (35542)</t>
  </si>
  <si>
    <t>MOLDURA LATERAL PESEIRA DIR CAMA LOOP/LEDER 425X80X50 MDF COL</t>
  </si>
  <si>
    <t>FRASSINO ID: (35264)</t>
  </si>
  <si>
    <t>MOLDURA LATERAL PESEIRA ESQ CAMA LOOP/LEDER 425X80X50 MDF COL</t>
  </si>
  <si>
    <t>BRANCO ID: (35784)</t>
  </si>
  <si>
    <t>AMENDOA CLEAN ID: (35783)</t>
  </si>
  <si>
    <t>FRASSINO ID: (35785)</t>
  </si>
  <si>
    <t>MOLDURA SUP/INF  CAMA 1,40  LOOP/LEDER 1345X50X25 MDP</t>
  </si>
  <si>
    <t>BRANCO ID: (36512)</t>
  </si>
  <si>
    <t>FRASSINO ID: (36513)</t>
  </si>
  <si>
    <t>AMENDOA CLEAN ID: (36511)</t>
  </si>
  <si>
    <t>PAIN CAB MONT ESTOF CAB CAMA CASAL 1,40 LOOP</t>
  </si>
  <si>
    <t>BOUCLE SALVIA ID: (35267)</t>
  </si>
  <si>
    <t>KORINO BRANCO ID: (35271)</t>
  </si>
  <si>
    <t>CORANO BEGE ID: (35269)</t>
  </si>
  <si>
    <t>PAIN MONT ESTOF PES CAMA CASAL 1,40 LOOP/LEDER 1460X375X35</t>
  </si>
  <si>
    <t>BOUCLE SALVIA ID: (36033)</t>
  </si>
  <si>
    <t>LINHO RINZAI BEGE ID: (36036)</t>
  </si>
  <si>
    <t>CORANO BEGE ID: (36034)</t>
  </si>
  <si>
    <t>KORINO BRANCO ID: (36035)</t>
  </si>
  <si>
    <t>LATERAL DIREITA GR 3/4 PTS RUSTIC 2150X540X15 MDP</t>
  </si>
  <si>
    <t>BRANCO ID: (44485)</t>
  </si>
  <si>
    <t>CALÇO P/ DOB.SUPER CURVA 26X12MM RUSTIC</t>
  </si>
  <si>
    <t>KIT FERRAGEM CAMA SOLT 0,90 LOOP</t>
  </si>
  <si>
    <t>AMENDOA CLEAN ID: (36057)</t>
  </si>
  <si>
    <t>KIT FERRAGEM CAMA SOLT AUXILIAR LOOP</t>
  </si>
  <si>
    <t>AMENDOA CLEAN ID: (35284)</t>
  </si>
  <si>
    <t>PERFIL H  1180MM BRANCO/BEGE (GR ZEUS 4PTS)</t>
  </si>
  <si>
    <t>PERFIL H  1515MM AMENDOA/IMBUIA (GR ALONZO 4PTS)</t>
  </si>
  <si>
    <t>PERFIL H  1980MM AMENDOA/IMBUIA (GR JAZZ)</t>
  </si>
  <si>
    <t>PERFIL H  1980MM BRANCO/BEGE- (GR JAZZ/ANNE)</t>
  </si>
  <si>
    <t>PERFIL H  2275MM AMENDOA/IMBUIA (GR ALONZO 6PTS)</t>
  </si>
  <si>
    <t>PERFIL H  2275MM BRANCO/BEGE (GR ALONZO 6PTS)</t>
  </si>
  <si>
    <t>PERFIL H  2380MM AMENDOA/IMBUIA (GR ARIES)</t>
  </si>
  <si>
    <t>PERFIL H  2625MM AMENDOA (GR TORONTO/ SPAZIO 2,70/ UNIQUE)</t>
  </si>
  <si>
    <t>PERFIL H  2680MM AMENDOA/IMBUIA- (GR BERTHA/**AZAEL/**DANGELO)</t>
  </si>
  <si>
    <t>PERFIL H  2380MM BRANCO/PRETO (GR ARIES- GR SPAZIO 2,40)**</t>
  </si>
  <si>
    <t>PERFIL H  2625MM BRANCO/PRETO (GR TORONTO/SPAZIO 2,70/UNIQUE)</t>
  </si>
  <si>
    <t>PERFIL H  1515MM BRANCO/PRETO (GR ALONZO 4PTS)</t>
  </si>
  <si>
    <t>CALÇO 5MM PARA DOBRADIÇA DE 26MM</t>
  </si>
  <si>
    <t>PERFIL H  1100MM BEGE (COMODA VEDRA)</t>
  </si>
  <si>
    <t>PERFIL H  2275MM AMENDOA/ FRASSINO (GR ALONZO 6PTS)</t>
  </si>
  <si>
    <t>PERFIL H  2680MM AMENDOA/FRASSINO (GR BERTHA)</t>
  </si>
  <si>
    <t>PERFIL H  1980MM AMENDOA/FRASSINO (GR JAZZ)</t>
  </si>
  <si>
    <t>CANTONEIRA 20X20X42 PRATA (4 FUROS)</t>
  </si>
  <si>
    <t>CANTONEIRA BICRO 2 FUROS</t>
  </si>
  <si>
    <t>PERFIL JUNCAO  PLASTICO BRONZE 1272X15MM- TORONTO</t>
  </si>
  <si>
    <t>CANTONEIRA 110X25X2MM DE FERRO COM CURVA</t>
  </si>
  <si>
    <t>BARRA EXT CAMA AUXILIAR LOOP 1925X215X15 MDF</t>
  </si>
  <si>
    <t>FRASSINO ID: (35582)</t>
  </si>
  <si>
    <t>AMENDOA CLEAN ID: (35580)</t>
  </si>
  <si>
    <t>BRANCO ID: (35581)</t>
  </si>
  <si>
    <t>BARRA INT CAMA AUXILIAR LOOP 1925X125X15 MDF</t>
  </si>
  <si>
    <t>AMENDOA CLEAN ID: (36528)</t>
  </si>
  <si>
    <t>FRASSINO ID: (36530)</t>
  </si>
  <si>
    <t>PAIN INF CAB CAMA SOLT 0,90 LOOP 845X525X15 MDP</t>
  </si>
  <si>
    <t>FRASSINO ID: (36062)</t>
  </si>
  <si>
    <t>BRANCO ID: (36061)</t>
  </si>
  <si>
    <t>AMENDOA CLEAN ID: (36060)</t>
  </si>
  <si>
    <t>ANEL FIXADOR  P/ CADEIRA 18MM C/ PORCA</t>
  </si>
  <si>
    <t>ANEL FIXADOR  P/ CAMA 25MM C/ PORCA</t>
  </si>
  <si>
    <t>LATERAL GAVETA DIREITA GR DUNA/ANDARA/TORINO/BERLIM 2022/ANELI</t>
  </si>
  <si>
    <t>AMENDOA CLEAN ID: (88387)</t>
  </si>
  <si>
    <t>LATERAL GAVETA ESQUERDA GR DUNA/ANDARA/TORINO/BERLIM 2022/ANELI</t>
  </si>
  <si>
    <t>AMENDOA CLEAN ID: (88328)</t>
  </si>
  <si>
    <t>ARRUELA  1/4X5/8 ZINCADO 1MM PRETO-09.05.008</t>
  </si>
  <si>
    <t>ARRUELA  MEIA LUA 40XM8MM- PHILIPP (ZINCO BRANCO) 0602025901</t>
  </si>
  <si>
    <t>CHAVE  13MM</t>
  </si>
  <si>
    <t>CHAVE  ALLEN Z BICRO 4.0X50MM</t>
  </si>
  <si>
    <t>APLIQUE GR 2 PTS LANI</t>
  </si>
  <si>
    <t>AMENDOA CLEAN ID: (88699)</t>
  </si>
  <si>
    <t>CHAVE  GAVETA COFRE 22MM FUME (BRONZE)</t>
  </si>
  <si>
    <t>KIT FERRAGEM GR 8PTS ANDARA</t>
  </si>
  <si>
    <t>PRETO FOSCO ID: (88461)</t>
  </si>
  <si>
    <t>MOLDURA SUPERIOR GR 8 PTS DUNA/ANDARA/ANELI 2369X80X15 MDP</t>
  </si>
  <si>
    <t>BRANCO ID: (85084)</t>
  </si>
  <si>
    <t>AMENDOA CLEAN ID: (85083)</t>
  </si>
  <si>
    <t>CHAPA METAL  UNIAO 33,5X80 C/8 FUROS</t>
  </si>
  <si>
    <t>PAIN PESEIRA CAMA 0,90 LOOP 845X375X15 MDP</t>
  </si>
  <si>
    <t>FRASSINO ID: (35289)</t>
  </si>
  <si>
    <t>BRANCO ID: (35288)</t>
  </si>
  <si>
    <t>AMENDOA CLEAN ID: (35287)</t>
  </si>
  <si>
    <t>RODAPE FRONTAL  GR  8 PTS DUNA/ANDARA/ANELI 2345X70X15 MDP</t>
  </si>
  <si>
    <t>AMENDOA CLEAN ID: (88395)</t>
  </si>
  <si>
    <t>TAMPO CENTRAL GR 8 PTS DUNA/ANDARA/ANELI</t>
  </si>
  <si>
    <t>AMENDOA CLEAN ID: (88385)</t>
  </si>
  <si>
    <t>TAMPO INFERIOR GR 8 PTS DUNA/ANDARA/ANELI 2345X450X12 MDP</t>
  </si>
  <si>
    <t>AMENDOA CLEAN ID: (88375)</t>
  </si>
  <si>
    <t>PAIN SUP CAB CAMA 0,90 LOOP 845X525X15 MDP</t>
  </si>
  <si>
    <t>AMENDOA CLEAN ID: (36514)</t>
  </si>
  <si>
    <t>DIVISAO MALEIRO FRONTAL GR 8 PTS DUNA/ANDARA/ANELI</t>
  </si>
  <si>
    <t>AMENDOA CLEAN ID: (88397)</t>
  </si>
  <si>
    <t>FRENTE GAVETA GR 8 PTS DUNA/ANDARA/ANELI</t>
  </si>
  <si>
    <t>AMENDOA CLEAN ID: (88391)</t>
  </si>
  <si>
    <t>LATERAL DIREITA GR 8 PTS DUNA/ANDARA 2180X450X12 MDP</t>
  </si>
  <si>
    <t>AMENDOA CLEAN ID: (88319)</t>
  </si>
  <si>
    <t>LATERAL ESQUERDA GR 8 PTS DUNA/ANDARA 2180X450X12 MDP</t>
  </si>
  <si>
    <t>AMENDOA CLEAN ID: (88323)</t>
  </si>
  <si>
    <t>PINAZIO GR 8 PTS DUNA/ANDARA/ANELI</t>
  </si>
  <si>
    <t>PRATELEIRA C/FURO CENTRAL  GR  8 PTS DUNA/ANDA/ANELI 575X350X12 MDP</t>
  </si>
  <si>
    <t>AMENDOA CLEAN ID: (88379)</t>
  </si>
  <si>
    <t>PRATELEIRA SUPERIOR S/FURO  GR  8 PTS DUNA/ANDA/ANELI 575X350X12 MDP</t>
  </si>
  <si>
    <t>AMENDOA CLEAN ID: (88383)</t>
  </si>
  <si>
    <t>TRASEIRO GAVETA GR 8 PTS DUNA/ANDARA/ANELI 2200X360X15 MDP</t>
  </si>
  <si>
    <t>AMENDOA CLEAN ID: (88389)</t>
  </si>
  <si>
    <t>DIVISAO GR 8 PTS DUNA/ANDARA</t>
  </si>
  <si>
    <t>AMENDOA CLEAN ID: (88393)</t>
  </si>
  <si>
    <t>PRATELEIRA INFERIOR S/FURO  GR  8 PTS DUNA/ANDA/ANELI 575X350X12 MDP</t>
  </si>
  <si>
    <t>AMENDOA CLEAN ID: (88381)</t>
  </si>
  <si>
    <t>PORTA GR  8 PTS ANDARA 2025X291X15 MDP</t>
  </si>
  <si>
    <t>OFF WHITE ID: (88446)</t>
  </si>
  <si>
    <t>MOLDURA SUP/INF  CAMA 0,90  LOOP 845X50X25 MDP</t>
  </si>
  <si>
    <t>BRANCO ID: (36042)</t>
  </si>
  <si>
    <t>AMENDOA CLEAN ID: (36041)</t>
  </si>
  <si>
    <t>PAIN MONT ESTOF CAB CAMA 0,90 LOOP 960X340X35</t>
  </si>
  <si>
    <t>BOUCLE SALVIA ID: (35790)</t>
  </si>
  <si>
    <t>CORANO BEGE ID: (35792)</t>
  </si>
  <si>
    <t>KORINO BRANCO ID: (35794)</t>
  </si>
  <si>
    <t>PAIN MONT ESTOF PES CAMA 0,90 LOOP 960X380X35</t>
  </si>
  <si>
    <t>BOUCLE SALVIA ID: (35546)</t>
  </si>
  <si>
    <t>KORINO BRANCO ID: (35548)</t>
  </si>
  <si>
    <t>CORANO BEGE ID: (35547)</t>
  </si>
  <si>
    <t>MOLDURA SUPERIOR GR 6 PTS AZAEL 2700X65X15 MDF</t>
  </si>
  <si>
    <t>AMENDOA CLEAN ID: (41820)</t>
  </si>
  <si>
    <t>LATERAL DIREITA GR 6 PTS AZAEL 2300X570X15 MDF</t>
  </si>
  <si>
    <t>AMENDOA CLEAN ID: (39085)</t>
  </si>
  <si>
    <t>LATERAL ESQUERDA GR 6 PTS AZAEL 2300X570X15 MDF</t>
  </si>
  <si>
    <t>AMENDOA CLEAN ID: (43515)</t>
  </si>
  <si>
    <t>PAIN  MAIOR CAB LIKE 1530X595X15 MDP</t>
  </si>
  <si>
    <t>BRANCO ID: (35034)</t>
  </si>
  <si>
    <t>AMENDOA CLEAN ID: (35033)</t>
  </si>
  <si>
    <t>FRASSINO ID: (35035)</t>
  </si>
  <si>
    <t>FRENTE GAVETA GR 4/6 PTS REALI/STILLUS NEW/IMPERATORE 780X160X15 MDF</t>
  </si>
  <si>
    <t>BRANCO ID: (44444)</t>
  </si>
  <si>
    <t>AMENDOA CLEAN ID: (44443)</t>
  </si>
  <si>
    <t>PAIN  MENOR CAB LIKE 1090X595X15 MDP</t>
  </si>
  <si>
    <t>AMENDOA CLEAN ID: (34721)</t>
  </si>
  <si>
    <t>FRASSINO ID: (34723)</t>
  </si>
  <si>
    <t>LATERAL GAVETA DIREITA GR 4/6 PTS REALI/STILLUS NEW/IMPERATORE</t>
  </si>
  <si>
    <t>AMENDOA CLEAN ID: (40017)</t>
  </si>
  <si>
    <t>BRANCO ID: (40018)</t>
  </si>
  <si>
    <t>LATERAL GAVETA ESQUERDA GR 4/6 PTS REALI/STILLUS NEW/IMPERATORE</t>
  </si>
  <si>
    <t>AMENDOA CLEAN ID: (44451)</t>
  </si>
  <si>
    <t>BRANCO ID: (44452)</t>
  </si>
  <si>
    <t>TAMPO INFERIOR MESA DE CAB LIKE 400X356X15 MDP</t>
  </si>
  <si>
    <t>FRASSINO ID: (34726)</t>
  </si>
  <si>
    <t>BRANCO ID: (34725)</t>
  </si>
  <si>
    <t>AMENDOA CLEAN ID: (34724)</t>
  </si>
  <si>
    <t>TAMPO MESA DE CAB LIKE 440X376X15 MDP</t>
  </si>
  <si>
    <t>BRANCO ID: (35282)</t>
  </si>
  <si>
    <t>FRASSINO ID: (35283)</t>
  </si>
  <si>
    <t>AMENDOA CLEAN ID: (35281)</t>
  </si>
  <si>
    <t>TRASEIRO GAVETA GR 4/6 PTS REALI/STILLUS NEW/IMPERATORE</t>
  </si>
  <si>
    <t>SISAL ID: (41825)</t>
  </si>
  <si>
    <t>BRANCO ID: (41823)</t>
  </si>
  <si>
    <t>FRENTE GAVETA MESA DE CAB LIKE 425X150X15 MDP</t>
  </si>
  <si>
    <t>FRASSINO ID: (34729)</t>
  </si>
  <si>
    <t>BRANCO ID: (34728)</t>
  </si>
  <si>
    <t>AMENDOA CLEAN ID: (34727)</t>
  </si>
  <si>
    <t>LATERAL DIREITA MESA DE CAB LIKE 356X335X15 MDP</t>
  </si>
  <si>
    <t>FRASSINO ID: (35553)</t>
  </si>
  <si>
    <t>AMENDOA CLEAN ID: (35549)</t>
  </si>
  <si>
    <t>LATERAL ESQUERDA MESA DE CAB LIKE 356X335X15 MDP</t>
  </si>
  <si>
    <t>FRASSINO ID: (35798)</t>
  </si>
  <si>
    <t>AMENDOA CLEAN ID: (35796)</t>
  </si>
  <si>
    <t>KIT FERRAGEM GR 6PTS IMPERATORE</t>
  </si>
  <si>
    <t>AMENDOA CLEAN ID: (57779)</t>
  </si>
  <si>
    <t>MOLDURA SUPERIOR CAB 1,40 LIKE 1170X70X15 MDP</t>
  </si>
  <si>
    <t>FRASSINO ID: (34732)</t>
  </si>
  <si>
    <t>BRANCO ID: (34731)</t>
  </si>
  <si>
    <t>AMENDOA CLEAN ID: (34730)</t>
  </si>
  <si>
    <t>RIPADO CAB LIKE 595X131X6 MDF</t>
  </si>
  <si>
    <t>FRASSINO ID: (35040)</t>
  </si>
  <si>
    <t>BRANCO ID: (35038)</t>
  </si>
  <si>
    <t>AMENDOA CLEAN ID: (35036)</t>
  </si>
  <si>
    <t>TRASEIRO GAVETA MESA DE CAB LIKE 345X80X15 MDP</t>
  </si>
  <si>
    <t>AMENDOA CLEAN ID: (36291)</t>
  </si>
  <si>
    <t>FRASSINO ID: (36293)</t>
  </si>
  <si>
    <t>FUNDO GAVETA MESA DE CAB LIKE 357X307X2,7 HDF</t>
  </si>
  <si>
    <t>AMENDOA CLEAN ID: (34733)</t>
  </si>
  <si>
    <t>BRANCO ID: (34734)</t>
  </si>
  <si>
    <t>FRASSINO ID: (34735)</t>
  </si>
  <si>
    <t>MOLDURA GR  3 PTS VEX 2395X120X15 MDP</t>
  </si>
  <si>
    <t>AMENDOA CLEAN ID: (88633)</t>
  </si>
  <si>
    <t>RODAPE FRONTAL  GR  3 PTS VEX 2370X120X15 MDP</t>
  </si>
  <si>
    <t>AMENDOA CLEAN ID: (88464)</t>
  </si>
  <si>
    <t>RODAPE TRASEIRO GR 3 PTS VEX</t>
  </si>
  <si>
    <t>PREGO  (13X15 C/C)</t>
  </si>
  <si>
    <t>TAMPO INFERIOR GR 3 PTS VEX</t>
  </si>
  <si>
    <t>AMENDOA CLEAN ID: (88628)</t>
  </si>
  <si>
    <t>FIXADOR  P/ COSTA DE ROUPEIRO (ZB)</t>
  </si>
  <si>
    <t>TAMPO SUPERIOR GR 3 PTS VEX 2370X570X15 MDP</t>
  </si>
  <si>
    <t>AMENDOA CLEAN ID: (88618)</t>
  </si>
  <si>
    <t>APLIQUE MAIOR GR 3 PTS VEX</t>
  </si>
  <si>
    <t>AMENDOA CLEAN ID: (88581)</t>
  </si>
  <si>
    <t>APLIQUE MENOR GR 3 PTS VEX</t>
  </si>
  <si>
    <t>AMENDOA CLEAN ID: (88612)</t>
  </si>
  <si>
    <t>GIZ RETOQUE ( AMENDOA)</t>
  </si>
  <si>
    <t>PRATELEIRA S/FURO GR 3 PTS VEX 780X350X15 MDP</t>
  </si>
  <si>
    <t>AMENDOA CLEAN ID: (88572)</t>
  </si>
  <si>
    <t>GIZ RETOQUE ( BRANCO)</t>
  </si>
  <si>
    <t>TRASEIRO GAVETA GR 3 PTS VEX</t>
  </si>
  <si>
    <t>AMENDOA CLEAN ID: (88505)</t>
  </si>
  <si>
    <t>GIZ RETOQUE ( FRASSINO)</t>
  </si>
  <si>
    <t>GIZ RETOQUE ( OFF WHITE)</t>
  </si>
  <si>
    <t>PRATELEIRA SUPERIOR GR 3 PTS VEX 780X400X15 MDP</t>
  </si>
  <si>
    <t>AMENDOA CLEAN ID: (88511)</t>
  </si>
  <si>
    <t>PORTA CENTRAL GR 3 PTS VEX 2048X835X12 MDP</t>
  </si>
  <si>
    <t>AMENDOA CLEAN/OFF WH ID: (88477)</t>
  </si>
  <si>
    <t>PORTA LATERAL GR 3 PTS VEX 2048X720X12 MDP</t>
  </si>
  <si>
    <t>AMENDOA CLEAN/OFF WH ID: (88488)</t>
  </si>
  <si>
    <t>DOBRADIÇA CONJ 26MM CURVA ALTA+CALÇO 5MM P/DOB.26MM(24739+62266)</t>
  </si>
  <si>
    <t>RIPADO GR 2 PTS NIX</t>
  </si>
  <si>
    <t>AMENDOA CLEAN ID: (88702)</t>
  </si>
  <si>
    <t>PORTA INTERNA GR 3 PTS VEX</t>
  </si>
  <si>
    <t>AMENDOA CLEAN ID: (88638)</t>
  </si>
  <si>
    <t>LATERAL DIREITA MESA DE CAB LEDER 455X373X15 MDP</t>
  </si>
  <si>
    <t>AMENDOA CLEAN ID: (41853)</t>
  </si>
  <si>
    <t>FRASSINO ID: (41854)</t>
  </si>
  <si>
    <t>LATERAL ESQUERDA MESA DE CAB LEDER 455X373X15 MDP</t>
  </si>
  <si>
    <t>FRASSINO ID: (40964)</t>
  </si>
  <si>
    <t>AMENDOA CLEAN ID: (40963)</t>
  </si>
  <si>
    <t>DISTANCIADOR TRAS MESA DE CAB LEDER</t>
  </si>
  <si>
    <t>FRENTE GAVETA C/PUX INF MESA DE CAB LEDER 454X190X15 MDF</t>
  </si>
  <si>
    <t>AMENDOA CLEAN ID: (41826)</t>
  </si>
  <si>
    <t>FRASSINO ID: (41827)</t>
  </si>
  <si>
    <t>FRENTE GAVETA C/PUX SUP MESA CAB LEDER 454X190X15 MDF</t>
  </si>
  <si>
    <t>FRASSINO ID: (38376)</t>
  </si>
  <si>
    <t>AMENDOA CLEAN ID: (38375)</t>
  </si>
  <si>
    <t>PRATELEIRA C/RASGO SUPERIOR  GR  3 PTS VEX 780X400X15 MDP</t>
  </si>
  <si>
    <t>AMENDOA CLEAN ID: (88507)</t>
  </si>
  <si>
    <t>MOLDURA LATERAL MESA DE CAB LEDER 455X43X25 MDF</t>
  </si>
  <si>
    <t>AMENDOA CLEAN ID: (39089)</t>
  </si>
  <si>
    <t>FRASSINO ID: (39090)</t>
  </si>
  <si>
    <t>RODAPE FRONTAL  MESA DE CAB  LEDER 516X50X15 MDP</t>
  </si>
  <si>
    <t>AMENDOA CLEAN ID: (41855)</t>
  </si>
  <si>
    <t>RODAPE TRASEIRO MESA DE CAB LEDER 516X50X15 MDP</t>
  </si>
  <si>
    <t>COSTAS GR 3 PTS SPAZIO 2,40 2395X573X2,7 HDF</t>
  </si>
  <si>
    <t>AMENDOA CLEAN ID: (88353)</t>
  </si>
  <si>
    <t>VISTA MESA DE CAB  LEDER 516X80X15 MDF</t>
  </si>
  <si>
    <t>TEXTURA COURO ID: (41857)</t>
  </si>
  <si>
    <t>MOLDURA SUPERIOR GR 3 PTS SPAZIO 2,40 2400X60X25 MDF</t>
  </si>
  <si>
    <t>AMENDOA CLEAN ID: (88354)</t>
  </si>
  <si>
    <t>TAMPO MESA DE CAB LEDER 552X402X25 MDP</t>
  </si>
  <si>
    <t>AMENDOA CLEAN ID: (40967)</t>
  </si>
  <si>
    <t>FRASSINO ID: (40968)</t>
  </si>
  <si>
    <t>RODAPE FRONTAL  GR  3 PTS SPAZIO 2,40 2370X70X15 MDF</t>
  </si>
  <si>
    <t>AMENDOA CLEAN ID: (88327)</t>
  </si>
  <si>
    <t>RODAPE TRASEIRO GR 3 PTS SPAZIO 2,40</t>
  </si>
  <si>
    <t>CONJ PERFIL DIV GAVETA 78MM BCO 2X730+2X380 C/ SUP SPAZIO</t>
  </si>
  <si>
    <t>BARRA ROSCADA 1/4X80MM ZB - LINHA GALES</t>
  </si>
  <si>
    <t>BARRA ROSCADA 5/16" X 75MM</t>
  </si>
  <si>
    <t>CHAPA RETA 02 FUROS P/ MOLDURA CB</t>
  </si>
  <si>
    <t>PORCA AUTOTRAVANTE ALTA C/NYLON 1/4</t>
  </si>
  <si>
    <t>DISCO GIRATORIO280 ROLETADO-646.19.381</t>
  </si>
  <si>
    <t>DISTANCIADOR 25MM PRATA - GR SLIM</t>
  </si>
  <si>
    <t>KIT LED CAB BOX CALITAN 4X400MM ( INT PRETO)</t>
  </si>
  <si>
    <t>KIT LED CAMA 1,60 FRETOWN 2X2000MM (INT BCO)</t>
  </si>
  <si>
    <t>KIT LED CAMA BELICHE OLGA PERFIL LED 235MM</t>
  </si>
  <si>
    <t>SILICONE 20MM PARA TAMPO VIDRO</t>
  </si>
  <si>
    <t>SILICONE PARA TAMPO VIDRO 13MM</t>
  </si>
  <si>
    <t>KIT PULSADOR MAGNETICO (PULS+BATENT METAL + PF)</t>
  </si>
  <si>
    <t>RB RODIZIO DE CAMA</t>
  </si>
  <si>
    <t>TAMBOR MINIFIX ZAMAC 15X12MM</t>
  </si>
  <si>
    <t>TAMPO INFERIOR GR 3 PTS SPAZIO 2,40 2370X600X15 MDF</t>
  </si>
  <si>
    <t>AMENDOA CLEAN ID: (88790)</t>
  </si>
  <si>
    <t>TRASEIRO GAVETA GR 3 PTS SPAZIO 2,40/EASY 1,60</t>
  </si>
  <si>
    <t>AMENDOA CLEAN ID: (88340)</t>
  </si>
  <si>
    <t>PORTA LATERAL GR 3 PTS SPAZIO 2,40/EASY 1,60 2248X770X15 MDF</t>
  </si>
  <si>
    <t>AMENDOA CLEAN ID: (88345)</t>
  </si>
  <si>
    <t>AMENDOA CLEAN ID: (88802)</t>
  </si>
  <si>
    <t>KIT FERRAGEM GR 6PTS EASY SLIM</t>
  </si>
  <si>
    <t>AMENDOA CLEAN ID: (88709)</t>
  </si>
  <si>
    <t>LATERAL ESQUERDA GR 6 PTS EASY SLIM 2050X450X12 MDP</t>
  </si>
  <si>
    <t>AMENDOA CLEAN ID: (88711)</t>
  </si>
  <si>
    <t>LATERAL GR 3 PTS DANGELO</t>
  </si>
  <si>
    <t>AMENDOA CLEAN ID: (88681)</t>
  </si>
  <si>
    <t>MOLDURA ENCAB LAT PORTA GR 3 PTS DANGELO</t>
  </si>
  <si>
    <t>AMENDOA CLEAN ID: (88687)</t>
  </si>
  <si>
    <t>DOBRADIÇA AL6 35MM CURVA ALTA - VALENCIA EXP</t>
  </si>
  <si>
    <t>MOLD/PUXADOR LAT PORTA GR 3 PTS DANGELO</t>
  </si>
  <si>
    <t>AMENDOA CLEAN ID: (88685)</t>
  </si>
  <si>
    <t>DOBRADIÇA AL2 MODUL CANTO FALSO EST.CROMA 9MM RUSTIC</t>
  </si>
  <si>
    <t>DOBRADIÇA TN MS SLOW CURVA CALÇO FIXO 35MM</t>
  </si>
  <si>
    <t>DOBRADIÇA 35MM CURVA ALTA</t>
  </si>
  <si>
    <t>DOBRADIÇA CONJ 35MM CURVA ALTA + CALÇO PARA DOB.35MM (62268)</t>
  </si>
  <si>
    <t>DOBRADIÇA SLOW ALTA 35MM - REF H2B - 3A99 - CANECO 9MM - FGV</t>
  </si>
  <si>
    <t>TAPA FURO ADESIVADO 13MM BRANCO</t>
  </si>
  <si>
    <t>TAPA FURO ADESIVADO 21MM BRANCO</t>
  </si>
  <si>
    <t>TAPA FURO ADESIVADO 13MM CARVALHO NATURALE</t>
  </si>
  <si>
    <t>TAPA FURO ADESIVADO 13MM IMBUIA NATURALE</t>
  </si>
  <si>
    <t>TAPA FURO ADESIVADO 13MM ROVERE NATURALE</t>
  </si>
  <si>
    <t>TAPA FURO ADESIVADO 21MM ROVERE NATURALE</t>
  </si>
  <si>
    <t>FUNDO GAVETA GR 6 PTS HECTOR PLUS/CELEBRARE/BARDO 491X357X2,7 HDF</t>
  </si>
  <si>
    <t>BRANCO ID: (44473)</t>
  </si>
  <si>
    <t>COSTAS GR 6 PTS HECTOR/CELEBRARE/BARDO 1900X541X2,7 HDF</t>
  </si>
  <si>
    <t>AMENDOA CLEAN ID: (40023)</t>
  </si>
  <si>
    <t>FUNDO GR 6 PTS HECTOR/CELEBRARE/BARDO</t>
  </si>
  <si>
    <t>BRANCO ID: (38378)</t>
  </si>
  <si>
    <t>AMENDOA CLEAN ID: (38377)</t>
  </si>
  <si>
    <t>TAPA FURO ADESIVADO 13MM AMENDOA</t>
  </si>
  <si>
    <t>TAPA FURO ADESIVADO 21MM AMENDOA</t>
  </si>
  <si>
    <t>TAPA FURO ADESIVADO 21MM FRASSINO</t>
  </si>
  <si>
    <t>TAPA FURO ADESIVADO 13MM FRASSINO</t>
  </si>
  <si>
    <t>TAPA FURO 8MM BRANCO</t>
  </si>
  <si>
    <t>TAPA FURO 8MM AMENDOA (ROVERE CARVALHO SOFT)</t>
  </si>
  <si>
    <t>PE FRONTAL CAD APOGEU/CAM/DAFNE/LOTUS 450X50X25 MDF</t>
  </si>
  <si>
    <t>FRASSINO ID: (86741)</t>
  </si>
  <si>
    <t>TRAVESSA LATERAL MONT CAD APOGEU/CAMINI/LOTUS 315X70X18 MDF</t>
  </si>
  <si>
    <t>COSTAS MESA DE CAB  3 GAV BAIAO PLUS 435X280X2,7 HDF</t>
  </si>
  <si>
    <t>FRENTE GAVETA MESA DE CAB 3 GAV BAIAO 2021 422X170X15 MDP</t>
  </si>
  <si>
    <t>FRASSINO ID: (37351)</t>
  </si>
  <si>
    <t>AMENDOA CLEAN ID: (37349)</t>
  </si>
  <si>
    <t>BRANCO ID: (37350)</t>
  </si>
  <si>
    <t>OFF WHITE ID: (67812)</t>
  </si>
  <si>
    <t>FUNDO GAVETA MESA DE CAB 3 GAV BAIAO 368X307X2,7 HDF</t>
  </si>
  <si>
    <t>BRANCO ID: (37360)</t>
  </si>
  <si>
    <t>AMENDOA CLEAN ID: (37359)</t>
  </si>
  <si>
    <t>FRASSINO ID: (37361)</t>
  </si>
  <si>
    <t>LATERAL GAVETA DIREITA MESA DE CAB AMELIA/BAIAO 300X110X15 MDP</t>
  </si>
  <si>
    <t>AMENDOA CLEAN ID: (37319)</t>
  </si>
  <si>
    <t>FRASSINO ID: (37321)</t>
  </si>
  <si>
    <t>LATERAL GAVETA ESQUERDA MESA DE CAB AMELIA/BAIAO 300X110X15 MDP</t>
  </si>
  <si>
    <t>FRASSINO ID: (37356)</t>
  </si>
  <si>
    <t>AMENDOA CLEAN ID: (37354)</t>
  </si>
  <si>
    <t>LATERAL DIREITA MESA DE CAB 3 GAV BAIAO PLUS 595X350X15 MDP</t>
  </si>
  <si>
    <t>AMENDOA CLEAN ID: (37329)</t>
  </si>
  <si>
    <t>BRANCO ID: (37330)</t>
  </si>
  <si>
    <t>LATERAL ESQUERDA MESA DE CAB 3 GAV BAIAO PLUS 595X350X15 MDP</t>
  </si>
  <si>
    <t>AMENDOA CLEAN ID: (37334)</t>
  </si>
  <si>
    <t>FRASSINO ID: (37336)</t>
  </si>
  <si>
    <t>BRANCO ID: (37335)</t>
  </si>
  <si>
    <t>RODAPE FRONTAL  MESA DE CAB  3 GAV BAIAO 2015 410X70X15 MDP</t>
  </si>
  <si>
    <t>AMENDOA CLEAN ID: (37324)</t>
  </si>
  <si>
    <t>BRANCO ID: (37325)</t>
  </si>
  <si>
    <t>FRASSINO ID: (37326)</t>
  </si>
  <si>
    <t>RODAPE TRASEIRO MESA DE CAB 3 GAV BAIAO 2015 410X70X15 MDP</t>
  </si>
  <si>
    <t>TAMPO MESA DE CAB BAIAO 460X375X25 MDP</t>
  </si>
  <si>
    <t>FRASSINO ID: (41133)</t>
  </si>
  <si>
    <t>BRANCO ID: (41132)</t>
  </si>
  <si>
    <t>AMENDOA CLEAN ID: (41131)</t>
  </si>
  <si>
    <t>TRASEIRO GAVETA MESA DE CAB AMELIA/BAIAO 355X80X15 MDP</t>
  </si>
  <si>
    <t>FRASSINO ID: (42917)</t>
  </si>
  <si>
    <t>AMENDOA CLEAN ID: (42915)</t>
  </si>
  <si>
    <t>BRANCO ID: (42916)</t>
  </si>
  <si>
    <t>ENCOSTO CAD ATHENAS 650X370X15 MDF</t>
  </si>
  <si>
    <t>BRANCO ID: (83208)</t>
  </si>
  <si>
    <t>FRASSINO ID: (67302)</t>
  </si>
  <si>
    <t>AMENDOA CLEAN ID: (44540)</t>
  </si>
  <si>
    <t>KIT FERRAGEM CADEIRA ATHENAS</t>
  </si>
  <si>
    <t>BRANCO ID: (43568)</t>
  </si>
  <si>
    <t>PE FRONTAL CAD ATHENAS 450X50X25 MDF</t>
  </si>
  <si>
    <t>AMENDOA CLEAN ID: (43574)</t>
  </si>
  <si>
    <t>FRASSINO ID: (67292)</t>
  </si>
  <si>
    <t>PE GRAND DIR CAD ATHENAS 1010X52X25 MDF</t>
  </si>
  <si>
    <t>AMENDOA CLEAN ID: (42832)</t>
  </si>
  <si>
    <t>FRASSINO ID: (67294)</t>
  </si>
  <si>
    <t>PE GRAND ESQ CAD ATHENAS 1010X52X25 MDF</t>
  </si>
  <si>
    <t>AMENDOA CLEAN ID: (43578)</t>
  </si>
  <si>
    <t>FRASSINO ID: (67296)</t>
  </si>
  <si>
    <t>TRAVESSA FRONT CAD ATHENAS 370X70X18 MDF</t>
  </si>
  <si>
    <t>AMENDOA CLEAN ID: (42836)</t>
  </si>
  <si>
    <t>BRANCO ID: (83397)</t>
  </si>
  <si>
    <t>FRASSINO ID: (67298)</t>
  </si>
  <si>
    <t>TRAVESSA LATERAL CAD ATHENAS 350X70X18 MDF</t>
  </si>
  <si>
    <t>FRASSINO ID: (67300)</t>
  </si>
  <si>
    <t>BRANCO ID: (83399)</t>
  </si>
  <si>
    <t>AMENDOA CLEAN ID: (40116)</t>
  </si>
  <si>
    <t>ASSENTO MONTADO ESTOFADO CAD ATHENAS</t>
  </si>
  <si>
    <t>COURO MORANO AVELA ID: (66894)</t>
  </si>
  <si>
    <t>VELUDO NATURALE CREME ID: (42847)</t>
  </si>
  <si>
    <t>VELUDO LISO MARROM ID: (42846)</t>
  </si>
  <si>
    <t>LINHO RUSTICO ID: (42843)</t>
  </si>
  <si>
    <t>VELUDO LISO CAPUCCINO ID: (42845)</t>
  </si>
  <si>
    <t>SUEDE ANIMALE BEGE ID: (42844)</t>
  </si>
  <si>
    <t>LINHO MOSAICO ID: (66900)</t>
  </si>
  <si>
    <t>LINHO RINZAI BEGE ID: (42842)</t>
  </si>
  <si>
    <t>PINAZIO SUPERIOR ENC CAD  EXCLUS/PRIV/NEVA2021/ASTRID 430X80X25 MDF</t>
  </si>
  <si>
    <t>FRASSINO ID: (44543)</t>
  </si>
  <si>
    <t>AMENDOA CLEAN ID: (44542)</t>
  </si>
  <si>
    <t>TRAVESSA INT FRONT/TRAS CAD VEN/PRIVILEGE/EXCLUSIVE 2.3 360X70X18 MDF</t>
  </si>
  <si>
    <t>TRAVESSA INT LAT C/CHANFRO CAD VEN/PRIV/EXCLUSIVE 2.3 360X70X18 MDF</t>
  </si>
  <si>
    <t>KIT FERRAGEM MESA 1,20 CELEBRARE</t>
  </si>
  <si>
    <t>AMENDOA CLEAN ID: (41890)</t>
  </si>
  <si>
    <t>ASSENTO MONTADO ESTOFADO CAD EXCL/PRIV/ASTRID/VENUS 495X465X130</t>
  </si>
  <si>
    <t>VELUDO LISO CAPUCCINO ID: (39195)</t>
  </si>
  <si>
    <t>TAMPO APOIO MESA 1,20 CELEBRARE 800X500X15 MDP</t>
  </si>
  <si>
    <t>TAMPO MESA 1,20 2023 CANTO COPO 1200X800X18 MDF</t>
  </si>
  <si>
    <t>OFF WHITE ID: (41895)</t>
  </si>
  <si>
    <t>LATERAL MENOR LATERAL MENOR MESA CELEBRARE 735X341X18 MDF</t>
  </si>
  <si>
    <t>FRASSINO ID: (43553)</t>
  </si>
  <si>
    <t>AMENDOA CLEAN ID: (43552)</t>
  </si>
  <si>
    <t>TRAVESSA LATERAL ASSENTO CAD NEV/PRIV/EXCL/ASTRID/VENUS 382X85X12 MDP</t>
  </si>
  <si>
    <t>ENCOSTO MONTADO ESTOFADO CAD ASTRID</t>
  </si>
  <si>
    <t>SUEDE ANIMALE BEGE ID: (39206)</t>
  </si>
  <si>
    <t>LINHO MOSAICO ID: (67018)</t>
  </si>
  <si>
    <t>VELUDO LISO CAPUCCINO ID: (39207)</t>
  </si>
  <si>
    <t>PINAZIO ENC CAD  VENUS 325X60X25 MDF</t>
  </si>
  <si>
    <t>AMENDOA CLEAN ID: (41023)</t>
  </si>
  <si>
    <t>FRASSINO ID: (41024)</t>
  </si>
  <si>
    <t>MOLDURA MESA 0,90/1,00/1,20  CELEBRARE 736X38X25 MDF</t>
  </si>
  <si>
    <t>FRASSINO ID: (43646)</t>
  </si>
  <si>
    <t>AMENDOA CLEAN ID: (43648)</t>
  </si>
  <si>
    <t>LATERAL MAIOR MESA 0,90/1,00/1,20 CELEBRARE 735X500X18 MDF</t>
  </si>
  <si>
    <t>FRASSINO ID: (41122)</t>
  </si>
  <si>
    <t>AMENDOA CLEAN ID: (41124)</t>
  </si>
  <si>
    <t>TAMPO MESA 1,20 2023 P/VIDRO SERIG CANTO COPO 1200X800X18 MDF</t>
  </si>
  <si>
    <t>OFF WHITE ID: (42013)</t>
  </si>
  <si>
    <t>KIT FERRAGEM MESA 1,00/0,90 CELEBRARE</t>
  </si>
  <si>
    <t>AMENDOA CLEAN ID: (41127)</t>
  </si>
  <si>
    <t>TAMPO APOIO MESA RED 1,00/0,90 CELEBRARE 500X500X15 MDP</t>
  </si>
  <si>
    <t>LATERAL MENOR MESA 0,90/1,00 CELEBRARE 735X241X18 MDF</t>
  </si>
  <si>
    <t>AMENDOA CLEAN ID: (42906)</t>
  </si>
  <si>
    <t>TAMPO MESA 0,90 CELEBRARE 2023 P/VIDRO SERIG CANTO COPO 900X900X18 MDF</t>
  </si>
  <si>
    <t>OFF WHITE ID: (39312)</t>
  </si>
  <si>
    <t>BATENTE INT MESA 1,70/1,80 APOGEU PLUS/TOWER 380X15X15 MDF</t>
  </si>
  <si>
    <t>KIT FERRAGEM MESA 1,70 APOGEU 2023</t>
  </si>
  <si>
    <t>PE DIR MESA 1,20/1,60/1,70/1,80 APOGEU PLUS 720X165X15 MDF</t>
  </si>
  <si>
    <t>OFF WHITE ID: (87979)</t>
  </si>
  <si>
    <t>AMENDOA CLEAN ID: (44518)</t>
  </si>
  <si>
    <t>PE ESQ MESA 1,20/1,60/1,70/1,80 APOGEU PLUS 720X165X15 MDF</t>
  </si>
  <si>
    <t>AMENDOA CLEAN ID: (44522)</t>
  </si>
  <si>
    <t>OFF WHITE ID: (87981)</t>
  </si>
  <si>
    <t>TAMPA CENTRAL MESA 1,70/1,80 APOGEU PLUS 660X410X12 MDP</t>
  </si>
  <si>
    <t>AMENDOA CLEAN ID: (65189)</t>
  </si>
  <si>
    <t>OFF WHITE ID: (43555)</t>
  </si>
  <si>
    <t>TAMPA INFERIOR MESA 1,70/1,80 APOGEU PLUS 445X105X15 MDF</t>
  </si>
  <si>
    <t>AMENDOA CLEAN ID: (41920)</t>
  </si>
  <si>
    <t>TAMPA SUPERIOR MESA 1,70/1,80 APOGEU PLUS 510X200X15 MDP</t>
  </si>
  <si>
    <t>TAMPA LAT MAIOR MESA 1,70/1,80 APOGEU PLUS 739X422X2,7 HDF</t>
  </si>
  <si>
    <t>OFF WHITE ID: (87977)</t>
  </si>
  <si>
    <t>AMENDOA CLEAN ID: (41048)</t>
  </si>
  <si>
    <t>TAMPA LAT MENOR MESA 1,70/1,80 APOGEU PLUS 614X420X15 MDP</t>
  </si>
  <si>
    <t>OFF WHITE ID: (40100)</t>
  </si>
  <si>
    <t>TRAVESSA LATERAL MESA 1,70/1,80 APOGEU PLUS 660X100X15 MDP</t>
  </si>
  <si>
    <t>AMENDOA CLEAN ID: (41924)</t>
  </si>
  <si>
    <t>TRAVESSA OCULTA MESA 1,70/1,80 APOGEU PLUS 409X50X15 MDP</t>
  </si>
  <si>
    <t>TAMPO MESA 1,70 2023 CANT.COPO S/VDO 1700X900X25 MDF</t>
  </si>
  <si>
    <t>AMENDOA CLEAN ID: (41052)</t>
  </si>
  <si>
    <t>TAMPO MESA 1,70 C/VIDRO SERIG CANT COPO 2023 1700X900X25 MDF</t>
  </si>
  <si>
    <t>OFF WHITE ID: (38446)</t>
  </si>
  <si>
    <t>COSTAS APARADOR  ALDO 1352X185X2,7 HDF</t>
  </si>
  <si>
    <t>FRASSINO ID: (39175)</t>
  </si>
  <si>
    <t>AMENDOA CLEAN ID: (39174)</t>
  </si>
  <si>
    <t>KIT FERRAGEM APARADOR ALDO</t>
  </si>
  <si>
    <t>FRASSINO ID: (41889)</t>
  </si>
  <si>
    <t>LATERAL DIREITA BUFFET 02 PTS ALDO 500X449X15 MDP</t>
  </si>
  <si>
    <t>FRASSINO ID: (38462)</t>
  </si>
  <si>
    <t>LATERAL ESQUERDA BUFFET 02 PTS ALDO 500X449X15 MDP</t>
  </si>
  <si>
    <t>AMENDOA CLEAN ID: (41950)</t>
  </si>
  <si>
    <t>DIVISAO DIREITA BUFFET 02 PTS ALDO 500X431X15 MDP</t>
  </si>
  <si>
    <t>FRASSINO ID: (39216)</t>
  </si>
  <si>
    <t>AMENDOA CLEAN ID: (39218)</t>
  </si>
  <si>
    <t>DIVISAO ESQUERDA BUFFET 02 PTS ALDO 500X449X15 MDP</t>
  </si>
  <si>
    <t>AMENDOA CLEAN ID: (42852)</t>
  </si>
  <si>
    <t>PORTA BUFFET  02 PTS ALDO 514X492X15 MDP</t>
  </si>
  <si>
    <t>OFF WHITE ID: (40101)</t>
  </si>
  <si>
    <t>LATERAL ESQUERDA APARADOR ALDO 359X160X15 MDP</t>
  </si>
  <si>
    <t>AMENDOA CLEAN ID: (44588)</t>
  </si>
  <si>
    <t>LATERAL GAVETA DIREITA APARADOR ALDO 300X120X15 MDP</t>
  </si>
  <si>
    <t>AMENDOA CLEAN ID: (39317)</t>
  </si>
  <si>
    <t>TRAVESSA LATERAL PE BUFFET 02 PTS ALDO 359X70X25 MDP</t>
  </si>
  <si>
    <t>AMENDOA CLEAN ID: (43559)</t>
  </si>
  <si>
    <t>PE ESQ BUFFET 02 PTS ALDO 270X120X25 MDF</t>
  </si>
  <si>
    <t>AMENDOA CLEAN ID: (38450)</t>
  </si>
  <si>
    <t>PE DIR APARADOR ALDO 610X120X25 MDF</t>
  </si>
  <si>
    <t>FRASSINO ID: (44545)</t>
  </si>
  <si>
    <t>AMENDOA CLEAN ID: (44544)</t>
  </si>
  <si>
    <t>PE ESQ APARADOR ALDO 610X120X25 MDF</t>
  </si>
  <si>
    <t>AMENDOA CLEAN ID: (41951)</t>
  </si>
  <si>
    <t>FRASSINO ID: (41952)</t>
  </si>
  <si>
    <t>TAMPO INFERIOR APARADOR ALDO 1360X360X15 MDP</t>
  </si>
  <si>
    <t>AMENDOA CLEAN ID: (44546)</t>
  </si>
  <si>
    <t>FRASSINO ID: (44547)</t>
  </si>
  <si>
    <t>TRASEIRO GAVETA APARADOR ALDO 601X80X15 MDP</t>
  </si>
  <si>
    <t>AMENDOA CLEAN ID: (39221)</t>
  </si>
  <si>
    <t>COSTAS BUFFET 02 PTS ALDO 1590X525X2,7 HDF</t>
  </si>
  <si>
    <t>AMENDOA CLEAN ID: (41933)</t>
  </si>
  <si>
    <t>TRAVESSA FRONT/TRAS PE APARADOR ALDO 964X70X25 MDF</t>
  </si>
  <si>
    <t>AMENDOA CLEAN ID: (42853)</t>
  </si>
  <si>
    <t>FRASSINO ID: (42854)</t>
  </si>
  <si>
    <t>TRAVESSA LAT PE APARADOR ALDO 269X70X25 MDP</t>
  </si>
  <si>
    <t>AMENDOA CLEAN ID: (38465)</t>
  </si>
  <si>
    <t>FRASSINO ID: (38466)</t>
  </si>
  <si>
    <t>TRAVESSA LAT SUP PE APARADOR ALDO 269X70X25 MDP</t>
  </si>
  <si>
    <t>AMENDOA CLEAN ID: (38467)</t>
  </si>
  <si>
    <t>FRASSINO ID: (38468)</t>
  </si>
  <si>
    <t>PE TRASEIRO CAD CELINA 420X150X25 MDF</t>
  </si>
  <si>
    <t>FRASSINO ID: (43607)</t>
  </si>
  <si>
    <t>AMENDOA CLEAN ID: (43606)</t>
  </si>
  <si>
    <t>PE TRASEIRO CAD DAFNE/PE FRONT CAD CELINA 450X60X25 MDF</t>
  </si>
  <si>
    <t>FRASSINO ID: (41982)</t>
  </si>
  <si>
    <t>AMENDOA CLEAN ID: (41981)</t>
  </si>
  <si>
    <t>TRAVESSA FRONTAL/TRAS CAD CELINA 350X70X18 MDF</t>
  </si>
  <si>
    <t>TRAVESSA LATERAL CAD CELINA 350X70X18 MDF</t>
  </si>
  <si>
    <t>ASSENTO MONTADO ESTOFADO CAD CELINA</t>
  </si>
  <si>
    <t>BOUCLE BEGE ID: (41072)</t>
  </si>
  <si>
    <t>LINHO RINZAI BEGE ID: (41076)</t>
  </si>
  <si>
    <t>CORINO CARAMELO ID: (41074)</t>
  </si>
  <si>
    <t>FECHAMENTO CENTRAL SUPERIOR MESA VENUS 1,70X0,90 1040X380X15 MDP</t>
  </si>
  <si>
    <t>OFF WHITE ID: (44548)</t>
  </si>
  <si>
    <t>AMENDOA CLEAN ID: (88320)</t>
  </si>
  <si>
    <t>TAMPA  P/ MINIFIX ARGILA</t>
  </si>
  <si>
    <t>TAMPA  P/ MINIFIX BRANCA</t>
  </si>
  <si>
    <t>TAMPA  P/ MINIFIX TABACO (IMBUIA SOFT/NATURALE)</t>
  </si>
  <si>
    <t>TRAVESSA MESA 1,70 VENUS 369X185X15 MDP</t>
  </si>
  <si>
    <t>TAMPA  13MM BRANCO</t>
  </si>
  <si>
    <t>ENCOSTO MONTADO ESTOFADO CAD CELINA</t>
  </si>
  <si>
    <t>LINHO RINZAI BEGE ID: (38493)</t>
  </si>
  <si>
    <t>BOUCLE BEGE ID: (38490)</t>
  </si>
  <si>
    <t>CORINO CARAMELO ID: (38489)</t>
  </si>
  <si>
    <t>BOUCLE MARROM ID: (38491)</t>
  </si>
  <si>
    <t>TAMPA  P/ MINIFIX ROVERE (CARAMELO)</t>
  </si>
  <si>
    <t>FECHAMENTO PAINEL MENOR INF MESA VENUS 1,70X0,90 587X283X15 MDP</t>
  </si>
  <si>
    <t>AMENDOA CLEAN ID: (38469)</t>
  </si>
  <si>
    <t>TAMPA  13MM AMENDOA</t>
  </si>
  <si>
    <t>FECHAMENTO PAINEL MENOR SUP MESA VENUS 1,70X0,90 444X283X15 MDP</t>
  </si>
  <si>
    <t>ROVERE NATURALE ID: (41060)</t>
  </si>
  <si>
    <t>AMENDOA CLEAN ID: (41056)</t>
  </si>
  <si>
    <t>TAMPA  P/ MINIFIX AMENDOA</t>
  </si>
  <si>
    <t>FECHAMENTO PAINEL BASE MESA VENUS 1,70X0,90 542X283X15 MDP</t>
  </si>
  <si>
    <t>AMENDOA CLEAN ID: (40131)</t>
  </si>
  <si>
    <t>TAMPA  P/ MINIFIX FRASSINO</t>
  </si>
  <si>
    <t>TAMPO APOIO MESA VENUS 1,70X0,90 1200X585X12 MDP</t>
  </si>
  <si>
    <t>TAMPA  13MM FRASSINO</t>
  </si>
  <si>
    <t>LATERAL ESQUERDA MESA VENUS 1,70X0,90 1262X218X15 MDF</t>
  </si>
  <si>
    <t>OFF WHITE ID: (41061)</t>
  </si>
  <si>
    <t>LATERAL DIREITA MESA VENUS 1,70X0,90 1262X218X15 MDF</t>
  </si>
  <si>
    <t>AMENDOA CLEAN ID: (88325)</t>
  </si>
  <si>
    <t>PAIN LAT ESQ MAIOR MESA 1,70X0,90 VENUS  697X511X15 MDF</t>
  </si>
  <si>
    <t>AMENDOA CLEAN ID: (39223)</t>
  </si>
  <si>
    <t>LATERAL MENOR MESA 1,70X0,90 ASTRID 720X227X15 MDP</t>
  </si>
  <si>
    <t>OFF WHITE ID: (42857)</t>
  </si>
  <si>
    <t>PAIN BASE FECH C/FURO MESA ASTRID 720X528X15 MDP</t>
  </si>
  <si>
    <t>FRASSINO ID: (41956)</t>
  </si>
  <si>
    <t>AMENDOA CLEAN ID: (41955)</t>
  </si>
  <si>
    <t>TAMPO APOIO MESA 1,70X0,90 ASTRID 1200X585X12 MDP</t>
  </si>
  <si>
    <t>LATERAL MAIOR MESA 1,70X0,90 ASTRID 720X459X15 MDP</t>
  </si>
  <si>
    <t>AMENDOA CLEAN ID: (41959)</t>
  </si>
  <si>
    <t>FECHAMENTO INFERIOR MAIOR MESA 1,70X0,90 ASTRID 1000X80X15 MDP</t>
  </si>
  <si>
    <t>AMENDOA CLEAN ID: (41963)</t>
  </si>
  <si>
    <t>FRASSINO ID: (41964)</t>
  </si>
  <si>
    <t>FECHAMENTO VERTICAL COR NATURALE MESA 1,70X0,90 ASTRID 720X59X15 MDF</t>
  </si>
  <si>
    <t>AMENDOA CLEAN ID: (41967)</t>
  </si>
  <si>
    <t>FECHAMENTO INFERIOR MENOR MESA 1,70X0,90 ASTRID 225X80X15 MDP</t>
  </si>
  <si>
    <t>AMENDOA CLEAN ID: (39233)</t>
  </si>
  <si>
    <t>TRAVESSA MESA 1,70 ASTRID 720X70X25 MDP</t>
  </si>
  <si>
    <t>AMENDOA CLEAN ID: (41973)</t>
  </si>
  <si>
    <t>KIT FERRAGEM MESA 1,20 APOGEU</t>
  </si>
  <si>
    <t>TAMPA SUPERIOR MESA 1,20/1,60 APOGEU 510X200X15 MDP</t>
  </si>
  <si>
    <t>TRAVESSA FRONTAL/TRAS CAD ATLA 410X60X25 MDF</t>
  </si>
  <si>
    <t>AMENDOA CLEAN ID: (40157)</t>
  </si>
  <si>
    <t>TRAVESSA LAT DIR CAD 345 34X60X25 MDF</t>
  </si>
  <si>
    <t>AMENDOA CLEAN ID: (42005)</t>
  </si>
  <si>
    <t>TAMPA CENTRAL MESA 1,20 APOGEU 460X355X12 MDP</t>
  </si>
  <si>
    <t>OFF WHITE ID: (44555)</t>
  </si>
  <si>
    <t>TRAVESSA LATERAL MESA 1,20 APOGEU 460X100X15 MDP</t>
  </si>
  <si>
    <t>AMENDOA CLEAN ID: (39241)</t>
  </si>
  <si>
    <t>TAMPA LAT MAIOR MESA 1,20/1,60 APOGEU 739X366X2,7 HDF</t>
  </si>
  <si>
    <t>FRASSINO ID: (41978)</t>
  </si>
  <si>
    <t>AMENDOA CLEAN ID: (41977)</t>
  </si>
  <si>
    <t>OFF WHITE ID: (41980)</t>
  </si>
  <si>
    <t>ENCOSTO MONTADO ESTOFADO CAD RAYLA</t>
  </si>
  <si>
    <t>VELUDO LISO CAPUCCINO ID: (40165)</t>
  </si>
  <si>
    <t>SUEDE ANIMALE BEGE ID: (40164)</t>
  </si>
  <si>
    <t>VELUDO NATURALE CREME ID: (40167)</t>
  </si>
  <si>
    <t>LINHO MOSAICO ID: (66644)</t>
  </si>
  <si>
    <t>COURO MORANO AVELA ID: (66642)</t>
  </si>
  <si>
    <t>LINHO RINZAI BEGE ID: (40163)</t>
  </si>
  <si>
    <t>AMENDOA CLEAN ID: (16632)</t>
  </si>
  <si>
    <t>BRANCO ID: (16633)</t>
  </si>
  <si>
    <t>FRENTE GAVETA COFRE  COMODA  4 GAV IMPERADOR 845X215X15 MDP</t>
  </si>
  <si>
    <t>BRANCO ID: (44580)</t>
  </si>
  <si>
    <t>KIT FERRAGEM COMODA 4GAV IMPERADOR</t>
  </si>
  <si>
    <t>AMENDOA CLEAN ID: (42889)</t>
  </si>
  <si>
    <t>BRANCO ID: (42890)</t>
  </si>
  <si>
    <t>TAMPO 18MM MESA 1,0 RED 1000X1000X18 MDF</t>
  </si>
  <si>
    <t>OFF WHITE ID: (43628)</t>
  </si>
  <si>
    <t>TAMPA CENTRAL MESA 1,60 APOGEU 660X355X12 MDP</t>
  </si>
  <si>
    <t>OFF WHITE ID: (42007)</t>
  </si>
  <si>
    <t>TRAVESSA LATERAL MESA 1,60 APOGEU 660X100X15 MDP</t>
  </si>
  <si>
    <t>OFF WHITE ID: (88639)</t>
  </si>
  <si>
    <t>TAMPO MESA 1,60 CANTO COPO 2023 1595X795X25 MDF</t>
  </si>
  <si>
    <t>OFF WHITE ID: (43629)</t>
  </si>
  <si>
    <t>TRAVESSA FRONT INT MESA 1,80 ATHENAS 686X80X15 MDF</t>
  </si>
  <si>
    <t>AMENDOA CLEAN ID: (38529)</t>
  </si>
  <si>
    <t>TRAVESSA LATERAL MESA 1,80 ARIES 2020 1562X75X25 MDF</t>
  </si>
  <si>
    <t>AMENDOA CLEAN ID: (39305)</t>
  </si>
  <si>
    <t>TAMPO MESA 1,80 CANTO COPO 2023 1800X900X25 MDF</t>
  </si>
  <si>
    <t>OFF WHITE ID: (42010)</t>
  </si>
  <si>
    <t>TAMPO MESA 1,30 NEVADA PLUS CANTO COPO 1300X650X25 MDF</t>
  </si>
  <si>
    <t>OFF WHITE ID: (39245)</t>
  </si>
  <si>
    <t>TAMPA APOIO MESA 1,30 NEVADA PLUS NAT 800X400X15 MDP</t>
  </si>
  <si>
    <t>KIT FERRAGEM MESA 1,30 NEVADA PLUS</t>
  </si>
  <si>
    <t>AMENDOA CLEAN ID: (41063)</t>
  </si>
  <si>
    <t>BARRA INFERIOR BELICHE 0,90 OLGA 1900X150X25 MDF</t>
  </si>
  <si>
    <t>AMENDOA CLEAN ID: (42901)</t>
  </si>
  <si>
    <t>BRANCO ID: (42902)</t>
  </si>
  <si>
    <t>LATERAL MENOR MESA 1,30 NEVADA PLUS 737X620X15 MDP</t>
  </si>
  <si>
    <t>OFF WHITE ID: (87973)</t>
  </si>
  <si>
    <t>AMENDOA CLEAN ID: (44556)</t>
  </si>
  <si>
    <t>BARRA SUP DIR BELICHE 0,90 OLGA 2318X150X25 MDF</t>
  </si>
  <si>
    <t>BRANCO ID: (41113)</t>
  </si>
  <si>
    <t>AMENDOA CLEAN ID: (41112)</t>
  </si>
  <si>
    <t>LATERAL MAIOR MESA 1,30 NEVADA PLUS 737X650X15 MDP</t>
  </si>
  <si>
    <t>AMENDOA CLEAN ID: (39246)</t>
  </si>
  <si>
    <t>BARRA SUP ESQ BELICHE 0,90 OLGA 2318X150X25 MDF</t>
  </si>
  <si>
    <t>BRANCO ID: (41116)</t>
  </si>
  <si>
    <t>FUNDO ESTRADO CAMA CASAL/SOLT SALAS 1850X330X6 MDF</t>
  </si>
  <si>
    <t>KIT FERRAGEM BELICHE 0,90 OLGA</t>
  </si>
  <si>
    <t>AMENDOA CLEAN ID: (38531)</t>
  </si>
  <si>
    <t>PAIN LAT CAB BELICHE 0,90 OLGA 1170X362X15 MDF</t>
  </si>
  <si>
    <t>BRANCO ID: (43642)</t>
  </si>
  <si>
    <t>AMENDOA CLEAN ID: (43641)</t>
  </si>
  <si>
    <t>TRAVESSA CENT PRAT BELICHE 0,90 OLGA 900X100X15 MDP</t>
  </si>
  <si>
    <t>TAMPO APOIO BASE ALYS 500X230X15 MDP</t>
  </si>
  <si>
    <t>TRAVESSA ESC BELICHE 0,90 OLGA 953X60X15 MDP</t>
  </si>
  <si>
    <t>AMENDOA CLEAN ID: (39307)</t>
  </si>
  <si>
    <t>BRANCO ID: (39308)</t>
  </si>
  <si>
    <t>BASE ESQUERDA MESA ALYS 235X160X25 MDF</t>
  </si>
  <si>
    <t>FRASSINO ID: (39311)</t>
  </si>
  <si>
    <t>MOLDURA CENTRAL  MESA  ALYS 715X80X25 MDP</t>
  </si>
  <si>
    <t>FRASSINO ID: (42016)</t>
  </si>
  <si>
    <t>TRAVESSAO CAMA SOLT 0,90 SALAS 900X45X23</t>
  </si>
  <si>
    <t>BASE DIREITA MESA ALYS 235X160X25 MDF</t>
  </si>
  <si>
    <t>AMENDOA CLEAN ID: (44586)</t>
  </si>
  <si>
    <t>FRASSINO ID: (44587)</t>
  </si>
  <si>
    <t>PAIN CAB BELICHE 0,90 OLGA 1668X953X15 MDF</t>
  </si>
  <si>
    <t>AMENDOA CLEAN ID: (38486)</t>
  </si>
  <si>
    <t>BRANCO ID: (38487)</t>
  </si>
  <si>
    <t>FRASSINO ID: (38488)</t>
  </si>
  <si>
    <t>PAIN PES GRANDE BELICHE SOLT 0,90 OLGA 953X735X15 MDF</t>
  </si>
  <si>
    <t>AMENDOA CLEAN ID: (42859)</t>
  </si>
  <si>
    <t>PAIN PES PEQ BELICHE SOLT 0,90 OLGA 953X150X15 MDF</t>
  </si>
  <si>
    <t>BRANCO ID: (41067)</t>
  </si>
  <si>
    <t>FRASSINO ID: (41068)</t>
  </si>
  <si>
    <t>AMENDOA CLEAN ID: (41066)</t>
  </si>
  <si>
    <t>PE BELICHE 0,90 OLGA 1485X500X18 MDF</t>
  </si>
  <si>
    <t>BRANCO ID: (39250)</t>
  </si>
  <si>
    <t>AMENDOA CLEAN ID: (39249)</t>
  </si>
  <si>
    <t>TAMPO APOIO BASE MESA LUXOR 550X220X15 MDP</t>
  </si>
  <si>
    <t>FECHAMENTO TRASEIRO BASE MESA LUXOR 730X332X15 MDP</t>
  </si>
  <si>
    <t>AMENDOA CLEAN ID: (44526)</t>
  </si>
  <si>
    <t>FRASSINO ID: (44527)</t>
  </si>
  <si>
    <t>LATERAL DIREITA MESA LUXOR 730X350X15 MDF</t>
  </si>
  <si>
    <t>OFF WHITE ID: (44531)</t>
  </si>
  <si>
    <t>AMENDOA CLEAN ID: (44529)</t>
  </si>
  <si>
    <t>FRASSINO ID: (44530)</t>
  </si>
  <si>
    <t>LATERAL ESQUERDA MESA LUXOR 730X350X15 MDF</t>
  </si>
  <si>
    <t>FRASSINO ID: (40106)</t>
  </si>
  <si>
    <t>AMENDOA CLEAN ID: (40105)</t>
  </si>
  <si>
    <t>MOLDURA APLIQUE+FECHAM HDF BASE MESA LUXOR 737X454X23</t>
  </si>
  <si>
    <t>FRASSINO ID: (40109)</t>
  </si>
  <si>
    <t>PE ESCADA BELICHE 0,90 OLGA 1485X500X18 MDF</t>
  </si>
  <si>
    <t>AMENDOA CLEAN ID: (39252)</t>
  </si>
  <si>
    <t>FRASSINO ID: (39254)</t>
  </si>
  <si>
    <t>BRANCO ID: (39253)</t>
  </si>
  <si>
    <t>TRAVESSA INTERNA BASE MESA LUXOR 420X100X15 MDP</t>
  </si>
  <si>
    <t>MOLDURA APLIQUE  BASE MESA  LUXOR 730X25X15 MDF</t>
  </si>
  <si>
    <t>AMENDOA CLEAN ID: (40110)</t>
  </si>
  <si>
    <t>TAMPO ESC BELICHE 0,90 OLGA 953X490X15 MDP</t>
  </si>
  <si>
    <t>BRANCO ID: (41070)</t>
  </si>
  <si>
    <t>TAMPO PRAT BELICHE 0,90 OLGA 950X418X15 MDP</t>
  </si>
  <si>
    <t>BRANCO ID: (40137)</t>
  </si>
  <si>
    <t>AMENDOA CLEAN ID: (40136)</t>
  </si>
  <si>
    <t>PE TRASEIRO CAD NEVADA/EXCLUSIVE/PRIVIL/AST/VENUS</t>
  </si>
  <si>
    <t>AMENDOA CLEAN ID: (88249)</t>
  </si>
  <si>
    <t>LATERAL DIREITA BASE ATLA 755X557X15 MDF</t>
  </si>
  <si>
    <t>AMENDOA CLEAN ID: (38534)</t>
  </si>
  <si>
    <t>LATERAL ESQUERDA BASE ATLA 755X557X15 MDF</t>
  </si>
  <si>
    <t>FRASSINO ID: (42020)</t>
  </si>
  <si>
    <t>PE QUADRADO 70X70X70 TABACO</t>
  </si>
  <si>
    <t>LATERAL GAVETA ESQUERDA COMODA/MESA DE CAB RUSTIC 350X120X15 MDP</t>
  </si>
  <si>
    <t>AMENDOA CLEAN ID: (35124)</t>
  </si>
  <si>
    <t>SUPORTE PESEIRA CAMA CASAL LOS ANGELES 250X80X25 MDF</t>
  </si>
  <si>
    <t>BRANCO ID: (35393)</t>
  </si>
  <si>
    <t>TRAVESSAO CAMA CASAL 1,80 AUST/MATTEO/MIAMI/LOS AN/ASP/MALI 1797X45X23</t>
  </si>
  <si>
    <t>TRAVESSAO CAMA SOLT 1,05 1050X45X23</t>
  </si>
  <si>
    <t>PAIN INF CAB CAMA CASAL 1,60 FREETOWN S/LED 1699X680X15 MDP</t>
  </si>
  <si>
    <t>BRANCO ID: (36350)</t>
  </si>
  <si>
    <t>COSTAS COMODA LEDER 1486X448X2,7 HDF</t>
  </si>
  <si>
    <t>DIVISAO COMODA LEDER 871X438X15 MDP</t>
  </si>
  <si>
    <t>AMENDOA CLEAN ID: (35857)</t>
  </si>
  <si>
    <t>FRASSINO ID: (35859)</t>
  </si>
  <si>
    <t>FRENTE GAV C/PUX INF COMODA LEDER 700X200X15 MDF</t>
  </si>
  <si>
    <t>AMENDOA CLEAN ID: (35861)</t>
  </si>
  <si>
    <t>FRASSINO ID: (35862)</t>
  </si>
  <si>
    <t>FRENTE GAV C/PUX SUP COMODA LEDER 700X200X15 MDF</t>
  </si>
  <si>
    <t>FRASSINO ID: (36113)</t>
  </si>
  <si>
    <t>AMENDOA CLEAN ID: (36112)</t>
  </si>
  <si>
    <t>LATERAL GAVETA DIREITA COMODA LEDER 400X120X15 MDP</t>
  </si>
  <si>
    <t>FRASSINO ID: (36563)</t>
  </si>
  <si>
    <t>LATERAL GAVETA ESQUERDA COMODA LEDER 400X120X15 MDP</t>
  </si>
  <si>
    <t>FRASSINO ID: (36352)</t>
  </si>
  <si>
    <t>AMENDOA CLEAN ID: (36351)</t>
  </si>
  <si>
    <t>LATERAL DIREITA COMODA LEDER 921X453X15 MDP</t>
  </si>
  <si>
    <t>FRASSINO ID: (36117)</t>
  </si>
  <si>
    <t>AMENDOA CLEAN ID: (36116)</t>
  </si>
  <si>
    <t>LATERAL ESQUERDA COMODA LEDER 921X453X15 MDP</t>
  </si>
  <si>
    <t>FRASSINO ID: (35866)</t>
  </si>
  <si>
    <t>MOLDURA INFERIOR  COMODA  LEDER 1411X25X25 MDP</t>
  </si>
  <si>
    <t>FRASSINO ID: (36565)</t>
  </si>
  <si>
    <t>PINAZIO COMODA LEDER 423X50X15 MDP</t>
  </si>
  <si>
    <t>RODAPE FRONTAL  COMODA  LEDER 1466X50X15 MDP</t>
  </si>
  <si>
    <t>FRASSINO ID: (36567)</t>
  </si>
  <si>
    <t>RODAPE TRASEIRO COMODA LEDER 1466X50X15 MDP</t>
  </si>
  <si>
    <t>TAMPO SUPERIOR COMODA LEDER 1502X482X25 MDP</t>
  </si>
  <si>
    <t>FRASSINO ID: (36356)</t>
  </si>
  <si>
    <t>AMENDOA CLEAN ID: (36355)</t>
  </si>
  <si>
    <t>VISTA COMODA  LEDER 1466X80X15 MDF</t>
  </si>
  <si>
    <t>TEXTURA COURO ID: (35084)</t>
  </si>
  <si>
    <t>TAMPO MESA DE CAB AREZZO/BALLI/VEGAS 460X375X25 MDP</t>
  </si>
  <si>
    <t>AMENDOA CLEAN ID: (87941)</t>
  </si>
  <si>
    <t>BRANCO ID: (87942)</t>
  </si>
  <si>
    <t>MOLDURA SUPERIOR CAB 1,60 LIKE 1300X70X15 MDP</t>
  </si>
  <si>
    <t>BRANCO ID: (36590)</t>
  </si>
  <si>
    <t>AMENDOA CLEAN ID: (36589)</t>
  </si>
  <si>
    <t>FRASSINO ID: (36591)</t>
  </si>
  <si>
    <t>PAIN CAB CAMA SOLT 1,05 ATHENAS EXP 930X460X15 MDP</t>
  </si>
  <si>
    <t>BRANCO ID: (35061)</t>
  </si>
  <si>
    <t>PAIN PESEIRA CAMA SOLT 1,05 ATHENAS EXP 930X400X15 MDP</t>
  </si>
  <si>
    <t>BRANCO ID: (35603)</t>
  </si>
  <si>
    <t>AMENDOA CLEAN#LINHO RINZAI BEGE ID: (23873)</t>
  </si>
  <si>
    <t>TAMPO MESA EASY LINE 1360X720X15 MDP</t>
  </si>
  <si>
    <t>AMENDOA CLEAN ID: (42928)</t>
  </si>
  <si>
    <t>PE C/RECORTE MESA EASY LINE 745X100X15 MDP</t>
  </si>
  <si>
    <t>AMENDOA CLEAN ID: (44593)</t>
  </si>
  <si>
    <t>PE MESA EASY LINE 745X92X15 MDP</t>
  </si>
  <si>
    <t>AMENDOA CLEAN ID: (42035)</t>
  </si>
  <si>
    <t>TRAVESSA MAIOR MESA EASY LINE 1270X100X15 MDP</t>
  </si>
  <si>
    <t>AMENDOA CLEAN ID: (41153)</t>
  </si>
  <si>
    <t>TRAVESSA MENOR MESA EASY LINE 580X100X15 MDP</t>
  </si>
  <si>
    <t>AMENDOA CLEAN ID: (42039)</t>
  </si>
  <si>
    <t>PE TRASEIRO CAD EASY LINE 890X130X25 MDF</t>
  </si>
  <si>
    <t>AMENDOA CLEAN ID: (42933)</t>
  </si>
  <si>
    <t>PE FRONTAL CADEIRA EASY LINE 435X45X25 MDF</t>
  </si>
  <si>
    <t>AMENDOA CLEAN ID: (44608)</t>
  </si>
  <si>
    <t>BARRA CAMA CASAL 1,40 SOLARIS 1935X267X15 MDF</t>
  </si>
  <si>
    <t>AMENDOA CLEAN ID: (36327)</t>
  </si>
  <si>
    <t>BRANCO ID: (36328)</t>
  </si>
  <si>
    <t>FRASSINO ID: (36329)</t>
  </si>
  <si>
    <t>BARRA DA GAVETA CAMA CASAL 1,40 SOLARIS 1935X267X15 MDF</t>
  </si>
  <si>
    <t>FRASSINO ID: (34763)</t>
  </si>
  <si>
    <t>AMENDOA CLEAN ID: (34761)</t>
  </si>
  <si>
    <t>ENCOSTO CAD EASY LINE 315X280X15 MDP</t>
  </si>
  <si>
    <t>AMENDOA CLEAN ID: (39329)</t>
  </si>
  <si>
    <t>TRAVESSA LATERAL CADEIRA EASY LINE 315X70X18 MDF</t>
  </si>
  <si>
    <t>AMENDOA CLEAN ID: (40203)</t>
  </si>
  <si>
    <t>FRENTE GAVETA CAMA CASAL 1,40 SOLARIS 610X150X15 MDP</t>
  </si>
  <si>
    <t>FRASSINO ID: (36078)</t>
  </si>
  <si>
    <t>TRAVESSA FRONT CADEIRA EASY LINE 315X70X18 MDF</t>
  </si>
  <si>
    <t>AMENDOA CLEAN ID: (44610)</t>
  </si>
  <si>
    <t>LATERAL GAVETA DIREITA CAMA CASAL 1,40 SOLARIS 400X120X12 MDP</t>
  </si>
  <si>
    <t>AMENDOA CLEAN ID: (35606)</t>
  </si>
  <si>
    <t>KIT FERRAGEM CADEIRA EASY LINE C/4</t>
  </si>
  <si>
    <t>AMENDOA CLEAN ID: (57805)</t>
  </si>
  <si>
    <t>LATERAL GAVETA ESQUERDA CAMA CASAL 1,40 SOLARIS 400X120X12 MDP</t>
  </si>
  <si>
    <t>AMENDOA CLEAN ID: (35355)</t>
  </si>
  <si>
    <t>MOLDURA LATERAL CAMA CASAL 1,40 SOLARIS 1090X78X25 MDP</t>
  </si>
  <si>
    <t>AMENDOA CLEAN ID: (35086)</t>
  </si>
  <si>
    <t>FRASSINO ID: (35088)</t>
  </si>
  <si>
    <t>MOLDURA SUPERIOR CAMA CASAL 1,40 SOLARIS 1544X80X25 MDP</t>
  </si>
  <si>
    <t>FRASSINO ID: (36361)</t>
  </si>
  <si>
    <t>PAIN PESEIRA CAMA CASAL 1,40 SOLARIS 1430X267X15 MDF</t>
  </si>
  <si>
    <t>FRASSINO ID: (35094)</t>
  </si>
  <si>
    <t>KIT FERRAGEM MESA C/4 CADEIRA EASY LINE</t>
  </si>
  <si>
    <t>AMENDOA CLEAN ID: (57729)</t>
  </si>
  <si>
    <t>PE PESEIRA CAMA CASAL 1,40 SOLARIS 1400X284X15 MDP</t>
  </si>
  <si>
    <t>AMENDOA CLEAN ID: (34767)</t>
  </si>
  <si>
    <t>FRENTE GAVETA MESA DE CAB CAMA 1,40 SOLARIS 350X140X15 MDP</t>
  </si>
  <si>
    <t>AMENDOA CLEAN ID: (36568)</t>
  </si>
  <si>
    <t>FRASSINO ID: (36570)</t>
  </si>
  <si>
    <t>LATERAL ESQ CHANF MESA DE CAB CAMA 1,40 SOLARIS 382X310X15 MDP</t>
  </si>
  <si>
    <t>FRASSINO ID: (36120)</t>
  </si>
  <si>
    <t>ASSENTO MONTADO ESTOFADO CADEIRA EASY LINE 375X375X30</t>
  </si>
  <si>
    <t>LINHO RINZAI BEGE ID: (57836)</t>
  </si>
  <si>
    <t>ESTOFACAO</t>
  </si>
  <si>
    <t>TRAVESSA TRAS CADEIRA EASY LINE 315X70X18 MDF</t>
  </si>
  <si>
    <t>AMENDOA CLEAN ID: (44612)</t>
  </si>
  <si>
    <t>MOLDURA SUPERIOR MESA CAB CAMA 1,40 SOLARIS 350X80X25 MDP</t>
  </si>
  <si>
    <t>FRASSINO ID: (36126)</t>
  </si>
  <si>
    <t>BRANCO ID: (36125)</t>
  </si>
  <si>
    <t>AMENDOA CLEAN ID: (36124)</t>
  </si>
  <si>
    <t>AMENDOA CLEAN ID: (13794)</t>
  </si>
  <si>
    <t>TRAVESSAO CAMA SOLT 1,20</t>
  </si>
  <si>
    <t>LATERAL GAVETA DIREITA MESA CAB BOX VALS/BAI NEW/STILL 300X110X15 MDP</t>
  </si>
  <si>
    <t>FRASSINO ID: (86798)</t>
  </si>
  <si>
    <t>AMENDOA CLEAN ID: (86796)</t>
  </si>
  <si>
    <t>BRANCO ID: (86797)</t>
  </si>
  <si>
    <t>LATERAL GAVETA ESQUERDA CAB BOX VALS/BAIAO NEW/STILL 300X110X15 MDP</t>
  </si>
  <si>
    <t>AMENDOA CLEAN ID: (86812)</t>
  </si>
  <si>
    <t>BRANCO ID: (86813)</t>
  </si>
  <si>
    <t>FRASSINO ID: (86814)</t>
  </si>
  <si>
    <t>BRANCO ID: (66455)</t>
  </si>
  <si>
    <t>AMENDOA CLEAN/OFF WH ID: (32025)</t>
  </si>
  <si>
    <t>AMENDOA CLEAN/SALVIA ID: (32027)</t>
  </si>
  <si>
    <t>FRASSINO/OFF WHITE ID: (32029)</t>
  </si>
  <si>
    <t>AMENDOA CLEAN ID: (66450)</t>
  </si>
  <si>
    <t>AMENDOA CLEAN ID: (66452)</t>
  </si>
  <si>
    <t>AMENDOA CLEAN/OFF WH ID: (31501)</t>
  </si>
  <si>
    <t>FRASSINO/OFF WHITE ID: (31503)</t>
  </si>
  <si>
    <t>BRANCO ID: (66457)</t>
  </si>
  <si>
    <t>AMENDOA CLEAN ID: (31365)</t>
  </si>
  <si>
    <t>APLIQUE CAMA 1,40 SPECIALE 1363X53X2,7 HDF</t>
  </si>
  <si>
    <t>BRANCO ID: (88304)</t>
  </si>
  <si>
    <t>COSTAS COMODA 2 PTS 8 GAV TORONTO 1406X270X2,7 HDF</t>
  </si>
  <si>
    <t>FRASSINO ID: (36100)</t>
  </si>
  <si>
    <t>BRANCO ID: (36099)</t>
  </si>
  <si>
    <t>AMENDOA CLEAN ID: (36098)</t>
  </si>
  <si>
    <t>FUNDO GAV GRA COMODA 2 PTS 8 GAV TORONTO 2016 613X407X2,7 HDF</t>
  </si>
  <si>
    <t>FRASSINO ID: (34800)</t>
  </si>
  <si>
    <t>BRANCO ID: (34799)</t>
  </si>
  <si>
    <t>AMENDOA CLEAN ID: (34798)</t>
  </si>
  <si>
    <t>FUNDO GAV PEQ COMODA 2 PTS 8 GAV TORONTO 2016 407X305X2,7 HDF</t>
  </si>
  <si>
    <t>AMENDOA CLEAN ID: (34803)</t>
  </si>
  <si>
    <t>BRANCO ID: (34804)</t>
  </si>
  <si>
    <t>FRASSINO ID: (34805)</t>
  </si>
  <si>
    <t>PINAZIO COMODA 2 PTS 8 GAV TORONTO 419X100X15 MDP</t>
  </si>
  <si>
    <t>RODAPE FRONTAL  COMODA  2 PTS 8 GAV TORONTO 1380X100X15 MDP</t>
  </si>
  <si>
    <t>FRASSINO ID: (35626)</t>
  </si>
  <si>
    <t>BRANCO ID: (35625)</t>
  </si>
  <si>
    <t>AMENDOA CLEAN ID: (35624)</t>
  </si>
  <si>
    <t>RODAPE TRASEIRO COMODA 2 PTS 8 GAV TORONTO 1380X100X15 MDP</t>
  </si>
  <si>
    <t>TAMPO COMODA 2 PTS 8 GAV TORONTO 1420X470X25 MDP</t>
  </si>
  <si>
    <t>FRASSINO ID: (35339)</t>
  </si>
  <si>
    <t>AMENDOA CLEAN ID: (35337)</t>
  </si>
  <si>
    <t>BRANCO ID: (35338)</t>
  </si>
  <si>
    <t>FRENTE GAV GRA COMODA 2 PTS 8 GAV TORONTO 2016 665X174X15 MDP</t>
  </si>
  <si>
    <t>BRANCO ID: (85457)</t>
  </si>
  <si>
    <t>BARRA CAMA 1,60/1,80 LOOP/LEDER 2050X125X25 MDF</t>
  </si>
  <si>
    <t>AMENDOA CLEAN ID: (36177)</t>
  </si>
  <si>
    <t>FRASSINO ID: (36185)</t>
  </si>
  <si>
    <t>MOLDURA SUP/INF  CAMA  1,60 LOOP/LEDER 1545X50X25 MDP</t>
  </si>
  <si>
    <t>AMENDOA CLEAN ID: (35344)</t>
  </si>
  <si>
    <t>FRASSINO ID: (35346)</t>
  </si>
  <si>
    <t>APOIO CAMA 1,60 LOOP/LEDER 1600X357X12 MDP</t>
  </si>
  <si>
    <t>PAIN CAB MT ESTOF CAB CAMA 1,60 LOOP 1660X340X35</t>
  </si>
  <si>
    <t>CORANO BEGE ID: (34879)</t>
  </si>
  <si>
    <t>BOUCLE SALVIA ID: (34871)</t>
  </si>
  <si>
    <t>KORINO BRANCO ID: (34884)</t>
  </si>
  <si>
    <t>PAIN INF CAB CAMA 1,60 LOOP/LEDER 1545X525X15 MDP</t>
  </si>
  <si>
    <t>AMENDOA CLEAN ID: (36552)</t>
  </si>
  <si>
    <t>PAIN PESEIRA CAMA CASAL 1,60 LOOP/LEDER 1545X375X15 MDP</t>
  </si>
  <si>
    <t>AMENDOA CLEAN ID: (34876)</t>
  </si>
  <si>
    <t>FRASSINO ID: (34893)</t>
  </si>
  <si>
    <t>SUPORTE APOIO LONGITUDINAL CAMA 1,60 LOOP/LEDER 400X357X12 MDP</t>
  </si>
  <si>
    <t>CAIXA ESPELHO  C/ 1 CAB NOVITA 850X200X15</t>
  </si>
  <si>
    <t>TRAVESSAO CAMA CASAL 1,60 FLORI/JAZZ/GAF/REA/SPEC 1597X45X23</t>
  </si>
  <si>
    <t>PE CONICO CAB LIKE DE MADEIRA C/4 UN PC 250X250X35</t>
  </si>
  <si>
    <t>AMENDOA CLEAN ID: (34297)</t>
  </si>
  <si>
    <t>FRASSINO ID: (34299)</t>
  </si>
  <si>
    <t>BRANCO ID: (34298)</t>
  </si>
  <si>
    <t>TRASEIRO GAVETA COMODA 4 GAV BAIAO/AREZZO/BALLI/VEGAS 775X100X15 MDP</t>
  </si>
  <si>
    <t>FRASSINO ID: (86844)</t>
  </si>
  <si>
    <t>DISTANCIADOR FRONT COMODA LOOP 2024 775X48X25 MDF</t>
  </si>
  <si>
    <t>DISTANCIADOR TRAS COMODA LOOP 2024 775X48X25 MDF</t>
  </si>
  <si>
    <t>DIVISAO COMODA LOOP 2024 913X432X15 MDP</t>
  </si>
  <si>
    <t>BRANCO ID: (66459)</t>
  </si>
  <si>
    <t>AMENDOA CLEAN ID: (36392)</t>
  </si>
  <si>
    <t>FRENTE GAV C/PUX INF COMODA LOOP 2024 700X210X15 MDF</t>
  </si>
  <si>
    <t>AMENDOA CLEAN ID: (66469)</t>
  </si>
  <si>
    <t>SALVIA ID: (36171)</t>
  </si>
  <si>
    <t>OFF WHITE ID: (36170)</t>
  </si>
  <si>
    <t>BRANCO ID: (66471)</t>
  </si>
  <si>
    <t>FRENTE GAV C/PUX SUP COMODA LOOP 2024 700X210X15 MDF</t>
  </si>
  <si>
    <t>AMENDOA CLEAN ID: (66473)</t>
  </si>
  <si>
    <t>SALVIA ID: (36397)</t>
  </si>
  <si>
    <t>OFF WHITE ID: (36396)</t>
  </si>
  <si>
    <t>BRANCO ID: (66475)</t>
  </si>
  <si>
    <t>KIT FERRAGEM COMODA LOOP 2024 400X250X45</t>
  </si>
  <si>
    <t>LATERAL DIREITA COMODA LOOP 2024 825X480X15 MDF</t>
  </si>
  <si>
    <t>AMENDOA CLEAN ID: (36398)</t>
  </si>
  <si>
    <t>FRASSINO ID: (36399)</t>
  </si>
  <si>
    <t>BRANCO ID: (66477)</t>
  </si>
  <si>
    <t>LATERAL ESQUERDA COMODA LOOP 2024 825X480X15 MDF</t>
  </si>
  <si>
    <t>AMENDOA CLEAN ID: (35919)</t>
  </si>
  <si>
    <t>BRANCO ID: (66479)</t>
  </si>
  <si>
    <t>MOLDURA LATERAL COMODA LOOP 2024 912X38X18 MDF</t>
  </si>
  <si>
    <t>BRANCO ID: (66465)</t>
  </si>
  <si>
    <t>SALVIA ID: (36173)</t>
  </si>
  <si>
    <t>OFF WHITE ID: (36172)</t>
  </si>
  <si>
    <t>AMENDOA CLEAN ID: (66463)</t>
  </si>
  <si>
    <t>TRASEIRO GAVETA COMODA LOOP 2024 634X120X15 MDP</t>
  </si>
  <si>
    <t>AMENDOA CLEAN ID: (35134)</t>
  </si>
  <si>
    <t>FRASSINO ID: (35135)</t>
  </si>
  <si>
    <t>VISTA COMODA  LOOP 2024 1488X70X15 MDP</t>
  </si>
  <si>
    <t>SALVIA ID: (34862)</t>
  </si>
  <si>
    <t>BRANCO ID: (36917)</t>
  </si>
  <si>
    <t>AMENDOA CLEAN ID: (66467)</t>
  </si>
  <si>
    <t>OFF WHITE ID: (34861)</t>
  </si>
  <si>
    <t>LATERAL ESQUERDA GR 4 PTS RUSTIC 2150X540X15 MDP</t>
  </si>
  <si>
    <t>BRANCO ID: (44613)</t>
  </si>
  <si>
    <t>PAIN CAB MT ESTOF CAMA CASAL 1,40 LEDER 1460X340X35</t>
  </si>
  <si>
    <t>L R BEG/C DT M ID: (36618)</t>
  </si>
  <si>
    <t>PAIN VERT CAB 1,60 CALITAN S/LED 1075X68012 MDP</t>
  </si>
  <si>
    <t>AMENDOA CLEAN ID: (34857)</t>
  </si>
  <si>
    <t>TRAVESSA CENTRAL CAMA SOLT ATHENAS 2012 780X58X25 MDF</t>
  </si>
  <si>
    <t>AMENDOA CLEAN ID: (36626)</t>
  </si>
  <si>
    <t>BRANCO ID: (36627)</t>
  </si>
  <si>
    <t>FRASSINO ID: (36629)</t>
  </si>
  <si>
    <t>TRASEIRO GAV COFRE COMODA 2 PTS 7 GAV VEDRA 338X120X15 MDP</t>
  </si>
  <si>
    <t>BRANCO ID: (36621)</t>
  </si>
  <si>
    <t>AMENDOA CLEAN ID: (36620)</t>
  </si>
  <si>
    <t>TRASEIRO GAVETA GR 6 PTS HECTOR/CELEB/BARDO 479X80X12 MDP</t>
  </si>
  <si>
    <t>BRANCO ID: (44651)</t>
  </si>
  <si>
    <t>LATERAL DIREITA GR 6 PTS BARDO 2050X450X12 MDP</t>
  </si>
  <si>
    <t>BRANCO ID: (38587)</t>
  </si>
  <si>
    <t>AMENDOA CLEAN ID: (38586)</t>
  </si>
  <si>
    <t>LATERAL ESQUERDA GR 6 PTS BARDO 2050X450X12 MDP</t>
  </si>
  <si>
    <t>AMENDOA CLEAN ID: (42104)</t>
  </si>
  <si>
    <t>TAMPO CENTRAL GR 6 PTS BARDO 1608X450X12 MDP</t>
  </si>
  <si>
    <t>AMENDOA CLEAN ID: (42107)</t>
  </si>
  <si>
    <t>RODAPE FRONTAL  GR  6 PTS BARDO 1608X90X12 MDP</t>
  </si>
  <si>
    <t>AMENDOA CLEAN ID: (43674)</t>
  </si>
  <si>
    <t>RODAPE TRASEIRO GR 6 PTS BARDO 1608X90X12 MDP</t>
  </si>
  <si>
    <t>PORTA GRANDE GR 6 PTS BARDO 1877X266X15 MDP</t>
  </si>
  <si>
    <t>AMENDOA CLEAN ID: (40208)</t>
  </si>
  <si>
    <t>MOLDURA GR  6 PTS BARDO 1630X80X15 MDP</t>
  </si>
  <si>
    <t>AMENDOA CLEAN ID: (39373)</t>
  </si>
  <si>
    <t>BRANCO ID: (39374)</t>
  </si>
  <si>
    <t>BATENTE   FRENTE GR  6 PTS VIRGO/BARDO 1137X80X12 MDP</t>
  </si>
  <si>
    <t>AMENDOA CLEAN ID: (39333)</t>
  </si>
  <si>
    <t>FRASSINO/OFF WHITE ID: (31597)</t>
  </si>
  <si>
    <t>AMENDOA CLEAN/SALVIA ID: (31599)</t>
  </si>
  <si>
    <t>FRASSINO/SALVIA ID: (31595)</t>
  </si>
  <si>
    <t>AMENDOA CLEAN/OFF WH ID: (31593)</t>
  </si>
  <si>
    <t>BRANCO ID: (67187)</t>
  </si>
  <si>
    <t>AMENDOA CLEAN ID: (67186)</t>
  </si>
  <si>
    <t>DISTANCIADOR FRONT MESA DE CAB LOOP 2024 281X48X25 MDF</t>
  </si>
  <si>
    <t>DISTANCIADOR TRAS MESA DE CAB LOOP 2024 281X48X25 MDF</t>
  </si>
  <si>
    <t>FRENTE GAV C/PUX INF MESA DE CAB LOOP 438X187X15 MDF</t>
  </si>
  <si>
    <t>OFF WHITE ID: (43692)</t>
  </si>
  <si>
    <t>AMENDOA CLEAN ID: (67192)</t>
  </si>
  <si>
    <t>BRANCO ID: (67193)</t>
  </si>
  <si>
    <t>SALVIA ID: (43693)</t>
  </si>
  <si>
    <t>FRENTE GAV C/PUX SUP MESA CAB LOOP 2024 438X187X15 MDF</t>
  </si>
  <si>
    <t>SALVIA ID: (40248)</t>
  </si>
  <si>
    <t>AMENDOA CLEAN ID: (67211)</t>
  </si>
  <si>
    <t>OFF WHITE ID: (40247)</t>
  </si>
  <si>
    <t>KIT FERRAGEM MESA DE CABECEIRA LOOP 2024</t>
  </si>
  <si>
    <t>LATERAL DIREITA MESA DE CAB LOOP 2024 380X322X15 MDF</t>
  </si>
  <si>
    <t>AMENDOA CLEAN ID: (40249)</t>
  </si>
  <si>
    <t>LATERAL ESQUERDA MESA DE CAB LOOP 2024 380X322X15 MDF</t>
  </si>
  <si>
    <t>AMENDOA CLEAN ID: (38595)</t>
  </si>
  <si>
    <t>MOLDURA LATERAL MESA DE CAB LOOP 2024 408X38X18 MDF</t>
  </si>
  <si>
    <t>OFF WHITE ID: (41187)</t>
  </si>
  <si>
    <t>AMENDOA CLEAN ID: (67227)</t>
  </si>
  <si>
    <t>SALVIA ID: (41188)</t>
  </si>
  <si>
    <t>VISTA MESA DE CAB  LOOP 2024 520X70X15 MDP</t>
  </si>
  <si>
    <t>OFF WHITE ID: (40251)</t>
  </si>
  <si>
    <t>AMENDOA CLEAN ID: (67243)</t>
  </si>
  <si>
    <t>PORTA MONT BRA-P-0864 C/VIDRO FUME - AM (2224X444X20)</t>
  </si>
  <si>
    <t>AMENDOA CLEAN/OFF WH ID: (56716)</t>
  </si>
  <si>
    <t>AMENDOA CLEAN/OFF WH ID: (56717)</t>
  </si>
  <si>
    <t>AMENDOA CLEAN/OFF WH ID: (39409)</t>
  </si>
  <si>
    <t>BASE MAIOR MESA 1,20/1,60/1,70 SINTONIA 425X160X18 MDF</t>
  </si>
  <si>
    <t>AMENDOA CLEAN ID: (39407)</t>
  </si>
  <si>
    <t>BASE MENOR MESA 1,60/1,70 SINTONIA 367X160X18 MDF</t>
  </si>
  <si>
    <t>AMENDOA CLEAN ID: (42986)</t>
  </si>
  <si>
    <t>KIT FERRAGEM MESA 1,60/1,70 SINTONIA</t>
  </si>
  <si>
    <t>AMENDOA CLEAN ID: (40293)</t>
  </si>
  <si>
    <t>LATERAL MESA 1,20/1,60/1,70 SINTONIA 682X160X18 MDF</t>
  </si>
  <si>
    <t>AMENDOA CLEAN ID: (40295)</t>
  </si>
  <si>
    <t>LATERAL USINADA MESA 1,20/1,60/1,70 SINTONIA 723X243X15 MDF</t>
  </si>
  <si>
    <t>OFF WHITE ID: (40297)</t>
  </si>
  <si>
    <t>TAMPO APOIO MESA 1,60/1,70 SINTONIA 950X460X12 MDP</t>
  </si>
  <si>
    <t>TRAVESSA INFERIOR MESA 1,60/1,70 SINTONIA 484X81X15 MDF</t>
  </si>
  <si>
    <t>OFF WHITE ID: (65170)</t>
  </si>
  <si>
    <t>APLIQUE MOLDURA 04 BRA-M(258X480MM)FRASSINO</t>
  </si>
  <si>
    <t>LATERAL DIREITA GR 03 PTS HERCULES 2021 2080X510X15 MDP</t>
  </si>
  <si>
    <t>BRANCO ID: (35139)</t>
  </si>
  <si>
    <t>TRILHO PVC DUAS VIAS SUP M PVC 2240MM GR FORMA GR FORMA</t>
  </si>
  <si>
    <t>PUXADOR KITC/06-PUXADOR BRA-M-0094(1050X 20X GR 6PT STYLE</t>
  </si>
  <si>
    <t>PUXADOR KIT C/08-PUXADOR BRA-M-0094(2300X 20MM) AMENDOA-GR ERGON</t>
  </si>
  <si>
    <t>PUXADOR KIT C/08-PUXADOR BRA-M-0094(2300X 20MM) FRASSINO -GR ERGON</t>
  </si>
  <si>
    <t>APLIQUE KIT SUP/LED BRA-M-14001(400X 0,35X 25MM) (ESQ+DIR)AMENDOA-CALI</t>
  </si>
  <si>
    <t>APLIQUE KITMOLDURA DE CANTO PERFIL BRA-M-0258 160MM ESP 19MM - AMENDOA</t>
  </si>
  <si>
    <t>CX MALETA ASS/ENC CADEIRA LUAR C/2 610X445X450MM</t>
  </si>
  <si>
    <t>AMENDOA CLEAN ID: (26000)</t>
  </si>
  <si>
    <t>DIVISAO DIR GR 6PTS EASY SLIM 2025 1873X450X12 MDP</t>
  </si>
  <si>
    <t>AMENDOA CLEAN ID: (43705)</t>
  </si>
  <si>
    <t>DIVISAO ESQ GR 6PTS EASY SLIM 2025 1873X450X12 MDP</t>
  </si>
  <si>
    <t>AMENDOA CLEAN ID: (42158)</t>
  </si>
  <si>
    <t>KIT FERRAGEM GR 6PTS EASY SLIM 2025</t>
  </si>
  <si>
    <t>LATERAL DIR GR 6PTS EASY SLIM 2025 2050X450X12 MDP</t>
  </si>
  <si>
    <t>AMENDOA CLEAN ID: (41218)</t>
  </si>
  <si>
    <t>LATERAL ESQ GR 6PTS EASY SLIM 2025 2050X450X12 MDP</t>
  </si>
  <si>
    <t>AMENDOA CLEAN ID: (38641)</t>
  </si>
  <si>
    <t>AMENDOA CLEAN ID: (101042)</t>
  </si>
  <si>
    <t>AMENDOA CLEAN/OFF WH ID: (55885)</t>
  </si>
  <si>
    <t>AMENDOA CLEAN ID: (31391)</t>
  </si>
  <si>
    <t>DISTANCIADOR MENOR FRONTAL GR STYLE 340X38X25 MDF</t>
  </si>
  <si>
    <t>AMENDOA CLEAN ID: (42156)</t>
  </si>
  <si>
    <t>DIVISAO MAL GR STYLE 318X100X15 MDF</t>
  </si>
  <si>
    <t>FRASSINO ID: (39420)</t>
  </si>
  <si>
    <t>AMENDOA CLEAN ID: (39419)</t>
  </si>
  <si>
    <t>FUNDO GAV GR 3PTS 2,30 FORMA 634X351X2,7 HDF</t>
  </si>
  <si>
    <t>AMENDOA CLEAN ID: (43010)</t>
  </si>
  <si>
    <t>LATERAL GAV DIR GR OLLIE/LEDER 2025/FORMA/STYLE/ERGON 350X120X15 MDF</t>
  </si>
  <si>
    <t>AMENDOA CLEAN ID: (43012)</t>
  </si>
  <si>
    <t>FRASSINO ID: (43013)</t>
  </si>
  <si>
    <t>LATERAL GAV ESQ GR OLLIE/LEDER 2025/FORMA/STYLE/ERGON 350X120X15 MDF</t>
  </si>
  <si>
    <t>AMENDOA CLEAN ID: (43722)</t>
  </si>
  <si>
    <t>FRASSINO ID: (43723)</t>
  </si>
  <si>
    <t>RODAPE FRONT GR 3PTS 2,30 FORMA 2271X70X15 MDF</t>
  </si>
  <si>
    <t>AMENDOA CLEAN ID: (41234)</t>
  </si>
  <si>
    <t>FRASSINO ID: (41235)</t>
  </si>
  <si>
    <t>RODAPE TRAS GR 3PTS 2,30 FORMA 2271X70X15 MDF</t>
  </si>
  <si>
    <t>TAMPO INF GR 3PTS 2,30 FORMA 2271X530X15 MDF</t>
  </si>
  <si>
    <t>AMENDOA CLEAN ID: (39441)</t>
  </si>
  <si>
    <t>PRATELEIRA SUP S/FURO GR EASY SLIM/ANDARA SOFT 575X330X12 MDP</t>
  </si>
  <si>
    <t>AMENDOA CLEAN ID: (43725)</t>
  </si>
  <si>
    <t>BRANCO ID: (43726)</t>
  </si>
  <si>
    <t>TAMPO SUP GR 3PTS 2,30 FORMA 2271X540X15 MDF</t>
  </si>
  <si>
    <t>FRASSINO ID: (42162)</t>
  </si>
  <si>
    <t>AMENDOA CLEAN ID: (31639)</t>
  </si>
  <si>
    <t>LATERAL DIR GR 3PTS 2,30 FORMA 2300X540X15 MDF</t>
  </si>
  <si>
    <t>AMENDOA CLEAN ID: (39425)</t>
  </si>
  <si>
    <t>LATERAL ESQ GR 3PTS 2,30 FORMA 2300X540X15 MDF</t>
  </si>
  <si>
    <t>AMENDOA CLEAN ID: (43016)</t>
  </si>
  <si>
    <t>FRASSINO ID: (43017)</t>
  </si>
  <si>
    <t>TRASEIRO GAV GR 3PTS 2,30 FORMA 616X110X15 MDF</t>
  </si>
  <si>
    <t>AMENDOA CLEAN ID: (39427)</t>
  </si>
  <si>
    <t>AMENDOA CLEAN ID: (31851)</t>
  </si>
  <si>
    <t>DIVISAO GR 3PTS 2,30 FORMA 2200X440X15 MDF</t>
  </si>
  <si>
    <t>AMENDOA CLEAN ID: (38648)</t>
  </si>
  <si>
    <t>FRASSINO ID: (38649)</t>
  </si>
  <si>
    <t>FRENTE GAV GR 3PTS 2,30 FORMA 672X160X15 MDF</t>
  </si>
  <si>
    <t>AMENDOA CLEAN ID: (44692)</t>
  </si>
  <si>
    <t>PINAZIO GR 3PTS 2,30 FORMA 500X70X15 MDF</t>
  </si>
  <si>
    <t>PRATELEIRA INF GR 3PTS 2,30 FORMA 747X420X15 MDF</t>
  </si>
  <si>
    <t>AMENDOA CLEAN ID: (41222)</t>
  </si>
  <si>
    <t>COSTAS GR 3PTS 2,30 FORMA 2230X764X2,7 HDF</t>
  </si>
  <si>
    <t>AMENDOA CLEAN ID: (39429)</t>
  </si>
  <si>
    <t>PORTA CENTRAL GR 3PTS 2,30 FORMA 2170X710X12 MDF</t>
  </si>
  <si>
    <t>AMENDOA CLEAN/OFF WH ID: (38660)</t>
  </si>
  <si>
    <t>FRASSINO/OFF WHITE ID: (38661)</t>
  </si>
  <si>
    <t>PORTA LATERAL GR 3PTS 2,30 FORMA 2170X687X12 MDF</t>
  </si>
  <si>
    <t>AMENDOA CLEAN/OFF WH ID: (40343)</t>
  </si>
  <si>
    <t>FRASSINO/OFF WHITE ID: (40344)</t>
  </si>
  <si>
    <t>FRASSINO/OFF WHITE ID: (31465)</t>
  </si>
  <si>
    <t>AMENDOA CLEAN/OFF WH ID: (31463)</t>
  </si>
  <si>
    <t>FRASSINO ID: (31333)</t>
  </si>
  <si>
    <t>AMENDOA CLEAN ID: (31331)</t>
  </si>
  <si>
    <t>DISTANCIADOR MAIOR FRONTAL GR 6PTS 2,40 STYLE 340X50X25 MDF</t>
  </si>
  <si>
    <t>AMENDOA CLEAN ID: (38621)</t>
  </si>
  <si>
    <t>FRENTE GAV GR 6PTS 2,40 STYLE 693X160X15 MDF</t>
  </si>
  <si>
    <t>AMENDOA CLEAN ID: (38625)</t>
  </si>
  <si>
    <t>FUNDO GAV GR 3PTS 2,40 STYLE 653X351X2,7 HDF</t>
  </si>
  <si>
    <t>FRASSINO ID: (41208)</t>
  </si>
  <si>
    <t>KIT FERRAGEM GR LOPAS 6PTS 2,40 STYLE</t>
  </si>
  <si>
    <t>AMENDOA CLEAN ID: (38627)</t>
  </si>
  <si>
    <t>RODAPE FRONT GR 6PTS 2,40 STYLE 2370X70X15 MDF</t>
  </si>
  <si>
    <t>AMENDOA CLEAN ID: (39415)</t>
  </si>
  <si>
    <t>TAMPO SUP GR 6PTS 2,40 STYLE 2370X495X15 MDF</t>
  </si>
  <si>
    <t>AMENDOA CLEAN ID: (44679)</t>
  </si>
  <si>
    <t>DIVISAO CENTRAL GR 6PTS 2,40 STYLE 1837X420X15 MDF</t>
  </si>
  <si>
    <t>AMENDOA CLEAN ID: (41211)</t>
  </si>
  <si>
    <t>LATERAL DIR GR 6PTS 2,40 STYLE 2300X540X15 MDF</t>
  </si>
  <si>
    <t>AMENDOA CLEAN ID: (43711)</t>
  </si>
  <si>
    <t>LATERAL ESQ GR 6PTS 2,40 STYLE 2300X540X15 MDF</t>
  </si>
  <si>
    <t>AMENDOA CLEAN ID: (42150)</t>
  </si>
  <si>
    <t>FRASSINO ID: (42151)</t>
  </si>
  <si>
    <t>DIVISAO GR 6PTS 2,40 STYLE 2170X495X15 MDF</t>
  </si>
  <si>
    <t>AMENDOA CLEAN ID: (40324)</t>
  </si>
  <si>
    <t>PINAZIO GR 6PTS 2,40 STYLE 463X70X15 MDF</t>
  </si>
  <si>
    <t>PRATELEIRA SUP GR 6PTS 2,40 STYLE 780X420X15 MDF</t>
  </si>
  <si>
    <t>AMENDOA CLEAN ID: (40326)</t>
  </si>
  <si>
    <t>COSTAS GR 6PTS 2,40 STYLE 2200X796X2,7 HDF</t>
  </si>
  <si>
    <t>FRASSINO ID: (41216)</t>
  </si>
  <si>
    <t>AMENDOA CLEAN ID: (41215)</t>
  </si>
  <si>
    <t>PORTA CENTRAL GR 6PTS 2,40 STYLE 2212X394X15 MDF</t>
  </si>
  <si>
    <t>OFF WHITE ID: (43719)</t>
  </si>
  <si>
    <t>AMENDOA CLEAN ID: (43717)</t>
  </si>
  <si>
    <t>PORTA LATERAL GR 6PTS 2,40 STYLE 2212X382X15 MDF</t>
  </si>
  <si>
    <t>OFF WHITE ID: (43002)</t>
  </si>
  <si>
    <t>AMENDOA CLEAN ID: (30608)</t>
  </si>
  <si>
    <t>FRASSINO ID: (30609)</t>
  </si>
  <si>
    <t>MOLDURA SUP ACABAMENTO GR 8PTS ERGON 2705X80X15 MDF</t>
  </si>
  <si>
    <t>FRASSINO ID: (39432)</t>
  </si>
  <si>
    <t>AMENDOA CLEAN ID: (39431)</t>
  </si>
  <si>
    <t>MOLDURA SUP GR 8PTS ERGON 2705X70X25 MDF</t>
  </si>
  <si>
    <t>AMENDOA CLEAN ID: (43020)</t>
  </si>
  <si>
    <t>FRASSINO ID: (43021)</t>
  </si>
  <si>
    <t>RODAPE TRAS GR 8PTS ERGON 2704X70X15 MDF</t>
  </si>
  <si>
    <t>TAMPO INF GR 8PTS ERGON 2705X565X15 MDF</t>
  </si>
  <si>
    <t>FRASSINO ID: (43027)</t>
  </si>
  <si>
    <t>AMENDOA CLEAN ID: (43026)</t>
  </si>
  <si>
    <t>TAMPO SUP GR 8PTS ERGON 2705X565X15 MDF</t>
  </si>
  <si>
    <t>AMENDOA CLEAN ID: (43731)</t>
  </si>
  <si>
    <t>FRASSINO ID: (43732)</t>
  </si>
  <si>
    <t>AMENDOA CLEAN ID: (30610)</t>
  </si>
  <si>
    <t>FRASSINO ID: (30611)</t>
  </si>
  <si>
    <t>COSTAS GR 8PTS ERGON 2290X681X2,7 HDF</t>
  </si>
  <si>
    <t>AMENDOA CLEAN ID: (42163)</t>
  </si>
  <si>
    <t>FRASSINO ID: (42164)</t>
  </si>
  <si>
    <t>DIVISAO CENTRAL GR 8PTS ERGON 1116X565X15 MDF</t>
  </si>
  <si>
    <t>AMENDOA CLEAN ID: (43733)</t>
  </si>
  <si>
    <t>FRENTE GAV GR 8PTS ERGON 590X160X15 MDF</t>
  </si>
  <si>
    <t>AMENDOA CLEAN ID: (39433)</t>
  </si>
  <si>
    <t>LATERAL DIR GR 8PTS ERGON 2400X610X15 MDF</t>
  </si>
  <si>
    <t>AMENDOA CLEAN ID: (41226)</t>
  </si>
  <si>
    <t>FRASSINO ID: (41227)</t>
  </si>
  <si>
    <t>LATERAL ESQ GR 8PTS ERGON 2400X610X15 MDF</t>
  </si>
  <si>
    <t>AMENDOA CLEAN ID: (41228)</t>
  </si>
  <si>
    <t>FRASSINO ID: (30613)</t>
  </si>
  <si>
    <t>AMENDOA CLEAN ID: (30612)</t>
  </si>
  <si>
    <t>DIVISAO FRONT MAL GR 8PTS ERGON 369X80X15 MDF</t>
  </si>
  <si>
    <t>AMENDOA CLEAN ID: (41230)</t>
  </si>
  <si>
    <t>DIVISAO GAV GR 8PTS ERGON 745X565X15 MDF</t>
  </si>
  <si>
    <t>AMENDOA CLEAN ID: (38654)</t>
  </si>
  <si>
    <t>DIVISAO GR 8PTS ERGON 2260X565X15 MDF</t>
  </si>
  <si>
    <t>AMENDOA CLEAN ID: (39435)</t>
  </si>
  <si>
    <t>FRASSINO ID: (39436)</t>
  </si>
  <si>
    <t>DIVISAO TRAS MAL GR 8PTS ERGON 369X80X15 MDF</t>
  </si>
  <si>
    <t>AMENDOA CLEAN ID: (43737)</t>
  </si>
  <si>
    <t>PINAZIO GR 8PTS ERGON 535X70X15 MDF</t>
  </si>
  <si>
    <t>TAMPO INF CENTRAL GR 8PTS ERGON 1345X565X15 MDF</t>
  </si>
  <si>
    <t>AMENDOA CLEAN ID: (41232)</t>
  </si>
  <si>
    <t>AMENDOA CLEAN ID: (30614)</t>
  </si>
  <si>
    <t>FRASSINO ID: (30615)</t>
  </si>
  <si>
    <t>FUNDO GAV GR 8PTS ERGON 550X351X2,7 HDF</t>
  </si>
  <si>
    <t>FRASSINO ID: (42172)</t>
  </si>
  <si>
    <t>AMENDOA CLEAN ID: (42171)</t>
  </si>
  <si>
    <t>PRATELEIRA INF GR 8PTS ERGON 665X470X15 MDF</t>
  </si>
  <si>
    <t>FRASSINO ID: (38659)</t>
  </si>
  <si>
    <t>PRATELEIRA SUP GR 8PTS ERGON 665X470X15 MDF</t>
  </si>
  <si>
    <t>AMENDOA CLEAN ID: (40338)</t>
  </si>
  <si>
    <t>FRASSINO ID: (40339)</t>
  </si>
  <si>
    <t>OFF WHITE ID: (30618)</t>
  </si>
  <si>
    <t>FRASSINO ID: (30617)</t>
  </si>
  <si>
    <t>PORTA CENTRAL GR 8PTS ERGON 2300X336X15 MDF</t>
  </si>
  <si>
    <t>FRASSINO ID: (40341)</t>
  </si>
  <si>
    <t>AMENDOA CLEAN ID: (40340)</t>
  </si>
  <si>
    <t>OFF WHITE ID: (40342)</t>
  </si>
  <si>
    <t>PORTA LATERAL GR 8PTS ERGON 2300X319X15 MDF</t>
  </si>
  <si>
    <t>FRASSINO ID: (43743)</t>
  </si>
  <si>
    <t>OFF WHITE ID: (43744)</t>
  </si>
  <si>
    <t>KIT FERRAGEM P/ 04 ESPELHOS C/08 SUP.PRATA</t>
  </si>
  <si>
    <t>FITA ROLO MI-94 AM 9,5MM X 28 METROS</t>
  </si>
  <si>
    <t>SUPORTE CABIDE OBLONGO METAL</t>
  </si>
  <si>
    <t>AMENDOA CLEAN/OFF WH ID: (40349)</t>
  </si>
  <si>
    <t>AMENDOA CLEAN ID: (52112)</t>
  </si>
  <si>
    <t>BRANCO ID: (52007)</t>
  </si>
  <si>
    <t>KIT FERRAGEM GR LOPAS 06 PTS LOOP 2025</t>
  </si>
  <si>
    <t>AMENDOA CLEAN ID: (41236)</t>
  </si>
  <si>
    <t>TAMPO INF GR 6PTS LOOP 2025 2661X505X15 MDF</t>
  </si>
  <si>
    <t>FRASSINO ID: (39444)</t>
  </si>
  <si>
    <t>BRANCO ID: (52017)</t>
  </si>
  <si>
    <t>AMENDOA CLEAN ID: (39443)</t>
  </si>
  <si>
    <t>TAMPO SUP GR 6PTS LOOP 2025 2661X505X15 MDF</t>
  </si>
  <si>
    <t>AMENDOA CLEAN ID: (43032)</t>
  </si>
  <si>
    <t>BRANCO ID: (52019)</t>
  </si>
  <si>
    <t>FRASSINO ID: (43033)</t>
  </si>
  <si>
    <t>AMENDOA CLEAN ID: (43034)</t>
  </si>
  <si>
    <t>BRANCO ID: (52020)</t>
  </si>
  <si>
    <t>FRASSINO ID: (43035)</t>
  </si>
  <si>
    <t>FRENTE GAV GR 6PTS LOOP 2025 770X160X15 MDF</t>
  </si>
  <si>
    <t>BRANCO ID: (52021)</t>
  </si>
  <si>
    <t>AMENDOA CLEAN ID: (40353)</t>
  </si>
  <si>
    <t>FRASSINO ID: (40354)</t>
  </si>
  <si>
    <t>LATERAL GAV DIR GR 6PTS LOOP 2025 400X120X15 MDF</t>
  </si>
  <si>
    <t>AMENDOA CLEAN ID: (43036)</t>
  </si>
  <si>
    <t>LATERAL GAV ESQ GR 6PTS LOOP 2025 400X120X15 MDF</t>
  </si>
  <si>
    <t>AMENDOA CLEAN ID: (38662)</t>
  </si>
  <si>
    <t>TRASEIRO GAV GR 6PTS LOOP 2025 724X110X15 MDF</t>
  </si>
  <si>
    <t>BRANCO ID: (52030)</t>
  </si>
  <si>
    <t>AMENDOA CLEAN ID: (43745)</t>
  </si>
  <si>
    <t>BRANCO ID: (52032)</t>
  </si>
  <si>
    <t>AMENDOA CLEAN ID: (42185)</t>
  </si>
  <si>
    <t>DIVISAO GR 6PTS LOOP 2025 2230X505X15 MDF</t>
  </si>
  <si>
    <t>FRASSINO ID: (43748)</t>
  </si>
  <si>
    <t>AMENDOA CLEAN ID: (43747)</t>
  </si>
  <si>
    <t>BRANCO ID: (52033)</t>
  </si>
  <si>
    <t>PRATELEIRA INF GR 6PTS LOOP 2025 845X420X15 MDF</t>
  </si>
  <si>
    <t>AMENDOA CLEAN ID: (40361)</t>
  </si>
  <si>
    <t>FRASSINO ID: (40362)</t>
  </si>
  <si>
    <t>BRANCO ID: (52035)</t>
  </si>
  <si>
    <t>PRATELEIRA SUP GR 6PTS LOOP 2025 845X420X15 MDF</t>
  </si>
  <si>
    <t>AMENDOA CLEAN ID: (43749)</t>
  </si>
  <si>
    <t>BRANCO ID: (52037)</t>
  </si>
  <si>
    <t>PRATELEIRA INF LAT GR 6PTS LOOP 2025 893X430X15 MDF</t>
  </si>
  <si>
    <t>BRANCO ID: (52038)</t>
  </si>
  <si>
    <t>FRASSINO ID: (43752)</t>
  </si>
  <si>
    <t>AMENDOA CLEAN ID: (43751)</t>
  </si>
  <si>
    <t>PRATELEIRA SUP LAT GR 6PTS LOOP 2025 893X420X15 MDF</t>
  </si>
  <si>
    <t>BRANCO ID: (52040)</t>
  </si>
  <si>
    <t>AMENDOA CLEAN ID: (40363)</t>
  </si>
  <si>
    <t>AMENDOA CLEAN ID: (30747)</t>
  </si>
  <si>
    <t>FRASSINO ID: (30748)</t>
  </si>
  <si>
    <t>FRENTE GAV GR OLLIE 2025 805X160X15 MDF</t>
  </si>
  <si>
    <t>AMENDOA CLEAN ID: (43038)</t>
  </si>
  <si>
    <t>FRASSINO ID: (43039)</t>
  </si>
  <si>
    <t>KIT FERRAGEM GR LOPAS 03PTS OLLIE 2025</t>
  </si>
  <si>
    <t>AMENDOA CL/OFF WHI/A ID: (111771)</t>
  </si>
  <si>
    <t>AMENDOA CLEAN ID: (40367)</t>
  </si>
  <si>
    <t>MOLDURA SUP LAT GR 03PTS OLLIE 2025 495X70X15 MDF</t>
  </si>
  <si>
    <t>AMENDOA CLEAN ID: (43040)</t>
  </si>
  <si>
    <t>FRASSINO ID: (43041)</t>
  </si>
  <si>
    <t>RODAPE FRONT GR OLLIE 2025 2670X70X15 MDF</t>
  </si>
  <si>
    <t>AMENDOA CLEAN ID: (38666)</t>
  </si>
  <si>
    <t>RODAPE TRAS GR 6PTS LEDER/OLLIE 2025 2670X70X15 MDF</t>
  </si>
  <si>
    <t>TAMPO INF GR LEDER/OLLIE 2025 2670X540X15 MDF</t>
  </si>
  <si>
    <t>FRASSINO ID: (43754)</t>
  </si>
  <si>
    <t>AMENDOA CLEAN ID: (43753)</t>
  </si>
  <si>
    <t>TAMPO SUP GR LEDER/OLLIE 2025 2670X540X15 MDF</t>
  </si>
  <si>
    <t>AMENDOA CLEAN ID: (39449)</t>
  </si>
  <si>
    <t>FRASSINO ID: (39450)</t>
  </si>
  <si>
    <t>FRASSINO ID: (30750)</t>
  </si>
  <si>
    <t>AMENDOA CLEAN ID: (30749)</t>
  </si>
  <si>
    <t>LATERAL DIR GR OLLIE 2025 2300X540X15 MDF</t>
  </si>
  <si>
    <t>FRASSINO ID: (40370)</t>
  </si>
  <si>
    <t>AMENDOA CLEAN ID: (40369)</t>
  </si>
  <si>
    <t>LATERAL ESQ GR OLLIE 2025 2300X540X15 MDF</t>
  </si>
  <si>
    <t>AMENDOA CLEAN ID: (44705)</t>
  </si>
  <si>
    <t>PINAZIO GR LEDER/OLLIE 2025 508X70X15 MDF</t>
  </si>
  <si>
    <t>PRATELEIRA INF GR 6PTS LEDER/OLLIE 2025 880X420X15 MDF</t>
  </si>
  <si>
    <t>FRASSINO ID: (41239)</t>
  </si>
  <si>
    <t>AMENDOA CLEAN ID: (41238)</t>
  </si>
  <si>
    <t>TRASEIRO GAV GR OLLIE 2025 750X110X15 MDF</t>
  </si>
  <si>
    <t>AMENDOA CLEAN ID: (41240)</t>
  </si>
  <si>
    <t>AMENDOA CLEAN ID: (30751)</t>
  </si>
  <si>
    <t>FRASSINO ID: (30752)</t>
  </si>
  <si>
    <t>DIVISAO GR 03PTS OLLIE 2025 2200X450X15 MDF</t>
  </si>
  <si>
    <t>AMENDOA CLEAN ID: (43044)</t>
  </si>
  <si>
    <t>PRATELEIRA SUP GR 6PTS LEDER/OLLIE 2025 880X420X15 MDF</t>
  </si>
  <si>
    <t>FRASSINO ID: (40372)</t>
  </si>
  <si>
    <t>AMENDOA CLEAN ID: (40371)</t>
  </si>
  <si>
    <t>AMENDOA CLEAN ID: (30884)</t>
  </si>
  <si>
    <t>KIT FERRAGEM GR LOPAS 06PTS OLLIE 2025</t>
  </si>
  <si>
    <t>AMENDOA CLEAN ID: (43757)</t>
  </si>
  <si>
    <t>MOLDURA LAT SUP GR 6PTS OLLIE 2025 495X65X25 MDF</t>
  </si>
  <si>
    <t>AMENDOA CLEAN ID: (39451)</t>
  </si>
  <si>
    <t>AMENDOA CLEAN ID: (30886)</t>
  </si>
  <si>
    <t>DIVISAO GR 06PTS OLLIE 2025 2200X540X15 MDF</t>
  </si>
  <si>
    <t>AMENDOA CLEAN ID: (44707)</t>
  </si>
  <si>
    <t>FRASSINO ID: (30942)</t>
  </si>
  <si>
    <t>FRENTE GAV GR 6PTS LEDER 2025 780X160X15 MDF</t>
  </si>
  <si>
    <t>AMENDOA CLEAN ID: (42191)</t>
  </si>
  <si>
    <t>LATERAL DIR GR 6PTS LEDER 2025 2300X540X15 MDF</t>
  </si>
  <si>
    <t>AMENDOA CLEAN ID: (43046)</t>
  </si>
  <si>
    <t>FRASSINO ID: (43047)</t>
  </si>
  <si>
    <t>LATERAL ESQ GR 6PTS LEDER 2025 2300X540X15 MDF</t>
  </si>
  <si>
    <t>FRASSINO ID: (43049)</t>
  </si>
  <si>
    <t>AMENDOA CLEAN ID: (43048)</t>
  </si>
  <si>
    <t>DIVISAO GR 6PTS LEDER 2025 2200X540X15 MDF</t>
  </si>
  <si>
    <t>FRASSINO ID: (43051)</t>
  </si>
  <si>
    <t>BRANCO ID: (31284)</t>
  </si>
  <si>
    <t>FRASSINO ID: (31285)</t>
  </si>
  <si>
    <t>AMENDOA CLEAN ID: (31283)</t>
  </si>
  <si>
    <t>MOLDURA LT CAB DIR CAM 0,90 LOOP 1,40/1,60 LOO/LED 2025 1200X80X50 MDF</t>
  </si>
  <si>
    <t>FRASSINO ID: (35924)</t>
  </si>
  <si>
    <t>AMENDOA CLEAN ID: (35922)</t>
  </si>
  <si>
    <t>BRANCO ID: (35923)</t>
  </si>
  <si>
    <t>MOLDURA LT CAB ESQ CAMA 0,90 LOO 1,40/1,60 LOO/LED 2025 1200X80X50 MDF</t>
  </si>
  <si>
    <t>FRASSINO ID: (36186)</t>
  </si>
  <si>
    <t>AMENDOA CLEAN ID: (36178)</t>
  </si>
  <si>
    <t>MOLDURA LT PES DIR CAMA 0,90 LOO 1,40/1,60 LOOP/LED 2025 425X80X50 MDF</t>
  </si>
  <si>
    <t>BRANCO ID: (35682)</t>
  </si>
  <si>
    <t>FRASSINO ID: (35683)</t>
  </si>
  <si>
    <t>AMENDOA CLEAN ID: (35681)</t>
  </si>
  <si>
    <t>MOLDURA LT PES ESQ CAMA 0,90 LOO 1,40/1,60 LOO/LED 2025 425X80X50 MDF</t>
  </si>
  <si>
    <t>FRASSINO ID: (36187)</t>
  </si>
  <si>
    <t>AMENDOA CLEAN ID: (36179)</t>
  </si>
  <si>
    <t>AMENDOA CLEAN#BOUCLE SALVIA ID: (31287)</t>
  </si>
  <si>
    <t>BRANCO#KORINO BRANCO ID: (31286)</t>
  </si>
  <si>
    <t>AMENDOA CLEAN#CORANO BEGE ID: (31288)</t>
  </si>
  <si>
    <t>PAIN INF CAB CAMA CASAL 1,40 LOOP/LEDER 2025 1345X575X15 MDP</t>
  </si>
  <si>
    <t>FRASSINO ID: (34869)</t>
  </si>
  <si>
    <t>AMENDOA CLEAN ID: (34867)</t>
  </si>
  <si>
    <t>PAIN SUP CAB CAMA CASAL 1,40 LOOP/LEDER 2025 1345X575X15 MDP</t>
  </si>
  <si>
    <t>FRASSINO ID: (36403)</t>
  </si>
  <si>
    <t>AMENDOA CLEAN ID: (36401)</t>
  </si>
  <si>
    <t>BRANCO ID: (36180)</t>
  </si>
  <si>
    <t>AMENDOA CLEAN ID: (36176)</t>
  </si>
  <si>
    <t>FRASSINO ID: (36184)</t>
  </si>
  <si>
    <t>BRANCO#KORINO BRANCO ID: (34883)</t>
  </si>
  <si>
    <t>FRASSINO#CORANO BEGE ID: (34895)</t>
  </si>
  <si>
    <t>AMENDOA CLEAN#CORANO BEGE ID: (34878)</t>
  </si>
  <si>
    <t>AMENDOA CLEAN#BOUCLE SALVIA ID: (34870)</t>
  </si>
  <si>
    <t>PAIN INF CAB CAMA CASAL 1,60 LOOP/LEDER 2025 1545X575X15 MDP</t>
  </si>
  <si>
    <t>FRASSINO ID: (34892)</t>
  </si>
  <si>
    <t>AMENDOA CLEAN ID: (34875)</t>
  </si>
  <si>
    <t>PAIN SUP CAB CAMA CASAL 1,60 LOOP/LEDER 2025 1545X575X15 MDP</t>
  </si>
  <si>
    <t>FRASSINO ID: (34894)</t>
  </si>
  <si>
    <t>AMENDOA CLEAN ID: (34877)</t>
  </si>
  <si>
    <t>TRILHO INF DUAS VIAS BRONZE 2240MM RX500</t>
  </si>
  <si>
    <t>BRANCO ID: (36959)</t>
  </si>
  <si>
    <t>FRASSINO ID: (36960)</t>
  </si>
  <si>
    <t>AMENDOA CLEAN ID: (36958)</t>
  </si>
  <si>
    <t>AMENDOA CLEAN#BOUCLE SALVIA ID: (36961)</t>
  </si>
  <si>
    <t>FRASSINO#CORANO BEGE ID: (36965)</t>
  </si>
  <si>
    <t>AMENDOA CLEAN#CORANO BEGE ID: (36962)</t>
  </si>
  <si>
    <t>BRANCO#KORINO BRANCO ID: (36963)</t>
  </si>
  <si>
    <t>PAIN INF CAB CAMA SOLT 0,90 LOOP 2025 845X575X15 MDP</t>
  </si>
  <si>
    <t>FRASSINO ID: (37074)</t>
  </si>
  <si>
    <t>AMENDOA CLEAN ID: (37072)</t>
  </si>
  <si>
    <t>BRANCO ID: (37073)</t>
  </si>
  <si>
    <t>PAIN SUP CAB CAMA 0,90 LOOP 2025 845X575X15 MDP</t>
  </si>
  <si>
    <t>BRANCO ID: (36967)</t>
  </si>
  <si>
    <t>FRASSINO ID: (36968)</t>
  </si>
  <si>
    <t>AMENDOA CLEAN ID: (36966)</t>
  </si>
  <si>
    <t>AMENDOA CLEAN#CORANO BEGE ID: (37108)</t>
  </si>
  <si>
    <t>FRASSINO#CORANO BEGE ID: (37109)</t>
  </si>
  <si>
    <t>AMENDOA CLEAN#BOUCLE SALVIA ID: (37107)</t>
  </si>
  <si>
    <t>KIT FERRAGEM CAB CASAL 1,60 LOOP</t>
  </si>
  <si>
    <t>AMENDOA CLEAN ID: (37058)</t>
  </si>
  <si>
    <t>MOLDURA LAT DIR CAB 1,60 LOOP 2025 1200X80X50 MDF COL</t>
  </si>
  <si>
    <t>AMENDOA CLEAN ID: (37111)</t>
  </si>
  <si>
    <t>FRASSINO ID: (37112)</t>
  </si>
  <si>
    <t>MOLDURA LAT ESQ CAB 1,60 LOOP 2025 1200X80X50 MDF COL</t>
  </si>
  <si>
    <t>AMENDOA CLEAN ID: (37113)</t>
  </si>
  <si>
    <t>FRASSINO ID: (37114)</t>
  </si>
  <si>
    <t>TRAVESSA INF ENC MACHO/FEMEA CAB 1,60 LOOP 900X80X25 MDP</t>
  </si>
  <si>
    <t>BRANCO#C/LOGO ID: (37035)</t>
  </si>
  <si>
    <t>AMENDOA CLEAN#C/LOGO ID: (89592)</t>
  </si>
  <si>
    <t>AMENDOA CLEAN#C/LOGO ID: (89604)</t>
  </si>
  <si>
    <t>BRANCO#C/LOGO ID: (36932)</t>
  </si>
  <si>
    <t>KIT ROLDANA CM 50 (02 PTS) - LANE/ZEINE</t>
  </si>
  <si>
    <t>KIT ROLDANA CM 50 (03 PTS) - SAIO/NICE</t>
  </si>
  <si>
    <t>KIT ROLDANA CM 155 GUIA ROD 26,8MM (03PTS) GR SPAZIO</t>
  </si>
  <si>
    <t>KIT ROLDANA CM 155 GUIA RODIZIO 26,8MM (02PTS) TORONTO</t>
  </si>
  <si>
    <t>KIT ROLDANA JOELINI FOLGA ZERO 3PTS - GR FORMA/OLLIE</t>
  </si>
  <si>
    <t>FRASSINO#C/LOGO ID: (79078)</t>
  </si>
  <si>
    <t>FRASSINO ID: (55815)</t>
  </si>
  <si>
    <t>AMENDOA CLEAN ID: (55767)</t>
  </si>
  <si>
    <t>BRANCO ID: (79508)</t>
  </si>
  <si>
    <t>FRASSINO ID: (55817)</t>
  </si>
  <si>
    <t>BRANCO ID: (79504)</t>
  </si>
  <si>
    <t>AMENDOA CLEAN ID: (55816)</t>
  </si>
  <si>
    <t>OFF WHITE ID: (45302)</t>
  </si>
  <si>
    <t>OFF WHITE ID: (45301)</t>
  </si>
  <si>
    <t>TAMPO MAXI 40MM MESA 1,20 CANTO COPO 1200X800X40 MDF COL</t>
  </si>
  <si>
    <t>OFF WHITE ID: (45305)</t>
  </si>
  <si>
    <t>AMENDOA CLEAN/OFF WH ID: (46118)</t>
  </si>
  <si>
    <t>FRASSINO/OFF WHITE ID: (46119)</t>
  </si>
  <si>
    <t>BASE MENOR MESA 1,20 SINTONIA 250X160X18 MDF</t>
  </si>
  <si>
    <t>AMENDOA CLEAN ID: (54213)</t>
  </si>
  <si>
    <t>TAMPO DE APOIO MESA 1,20 SINTONIA 716X460X12 MDP</t>
  </si>
  <si>
    <t>TRAVESSA INFERIOR MESA 1,20 SINTONIA 250X81X15 MDF</t>
  </si>
  <si>
    <t>OFF WHITE ID: (46287)</t>
  </si>
  <si>
    <t>FRASSINO ID: (72896)</t>
  </si>
  <si>
    <t>AMENDOA CLEAN ID: (72819)</t>
  </si>
  <si>
    <t>FRASSINO/OFF WHITE ID: (72897)</t>
  </si>
  <si>
    <t>DISTANCIADOR MESA 1,70 LUAR 725X50X12 MDF</t>
  </si>
  <si>
    <t>LATERAL DIR MESA 1,70 LUAR 755X377X15 MDF</t>
  </si>
  <si>
    <t>AMENDOA CLEAN ID: (72931)</t>
  </si>
  <si>
    <t>LATERAL USINADA ESQ MESA 1,70 LUAR 755X581X15 MDF</t>
  </si>
  <si>
    <t>AMENDOA CLEAN ID: (72964)</t>
  </si>
  <si>
    <t>BRANCO#C/LOGO ID: (46259)</t>
  </si>
  <si>
    <t>AMENDOA CLEAN#C/LOGO ID: (46258)</t>
  </si>
  <si>
    <t>AMENDOA CLEAN ID: (46043)</t>
  </si>
  <si>
    <t>KIT FERRAGEM  CADEIRA APOGEU/RAYLA 2025 P/04 CADEIRAS</t>
  </si>
  <si>
    <t>FRASSINO ID: (46289)</t>
  </si>
  <si>
    <t>AMENDOA CLEAN ID: (46171)</t>
  </si>
  <si>
    <t>PE FRONT CADEIRA LUAR/CELINA 450X60X25 MDF</t>
  </si>
  <si>
    <t>AMENDOA CLEAN ID: (46349)</t>
  </si>
  <si>
    <t>FRASSINO ID: (46350)</t>
  </si>
  <si>
    <t>PE TRAS CADEIRA LUAR/CELINA 465X131X25 MDF</t>
  </si>
  <si>
    <t>AMENDOA CLEAN ID: (46120)</t>
  </si>
  <si>
    <t>FRASSINO ID: (46121)</t>
  </si>
  <si>
    <t>TRAVESSA LATERAL CADEIRA CELINA 2025 375X70X18 MDF</t>
  </si>
  <si>
    <t>AMENDOA CLEAN ID: (46264)</t>
  </si>
  <si>
    <t>FRASSINO ID: (46265)</t>
  </si>
  <si>
    <t>AMENDOA CLEAN ID: (46266)</t>
  </si>
  <si>
    <t>FRASSINO ID: (46267)</t>
  </si>
  <si>
    <t>AMENDOA CLEAN ID: (46422)</t>
  </si>
  <si>
    <t>FRASSINO ID: (46423)</t>
  </si>
  <si>
    <t>TRAVESSA LATERAL CADEIRA LUAR 345X70X18 MDF</t>
  </si>
  <si>
    <t>BOUCLE BEGE ID: (46059)</t>
  </si>
  <si>
    <t>LINHO MOSAICO ID: (46061)</t>
  </si>
  <si>
    <t>COURO MORANO AVELA ID: (46060)</t>
  </si>
  <si>
    <t>VELUDO NATURALE CREME ID: (46065)</t>
  </si>
  <si>
    <t>SUEDE ANIMALE BEGE ID: (46063)</t>
  </si>
  <si>
    <t>LINHO RINZAI BEGE ID: (46062)</t>
  </si>
  <si>
    <t>ASSENTO MONT ESTOF CADEIRA LUAR</t>
  </si>
  <si>
    <t>COURO MORANO AVELA ID: (46174)</t>
  </si>
  <si>
    <t>VELUDO LISO CAPUCCINO ID: (46178)</t>
  </si>
  <si>
    <t>LINHO RINZAI BEGE ID: (46176)</t>
  </si>
  <si>
    <t>ENCOSTO MONT ESTOF CADEIRA LUAR</t>
  </si>
  <si>
    <t>LINHO MOSAICO ID: (46068)</t>
  </si>
  <si>
    <t>LINHO RINZAI BEGE ID: (46069)</t>
  </si>
  <si>
    <t>COURO MORANO AVELA ID: (46067)</t>
  </si>
  <si>
    <t>VELUDO LISO CAPUCCINO ID: (46071)</t>
  </si>
  <si>
    <t>AMENDOA CLEAN ID: (46143)</t>
  </si>
  <si>
    <t>AMENDOA CLEAN ID: (46365)</t>
  </si>
  <si>
    <t>KIT FERRAGEM  CADEIRA APOGEU/RAYLA 2025 P/06 CADEIRAS</t>
  </si>
  <si>
    <t>AMENDOA CLEAN ID: (46087)</t>
  </si>
  <si>
    <t>AMENDOA CLEAN ID: (46145)</t>
  </si>
  <si>
    <t>ESPELHO (1100 X 344 X 3MM) C/02 FURO GR 6PTS STYLE 2,40</t>
  </si>
  <si>
    <t>FRASSINO ID: (46195)</t>
  </si>
  <si>
    <t>AMENDOA CLEAN ID: (46194)</t>
  </si>
  <si>
    <t>AMENDOA CLEAN ID: (46103)</t>
  </si>
  <si>
    <t>AMENDOA CLEAN ID: (46224)</t>
  </si>
  <si>
    <t>KIT FERRAGEM  CADEIRA ATHENAS C/4</t>
  </si>
  <si>
    <t>AMENDOA CLEAN ID: (46445)</t>
  </si>
  <si>
    <t>AMENDOA CLEAN ID: (46147)</t>
  </si>
  <si>
    <t>FRASSINO ID: (46148)</t>
  </si>
  <si>
    <t>TUBO CABIDEIRO ALUM 65,5 RX 1515 GR ERGONN</t>
  </si>
  <si>
    <t>ESPELHO (1144X285X3MM) C/02 FUROS GR ERGON</t>
  </si>
  <si>
    <t>AMENDOA CLEAN#VELUDO NATURALE CREME ID: (48662)</t>
  </si>
  <si>
    <t>AMENDOA CLEAN#SUEDE ANIMALE BEGE ID: (48661)</t>
  </si>
  <si>
    <t>AMENDOA CLEAN#LINHO RINZAI BEGE ID: (67929)</t>
  </si>
  <si>
    <t>ASSENTO MONT ESTOF CAD BONNA/LAINI</t>
  </si>
  <si>
    <t>SUEDE ANIMALE BEGE ID: (49300)</t>
  </si>
  <si>
    <t>VELUDO NATURALE CREME ID: (49301)</t>
  </si>
  <si>
    <t>LINHO RINZAI BEGE ID: (67931)</t>
  </si>
  <si>
    <t>ENCOSTO MONT ESTOF CADEIRA BONNA</t>
  </si>
  <si>
    <t>SUEDE ANIMALE BEGE ID: (48663)</t>
  </si>
  <si>
    <t>VELUDO NATURALE CREME ID: (48664)</t>
  </si>
  <si>
    <t>PE FRONT CADEIRA TESSERA/BONNA 450X35X28 MAD</t>
  </si>
  <si>
    <t>CHAMPAGNE ID: (49515)</t>
  </si>
  <si>
    <t>PE TRAS CADEIRA TESSERA/BONNA 460X35X28 MAD</t>
  </si>
  <si>
    <t>CHAMPAGNE ID: (48658)</t>
  </si>
  <si>
    <t>PINAZIO CADEIRA BONNA 390X33X28 MAD</t>
  </si>
  <si>
    <t>CHAMPAGNE ID: (49433)</t>
  </si>
  <si>
    <t>TRAVESSA F/T MONT CAD TESSERA/BONNA 315X70X18 MDF</t>
  </si>
  <si>
    <t>TRAVESSA LATERAL C/CHANFRO CAD TESSERA/BONNA 360X70X18 MDF</t>
  </si>
  <si>
    <t>AMENDOA CLEAN ID: (48879)</t>
  </si>
  <si>
    <t>KIT FERRAGEM  CADEIRA TESSERA P/4 CADEIRAS</t>
  </si>
  <si>
    <t>AMENDOA CLEAN ID: (48775)</t>
  </si>
  <si>
    <t>AMENDOA CLEAN ID: (60575)</t>
  </si>
  <si>
    <t>BRANCO ID: (49985)</t>
  </si>
  <si>
    <t>BARRA DIR CAMA CASAL 1,60 FREETOWN 2025 2000X200X25 MDF</t>
  </si>
  <si>
    <t>BRANCO ID: (49954)</t>
  </si>
  <si>
    <t>BARRA ESQ CAMA CASAL 1,60 FREETOWN 2025 2000X200X25 MDF</t>
  </si>
  <si>
    <t>BRANCO ID: (49975)</t>
  </si>
  <si>
    <t>AMENDOA CLEAN/BRANCO#KOR.BRANCO C/LED ID: (49955)</t>
  </si>
  <si>
    <t>PAIN PES CAMA CASAL 1,60 FREETOWN 2025 1655X205X15 MDP</t>
  </si>
  <si>
    <t>BRANCO ID: (49966)</t>
  </si>
  <si>
    <t>PE CAB CAMA CASAL 1,60 FREETOWN 2025 1101X100X15 MDP</t>
  </si>
  <si>
    <t>AMENDOA CLEAN ID: (49945)</t>
  </si>
  <si>
    <t>PE PES CAMA CASAL 1,60 FREETOWN 2025 400X100X15 MDF</t>
  </si>
  <si>
    <t>AMENDOA CLEAN ID: (49970)</t>
  </si>
  <si>
    <t>SUPORTE PE PES CAMA CASAL 1,60 FREETOWN 2025 203X98X15 MDF</t>
  </si>
  <si>
    <t>AMENDOA CLEAN ID: (49956)</t>
  </si>
  <si>
    <t>TRAVESSA PE PES CAMA CASAL 1,60 FREETOWN 2025 1620X98X15 MDP</t>
  </si>
  <si>
    <t>AMENDOA CLEAN ID: (49959)</t>
  </si>
  <si>
    <t>TRAVESSA SUP CAB CAMA CASAL 1,60 FREETOWN 2025 1737X110X15 MDP</t>
  </si>
  <si>
    <t>AMENDOA CLEAN ID: (49982)</t>
  </si>
  <si>
    <t>AMENDOA CLEAN/BRANCO#KOR.BRANCO S/LE ID: (49971)</t>
  </si>
  <si>
    <t>TRILHO INF DUAS VIAS 1475MM - RX500 GR QUADRIX OFF WHITE</t>
  </si>
  <si>
    <t>PERFIL PUXADOR 2110MM RX1143- OFF WHITE - GR QUADRIX</t>
  </si>
  <si>
    <t>PERFIL ENCAB 2110MM - OFF WHITE - RX913 - GR QUADRIX</t>
  </si>
  <si>
    <t>TRILHO INF DUAS VIAS 2240MM - RX500 GR QUADRIX OFF WHITE</t>
  </si>
  <si>
    <t>TRILHO PVC DUAS VIAS 2240MM SUP GR QUADRIX</t>
  </si>
  <si>
    <t>CX MALETA BASE 1,70 TESSERA 725X585X505MM 420G</t>
  </si>
  <si>
    <t>CANTO FRISADO OFF WHITE MESA 1,70 LUAR 755X320X15 MDF</t>
  </si>
  <si>
    <t>OFF WHITE ID: (72922)</t>
  </si>
  <si>
    <t>CANTO FRISADO CLEAN C/4 MESA 1,70 LUAR 755X320X15 MDF</t>
  </si>
  <si>
    <t>AMENDOA CLEAN ID: (73180)</t>
  </si>
  <si>
    <t>CX MALETA BASE 1,20 TESSERA 420 G 725X605X605</t>
  </si>
  <si>
    <t>AMENDOA CLEAN ID: (68015)</t>
  </si>
  <si>
    <t>LATERAL GAV DIR GR 2,30 FORMA 350X120X15 MDF</t>
  </si>
  <si>
    <t>AMENDOA CLEAN ID: (68836)</t>
  </si>
  <si>
    <t>LATERAL GAV ESQ GR 2,30 FORMA 350X120X15 MDF</t>
  </si>
  <si>
    <t>AMENDOA CLEAN ID: (68818)</t>
  </si>
  <si>
    <t>PE FRONTAL CAD BONNA/TESSERA 450X350X280MM</t>
  </si>
  <si>
    <t>PE TRASEIRO CAD BONNA/TESSERA 460X350X280MM</t>
  </si>
  <si>
    <t>MOLDURA ENCAB LAT PORTA RASGO 12 GR 2,30 FORMA - GR 2170X55X25 MDF</t>
  </si>
  <si>
    <t>AMENDOA CLEAN ID: (68800)</t>
  </si>
  <si>
    <t>MOLDURA PUX LAT PORTA RASGO 12 GR 2,30 FORMA - GR 2170X70X25 MDF</t>
  </si>
  <si>
    <t>AMENDOA CLEAN ID: (68816)</t>
  </si>
  <si>
    <t>DISTANCIADOR MAIOR FRONTAL GR 6PTS 2,40 STYLE - GR 340X50X25 MDF</t>
  </si>
  <si>
    <t>AMENDOA CLEAN ID: (83960)</t>
  </si>
  <si>
    <t>FRASSINO/OFF WHITE ID: (69459)</t>
  </si>
  <si>
    <t>AMENDOA CLEAN/OFF WH ID: (69433)</t>
  </si>
  <si>
    <t>FRENTE GAV GR 2/3PTS QUADRIX 690X160X15 MDF</t>
  </si>
  <si>
    <t>AMENDOA CLEAN ID: (69418)</t>
  </si>
  <si>
    <t>FRENTE GAV GR 2/3PTS QUADRIX - GR 690X160X15 MDF</t>
  </si>
  <si>
    <t>AMENDOA CLEAN ID: (69419)</t>
  </si>
  <si>
    <t>FUNDO GAV GR 2/3 PTS QUADRIX 661X357X2,7 HDF</t>
  </si>
  <si>
    <t>AMENDOA CLEAN ID: (69424)</t>
  </si>
  <si>
    <t>FUNDO GAV GR 2/3 PTS QUADRIX - GR 661X357X2,7 HDF</t>
  </si>
  <si>
    <t>AMENDOA CLEAN ID: (69425)</t>
  </si>
  <si>
    <t>MOLDURA INF GR 2PTS QUADRIX 1481X80X15 MDF</t>
  </si>
  <si>
    <t>OFF WHITE ID: (69435)</t>
  </si>
  <si>
    <t>MOLDURA INF GR 2PTS QUADRIX - GR 1481X80X15 MDF</t>
  </si>
  <si>
    <t>OFF WHITE ID: (69436)</t>
  </si>
  <si>
    <t>MOLDURA SUP EXT GR 2PTS QUADRIX 1511X85X12 MDF</t>
  </si>
  <si>
    <t>AMENDOA CLEAN ID: (69437)</t>
  </si>
  <si>
    <t>MOLDURA SUP EXT GR 2PTS QUADRIX - GR 1511X85X12 MDF</t>
  </si>
  <si>
    <t>AMENDOA CLEAN ID: (69438)</t>
  </si>
  <si>
    <t>PRATELEIRA GAV GR 2/3PTS QUADRIX 748X399X12 MDF</t>
  </si>
  <si>
    <t>AMENDOA CLEAN ID: (69444)</t>
  </si>
  <si>
    <t>PRATELEIRA PEQ GR 2/3PTS QUADRIX 748X200X12 MDF</t>
  </si>
  <si>
    <t>AMENDOA CLEAN ID: (69447)</t>
  </si>
  <si>
    <t>PRATELEIRA PEQ GR 2/3PTS QUADRIX - GR 748X200X12 MDF</t>
  </si>
  <si>
    <t>AMENDOA CLEAN ID: (69448)</t>
  </si>
  <si>
    <t>RODAPE FRONT GR 2PTS QUADRIX 1511X70X15 MDF</t>
  </si>
  <si>
    <t>AMENDOA CLEAN ID: (69450)</t>
  </si>
  <si>
    <t>TAMPO CENTRAL GR 2PTS QUADRIX 1511X400X12 MDF</t>
  </si>
  <si>
    <t>AMENDOA CLEAN ID: (69368)</t>
  </si>
  <si>
    <t>TAMPO CENTRAL GR 2PTS QUADRIX - GR 1511X400X12 MDF</t>
  </si>
  <si>
    <t>AMENDOA CLEAN ID: (69369)</t>
  </si>
  <si>
    <t>TAMPO INF GR 2PTS QUADRIX -GR 1511X520X12 MDF</t>
  </si>
  <si>
    <t>AMENDOA CLEAN ID: (69376)</t>
  </si>
  <si>
    <t>TAMPO SUP GR 2PTS QUADRIX 1511X508X12 MDF</t>
  </si>
  <si>
    <t>AMENDOA CLEAN ID: (69453)</t>
  </si>
  <si>
    <t>TRASEIRO GAV GR 2/3PTS QUADRIX 649X80X12 MDF</t>
  </si>
  <si>
    <t>AMENDOA CLEAN ID: (69455)</t>
  </si>
  <si>
    <t>FRASSINO/OFF WHITE ID: (69401)</t>
  </si>
  <si>
    <t>AMENDOA CLEAN/OFF WH ID: (69384)</t>
  </si>
  <si>
    <t>COSTAS GR 2PTS QUADRIX - GR 1530X432X2,7 HDF</t>
  </si>
  <si>
    <t>AMENDOA CLEAN ID: (69386)</t>
  </si>
  <si>
    <t>LATERAL DIR GR 2PTS QUADRIX 2300X520X12 MDF</t>
  </si>
  <si>
    <t>FRASSINO ID: (69412)</t>
  </si>
  <si>
    <t>AMENDOA CLEAN ID: (69395)</t>
  </si>
  <si>
    <t>LATERAL ESQ GR 2/3PTS QUADRIX 2300X520X12 MDF</t>
  </si>
  <si>
    <t>AMENDOA CLEAN ID: (69399)</t>
  </si>
  <si>
    <t>LATERAL ESQ GR 2/3PTS QUADRIX - GR 2300X520X12 MDF</t>
  </si>
  <si>
    <t>AMENDOA CLEAN ID: (69400)</t>
  </si>
  <si>
    <t>LATERAL GAV DIR GR 2/3PTS QUADRIX 350X120X12 MDF</t>
  </si>
  <si>
    <t>AMENDOA CLEAN ID: (69489)</t>
  </si>
  <si>
    <t>LATERAL GAV ESQ GR 2/3PTS QUADRIX 350X120X12 MDF</t>
  </si>
  <si>
    <t>AMENDOA CLEAN ID: (69502)</t>
  </si>
  <si>
    <t>MOLDURA LAT GR 2/3PTS QUADRIX 2153X80X15 MDF</t>
  </si>
  <si>
    <t>OFF WHITE ID: (69509)</t>
  </si>
  <si>
    <t>PRATELEIRA S/FURO GR 2/3PTS QUADRIX 748X350X12 MDF</t>
  </si>
  <si>
    <t>AMENDOA CLEAN ID: (69514)</t>
  </si>
  <si>
    <t>FRASSINO/OFF WHITE ID: (69508)</t>
  </si>
  <si>
    <t>PORTA GR 2/3PTS QUADRIX 2110X735X12 MDF</t>
  </si>
  <si>
    <t>AMENDOA CLEAN/OFF WH ID: (69482)</t>
  </si>
  <si>
    <t>FRASSINO/OFF WHITE ID: (69486)</t>
  </si>
  <si>
    <t>PORTA GR 2/3PTS QUADRIX - GR 2110X735X12 MDF</t>
  </si>
  <si>
    <t>AMENDOA CLEAN/OFF WH ID: (69483)</t>
  </si>
  <si>
    <t>AMENDOA CLEAN/OFF WH ID: (69481)</t>
  </si>
  <si>
    <t>AMENDOA CLEAN/OFF WH ID: (70257)</t>
  </si>
  <si>
    <t>KIT FERRAGEM GR 03 PTS QUADRIX</t>
  </si>
  <si>
    <t>AMENDOA CLEAN ID: (70222)</t>
  </si>
  <si>
    <t>MOLDURA INF GR 3PTS QUADRIX 2245X80X15 MDF</t>
  </si>
  <si>
    <t>OFF WHITE ID: (70279)</t>
  </si>
  <si>
    <t>MOLDURA SUP EXT GR 3PTS QUADRIX 2275X85X12 MDF</t>
  </si>
  <si>
    <t>AMENDOA CLEAN ID: (70247)</t>
  </si>
  <si>
    <t>MOLDURA SUP INT GR 3PTS QUADRIX 2245X35X15 MDF</t>
  </si>
  <si>
    <t>OFF WHITE ID: (70280)</t>
  </si>
  <si>
    <t>RODAPE FRONT GR 3PTS QUADRIX 2275X70X15 MDF</t>
  </si>
  <si>
    <t>AMENDOA CLEAN ID: (70265)</t>
  </si>
  <si>
    <t>TAMPO INF GR 3PTS QUADRIX 2275X520X12 MDF</t>
  </si>
  <si>
    <t>AMENDOA CLEAN ID: (70259)</t>
  </si>
  <si>
    <t>TAMPO SUP GR 3PTS QUADRIX 2275X508X12 MDF</t>
  </si>
  <si>
    <t>AMENDOA CLEAN ID: (70284)</t>
  </si>
  <si>
    <t>FRASSINO ID: (70283)</t>
  </si>
  <si>
    <t>FRASSINO ID: (70254)</t>
  </si>
  <si>
    <t>AMENDOA CLEAN ID: (70255)</t>
  </si>
  <si>
    <t>COSTAS GR 3PTS QUADRIX 2294X432X2,7 HDF</t>
  </si>
  <si>
    <t>FRASSINO ID: (70261)</t>
  </si>
  <si>
    <t>AMENDOA CLEAN ID: (70260)</t>
  </si>
  <si>
    <t>COSTAS GR 3PTS QUADRIX - GR 2294X432X2,7 HDF</t>
  </si>
  <si>
    <t>AMENDOA CLEAN ID: (70237)</t>
  </si>
  <si>
    <t>LATERAL DIR GR 3PTS QUADRIX 2300X520X12 MDF</t>
  </si>
  <si>
    <t>AMENDOA CLEAN ID: (70229)</t>
  </si>
  <si>
    <t>AMENDOA CLEAN/OFF WH ID: (70244)</t>
  </si>
  <si>
    <t>AMENDOA CLEAN/OFF WH ID: (74072)</t>
  </si>
  <si>
    <t>FECHAMENTO EXT MESA 1,70 EASY TOWER 753X422X2,7 HDF</t>
  </si>
  <si>
    <t>AMENDOA CLEAN ID: (74070)</t>
  </si>
  <si>
    <t>FECHAMENTO INT MESA 1,70 EASY TOWER 642X422X2,7 HDF</t>
  </si>
  <si>
    <t>OFF WHITE ID: (74068)</t>
  </si>
  <si>
    <t>TAMPO INF MESA 1,70 EASY TOWER 860X410X12 MDP</t>
  </si>
  <si>
    <t>AMENDOA CLEAN/OFF WH ID: (74069)</t>
  </si>
  <si>
    <t>ASS - PARAFUSO P/ ROLDANA CHIP 3,5 X 20MM C/ CH PH FZ BR</t>
  </si>
  <si>
    <t>ASS - FITA COLAR ESPELHO VHB 50 X 20 DP MC 9,5MM</t>
  </si>
  <si>
    <t>ASS PUXADOR BRA-M-0750 600MM - BRANCO</t>
  </si>
  <si>
    <t>ASS - FITA DF CINZA 50 X 20 MC 54MM</t>
  </si>
  <si>
    <t>ASS - PUXADOR BRA-M-0750 600MM - IMBUIA NATURALE</t>
  </si>
  <si>
    <t>ASS - PUXADOR BRA-M-0192 (200X15X9MM)  BRANCO</t>
  </si>
  <si>
    <t>ASS -  PUXADOR BRA-M-0750 600MM - CARVALHO NATURALLE</t>
  </si>
  <si>
    <t>ASS  - PUXADOR BRA-M-1121 250X18MM  AMENDOA</t>
  </si>
  <si>
    <t>ASS - TRILHO TELESC H35 350MM 3 ESTG 12 KG JJIMETAL INOX UND</t>
  </si>
  <si>
    <t>ASS - PUXADOR BRA-M-1121 250X18MM  BRANCO</t>
  </si>
  <si>
    <t>ASS - TRILHO TELESCOPICO H30 350MM 3 ESTAGIOS  6 KG - UND</t>
  </si>
  <si>
    <t>ASS - PUXADOR BRA-M-1121 350X18MM  AMENDOA</t>
  </si>
  <si>
    <t>ASS - PUXADOR BRA-M-1121 1050X18MM  AMENDOA</t>
  </si>
  <si>
    <t>ASS - TRILHO TELESCOPICO H32 300MM 3 ESTAGIOS - 12 KG - UND</t>
  </si>
  <si>
    <t>ASS  - PUXADOR BRA-M-0750 600MM AMENDOA</t>
  </si>
  <si>
    <t>ASS - PUXADOR BRA-M-1121 350X18MM  BRANCO</t>
  </si>
  <si>
    <t>ASS - TRILHO TELESCOPICO H35 400MM 3 ESTAGIOS - 20 KG UND</t>
  </si>
  <si>
    <t>ASS -  FITA MI-94 AM 9,5MM X 50MM</t>
  </si>
  <si>
    <t>ASS  - ROLDANA RM SOB 33,5 POM C/ROL CM 155</t>
  </si>
  <si>
    <t>ASS -PREGO 10 X 10 C/C</t>
  </si>
  <si>
    <t>ASS - PUXADOR BRA-M-1121 350X18MM  FRASSINO</t>
  </si>
  <si>
    <t>ASS -  PUXADOR BRA-M-0750 600MM - FRASSINO</t>
  </si>
  <si>
    <t>ASS - GUIA RM RETA P/ ROLDANA 1T 26,8 POM ENCAIXE S/PINO</t>
  </si>
  <si>
    <t>ASS  - PARAFUSO P/ ROLDANA CHIP 3,5 X 14MM C/CH PH FZ BR</t>
  </si>
  <si>
    <t>ASS  - PUXADOR BRA-M-1121 1050X18MM  BRANCO</t>
  </si>
  <si>
    <t>ASS  -PUXADOR BRA-M-1121 250X18MM – FRASSINO</t>
  </si>
  <si>
    <t>ASS -PUXADOR BRA-M-1121 250X18MM - FRASSINO</t>
  </si>
  <si>
    <t>ASS  - FREIO P/ ROLDANA PP CINZA CM 80 - 45,4 X 26 X H10 MM</t>
  </si>
  <si>
    <t>ASS -KIT C/04 PUXADOR BRA-M-0000 435X30X15 – 650 BRANCO 2.3.</t>
  </si>
  <si>
    <t>ASS - PUXADOR BRA-M-1121 1050X18MM  IMBUIA NATURALLE</t>
  </si>
  <si>
    <t>ASS - PUXADOR BRA-M-0192 (200X15X9MM)  FRASSINO</t>
  </si>
  <si>
    <t>ASS -  PUXADOR BRA-M-0000 435X030X15MM  AMENDOA</t>
  </si>
  <si>
    <t>ASS - ROLDANA RM CH/RP 40MM C/ROL S/AF.</t>
  </si>
  <si>
    <t>ASS  - GUIA EM RETA P/ ROLDANA 26,8MM POM ENCAIXE S/PINO</t>
  </si>
  <si>
    <t>ASS - PARAFUSO P/ ROLDANA CHIP 4,0 X 12MM C/ FRANG PH FZ BR</t>
  </si>
  <si>
    <t>AMENDOA CLEAN ID: (79214)</t>
  </si>
  <si>
    <t>BRANCO ID: (79215)</t>
  </si>
  <si>
    <t>AMENDOA CLEAN ID: (79217)</t>
  </si>
  <si>
    <t>BRANCO ID: (79216)</t>
  </si>
  <si>
    <t>DISTANCIADOR  25MM FRASSINO - GR QUADRIX</t>
  </si>
  <si>
    <t>DISTANCIADOR  25MM AMENDOA - GR QUADRIX</t>
  </si>
  <si>
    <t>RODAPE FRONT GR 3PTS NICE 2669X120X15 MDP</t>
  </si>
  <si>
    <t>AMENDOA CLEAN ID: (86145)</t>
  </si>
  <si>
    <t>COSTAS MAL GR 4 PTS ZEUS 1180X180X2,7 HDF</t>
  </si>
  <si>
    <t>AMENDOA CLEAN ID: (85418)</t>
  </si>
  <si>
    <t>RODAPE FRONT COMODA BAIAO 2015/IMPERADOR - PC08 830X70X15 MDP</t>
  </si>
  <si>
    <t>AMENDOA CLEAN ID: (85425)</t>
  </si>
  <si>
    <t>BRANCO ID: (89226)</t>
  </si>
  <si>
    <t>FRASSINO ID: (85426)</t>
  </si>
  <si>
    <t>LATERAL GAV ESQ COMODA 4GAV BAIAO 2018/IMPERADOR - PC05 400X140X15 MDP</t>
  </si>
  <si>
    <t>BRANCO ID: (89222)</t>
  </si>
  <si>
    <t>AMENDOA CLEAN ID: (86837)</t>
  </si>
  <si>
    <t>LATERAL DIR COMODA 4 GAV BAIAO PLUS/IMPERADOR - PC06 950X450X15 MDP</t>
  </si>
  <si>
    <t>AMENDOA CLEAN ID: (92627)</t>
  </si>
  <si>
    <t>BRANCO ID: (92628)</t>
  </si>
  <si>
    <t>FRASSINO ID: (87701)</t>
  </si>
  <si>
    <t>LATERAL ESQ COMODA 4 GAV BAIAO PLUS/IMPERADOR - PC07 950X450X15 MDP</t>
  </si>
  <si>
    <t>FRASSINO ID: (92639)</t>
  </si>
  <si>
    <t>BRANCO ID: (92638)</t>
  </si>
  <si>
    <t>AMENDOA CLEAN ID: (92637)</t>
  </si>
  <si>
    <t>TAMPO COMODA 4 GAV BAIAO PLUS - PC10 880X480X25 MDP</t>
  </si>
  <si>
    <t>AMENDOA CLEAN ID: (87884)</t>
  </si>
  <si>
    <t>BRANCO ID: (89791)</t>
  </si>
  <si>
    <t>COSTAS COMODA 4 GAV BAIAO PLUS/IMPERADOR - PC01 850X455X2,7 HDF</t>
  </si>
  <si>
    <t>FRENTE GAV COMODA 4 GAV BAIAO 2021/IMPERADOR - PC13 845X215X15 MDP</t>
  </si>
  <si>
    <t>FRASSINO ID: (89800)</t>
  </si>
  <si>
    <t>OFF WHITE ID: (89814)</t>
  </si>
  <si>
    <t>BRANCO ID: (89799)</t>
  </si>
  <si>
    <t>AMENDOA CLEAN ID: (89798)</t>
  </si>
  <si>
    <t>KIT FERRAGEM GR 6PTS JAZZ 2021</t>
  </si>
  <si>
    <t>BRANCO ID: (88281)</t>
  </si>
  <si>
    <t>TAMPO 18MM MESA 1,0 CELEBRARE CANTO COPO 1000X1000X18 MDF</t>
  </si>
  <si>
    <t>OFF WHITE ID: (88644)</t>
  </si>
  <si>
    <t>TRAVESSA FRONT/TRAS PE BUFFET 2PTS ALDO 1227X70X25 MDF</t>
  </si>
  <si>
    <t>AMENDOA CLEAN ID: (88650)</t>
  </si>
  <si>
    <t>BASE CIRCULAR SAPATEIRA ESTHELA COMP 600X600X15 MDF</t>
  </si>
  <si>
    <t>BRANCO ID: (88738)</t>
  </si>
  <si>
    <t>AMENDOA CLEAN ID: (88737)</t>
  </si>
  <si>
    <t>FUNDO SAPATEIRA ESTHELA COMP 1814X404X4 MDF</t>
  </si>
  <si>
    <t>BRANCO ID: (88744)</t>
  </si>
  <si>
    <t>FRASSINO ID: (88745)</t>
  </si>
  <si>
    <t>AMENDOA CLEAN ID: (88743)</t>
  </si>
  <si>
    <t>LATERAL SAPATEIRA ESTHELA COMP 1800X420X15 MDP</t>
  </si>
  <si>
    <t>BRANCO ID: (88750)</t>
  </si>
  <si>
    <t>AMENDOA CLEAN ID: (88749)</t>
  </si>
  <si>
    <t>FRASSINO ID: (88751)</t>
  </si>
  <si>
    <t>PRATELEIRA C/FURO SAPATEIRA ESTHELA COMP 400X390X12 MDP</t>
  </si>
  <si>
    <t>BRANCO ID: (88760)</t>
  </si>
  <si>
    <t>FRASSINO ID: (88761)</t>
  </si>
  <si>
    <t>AMENDOA CLEAN ID: (88759)</t>
  </si>
  <si>
    <t>PRATELEIRA S/FURO SAPATEIRA ESTHELA COMP 400X390X12 MDP</t>
  </si>
  <si>
    <t>AMENDOA CLEAN ID: (88766)</t>
  </si>
  <si>
    <t>BRANCO ID: (88767)</t>
  </si>
  <si>
    <t>FRASSINO ID: (88768)</t>
  </si>
  <si>
    <t>TAMPO INF SAPATEIRA ESTHELA 422X422X15 MDF</t>
  </si>
  <si>
    <t>BRANCO ID: (88775)</t>
  </si>
  <si>
    <t>AMENDOA CLEAN ID: (88774)</t>
  </si>
  <si>
    <t>TAMPO SUP SAPATEIRA ESTHELA 422X422X15 MDP</t>
  </si>
  <si>
    <t>FRASSINO ID: (88782)</t>
  </si>
  <si>
    <t>AMENDOA CLEAN ID: (88780)</t>
  </si>
  <si>
    <t>BRANCO ID: (88781)</t>
  </si>
  <si>
    <t>TRASEIRO GAV COMODA 4 GAV IMPERADOR-39583 775X100X15 MDP</t>
  </si>
  <si>
    <t>AMENDOA CLEAN ID: (88820)</t>
  </si>
  <si>
    <t>BRANCO ID: (88821)</t>
  </si>
  <si>
    <t>AMENDOA CLEAN ID: (88834)</t>
  </si>
  <si>
    <t>FRENTE GAV MESA CAB 3 GAV BAIAO 2021-PC12 SL 422X170X15 MDP</t>
  </si>
  <si>
    <t>AMENDOA CLEAN ID: (88843)</t>
  </si>
  <si>
    <t>LATERAL DIR MESA CAB 3 GAV BAIAO PLUS - PC06 SL 595X350X15 MDP</t>
  </si>
  <si>
    <t>AMENDOA CLEAN ID: (88919)</t>
  </si>
  <si>
    <t>FRASSINO ID: (88920)</t>
  </si>
  <si>
    <t>LATERAL ESQ MESA CAB 3 GAV BAIAO PLUS - PC07 SL 595X350X15 MDP</t>
  </si>
  <si>
    <t>FRASSINO ID: (88922)</t>
  </si>
  <si>
    <t>RODAPE FRONT MESA CAB 3 GAV BAIAO 2015 SL 410X70X15 MDP</t>
  </si>
  <si>
    <t>AMENDOA CLEAN ID: (88925)</t>
  </si>
  <si>
    <t>FRASSINO ID: (88926)</t>
  </si>
  <si>
    <t>COSTAS PEQ COMODA 5 GAV DA VINCI SL 672X220X2,7 HDF</t>
  </si>
  <si>
    <t>FRENTE GAV COFRE COMODA 4 GAV IMPERADOR 845X215X15 MDP</t>
  </si>
  <si>
    <t>AMENDOA CLEAN ID: (89072)</t>
  </si>
  <si>
    <t>FUNDO GAV COMODA 4 GAV BAIAO 2018/IMPERADOR - PC03 787X407X2,7 HDF</t>
  </si>
  <si>
    <t>AMENDOA CLEAN ID: (89079)</t>
  </si>
  <si>
    <t>FRASSINO ID: (89793)</t>
  </si>
  <si>
    <t>BRANCO ID: (89080)</t>
  </si>
  <si>
    <t>LATERAL GAV DIR COMODA 4GAV BAIAO 2018/IMPERADOR - PC04 400X140X15 MDP</t>
  </si>
  <si>
    <t>AMENDOA CLEAN ID: (89083)</t>
  </si>
  <si>
    <t>BRANCO ID: (89084)</t>
  </si>
  <si>
    <t>LATERAL DIR GR 4PTS ZEUS PLUS 2050X450X12 MDF</t>
  </si>
  <si>
    <t>AMENDOA CLEAN ID: (90142)</t>
  </si>
  <si>
    <t>RODAPE TRAS COMODA  BAIAO 2015/IMPERADOR - PC09 830X70X15 MDP</t>
  </si>
  <si>
    <t>TAMPO COMODA 4 GAV IMPERADOR COMP 880X480X25 MDP</t>
  </si>
  <si>
    <t>BRANCO ID: (89089)</t>
  </si>
  <si>
    <t>AMENDOA CLEAN ID: (89088)</t>
  </si>
  <si>
    <t>LATERAL ESQ GR 4PTS ZEUS PLUS 2050X450X12 MDF</t>
  </si>
  <si>
    <t>FRASSINO ID: (90148)</t>
  </si>
  <si>
    <t>TRAVA COMODA BAIAO/IMPERADOR PC12 830X50X15 MDP</t>
  </si>
  <si>
    <t>FRENTE GAV GR 4PTS ZEUS PLUS 582X160X15 MDP</t>
  </si>
  <si>
    <t>AMENDOA CLEAN ID: (90758)</t>
  </si>
  <si>
    <t>OFF WHITE ID: (90418)</t>
  </si>
  <si>
    <t>PORTA GRA GR 4PTS ZEUS 1877X290X15 MDP</t>
  </si>
  <si>
    <t>OFF WHITE ID: (90443)</t>
  </si>
  <si>
    <t>COSTAS GR 6PTS JAZZ 2000X403X2,7 HDF</t>
  </si>
  <si>
    <t>BRANCO ID: (90489)</t>
  </si>
  <si>
    <t>AMENDOA CLEAN ID: (90488)</t>
  </si>
  <si>
    <t>DISTANCIADOR FRONT MAIOR GR 6PTS JAZZ 2023 580X38X25 MDF</t>
  </si>
  <si>
    <t>AMENDOA CLEAN ID: (90492)</t>
  </si>
  <si>
    <t>DISTANCIADOR TRAS MAIOR GR 6PTS JAZZ 2023 580X38X25 MDF</t>
  </si>
  <si>
    <t>FRENTE GAV GR 6PTS JAZZ 2023 575X160X15 MDP</t>
  </si>
  <si>
    <t>AMENDOA CLEAN ID: (90496)</t>
  </si>
  <si>
    <t>BRANCO ID: (90497)</t>
  </si>
  <si>
    <t>LATERAL GAV DIR GR 6PTS JAZZ 350X120X12 MDP</t>
  </si>
  <si>
    <t>BRANCO ID: (90501)</t>
  </si>
  <si>
    <t>AMENDOA CLEAN ID: (90500)</t>
  </si>
  <si>
    <t>LATERAL GAV ESQ GR 6PTS JAZZ 350X120X12 MDP</t>
  </si>
  <si>
    <t>AMENDOA CLEAN ID: (90504)</t>
  </si>
  <si>
    <t>BRANCO ID: (90505)</t>
  </si>
  <si>
    <t>MOLDURA GR 06 PTS JAZZ 2000X70X15 MDP</t>
  </si>
  <si>
    <t>FRASSINO ID: (90510)</t>
  </si>
  <si>
    <t>AMENDOA CLEAN ID: (90508)</t>
  </si>
  <si>
    <t>BRANCO ID: (90509)</t>
  </si>
  <si>
    <t>RODAPE FRONT GR 6PTS JAZZ 1980X90X12 MDP</t>
  </si>
  <si>
    <t>AMENDOA CLEAN ID: (90512)</t>
  </si>
  <si>
    <t>RODAPE TRAS GR 6PTS JAZZ 1980X90X12 MDP</t>
  </si>
  <si>
    <t>TAMPO  CENTRAL GR 6PTS JAZZ 2023 1980X450X12 MDP</t>
  </si>
  <si>
    <t>AMENDOA CLEAN ID: (90516)</t>
  </si>
  <si>
    <t>BRANCO ID: (90517)</t>
  </si>
  <si>
    <t>TRASEIRO GAV GR 6PTS JAZZ 2023 526X80X12 MDP</t>
  </si>
  <si>
    <t>AMENDOA CLEAN ID: (90520)</t>
  </si>
  <si>
    <t>DIVISAO MAL GR 6PTS JAZZ 350X80X15 MDP</t>
  </si>
  <si>
    <t>AMENDOA CLEAN ID: (90612)</t>
  </si>
  <si>
    <t>BRANCO ID: (90613)</t>
  </si>
  <si>
    <t>DIVISAO GR 6PTS JAZZ 2023 1640X450X15 MDP</t>
  </si>
  <si>
    <t>BRANCO ID: (90621)</t>
  </si>
  <si>
    <t>AMENDOA CLEAN ID: (90620)</t>
  </si>
  <si>
    <t>DIVISAO  MAL TRAS GR 6PTS JAZZ 2023 350X80X15 MDP</t>
  </si>
  <si>
    <t>AMENDOA CLEAN ID: (90600)</t>
  </si>
  <si>
    <t>FUNDO GAV GR 6PTS JAZZ 2023 538X358X2,7 HDF</t>
  </si>
  <si>
    <t>AMENDOA CLEAN ID: (90652)</t>
  </si>
  <si>
    <t>BRANCO ID: (90653)</t>
  </si>
  <si>
    <t>BRANCO#KORINO BRANCO#C/LOGO ID: (90073)</t>
  </si>
  <si>
    <t>AMENDOA CLEAN#CORANO BEGE#C/LOGO ID: (90072)</t>
  </si>
  <si>
    <t>BRANCO#C/LOGO ID: (90077)</t>
  </si>
  <si>
    <t>AMENDOA CLEAN#C/LOGO ID: (90076)</t>
  </si>
  <si>
    <t>PRATELEIRA GAV GR 6PTS JAZZ 2023 650X445X12 MDP</t>
  </si>
  <si>
    <t>AMENDOA CLEAN ID: (90632)</t>
  </si>
  <si>
    <t>COSTAS MENOR COZINHA NINA 790X335X2,7 HDF</t>
  </si>
  <si>
    <t>AMENDOA CLEAN ID: (91053)</t>
  </si>
  <si>
    <t>COSTAS PANELEIRO COZINHA NINA 790X555X2,7 HDF</t>
  </si>
  <si>
    <t>BRANCO ID: (91020)</t>
  </si>
  <si>
    <t>AMENDOA CLEAN ID: (91021)</t>
  </si>
  <si>
    <t>LATERAL PANELEIRO/BALCAO 2/3 PTS COZINHA NINA 670X485X15 MDP</t>
  </si>
  <si>
    <t>AMENDOA CLEAN ID: (91041)</t>
  </si>
  <si>
    <t>BRANCO ID: (91040)</t>
  </si>
  <si>
    <t>LATERAL SUPERIOR PANELEIRO COZINHA NINA 1205X300X15 MDP</t>
  </si>
  <si>
    <t>BRANCO ID: (91042)</t>
  </si>
  <si>
    <t>PORTA COZINHA NINA 642X390X12 MDP</t>
  </si>
  <si>
    <t>BRANCO ID: (91044)</t>
  </si>
  <si>
    <t>PRATELEIRA MENOR PANELEIRO COZINHA NINA 769X200X15 MDP</t>
  </si>
  <si>
    <t>BRANCO ID: (91045)</t>
  </si>
  <si>
    <t>PRATELEIRA PANELEIRO/AEREO 2/3 PTS COZINHA NINA 769X300X15 MDP</t>
  </si>
  <si>
    <t>AMENDOA CLEAN ID: (90998)</t>
  </si>
  <si>
    <t>TAMPO PANELEIRO COZINHA NINA 800X500X15 MDP</t>
  </si>
  <si>
    <t>BRANCO ID: (91054)</t>
  </si>
  <si>
    <t>AMENDOA CLEAN ID: (91055)</t>
  </si>
  <si>
    <t>TAMPO SUP PANELEIRO/AEREO 2 PTS COZINHA NINA 800X315X15 MDP</t>
  </si>
  <si>
    <t>AMENDOA CLEAN ID: (91004)</t>
  </si>
  <si>
    <t>VISTA FRONT PANELEIRO/BALCAO 2/3 PTS COZINHA NINA 769X60X15 MDP</t>
  </si>
  <si>
    <t>BRANCO ID: (91029)</t>
  </si>
  <si>
    <t>LATERAL DIR BALCAO 3PTS COZINHA NINA 670X485X15 MDP</t>
  </si>
  <si>
    <t>BRANCO ID: (91012)</t>
  </si>
  <si>
    <t>TAMPO INF BALCÃO 3 PTS COZINHA NINA 1190X500X15 MDP</t>
  </si>
  <si>
    <t>BRANCO ID: (91058)</t>
  </si>
  <si>
    <t>AMENDOA CLEAN ID: (91059)</t>
  </si>
  <si>
    <t>TAMPO SUPERIOR BALCAO 3 PORTAS COZINHA NINA 1190X500X15 MDP</t>
  </si>
  <si>
    <t>BRANCO ID: (91001)</t>
  </si>
  <si>
    <t>AMENDOA CLEAN ID: (91002)</t>
  </si>
  <si>
    <t>BRANCO ID: (90671)</t>
  </si>
  <si>
    <t>AMENDOA CLEAN/BRANCO ID: (90670)</t>
  </si>
  <si>
    <t>AMENDOA CLEAN/BRANCO ID: (90674)</t>
  </si>
  <si>
    <t>BRANCO ID: (90675)</t>
  </si>
  <si>
    <t>COSTAS MAIOR COZINHA NINA 1180X335X2,7 HDF</t>
  </si>
  <si>
    <t>AMENDOA CLEAN ID: (91037)</t>
  </si>
  <si>
    <t>AMENDOA CLEAN/BRANCO ID: (90678)</t>
  </si>
  <si>
    <t>BRANCO ID: (90679)</t>
  </si>
  <si>
    <t>DIVISAO BALCAO 3 PTS COZINHA NINA 670X485X15 MDP</t>
  </si>
  <si>
    <t>BRANCO ID: (91047)</t>
  </si>
  <si>
    <t>BRANCO ID: (90683)</t>
  </si>
  <si>
    <t>AMENDOA CLEAN/BRANCO ID: (90682)</t>
  </si>
  <si>
    <t>FRENTE DE GAVETA COZINHA NINA 390X150X12 MDP</t>
  </si>
  <si>
    <t>BRANCO ID: (91049)</t>
  </si>
  <si>
    <t>AMENDOA CLEAN/BRANCO ID: (90686)</t>
  </si>
  <si>
    <t>BRANCO ID: (90687)</t>
  </si>
  <si>
    <t>TAMPO SUPERIOR BALCAO 2 PORTAS COZINHA NINA 800X500X15 MDP</t>
  </si>
  <si>
    <t>AMENDOA CLEAN ID: (91050)</t>
  </si>
  <si>
    <t>BRANCO ID: (90690)</t>
  </si>
  <si>
    <t>AMENDOA CLEAN/BRANCO ID: (90691)</t>
  </si>
  <si>
    <t>LATERAL AEREO 2/3 PTS COZINHA NINA 667X300X15 MDP</t>
  </si>
  <si>
    <t>AMENDOA CLEAN ID: (91074)</t>
  </si>
  <si>
    <t>TAMPO INF AEREO 3 PTS COZINHA NINA 1159X300X15 MDP</t>
  </si>
  <si>
    <t>AMENDOA CLEAN ID: (91080)</t>
  </si>
  <si>
    <t>AMENDOA CLEAN ID: (90710)</t>
  </si>
  <si>
    <t>BRANCO ID: (90711)</t>
  </si>
  <si>
    <t>AMENDOA CLEAN/OFF WH ID: (90717)</t>
  </si>
  <si>
    <t>BRANCO ID: (90719)</t>
  </si>
  <si>
    <t>AMENDOA CLEAN ID: (90716)</t>
  </si>
  <si>
    <t>BRANCO ID: (90727)</t>
  </si>
  <si>
    <t>AMENDOA CLEAN/OFF WH ID: (90725)</t>
  </si>
  <si>
    <t>AMENDOA CLEAN ID: (90724)</t>
  </si>
  <si>
    <t>AMENDOA CLEAN ID: (90730)</t>
  </si>
  <si>
    <t>BRANCO ID: (90731)</t>
  </si>
  <si>
    <t>BRANCO ID: (90735)</t>
  </si>
  <si>
    <t>AMENDOA CLEAN ID: (90734)</t>
  </si>
  <si>
    <t>BRANCO ID: (90810)</t>
  </si>
  <si>
    <t>AMENDOA CLEAN ID: (90809)</t>
  </si>
  <si>
    <t>AMENDOA CLEAN/OFF WH ID: (90813)</t>
  </si>
  <si>
    <t>BRANCO ID: (90814)</t>
  </si>
  <si>
    <t>AMENDOA CLEAN/BRANCO ID: (102458)</t>
  </si>
  <si>
    <t>BRANCO ID: (90821)</t>
  </si>
  <si>
    <t>MOLDURA SUP TRAS GR 4PTS LOOP 1719X41X15 MDF</t>
  </si>
  <si>
    <t>AMENDOA CLEAN ID: (91120)</t>
  </si>
  <si>
    <t>MOLDURA SUP/INF GR 4PTS LOOP 1718X50X18 MDF</t>
  </si>
  <si>
    <t>AMENDOA CLEAN ID: (91116)</t>
  </si>
  <si>
    <t>RODAPE FRONT GR 4PTS LOOP 1719X41X15 MDF</t>
  </si>
  <si>
    <t>AMENDOA CLEAN ID: (91114)</t>
  </si>
  <si>
    <t>PRATELEIRA SUP GR 4PTS LOOP 893X430X15 MDF</t>
  </si>
  <si>
    <t>AMENDOA CLEAN ID: (91126)</t>
  </si>
  <si>
    <t>BRANCO ID: (91127)</t>
  </si>
  <si>
    <t>TAMPO INF GR 4PTS LOOP 1799X505X15 MDF</t>
  </si>
  <si>
    <t>AMENDOA CLEAN ID: (91122)</t>
  </si>
  <si>
    <t>BRANCO ID: (91123)</t>
  </si>
  <si>
    <t>TAMPO SUP GR 4PTS LOOP 1799X505X15 MDF</t>
  </si>
  <si>
    <t>BRANCO ID: (91111)</t>
  </si>
  <si>
    <t>RODAPE TRAS GR 4PTS LOOP 1718X60X15 MDF</t>
  </si>
  <si>
    <t>KIT PES REGULAVEIS C/ 5 TRIANGULAR 170/190MM ARMARIOMM</t>
  </si>
  <si>
    <t>BRANCO ID: (93271)</t>
  </si>
  <si>
    <t>AMENDOA CLEAN ID: (90907)</t>
  </si>
  <si>
    <t>AMENDOA CLEAN/BRANCO ID: (90908)</t>
  </si>
  <si>
    <t>AMENDOA CLEAN ID: (90917)</t>
  </si>
  <si>
    <t>AMENDOA CLEAN/OFF WH ID: (90918)</t>
  </si>
  <si>
    <t>KIT FERRAGEM GR LOPAS 04 PTS LOOP</t>
  </si>
  <si>
    <t>BRANCO ID: (91113)</t>
  </si>
  <si>
    <t>LATERAL DIR GR 4PTS LOOP 2260X540X18 MDF</t>
  </si>
  <si>
    <t>AMENDOA CLEAN ID: (91124)</t>
  </si>
  <si>
    <t>BRANCO ID: (91125)</t>
  </si>
  <si>
    <t>APLIQUE KIT PERFIL BRA-M-0258+1072 540 X 085 X 30MM BRANCO - GR LOOP</t>
  </si>
  <si>
    <t>COSTAS PENTEADEIRA LIVIA 734X276X2,7 HDF</t>
  </si>
  <si>
    <t>BRANCO ID: (91256)</t>
  </si>
  <si>
    <t>LATERAL ESQ GR 03PTS ATLAS 2042X500X12 MDP</t>
  </si>
  <si>
    <t>BRANCO ID: (91237)</t>
  </si>
  <si>
    <t>AMENDOA CLEAN ID: (91236)</t>
  </si>
  <si>
    <t>MOLDURA LAT GR 3PTS ATLAS 2042X65X12 MDP</t>
  </si>
  <si>
    <t>AMENDOA CLEAN ID: (91227)</t>
  </si>
  <si>
    <t>BRANCO ID: (91228)</t>
  </si>
  <si>
    <t>FRENTE GAV CENTRAL PENTEADEIRA LIVIA 594X125X15 MDP</t>
  </si>
  <si>
    <t>BRANCO ID: (91131)</t>
  </si>
  <si>
    <t>FRENTE GAV PENTEADEIRA LIVIA 284X222X15 MDP</t>
  </si>
  <si>
    <t>BRANCO ID: (91136)</t>
  </si>
  <si>
    <t>RODAPE FRONT GR 3PTS ATLAS 1586X100X12 MDP</t>
  </si>
  <si>
    <t>BRANCO ID: (91231)</t>
  </si>
  <si>
    <t>FUNDO GAV CENTRAL PENTEADEIRA LIVIA 559X307X2,7 HDF</t>
  </si>
  <si>
    <t>BRANCO ID: (91139)</t>
  </si>
  <si>
    <t>FUNDO GAV PENTEADEIRA LIVIA 307X212X2,7 HDF</t>
  </si>
  <si>
    <t>BRANCO ID: (91141)</t>
  </si>
  <si>
    <t>KIT FERRAGEM PENTEADEIRA LIVIA</t>
  </si>
  <si>
    <t>LATERAL DIR EXT PENTEADEIRA LIVIA 740X375X15 MDP</t>
  </si>
  <si>
    <t>BRANCO ID: (91143)</t>
  </si>
  <si>
    <t>TAMPO CENTRAL GR 3PTS ATLAS 1586X362X12 MDP</t>
  </si>
  <si>
    <t>BRANCO ID: (91219)</t>
  </si>
  <si>
    <t>LATERAL DIR INT PENTEADEIRA LIVIA 740X375X15 MDP</t>
  </si>
  <si>
    <t>BRANCO ID: (91147)</t>
  </si>
  <si>
    <t>PERFIL H   785MM BRANCO/AMENDOA</t>
  </si>
  <si>
    <t>COSTAS  GR 3PTS ATLAS 1606X470X2,7 HDF</t>
  </si>
  <si>
    <t>BRANCO ID: (91221)</t>
  </si>
  <si>
    <t>LATERAL ESQ EXT PENTEADEIRA LIVIA 740X375X15 MDP</t>
  </si>
  <si>
    <t>BRANCO ID: (91149)</t>
  </si>
  <si>
    <t>LATERAL ESQ INT PENTEADEIRA LIVIA 740X375X15 MDP</t>
  </si>
  <si>
    <t>BRANCO ID: (91151)</t>
  </si>
  <si>
    <t>PUXADOR  SUAVITA SOFTFEEL - MENOR BRANCO</t>
  </si>
  <si>
    <t>LATERAL GAV DIR PENTEADEIRA LIVIA 300X120X15 MDP</t>
  </si>
  <si>
    <t>BRANCO ID: (91153)</t>
  </si>
  <si>
    <t>KIT LED LOPAS CAMARIM 10 LAMPADAS 3 CORES USB</t>
  </si>
  <si>
    <t>CONJ PERFIL DIV GAVETA 78MM BRANCO (2X543+2X280) C/ SUP PENT LIVIA</t>
  </si>
  <si>
    <t>PORTA LAT GR 03 PTS ATLAS 1840X540X15 MDP</t>
  </si>
  <si>
    <t>BRANCO ID: (91235)</t>
  </si>
  <si>
    <t>LATERAL GAV ESQ PENTEADEIRA LIVIA 300X120X15 MDP</t>
  </si>
  <si>
    <t>BRANCO ID: (91157)</t>
  </si>
  <si>
    <t>PAIN ESPELHO PENTEADEIRA LIVIA 1179X670X15 MDP</t>
  </si>
  <si>
    <t>BRANCO ID: (91159)</t>
  </si>
  <si>
    <t>RODAPE FRONTAL PENTEADEIRA LIVIA 256X70X15 MDP</t>
  </si>
  <si>
    <t>BRANCO ID: (91161)</t>
  </si>
  <si>
    <t>RODAPE TRAS PENTEADEIRA LIVIA 256X70X15 MDP</t>
  </si>
  <si>
    <t>TAMPO PENTEADEIRA LIVIA 1180X395X15 MDP</t>
  </si>
  <si>
    <t>BRANCO ID: (94162)</t>
  </si>
  <si>
    <t>TRASEIRO GAV CENTRAL PENTEADEIRA LIVIA 548X100X15 MDP</t>
  </si>
  <si>
    <t>BRANCO ID: (91163)</t>
  </si>
  <si>
    <t>TRASEIRO GAV PENTEADEIRA LIVIA 200X100X15 MDP</t>
  </si>
  <si>
    <t>BRANCO ID: (91167)</t>
  </si>
  <si>
    <t>TRILHO INF DUAS VIAS BRONZE 1570MM- GR ATLAS  RX500</t>
  </si>
  <si>
    <t>TRAVESSA LATERAL PENTEADEIRA LIVIA 654X70X15 MDP</t>
  </si>
  <si>
    <t>BRANCO ID: (91187)</t>
  </si>
  <si>
    <t>TRAVESSA SUP PENTEADEIRA LIVIA 1177X70X15 MDP</t>
  </si>
  <si>
    <t>BRANCO ID: (91208)</t>
  </si>
  <si>
    <t>COSTAS MULTIFUNCIONAL 2PTS DAVI/BLISS 1697X500X2,7 HDF</t>
  </si>
  <si>
    <t>BRANCO ID: (93273)</t>
  </si>
  <si>
    <t>LATERAL DIR MULTIFUNCIONAL 2PTS DAVI/BLISS 1770X335X12 MDP</t>
  </si>
  <si>
    <t>BRANCO ID: (93275)</t>
  </si>
  <si>
    <t>AMENDOA CLEAN ID: (91481)</t>
  </si>
  <si>
    <t>LATERAL ESQ MULTIFUNCIONAL 2PTS DAVI/BLISS 1770X335X12 MDP</t>
  </si>
  <si>
    <t>BRANCO ID: (93277)</t>
  </si>
  <si>
    <t>AMENDOA CLEAN ID: (91482)</t>
  </si>
  <si>
    <t>PORTA MULTIFUNCIONAL 2PTS DAVI/BLISS 1630X235X15 MDP</t>
  </si>
  <si>
    <t>BRANCO ID: (91489)</t>
  </si>
  <si>
    <t>AMENDOA CLEAN ID: (91483)</t>
  </si>
  <si>
    <t>TAMPO INF MULTIFUNCIONAL 2PTS DAVI/BLISS 480X315X12 MDP</t>
  </si>
  <si>
    <t>AMENDOA CLEAN ID: (91485)</t>
  </si>
  <si>
    <t>TAMPO SUP MULTIFUNCIONAL 2PTS DAVI/BLISS 480X335X12 MDP</t>
  </si>
  <si>
    <t>AMENDOA CLEAN ID: (91486)</t>
  </si>
  <si>
    <t>VISTA SUP/INF MULTIFUNCIONAL 2PTS DAVI/BLISS 480X70X12 MDP</t>
  </si>
  <si>
    <t>AMENDOA CLEAN ID: (91487)</t>
  </si>
  <si>
    <t>COSTAS COMODA SUAVITA 884X470X2,7 HDF</t>
  </si>
  <si>
    <t>FRENTE GAV COMODA SUAVITA 851X215X15 MDP</t>
  </si>
  <si>
    <t>OFF WHITE ID: (91443)</t>
  </si>
  <si>
    <t>AMENDOA CLEAN ID: (91442)</t>
  </si>
  <si>
    <t>FUNDO GAV COMODA SUAVITA 820X407X2,7 HDF</t>
  </si>
  <si>
    <t>AMENDOA CLEAN ID: (91445)</t>
  </si>
  <si>
    <t>LATERAL GAV DIR COMODA SUAVITA 400X120X15 MDP</t>
  </si>
  <si>
    <t>AMENDOA CLEAN ID: (91493)</t>
  </si>
  <si>
    <t>LATERAL DIR COMODA SUAVITA 989X450X15 MDP</t>
  </si>
  <si>
    <t>AMENDOA CLEAN ID: (91453)</t>
  </si>
  <si>
    <t>LATERAL ESQ COMODA SUAVITA 989X450X15 MDP</t>
  </si>
  <si>
    <t>AMENDOA CLEAN ID: (91457)</t>
  </si>
  <si>
    <t>TAMPO COMODA SUAVITA 891X452X15 MDP</t>
  </si>
  <si>
    <t>AMENDOA CLEAN ID: (91463)</t>
  </si>
  <si>
    <t>AMENDOA CLEAN/OFF WH ID: (91517)</t>
  </si>
  <si>
    <t>AMENDOA CLEAN ID: (91516)</t>
  </si>
  <si>
    <t>COSTAS GR 6PTS/8PTS EASY SLIM/ANDARA SOFT/SERENATA 1900X588X2,7 HDF</t>
  </si>
  <si>
    <t>BRANCO ID: (91709)</t>
  </si>
  <si>
    <t>AMENDOA CLEAN ID: (91708)</t>
  </si>
  <si>
    <t>DIVISAO CENTRAL GR 8PTS SERENATA 1165X450X12 MDF</t>
  </si>
  <si>
    <t>AMENDOA CLEAN ID: (91710)</t>
  </si>
  <si>
    <t>DIVISAO GR 8PTS SERENATA 1873X450X12 MDF</t>
  </si>
  <si>
    <t>AMENDOA CLEAN ID: (91700)</t>
  </si>
  <si>
    <t>TAMPO CENTRAL GR 8PTS SERENATA 1162X450X12 MDF</t>
  </si>
  <si>
    <t>AMENDOA CLEAN ID: (91704)</t>
  </si>
  <si>
    <t>PORTA GRA GR 8PTS SERENATA 1877X290X15 MDF</t>
  </si>
  <si>
    <t>BRANCO ID: (91726)</t>
  </si>
  <si>
    <t>AMENDOA CLEAN ID: (91724)</t>
  </si>
  <si>
    <t>OFF WHITE ID: (91728)</t>
  </si>
  <si>
    <t>MOLDURA GR 8PTS SERENATA 2355X80X15 MDF</t>
  </si>
  <si>
    <t>AMENDOA CLEAN ID: (91732)</t>
  </si>
  <si>
    <t>BRANCO ID: (91733)</t>
  </si>
  <si>
    <t>PRATELEIRA SUP S/FURO GR 8PTS SERENATA 575X330X12 MDF</t>
  </si>
  <si>
    <t>AMENDOA CLEAN ID: (91690)</t>
  </si>
  <si>
    <t>TAMPO SUP GR 8PTS SERENATA 2336X450X12 MDF</t>
  </si>
  <si>
    <t>AMENDOA CLEAN ID: (91706)</t>
  </si>
  <si>
    <t>BRANCO ID: (91600)</t>
  </si>
  <si>
    <t>AMENDOA CLEAN ID: (91599)</t>
  </si>
  <si>
    <t>AMENDOA CLEAN ID: (91603)</t>
  </si>
  <si>
    <t>BRANCO ID: (91604)</t>
  </si>
  <si>
    <t>AMENDOA CLEAN ID: (91611)</t>
  </si>
  <si>
    <t>OFF WHITE ID: (91613)</t>
  </si>
  <si>
    <t>BRANCO ID: (91612)</t>
  </si>
  <si>
    <t>BRANCO ID: (91618)</t>
  </si>
  <si>
    <t>AMENDOA CLEAN ID: (91617)</t>
  </si>
  <si>
    <t>AMENDOA CLEAN#LINHO RINZAI BEGE ID: (91623)</t>
  </si>
  <si>
    <t>PERFIL PUXADOR 390MM RX1143 BRANCO C/ACAB COZ NINA</t>
  </si>
  <si>
    <t>AMENDOA CLEAN ID: (93187)</t>
  </si>
  <si>
    <t>AMENDOA CLEAN ID: (93189)</t>
  </si>
  <si>
    <t>AMENDOA CLEAN ID: (93191)</t>
  </si>
  <si>
    <t>OFF WHITE ID: (93214)</t>
  </si>
  <si>
    <t>AMENDOA CLEAN ID: (93213)</t>
  </si>
  <si>
    <t>OFF WHITE ID: (93212)</t>
  </si>
  <si>
    <t>AMENDOA CLEAN ID: (93211)</t>
  </si>
  <si>
    <t>AMENDOA CLEAN ID: (93215)</t>
  </si>
  <si>
    <t>AMENDOA CLEAN ID: (93217)</t>
  </si>
  <si>
    <t>COSTAS GR 6PTS SUAVITA 2180X898X2,7 HDF</t>
  </si>
  <si>
    <t>AMENDOA CLEAN ID: (93219)</t>
  </si>
  <si>
    <t>MOLDURA SUP GR 6PTS SUAVITA 2670X35X15 MDF</t>
  </si>
  <si>
    <t>AMENDOA CLEAN ID: (93227)</t>
  </si>
  <si>
    <t>PRATELEIRA MENOR GR 6PTS SUAVITA 432X400X15 MDF</t>
  </si>
  <si>
    <t>AMENDOA CLEAN ID: (93233)</t>
  </si>
  <si>
    <t>RODAPE FRONT GR 6PTS SUAVITA 2670X45X15 MDF</t>
  </si>
  <si>
    <t>AMENDOA CLEAN ID: (93235)</t>
  </si>
  <si>
    <t>RODAPE TRAS GR 6PTS SUAVITA 2670X60X15 MDF</t>
  </si>
  <si>
    <t>TAMPO INF GR 6PTS SUAVITA 2670X475X15 MDF</t>
  </si>
  <si>
    <t>AMENDOA CLEAN ID: (93237)</t>
  </si>
  <si>
    <t>TAMPO SUP GR 6PTS SUAVITA 2670X475X15 MDF</t>
  </si>
  <si>
    <t>AMENDOA CLEAN ID: (93239)</t>
  </si>
  <si>
    <t>FRENTE GAV GR 6PTS SUAVITA 800X160X15 MDF</t>
  </si>
  <si>
    <t>AMENDOA CLEAN ID: (93249)</t>
  </si>
  <si>
    <t>LATERAL DIR GR 6PTS SUAVITA 2300X495X15 MDF</t>
  </si>
  <si>
    <t>AMENDOA CLEAN ID: (93253)</t>
  </si>
  <si>
    <t>LATERAL ESQ GR 6PTS SUAVITA 2300X495X15 MDF</t>
  </si>
  <si>
    <t>AMENDOA CLEAN ID: (93255)</t>
  </si>
  <si>
    <t>LATERAL GAV DIR GR 6PTS SUAVITA 350X120X15 MDF</t>
  </si>
  <si>
    <t>AMENDOA CLEAN ID: (93259)</t>
  </si>
  <si>
    <t>LATERAL GAV ESQ GR 6PTS SUAVITA 350X120X15 MDF</t>
  </si>
  <si>
    <t>AMENDOA CLEAN ID: (93261)</t>
  </si>
  <si>
    <t>DIVISAO GR 6PTS SUAVITA 2150X475X15 MDF</t>
  </si>
  <si>
    <t>AMENDOA CLEAN ID: (93265)</t>
  </si>
  <si>
    <t>FUNDO GAV GR 6PTS SUAVITA 761X350X2,7 HDF</t>
  </si>
  <si>
    <t>AMENDOA CLEAN ID: (93269)</t>
  </si>
  <si>
    <t>PRATELEIRA CENTRAL GR 6PTS SUAVITA 880X400X15 MDF</t>
  </si>
  <si>
    <t>AMENDOA CLEAN ID: (93287)</t>
  </si>
  <si>
    <t>PORTA MDF GR SUAVITA 2180X442X15 MDF</t>
  </si>
  <si>
    <t>OFF WHITE ID: (93297)</t>
  </si>
  <si>
    <t>AMENDOA CLEAN ID: (93296)</t>
  </si>
  <si>
    <t>PUXADOR  SUAVITA SOFTFEEL - MENOR AMENDOA</t>
  </si>
  <si>
    <t>VELUDO NATURALE CREME ID: (93316)</t>
  </si>
  <si>
    <t>LINHO RINZAI BEGE ID: (93315)</t>
  </si>
  <si>
    <t>PUXADOR  GRACE BRANCO PONTUAL</t>
  </si>
  <si>
    <t>AMENDOA CLEAN ID: (93332)</t>
  </si>
  <si>
    <t>TRILHO TELESCOPICO H32 300MM 3 ESTAGIOS 6KG NACIONAL</t>
  </si>
  <si>
    <t>ESPELHO 900X235X3MM S/FURO - GR ZEUS- EASY SLIM (REAP)</t>
  </si>
  <si>
    <t>DOBRADIÇA  CONJ 26MM CURVA ALTA+CALÇO 5MM P/DOB.26MM NACIONAL</t>
  </si>
  <si>
    <t>DOBRADIÇA  TN MS SLOW CURVA CALÇO FIXO 35MM(55304) IMPORTADA</t>
  </si>
  <si>
    <t>DISTANCIADOR  25MM BRANCO - GR QUADRIX</t>
  </si>
  <si>
    <t>DISTANCIADOR 40 MM- AMENDOA</t>
  </si>
  <si>
    <t>KIT LED GR SUAVITA 4 PERFIS LED 2130MM (LUZ QUENTE) C/CONTRO</t>
  </si>
  <si>
    <t>PUXADOR  SUAVITA SOFTFEEL+ EXTENSOR- MAIOR AMENDOA</t>
  </si>
  <si>
    <t>PORTA MONT BRA-P-0932 C/VIDRO REFLECTA (2180X442X20MM) AMEND</t>
  </si>
  <si>
    <t>AMENDOA CLEAN#LINHO RINZAI BEGE ID: (94547)</t>
  </si>
  <si>
    <t>PARAFUSO   MAD. FLANG. PHS. TIPO CHIPBOARD 3,5X20 - ZP/ZB/ZA</t>
  </si>
  <si>
    <t>CANTONEIRA  20 X 20 X 42 PRATA(4 FUROS) MESA CELINA</t>
  </si>
  <si>
    <t>EXPOSITOR FEIRA MOVEL PAR PAREDE</t>
  </si>
  <si>
    <t>BRANCO ID: (95402)</t>
  </si>
  <si>
    <t>MANTA 2,16 X 0,78 MT</t>
  </si>
  <si>
    <t>EXPOSITOR GR 2026 TESTEIRA ALTA FEIRAS</t>
  </si>
  <si>
    <t>BRANCO ID: (97150)</t>
  </si>
  <si>
    <t>EXPOSITOR COMODA 2026 FEIRAS</t>
  </si>
  <si>
    <t>BRANCO ID: (97163)</t>
  </si>
  <si>
    <t>EXPOSITOR TABLADO 4 CANTO REDONDO 1650X650X25MM MDF</t>
  </si>
  <si>
    <t>BRANCO ID: (97166)</t>
  </si>
  <si>
    <t>EXPOSITOR TABLADO 4 CANTO REDONDO 1550X550X25MM MDF</t>
  </si>
  <si>
    <t>BRANCO ID: (97578)</t>
  </si>
  <si>
    <t>EXPOSITOR PAINEL 1 CANTO REDONDO 2400X400X25MM MDF</t>
  </si>
  <si>
    <t>BRANCO ID: (97176)</t>
  </si>
  <si>
    <t>EXPOSITOR PAINEL 1910X500X25MM MDF</t>
  </si>
  <si>
    <t>BRANCO ID: (97178)</t>
  </si>
  <si>
    <t>COLCHAO P/FEIRA 1980X1580X550MM ESPUMA D20</t>
  </si>
  <si>
    <t>ESPUMA P/FEIRA 880X1880X200MM D20</t>
  </si>
  <si>
    <t>ESPUMA P/FEIRA 1580X1980X200MM D20</t>
  </si>
  <si>
    <t>COLCHAO P/FEIRA 1380X1380X550MM ESPUMA D20</t>
  </si>
  <si>
    <t>COLCHAO P/FEIRA 1880X1380X200MM ESPUMA D20</t>
  </si>
  <si>
    <t>DOBRADIÇA CANECO 26 COLO ALTO</t>
  </si>
  <si>
    <t>CALÇO 12 DOBR.CANECO 26</t>
  </si>
  <si>
    <t>PERFIL H  2680MM AMENDOA REAPROVEITAMENTO</t>
  </si>
  <si>
    <t>AMENDOA CLEAN ID: (99250)</t>
  </si>
  <si>
    <t>TUBO CABIDEIRO ALUM 56,0 GR APOENA NEW RX 1515</t>
  </si>
  <si>
    <t>TUBO CABIDEIRO ALUM 67,0 GR LIBRA/AQUARIUS - RX 1515</t>
  </si>
  <si>
    <t>TRILHO PVC UMA VIA 1970MM GR HERCULES</t>
  </si>
  <si>
    <t>CAVILHA  6 X 60</t>
  </si>
  <si>
    <t>TUBO CABIDEIRO ALUM 42,2MM GR CAST - SPEC - PREST - RX 1515</t>
  </si>
  <si>
    <t>PUXADOR  XANGAI 256MM BRONZE</t>
  </si>
  <si>
    <t>PUXADOR  XANGAI 320MM BRONZE</t>
  </si>
  <si>
    <t>TRILHO PVC DUAS VIAS SUP 1307MM GR TANGO 2 PTS (PRM.257)</t>
  </si>
  <si>
    <t>PARAFUSO  5,0 X 40MM 4MM SEX INT C.10 - ZP/ZB/ZA</t>
  </si>
  <si>
    <t>PARAFUSO  MAQ. CC. PHS.  6X25 - ZP/ZB/ZA</t>
  </si>
  <si>
    <t>PE EM U 416MM</t>
  </si>
  <si>
    <t>CX ENVOLT MESA ATHENAS 1,80 1865X900X62MM C/ ABA 100MM</t>
  </si>
  <si>
    <t>CX ENVOLT MESA ATHENAS 1,20 1265X800X62MM</t>
  </si>
  <si>
    <t>CX ENVOLT MESA ATHENAS 2,00 2065X900X62MM C/ ABA 100MM</t>
  </si>
  <si>
    <t>DOBRADIÇA 35MM CURVA ALTA - NACIONAL</t>
  </si>
  <si>
    <t>CALÇO PARA DOBRADICA 35MM - NACIONAL</t>
  </si>
  <si>
    <t>VIDRO INCOLOR 1700X900X4MM CANTO COPO RAIO 50</t>
  </si>
  <si>
    <t>TRILHO PVC DUAS VIAS NATURAL SUP 1970MM (PRM.473) GR SAION</t>
  </si>
  <si>
    <t>PISTÃO A GAS 60 N FORCA INVERSA - BIG (EXP.)</t>
  </si>
  <si>
    <t>AMENDOA CLEAN ID: (99485)</t>
  </si>
  <si>
    <t>BRANCO#C/LOGO ID: (112328)</t>
  </si>
  <si>
    <t>AMENDOA CLEAN/OFF WH#C/LOGO ID: (99825)</t>
  </si>
  <si>
    <t>BRANCO#C/LOGO ID: (112330)</t>
  </si>
  <si>
    <t>BRANCO#C/LOGO ID: (112332)</t>
  </si>
  <si>
    <t>AMENDOA CLEAN#C/LOGO ID: (99824)</t>
  </si>
  <si>
    <t>AMENDOA CLEAN#C/LOGO ID: (99891)</t>
  </si>
  <si>
    <t>AMENDOA CLEAN#C/LOGO ID: (99991)</t>
  </si>
  <si>
    <t>AMENDOA CLEAN/OFF WH#C/LOGO ID: (99992)</t>
  </si>
  <si>
    <t>BRANCO#C/LOGO ID: (99993)</t>
  </si>
  <si>
    <t>PAIN TRAS PENTEADEIRA LIVIA 604X260X15 MDP</t>
  </si>
  <si>
    <t>BRANCO ID: (100280)</t>
  </si>
  <si>
    <t>PUXADOR  CONJ SUAVITA SOFTFELL MAIOR  (PUX E ALONGADOR) - AMENDOA</t>
  </si>
  <si>
    <t>PORTA GR 6PTS EASY SLIM V2.0 1877X290X12 MDP</t>
  </si>
  <si>
    <t>AMENDOA CLEAN ID: (108077)</t>
  </si>
  <si>
    <t>OFF WHITE ID: (102734)</t>
  </si>
  <si>
    <t>KIT FERRAGEM GR 6PTS EASY SLIM V2.0</t>
  </si>
  <si>
    <t>LATERAL DIR GR 2PTS TORONTO V2.0 2300X570X12 MDF</t>
  </si>
  <si>
    <t>BRANCO ID: (103318)</t>
  </si>
  <si>
    <t>LATERAL ESQ GR 2PTS TORONTO V2.0 2300X570X12 MDF</t>
  </si>
  <si>
    <t>BRANCO ID: (103326)</t>
  </si>
  <si>
    <t>DIVISAO DIR GR 2PTS TORONTO V2.0 2166X450X15 MDF</t>
  </si>
  <si>
    <t>AMENDOA CLEAN ID: (103341)</t>
  </si>
  <si>
    <t>DIVISAO ESQ GR 2PTS TORONTO V2.0 2166X450X15 MDF</t>
  </si>
  <si>
    <t>BRANCO ID: (103350)</t>
  </si>
  <si>
    <t>TAMPO INF GR 2PTS TORONTO V2.0 2610X570X12 MDF</t>
  </si>
  <si>
    <t>BRANCO ID: (103446)</t>
  </si>
  <si>
    <t>COSTAS GR TORONTO GR 2PTS TORONTO V2.0 2628X544X2,7 HDF</t>
  </si>
  <si>
    <t>AMENDOA CLEAN ID: (103585)</t>
  </si>
  <si>
    <t>FRENTE GAV GR 2PTS TORONTO V2.0 705X160X12 MDF</t>
  </si>
  <si>
    <t>AMENDOA CLEAN ID: (103650)</t>
  </si>
  <si>
    <t>BRANCO ID: (103651)</t>
  </si>
  <si>
    <t>FUNDO GAV GR TORONTO GR 2PTS V2.0 665X355X2,7 HDF</t>
  </si>
  <si>
    <t>BRANCO ID: (103686)</t>
  </si>
  <si>
    <t>ASS BRA -M 1121 1050MM - COR FRASSINO</t>
  </si>
  <si>
    <t>ASS BRA - M 0000 435MM COR BRANCO</t>
  </si>
  <si>
    <t>PORTA MULTIFUNCIONAL 2PTS DAVI/BLISS 1630X235X12 MDP</t>
  </si>
  <si>
    <t>BRANCO ID: (106667)</t>
  </si>
  <si>
    <t>AMENDOA CLEAN ID: (106666)</t>
  </si>
  <si>
    <t>EXPOSITOR PAINEL 1 CANTO REDONDO 2200X400X25MM MDF</t>
  </si>
  <si>
    <t>BRANCO ID: (106801)</t>
  </si>
  <si>
    <t>EXPOSITOR 4 CANTO REDONDO MULTIUSO 650X480X25MM MDF</t>
  </si>
  <si>
    <t>BRANCO ID: (107771)</t>
  </si>
  <si>
    <t>COSTAS EXPOSITOR COMODA LOOP 1525X965X15 MDF</t>
  </si>
  <si>
    <t>BRANCO ID: (107809)</t>
  </si>
  <si>
    <t>COSTAS COMODA EXPOSITOR BAIAO 985X885X15 MDF</t>
  </si>
  <si>
    <t>AMENDOA CLEAN ID: (107811)</t>
  </si>
  <si>
    <t>COSTAS EXPOSITOR COMODA SUAVITA 1005X895X15 MDF</t>
  </si>
  <si>
    <t>AMENDOA CLEAN ID: (107813)</t>
  </si>
  <si>
    <t>KIT DOBRADICA GR 6 PTS PORTA CENTRAL SUAVITA</t>
  </si>
  <si>
    <t>REGUA TRAS COMODA LOOP 1400X100X15 MDF</t>
  </si>
  <si>
    <t>PE RACK 40X18 MM AMENDOA</t>
  </si>
  <si>
    <t>REGUA FRONTAL MESA DE CABEC LOOP 432X100X15 MDF</t>
  </si>
  <si>
    <t>AMENDOA CLEAN ID: (109011)</t>
  </si>
  <si>
    <t>REGUA TRASEIRA MESA DE CABEC LOOP 432X100X15 MDF</t>
  </si>
  <si>
    <t>FRENTE DE GAV C/PUX SUP MESA DE CABEC LOOP V2.0 438X187X15 MDF</t>
  </si>
  <si>
    <t>AMENDOA CLEAN ID: (109072)</t>
  </si>
  <si>
    <t>OFF WHITE ID: (109074)</t>
  </si>
  <si>
    <t>TAMPO SUPERIOR COMODA LOOP V2.0 1400X480X15 MDF</t>
  </si>
  <si>
    <t>AMENDOA CLEAN ID: (110559)</t>
  </si>
  <si>
    <t>BRANCO ID: (110560)</t>
  </si>
  <si>
    <t>TAMPO SUPERIOR MESA DE CAB LOOP V2.0 432X380X15 MDF</t>
  </si>
  <si>
    <t>BRANCO ID: (111408)</t>
  </si>
  <si>
    <t>AMENDOA CLEAN ID: (111407)</t>
  </si>
  <si>
    <t>KIT FERRAGEM GR 06PTS EASY SLIM/ANDARA SOFT V2.0</t>
  </si>
  <si>
    <t>AMENDOA CLEAN/OFF WH ID: (111834)</t>
  </si>
  <si>
    <t>PARTE PC PORTA GRAN GR 4/6/8PTS ZEUS/VIR/EASY SLIM 1877X290X15 MDP</t>
  </si>
  <si>
    <t>FRASSINO ID: (112419)</t>
  </si>
  <si>
    <t>CADASTRO EM LINHA x FORA DE LINHA</t>
  </si>
  <si>
    <t>Tabela fixa de referência — edite aqui para reclassificar itens</t>
  </si>
  <si>
    <t>101.10338</t>
  </si>
  <si>
    <t>NAO INFORMADO</t>
  </si>
  <si>
    <t>101.4514</t>
  </si>
  <si>
    <t>102.12218</t>
  </si>
  <si>
    <t>102.1222</t>
  </si>
  <si>
    <t>102.12222</t>
  </si>
  <si>
    <t>102.6491</t>
  </si>
  <si>
    <t>153.0</t>
  </si>
  <si>
    <t>154.16634</t>
  </si>
  <si>
    <t>154.16635</t>
  </si>
  <si>
    <t>156.15496</t>
  </si>
  <si>
    <t>156.15497</t>
  </si>
  <si>
    <t>156.15498</t>
  </si>
  <si>
    <t>156.15499</t>
  </si>
  <si>
    <t>156.155</t>
  </si>
  <si>
    <t>161.15503</t>
  </si>
  <si>
    <t>184.12654</t>
  </si>
  <si>
    <t>184.12658</t>
  </si>
  <si>
    <t>185.12418</t>
  </si>
  <si>
    <t>185.1242</t>
  </si>
  <si>
    <t>185.12424</t>
  </si>
  <si>
    <t>185.12426</t>
  </si>
  <si>
    <t>187.15487</t>
  </si>
  <si>
    <t>187.15488</t>
  </si>
  <si>
    <t>187.1549</t>
  </si>
  <si>
    <t>216.16128</t>
  </si>
  <si>
    <t>216.16129</t>
  </si>
  <si>
    <t>217.16135</t>
  </si>
  <si>
    <t>217.16137</t>
  </si>
  <si>
    <t>217.1614</t>
  </si>
  <si>
    <t>217.16142</t>
  </si>
  <si>
    <t>217.16143</t>
  </si>
  <si>
    <t>217.16144</t>
  </si>
  <si>
    <t>217.16145</t>
  </si>
  <si>
    <t>217.55179</t>
  </si>
  <si>
    <t>217.55267</t>
  </si>
  <si>
    <t>264.16049</t>
  </si>
  <si>
    <t>274.12236</t>
  </si>
  <si>
    <t>274.12238</t>
  </si>
  <si>
    <t>275.12672</t>
  </si>
  <si>
    <t>275.12674</t>
  </si>
  <si>
    <t>276.13098</t>
  </si>
  <si>
    <t>276.13128</t>
  </si>
  <si>
    <t>276.13158</t>
  </si>
  <si>
    <t>308.0</t>
  </si>
  <si>
    <t>2084.12865</t>
  </si>
  <si>
    <t>2084.12968</t>
  </si>
  <si>
    <t>2085.1272</t>
  </si>
  <si>
    <t>2085.12724</t>
  </si>
  <si>
    <t>2086.12871</t>
  </si>
  <si>
    <t>2086.12908</t>
  </si>
  <si>
    <t>2086.1294</t>
  </si>
  <si>
    <t>2086.1297</t>
  </si>
  <si>
    <t>2096.0</t>
  </si>
  <si>
    <t>2102.12834</t>
  </si>
  <si>
    <t>2103.13945</t>
  </si>
  <si>
    <t>2104.13957</t>
  </si>
  <si>
    <t>2105.13138</t>
  </si>
  <si>
    <t>2105.1314</t>
  </si>
  <si>
    <t>2105.1315</t>
  </si>
  <si>
    <t>2107.12376</t>
  </si>
  <si>
    <t>2108.13402</t>
  </si>
  <si>
    <t>2109.13733</t>
  </si>
  <si>
    <t>2109.13737</t>
  </si>
  <si>
    <t>2110.12846</t>
  </si>
  <si>
    <t>2110.12848</t>
  </si>
  <si>
    <t>2110.1285</t>
  </si>
  <si>
    <t>2111.0</t>
  </si>
  <si>
    <t>2161.16424</t>
  </si>
  <si>
    <t>2161.16426</t>
  </si>
  <si>
    <t>2161.16428</t>
  </si>
  <si>
    <t>2162.16161</t>
  </si>
  <si>
    <t>2162.16163</t>
  </si>
  <si>
    <t>2162.16164</t>
  </si>
  <si>
    <t>2163.15691</t>
  </si>
  <si>
    <t>2163.15693</t>
  </si>
  <si>
    <t>2163.15695</t>
  </si>
  <si>
    <t>2176.12382</t>
  </si>
  <si>
    <t>2176.12384</t>
  </si>
  <si>
    <t>2179.1257</t>
  </si>
  <si>
    <t>2179.12572</t>
  </si>
  <si>
    <t>2181.12946</t>
  </si>
  <si>
    <t>2181.12948</t>
  </si>
  <si>
    <t>2181.1295</t>
  </si>
  <si>
    <t>2183.13599</t>
  </si>
  <si>
    <t>2183.13601</t>
  </si>
  <si>
    <t>2185.13739</t>
  </si>
  <si>
    <t>2185.13741</t>
  </si>
  <si>
    <t>2185.13747</t>
  </si>
  <si>
    <t>2186.0</t>
  </si>
  <si>
    <t>2188.0</t>
  </si>
  <si>
    <t>2190.13808</t>
  </si>
  <si>
    <t>2190.1381</t>
  </si>
  <si>
    <t>2192.13152</t>
  </si>
  <si>
    <t>2192.13154</t>
  </si>
  <si>
    <t>2194.16652</t>
  </si>
  <si>
    <t>2194.16653</t>
  </si>
  <si>
    <t>2237.13657</t>
  </si>
  <si>
    <t>2237.13659</t>
  </si>
  <si>
    <t>2238.1234</t>
  </si>
  <si>
    <t>2238.12342</t>
  </si>
  <si>
    <t>2239.13884</t>
  </si>
  <si>
    <t>2239.13886</t>
  </si>
  <si>
    <t>2239.13888</t>
  </si>
  <si>
    <t>2240.0</t>
  </si>
  <si>
    <t>2246.1252</t>
  </si>
  <si>
    <t>2253.15566</t>
  </si>
  <si>
    <t>2262.31357</t>
  </si>
  <si>
    <t>2280.31361</t>
  </si>
  <si>
    <t>2284.15523</t>
  </si>
  <si>
    <t>2308.15699</t>
  </si>
  <si>
    <t>2308.157</t>
  </si>
  <si>
    <t>2308.5205</t>
  </si>
  <si>
    <t>2317.12306</t>
  </si>
  <si>
    <t>2317.1231</t>
  </si>
  <si>
    <t>2318.12314</t>
  </si>
  <si>
    <t>2319.12522</t>
  </si>
  <si>
    <t>2320.13072</t>
  </si>
  <si>
    <t>2321.0</t>
  </si>
  <si>
    <t>2344.13517</t>
  </si>
  <si>
    <t>2344.13519</t>
  </si>
  <si>
    <t>2345.13525</t>
  </si>
  <si>
    <t>2345.13527</t>
  </si>
  <si>
    <t>2346.12738</t>
  </si>
  <si>
    <t>2348.12322</t>
  </si>
  <si>
    <t>2348.12324</t>
  </si>
  <si>
    <t>2350.12744</t>
  </si>
  <si>
    <t>2350.12746</t>
  </si>
  <si>
    <t>2354.1308</t>
  </si>
  <si>
    <t>2372.16535</t>
  </si>
  <si>
    <t>2379.16432</t>
  </si>
  <si>
    <t>2391.13178</t>
  </si>
  <si>
    <t>2396.13194</t>
  </si>
  <si>
    <t>2399.1341</t>
  </si>
  <si>
    <t>2400.13759</t>
  </si>
  <si>
    <t>2401.0</t>
  </si>
  <si>
    <t>2403.12964</t>
  </si>
  <si>
    <t>2404.12396</t>
  </si>
  <si>
    <t>2406.12364</t>
  </si>
  <si>
    <t>2407.12546</t>
  </si>
  <si>
    <t>2408.13094</t>
  </si>
  <si>
    <t>2409.139</t>
  </si>
  <si>
    <t>2409.13902</t>
  </si>
  <si>
    <t>2410.0</t>
  </si>
  <si>
    <t>2414.13008</t>
  </si>
  <si>
    <t>2415.0</t>
  </si>
  <si>
    <t>72566.13848</t>
  </si>
  <si>
    <t>72566.1385</t>
  </si>
  <si>
    <t>72567.13292</t>
  </si>
  <si>
    <t>72567.13294</t>
  </si>
  <si>
    <t>72568.1253</t>
  </si>
  <si>
    <t>72568.14035</t>
  </si>
  <si>
    <t>72569.13645</t>
  </si>
  <si>
    <t>72569.13647</t>
  </si>
  <si>
    <t>72572.13651</t>
  </si>
  <si>
    <t>72572.13653</t>
  </si>
  <si>
    <t>72594.12814</t>
  </si>
  <si>
    <t>72594.12816</t>
  </si>
  <si>
    <t>72595.1282</t>
  </si>
  <si>
    <t>72595.12822</t>
  </si>
  <si>
    <t>72595.12824</t>
  </si>
  <si>
    <t>72596.0</t>
  </si>
  <si>
    <t>72623.0</t>
  </si>
  <si>
    <t>72643.16351</t>
  </si>
  <si>
    <t>72645.15779</t>
  </si>
  <si>
    <t>72645.15781</t>
  </si>
  <si>
    <t>72659.16289</t>
  </si>
  <si>
    <t>72661.13084</t>
  </si>
  <si>
    <t>72662.12334</t>
  </si>
  <si>
    <t>72663.13533</t>
  </si>
  <si>
    <t>72728.31885</t>
  </si>
  <si>
    <t>72734.15722</t>
  </si>
  <si>
    <t>72737.15527</t>
  </si>
  <si>
    <t>72758.16433</t>
  </si>
  <si>
    <t>72761.12564</t>
  </si>
  <si>
    <t>72764.25905</t>
  </si>
  <si>
    <t>72765.1601</t>
  </si>
  <si>
    <t>72777.13609</t>
  </si>
  <si>
    <t>72779.0</t>
  </si>
  <si>
    <t>72816.15977</t>
  </si>
  <si>
    <t>72829.16465</t>
  </si>
  <si>
    <t>72866.16312</t>
  </si>
  <si>
    <t>72866.16313</t>
  </si>
  <si>
    <t>72866.16314</t>
  </si>
  <si>
    <t>72874.16223</t>
  </si>
  <si>
    <t>72879.16178</t>
  </si>
  <si>
    <t>73026.16485</t>
  </si>
  <si>
    <t>73026.16486</t>
  </si>
  <si>
    <t>73077.16283</t>
  </si>
  <si>
    <t>73077.16284</t>
  </si>
  <si>
    <t>73077.16285</t>
  </si>
  <si>
    <t>73081.15965</t>
  </si>
  <si>
    <t>73081.15966</t>
  </si>
  <si>
    <t>73081.15967</t>
  </si>
  <si>
    <t>73083.16417</t>
  </si>
  <si>
    <t>73083.16418</t>
  </si>
  <si>
    <t>73083.16419</t>
  </si>
  <si>
    <t>73122.16493</t>
  </si>
  <si>
    <t>73122.16497</t>
  </si>
  <si>
    <t>73122.49907</t>
  </si>
  <si>
    <t>73122.49908</t>
  </si>
  <si>
    <t>73123.15534</t>
  </si>
  <si>
    <t>73123.15538</t>
  </si>
  <si>
    <t>73123.55618</t>
  </si>
  <si>
    <t>73123.55619</t>
  </si>
  <si>
    <t>73126.15979</t>
  </si>
  <si>
    <t>73126.1598</t>
  </si>
  <si>
    <t>73126.15981</t>
  </si>
  <si>
    <t>73141.15982</t>
  </si>
  <si>
    <t>73141.15983</t>
  </si>
  <si>
    <t>73141.15984</t>
  </si>
  <si>
    <t>73145.23978</t>
  </si>
  <si>
    <t>73145.23982</t>
  </si>
  <si>
    <t>73145.23988</t>
  </si>
  <si>
    <t>73152.15541</t>
  </si>
  <si>
    <t>73152.15542</t>
  </si>
  <si>
    <t>73152.15545</t>
  </si>
  <si>
    <t>73157.16504</t>
  </si>
  <si>
    <t>73157.16505</t>
  </si>
  <si>
    <t>73157.16507</t>
  </si>
  <si>
    <t>73163.16514</t>
  </si>
  <si>
    <t>73164.23996</t>
  </si>
  <si>
    <t>73166.15994</t>
  </si>
  <si>
    <t>73166.15995</t>
  </si>
  <si>
    <t>73174.15549</t>
  </si>
  <si>
    <t>73174.1555</t>
  </si>
  <si>
    <t>73174.15551</t>
  </si>
  <si>
    <t>73175.15746</t>
  </si>
  <si>
    <t>73175.15747</t>
  </si>
  <si>
    <t>73175.15748</t>
  </si>
  <si>
    <t>73176.16191</t>
  </si>
  <si>
    <t>73176.16192</t>
  </si>
  <si>
    <t>73176.16193</t>
  </si>
  <si>
    <t>73189.16641</t>
  </si>
  <si>
    <t>73189.16642</t>
  </si>
  <si>
    <t>73189.16643</t>
  </si>
  <si>
    <t>73226.0</t>
  </si>
  <si>
    <t>73259.16521</t>
  </si>
  <si>
    <t>73259.16522</t>
  </si>
  <si>
    <t>73276.15752</t>
  </si>
  <si>
    <t>73276.15753</t>
  </si>
  <si>
    <t>73277.1632</t>
  </si>
  <si>
    <t>73277.16321</t>
  </si>
  <si>
    <t>73277.16322</t>
  </si>
  <si>
    <t>73279.15757</t>
  </si>
  <si>
    <t>73279.15758</t>
  </si>
  <si>
    <t>73279.1576</t>
  </si>
  <si>
    <t>73280.16328</t>
  </si>
  <si>
    <t>73280.16329</t>
  </si>
  <si>
    <t>73280.16331</t>
  </si>
  <si>
    <t>73280.78154</t>
  </si>
  <si>
    <t>73280.78155</t>
  </si>
  <si>
    <t>73282.15764</t>
  </si>
  <si>
    <t>73282.15765</t>
  </si>
  <si>
    <t>73283.15561</t>
  </si>
  <si>
    <t>73283.15562</t>
  </si>
  <si>
    <t>73285.16</t>
  </si>
  <si>
    <t>73285.16001</t>
  </si>
  <si>
    <t>73285.16002</t>
  </si>
  <si>
    <t>73286.16524</t>
  </si>
  <si>
    <t>73286.16525</t>
  </si>
  <si>
    <t>73286.16526</t>
  </si>
  <si>
    <t>73343.16019</t>
  </si>
  <si>
    <t>73344.16547</t>
  </si>
  <si>
    <t>73345.16675</t>
  </si>
  <si>
    <t>73346.16548</t>
  </si>
  <si>
    <t>73347.15805</t>
  </si>
  <si>
    <t>73347.15806</t>
  </si>
  <si>
    <t>73347.15807</t>
  </si>
  <si>
    <t>73348.16676</t>
  </si>
  <si>
    <t>73349.16549</t>
  </si>
  <si>
    <t>73351.15616</t>
  </si>
  <si>
    <t>73351.15617</t>
  </si>
  <si>
    <t>73351.15618</t>
  </si>
  <si>
    <t>73352.1655</t>
  </si>
  <si>
    <t>73354.16252</t>
  </si>
  <si>
    <t>73355.16371</t>
  </si>
  <si>
    <t>73356.0</t>
  </si>
  <si>
    <t>73364.16036</t>
  </si>
  <si>
    <t>73366.16713</t>
  </si>
  <si>
    <t>73371.16253</t>
  </si>
  <si>
    <t>73371.16254</t>
  </si>
  <si>
    <t>73371.55615</t>
  </si>
  <si>
    <t>73375.16399</t>
  </si>
  <si>
    <t>73378.16475</t>
  </si>
  <si>
    <t>73378.20171</t>
  </si>
  <si>
    <t>73385.16372</t>
  </si>
  <si>
    <t>73385.16373</t>
  </si>
  <si>
    <t>73388.1647</t>
  </si>
  <si>
    <t>73507.16462</t>
  </si>
  <si>
    <t>73533.16554</t>
  </si>
  <si>
    <t>73533.16555</t>
  </si>
  <si>
    <t>73534.16699</t>
  </si>
  <si>
    <t>73534.167</t>
  </si>
  <si>
    <t>73534.16702</t>
  </si>
  <si>
    <t>73534.16703</t>
  </si>
  <si>
    <t>73534.20168</t>
  </si>
  <si>
    <t>73534.82243</t>
  </si>
  <si>
    <t>73536.16376</t>
  </si>
  <si>
    <t>73539.16556</t>
  </si>
  <si>
    <t>73539.16557</t>
  </si>
  <si>
    <t>73539.24026</t>
  </si>
  <si>
    <t>73540.16026</t>
  </si>
  <si>
    <t>73540.16027</t>
  </si>
  <si>
    <t>73540.1603</t>
  </si>
  <si>
    <t>73540.16031</t>
  </si>
  <si>
    <t>73540.16032</t>
  </si>
  <si>
    <t>73540.16033</t>
  </si>
  <si>
    <t>73540.16035</t>
  </si>
  <si>
    <t>73540.55584</t>
  </si>
  <si>
    <t>73540.60484</t>
  </si>
  <si>
    <t>73542.16388</t>
  </si>
  <si>
    <t>73543.1639</t>
  </si>
  <si>
    <t>73543.16391</t>
  </si>
  <si>
    <t>73543.16392</t>
  </si>
  <si>
    <t>73543.16393</t>
  </si>
  <si>
    <t>73543.16394</t>
  </si>
  <si>
    <t>73543.16395</t>
  </si>
  <si>
    <t>73543.16396</t>
  </si>
  <si>
    <t>73543.16397</t>
  </si>
  <si>
    <t>73543.16398</t>
  </si>
  <si>
    <t>73543.46268</t>
  </si>
  <si>
    <t>73543.46282</t>
  </si>
  <si>
    <t>73545.16382</t>
  </si>
  <si>
    <t>73545.16383</t>
  </si>
  <si>
    <t>73545.16384</t>
  </si>
  <si>
    <t>73545.16385</t>
  </si>
  <si>
    <t>73545.16386</t>
  </si>
  <si>
    <t>73545.78588</t>
  </si>
  <si>
    <t>73547.15886</t>
  </si>
  <si>
    <t>73547.15889</t>
  </si>
  <si>
    <t>73547.1589</t>
  </si>
  <si>
    <t>73547.15891</t>
  </si>
  <si>
    <t>73547.15893</t>
  </si>
  <si>
    <t>73547.49157</t>
  </si>
  <si>
    <t>73547.49167</t>
  </si>
  <si>
    <t>73547.68373</t>
  </si>
  <si>
    <t>73549.15584</t>
  </si>
  <si>
    <t>73549.15585</t>
  </si>
  <si>
    <t>73550.1666</t>
  </si>
  <si>
    <t>73550.16661</t>
  </si>
  <si>
    <t>73550.16662</t>
  </si>
  <si>
    <t>73550.16664</t>
  </si>
  <si>
    <t>73550.16666</t>
  </si>
  <si>
    <t>73550.16668</t>
  </si>
  <si>
    <t>73550.46395</t>
  </si>
  <si>
    <t>73550.46397</t>
  </si>
  <si>
    <t>73778.0</t>
  </si>
  <si>
    <t>73994.15619</t>
  </si>
  <si>
    <t>73994.72173</t>
  </si>
  <si>
    <t>73996.15811</t>
  </si>
  <si>
    <t>73996.72176</t>
  </si>
  <si>
    <t>74125.99905</t>
  </si>
  <si>
    <t>74127.9989</t>
  </si>
  <si>
    <t>74129.10002</t>
  </si>
  <si>
    <t>74198.31905</t>
  </si>
  <si>
    <t>74198.31907</t>
  </si>
  <si>
    <t>74198.31909</t>
  </si>
  <si>
    <t>74198.6779</t>
  </si>
  <si>
    <t>74198.67791</t>
  </si>
  <si>
    <t>74201.31753</t>
  </si>
  <si>
    <t>74201.31755</t>
  </si>
  <si>
    <t>74201.31757</t>
  </si>
  <si>
    <t>74201.67869</t>
  </si>
  <si>
    <t>74201.67871</t>
  </si>
  <si>
    <t>74202.31935</t>
  </si>
  <si>
    <t>74203.31405</t>
  </si>
  <si>
    <t>74204.31779</t>
  </si>
  <si>
    <t>74269.72163</t>
  </si>
  <si>
    <t>74269.72164</t>
  </si>
  <si>
    <t>74272.15795</t>
  </si>
  <si>
    <t>74272.78658</t>
  </si>
  <si>
    <t>74400.55274</t>
  </si>
  <si>
    <t>74420.32157</t>
  </si>
  <si>
    <t>74493.55291</t>
  </si>
  <si>
    <t>74493.55479</t>
  </si>
  <si>
    <t>74494.78384</t>
  </si>
  <si>
    <t>74494.78567</t>
  </si>
  <si>
    <t>74501.32101</t>
  </si>
  <si>
    <t>74501.32103</t>
  </si>
  <si>
    <t>74509.31977</t>
  </si>
  <si>
    <t>74509.99864</t>
  </si>
  <si>
    <t>74516.32089</t>
  </si>
  <si>
    <t>74551.31307</t>
  </si>
  <si>
    <t>74551.31309</t>
  </si>
  <si>
    <t>74552.31963</t>
  </si>
  <si>
    <t>74552.31965</t>
  </si>
  <si>
    <t>74610.55686</t>
  </si>
  <si>
    <t>74613.55688</t>
  </si>
  <si>
    <t>74613.55699</t>
  </si>
  <si>
    <t>74614.55695</t>
  </si>
  <si>
    <t>74614.55696</t>
  </si>
  <si>
    <t>74629.31969</t>
  </si>
  <si>
    <t>74629.9986</t>
  </si>
  <si>
    <t>74632.32093</t>
  </si>
  <si>
    <t>74632.99862</t>
  </si>
  <si>
    <t>74670.55653</t>
  </si>
  <si>
    <t>74670.55681</t>
  </si>
  <si>
    <t>74671.55683</t>
  </si>
  <si>
    <t>74671.56697</t>
  </si>
  <si>
    <t>75868.1379</t>
  </si>
  <si>
    <t>75868.52047</t>
  </si>
  <si>
    <t>75868.52117</t>
  </si>
  <si>
    <t>75871.13619</t>
  </si>
  <si>
    <t>75871.65257</t>
  </si>
  <si>
    <t>76348.13615</t>
  </si>
  <si>
    <t>77143.12586</t>
  </si>
  <si>
    <t>77143.1259</t>
  </si>
  <si>
    <t>78326.88802</t>
  </si>
  <si>
    <t>79208.16632</t>
  </si>
  <si>
    <t>79208.16633</t>
  </si>
  <si>
    <t>81713.23873</t>
  </si>
  <si>
    <t>81844.13794</t>
  </si>
  <si>
    <t>81935.32025</t>
  </si>
  <si>
    <t>81935.32027</t>
  </si>
  <si>
    <t>81935.32029</t>
  </si>
  <si>
    <t>81935.32031</t>
  </si>
  <si>
    <t>81935.6645</t>
  </si>
  <si>
    <t>81935.66455</t>
  </si>
  <si>
    <t>81938.31499</t>
  </si>
  <si>
    <t>81938.31501</t>
  </si>
  <si>
    <t>81938.31503</t>
  </si>
  <si>
    <t>81938.31505</t>
  </si>
  <si>
    <t>81938.66452</t>
  </si>
  <si>
    <t>81938.66457</t>
  </si>
  <si>
    <t>81941.31365</t>
  </si>
  <si>
    <t>81942.32033</t>
  </si>
  <si>
    <t>83251.31593</t>
  </si>
  <si>
    <t>83251.31599</t>
  </si>
  <si>
    <t>83251.67186</t>
  </si>
  <si>
    <t>83251.67187</t>
  </si>
  <si>
    <t>84024.56716</t>
  </si>
  <si>
    <t>84062.56717</t>
  </si>
  <si>
    <t>84310.39409</t>
  </si>
  <si>
    <t>84310.3941</t>
  </si>
  <si>
    <t>84488.26</t>
  </si>
  <si>
    <t>84495.101042</t>
  </si>
  <si>
    <t>84495.55885</t>
  </si>
  <si>
    <t>84498.31391</t>
  </si>
  <si>
    <t>84537.31639</t>
  </si>
  <si>
    <t>84550.31851</t>
  </si>
  <si>
    <t>84562.31459</t>
  </si>
  <si>
    <t>84586.31463</t>
  </si>
  <si>
    <t>84588.31331</t>
  </si>
  <si>
    <t>84721.0</t>
  </si>
  <si>
    <t>84745.3061</t>
  </si>
  <si>
    <t>84785.0</t>
  </si>
  <si>
    <t>84795.40349</t>
  </si>
  <si>
    <t>84795.4035</t>
  </si>
  <si>
    <t>84795.52007</t>
  </si>
  <si>
    <t>84795.52112</t>
  </si>
  <si>
    <t>84800.43034</t>
  </si>
  <si>
    <t>84800.5202</t>
  </si>
  <si>
    <t>84809.42185</t>
  </si>
  <si>
    <t>84809.52032</t>
  </si>
  <si>
    <t>84822.30747</t>
  </si>
  <si>
    <t>84836.3075</t>
  </si>
  <si>
    <t>84847.30751</t>
  </si>
  <si>
    <t>84875.3094</t>
  </si>
  <si>
    <t>84891.31009</t>
  </si>
  <si>
    <t>84891.3101</t>
  </si>
  <si>
    <t>84891.31011</t>
  </si>
  <si>
    <t>84893.31012</t>
  </si>
  <si>
    <t>84901.31283</t>
  </si>
  <si>
    <t>84901.31284</t>
  </si>
  <si>
    <t>84911.31286</t>
  </si>
  <si>
    <t>84911.31287</t>
  </si>
  <si>
    <t>84911.31288</t>
  </si>
  <si>
    <t>84911.3129</t>
  </si>
  <si>
    <t>84921.36176</t>
  </si>
  <si>
    <t>84921.3618</t>
  </si>
  <si>
    <t>84921.36184</t>
  </si>
  <si>
    <t>84924.3487</t>
  </si>
  <si>
    <t>84924.34878</t>
  </si>
  <si>
    <t>84924.34883</t>
  </si>
  <si>
    <t>84924.34891</t>
  </si>
  <si>
    <t>84924.34895</t>
  </si>
  <si>
    <t>84929.37103</t>
  </si>
  <si>
    <t>84931.37071</t>
  </si>
  <si>
    <t>84938.36958</t>
  </si>
  <si>
    <t>84938.36959</t>
  </si>
  <si>
    <t>84938.3696</t>
  </si>
  <si>
    <t>84941.36961</t>
  </si>
  <si>
    <t>84941.36962</t>
  </si>
  <si>
    <t>84941.36963</t>
  </si>
  <si>
    <t>84958.37035</t>
  </si>
  <si>
    <t>84958.89592</t>
  </si>
  <si>
    <t>84966.36932</t>
  </si>
  <si>
    <t>84966.89604</t>
  </si>
  <si>
    <t>85009.94964</t>
  </si>
  <si>
    <t>85009.94965</t>
  </si>
  <si>
    <t>85010.79078</t>
  </si>
  <si>
    <t>85015.0</t>
  </si>
  <si>
    <t>85024.55767</t>
  </si>
  <si>
    <t>85024.55815</t>
  </si>
  <si>
    <t>85024.79508</t>
  </si>
  <si>
    <t>85025.55816</t>
  </si>
  <si>
    <t>85025.55817</t>
  </si>
  <si>
    <t>85025.79504</t>
  </si>
  <si>
    <t>85027.45302</t>
  </si>
  <si>
    <t>85038.45301</t>
  </si>
  <si>
    <t>85124.46118</t>
  </si>
  <si>
    <t>85124.46119</t>
  </si>
  <si>
    <t>85168.72819</t>
  </si>
  <si>
    <t>85168.72886</t>
  </si>
  <si>
    <t>85168.72896</t>
  </si>
  <si>
    <t>85168.72897</t>
  </si>
  <si>
    <t>85259.46258</t>
  </si>
  <si>
    <t>85259.46259</t>
  </si>
  <si>
    <t>85284.46043</t>
  </si>
  <si>
    <t>85297.46171</t>
  </si>
  <si>
    <t>85315.46265</t>
  </si>
  <si>
    <t>85335.46266</t>
  </si>
  <si>
    <t>85335.46267</t>
  </si>
  <si>
    <t>85344.46422</t>
  </si>
  <si>
    <t>85344.46423</t>
  </si>
  <si>
    <t>85366.46059</t>
  </si>
  <si>
    <t>85366.4606</t>
  </si>
  <si>
    <t>85366.46061</t>
  </si>
  <si>
    <t>85366.46062</t>
  </si>
  <si>
    <t>85366.46063</t>
  </si>
  <si>
    <t>85366.46064</t>
  </si>
  <si>
    <t>85366.46065</t>
  </si>
  <si>
    <t>85436.46143</t>
  </si>
  <si>
    <t>85436.46144</t>
  </si>
  <si>
    <t>85462.46365</t>
  </si>
  <si>
    <t>85462.46366</t>
  </si>
  <si>
    <t>85474.46145</t>
  </si>
  <si>
    <t>85507.46194</t>
  </si>
  <si>
    <t>85507.46195</t>
  </si>
  <si>
    <t>85524.46104</t>
  </si>
  <si>
    <t>85543.46224</t>
  </si>
  <si>
    <t>85553.46147</t>
  </si>
  <si>
    <t>85553.46148</t>
  </si>
  <si>
    <t>85594.48661</t>
  </si>
  <si>
    <t>85594.48662</t>
  </si>
  <si>
    <t>85594.67929</t>
  </si>
  <si>
    <t>85640.48879</t>
  </si>
  <si>
    <t>85644.48775</t>
  </si>
  <si>
    <t>85648.60575</t>
  </si>
  <si>
    <t>85651.49985</t>
  </si>
  <si>
    <t>85654.49955</t>
  </si>
  <si>
    <t>85670.49971</t>
  </si>
  <si>
    <t>86071.68015</t>
  </si>
  <si>
    <t>86204.69433</t>
  </si>
  <si>
    <t>86265.69384</t>
  </si>
  <si>
    <t>86318.69507</t>
  </si>
  <si>
    <t>86324.69481</t>
  </si>
  <si>
    <t>86327.0</t>
  </si>
  <si>
    <t>86332.70257</t>
  </si>
  <si>
    <t>86373.70255</t>
  </si>
  <si>
    <t>86383.70244</t>
  </si>
  <si>
    <t>86392.74072</t>
  </si>
  <si>
    <t>86513.79214</t>
  </si>
  <si>
    <t>86513.79215</t>
  </si>
  <si>
    <t>86514.79216</t>
  </si>
  <si>
    <t>86514.79217</t>
  </si>
  <si>
    <t>86837.88834</t>
  </si>
  <si>
    <t>87023.90072</t>
  </si>
  <si>
    <t>87023.90073</t>
  </si>
  <si>
    <t>87025.90076</t>
  </si>
  <si>
    <t>87025.90077</t>
  </si>
  <si>
    <t>87100.9067</t>
  </si>
  <si>
    <t>87100.90671</t>
  </si>
  <si>
    <t>87103.90674</t>
  </si>
  <si>
    <t>87103.90675</t>
  </si>
  <si>
    <t>87105.90678</t>
  </si>
  <si>
    <t>87105.90679</t>
  </si>
  <si>
    <t>87107.90682</t>
  </si>
  <si>
    <t>87107.90683</t>
  </si>
  <si>
    <t>87110.90686</t>
  </si>
  <si>
    <t>87110.90687</t>
  </si>
  <si>
    <t>87112.9069</t>
  </si>
  <si>
    <t>87112.90691</t>
  </si>
  <si>
    <t>87121.9071</t>
  </si>
  <si>
    <t>87121.90711</t>
  </si>
  <si>
    <t>87123.90716</t>
  </si>
  <si>
    <t>87123.90717</t>
  </si>
  <si>
    <t>87123.90719</t>
  </si>
  <si>
    <t>87126.90724</t>
  </si>
  <si>
    <t>87126.90725</t>
  </si>
  <si>
    <t>87126.90727</t>
  </si>
  <si>
    <t>87128.9073</t>
  </si>
  <si>
    <t>87128.90731</t>
  </si>
  <si>
    <t>87130.90734</t>
  </si>
  <si>
    <t>87130.90735</t>
  </si>
  <si>
    <t>87139.90809</t>
  </si>
  <si>
    <t>87139.9081</t>
  </si>
  <si>
    <t>87140.102458</t>
  </si>
  <si>
    <t>87140.90813</t>
  </si>
  <si>
    <t>87140.90814</t>
  </si>
  <si>
    <t>87142.90821</t>
  </si>
  <si>
    <t>87143.0</t>
  </si>
  <si>
    <t>87164.90907</t>
  </si>
  <si>
    <t>87164.90908</t>
  </si>
  <si>
    <t>87164.93271</t>
  </si>
  <si>
    <t>87168.90917</t>
  </si>
  <si>
    <t>87168.90918</t>
  </si>
  <si>
    <t>87376.91516</t>
  </si>
  <si>
    <t>87376.91517</t>
  </si>
  <si>
    <t>87460.91599</t>
  </si>
  <si>
    <t>87460.916</t>
  </si>
  <si>
    <t>87462.91603</t>
  </si>
  <si>
    <t>87462.91604</t>
  </si>
  <si>
    <t>87469.91611</t>
  </si>
  <si>
    <t>87469.91612</t>
  </si>
  <si>
    <t>87469.91613</t>
  </si>
  <si>
    <t>87470.91617</t>
  </si>
  <si>
    <t>87470.91618</t>
  </si>
  <si>
    <t>87472.91623</t>
  </si>
  <si>
    <t>87553.93187</t>
  </si>
  <si>
    <t>87559.93189</t>
  </si>
  <si>
    <t>87560.93191</t>
  </si>
  <si>
    <t>87562.93213</t>
  </si>
  <si>
    <t>87562.93214</t>
  </si>
  <si>
    <t>87563.93211</t>
  </si>
  <si>
    <t>87563.93212</t>
  </si>
  <si>
    <t>87564.93215</t>
  </si>
  <si>
    <t>87565.93217</t>
  </si>
  <si>
    <t>87566.0</t>
  </si>
  <si>
    <t>87626.93315</t>
  </si>
  <si>
    <t>87626.93316</t>
  </si>
  <si>
    <t>87646.93332</t>
  </si>
  <si>
    <t>87812.94547</t>
  </si>
  <si>
    <t>94924.0</t>
  </si>
  <si>
    <t>95029.9925</t>
  </si>
  <si>
    <t>95040.99258</t>
  </si>
  <si>
    <t>97189.99485</t>
  </si>
  <si>
    <t>97299.112328</t>
  </si>
  <si>
    <t>97299.99826</t>
  </si>
  <si>
    <t>97300.11233</t>
  </si>
  <si>
    <t>97300.99825</t>
  </si>
  <si>
    <t>97301.112332</t>
  </si>
  <si>
    <t>97301.99824</t>
  </si>
  <si>
    <t>97305.99891</t>
  </si>
  <si>
    <t>97308.99991</t>
  </si>
  <si>
    <t>97308.99992</t>
  </si>
  <si>
    <t>97308.99993</t>
  </si>
  <si>
    <t>2102.12836</t>
  </si>
  <si>
    <t>2103.13947</t>
  </si>
  <si>
    <t>2104.13959</t>
  </si>
  <si>
    <t>2246.12516</t>
  </si>
  <si>
    <t>2275.13753</t>
  </si>
  <si>
    <t>2318.12318</t>
  </si>
  <si>
    <t>2319.12526</t>
  </si>
  <si>
    <t>2320.13076</t>
  </si>
  <si>
    <t>75841.13222</t>
  </si>
  <si>
    <t>75868.13792</t>
  </si>
  <si>
    <t>75871.13621</t>
  </si>
  <si>
    <t>76348.13617</t>
  </si>
  <si>
    <t>84635.31549</t>
  </si>
  <si>
    <t>84688.31337</t>
  </si>
  <si>
    <t>84701.32131</t>
  </si>
  <si>
    <t>84712.31797</t>
  </si>
  <si>
    <t>84715.31343</t>
  </si>
  <si>
    <t>84800.43035</t>
  </si>
  <si>
    <t>84809.42186</t>
  </si>
  <si>
    <t>84836.30749</t>
  </si>
  <si>
    <t>84860.30884</t>
  </si>
  <si>
    <t>84866.30886</t>
  </si>
  <si>
    <t>86204.69459</t>
  </si>
  <si>
    <t>86265.69401</t>
  </si>
  <si>
    <t>86318.69508</t>
  </si>
  <si>
    <t>86324.69485</t>
  </si>
  <si>
    <t>86332.70256</t>
  </si>
  <si>
    <t>86373.70254</t>
  </si>
  <si>
    <t>2406.12362</t>
  </si>
  <si>
    <t>2407.12544</t>
  </si>
  <si>
    <t>2408.13092</t>
  </si>
  <si>
    <t>72777.13607</t>
  </si>
  <si>
    <t>72777.13613</t>
  </si>
  <si>
    <t>72829.16467</t>
  </si>
  <si>
    <t>72879.16176</t>
  </si>
  <si>
    <t>73166.15996</t>
  </si>
  <si>
    <t>73233.15555</t>
  </si>
  <si>
    <t>73233.15556</t>
  </si>
  <si>
    <t>73255.15557</t>
  </si>
  <si>
    <t>73276.15754</t>
  </si>
  <si>
    <t>73277.16323</t>
  </si>
  <si>
    <t>73277.16324</t>
  </si>
  <si>
    <t>73285.16003</t>
  </si>
  <si>
    <t>73285.16004</t>
  </si>
  <si>
    <t>73286.16527</t>
  </si>
  <si>
    <t>73286.16528</t>
  </si>
  <si>
    <t>73350.16677</t>
  </si>
  <si>
    <t>73534.16694</t>
  </si>
  <si>
    <t>73534.16698</t>
  </si>
  <si>
    <t>73534.16701</t>
  </si>
  <si>
    <t>73534.46226</t>
  </si>
  <si>
    <t>73534.46235</t>
  </si>
  <si>
    <t>74551.31311</t>
  </si>
  <si>
    <t>74552.31967</t>
  </si>
  <si>
    <t>77197.13224</t>
  </si>
  <si>
    <t>81941.31367</t>
  </si>
  <si>
    <t>81942.32035</t>
  </si>
  <si>
    <t>83251.31595</t>
  </si>
  <si>
    <t>83251.31597</t>
  </si>
  <si>
    <t>84901.31285</t>
  </si>
  <si>
    <t>84911.31289</t>
  </si>
  <si>
    <t>84941.36965</t>
  </si>
  <si>
    <t>84946.37107</t>
  </si>
  <si>
    <t>84946.37108</t>
  </si>
  <si>
    <t>84946.37109</t>
  </si>
  <si>
    <t>84946.52526</t>
  </si>
  <si>
    <t>85315.46264</t>
  </si>
  <si>
    <t>85524.46103</t>
  </si>
  <si>
    <t>101.88275</t>
  </si>
  <si>
    <t>154.16636</t>
  </si>
  <si>
    <t>185.12422</t>
  </si>
  <si>
    <t>2104.13963</t>
  </si>
  <si>
    <t>2105.13144</t>
  </si>
  <si>
    <t>2107.12378</t>
  </si>
  <si>
    <t>2108.13404</t>
  </si>
  <si>
    <t>2109.13735</t>
  </si>
  <si>
    <t>2176.12386</t>
  </si>
  <si>
    <t>2179.12574</t>
  </si>
  <si>
    <t>2183.13603</t>
  </si>
  <si>
    <t>2185.13743</t>
  </si>
  <si>
    <t>2190.13806</t>
  </si>
  <si>
    <t>2192.13156</t>
  </si>
  <si>
    <t>2194.16655</t>
  </si>
  <si>
    <t>2246.12518</t>
  </si>
  <si>
    <t>2253.15568</t>
  </si>
  <si>
    <t>2253.15572</t>
  </si>
  <si>
    <t>2280.31363</t>
  </si>
  <si>
    <t>2284.15525</t>
  </si>
  <si>
    <t>2344.13521</t>
  </si>
  <si>
    <t>2345.13529</t>
  </si>
  <si>
    <t>2350.12748</t>
  </si>
  <si>
    <t>2353.13268</t>
  </si>
  <si>
    <t>2355.13272</t>
  </si>
  <si>
    <t>2403.12966</t>
  </si>
  <si>
    <t>2408.13096</t>
  </si>
  <si>
    <t>2409.13904</t>
  </si>
  <si>
    <t>72567.13288</t>
  </si>
  <si>
    <t>72645.15783</t>
  </si>
  <si>
    <t>72661.13088</t>
  </si>
  <si>
    <t>72663.13537</t>
  </si>
  <si>
    <t>72761.12566</t>
  </si>
  <si>
    <t>72764.31469</t>
  </si>
  <si>
    <t>72765.16014</t>
  </si>
  <si>
    <t>72777.13611</t>
  </si>
  <si>
    <t>73026.16487</t>
  </si>
  <si>
    <t>74610.55687</t>
  </si>
  <si>
    <t>74613.55689</t>
  </si>
  <si>
    <t>74614.55697</t>
  </si>
  <si>
    <t>74668.55637</t>
  </si>
  <si>
    <t>74669.55639</t>
  </si>
  <si>
    <t>74670.55643</t>
  </si>
  <si>
    <t>74671.56698</t>
  </si>
  <si>
    <t>75841.13218</t>
  </si>
  <si>
    <t>77197.13228</t>
  </si>
  <si>
    <t>81844.13798</t>
  </si>
  <si>
    <t>84498.31393</t>
  </si>
  <si>
    <t>84537.31641</t>
  </si>
  <si>
    <t>84550.31853</t>
  </si>
  <si>
    <t>84586.31465</t>
  </si>
  <si>
    <t>84588.31333</t>
  </si>
  <si>
    <t>84635.31547</t>
  </si>
  <si>
    <t>84688.31335</t>
  </si>
  <si>
    <t>84701.32129</t>
  </si>
  <si>
    <t>84712.31795</t>
  </si>
  <si>
    <t>84715.31339</t>
  </si>
  <si>
    <t>84715.31341</t>
  </si>
  <si>
    <t>84724.30608</t>
  </si>
  <si>
    <t>84724.30609</t>
  </si>
  <si>
    <t>84745.30611</t>
  </si>
  <si>
    <t>84755.30612</t>
  </si>
  <si>
    <t>84755.30613</t>
  </si>
  <si>
    <t>84773.30614</t>
  </si>
  <si>
    <t>84773.30615</t>
  </si>
  <si>
    <t>84779.30616</t>
  </si>
  <si>
    <t>84779.30617</t>
  </si>
  <si>
    <t>84779.30618</t>
  </si>
  <si>
    <t>84795.40351</t>
  </si>
  <si>
    <t>84822.30748</t>
  </si>
  <si>
    <t>84847.30752</t>
  </si>
  <si>
    <t>84860.30885</t>
  </si>
  <si>
    <t>84866.30887</t>
  </si>
  <si>
    <t>84875.30939</t>
  </si>
  <si>
    <t>84877.30941</t>
  </si>
  <si>
    <t>84877.30942</t>
  </si>
  <si>
    <t>84885.30943</t>
  </si>
  <si>
    <t>84885.30944</t>
  </si>
  <si>
    <t>86383.70245</t>
  </si>
  <si>
    <t>PALETE DOS ITENS</t>
  </si>
  <si>
    <t>Tabela fixa de referência — UND/PALETE extraída do texto do forro</t>
  </si>
  <si>
    <t>DESC TÉCNICA</t>
  </si>
  <si>
    <t>PALLET FORRO</t>
  </si>
  <si>
    <t>TAM P= 4 PILHAS C/2UND= 8UND</t>
  </si>
  <si>
    <t>PALETE P: 11 UND</t>
  </si>
  <si>
    <t>TAM P= 5 PILHAS C/10UND= 50UND</t>
  </si>
  <si>
    <t>TAM P= 3 PILHAS C/3UND= 9UND</t>
  </si>
  <si>
    <t>TAM P= 4 PILHAS C/3UND= 12UND</t>
  </si>
  <si>
    <t>TAM G= 3 PILHAS C/16UND= 48UND</t>
  </si>
  <si>
    <t>TAM G= 3 PILHAS C/21UND= 63UND</t>
  </si>
  <si>
    <t>TAM G= 3 PILHAS C/8UND= 24UND</t>
  </si>
  <si>
    <t>TAM G= 3 PILHAS C/10UND= 30UND</t>
  </si>
  <si>
    <t>VOL CX BARRA CAMA 0,90 LOOP 2025 EXP 2,018X0,357X0,100</t>
  </si>
  <si>
    <t>PALETE G=38UN</t>
  </si>
  <si>
    <t>TAM G= 3 PILHAS C/11UND= 33UND</t>
  </si>
  <si>
    <t>PALETE G=36UN</t>
  </si>
  <si>
    <t>VOL CX BARRA CAMA CASAL 1,40 LOOP/LEDER 2025 EXP 2,018X0,357X0,105</t>
  </si>
  <si>
    <t>VOL CX BARRA CAMA CASAL 1,40 REALI 2019/SPECIALE</t>
  </si>
  <si>
    <t>PALETE M=38UN</t>
  </si>
  <si>
    <t>PALETE G=32UN</t>
  </si>
  <si>
    <t>TAM G= 3 PILHAS 10UND= 30UND</t>
  </si>
  <si>
    <t>VOL CX BARRA CAMA CASAL 1,60 LOOP/LEDER EXP 2,125X0,352X0,112</t>
  </si>
  <si>
    <t>VOL CX BARRA CAMA CASAL 1,80 ATHENAS 2021</t>
  </si>
  <si>
    <t>PALETE G=23UN</t>
  </si>
  <si>
    <t>VOL CX BARRA CAMA CASAL REALI/SPECIALE 2022 EXP</t>
  </si>
  <si>
    <t>PALETE M= 34UN</t>
  </si>
  <si>
    <t>VOL CX BARRA CAMA SOLTEIRO 1,20 ATHENAS 2021</t>
  </si>
  <si>
    <t>PALETE G=29UN</t>
  </si>
  <si>
    <t>PALETE M: 52 UND</t>
  </si>
  <si>
    <t>PALETE G= 38UN</t>
  </si>
  <si>
    <t>VOL CX BARRA LOOP SOLTEIRO 0,90 EXP</t>
  </si>
  <si>
    <t>VOL CX BARRA LOOP/LEDER EXP CASAL 1,40</t>
  </si>
  <si>
    <t>TAM G= 3 PILHAS C/14UND= 42UND</t>
  </si>
  <si>
    <t>TAM G= 3 PILHAS C/22UND= 66UND</t>
  </si>
  <si>
    <t>TAM P= 2 PILHAS C/14UND= 28UND</t>
  </si>
  <si>
    <t>TAM P= 2 PILHAS C/2UND= 4UND</t>
  </si>
  <si>
    <t>VOL CX BASE MESA 1,70 APOGEU PLUS</t>
  </si>
  <si>
    <t>PALETE P=32UN</t>
  </si>
  <si>
    <t>TAM P= 2 PILHAS C/13UND= 26UND</t>
  </si>
  <si>
    <t>PALETE P=18UN</t>
  </si>
  <si>
    <t>TAM P= 3 PILHAS C/10UND= 30UND</t>
  </si>
  <si>
    <t>TAM M= 3 PILHAS C/10UND= 30UND</t>
  </si>
  <si>
    <t>TAM P= 2 PILHAS 13UND= 26UND</t>
  </si>
  <si>
    <t>PALETE G= 23UN</t>
  </si>
  <si>
    <t>PALETE G= 20UN</t>
  </si>
  <si>
    <t>PALETE G= 16UN</t>
  </si>
  <si>
    <t>VOL CX C/1 ESP 1668X749X3 C/04 SUPORTE 1,708X0,856X0,044</t>
  </si>
  <si>
    <t>PALETE M=28UN</t>
  </si>
  <si>
    <t>VOL CX C/2 ESP 990X352X3 E C/2 1225X338X3 C/8 SP CRO 1,325X0,442X0,050</t>
  </si>
  <si>
    <t>PALETE P= 50UN</t>
  </si>
  <si>
    <t>VOL CX C/4 ESP 750X270X3 0,805X0,335X0,040</t>
  </si>
  <si>
    <t>PALETE P= 113UN</t>
  </si>
  <si>
    <t>PALETE P= 6UN</t>
  </si>
  <si>
    <t>TAM M= 1 PILHA C/19UND</t>
  </si>
  <si>
    <t>TAM M= 2 PILHAS C/10UND= 20UND</t>
  </si>
  <si>
    <t>TAM M= 2 PILHAS C/13UND= 26UND</t>
  </si>
  <si>
    <t>PALETE M= 25UN</t>
  </si>
  <si>
    <t>VOL CX CAB NOVITA 1,40/1,60 2021</t>
  </si>
  <si>
    <t>PALETE M= 21UN</t>
  </si>
  <si>
    <t>TAM M= 2 PILHAS C/8UND= 16UND</t>
  </si>
  <si>
    <t>TAM P= 2 PILHAS C/23UND= 46UND</t>
  </si>
  <si>
    <t>TAM M= 4 PILHAS C/16UND= 64UND</t>
  </si>
  <si>
    <t>TAM P= 4 PILHAS C/9UND= 36UND</t>
  </si>
  <si>
    <t>TAM P= 4 PILHAS C/7UND= 28UND</t>
  </si>
  <si>
    <t>TAM P= 2 PILHAS C/9UND= 18UND</t>
  </si>
  <si>
    <t>TAM P= 2 PILHAS C/6UND= 12UND</t>
  </si>
  <si>
    <t>TAM P= 8 PILHAS C/8UND= 64UND</t>
  </si>
  <si>
    <t>PALLET P = 51UN</t>
  </si>
  <si>
    <t>PALLET P = 33UN</t>
  </si>
  <si>
    <t>TAM P= 4 PILHAS C/8UND= 32UND</t>
  </si>
  <si>
    <t>TAM P= 6 PILHAS C/7UND= 42UND</t>
  </si>
  <si>
    <t>TAM P= 4 PILHAS C/6UND= 24UND</t>
  </si>
  <si>
    <t>TAM G= 2 PILHAS C/18UND= 36UND</t>
  </si>
  <si>
    <t>VOL CX CAMA AUXILIAR LOOP EXP 2,005X0,357X0,093</t>
  </si>
  <si>
    <t>PALETE G= 40UN</t>
  </si>
  <si>
    <t>TAM P= 2 PILHAS C/7UND= 14UND</t>
  </si>
  <si>
    <t>PALETE P: 15 UND</t>
  </si>
  <si>
    <t>TAM M=3PILHAS C/3+1PILHA C/2+1PILHA C/1=12UND</t>
  </si>
  <si>
    <t>VOL CX COMODA 8 GAV LOOP 1,590X0,493X0,190</t>
  </si>
  <si>
    <t>PALETE M= 15UN</t>
  </si>
  <si>
    <t>VOL CX COMODA LEDER 1,575X0,523X0,169</t>
  </si>
  <si>
    <t>PALETE M= 17UN</t>
  </si>
  <si>
    <t>VOL CX COMODA LEDER EXP 1,575X0,523X0,169</t>
  </si>
  <si>
    <t>PALETE P= 20UN</t>
  </si>
  <si>
    <t>PALETE M= 22UN</t>
  </si>
  <si>
    <t>VOL CX COMODA LOOP 2024 1,590X0,493X0,154</t>
  </si>
  <si>
    <t>VOL CX COMODA LOOP 2024 EXP 1,590X0,493X0,197</t>
  </si>
  <si>
    <t>TAM P= 2 PILHAS C/5UND 1 PILHA C/1UND= 11UND</t>
  </si>
  <si>
    <t>TAM M= 2 PILHAS C/12UN 1 PILHA C/1UND= 25UND</t>
  </si>
  <si>
    <t>TAM P= 2 PILHAS C/8UND= 16UND</t>
  </si>
  <si>
    <t>TAM G = 1 PILHA C/144UND</t>
  </si>
  <si>
    <t>TAM G= 2 PILHAS C/12UND= 24 UND</t>
  </si>
  <si>
    <t>PALETE G: 26 UND</t>
  </si>
  <si>
    <t>VOL CX DIV/PRAT GR 06 PTS LEDER EXP 2,275X0,550X0,103</t>
  </si>
  <si>
    <t>TAM G= 2 PILHAS C/8UND= 16 UND</t>
  </si>
  <si>
    <t>PALETE P: 28 UND</t>
  </si>
  <si>
    <t>PALETE P= 83UN</t>
  </si>
  <si>
    <t>VOL CX ESPELHO C/1 ESP 1200X340X3 GR 3 PTS VEX/AZAEL/DANGELO 1,245X0,4</t>
  </si>
  <si>
    <t>PALETE P= 55UN</t>
  </si>
  <si>
    <t>PALETE M= 79UN</t>
  </si>
  <si>
    <t>VOL CX ESPELHO C/1 ESP 1550X641X3 C/4 SUP 1,600X0,765X0,050</t>
  </si>
  <si>
    <t>PALETE M= 50UN</t>
  </si>
  <si>
    <t>VOL CX ESPELHO C/1 ESP 1666X777X3 C/4 SUP CROMADO 1,710X0,882X0,045</t>
  </si>
  <si>
    <t>PALETE M= 27UN</t>
  </si>
  <si>
    <t>VOL CX ESPELHO C/1 ESP 1668X658X3 C/4 SUP CROM. C/4 DUPLA FACE 1,715X0</t>
  </si>
  <si>
    <t>PALETE M= 55UN</t>
  </si>
  <si>
    <t>VOL CX ESPELHO C/1 ESP 1668X749X3 C/4 SUP CROMADO C/4 FITAS VHB 50X20</t>
  </si>
  <si>
    <t>PALETE P: 36 UND</t>
  </si>
  <si>
    <t>VOL CX ESPELHO C/1 ESP 1738X587X3 C/2 SUP C/4 DUPLA FACE 1,790X0,695X0</t>
  </si>
  <si>
    <t>PALETE M: 86 UND</t>
  </si>
  <si>
    <t>VOL CX ESPELHO C/1 ESP 1844X870X3 C/4 SUP CROMADO C/4 FITA VHB 1,890X0</t>
  </si>
  <si>
    <t>PALETE M: 368 UND</t>
  </si>
  <si>
    <t>PALETE M: 46 UND</t>
  </si>
  <si>
    <t>VOL CX ESPELHO C/2 ESP 1105X374X3 C/2 ESP 1049X360X3 ESP C/8 SUP CROMA</t>
  </si>
  <si>
    <t>PALETE P= 59UN</t>
  </si>
  <si>
    <t>VOL CX ESPELHO C/2 ESP 1152X430X3 C/2 ESP 1049X416X3 ESP C/8 SUP 1,237</t>
  </si>
  <si>
    <t>PALETE P=48UN</t>
  </si>
  <si>
    <t>VOL CX ESPELHO C/2 ESP 1375X390 C/2 ESP 771X390 ESP C/8 SUP CROMADO 1,</t>
  </si>
  <si>
    <t>PALETE M=76UN</t>
  </si>
  <si>
    <t>PALETE M: 132 UND</t>
  </si>
  <si>
    <t>VOL CX ESPELHO C/2 ESP 458X238X3 C/4 SUP CROMADO 0,519X0,298X0,055</t>
  </si>
  <si>
    <t>PALETE P=182UN</t>
  </si>
  <si>
    <t>VOL CX ESPELHO C/2 ESP 600X350X3 C/4 SUP CROMADO 0,655X0,415X0,035</t>
  </si>
  <si>
    <t>PALETE P=178UN</t>
  </si>
  <si>
    <t>PALETE P=136UN</t>
  </si>
  <si>
    <t>VOL CX ESPELHO C/2 ESP 749X238X3 C/4 SUP CROMADO 0,809X0,298X0,055</t>
  </si>
  <si>
    <t>PALETE P=113UN</t>
  </si>
  <si>
    <t>VOL CX ESPELHO C/2 ESP 800X500X3 C/4 SUP 0,855X0,565X0,035</t>
  </si>
  <si>
    <t>PALETE P=71UN</t>
  </si>
  <si>
    <t>VOL CX ESPELHO C/2 ESP 890X490X3 C/4 SUP CROMADO 0,943X0,595X0,048</t>
  </si>
  <si>
    <t>PALETE P=52UN</t>
  </si>
  <si>
    <t>PALETE P: 124 UND</t>
  </si>
  <si>
    <t>VOL CX ESPELHO C/2 ESP 934X251X3 C/24 DUPLA FACE 0,990X0,305X0,043</t>
  </si>
  <si>
    <t>PALETE P=116UN</t>
  </si>
  <si>
    <t>VOL CX ESPELHO C/2 ESP 990X352X3 C/2 ESP 1225X338X3 ESP C/8 SUP CROMAD</t>
  </si>
  <si>
    <t>PALETE P=50UN</t>
  </si>
  <si>
    <t>VOL CX ESPELHO C/3 ESP 500X330X3 C/36 DUPLA FACE 0,555X0,385X0,035</t>
  </si>
  <si>
    <t>PALETE P=189UN</t>
  </si>
  <si>
    <t>PALETE P: 111 UND</t>
  </si>
  <si>
    <t>VOL CX ESPELHO C/3 ESP 685X666X3 C/6 SUP 0,740X0,720X0,035</t>
  </si>
  <si>
    <t>PALETE P=62UN</t>
  </si>
  <si>
    <t>PALETE P: 6 UND</t>
  </si>
  <si>
    <t>VOL CX ESPELHO C/4 ESP 500X200X3 C/8 SUP CROMADO 0,550X0,270X0,036</t>
  </si>
  <si>
    <t>PALETE P=230UN</t>
  </si>
  <si>
    <t>VOL CX ESPELHO C/4 ESP 750X350X3 C/8 SUP CROMADO 0,810X0,410X0,043</t>
  </si>
  <si>
    <t>PALETE P=87UN</t>
  </si>
  <si>
    <t>VOL CX ESPELHO C/4 ESP 880X300X3 0,960X0,380X0,055</t>
  </si>
  <si>
    <t>PALETE P=68UN</t>
  </si>
  <si>
    <t>PALETE P: 108 UND</t>
  </si>
  <si>
    <t>PALETE P: 105 UND</t>
  </si>
  <si>
    <t>VOL CX ESPELHO C/4 ESP 934X251X3 C/48 DUPLA FACE 0,990X0,305X0,043</t>
  </si>
  <si>
    <t>PALETE P=97UN</t>
  </si>
  <si>
    <t>VOL CX ESPELHO C/6 ESP 600X350X3 C/12 SUP CROMADO 0,655X0,415X0,040</t>
  </si>
  <si>
    <t>PALETE P=76UN</t>
  </si>
  <si>
    <t>VOL CX ESPELHO C/6 ESP 600X350X3 C/6 SUP CROMADO 0,655X0,415X0,035</t>
  </si>
  <si>
    <t>PALETE P=150UN</t>
  </si>
  <si>
    <t>PALETE P: 84 UND</t>
  </si>
  <si>
    <t>VOL CX ESPELHO C/6 ESP 750X350X3 C/12 SUP CROMADO 0,810X0,415X0,050</t>
  </si>
  <si>
    <t>PALETE P=60UN</t>
  </si>
  <si>
    <t>PALETE P: 45 UND</t>
  </si>
  <si>
    <t>VOL CX GR 03 PTS CALEB 2,70 II TAMPO 2,805X0,550X0,098</t>
  </si>
  <si>
    <t>PALETE GG= 24UN</t>
  </si>
  <si>
    <t>VOL CX GR 03 PTS OLLIE II 2,775X0,550X0,092</t>
  </si>
  <si>
    <t>PALETE GG= 28UN</t>
  </si>
  <si>
    <t>VOL CX GR 03 PTS OLLIE/CALEB II DIV 2,275X0,460X0,098</t>
  </si>
  <si>
    <t>PALETE G= 24UN</t>
  </si>
  <si>
    <t>PALETE G= 26UN</t>
  </si>
  <si>
    <t>TAM M = 2 PILHAS C/10UND= 20UND</t>
  </si>
  <si>
    <t>TAM G= 2 PILHAS 14UND= 28UND</t>
  </si>
  <si>
    <t>VOL CX GR 06 PTS OLLIE II DIV 2,275X0,550X0,073</t>
  </si>
  <si>
    <t>PALETE G= 28UN</t>
  </si>
  <si>
    <t>VOL CX GR 06 PTS OLLIE II TAMPO 2,775X0,550X0,092</t>
  </si>
  <si>
    <t>VOL CX GR 2 PTS LANI/ZEINE LATERAL 2,155X0,520X0,086</t>
  </si>
  <si>
    <t>VOL CX GR 2 PTS LANI/ZEINE TAMPO 1,845X0,520X0,092</t>
  </si>
  <si>
    <t>PALETE M= 20UN</t>
  </si>
  <si>
    <t>VOL CX GR 2 PTS TORONTO 2,40-(L/D) 2,380X0,525X0,110</t>
  </si>
  <si>
    <t>PALETE G= 2 PILHAS 10UN</t>
  </si>
  <si>
    <t>VOL CX GR 2 PTS TORONTO 2,40-(PORTAS) 1,240X0,720X0,110</t>
  </si>
  <si>
    <t>PALETE P= 1 PILHA 10UN</t>
  </si>
  <si>
    <t>PALETE M: 16 UND</t>
  </si>
  <si>
    <t>PALETE G: 20 UND</t>
  </si>
  <si>
    <t>PALETE P: 10 UND</t>
  </si>
  <si>
    <t>PALETE GG: 24 UND</t>
  </si>
  <si>
    <t>TAM G= 1 PILHA C/24UND</t>
  </si>
  <si>
    <t>TAM G= 1 PILHA C/18UND</t>
  </si>
  <si>
    <t>TAM G= 2 PILHAS 16UND= 32UND</t>
  </si>
  <si>
    <t>TAM G= 1 PILHA C/20 UND</t>
  </si>
  <si>
    <t>TAM M: 2 PILHAS C/10UND= 20UND</t>
  </si>
  <si>
    <t>VOL CX GR 2 PTS ZEINE PORTAS/COSTAS 1,980X0,905X0,041</t>
  </si>
  <si>
    <t>PALETE M= 24UN</t>
  </si>
  <si>
    <t>TAM G= 1 PILHA C/32UND</t>
  </si>
  <si>
    <t>TAM G= 1 PILHA C/24 UND</t>
  </si>
  <si>
    <t>TAM G= 2 PILHAS C/12UND=24UND</t>
  </si>
  <si>
    <t>TAM M=2 PILHAS C/10UND= 20UND</t>
  </si>
  <si>
    <t>PALETE G: 23 UND</t>
  </si>
  <si>
    <t>TAM G= 1 PILHA C/18 UND</t>
  </si>
  <si>
    <t>TAM G= 2 PILHAS C/12UND= 24UND</t>
  </si>
  <si>
    <t>TAM G= 2 PILHAS C/16UND =32 UND</t>
  </si>
  <si>
    <t>TAM G= 1 PILHA C/22UND</t>
  </si>
  <si>
    <t>TAM GG= 2 PILHAS C/12UND= 24 UND</t>
  </si>
  <si>
    <t>PALETE G= 30UN</t>
  </si>
  <si>
    <t>TAM G= 1 PILHA C/26 UND</t>
  </si>
  <si>
    <t>VOL CX GR 3 PTS OLLIE 2024 TAMPO 2,775X0,550X0,096</t>
  </si>
  <si>
    <t>PALETE GG= 22UN</t>
  </si>
  <si>
    <t>PALETE GG= 125UN</t>
  </si>
  <si>
    <t>VOL CX GR 3 PTS OLLIE/CALEB 2024 LAT/DIV 2,375X0,550X0,134</t>
  </si>
  <si>
    <t>TAM G= 1 PILHA C/28 UND</t>
  </si>
  <si>
    <t>TAM G= 1 PILHA C/16UND</t>
  </si>
  <si>
    <t>VOL CX GR 3 PTS SAION PORTAS 2,045X0,690X0,055</t>
  </si>
  <si>
    <t>TAM G: 2 PILHAS C/10UND= 20UND</t>
  </si>
  <si>
    <t>PALETE G: 16 UND</t>
  </si>
  <si>
    <t>PALETE G: 30 UND</t>
  </si>
  <si>
    <t>PALETE P: 16 UND</t>
  </si>
  <si>
    <t>PALETE G: 24 UND</t>
  </si>
  <si>
    <t>TAM P = 3 PILHAS C/20UND= 60UN</t>
  </si>
  <si>
    <t>VOL CX GR 3PTS NICE LAT COMP PROCESSOS</t>
  </si>
  <si>
    <t>PALETE G= 32</t>
  </si>
  <si>
    <t>VOL CX GR 3PTS NICE PTS COMP PROCESSOS</t>
  </si>
  <si>
    <t>PALETE G = 16UN</t>
  </si>
  <si>
    <t>VOL CX GR 3PTS NICE TAMPO COMP PROCESSOS</t>
  </si>
  <si>
    <t>PALETE GG = 24UN</t>
  </si>
  <si>
    <t>VOL CX GR 3PTS NICE  DIV/PRAT COMP PROCESSOS</t>
  </si>
  <si>
    <t>PALETE G = 20UN</t>
  </si>
  <si>
    <t>TAM G= 2 PILHAS C/10UND= 20 UND</t>
  </si>
  <si>
    <t>TAM G= 3 PILHAS C/12UND= 36UND</t>
  </si>
  <si>
    <t>TAM M: 4 PILHA C/6 UND =24UND</t>
  </si>
  <si>
    <t>PALETE G: 27 UND</t>
  </si>
  <si>
    <t>PALETE M: 32 UND</t>
  </si>
  <si>
    <t>TAM M= 2 PILHAS C/16UND= 32UND</t>
  </si>
  <si>
    <t>TAM G= 2 PILHAS 10UND= 20UND</t>
  </si>
  <si>
    <t>TAM GG= 2 PILHAS C/20UND= 40UND</t>
  </si>
  <si>
    <t>TAM GG= 2 PILHAS C/14UND= 28UND</t>
  </si>
  <si>
    <t>TAM G= 2 PILHAS C/14UN= 28 UND</t>
  </si>
  <si>
    <t>TAM G= 1 PILHA C/12 UND</t>
  </si>
  <si>
    <t>TAM P= 3 PILHAS C/20UND= 40 UND</t>
  </si>
  <si>
    <t>TAM GG= 2 PILHAS C/14UND= 28 UND</t>
  </si>
  <si>
    <t>TAM GG= 2 PILHA C/12 UND = 24UND</t>
  </si>
  <si>
    <t>VOL CX GR 6 PTS IMPERATORE DIV/PRAT 2,250X0,640X0,102</t>
  </si>
  <si>
    <t>VOL CX GR 6 PTS IMPERATORE LAT/DIV 2,410X0,660X0,057</t>
  </si>
  <si>
    <t>VOL CX GR 6 PTS IMPERATORE PORTAS 2,360X0,445X0,060</t>
  </si>
  <si>
    <t>PALETE G= 36UN</t>
  </si>
  <si>
    <t>VOL CX GR 6 PTS IMPERATORE TAMPO CENT/GAV 1,746X0,640X0,089</t>
  </si>
  <si>
    <t>VOL CX GR 6 PTS IMPERATORE TAMPO/MOLD 2,743X0,625X0,069</t>
  </si>
  <si>
    <t>PALETE GG= 32UN</t>
  </si>
  <si>
    <t>TAM P=2 PILHAS C/18UND= 36 UND</t>
  </si>
  <si>
    <t>TAM G= 2 PILHAS C/14UND= 28UND</t>
  </si>
  <si>
    <t>TAM G= 2 PILHAS 12UND= 24UND</t>
  </si>
  <si>
    <t>VOL CX GR 6 PTS LEDER DIV/PRAT 2,275X0,550X0,103</t>
  </si>
  <si>
    <t>VOL CX GR 6 PTS LEDER LAT 2,375X0,550X0,078</t>
  </si>
  <si>
    <t>VOL CX GR 6 PTS LEDER PORTAS 2,325X0,435X0,103</t>
  </si>
  <si>
    <t>PALETE G= 21UN</t>
  </si>
  <si>
    <t>VOL CX GR 6 PTS LEDER TAMPO 2,745X0,550X0,068</t>
  </si>
  <si>
    <t>PALETE GG= 16UN</t>
  </si>
  <si>
    <t>TAM G= 1 PILHA C/74UND</t>
  </si>
  <si>
    <t>TAM G= 3 PILHAS C/6UND= 18UND</t>
  </si>
  <si>
    <t>PALETE G= 80UN</t>
  </si>
  <si>
    <t>VOL CX GR 6 PTS OLLIE 2 PORTAS RIPADAS 2,295X0,455X0,055</t>
  </si>
  <si>
    <t>PALETE G: 40 UND</t>
  </si>
  <si>
    <t>VOL CX GR 6 PTS OLLIE 2024 LAT/DIV 2,375X0,550X0,134</t>
  </si>
  <si>
    <t>PALETE GG= 14UN</t>
  </si>
  <si>
    <t>VOL CX GR 6 PTS OLLIE 2024 TAMPO 2,775X0,550X0,096</t>
  </si>
  <si>
    <t>PALETE GG= 20UN</t>
  </si>
  <si>
    <t>PALETE G: 32 UND</t>
  </si>
  <si>
    <t>VOL CX GR 6 PTS OLLIE/VINCE LAT/DIV 2,375X0,550X0,073</t>
  </si>
  <si>
    <t>PALETE GG= 12UN</t>
  </si>
  <si>
    <t>VOL CX GR 6 PTS REALI 2021 DIV/PRAT 2,255X0,645X0,102</t>
  </si>
  <si>
    <t>VOL CX GR 6 PTS REALI 2023 PORTAS 2,240X0,460X0,102</t>
  </si>
  <si>
    <t>PALETE G= 18UN</t>
  </si>
  <si>
    <t>VOL CX GR 6 PTS REALI 2023 TAMPO CENT/GAV 1,751X0,645X0,089</t>
  </si>
  <si>
    <t>VOL CX GR 6 PTS REALI NEW/STILLUS NEW LAT/DIV 2,410X0,660X0,057</t>
  </si>
  <si>
    <t>VOL CX GR 6 PTS REALI NEW/STILLUS NEW TAMPO CENT/GAV 1,746X0,640X0,089</t>
  </si>
  <si>
    <t>VOL CX GR 6 PTS REALI NEW/STILLUS NEW TAMPO/MOLD 2,743X0,625X0,069</t>
  </si>
  <si>
    <t>VOL CX GR 6 PTS REALI/STILLUS NEW/IMPERATORE KIT 2GAV 0,875X0,405X0,06</t>
  </si>
  <si>
    <t>PALETE P= 57UN</t>
  </si>
  <si>
    <t>VOL CX GR 6 PTS REALLI/STILLUS 2021 PTS 2,360X0,445X0,060</t>
  </si>
  <si>
    <t>VOL CX GR 6 PTS SOLARIS 2 PORTAS VIDRO 2,305X0,460X0,055</t>
  </si>
  <si>
    <t>PALETE G= 56UN</t>
  </si>
  <si>
    <t>PALETE G= 37UN</t>
  </si>
  <si>
    <t>VOL CX GR 6 PTS SOLARIS 4 PORTAS MDF 2,305X0,460X0,062</t>
  </si>
  <si>
    <t>PALETE G: 28 UND</t>
  </si>
  <si>
    <t>TAM G= 3 PILHAS C/6UND = 18UND</t>
  </si>
  <si>
    <t>PALETE M: 28 UND</t>
  </si>
  <si>
    <t>TAM G = 2 PILHAS C/18UND = 36UND</t>
  </si>
  <si>
    <t>TAM G= 2 PILHAS C/12UND = 24UND</t>
  </si>
  <si>
    <t>TAM G= 2 PILHAS C/14UND = 28UND</t>
  </si>
  <si>
    <t>TAM G = 2 PILHAS C/10UND = 20UND</t>
  </si>
  <si>
    <t>TAM GG= 2 PILHAS C/16UND = 32UND</t>
  </si>
  <si>
    <t>TAM M: 2 PILHAS C/8UND= 16UND</t>
  </si>
  <si>
    <t>TAM GG: 3 PILHAS C/8UND= 24UND</t>
  </si>
  <si>
    <t>TAM G: 2 PILHAS C/12UND=24UND</t>
  </si>
  <si>
    <t>TAM M: 4 PILHAS C/5UND=20UND</t>
  </si>
  <si>
    <t>TAM GG: 2 PILHAS C/12UND=24UND</t>
  </si>
  <si>
    <t>TAM G= 1 PILHA C/72UND</t>
  </si>
  <si>
    <t>TAM G = 1 PILHA C/80UND</t>
  </si>
  <si>
    <t>PALETE P: 525 UND</t>
  </si>
  <si>
    <t>PALETE P: 140 UND</t>
  </si>
  <si>
    <t>PALETE P: 416 UND</t>
  </si>
  <si>
    <t>TAM GG = 2 PILHAS 10UND= 20UND</t>
  </si>
  <si>
    <t>PALETE P: 19 UN</t>
  </si>
  <si>
    <t>TAM M= 3 PILHAS C/6UND= 18UND</t>
  </si>
  <si>
    <t>TAM GG= 1 PILHA C/18 UND</t>
  </si>
  <si>
    <t>TAM M= 2 PILHAS C/14UND= 28UND</t>
  </si>
  <si>
    <t>TAM M= 1 PILHA C/13UND</t>
  </si>
  <si>
    <t>TAM M= 2 PILHAS C/17 UND= 34UND</t>
  </si>
  <si>
    <t>TAM M= 1 PILHA C/18UND</t>
  </si>
  <si>
    <t>TAM P= 2 PILHAS C/18UND= 36UND</t>
  </si>
  <si>
    <t>PALETE M: 22 UND</t>
  </si>
  <si>
    <t>TAM P= 3 PILHAS C/7UND= 21UND</t>
  </si>
  <si>
    <t>TAM P= 3 PILHAS C/12UND= 36UND</t>
  </si>
  <si>
    <t>VOL CX MESA DE CABECEIRA LEDER EXP 0,625X0,437X0,133</t>
  </si>
  <si>
    <t>PALETE P= 37UN</t>
  </si>
  <si>
    <t>TAM P=3 PILHAS C/10UND= 30UND</t>
  </si>
  <si>
    <t>PALETE P= 40UN</t>
  </si>
  <si>
    <t>PALLET P = 9UN</t>
  </si>
  <si>
    <t>PALLET M = 30UN</t>
  </si>
  <si>
    <t>TAM P= 1 PILHA C/11UND</t>
  </si>
  <si>
    <t>VOL CX PAINEL CAMA 0,90 LOOP 2025 EXP 1,040X0,593X0,160</t>
  </si>
  <si>
    <t>PALETE P= 16UN</t>
  </si>
  <si>
    <t>VOL CX PAINEL CAMA CASAL 1,40 LEDER</t>
  </si>
  <si>
    <t>TAM M= 1 PILHA C/11 UND</t>
  </si>
  <si>
    <t>VOL CX PAINEL CAMA CASAL 1,40 LOOP 2025 EXP 1,540X0,593X0,160</t>
  </si>
  <si>
    <t>VOL CX PAINEL CAMA CASAL 1,60 LEDER</t>
  </si>
  <si>
    <t>PALETE M= 13UN</t>
  </si>
  <si>
    <t>TAM M= 1 PILHA C/11UND</t>
  </si>
  <si>
    <t>VOL CX PAINEL CAMA CASAL 1,60 LOOP EXP 1,735X0,538X0,180</t>
  </si>
  <si>
    <t>PALETE M: 12 UND</t>
  </si>
  <si>
    <t>VOL CX PAINEL CAMA CHICAGO CASAL 1,60</t>
  </si>
  <si>
    <t>PALETE M= 62UN</t>
  </si>
  <si>
    <t>PALETE P: 100 UND</t>
  </si>
  <si>
    <t>VOL CX PAINEL LOOP EXP CASAL 1,40</t>
  </si>
  <si>
    <t>VOL CX PAINEL LOOP SOLTEIRO 0,90 EXP</t>
  </si>
  <si>
    <t>TAM M= 1 PILHA C/52UND</t>
  </si>
  <si>
    <t>TAM P= 1 PILHA C/52UND</t>
  </si>
  <si>
    <t>PALLET P = 12UN</t>
  </si>
  <si>
    <t>TAM M= 5 PILHAS C/9UND= 45UND</t>
  </si>
  <si>
    <t>TAM M= 7 PILHAS C/7UND= 49UND</t>
  </si>
  <si>
    <t>TAM M= 7 PILHAS C/8UND= 56UND</t>
  </si>
  <si>
    <t>PALETE P: 40 UND</t>
  </si>
  <si>
    <t>TAM M= 4 PILHAS C/5UND= 20UND</t>
  </si>
  <si>
    <t>TAM G= 3 PILHAS C/6UND= 18 UND</t>
  </si>
  <si>
    <t>TAM GG = 2 PILHAS C/12UND= 24UND</t>
  </si>
  <si>
    <t>TAM P= 2 PILHAS C/6UND= 12 UND</t>
  </si>
  <si>
    <t>PALETE P: 14 UND</t>
  </si>
  <si>
    <t>PALETE P: 27 UND</t>
  </si>
  <si>
    <t>VOL CX SAPATEIRA ESTHELA</t>
  </si>
  <si>
    <t>PALETE M= 26UN</t>
  </si>
  <si>
    <t>PALETE M: 29 UND</t>
  </si>
  <si>
    <t>TAM M= 3 PILHAS C/7UND= 21UND</t>
  </si>
  <si>
    <t>TAM M= 2 PILHAS C/18UND= 36UND</t>
  </si>
  <si>
    <t>TAM M= 2 PILHAS C/12UND= 24UND</t>
  </si>
  <si>
    <t>PALETE P: 35 UND</t>
  </si>
  <si>
    <t>PALETE G=20UN</t>
  </si>
  <si>
    <t>TAM M = 2 PILHAS C/10UND = 20UND</t>
  </si>
  <si>
    <t>VOL CX TAMPO GR 06 PTS LEDER EXP 2,745X0,550X0,068</t>
  </si>
  <si>
    <t>TAM GG= 2 PILHAS C/12UND = 24UND</t>
  </si>
  <si>
    <t>TAM P= 1 PILHA C/17UND</t>
  </si>
  <si>
    <t>VOL CX TAMPO MESA 1,0 NEVADA PLUS CANTO RETO</t>
  </si>
  <si>
    <t>PALETE P= 17UN</t>
  </si>
  <si>
    <t>PALETE P= 13UN</t>
  </si>
  <si>
    <t>PALETE P: 18 UND</t>
  </si>
  <si>
    <t>TAM M= 2 PILHAS C/17UND= 34UND</t>
  </si>
  <si>
    <t>TAM M= 1 PILHA C/17UND</t>
  </si>
  <si>
    <t>TAM M= 1 PILHA C/17 UND</t>
  </si>
  <si>
    <t>PALETE M: 26 UND</t>
  </si>
  <si>
    <t>TAM M= 1 PILHA C/28UND</t>
  </si>
  <si>
    <t>TAM M =2 PILHAS C/7UND+1 PILHA C/1UND=15UND</t>
  </si>
  <si>
    <t>TAM P = 2 PILHAS C/10UND= 20UND</t>
  </si>
  <si>
    <t>TAM M =3 PILHAS C/10UND= 30UND</t>
  </si>
  <si>
    <t>TAM P = 3 PILHAS C/10UND= 30UND</t>
  </si>
  <si>
    <t>TAM P = 3 PILHAS C/12UND= 36UND</t>
  </si>
  <si>
    <t>VOL GR 2 PTS TORONTO 2,40 -(TAMPO) 2,455X0,560X0,090</t>
  </si>
  <si>
    <t>PALETE G= 2 PILHAS 12UN</t>
  </si>
  <si>
    <t>PALETE GG: 120 UND</t>
  </si>
  <si>
    <t>PALETE P: 178 UND</t>
  </si>
  <si>
    <t>PALETE P: 866 UND</t>
  </si>
  <si>
    <t>PALETE P : 615 UND</t>
  </si>
  <si>
    <t>PALETE G=24UN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</si>
</sst>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(#,##0);&quot;-&quot;"/>
    <numFmt numFmtId="165" formatCode="#,##0.0;(#,##0.0);&quot;-&quot;"/>
    <numFmt numFmtId="166" formatCode="&quot;R$&quot; #,##0.00;(&quot;R$&quot; #,##0.00);&quot;-&quot;"/>
    <numFmt numFmtId="167" formatCode="0.0%;(0.0%);&quot;-&quot;"/>
    <numFmt numFmtId="168" formatCode="#,##0.000;(#,##0.000);&quot;-&quot;"/>
  </numFmts>
  <fonts count="10" x14ac:knownFonts="1">
    <font>
      <color theme="1"/>
      <family val="2"/>
      <scheme val="minor"/>
      <sz val="11"/>
      <name val="Calibri"/>
    </font>
    <font>
      <b/>
      <color rgb="FF12324A"/>
      <sz val="14"/>
      <name val="Arial"/>
    </font>
    <font>
      <i/>
      <color rgb="FF6B7B7A"/>
      <sz val="9"/>
      <name val="Arial"/>
    </font>
    <font>
      <b/>
      <color rgb="FF1F6F6B"/>
      <sz val="11"/>
      <name val="Arial"/>
    </font>
    <font>
      <b/>
      <color rgb="FFFFFFFF"/>
      <sz val="10"/>
      <name val="Arial"/>
    </font>
    <font>
      <sz val="10"/>
      <name val="Arial"/>
    </font>
    <font>
      <b/>
      <color rgb="FF12324A"/>
      <sz val="10"/>
      <name val="Arial"/>
    </font>
    <font>
      <color rgb="FF000000"/>
      <sz val="9"/>
      <name val="Arial"/>
    </font>
    <font>
      <color rgb="FF0000FF"/>
      <sz val="9"/>
      <name val="Arial"/>
    </font>
    <font>
      <color rgb="FF008000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2324A"/>
      </patternFill>
    </fill>
    <fill>
      <patternFill patternType="solid">
        <fgColor rgb="FFEAF2F1"/>
      </patternFill>
    </fill>
    <fill>
      <patternFill patternType="solid">
        <fgColor rgb="FFF7F9F9"/>
      </patternFill>
    </fill>
    <fill>
      <patternFill patternType="solid">
        <fgColor rgb="FF1F6F6B"/>
      </patternFill>
    </fill>
    <fill>
      <patternFill patternType="solid">
        <fgColor rgb="FF5B6B6A"/>
      </patternFill>
    </fill>
  </fills>
  <borders count="4">
    <border>
      <left/>
      <right/>
      <top/>
      <bottom/>
      <diagonal/>
    </border>
    <border>
      <left/>
      <right/>
      <top/>
      <bottom style="thin">
        <color rgb="FFD5DEDD"/>
      </bottom>
      <diagonal/>
    </border>
    <border>
      <left/>
      <right/>
      <top/>
      <bottom style="hair">
        <color rgb="FFD5DEDD"/>
      </bottom>
      <diagonal/>
    </border>
    <border>
      <left/>
      <right/>
      <top style="thin">
        <color rgb="FF12324A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164" fontId="5" fillId="0" borderId="2" xfId="0" applyNumberFormat="1" applyFont="1" applyBorder="1"/>
    <xf numFmtId="165" fontId="5" fillId="0" borderId="2" xfId="0" applyNumberFormat="1" applyFont="1" applyBorder="1"/>
    <xf numFmtId="166" fontId="5" fillId="0" borderId="2" xfId="0" applyNumberFormat="1" applyFont="1" applyBorder="1"/>
    <xf numFmtId="167" fontId="5" fillId="0" borderId="2" xfId="0" applyNumberFormat="1" applyFont="1" applyBorder="1"/>
    <xf numFmtId="0" fontId="6" fillId="3" borderId="3" xfId="0" applyFont="1" applyFill="1" applyBorder="1"/>
    <xf numFmtId="164" fontId="6" fillId="3" borderId="3" xfId="0" applyNumberFormat="1" applyFont="1" applyFill="1" applyBorder="1"/>
    <xf numFmtId="165" fontId="6" fillId="3" borderId="3" xfId="0" applyNumberFormat="1" applyFont="1" applyFill="1" applyBorder="1"/>
    <xf numFmtId="166" fontId="6" fillId="3" borderId="3" xfId="0" applyNumberFormat="1" applyFont="1" applyFill="1" applyBorder="1"/>
    <xf numFmtId="167" fontId="6" fillId="3" borderId="3" xfId="0" applyNumberFormat="1" applyFont="1" applyFill="1" applyBorder="1"/>
    <xf numFmtId="0" fontId="6" fillId="3" borderId="0" xfId="0" applyFont="1" applyFill="1"/>
    <xf numFmtId="164" fontId="6" fillId="3" borderId="0" xfId="0" applyNumberFormat="1" applyFont="1" applyFill="1"/>
    <xf numFmtId="166" fontId="6" fillId="3" borderId="0" xfId="0" applyNumberFormat="1" applyFont="1" applyFill="1"/>
    <xf numFmtId="167" fontId="6" fillId="3" borderId="0" xfId="0" applyNumberFormat="1" applyFont="1" applyFill="1"/>
    <xf numFmtId="165" fontId="6" fillId="3" borderId="0" xfId="0" applyNumberFormat="1" applyFont="1" applyFill="1"/>
    <xf numFmtId="0" fontId="7" fillId="0" borderId="2" xfId="0" applyFont="1" applyBorder="1"/>
    <xf numFmtId="0" fontId="8" fillId="0" borderId="2" xfId="0" applyFont="1" applyBorder="1"/>
    <xf numFmtId="0" fontId="9" fillId="0" borderId="2" xfId="0" applyFont="1" applyBorder="1" applyAlignment="1">
      <alignment horizontal="center"/>
    </xf>
    <xf numFmtId="164" fontId="8" fillId="0" borderId="2" xfId="0" applyNumberFormat="1" applyFont="1" applyBorder="1"/>
    <xf numFmtId="164" fontId="9" fillId="0" borderId="2" xfId="0" applyNumberFormat="1" applyFont="1" applyBorder="1"/>
    <xf numFmtId="164" fontId="7" fillId="0" borderId="2" xfId="0" applyNumberFormat="1" applyFont="1" applyBorder="1"/>
    <xf numFmtId="168" fontId="8" fillId="0" borderId="2" xfId="0" applyNumberFormat="1" applyFont="1" applyBorder="1"/>
    <xf numFmtId="166" fontId="8" fillId="0" borderId="2" xfId="0" applyNumberFormat="1" applyFont="1" applyBorder="1"/>
    <xf numFmtId="166" fontId="7" fillId="0" borderId="2" xfId="0" applyNumberFormat="1" applyFont="1" applyBorder="1"/>
    <xf numFmtId="167" fontId="7" fillId="0" borderId="2" xfId="0" applyNumberFormat="1" applyFont="1" applyBorder="1"/>
    <xf numFmtId="0" fontId="9" fillId="0" borderId="2" xfId="0" applyFont="1" applyBorder="1"/>
    <xf numFmtId="165" fontId="7" fillId="0" borderId="2" xfId="0" applyNumberFormat="1" applyFont="1" applyBorder="1"/>
    <xf numFmtId="0" fontId="7" fillId="4" borderId="2" xfId="0" applyFont="1" applyFill="1" applyBorder="1"/>
    <xf numFmtId="0" fontId="8" fillId="4" borderId="2" xfId="0" applyFont="1" applyFill="1" applyBorder="1"/>
    <xf numFmtId="0" fontId="9" fillId="4" borderId="2" xfId="0" applyFont="1" applyFill="1" applyBorder="1" applyAlignment="1">
      <alignment horizontal="center"/>
    </xf>
    <xf numFmtId="164" fontId="8" fillId="4" borderId="2" xfId="0" applyNumberFormat="1" applyFont="1" applyFill="1" applyBorder="1"/>
    <xf numFmtId="164" fontId="9" fillId="4" borderId="2" xfId="0" applyNumberFormat="1" applyFont="1" applyFill="1" applyBorder="1"/>
    <xf numFmtId="164" fontId="7" fillId="4" borderId="2" xfId="0" applyNumberFormat="1" applyFont="1" applyFill="1" applyBorder="1"/>
    <xf numFmtId="168" fontId="8" fillId="4" borderId="2" xfId="0" applyNumberFormat="1" applyFont="1" applyFill="1" applyBorder="1"/>
    <xf numFmtId="166" fontId="8" fillId="4" borderId="2" xfId="0" applyNumberFormat="1" applyFont="1" applyFill="1" applyBorder="1"/>
    <xf numFmtId="166" fontId="7" fillId="4" borderId="2" xfId="0" applyNumberFormat="1" applyFont="1" applyFill="1" applyBorder="1"/>
    <xf numFmtId="167" fontId="7" fillId="4" borderId="2" xfId="0" applyNumberFormat="1" applyFont="1" applyFill="1" applyBorder="1"/>
    <xf numFmtId="0" fontId="9" fillId="4" borderId="2" xfId="0" applyFont="1" applyFill="1" applyBorder="1"/>
    <xf numFmtId="165" fontId="7" fillId="4" borderId="2" xfId="0" applyNumberFormat="1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168" fontId="8" fillId="0" borderId="0" xfId="0" applyNumberFormat="1" applyFont="1"/>
    <xf numFmtId="166" fontId="8" fillId="0" borderId="0" xfId="0" applyNumberFormat="1" applyFont="1"/>
    <xf numFmtId="164" fontId="8" fillId="0" borderId="0" xfId="0" applyNumberFormat="1" applyFont="1"/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324A"/>
  </sheetPr>
  <dimension ref="A1:K30"/>
  <sheetViews>
    <sheetView workbookViewId="0" showGridLines="0"/>
  </sheetViews>
  <sheetFormatPr defaultRowHeight="15" outlineLevelRow="0" outlineLevelCol="0" x14ac:dyDescent="55"/>
  <cols>
    <col min="1" max="1" width="30" customWidth="1"/>
    <col min="3" max="3" width="13" customWidth="1"/>
    <col min="4" max="5" width="12" customWidth="1"/>
    <col min="6" max="7" width="13" customWidth="1"/>
    <col min="8" max="8" width="14" customWidth="1"/>
    <col min="9" max="10" width="17" customWidth="1"/>
    <col min="11" max="11" width="10" customWidth="1"/>
  </cols>
  <sheetData>
    <row r="1" ht="2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" x14ac:dyDescent="0.25">
      <c r="A4" s="3" t="s">
        <v>2</v>
      </c>
    </row>
    <row r="5" ht="32" customHeight="1" spans="1:1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 x14ac:dyDescent="0.25">
      <c r="A6" s="5" t="s">
        <v>14</v>
      </c>
      <c r="B6" s="6">
        <f>COUNTIF(Estoque!$H$5:$H$789,$A6)</f>
      </c>
      <c r="C6" s="6">
        <f>SUMIF(Estoque!$H$5:$H$789,$A6,Estoque!$J$5:$J$789)</f>
      </c>
      <c r="D6" s="6">
        <f>SUMIF(Estoque!$H$5:$H$789,$A6,Estoque!$K$5:$K$789)</f>
      </c>
      <c r="E6" s="6">
        <f>SUMIF(Estoque!$H$5:$H$789,$A6,Estoque!$L$5:$L$789)</f>
      </c>
      <c r="F6" s="6">
        <f>SUMIF(Estoque!$H$5:$H$789,$A6,Estoque!$M$5:$M$789)</f>
      </c>
      <c r="G6" s="7">
        <f>SUMIF(Estoque!$H$5:$H$789,$A6,Estoque!$O$5:$O$789)/1000</f>
      </c>
      <c r="H6" s="7">
        <f>SUMIF(Estoque!$H$5:$H$789,$A6,Estoque!$P$5:$P$789)/1000</f>
      </c>
      <c r="I6" s="8">
        <f>SUMIF(Estoque!$H$5:$H$789,$A6,Estoque!$R$5:$R$789)</f>
      </c>
      <c r="J6" s="8">
        <f>SUMIF(Estoque!$H$5:$H$789,$A6,Estoque!$S$5:$S$789)</f>
      </c>
      <c r="K6" s="9">
        <f>IF(C6=0,0,E6/C6)</f>
      </c>
    </row>
    <row r="7" spans="1:11" x14ac:dyDescent="0.25">
      <c r="A7" s="5" t="s">
        <v>15</v>
      </c>
      <c r="B7" s="6">
        <f>COUNTIF(Estoque!$H$5:$H$789,$A7)</f>
      </c>
      <c r="C7" s="6">
        <f>SUMIF(Estoque!$H$5:$H$789,$A7,Estoque!$J$5:$J$789)</f>
      </c>
      <c r="D7" s="6">
        <f>SUMIF(Estoque!$H$5:$H$789,$A7,Estoque!$K$5:$K$789)</f>
      </c>
      <c r="E7" s="6">
        <f>SUMIF(Estoque!$H$5:$H$789,$A7,Estoque!$L$5:$L$789)</f>
      </c>
      <c r="F7" s="6">
        <f>SUMIF(Estoque!$H$5:$H$789,$A7,Estoque!$M$5:$M$789)</f>
      </c>
      <c r="G7" s="7">
        <f>SUMIF(Estoque!$H$5:$H$789,$A7,Estoque!$O$5:$O$789)/1000</f>
      </c>
      <c r="H7" s="7">
        <f>SUMIF(Estoque!$H$5:$H$789,$A7,Estoque!$P$5:$P$789)/1000</f>
      </c>
      <c r="I7" s="8">
        <f>SUMIF(Estoque!$H$5:$H$789,$A7,Estoque!$R$5:$R$789)</f>
      </c>
      <c r="J7" s="8">
        <f>SUMIF(Estoque!$H$5:$H$789,$A7,Estoque!$S$5:$S$789)</f>
      </c>
      <c r="K7" s="9">
        <f>IF(C7=0,0,E7/C7)</f>
      </c>
    </row>
    <row r="8" spans="1:11" x14ac:dyDescent="0.25">
      <c r="A8" s="5" t="s">
        <v>16</v>
      </c>
      <c r="B8" s="6">
        <f>COUNTIF(Estoque!$H$5:$H$789,$A8)</f>
      </c>
      <c r="C8" s="6">
        <f>SUMIF(Estoque!$H$5:$H$789,$A8,Estoque!$J$5:$J$789)</f>
      </c>
      <c r="D8" s="6">
        <f>SUMIF(Estoque!$H$5:$H$789,$A8,Estoque!$K$5:$K$789)</f>
      </c>
      <c r="E8" s="6">
        <f>SUMIF(Estoque!$H$5:$H$789,$A8,Estoque!$L$5:$L$789)</f>
      </c>
      <c r="F8" s="6">
        <f>SUMIF(Estoque!$H$5:$H$789,$A8,Estoque!$M$5:$M$789)</f>
      </c>
      <c r="G8" s="7">
        <f>SUMIF(Estoque!$H$5:$H$789,$A8,Estoque!$O$5:$O$789)/1000</f>
      </c>
      <c r="H8" s="7">
        <f>SUMIF(Estoque!$H$5:$H$789,$A8,Estoque!$P$5:$P$789)/1000</f>
      </c>
      <c r="I8" s="8">
        <f>SUMIF(Estoque!$H$5:$H$789,$A8,Estoque!$R$5:$R$789)</f>
      </c>
      <c r="J8" s="8">
        <f>SUMIF(Estoque!$H$5:$H$789,$A8,Estoque!$S$5:$S$789)</f>
      </c>
      <c r="K8" s="9">
        <f>IF(C8=0,0,E8/C8)</f>
      </c>
    </row>
    <row r="9" spans="1:11" x14ac:dyDescent="0.25">
      <c r="A9" s="10" t="s">
        <v>17</v>
      </c>
      <c r="B9" s="11">
        <f>SUM(B6:B8)</f>
      </c>
      <c r="C9" s="11">
        <f>SUM(C6:C8)</f>
      </c>
      <c r="D9" s="11">
        <f>SUM(D6:D8)</f>
      </c>
      <c r="E9" s="11">
        <f>SUM(E6:E8)</f>
      </c>
      <c r="F9" s="11">
        <f>SUM(F6:F8)</f>
      </c>
      <c r="G9" s="12">
        <f>SUM(G6:G8)</f>
      </c>
      <c r="H9" s="12">
        <f>SUM(H6:H8)</f>
      </c>
      <c r="I9" s="13">
        <f>SUM(I6:I8)</f>
      </c>
      <c r="J9" s="13">
        <f>SUM(J6:J8)</f>
      </c>
      <c r="K9" s="14">
        <f>IF(C9=0,0,E9/C9)</f>
      </c>
    </row>
    <row r="12" spans="1:1" x14ac:dyDescent="0.25">
      <c r="A12" s="3" t="s">
        <v>18</v>
      </c>
    </row>
    <row r="13" ht="32" customHeight="1" spans="1:11" x14ac:dyDescent="0.25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  <c r="J13" s="4" t="s">
        <v>12</v>
      </c>
      <c r="K13" s="4" t="s">
        <v>13</v>
      </c>
    </row>
    <row r="14" spans="1:11" x14ac:dyDescent="0.25">
      <c r="A14" s="5" t="s">
        <v>19</v>
      </c>
      <c r="B14" s="6">
        <f>COUNTIF(Estoque!$I$5:$I$789,$A14)</f>
      </c>
      <c r="C14" s="6">
        <f>SUMIF(Estoque!$I$5:$I$789,$A14,Estoque!$J$5:$J$789)</f>
      </c>
      <c r="D14" s="6">
        <f>SUMIF(Estoque!$I$5:$I$789,$A14,Estoque!$K$5:$K$789)</f>
      </c>
      <c r="E14" s="6">
        <f>SUMIF(Estoque!$I$5:$I$789,$A14,Estoque!$L$5:$L$789)</f>
      </c>
      <c r="F14" s="6">
        <f>SUMIF(Estoque!$I$5:$I$789,$A14,Estoque!$M$5:$M$789)</f>
      </c>
      <c r="G14" s="7">
        <f>SUMIF(Estoque!$I$5:$I$789,$A14,Estoque!$O$5:$O$789)/1000</f>
      </c>
      <c r="H14" s="7">
        <f>SUMIF(Estoque!$I$5:$I$789,$A14,Estoque!$P$5:$P$789)/1000</f>
      </c>
      <c r="I14" s="8">
        <f>SUMIF(Estoque!$I$5:$I$789,$A14,Estoque!$R$5:$R$789)</f>
      </c>
      <c r="J14" s="8">
        <f>SUMIF(Estoque!$I$5:$I$789,$A14,Estoque!$S$5:$S$789)</f>
      </c>
      <c r="K14" s="9">
        <f>IF(C14=0,0,E14/C14)</f>
      </c>
    </row>
    <row r="15" spans="1:11" x14ac:dyDescent="0.25">
      <c r="A15" s="5" t="s">
        <v>20</v>
      </c>
      <c r="B15" s="6">
        <f>COUNTIF(Estoque!$I$5:$I$789,$A15)</f>
      </c>
      <c r="C15" s="6">
        <f>SUMIF(Estoque!$I$5:$I$789,$A15,Estoque!$J$5:$J$789)</f>
      </c>
      <c r="D15" s="6">
        <f>SUMIF(Estoque!$I$5:$I$789,$A15,Estoque!$K$5:$K$789)</f>
      </c>
      <c r="E15" s="6">
        <f>SUMIF(Estoque!$I$5:$I$789,$A15,Estoque!$L$5:$L$789)</f>
      </c>
      <c r="F15" s="6">
        <f>SUMIF(Estoque!$I$5:$I$789,$A15,Estoque!$M$5:$M$789)</f>
      </c>
      <c r="G15" s="7">
        <f>SUMIF(Estoque!$I$5:$I$789,$A15,Estoque!$O$5:$O$789)/1000</f>
      </c>
      <c r="H15" s="7">
        <f>SUMIF(Estoque!$I$5:$I$789,$A15,Estoque!$P$5:$P$789)/1000</f>
      </c>
      <c r="I15" s="8">
        <f>SUMIF(Estoque!$I$5:$I$789,$A15,Estoque!$R$5:$R$789)</f>
      </c>
      <c r="J15" s="8">
        <f>SUMIF(Estoque!$I$5:$I$789,$A15,Estoque!$S$5:$S$789)</f>
      </c>
      <c r="K15" s="9">
        <f>IF(C15=0,0,E15/C15)</f>
      </c>
    </row>
    <row r="16" spans="1:11" x14ac:dyDescent="0.25">
      <c r="A16" s="5" t="s">
        <v>21</v>
      </c>
      <c r="B16" s="6">
        <f>COUNTIF(Estoque!$I$5:$I$789,$A16)</f>
      </c>
      <c r="C16" s="6">
        <f>SUMIF(Estoque!$I$5:$I$789,$A16,Estoque!$J$5:$J$789)</f>
      </c>
      <c r="D16" s="6">
        <f>SUMIF(Estoque!$I$5:$I$789,$A16,Estoque!$K$5:$K$789)</f>
      </c>
      <c r="E16" s="6">
        <f>SUMIF(Estoque!$I$5:$I$789,$A16,Estoque!$L$5:$L$789)</f>
      </c>
      <c r="F16" s="6">
        <f>SUMIF(Estoque!$I$5:$I$789,$A16,Estoque!$M$5:$M$789)</f>
      </c>
      <c r="G16" s="7">
        <f>SUMIF(Estoque!$I$5:$I$789,$A16,Estoque!$O$5:$O$789)/1000</f>
      </c>
      <c r="H16" s="7">
        <f>SUMIF(Estoque!$I$5:$I$789,$A16,Estoque!$P$5:$P$789)/1000</f>
      </c>
      <c r="I16" s="8">
        <f>SUMIF(Estoque!$I$5:$I$789,$A16,Estoque!$R$5:$R$789)</f>
      </c>
      <c r="J16" s="8">
        <f>SUMIF(Estoque!$I$5:$I$789,$A16,Estoque!$S$5:$S$789)</f>
      </c>
      <c r="K16" s="9">
        <f>IF(C16=0,0,E16/C16)</f>
      </c>
    </row>
    <row r="17" spans="1:11" x14ac:dyDescent="0.25">
      <c r="A17" s="10" t="s">
        <v>17</v>
      </c>
      <c r="B17" s="11">
        <f>SUM(B14:B16)</f>
      </c>
      <c r="C17" s="11">
        <f>SUM(C14:C16)</f>
      </c>
      <c r="D17" s="11">
        <f>SUM(D14:D16)</f>
      </c>
      <c r="E17" s="11">
        <f>SUM(E14:E16)</f>
      </c>
      <c r="F17" s="11">
        <f>SUM(F14:F16)</f>
      </c>
      <c r="G17" s="12">
        <f>SUM(G14:G16)</f>
      </c>
      <c r="H17" s="12">
        <f>SUM(H14:H16)</f>
      </c>
      <c r="I17" s="13">
        <f>SUM(I14:I16)</f>
      </c>
      <c r="J17" s="13">
        <f>SUM(J14:J16)</f>
      </c>
      <c r="K17" s="14">
        <f>IF(C17=0,0,E17/C17)</f>
      </c>
    </row>
    <row r="20" spans="1:1" x14ac:dyDescent="0.25">
      <c r="A20" s="3" t="s">
        <v>22</v>
      </c>
    </row>
    <row r="21" ht="32" customHeight="1" spans="1:11" x14ac:dyDescent="0.25">
      <c r="A21" s="4" t="s">
        <v>3</v>
      </c>
      <c r="B21" s="4" t="s">
        <v>4</v>
      </c>
      <c r="C21" s="4" t="s">
        <v>5</v>
      </c>
      <c r="D21" s="4" t="s">
        <v>6</v>
      </c>
      <c r="E21" s="4" t="s">
        <v>7</v>
      </c>
      <c r="F21" s="4" t="s">
        <v>8</v>
      </c>
      <c r="G21" s="4" t="s">
        <v>9</v>
      </c>
      <c r="H21" s="4" t="s">
        <v>10</v>
      </c>
      <c r="I21" s="4" t="s">
        <v>11</v>
      </c>
      <c r="J21" s="4" t="s">
        <v>12</v>
      </c>
      <c r="K21" s="4" t="s">
        <v>13</v>
      </c>
    </row>
    <row r="22" spans="1:11" x14ac:dyDescent="0.25">
      <c r="A22" s="5" t="s">
        <v>23</v>
      </c>
      <c r="B22" s="6">
        <f>COUNTIF(Estoque!$F$5:$F$789,$A22)</f>
      </c>
      <c r="C22" s="6">
        <f>SUMIF(Estoque!$F$5:$F$789,$A22,Estoque!$J$5:$J$789)</f>
      </c>
      <c r="D22" s="6">
        <f>SUMIF(Estoque!$F$5:$F$789,$A22,Estoque!$K$5:$K$789)</f>
      </c>
      <c r="E22" s="6">
        <f>SUMIF(Estoque!$F$5:$F$789,$A22,Estoque!$L$5:$L$789)</f>
      </c>
      <c r="F22" s="6">
        <f>SUMIF(Estoque!$F$5:$F$789,$A22,Estoque!$M$5:$M$789)</f>
      </c>
      <c r="G22" s="7">
        <f>SUMIF(Estoque!$F$5:$F$789,$A22,Estoque!$O$5:$O$789)/1000</f>
      </c>
      <c r="H22" s="7">
        <f>SUMIF(Estoque!$F$5:$F$789,$A22,Estoque!$P$5:$P$789)/1000</f>
      </c>
      <c r="I22" s="8">
        <f>SUMIF(Estoque!$F$5:$F$789,$A22,Estoque!$R$5:$R$789)</f>
      </c>
      <c r="J22" s="8">
        <f>SUMIF(Estoque!$F$5:$F$789,$A22,Estoque!$S$5:$S$789)</f>
      </c>
      <c r="K22" s="9">
        <f>IF(C22=0,0,E22/C22)</f>
      </c>
    </row>
    <row r="23" spans="1:11" x14ac:dyDescent="0.25">
      <c r="A23" s="5" t="s">
        <v>24</v>
      </c>
      <c r="B23" s="6">
        <f>COUNTIF(Estoque!$F$5:$F$789,$A23)</f>
      </c>
      <c r="C23" s="6">
        <f>SUMIF(Estoque!$F$5:$F$789,$A23,Estoque!$J$5:$J$789)</f>
      </c>
      <c r="D23" s="6">
        <f>SUMIF(Estoque!$F$5:$F$789,$A23,Estoque!$K$5:$K$789)</f>
      </c>
      <c r="E23" s="6">
        <f>SUMIF(Estoque!$F$5:$F$789,$A23,Estoque!$L$5:$L$789)</f>
      </c>
      <c r="F23" s="6">
        <f>SUMIF(Estoque!$F$5:$F$789,$A23,Estoque!$M$5:$M$789)</f>
      </c>
      <c r="G23" s="7">
        <f>SUMIF(Estoque!$F$5:$F$789,$A23,Estoque!$O$5:$O$789)/1000</f>
      </c>
      <c r="H23" s="7">
        <f>SUMIF(Estoque!$F$5:$F$789,$A23,Estoque!$P$5:$P$789)/1000</f>
      </c>
      <c r="I23" s="8">
        <f>SUMIF(Estoque!$F$5:$F$789,$A23,Estoque!$R$5:$R$789)</f>
      </c>
      <c r="J23" s="8">
        <f>SUMIF(Estoque!$F$5:$F$789,$A23,Estoque!$S$5:$S$789)</f>
      </c>
      <c r="K23" s="9">
        <f>IF(C23=0,0,E23/C23)</f>
      </c>
    </row>
    <row r="24" spans="1:11" x14ac:dyDescent="0.25">
      <c r="A24" s="5" t="s">
        <v>25</v>
      </c>
      <c r="B24" s="6">
        <f>COUNTIF(Estoque!$F$5:$F$789,$A24)</f>
      </c>
      <c r="C24" s="6">
        <f>SUMIF(Estoque!$F$5:$F$789,$A24,Estoque!$J$5:$J$789)</f>
      </c>
      <c r="D24" s="6">
        <f>SUMIF(Estoque!$F$5:$F$789,$A24,Estoque!$K$5:$K$789)</f>
      </c>
      <c r="E24" s="6">
        <f>SUMIF(Estoque!$F$5:$F$789,$A24,Estoque!$L$5:$L$789)</f>
      </c>
      <c r="F24" s="6">
        <f>SUMIF(Estoque!$F$5:$F$789,$A24,Estoque!$M$5:$M$789)</f>
      </c>
      <c r="G24" s="7">
        <f>SUMIF(Estoque!$F$5:$F$789,$A24,Estoque!$O$5:$O$789)/1000</f>
      </c>
      <c r="H24" s="7">
        <f>SUMIF(Estoque!$F$5:$F$789,$A24,Estoque!$P$5:$P$789)/1000</f>
      </c>
      <c r="I24" s="8">
        <f>SUMIF(Estoque!$F$5:$F$789,$A24,Estoque!$R$5:$R$789)</f>
      </c>
      <c r="J24" s="8">
        <f>SUMIF(Estoque!$F$5:$F$789,$A24,Estoque!$S$5:$S$789)</f>
      </c>
      <c r="K24" s="9">
        <f>IF(C24=0,0,E24/C24)</f>
      </c>
    </row>
    <row r="25" spans="1:11" x14ac:dyDescent="0.25">
      <c r="A25" s="5" t="s">
        <v>26</v>
      </c>
      <c r="B25" s="6">
        <f>COUNTIF(Estoque!$F$5:$F$789,$A25)</f>
      </c>
      <c r="C25" s="6">
        <f>SUMIF(Estoque!$F$5:$F$789,$A25,Estoque!$J$5:$J$789)</f>
      </c>
      <c r="D25" s="6">
        <f>SUMIF(Estoque!$F$5:$F$789,$A25,Estoque!$K$5:$K$789)</f>
      </c>
      <c r="E25" s="6">
        <f>SUMIF(Estoque!$F$5:$F$789,$A25,Estoque!$L$5:$L$789)</f>
      </c>
      <c r="F25" s="6">
        <f>SUMIF(Estoque!$F$5:$F$789,$A25,Estoque!$M$5:$M$789)</f>
      </c>
      <c r="G25" s="7">
        <f>SUMIF(Estoque!$F$5:$F$789,$A25,Estoque!$O$5:$O$789)/1000</f>
      </c>
      <c r="H25" s="7">
        <f>SUMIF(Estoque!$F$5:$F$789,$A25,Estoque!$P$5:$P$789)/1000</f>
      </c>
      <c r="I25" s="8">
        <f>SUMIF(Estoque!$F$5:$F$789,$A25,Estoque!$R$5:$R$789)</f>
      </c>
      <c r="J25" s="8">
        <f>SUMIF(Estoque!$F$5:$F$789,$A25,Estoque!$S$5:$S$789)</f>
      </c>
      <c r="K25" s="9">
        <f>IF(C25=0,0,E25/C25)</f>
      </c>
    </row>
    <row r="26" spans="1:11" x14ac:dyDescent="0.25">
      <c r="A26" s="5" t="s">
        <v>27</v>
      </c>
      <c r="B26" s="6">
        <f>COUNTIF(Estoque!$F$5:$F$789,$A26)</f>
      </c>
      <c r="C26" s="6">
        <f>SUMIF(Estoque!$F$5:$F$789,$A26,Estoque!$J$5:$J$789)</f>
      </c>
      <c r="D26" s="6">
        <f>SUMIF(Estoque!$F$5:$F$789,$A26,Estoque!$K$5:$K$789)</f>
      </c>
      <c r="E26" s="6">
        <f>SUMIF(Estoque!$F$5:$F$789,$A26,Estoque!$L$5:$L$789)</f>
      </c>
      <c r="F26" s="6">
        <f>SUMIF(Estoque!$F$5:$F$789,$A26,Estoque!$M$5:$M$789)</f>
      </c>
      <c r="G26" s="7">
        <f>SUMIF(Estoque!$F$5:$F$789,$A26,Estoque!$O$5:$O$789)/1000</f>
      </c>
      <c r="H26" s="7">
        <f>SUMIF(Estoque!$F$5:$F$789,$A26,Estoque!$P$5:$P$789)/1000</f>
      </c>
      <c r="I26" s="8">
        <f>SUMIF(Estoque!$F$5:$F$789,$A26,Estoque!$R$5:$R$789)</f>
      </c>
      <c r="J26" s="8">
        <f>SUMIF(Estoque!$F$5:$F$789,$A26,Estoque!$S$5:$S$789)</f>
      </c>
      <c r="K26" s="9">
        <f>IF(C26=0,0,E26/C26)</f>
      </c>
    </row>
    <row r="27" spans="1:11" x14ac:dyDescent="0.25">
      <c r="A27" s="10" t="s">
        <v>17</v>
      </c>
      <c r="B27" s="11">
        <f>SUM(B22:B26)</f>
      </c>
      <c r="C27" s="11">
        <f>SUM(C22:C26)</f>
      </c>
      <c r="D27" s="11">
        <f>SUM(D22:D26)</f>
      </c>
      <c r="E27" s="11">
        <f>SUM(E22:E26)</f>
      </c>
      <c r="F27" s="11">
        <f>SUM(F22:F26)</f>
      </c>
      <c r="G27" s="12">
        <f>SUM(G22:G26)</f>
      </c>
      <c r="H27" s="12">
        <f>SUM(H22:H26)</f>
      </c>
      <c r="I27" s="13">
        <f>SUM(I22:I26)</f>
      </c>
      <c r="J27" s="13">
        <f>SUM(J22:J26)</f>
      </c>
      <c r="K27" s="14">
        <f>IF(C27=0,0,E27/C27)</f>
      </c>
    </row>
    <row r="30" spans="1:1" x14ac:dyDescent="0.25">
      <c r="A30" s="2" t="s">
        <v>28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F6B"/>
  </sheetPr>
  <dimension ref="A1:X789"/>
  <sheetViews>
    <sheetView workbookViewId="0" showGridLines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3" max="3" width="52" customWidth="1"/>
    <col min="4" max="4" width="28" customWidth="1"/>
    <col min="5" max="5" width="10" customWidth="1"/>
    <col min="6" max="6" width="26" customWidth="1"/>
    <col min="7" max="7" width="12" customWidth="1"/>
    <col min="8" max="9" width="15" customWidth="1"/>
    <col min="10" max="10" width="11" customWidth="1"/>
    <col min="11" max="12" width="10" customWidth="1"/>
    <col min="13" max="14" width="11" customWidth="1"/>
    <col min="15" max="17" width="13" customWidth="1"/>
    <col min="18" max="19" width="15" customWidth="1"/>
    <col min="21" max="21" width="30" customWidth="1"/>
  </cols>
  <sheetData>
    <row r="1" ht="24" customHeight="1" spans="1:24" x14ac:dyDescent="0.25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5"/>
      <c r="B3" s="16">
        <f>SUBTOTAL(103,B5:B789)</f>
      </c>
      <c r="C3" s="15" t="s">
        <v>31</v>
      </c>
      <c r="D3" s="15"/>
      <c r="E3" s="15"/>
      <c r="F3" s="15"/>
      <c r="G3" s="15"/>
      <c r="H3" s="15"/>
      <c r="I3" s="15"/>
      <c r="J3" s="16">
        <f>SUBTOTAL(109,J5:J789)</f>
      </c>
      <c r="K3" s="16">
        <f>SUBTOTAL(109,K5:K789)</f>
      </c>
      <c r="L3" s="16">
        <f>SUBTOTAL(109,L5:L789)</f>
      </c>
      <c r="M3" s="16">
        <f>SUBTOTAL(109,M5:M789)</f>
      </c>
      <c r="N3" s="15"/>
      <c r="O3" s="16">
        <f>SUBTOTAL(109,O5:O789)</f>
      </c>
      <c r="P3" s="16">
        <f>SUBTOTAL(109,P5:P789)</f>
      </c>
      <c r="Q3" s="15"/>
      <c r="R3" s="17">
        <f>SUBTOTAL(109,R5:R789)</f>
      </c>
      <c r="S3" s="17">
        <f>SUBTOTAL(109,S5:S789)</f>
      </c>
      <c r="T3" s="18">
        <f>IF(J3=0,0,L3/J3)</f>
      </c>
      <c r="U3" s="15"/>
      <c r="V3" s="15"/>
      <c r="W3" s="19">
        <f>SUBTOTAL(109,W5:W789)</f>
      </c>
      <c r="X3" s="19">
        <f>SUBTOTAL(109,X5:X789)</f>
      </c>
    </row>
    <row r="4" ht="32" customHeight="1" spans="1:24" x14ac:dyDescent="0.25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5</v>
      </c>
      <c r="K4" s="4" t="s">
        <v>6</v>
      </c>
      <c r="L4" s="4" t="s">
        <v>7</v>
      </c>
      <c r="M4" s="4" t="s">
        <v>8</v>
      </c>
      <c r="N4" s="4" t="s">
        <v>41</v>
      </c>
      <c r="O4" s="4" t="s">
        <v>42</v>
      </c>
      <c r="P4" s="4" t="s">
        <v>43</v>
      </c>
      <c r="Q4" s="4" t="s">
        <v>44</v>
      </c>
      <c r="R4" s="4" t="s">
        <v>11</v>
      </c>
      <c r="S4" s="4" t="s">
        <v>12</v>
      </c>
      <c r="T4" s="4" t="s">
        <v>13</v>
      </c>
      <c r="U4" s="4" t="s">
        <v>45</v>
      </c>
      <c r="V4" s="4" t="s">
        <v>46</v>
      </c>
      <c r="W4" s="4" t="s">
        <v>47</v>
      </c>
      <c r="X4" s="4" t="s">
        <v>48</v>
      </c>
    </row>
    <row r="5" spans="1:24" x14ac:dyDescent="0.25">
      <c r="A5" s="20" t="str">
        <f>B5&amp;"."&amp;IFERROR(MID(D5,FIND("(",D5)+1,FIND(")",D5)-FIND("(",D5)-1),"")</f>
        <v>84911.31290</v>
      </c>
      <c r="B5" s="21">
        <v>84911</v>
      </c>
      <c r="C5" s="20" t="s">
        <v>49</v>
      </c>
      <c r="D5" s="20" t="s">
        <v>50</v>
      </c>
      <c r="E5" s="20">
        <v>96437</v>
      </c>
      <c r="F5" s="20" t="s">
        <v>24</v>
      </c>
      <c r="G5" s="20" t="s">
        <v>51</v>
      </c>
      <c r="H5" s="22">
        <f>IFERROR(INDEX(Linha!$B$5:$B$788,MATCH(A5,Linha!$A$5:$A$788,0)),"NÃO CADASTRADO")</f>
      </c>
      <c r="I5" s="22">
        <f>IFERROR(INDEX(Linha!$C$5:$C$788,MATCH(A5,Linha!$A$5:$A$788,0)),"-")</f>
      </c>
      <c r="J5" s="23">
        <v>0</v>
      </c>
      <c r="K5" s="24">
        <f>IFERROR(INDEX(Linha!$D$5:$D$788,MATCH(A5,Linha!$A$5:$A$788,0))*1,0)</f>
      </c>
      <c r="L5" s="24">
        <f>SUMIFS(Reservas!$K$5:$K$3669,Reservas!$A$5:$A$3669,A5)</f>
      </c>
      <c r="M5" s="25">
        <f>J5-L5</f>
      </c>
      <c r="N5" s="26">
        <v>34.222</v>
      </c>
      <c r="O5" s="25">
        <f>J5*N5</f>
      </c>
      <c r="P5" s="25">
        <f>L5*N5</f>
      </c>
      <c r="Q5" s="27">
        <v>137.8332039</v>
      </c>
      <c r="R5" s="28">
        <f>J5*Q5</f>
      </c>
      <c r="S5" s="28">
        <f>L5*Q5</f>
      </c>
      <c r="T5" s="29">
        <f>IF(J5=0,0,L5/J5)</f>
      </c>
      <c r="U5" s="30">
        <f>IFERROR(INDEX(Paletes!$C$5:$C$393,MATCH(B5,Paletes!$A$5:$A$393,0)),"SEM CADASTRO")</f>
      </c>
      <c r="V5" s="24">
        <f>IFERROR(INDEX(Paletes!$D$5:$D$393,MATCH(B5,Paletes!$A$5:$A$393,0)),0)</f>
      </c>
      <c r="W5" s="31">
        <f>IF(V5=0,0,J5/V5)</f>
      </c>
      <c r="X5" s="31">
        <f>IF(V5=0,0,MAX(M5,0)/V5)</f>
      </c>
    </row>
    <row r="6" spans="1:24" x14ac:dyDescent="0.25">
      <c r="A6" s="32" t="str">
        <f>B6&amp;"."&amp;IFERROR(MID(D6,FIND("(",D6)+1,FIND(")",D6)-FIND("(",D6)-1),"")</f>
        <v>84901.31285</v>
      </c>
      <c r="B6" s="33">
        <v>84901</v>
      </c>
      <c r="C6" s="32" t="s">
        <v>52</v>
      </c>
      <c r="D6" s="32" t="s">
        <v>53</v>
      </c>
      <c r="E6" s="32">
        <v>96436</v>
      </c>
      <c r="F6" s="32" t="s">
        <v>24</v>
      </c>
      <c r="G6" s="32" t="s">
        <v>51</v>
      </c>
      <c r="H6" s="34">
        <f>IFERROR(INDEX(Linha!$B$5:$B$788,MATCH(A6,Linha!$A$5:$A$788,0)),"NÃO CADASTRADO")</f>
      </c>
      <c r="I6" s="34">
        <f>IFERROR(INDEX(Linha!$C$5:$C$788,MATCH(A6,Linha!$A$5:$A$788,0)),"-")</f>
      </c>
      <c r="J6" s="35">
        <v>78</v>
      </c>
      <c r="K6" s="36">
        <f>IFERROR(INDEX(Linha!$D$5:$D$788,MATCH(A6,Linha!$A$5:$A$788,0))*1,0)</f>
      </c>
      <c r="L6" s="36">
        <f>SUMIFS(Reservas!$K$5:$K$3669,Reservas!$A$5:$A$3669,A6)</f>
      </c>
      <c r="M6" s="37">
        <f>J6-L6</f>
      </c>
      <c r="N6" s="38">
        <v>36.66</v>
      </c>
      <c r="O6" s="37">
        <f>J6*N6</f>
      </c>
      <c r="P6" s="37">
        <f>L6*N6</f>
      </c>
      <c r="Q6" s="39">
        <v>158.90195061</v>
      </c>
      <c r="R6" s="40">
        <f>J6*Q6</f>
      </c>
      <c r="S6" s="40">
        <f>L6*Q6</f>
      </c>
      <c r="T6" s="41">
        <f>IF(J6=0,0,L6/J6)</f>
      </c>
      <c r="U6" s="42">
        <f>IFERROR(INDEX(Paletes!$C$5:$C$393,MATCH(B6,Paletes!$A$5:$A$393,0)),"SEM CADASTRO")</f>
      </c>
      <c r="V6" s="36">
        <f>IFERROR(INDEX(Paletes!$D$5:$D$393,MATCH(B6,Paletes!$A$5:$A$393,0)),0)</f>
      </c>
      <c r="W6" s="43">
        <f>IF(V6=0,0,J6/V6)</f>
      </c>
      <c r="X6" s="43">
        <f>IF(V6=0,0,MAX(M6,0)/V6)</f>
      </c>
    </row>
    <row r="7" spans="1:24" x14ac:dyDescent="0.25">
      <c r="A7" s="20" t="str">
        <f>B7&amp;"."&amp;IFERROR(MID(D7,FIND("(",D7)+1,FIND(")",D7)-FIND("(",D7)-1),"")</f>
        <v>84966.89604</v>
      </c>
      <c r="B7" s="21">
        <v>84966</v>
      </c>
      <c r="C7" s="20" t="s">
        <v>54</v>
      </c>
      <c r="D7" s="20" t="s">
        <v>55</v>
      </c>
      <c r="E7" s="20">
        <v>97476</v>
      </c>
      <c r="F7" s="20" t="s">
        <v>24</v>
      </c>
      <c r="G7" s="20" t="s">
        <v>51</v>
      </c>
      <c r="H7" s="22">
        <f>IFERROR(INDEX(Linha!$B$5:$B$788,MATCH(A7,Linha!$A$5:$A$788,0)),"NÃO CADASTRADO")</f>
      </c>
      <c r="I7" s="22">
        <f>IFERROR(INDEX(Linha!$C$5:$C$788,MATCH(A7,Linha!$A$5:$A$788,0)),"-")</f>
      </c>
      <c r="J7" s="23">
        <v>6</v>
      </c>
      <c r="K7" s="24">
        <f>IFERROR(INDEX(Linha!$D$5:$D$788,MATCH(A7,Linha!$A$5:$A$788,0))*1,0)</f>
      </c>
      <c r="L7" s="24">
        <f>SUMIFS(Reservas!$K$5:$K$3669,Reservas!$A$5:$A$3669,A7)</f>
      </c>
      <c r="M7" s="25">
        <f>J7-L7</f>
      </c>
      <c r="N7" s="26">
        <v>35.1</v>
      </c>
      <c r="O7" s="25">
        <f>J7*N7</f>
      </c>
      <c r="P7" s="25">
        <f>L7*N7</f>
      </c>
      <c r="Q7" s="27">
        <v>188.80430342</v>
      </c>
      <c r="R7" s="28">
        <f>J7*Q7</f>
      </c>
      <c r="S7" s="28">
        <f>L7*Q7</f>
      </c>
      <c r="T7" s="29">
        <f>IF(J7=0,0,L7/J7)</f>
      </c>
      <c r="U7" s="30">
        <f>IFERROR(INDEX(Paletes!$C$5:$C$393,MATCH(B7,Paletes!$A$5:$A$393,0)),"SEM CADASTRO")</f>
      </c>
      <c r="V7" s="24">
        <f>IFERROR(INDEX(Paletes!$D$5:$D$393,MATCH(B7,Paletes!$A$5:$A$393,0)),0)</f>
      </c>
      <c r="W7" s="31">
        <f>IF(V7=0,0,J7/V7)</f>
      </c>
      <c r="X7" s="31">
        <f>IF(V7=0,0,MAX(M7,0)/V7)</f>
      </c>
    </row>
    <row r="8" spans="1:24" x14ac:dyDescent="0.25">
      <c r="A8" s="32" t="str">
        <f>B8&amp;"."&amp;IFERROR(MID(D8,FIND("(",D8)+1,FIND(")",D8)-FIND("(",D8)-1),"")</f>
        <v>86324.69485</v>
      </c>
      <c r="B8" s="33">
        <v>86324</v>
      </c>
      <c r="C8" s="32" t="s">
        <v>56</v>
      </c>
      <c r="D8" s="32" t="s">
        <v>57</v>
      </c>
      <c r="E8" s="32">
        <v>100435</v>
      </c>
      <c r="F8" s="32" t="s">
        <v>26</v>
      </c>
      <c r="G8" s="32" t="s">
        <v>51</v>
      </c>
      <c r="H8" s="34">
        <f>IFERROR(INDEX(Linha!$B$5:$B$788,MATCH(A8,Linha!$A$5:$A$788,0)),"NÃO CADASTRADO")</f>
      </c>
      <c r="I8" s="34">
        <f>IFERROR(INDEX(Linha!$C$5:$C$788,MATCH(A8,Linha!$A$5:$A$788,0)),"-")</f>
      </c>
      <c r="J8" s="35">
        <v>0</v>
      </c>
      <c r="K8" s="36">
        <f>IFERROR(INDEX(Linha!$D$5:$D$788,MATCH(A8,Linha!$A$5:$A$788,0))*1,0)</f>
      </c>
      <c r="L8" s="36">
        <f>SUMIFS(Reservas!$K$5:$K$3669,Reservas!$A$5:$A$3669,A8)</f>
      </c>
      <c r="M8" s="37">
        <f>J8-L8</f>
      </c>
      <c r="N8" s="38">
        <v>15.161</v>
      </c>
      <c r="O8" s="37">
        <f>J8*N8</f>
      </c>
      <c r="P8" s="37">
        <f>L8*N8</f>
      </c>
      <c r="Q8" s="39">
        <v>76.73609871</v>
      </c>
      <c r="R8" s="40">
        <f>J8*Q8</f>
      </c>
      <c r="S8" s="40">
        <f>L8*Q8</f>
      </c>
      <c r="T8" s="41">
        <f>IF(J8=0,0,L8/J8)</f>
      </c>
      <c r="U8" s="42">
        <f>IFERROR(INDEX(Paletes!$C$5:$C$393,MATCH(B8,Paletes!$A$5:$A$393,0)),"SEM CADASTRO")</f>
      </c>
      <c r="V8" s="36">
        <f>IFERROR(INDEX(Paletes!$D$5:$D$393,MATCH(B8,Paletes!$A$5:$A$393,0)),0)</f>
      </c>
      <c r="W8" s="43">
        <f>IF(V8=0,0,J8/V8)</f>
      </c>
      <c r="X8" s="43">
        <f>IF(V8=0,0,MAX(M8,0)/V8)</f>
      </c>
    </row>
    <row r="9" spans="1:24" x14ac:dyDescent="0.25">
      <c r="A9" s="20" t="str">
        <f>B9&amp;"."&amp;IFERROR(MID(D9,FIND("(",D9)+1,FIND(")",D9)-FIND("(",D9)-1),"")</f>
        <v>102.12218</v>
      </c>
      <c r="B9" s="21">
        <v>102</v>
      </c>
      <c r="C9" s="20" t="s">
        <v>58</v>
      </c>
      <c r="D9" s="20" t="s">
        <v>59</v>
      </c>
      <c r="E9" s="20">
        <v>39131</v>
      </c>
      <c r="F9" s="20" t="s">
        <v>26</v>
      </c>
      <c r="G9" s="20" t="s">
        <v>51</v>
      </c>
      <c r="H9" s="22">
        <f>IFERROR(INDEX(Linha!$B$5:$B$788,MATCH(A9,Linha!$A$5:$A$788,0)),"NÃO CADASTRADO")</f>
      </c>
      <c r="I9" s="22">
        <f>IFERROR(INDEX(Linha!$C$5:$C$788,MATCH(A9,Linha!$A$5:$A$788,0)),"-")</f>
      </c>
      <c r="J9" s="23">
        <v>428</v>
      </c>
      <c r="K9" s="24">
        <f>IFERROR(INDEX(Linha!$D$5:$D$788,MATCH(A9,Linha!$A$5:$A$788,0))*1,0)</f>
      </c>
      <c r="L9" s="24">
        <f>SUMIFS(Reservas!$K$5:$K$3669,Reservas!$A$5:$A$3669,A9)</f>
      </c>
      <c r="M9" s="25">
        <f>J9-L9</f>
      </c>
      <c r="N9" s="26">
        <v>38.61</v>
      </c>
      <c r="O9" s="25">
        <f>J9*N9</f>
      </c>
      <c r="P9" s="25">
        <f>L9*N9</f>
      </c>
      <c r="Q9" s="27">
        <v>133.16088652</v>
      </c>
      <c r="R9" s="28">
        <f>J9*Q9</f>
      </c>
      <c r="S9" s="28">
        <f>L9*Q9</f>
      </c>
      <c r="T9" s="29">
        <f>IF(J9=0,0,L9/J9)</f>
      </c>
      <c r="U9" s="30">
        <f>IFERROR(INDEX(Paletes!$C$5:$C$393,MATCH(B9,Paletes!$A$5:$A$393,0)),"SEM CADASTRO")</f>
      </c>
      <c r="V9" s="24">
        <f>IFERROR(INDEX(Paletes!$D$5:$D$393,MATCH(B9,Paletes!$A$5:$A$393,0)),0)</f>
      </c>
      <c r="W9" s="31">
        <f>IF(V9=0,0,J9/V9)</f>
      </c>
      <c r="X9" s="31">
        <f>IF(V9=0,0,MAX(M9,0)/V9)</f>
      </c>
    </row>
    <row r="10" spans="1:24" x14ac:dyDescent="0.25">
      <c r="A10" s="32" t="str">
        <f>B10&amp;"."&amp;IFERROR(MID(D10,FIND("(",D10)+1,FIND(")",D10)-FIND("(",D10)-1),"")</f>
        <v>102.64910</v>
      </c>
      <c r="B10" s="33">
        <v>102</v>
      </c>
      <c r="C10" s="32" t="s">
        <v>58</v>
      </c>
      <c r="D10" s="32" t="s">
        <v>60</v>
      </c>
      <c r="E10" s="32">
        <v>39131</v>
      </c>
      <c r="F10" s="32" t="s">
        <v>26</v>
      </c>
      <c r="G10" s="32" t="s">
        <v>51</v>
      </c>
      <c r="H10" s="34">
        <f>IFERROR(INDEX(Linha!$B$5:$B$788,MATCH(A10,Linha!$A$5:$A$788,0)),"NÃO CADASTRADO")</f>
      </c>
      <c r="I10" s="34">
        <f>IFERROR(INDEX(Linha!$C$5:$C$788,MATCH(A10,Linha!$A$5:$A$788,0)),"-")</f>
      </c>
      <c r="J10" s="35">
        <v>1</v>
      </c>
      <c r="K10" s="36">
        <f>IFERROR(INDEX(Linha!$D$5:$D$788,MATCH(A10,Linha!$A$5:$A$788,0))*1,0)</f>
      </c>
      <c r="L10" s="36">
        <f>SUMIFS(Reservas!$K$5:$K$3669,Reservas!$A$5:$A$3669,A10)</f>
      </c>
      <c r="M10" s="37">
        <f>J10-L10</f>
      </c>
      <c r="N10" s="38">
        <v>38.61</v>
      </c>
      <c r="O10" s="37">
        <f>J10*N10</f>
      </c>
      <c r="P10" s="37">
        <f>L10*N10</f>
      </c>
      <c r="Q10" s="39">
        <v>126.24009703</v>
      </c>
      <c r="R10" s="40">
        <f>J10*Q10</f>
      </c>
      <c r="S10" s="40">
        <f>L10*Q10</f>
      </c>
      <c r="T10" s="41">
        <f>IF(J10=0,0,L10/J10)</f>
      </c>
      <c r="U10" s="42">
        <f>IFERROR(INDEX(Paletes!$C$5:$C$393,MATCH(B10,Paletes!$A$5:$A$393,0)),"SEM CADASTRO")</f>
      </c>
      <c r="V10" s="36">
        <f>IFERROR(INDEX(Paletes!$D$5:$D$393,MATCH(B10,Paletes!$A$5:$A$393,0)),0)</f>
      </c>
      <c r="W10" s="43">
        <f>IF(V10=0,0,J10/V10)</f>
      </c>
      <c r="X10" s="43">
        <f>IF(V10=0,0,MAX(M10,0)/V10)</f>
      </c>
    </row>
    <row r="11" spans="1:24" x14ac:dyDescent="0.25">
      <c r="A11" s="20" t="str">
        <f>B11&amp;"."&amp;IFERROR(MID(D11,FIND("(",D11)+1,FIND(")",D11)-FIND("(",D11)-1),"")</f>
        <v>2163.15691</v>
      </c>
      <c r="B11" s="21">
        <v>2163</v>
      </c>
      <c r="C11" s="20" t="s">
        <v>61</v>
      </c>
      <c r="D11" s="20" t="s">
        <v>62</v>
      </c>
      <c r="E11" s="20">
        <v>40580</v>
      </c>
      <c r="F11" s="20" t="s">
        <v>24</v>
      </c>
      <c r="G11" s="20" t="s">
        <v>51</v>
      </c>
      <c r="H11" s="22">
        <f>IFERROR(INDEX(Linha!$B$5:$B$788,MATCH(A11,Linha!$A$5:$A$788,0)),"NÃO CADASTRADO")</f>
      </c>
      <c r="I11" s="22">
        <f>IFERROR(INDEX(Linha!$C$5:$C$788,MATCH(A11,Linha!$A$5:$A$788,0)),"-")</f>
      </c>
      <c r="J11" s="23">
        <v>771</v>
      </c>
      <c r="K11" s="24">
        <f>IFERROR(INDEX(Linha!$D$5:$D$788,MATCH(A11,Linha!$A$5:$A$788,0))*1,0)</f>
      </c>
      <c r="L11" s="24">
        <f>SUMIFS(Reservas!$K$5:$K$3669,Reservas!$A$5:$A$3669,A11)</f>
      </c>
      <c r="M11" s="25">
        <f>J11-L11</f>
      </c>
      <c r="N11" s="26">
        <v>17.94</v>
      </c>
      <c r="O11" s="25">
        <f>J11*N11</f>
      </c>
      <c r="P11" s="25">
        <f>L11*N11</f>
      </c>
      <c r="Q11" s="27">
        <v>81.74721783</v>
      </c>
      <c r="R11" s="28">
        <f>J11*Q11</f>
      </c>
      <c r="S11" s="28">
        <f>L11*Q11</f>
      </c>
      <c r="T11" s="29">
        <f>IF(J11=0,0,L11/J11)</f>
      </c>
      <c r="U11" s="30">
        <f>IFERROR(INDEX(Paletes!$C$5:$C$393,MATCH(B11,Paletes!$A$5:$A$393,0)),"SEM CADASTRO")</f>
      </c>
      <c r="V11" s="24">
        <f>IFERROR(INDEX(Paletes!$D$5:$D$393,MATCH(B11,Paletes!$A$5:$A$393,0)),0)</f>
      </c>
      <c r="W11" s="31">
        <f>IF(V11=0,0,J11/V11)</f>
      </c>
      <c r="X11" s="31">
        <f>IF(V11=0,0,MAX(M11,0)/V11)</f>
      </c>
    </row>
    <row r="12" spans="1:24" x14ac:dyDescent="0.25">
      <c r="A12" s="32" t="str">
        <f>B12&amp;"."&amp;IFERROR(MID(D12,FIND("(",D12)+1,FIND(")",D12)-FIND("(",D12)-1),"")</f>
        <v>73145.23982</v>
      </c>
      <c r="B12" s="33">
        <v>73145</v>
      </c>
      <c r="C12" s="32" t="s">
        <v>63</v>
      </c>
      <c r="D12" s="32" t="s">
        <v>64</v>
      </c>
      <c r="E12" s="32">
        <v>40598</v>
      </c>
      <c r="F12" s="32" t="s">
        <v>24</v>
      </c>
      <c r="G12" s="32" t="s">
        <v>51</v>
      </c>
      <c r="H12" s="34">
        <f>IFERROR(INDEX(Linha!$B$5:$B$788,MATCH(A12,Linha!$A$5:$A$788,0)),"NÃO CADASTRADO")</f>
      </c>
      <c r="I12" s="34">
        <f>IFERROR(INDEX(Linha!$C$5:$C$788,MATCH(A12,Linha!$A$5:$A$788,0)),"-")</f>
      </c>
      <c r="J12" s="35">
        <v>21</v>
      </c>
      <c r="K12" s="36">
        <f>IFERROR(INDEX(Linha!$D$5:$D$788,MATCH(A12,Linha!$A$5:$A$788,0))*1,0)</f>
      </c>
      <c r="L12" s="36">
        <f>SUMIFS(Reservas!$K$5:$K$3669,Reservas!$A$5:$A$3669,A12)</f>
      </c>
      <c r="M12" s="37">
        <f>J12-L12</f>
      </c>
      <c r="N12" s="38">
        <v>17.16</v>
      </c>
      <c r="O12" s="37">
        <f>J12*N12</f>
      </c>
      <c r="P12" s="37">
        <f>L12*N12</f>
      </c>
      <c r="Q12" s="39">
        <v>84.92712974</v>
      </c>
      <c r="R12" s="40">
        <f>J12*Q12</f>
      </c>
      <c r="S12" s="40">
        <f>L12*Q12</f>
      </c>
      <c r="T12" s="41">
        <f>IF(J12=0,0,L12/J12)</f>
      </c>
      <c r="U12" s="42">
        <f>IFERROR(INDEX(Paletes!$C$5:$C$393,MATCH(B12,Paletes!$A$5:$A$393,0)),"SEM CADASTRO")</f>
      </c>
      <c r="V12" s="36">
        <f>IFERROR(INDEX(Paletes!$D$5:$D$393,MATCH(B12,Paletes!$A$5:$A$393,0)),0)</f>
      </c>
      <c r="W12" s="43">
        <f>IF(V12=0,0,J12/V12)</f>
      </c>
      <c r="X12" s="43">
        <f>IF(V12=0,0,MAX(M12,0)/V12)</f>
      </c>
    </row>
    <row r="13" spans="1:24" x14ac:dyDescent="0.25">
      <c r="A13" s="20" t="str">
        <f>B13&amp;"."&amp;IFERROR(MID(D13,FIND("(",D13)+1,FIND(")",D13)-FIND("(",D13)-1),"")</f>
        <v>156.15497</v>
      </c>
      <c r="B13" s="21">
        <v>156</v>
      </c>
      <c r="C13" s="20" t="s">
        <v>65</v>
      </c>
      <c r="D13" s="20" t="s">
        <v>66</v>
      </c>
      <c r="E13" s="20">
        <v>41606</v>
      </c>
      <c r="F13" s="20" t="s">
        <v>24</v>
      </c>
      <c r="G13" s="20" t="s">
        <v>51</v>
      </c>
      <c r="H13" s="22">
        <f>IFERROR(INDEX(Linha!$B$5:$B$788,MATCH(A13,Linha!$A$5:$A$788,0)),"NÃO CADASTRADO")</f>
      </c>
      <c r="I13" s="22">
        <f>IFERROR(INDEX(Linha!$C$5:$C$788,MATCH(A13,Linha!$A$5:$A$788,0)),"-")</f>
      </c>
      <c r="J13" s="23">
        <v>185</v>
      </c>
      <c r="K13" s="24">
        <f>IFERROR(INDEX(Linha!$D$5:$D$788,MATCH(A13,Linha!$A$5:$A$788,0))*1,0)</f>
      </c>
      <c r="L13" s="24">
        <f>SUMIFS(Reservas!$K$5:$K$3669,Reservas!$A$5:$A$3669,A13)</f>
      </c>
      <c r="M13" s="25">
        <f>J13-L13</f>
      </c>
      <c r="N13" s="26">
        <v>17.843</v>
      </c>
      <c r="O13" s="25">
        <f>J13*N13</f>
      </c>
      <c r="P13" s="25">
        <f>L13*N13</f>
      </c>
      <c r="Q13" s="27">
        <v>105.43376565</v>
      </c>
      <c r="R13" s="28">
        <f>J13*Q13</f>
      </c>
      <c r="S13" s="28">
        <f>L13*Q13</f>
      </c>
      <c r="T13" s="29">
        <f>IF(J13=0,0,L13/J13)</f>
      </c>
      <c r="U13" s="30">
        <f>IFERROR(INDEX(Paletes!$C$5:$C$393,MATCH(B13,Paletes!$A$5:$A$393,0)),"SEM CADASTRO")</f>
      </c>
      <c r="V13" s="24">
        <f>IFERROR(INDEX(Paletes!$D$5:$D$393,MATCH(B13,Paletes!$A$5:$A$393,0)),0)</f>
      </c>
      <c r="W13" s="31">
        <f>IF(V13=0,0,J13/V13)</f>
      </c>
      <c r="X13" s="31">
        <f>IF(V13=0,0,MAX(M13,0)/V13)</f>
      </c>
    </row>
    <row r="14" spans="1:24" x14ac:dyDescent="0.25">
      <c r="A14" s="32" t="str">
        <f>B14&amp;"."&amp;IFERROR(MID(D14,FIND("(",D14)+1,FIND(")",D14)-FIND("(",D14)-1),"")</f>
        <v>156.15500</v>
      </c>
      <c r="B14" s="33">
        <v>156</v>
      </c>
      <c r="C14" s="32" t="s">
        <v>65</v>
      </c>
      <c r="D14" s="32" t="s">
        <v>67</v>
      </c>
      <c r="E14" s="32">
        <v>41606</v>
      </c>
      <c r="F14" s="32" t="s">
        <v>24</v>
      </c>
      <c r="G14" s="32" t="s">
        <v>51</v>
      </c>
      <c r="H14" s="34">
        <f>IFERROR(INDEX(Linha!$B$5:$B$788,MATCH(A14,Linha!$A$5:$A$788,0)),"NÃO CADASTRADO")</f>
      </c>
      <c r="I14" s="34">
        <f>IFERROR(INDEX(Linha!$C$5:$C$788,MATCH(A14,Linha!$A$5:$A$788,0)),"-")</f>
      </c>
      <c r="J14" s="35">
        <v>29</v>
      </c>
      <c r="K14" s="36">
        <f>IFERROR(INDEX(Linha!$D$5:$D$788,MATCH(A14,Linha!$A$5:$A$788,0))*1,0)</f>
      </c>
      <c r="L14" s="36">
        <f>SUMIFS(Reservas!$K$5:$K$3669,Reservas!$A$5:$A$3669,A14)</f>
      </c>
      <c r="M14" s="37">
        <f>J14-L14</f>
      </c>
      <c r="N14" s="38">
        <v>17.843</v>
      </c>
      <c r="O14" s="37">
        <f>J14*N14</f>
      </c>
      <c r="P14" s="37">
        <f>L14*N14</f>
      </c>
      <c r="Q14" s="39">
        <v>76.31722596</v>
      </c>
      <c r="R14" s="40">
        <f>J14*Q14</f>
      </c>
      <c r="S14" s="40">
        <f>L14*Q14</f>
      </c>
      <c r="T14" s="41">
        <f>IF(J14=0,0,L14/J14)</f>
      </c>
      <c r="U14" s="42">
        <f>IFERROR(INDEX(Paletes!$C$5:$C$393,MATCH(B14,Paletes!$A$5:$A$393,0)),"SEM CADASTRO")</f>
      </c>
      <c r="V14" s="36">
        <f>IFERROR(INDEX(Paletes!$D$5:$D$393,MATCH(B14,Paletes!$A$5:$A$393,0)),0)</f>
      </c>
      <c r="W14" s="43">
        <f>IF(V14=0,0,J14/V14)</f>
      </c>
      <c r="X14" s="43">
        <f>IF(V14=0,0,MAX(M14,0)/V14)</f>
      </c>
    </row>
    <row r="15" spans="1:24" x14ac:dyDescent="0.25">
      <c r="A15" s="20" t="str">
        <f>B15&amp;"."&amp;IFERROR(MID(D15,FIND("(",D15)+1,FIND(")",D15)-FIND("(",D15)-1),"")</f>
        <v>73282.15764</v>
      </c>
      <c r="B15" s="21">
        <v>73282</v>
      </c>
      <c r="C15" s="20" t="s">
        <v>68</v>
      </c>
      <c r="D15" s="20" t="s">
        <v>69</v>
      </c>
      <c r="E15" s="20">
        <v>45137</v>
      </c>
      <c r="F15" s="20" t="s">
        <v>24</v>
      </c>
      <c r="G15" s="20" t="s">
        <v>51</v>
      </c>
      <c r="H15" s="22">
        <f>IFERROR(INDEX(Linha!$B$5:$B$788,MATCH(A15,Linha!$A$5:$A$788,0)),"NÃO CADASTRADO")</f>
      </c>
      <c r="I15" s="22">
        <f>IFERROR(INDEX(Linha!$C$5:$C$788,MATCH(A15,Linha!$A$5:$A$788,0)),"-")</f>
      </c>
      <c r="J15" s="23">
        <v>332</v>
      </c>
      <c r="K15" s="24">
        <f>IFERROR(INDEX(Linha!$D$5:$D$788,MATCH(A15,Linha!$A$5:$A$788,0))*1,0)</f>
      </c>
      <c r="L15" s="24">
        <f>SUMIFS(Reservas!$K$5:$K$3669,Reservas!$A$5:$A$3669,A15)</f>
      </c>
      <c r="M15" s="25">
        <f>J15-L15</f>
      </c>
      <c r="N15" s="26">
        <v>41.05</v>
      </c>
      <c r="O15" s="25">
        <f>J15*N15</f>
      </c>
      <c r="P15" s="25">
        <f>L15*N15</f>
      </c>
      <c r="Q15" s="27">
        <v>197.29470423</v>
      </c>
      <c r="R15" s="28">
        <f>J15*Q15</f>
      </c>
      <c r="S15" s="28">
        <f>L15*Q15</f>
      </c>
      <c r="T15" s="29">
        <f>IF(J15=0,0,L15/J15)</f>
      </c>
      <c r="U15" s="30">
        <f>IFERROR(INDEX(Paletes!$C$5:$C$393,MATCH(B15,Paletes!$A$5:$A$393,0)),"SEM CADASTRO")</f>
      </c>
      <c r="V15" s="24">
        <f>IFERROR(INDEX(Paletes!$D$5:$D$393,MATCH(B15,Paletes!$A$5:$A$393,0)),0)</f>
      </c>
      <c r="W15" s="31">
        <f>IF(V15=0,0,J15/V15)</f>
      </c>
      <c r="X15" s="31">
        <f>IF(V15=0,0,MAX(M15,0)/V15)</f>
      </c>
    </row>
    <row r="16" spans="1:24" x14ac:dyDescent="0.25">
      <c r="A16" s="32" t="str">
        <f>B16&amp;"."&amp;IFERROR(MID(D16,FIND("(",D16)+1,FIND(")",D16)-FIND("(",D16)-1),"")</f>
        <v>73283.15562</v>
      </c>
      <c r="B16" s="33">
        <v>73283</v>
      </c>
      <c r="C16" s="32" t="s">
        <v>70</v>
      </c>
      <c r="D16" s="32" t="s">
        <v>71</v>
      </c>
      <c r="E16" s="32">
        <v>45138</v>
      </c>
      <c r="F16" s="32" t="s">
        <v>24</v>
      </c>
      <c r="G16" s="32" t="s">
        <v>51</v>
      </c>
      <c r="H16" s="34">
        <f>IFERROR(INDEX(Linha!$B$5:$B$788,MATCH(A16,Linha!$A$5:$A$788,0)),"NÃO CADASTRADO")</f>
      </c>
      <c r="I16" s="34">
        <f>IFERROR(INDEX(Linha!$C$5:$C$788,MATCH(A16,Linha!$A$5:$A$788,0)),"-")</f>
      </c>
      <c r="J16" s="35">
        <v>306</v>
      </c>
      <c r="K16" s="36">
        <f>IFERROR(INDEX(Linha!$D$5:$D$788,MATCH(A16,Linha!$A$5:$A$788,0))*1,0)</f>
      </c>
      <c r="L16" s="36">
        <f>SUMIFS(Reservas!$K$5:$K$3669,Reservas!$A$5:$A$3669,A16)</f>
      </c>
      <c r="M16" s="37">
        <f>J16-L16</f>
      </c>
      <c r="N16" s="38">
        <v>30.95</v>
      </c>
      <c r="O16" s="37">
        <f>J16*N16</f>
      </c>
      <c r="P16" s="37">
        <f>L16*N16</f>
      </c>
      <c r="Q16" s="39">
        <v>138.3648701</v>
      </c>
      <c r="R16" s="40">
        <f>J16*Q16</f>
      </c>
      <c r="S16" s="40">
        <f>L16*Q16</f>
      </c>
      <c r="T16" s="41">
        <f>IF(J16=0,0,L16/J16)</f>
      </c>
      <c r="U16" s="42">
        <f>IFERROR(INDEX(Paletes!$C$5:$C$393,MATCH(B16,Paletes!$A$5:$A$393,0)),"SEM CADASTRO")</f>
      </c>
      <c r="V16" s="36">
        <f>IFERROR(INDEX(Paletes!$D$5:$D$393,MATCH(B16,Paletes!$A$5:$A$393,0)),0)</f>
      </c>
      <c r="W16" s="43">
        <f>IF(V16=0,0,J16/V16)</f>
      </c>
      <c r="X16" s="43">
        <f>IF(V16=0,0,MAX(M16,0)/V16)</f>
      </c>
    </row>
    <row r="17" spans="1:24" x14ac:dyDescent="0.25">
      <c r="A17" s="20" t="str">
        <f>B17&amp;"."&amp;IFERROR(MID(D17,FIND("(",D17)+1,FIND(")",D17)-FIND("(",D17)-1),"")</f>
        <v>73355.16371</v>
      </c>
      <c r="B17" s="21">
        <v>73355</v>
      </c>
      <c r="C17" s="20" t="s">
        <v>72</v>
      </c>
      <c r="D17" s="20" t="s">
        <v>73</v>
      </c>
      <c r="E17" s="20">
        <v>45641</v>
      </c>
      <c r="F17" s="20" t="s">
        <v>25</v>
      </c>
      <c r="G17" s="20" t="s">
        <v>51</v>
      </c>
      <c r="H17" s="22">
        <f>IFERROR(INDEX(Linha!$B$5:$B$788,MATCH(A17,Linha!$A$5:$A$788,0)),"NÃO CADASTRADO")</f>
      </c>
      <c r="I17" s="22">
        <f>IFERROR(INDEX(Linha!$C$5:$C$788,MATCH(A17,Linha!$A$5:$A$788,0)),"-")</f>
      </c>
      <c r="J17" s="23">
        <v>117</v>
      </c>
      <c r="K17" s="24">
        <f>IFERROR(INDEX(Linha!$D$5:$D$788,MATCH(A17,Linha!$A$5:$A$788,0))*1,0)</f>
      </c>
      <c r="L17" s="24">
        <f>SUMIFS(Reservas!$K$5:$K$3669,Reservas!$A$5:$A$3669,A17)</f>
      </c>
      <c r="M17" s="25">
        <f>J17-L17</f>
      </c>
      <c r="N17" s="26">
        <v>29.133</v>
      </c>
      <c r="O17" s="25">
        <f>J17*N17</f>
      </c>
      <c r="P17" s="25">
        <f>L17*N17</f>
      </c>
      <c r="Q17" s="27">
        <v>156.43387837</v>
      </c>
      <c r="R17" s="28">
        <f>J17*Q17</f>
      </c>
      <c r="S17" s="28">
        <f>L17*Q17</f>
      </c>
      <c r="T17" s="29">
        <f>IF(J17=0,0,L17/J17)</f>
      </c>
      <c r="U17" s="30">
        <f>IFERROR(INDEX(Paletes!$C$5:$C$393,MATCH(B17,Paletes!$A$5:$A$393,0)),"SEM CADASTRO")</f>
      </c>
      <c r="V17" s="24">
        <f>IFERROR(INDEX(Paletes!$D$5:$D$393,MATCH(B17,Paletes!$A$5:$A$393,0)),0)</f>
      </c>
      <c r="W17" s="31">
        <f>IF(V17=0,0,J17/V17)</f>
      </c>
      <c r="X17" s="31">
        <f>IF(V17=0,0,MAX(M17,0)/V17)</f>
      </c>
    </row>
    <row r="18" spans="1:24" x14ac:dyDescent="0.25">
      <c r="A18" s="32" t="str">
        <f>B18&amp;"."&amp;IFERROR(MID(D18,FIND("(",D18)+1,FIND(")",D18)-FIND("(",D18)-1),"")</f>
        <v>73543.16394</v>
      </c>
      <c r="B18" s="33">
        <v>73543</v>
      </c>
      <c r="C18" s="32" t="s">
        <v>74</v>
      </c>
      <c r="D18" s="32" t="s">
        <v>75</v>
      </c>
      <c r="E18" s="32">
        <v>87486</v>
      </c>
      <c r="F18" s="32" t="s">
        <v>25</v>
      </c>
      <c r="G18" s="32" t="s">
        <v>51</v>
      </c>
      <c r="H18" s="34">
        <f>IFERROR(INDEX(Linha!$B$5:$B$788,MATCH(A18,Linha!$A$5:$A$788,0)),"NÃO CADASTRADO")</f>
      </c>
      <c r="I18" s="34">
        <f>IFERROR(INDEX(Linha!$C$5:$C$788,MATCH(A18,Linha!$A$5:$A$788,0)),"-")</f>
      </c>
      <c r="J18" s="35">
        <v>2</v>
      </c>
      <c r="K18" s="36">
        <f>IFERROR(INDEX(Linha!$D$5:$D$788,MATCH(A18,Linha!$A$5:$A$788,0))*1,0)</f>
      </c>
      <c r="L18" s="36">
        <f>SUMIFS(Reservas!$K$5:$K$3669,Reservas!$A$5:$A$3669,A18)</f>
      </c>
      <c r="M18" s="37">
        <f>J18-L18</f>
      </c>
      <c r="N18" s="38">
        <v>14.644</v>
      </c>
      <c r="O18" s="37">
        <f>J18*N18</f>
      </c>
      <c r="P18" s="37">
        <f>L18*N18</f>
      </c>
      <c r="Q18" s="39">
        <v>102.42527693</v>
      </c>
      <c r="R18" s="40">
        <f>J18*Q18</f>
      </c>
      <c r="S18" s="40">
        <f>L18*Q18</f>
      </c>
      <c r="T18" s="41">
        <f>IF(J18=0,0,L18/J18)</f>
      </c>
      <c r="U18" s="42">
        <f>IFERROR(INDEX(Paletes!$C$5:$C$393,MATCH(B18,Paletes!$A$5:$A$393,0)),"SEM CADASTRO")</f>
      </c>
      <c r="V18" s="36">
        <f>IFERROR(INDEX(Paletes!$D$5:$D$393,MATCH(B18,Paletes!$A$5:$A$393,0)),0)</f>
      </c>
      <c r="W18" s="43">
        <f>IF(V18=0,0,J18/V18)</f>
      </c>
      <c r="X18" s="43">
        <f>IF(V18=0,0,MAX(M18,0)/V18)</f>
      </c>
    </row>
    <row r="19" spans="1:24" x14ac:dyDescent="0.25">
      <c r="A19" s="20" t="str">
        <f>B19&amp;"."&amp;IFERROR(MID(D19,FIND("(",D19)+1,FIND(")",D19)-FIND("(",D19)-1),"")</f>
        <v>73543.16391</v>
      </c>
      <c r="B19" s="21">
        <v>73543</v>
      </c>
      <c r="C19" s="20" t="s">
        <v>74</v>
      </c>
      <c r="D19" s="20" t="s">
        <v>76</v>
      </c>
      <c r="E19" s="20">
        <v>87486</v>
      </c>
      <c r="F19" s="20" t="s">
        <v>25</v>
      </c>
      <c r="G19" s="20" t="s">
        <v>51</v>
      </c>
      <c r="H19" s="22">
        <f>IFERROR(INDEX(Linha!$B$5:$B$788,MATCH(A19,Linha!$A$5:$A$788,0)),"NÃO CADASTRADO")</f>
      </c>
      <c r="I19" s="22">
        <f>IFERROR(INDEX(Linha!$C$5:$C$788,MATCH(A19,Linha!$A$5:$A$788,0)),"-")</f>
      </c>
      <c r="J19" s="23">
        <v>84</v>
      </c>
      <c r="K19" s="24">
        <f>IFERROR(INDEX(Linha!$D$5:$D$788,MATCH(A19,Linha!$A$5:$A$788,0))*1,0)</f>
      </c>
      <c r="L19" s="24">
        <f>SUMIFS(Reservas!$K$5:$K$3669,Reservas!$A$5:$A$3669,A19)</f>
      </c>
      <c r="M19" s="25">
        <f>J19-L19</f>
      </c>
      <c r="N19" s="26">
        <v>14.644</v>
      </c>
      <c r="O19" s="25">
        <f>J19*N19</f>
      </c>
      <c r="P19" s="25">
        <f>L19*N19</f>
      </c>
      <c r="Q19" s="27">
        <v>110.40527693</v>
      </c>
      <c r="R19" s="28">
        <f>J19*Q19</f>
      </c>
      <c r="S19" s="28">
        <f>L19*Q19</f>
      </c>
      <c r="T19" s="29">
        <f>IF(J19=0,0,L19/J19)</f>
      </c>
      <c r="U19" s="30">
        <f>IFERROR(INDEX(Paletes!$C$5:$C$393,MATCH(B19,Paletes!$A$5:$A$393,0)),"SEM CADASTRO")</f>
      </c>
      <c r="V19" s="24">
        <f>IFERROR(INDEX(Paletes!$D$5:$D$393,MATCH(B19,Paletes!$A$5:$A$393,0)),0)</f>
      </c>
      <c r="W19" s="31">
        <f>IF(V19=0,0,J19/V19)</f>
      </c>
      <c r="X19" s="31">
        <f>IF(V19=0,0,MAX(M19,0)/V19)</f>
      </c>
    </row>
    <row r="20" spans="1:24" x14ac:dyDescent="0.25">
      <c r="A20" s="32" t="str">
        <f>B20&amp;"."&amp;IFERROR(MID(D20,FIND("(",D20)+1,FIND(")",D20)-FIND("(",D20)-1),"")</f>
        <v>73543.16398</v>
      </c>
      <c r="B20" s="33">
        <v>73543</v>
      </c>
      <c r="C20" s="32" t="s">
        <v>74</v>
      </c>
      <c r="D20" s="32" t="s">
        <v>77</v>
      </c>
      <c r="E20" s="32">
        <v>87486</v>
      </c>
      <c r="F20" s="32" t="s">
        <v>25</v>
      </c>
      <c r="G20" s="32" t="s">
        <v>51</v>
      </c>
      <c r="H20" s="34">
        <f>IFERROR(INDEX(Linha!$B$5:$B$788,MATCH(A20,Linha!$A$5:$A$788,0)),"NÃO CADASTRADO")</f>
      </c>
      <c r="I20" s="34">
        <f>IFERROR(INDEX(Linha!$C$5:$C$788,MATCH(A20,Linha!$A$5:$A$788,0)),"-")</f>
      </c>
      <c r="J20" s="35">
        <v>29</v>
      </c>
      <c r="K20" s="36">
        <f>IFERROR(INDEX(Linha!$D$5:$D$788,MATCH(A20,Linha!$A$5:$A$788,0))*1,0)</f>
      </c>
      <c r="L20" s="36">
        <f>SUMIFS(Reservas!$K$5:$K$3669,Reservas!$A$5:$A$3669,A20)</f>
      </c>
      <c r="M20" s="37">
        <f>J20-L20</f>
      </c>
      <c r="N20" s="38">
        <v>14.644</v>
      </c>
      <c r="O20" s="37">
        <f>J20*N20</f>
      </c>
      <c r="P20" s="37">
        <f>L20*N20</f>
      </c>
      <c r="Q20" s="39">
        <v>99.92527693</v>
      </c>
      <c r="R20" s="40">
        <f>J20*Q20</f>
      </c>
      <c r="S20" s="40">
        <f>L20*Q20</f>
      </c>
      <c r="T20" s="41">
        <f>IF(J20=0,0,L20/J20)</f>
      </c>
      <c r="U20" s="42">
        <f>IFERROR(INDEX(Paletes!$C$5:$C$393,MATCH(B20,Paletes!$A$5:$A$393,0)),"SEM CADASTRO")</f>
      </c>
      <c r="V20" s="36">
        <f>IFERROR(INDEX(Paletes!$D$5:$D$393,MATCH(B20,Paletes!$A$5:$A$393,0)),0)</f>
      </c>
      <c r="W20" s="43">
        <f>IF(V20=0,0,J20/V20)</f>
      </c>
      <c r="X20" s="43">
        <f>IF(V20=0,0,MAX(M20,0)/V20)</f>
      </c>
    </row>
    <row r="21" spans="1:24" x14ac:dyDescent="0.25">
      <c r="A21" s="20" t="str">
        <f>B21&amp;"."&amp;IFERROR(MID(D21,FIND("(",D21)+1,FIND(")",D21)-FIND("(",D21)-1),"")</f>
        <v>73543.16396</v>
      </c>
      <c r="B21" s="21">
        <v>73543</v>
      </c>
      <c r="C21" s="20" t="s">
        <v>74</v>
      </c>
      <c r="D21" s="20" t="s">
        <v>78</v>
      </c>
      <c r="E21" s="20">
        <v>87486</v>
      </c>
      <c r="F21" s="20" t="s">
        <v>25</v>
      </c>
      <c r="G21" s="20" t="s">
        <v>51</v>
      </c>
      <c r="H21" s="22">
        <f>IFERROR(INDEX(Linha!$B$5:$B$788,MATCH(A21,Linha!$A$5:$A$788,0)),"NÃO CADASTRADO")</f>
      </c>
      <c r="I21" s="22">
        <f>IFERROR(INDEX(Linha!$C$5:$C$788,MATCH(A21,Linha!$A$5:$A$788,0)),"-")</f>
      </c>
      <c r="J21" s="23">
        <v>4</v>
      </c>
      <c r="K21" s="24">
        <f>IFERROR(INDEX(Linha!$D$5:$D$788,MATCH(A21,Linha!$A$5:$A$788,0))*1,0)</f>
      </c>
      <c r="L21" s="24">
        <f>SUMIFS(Reservas!$K$5:$K$3669,Reservas!$A$5:$A$3669,A21)</f>
      </c>
      <c r="M21" s="25">
        <f>J21-L21</f>
      </c>
      <c r="N21" s="26">
        <v>14.644</v>
      </c>
      <c r="O21" s="25">
        <f>J21*N21</f>
      </c>
      <c r="P21" s="25">
        <f>L21*N21</f>
      </c>
      <c r="Q21" s="27">
        <v>99.16527693</v>
      </c>
      <c r="R21" s="28">
        <f>J21*Q21</f>
      </c>
      <c r="S21" s="28">
        <f>L21*Q21</f>
      </c>
      <c r="T21" s="29">
        <f>IF(J21=0,0,L21/J21)</f>
      </c>
      <c r="U21" s="30">
        <f>IFERROR(INDEX(Paletes!$C$5:$C$393,MATCH(B21,Paletes!$A$5:$A$393,0)),"SEM CADASTRO")</f>
      </c>
      <c r="V21" s="24">
        <f>IFERROR(INDEX(Paletes!$D$5:$D$393,MATCH(B21,Paletes!$A$5:$A$393,0)),0)</f>
      </c>
      <c r="W21" s="31">
        <f>IF(V21=0,0,J21/V21)</f>
      </c>
      <c r="X21" s="31">
        <f>IF(V21=0,0,MAX(M21,0)/V21)</f>
      </c>
    </row>
    <row r="22" spans="1:24" x14ac:dyDescent="0.25">
      <c r="A22" s="32" t="str">
        <f>B22&amp;"."&amp;IFERROR(MID(D22,FIND("(",D22)+1,FIND(")",D22)-FIND("(",D22)-1),"")</f>
        <v>73077.16283</v>
      </c>
      <c r="B22" s="33">
        <v>73077</v>
      </c>
      <c r="C22" s="32" t="s">
        <v>79</v>
      </c>
      <c r="D22" s="32" t="s">
        <v>80</v>
      </c>
      <c r="E22" s="32">
        <v>67933</v>
      </c>
      <c r="F22" s="32" t="s">
        <v>24</v>
      </c>
      <c r="G22" s="32" t="s">
        <v>51</v>
      </c>
      <c r="H22" s="34">
        <f>IFERROR(INDEX(Linha!$B$5:$B$788,MATCH(A22,Linha!$A$5:$A$788,0)),"NÃO CADASTRADO")</f>
      </c>
      <c r="I22" s="34">
        <f>IFERROR(INDEX(Linha!$C$5:$C$788,MATCH(A22,Linha!$A$5:$A$788,0)),"-")</f>
      </c>
      <c r="J22" s="35">
        <v>522</v>
      </c>
      <c r="K22" s="36">
        <f>IFERROR(INDEX(Linha!$D$5:$D$788,MATCH(A22,Linha!$A$5:$A$788,0))*1,0)</f>
      </c>
      <c r="L22" s="36">
        <f>SUMIFS(Reservas!$K$5:$K$3669,Reservas!$A$5:$A$3669,A22)</f>
      </c>
      <c r="M22" s="37">
        <f>J22-L22</f>
      </c>
      <c r="N22" s="38">
        <v>25.35</v>
      </c>
      <c r="O22" s="37">
        <f>J22*N22</f>
      </c>
      <c r="P22" s="37">
        <f>L22*N22</f>
      </c>
      <c r="Q22" s="39">
        <v>85.31452988</v>
      </c>
      <c r="R22" s="40">
        <f>J22*Q22</f>
      </c>
      <c r="S22" s="40">
        <f>L22*Q22</f>
      </c>
      <c r="T22" s="41">
        <f>IF(J22=0,0,L22/J22)</f>
      </c>
      <c r="U22" s="42">
        <f>IFERROR(INDEX(Paletes!$C$5:$C$393,MATCH(B22,Paletes!$A$5:$A$393,0)),"SEM CADASTRO")</f>
      </c>
      <c r="V22" s="36">
        <f>IFERROR(INDEX(Paletes!$D$5:$D$393,MATCH(B22,Paletes!$A$5:$A$393,0)),0)</f>
      </c>
      <c r="W22" s="43">
        <f>IF(V22=0,0,J22/V22)</f>
      </c>
      <c r="X22" s="43">
        <f>IF(V22=0,0,MAX(M22,0)/V22)</f>
      </c>
    </row>
    <row r="23" spans="1:24" x14ac:dyDescent="0.25">
      <c r="A23" s="20" t="str">
        <f>B23&amp;"."&amp;IFERROR(MID(D23,FIND("(",D23)+1,FIND(")",D23)-FIND("(",D23)-1),"")</f>
        <v>2161.16428</v>
      </c>
      <c r="B23" s="21">
        <v>2161</v>
      </c>
      <c r="C23" s="20" t="s">
        <v>81</v>
      </c>
      <c r="D23" s="20" t="s">
        <v>82</v>
      </c>
      <c r="E23" s="20">
        <v>67929</v>
      </c>
      <c r="F23" s="20" t="s">
        <v>24</v>
      </c>
      <c r="G23" s="20" t="s">
        <v>51</v>
      </c>
      <c r="H23" s="22">
        <f>IFERROR(INDEX(Linha!$B$5:$B$788,MATCH(A23,Linha!$A$5:$A$788,0)),"NÃO CADASTRADO")</f>
      </c>
      <c r="I23" s="22">
        <f>IFERROR(INDEX(Linha!$C$5:$C$788,MATCH(A23,Linha!$A$5:$A$788,0)),"-")</f>
      </c>
      <c r="J23" s="23">
        <v>4</v>
      </c>
      <c r="K23" s="24">
        <f>IFERROR(INDEX(Linha!$D$5:$D$788,MATCH(A23,Linha!$A$5:$A$788,0))*1,0)</f>
      </c>
      <c r="L23" s="24">
        <f>SUMIFS(Reservas!$K$5:$K$3669,Reservas!$A$5:$A$3669,A23)</f>
      </c>
      <c r="M23" s="25">
        <f>J23-L23</f>
      </c>
      <c r="N23" s="26">
        <v>25.35</v>
      </c>
      <c r="O23" s="25">
        <f>J23*N23</f>
      </c>
      <c r="P23" s="25">
        <f>L23*N23</f>
      </c>
      <c r="Q23" s="27">
        <v>74.02723066</v>
      </c>
      <c r="R23" s="28">
        <f>J23*Q23</f>
      </c>
      <c r="S23" s="28">
        <f>L23*Q23</f>
      </c>
      <c r="T23" s="29">
        <f>IF(J23=0,0,L23/J23)</f>
      </c>
      <c r="U23" s="30">
        <f>IFERROR(INDEX(Paletes!$C$5:$C$393,MATCH(B23,Paletes!$A$5:$A$393,0)),"SEM CADASTRO")</f>
      </c>
      <c r="V23" s="24">
        <f>IFERROR(INDEX(Paletes!$D$5:$D$393,MATCH(B23,Paletes!$A$5:$A$393,0)),0)</f>
      </c>
      <c r="W23" s="31">
        <f>IF(V23=0,0,J23/V23)</f>
      </c>
      <c r="X23" s="31">
        <f>IF(V23=0,0,MAX(M23,0)/V23)</f>
      </c>
    </row>
    <row r="24" spans="1:24" x14ac:dyDescent="0.25">
      <c r="A24" s="32" t="str">
        <f>B24&amp;"."&amp;IFERROR(MID(D24,FIND("(",D24)+1,FIND(")",D24)-FIND("(",D24)-1),"")</f>
        <v>84946.37108</v>
      </c>
      <c r="B24" s="33">
        <v>84946</v>
      </c>
      <c r="C24" s="32" t="s">
        <v>83</v>
      </c>
      <c r="D24" s="32" t="s">
        <v>84</v>
      </c>
      <c r="E24" s="32">
        <v>96465</v>
      </c>
      <c r="F24" s="32" t="s">
        <v>24</v>
      </c>
      <c r="G24" s="32" t="s">
        <v>51</v>
      </c>
      <c r="H24" s="34">
        <f>IFERROR(INDEX(Linha!$B$5:$B$788,MATCH(A24,Linha!$A$5:$A$788,0)),"NÃO CADASTRADO")</f>
      </c>
      <c r="I24" s="34">
        <f>IFERROR(INDEX(Linha!$C$5:$C$788,MATCH(A24,Linha!$A$5:$A$788,0)),"-")</f>
      </c>
      <c r="J24" s="35">
        <v>2</v>
      </c>
      <c r="K24" s="36">
        <f>IFERROR(INDEX(Linha!$D$5:$D$788,MATCH(A24,Linha!$A$5:$A$788,0))*1,0)</f>
      </c>
      <c r="L24" s="36">
        <f>SUMIFS(Reservas!$K$5:$K$3669,Reservas!$A$5:$A$3669,A24)</f>
      </c>
      <c r="M24" s="37">
        <f>J24-L24</f>
      </c>
      <c r="N24" s="38">
        <v>39.955</v>
      </c>
      <c r="O24" s="37">
        <f>J24*N24</f>
      </c>
      <c r="P24" s="37">
        <f>L24*N24</f>
      </c>
      <c r="Q24" s="39">
        <v>138.28351429</v>
      </c>
      <c r="R24" s="40">
        <f>J24*Q24</f>
      </c>
      <c r="S24" s="40">
        <f>L24*Q24</f>
      </c>
      <c r="T24" s="41">
        <f>IF(J24=0,0,L24/J24)</f>
      </c>
      <c r="U24" s="42">
        <f>IFERROR(INDEX(Paletes!$C$5:$C$393,MATCH(B24,Paletes!$A$5:$A$393,0)),"SEM CADASTRO")</f>
      </c>
      <c r="V24" s="36">
        <f>IFERROR(INDEX(Paletes!$D$5:$D$393,MATCH(B24,Paletes!$A$5:$A$393,0)),0)</f>
      </c>
      <c r="W24" s="43">
        <f>IF(V24=0,0,J24/V24)</f>
      </c>
      <c r="X24" s="43">
        <f>IF(V24=0,0,MAX(M24,0)/V24)</f>
      </c>
    </row>
    <row r="25" spans="1:24" x14ac:dyDescent="0.25">
      <c r="A25" s="20" t="str">
        <f>B25&amp;"."&amp;IFERROR(MID(D25,FIND("(",D25)+1,FIND(")",D25)-FIND("(",D25)-1),"")</f>
        <v>73550.16661</v>
      </c>
      <c r="B25" s="21">
        <v>73550</v>
      </c>
      <c r="C25" s="20" t="s">
        <v>85</v>
      </c>
      <c r="D25" s="20" t="s">
        <v>86</v>
      </c>
      <c r="E25" s="20">
        <v>66401</v>
      </c>
      <c r="F25" s="20" t="s">
        <v>25</v>
      </c>
      <c r="G25" s="20" t="s">
        <v>51</v>
      </c>
      <c r="H25" s="22">
        <f>IFERROR(INDEX(Linha!$B$5:$B$788,MATCH(A25,Linha!$A$5:$A$788,0)),"NÃO CADASTRADO")</f>
      </c>
      <c r="I25" s="22">
        <f>IFERROR(INDEX(Linha!$C$5:$C$788,MATCH(A25,Linha!$A$5:$A$788,0)),"-")</f>
      </c>
      <c r="J25" s="23">
        <v>0</v>
      </c>
      <c r="K25" s="24">
        <f>IFERROR(INDEX(Linha!$D$5:$D$788,MATCH(A25,Linha!$A$5:$A$788,0))*1,0)</f>
      </c>
      <c r="L25" s="24">
        <f>SUMIFS(Reservas!$K$5:$K$3669,Reservas!$A$5:$A$3669,A25)</f>
      </c>
      <c r="M25" s="25">
        <f>J25-L25</f>
      </c>
      <c r="N25" s="26">
        <v>11.358</v>
      </c>
      <c r="O25" s="25">
        <f>J25*N25</f>
      </c>
      <c r="P25" s="25">
        <f>L25*N25</f>
      </c>
      <c r="Q25" s="27">
        <v>92.95530468</v>
      </c>
      <c r="R25" s="28">
        <f>J25*Q25</f>
      </c>
      <c r="S25" s="28">
        <f>L25*Q25</f>
      </c>
      <c r="T25" s="29">
        <f>IF(J25=0,0,L25/J25)</f>
      </c>
      <c r="U25" s="30">
        <f>IFERROR(INDEX(Paletes!$C$5:$C$393,MATCH(B25,Paletes!$A$5:$A$393,0)),"SEM CADASTRO")</f>
      </c>
      <c r="V25" s="24">
        <f>IFERROR(INDEX(Paletes!$D$5:$D$393,MATCH(B25,Paletes!$A$5:$A$393,0)),0)</f>
      </c>
      <c r="W25" s="31">
        <f>IF(V25=0,0,J25/V25)</f>
      </c>
      <c r="X25" s="31">
        <f>IF(V25=0,0,MAX(M25,0)/V25)</f>
      </c>
    </row>
    <row r="26" spans="1:24" x14ac:dyDescent="0.25">
      <c r="A26" s="32" t="str">
        <f>B26&amp;"."&amp;IFERROR(MID(D26,FIND("(",D26)+1,FIND(")",D26)-FIND("(",D26)-1),"")</f>
        <v>95040.99258</v>
      </c>
      <c r="B26" s="33">
        <v>95040</v>
      </c>
      <c r="C26" s="32" t="s">
        <v>87</v>
      </c>
      <c r="D26" s="32" t="s">
        <v>88</v>
      </c>
      <c r="E26" s="32" t="s">
        <v>89</v>
      </c>
      <c r="F26" s="32" t="s">
        <v>25</v>
      </c>
      <c r="G26" s="32" t="s">
        <v>51</v>
      </c>
      <c r="H26" s="34">
        <f>IFERROR(INDEX(Linha!$B$5:$B$788,MATCH(A26,Linha!$A$5:$A$788,0)),"NÃO CADASTRADO")</f>
      </c>
      <c r="I26" s="34">
        <f>IFERROR(INDEX(Linha!$C$5:$C$788,MATCH(A26,Linha!$A$5:$A$788,0)),"-")</f>
      </c>
      <c r="J26" s="35">
        <v>0</v>
      </c>
      <c r="K26" s="36">
        <f>IFERROR(INDEX(Linha!$D$5:$D$788,MATCH(A26,Linha!$A$5:$A$788,0))*1,0)</f>
      </c>
      <c r="L26" s="36">
        <f>SUMIFS(Reservas!$K$5:$K$3669,Reservas!$A$5:$A$3669,A26)</f>
      </c>
      <c r="M26" s="37">
        <f>J26-L26</f>
      </c>
      <c r="N26" s="38">
        <v>20.962</v>
      </c>
      <c r="O26" s="37">
        <f>J26*N26</f>
      </c>
      <c r="P26" s="37">
        <f>L26*N26</f>
      </c>
      <c r="Q26" s="39">
        <v>112.36226608</v>
      </c>
      <c r="R26" s="40">
        <f>J26*Q26</f>
      </c>
      <c r="S26" s="40">
        <f>L26*Q26</f>
      </c>
      <c r="T26" s="41">
        <f>IF(J26=0,0,L26/J26)</f>
      </c>
      <c r="U26" s="42">
        <f>IFERROR(INDEX(Paletes!$C$5:$C$393,MATCH(B26,Paletes!$A$5:$A$393,0)),"SEM CADASTRO")</f>
      </c>
      <c r="V26" s="36">
        <f>IFERROR(INDEX(Paletes!$D$5:$D$393,MATCH(B26,Paletes!$A$5:$A$393,0)),0)</f>
      </c>
      <c r="W26" s="43">
        <f>IF(V26=0,0,J26/V26)</f>
      </c>
      <c r="X26" s="43">
        <f>IF(V26=0,0,MAX(M26,0)/V26)</f>
      </c>
    </row>
    <row r="27" spans="1:24" x14ac:dyDescent="0.25">
      <c r="A27" s="20" t="str">
        <f>B27&amp;"."&amp;IFERROR(MID(D27,FIND("(",D27)+1,FIND(")",D27)-FIND("(",D27)-1),"")</f>
        <v>86204.69459</v>
      </c>
      <c r="B27" s="21">
        <v>86204</v>
      </c>
      <c r="C27" s="20" t="s">
        <v>90</v>
      </c>
      <c r="D27" s="20" t="s">
        <v>91</v>
      </c>
      <c r="E27" s="20">
        <v>99703</v>
      </c>
      <c r="F27" s="20" t="s">
        <v>26</v>
      </c>
      <c r="G27" s="20" t="s">
        <v>51</v>
      </c>
      <c r="H27" s="22">
        <f>IFERROR(INDEX(Linha!$B$5:$B$788,MATCH(A27,Linha!$A$5:$A$788,0)),"NÃO CADASTRADO")</f>
      </c>
      <c r="I27" s="22">
        <f>IFERROR(INDEX(Linha!$C$5:$C$788,MATCH(A27,Linha!$A$5:$A$788,0)),"-")</f>
      </c>
      <c r="J27" s="23">
        <v>25</v>
      </c>
      <c r="K27" s="24">
        <f>IFERROR(INDEX(Linha!$D$5:$D$788,MATCH(A27,Linha!$A$5:$A$788,0))*1,0)</f>
      </c>
      <c r="L27" s="24">
        <f>SUMIFS(Reservas!$K$5:$K$3669,Reservas!$A$5:$A$3669,A27)</f>
      </c>
      <c r="M27" s="25">
        <f>J27-L27</f>
      </c>
      <c r="N27" s="26">
        <v>30.663</v>
      </c>
      <c r="O27" s="25">
        <f>J27*N27</f>
      </c>
      <c r="P27" s="25">
        <f>L27*N27</f>
      </c>
      <c r="Q27" s="27">
        <v>147.00522858</v>
      </c>
      <c r="R27" s="28">
        <f>J27*Q27</f>
      </c>
      <c r="S27" s="28">
        <f>L27*Q27</f>
      </c>
      <c r="T27" s="29">
        <f>IF(J27=0,0,L27/J27)</f>
      </c>
      <c r="U27" s="30">
        <f>IFERROR(INDEX(Paletes!$C$5:$C$393,MATCH(B27,Paletes!$A$5:$A$393,0)),"SEM CADASTRO")</f>
      </c>
      <c r="V27" s="24">
        <f>IFERROR(INDEX(Paletes!$D$5:$D$393,MATCH(B27,Paletes!$A$5:$A$393,0)),0)</f>
      </c>
      <c r="W27" s="31">
        <f>IF(V27=0,0,J27/V27)</f>
      </c>
      <c r="X27" s="31">
        <f>IF(V27=0,0,MAX(M27,0)/V27)</f>
      </c>
    </row>
    <row r="28" spans="1:24" x14ac:dyDescent="0.25">
      <c r="A28" s="32" t="str">
        <f>B28&amp;"."&amp;IFERROR(MID(D28,FIND("(",D28)+1,FIND(")",D28)-FIND("(",D28)-1),"")</f>
        <v>73778.</v>
      </c>
      <c r="B28" s="33">
        <v>73778</v>
      </c>
      <c r="C28" s="32" t="s">
        <v>92</v>
      </c>
      <c r="D28" s="32" t="s">
        <v>89</v>
      </c>
      <c r="E28" s="32">
        <v>39403</v>
      </c>
      <c r="F28" s="32" t="s">
        <v>27</v>
      </c>
      <c r="G28" s="32" t="s">
        <v>51</v>
      </c>
      <c r="H28" s="34">
        <f>IFERROR(INDEX(Linha!$B$5:$B$788,MATCH(A28,Linha!$A$5:$A$788,0)),"NÃO CADASTRADO")</f>
      </c>
      <c r="I28" s="34">
        <f>IFERROR(INDEX(Linha!$C$5:$C$788,MATCH(A28,Linha!$A$5:$A$788,0)),"-")</f>
      </c>
      <c r="J28" s="35">
        <v>0</v>
      </c>
      <c r="K28" s="36">
        <f>IFERROR(INDEX(Linha!$D$5:$D$788,MATCH(A28,Linha!$A$5:$A$788,0))*1,0)</f>
      </c>
      <c r="L28" s="36">
        <f>SUMIFS(Reservas!$K$5:$K$3669,Reservas!$A$5:$A$3669,A28)</f>
      </c>
      <c r="M28" s="37">
        <f>J28-L28</f>
      </c>
      <c r="N28" s="38">
        <v>9.16</v>
      </c>
      <c r="O28" s="37">
        <f>J28*N28</f>
      </c>
      <c r="P28" s="37">
        <f>L28*N28</f>
      </c>
      <c r="Q28" s="39">
        <v>42.91889985</v>
      </c>
      <c r="R28" s="40">
        <f>J28*Q28</f>
      </c>
      <c r="S28" s="40">
        <f>L28*Q28</f>
      </c>
      <c r="T28" s="41">
        <f>IF(J28=0,0,L28/J28)</f>
      </c>
      <c r="U28" s="42">
        <f>IFERROR(INDEX(Paletes!$C$5:$C$393,MATCH(B28,Paletes!$A$5:$A$393,0)),"SEM CADASTRO")</f>
      </c>
      <c r="V28" s="36">
        <f>IFERROR(INDEX(Paletes!$D$5:$D$393,MATCH(B28,Paletes!$A$5:$A$393,0)),0)</f>
      </c>
      <c r="W28" s="43">
        <f>IF(V28=0,0,J28/V28)</f>
      </c>
      <c r="X28" s="43">
        <f>IF(V28=0,0,MAX(M28,0)/V28)</f>
      </c>
    </row>
    <row r="29" spans="1:24" x14ac:dyDescent="0.25">
      <c r="A29" s="20" t="str">
        <f>B29&amp;"."&amp;IFERROR(MID(D29,FIND("(",D29)+1,FIND(")",D29)-FIND("(",D29)-1),"")</f>
        <v>87565.93217</v>
      </c>
      <c r="B29" s="21">
        <v>87565</v>
      </c>
      <c r="C29" s="20" t="s">
        <v>93</v>
      </c>
      <c r="D29" s="20" t="s">
        <v>94</v>
      </c>
      <c r="E29" s="20">
        <v>105325</v>
      </c>
      <c r="F29" s="20" t="s">
        <v>26</v>
      </c>
      <c r="G29" s="20" t="s">
        <v>51</v>
      </c>
      <c r="H29" s="22">
        <f>IFERROR(INDEX(Linha!$B$5:$B$788,MATCH(A29,Linha!$A$5:$A$788,0)),"NÃO CADASTRADO")</f>
      </c>
      <c r="I29" s="22">
        <f>IFERROR(INDEX(Linha!$C$5:$C$788,MATCH(A29,Linha!$A$5:$A$788,0)),"-")</f>
      </c>
      <c r="J29" s="23">
        <v>111</v>
      </c>
      <c r="K29" s="24">
        <f>IFERROR(INDEX(Linha!$D$5:$D$788,MATCH(A29,Linha!$A$5:$A$788,0))*1,0)</f>
      </c>
      <c r="L29" s="24">
        <f>SUMIFS(Reservas!$K$5:$K$3669,Reservas!$A$5:$A$3669,A29)</f>
      </c>
      <c r="M29" s="25">
        <f>J29-L29</f>
      </c>
      <c r="N29" s="26">
        <v>1.413</v>
      </c>
      <c r="O29" s="25">
        <f>J29*N29</f>
      </c>
      <c r="P29" s="25">
        <f>L29*N29</f>
      </c>
      <c r="Q29" s="27">
        <v>46.11964504</v>
      </c>
      <c r="R29" s="28">
        <f>J29*Q29</f>
      </c>
      <c r="S29" s="28">
        <f>L29*Q29</f>
      </c>
      <c r="T29" s="29">
        <f>IF(J29=0,0,L29/J29)</f>
      </c>
      <c r="U29" s="30">
        <f>IFERROR(INDEX(Paletes!$C$5:$C$393,MATCH(B29,Paletes!$A$5:$A$393,0)),"SEM CADASTRO")</f>
      </c>
      <c r="V29" s="24">
        <f>IFERROR(INDEX(Paletes!$D$5:$D$393,MATCH(B29,Paletes!$A$5:$A$393,0)),0)</f>
      </c>
      <c r="W29" s="31">
        <f>IF(V29=0,0,J29/V29)</f>
      </c>
      <c r="X29" s="31">
        <f>IF(V29=0,0,MAX(M29,0)/V29)</f>
      </c>
    </row>
    <row r="30" spans="1:24" x14ac:dyDescent="0.25">
      <c r="A30" s="32" t="str">
        <f>B30&amp;"."&amp;IFERROR(MID(D30,FIND("(",D30)+1,FIND(")",D30)-FIND("(",D30)-1),"")</f>
        <v>75871.65257</v>
      </c>
      <c r="B30" s="33">
        <v>75871</v>
      </c>
      <c r="C30" s="32" t="s">
        <v>95</v>
      </c>
      <c r="D30" s="32" t="s">
        <v>96</v>
      </c>
      <c r="E30" s="32">
        <v>91885</v>
      </c>
      <c r="F30" s="32" t="s">
        <v>26</v>
      </c>
      <c r="G30" s="32" t="s">
        <v>51</v>
      </c>
      <c r="H30" s="34">
        <f>IFERROR(INDEX(Linha!$B$5:$B$788,MATCH(A30,Linha!$A$5:$A$788,0)),"NÃO CADASTRADO")</f>
      </c>
      <c r="I30" s="34">
        <f>IFERROR(INDEX(Linha!$C$5:$C$788,MATCH(A30,Linha!$A$5:$A$788,0)),"-")</f>
      </c>
      <c r="J30" s="35">
        <v>84</v>
      </c>
      <c r="K30" s="36">
        <f>IFERROR(INDEX(Linha!$D$5:$D$788,MATCH(A30,Linha!$A$5:$A$788,0))*1,0)</f>
      </c>
      <c r="L30" s="36">
        <f>SUMIFS(Reservas!$K$5:$K$3669,Reservas!$A$5:$A$3669,A30)</f>
      </c>
      <c r="M30" s="37">
        <f>J30-L30</f>
      </c>
      <c r="N30" s="38">
        <v>17.062</v>
      </c>
      <c r="O30" s="37">
        <f>J30*N30</f>
      </c>
      <c r="P30" s="37">
        <f>L30*N30</f>
      </c>
      <c r="Q30" s="39">
        <v>44.21052661</v>
      </c>
      <c r="R30" s="40">
        <f>J30*Q30</f>
      </c>
      <c r="S30" s="40">
        <f>L30*Q30</f>
      </c>
      <c r="T30" s="41">
        <f>IF(J30=0,0,L30/J30)</f>
      </c>
      <c r="U30" s="42">
        <f>IFERROR(INDEX(Paletes!$C$5:$C$393,MATCH(B30,Paletes!$A$5:$A$393,0)),"SEM CADASTRO")</f>
      </c>
      <c r="V30" s="36">
        <f>IFERROR(INDEX(Paletes!$D$5:$D$393,MATCH(B30,Paletes!$A$5:$A$393,0)),0)</f>
      </c>
      <c r="W30" s="43">
        <f>IF(V30=0,0,J30/V30)</f>
      </c>
      <c r="X30" s="43">
        <f>IF(V30=0,0,MAX(M30,0)/V30)</f>
      </c>
    </row>
    <row r="31" spans="1:24" x14ac:dyDescent="0.25">
      <c r="A31" s="20" t="str">
        <f>B31&amp;"."&amp;IFERROR(MID(D31,FIND("(",D31)+1,FIND(")",D31)-FIND("(",D31)-1),"")</f>
        <v>74632.99862</v>
      </c>
      <c r="B31" s="21">
        <v>74632</v>
      </c>
      <c r="C31" s="20" t="s">
        <v>97</v>
      </c>
      <c r="D31" s="20" t="s">
        <v>98</v>
      </c>
      <c r="E31" s="20">
        <v>81398</v>
      </c>
      <c r="F31" s="20" t="s">
        <v>24</v>
      </c>
      <c r="G31" s="20" t="s">
        <v>51</v>
      </c>
      <c r="H31" s="22">
        <f>IFERROR(INDEX(Linha!$B$5:$B$788,MATCH(A31,Linha!$A$5:$A$788,0)),"NÃO CADASTRADO")</f>
      </c>
      <c r="I31" s="22">
        <f>IFERROR(INDEX(Linha!$C$5:$C$788,MATCH(A31,Linha!$A$5:$A$788,0)),"-")</f>
      </c>
      <c r="J31" s="23">
        <v>0</v>
      </c>
      <c r="K31" s="24">
        <f>IFERROR(INDEX(Linha!$D$5:$D$788,MATCH(A31,Linha!$A$5:$A$788,0))*1,0)</f>
      </c>
      <c r="L31" s="24">
        <f>SUMIFS(Reservas!$K$5:$K$3669,Reservas!$A$5:$A$3669,A31)</f>
      </c>
      <c r="M31" s="25">
        <f>J31-L31</f>
      </c>
      <c r="N31" s="26">
        <v>18.78</v>
      </c>
      <c r="O31" s="25">
        <f>J31*N31</f>
      </c>
      <c r="P31" s="25">
        <f>L31*N31</f>
      </c>
      <c r="Q31" s="27">
        <v>116.55085793</v>
      </c>
      <c r="R31" s="28">
        <f>J31*Q31</f>
      </c>
      <c r="S31" s="28">
        <f>L31*Q31</f>
      </c>
      <c r="T31" s="29">
        <f>IF(J31=0,0,L31/J31)</f>
      </c>
      <c r="U31" s="30">
        <f>IFERROR(INDEX(Paletes!$C$5:$C$393,MATCH(B31,Paletes!$A$5:$A$393,0)),"SEM CADASTRO")</f>
      </c>
      <c r="V31" s="24">
        <f>IFERROR(INDEX(Paletes!$D$5:$D$393,MATCH(B31,Paletes!$A$5:$A$393,0)),0)</f>
      </c>
      <c r="W31" s="31">
        <f>IF(V31=0,0,J31/V31)</f>
      </c>
      <c r="X31" s="31">
        <f>IF(V31=0,0,MAX(M31,0)/V31)</f>
      </c>
    </row>
    <row r="32" spans="1:24" x14ac:dyDescent="0.25">
      <c r="A32" s="32" t="str">
        <f>B32&amp;"."&amp;IFERROR(MID(D32,FIND("(",D32)+1,FIND(")",D32)-FIND("(",D32)-1),"")</f>
        <v>84921.36180</v>
      </c>
      <c r="B32" s="33">
        <v>84921</v>
      </c>
      <c r="C32" s="32" t="s">
        <v>99</v>
      </c>
      <c r="D32" s="32" t="s">
        <v>100</v>
      </c>
      <c r="E32" s="32">
        <v>96440</v>
      </c>
      <c r="F32" s="32" t="s">
        <v>24</v>
      </c>
      <c r="G32" s="32" t="s">
        <v>51</v>
      </c>
      <c r="H32" s="34">
        <f>IFERROR(INDEX(Linha!$B$5:$B$788,MATCH(A32,Linha!$A$5:$A$788,0)),"NÃO CADASTRADO")</f>
      </c>
      <c r="I32" s="34">
        <f>IFERROR(INDEX(Linha!$C$5:$C$788,MATCH(A32,Linha!$A$5:$A$788,0)),"-")</f>
      </c>
      <c r="J32" s="35">
        <v>15</v>
      </c>
      <c r="K32" s="36">
        <f>IFERROR(INDEX(Linha!$D$5:$D$788,MATCH(A32,Linha!$A$5:$A$788,0))*1,0)</f>
      </c>
      <c r="L32" s="36">
        <f>SUMIFS(Reservas!$K$5:$K$3669,Reservas!$A$5:$A$3669,A32)</f>
      </c>
      <c r="M32" s="37">
        <f>J32-L32</f>
      </c>
      <c r="N32" s="38">
        <v>41.73</v>
      </c>
      <c r="O32" s="37">
        <f>J32*N32</f>
      </c>
      <c r="P32" s="37">
        <f>L32*N32</f>
      </c>
      <c r="Q32" s="39">
        <v>206.90279552</v>
      </c>
      <c r="R32" s="40">
        <f>J32*Q32</f>
      </c>
      <c r="S32" s="40">
        <f>L32*Q32</f>
      </c>
      <c r="T32" s="41">
        <f>IF(J32=0,0,L32/J32)</f>
      </c>
      <c r="U32" s="42">
        <f>IFERROR(INDEX(Paletes!$C$5:$C$393,MATCH(B32,Paletes!$A$5:$A$393,0)),"SEM CADASTRO")</f>
      </c>
      <c r="V32" s="36">
        <f>IFERROR(INDEX(Paletes!$D$5:$D$393,MATCH(B32,Paletes!$A$5:$A$393,0)),0)</f>
      </c>
      <c r="W32" s="43">
        <f>IF(V32=0,0,J32/V32)</f>
      </c>
      <c r="X32" s="43">
        <f>IF(V32=0,0,MAX(M32,0)/V32)</f>
      </c>
    </row>
    <row r="33" spans="1:24" x14ac:dyDescent="0.25">
      <c r="A33" s="20" t="str">
        <f>B33&amp;"."&amp;IFERROR(MID(D33,FIND("(",D33)+1,FIND(")",D33)-FIND("(",D33)-1),"")</f>
        <v>85168.72896</v>
      </c>
      <c r="B33" s="21">
        <v>85168</v>
      </c>
      <c r="C33" s="20" t="s">
        <v>101</v>
      </c>
      <c r="D33" s="20" t="s">
        <v>102</v>
      </c>
      <c r="E33" s="20">
        <v>96252</v>
      </c>
      <c r="F33" s="20" t="s">
        <v>25</v>
      </c>
      <c r="G33" s="20" t="s">
        <v>51</v>
      </c>
      <c r="H33" s="22">
        <f>IFERROR(INDEX(Linha!$B$5:$B$788,MATCH(A33,Linha!$A$5:$A$788,0)),"NÃO CADASTRADO")</f>
      </c>
      <c r="I33" s="22">
        <f>IFERROR(INDEX(Linha!$C$5:$C$788,MATCH(A33,Linha!$A$5:$A$788,0)),"-")</f>
      </c>
      <c r="J33" s="23">
        <v>5</v>
      </c>
      <c r="K33" s="24">
        <f>IFERROR(INDEX(Linha!$D$5:$D$788,MATCH(A33,Linha!$A$5:$A$788,0))*1,0)</f>
      </c>
      <c r="L33" s="24">
        <f>SUMIFS(Reservas!$K$5:$K$3669,Reservas!$A$5:$A$3669,A33)</f>
      </c>
      <c r="M33" s="25">
        <f>J33-L33</f>
      </c>
      <c r="N33" s="26">
        <v>28.567</v>
      </c>
      <c r="O33" s="25">
        <f>J33*N33</f>
      </c>
      <c r="P33" s="25">
        <f>L33*N33</f>
      </c>
      <c r="Q33" s="27">
        <v>139.2943285</v>
      </c>
      <c r="R33" s="28">
        <f>J33*Q33</f>
      </c>
      <c r="S33" s="28">
        <f>L33*Q33</f>
      </c>
      <c r="T33" s="29">
        <f>IF(J33=0,0,L33/J33)</f>
      </c>
      <c r="U33" s="30">
        <f>IFERROR(INDEX(Paletes!$C$5:$C$393,MATCH(B33,Paletes!$A$5:$A$393,0)),"SEM CADASTRO")</f>
      </c>
      <c r="V33" s="24">
        <f>IFERROR(INDEX(Paletes!$D$5:$D$393,MATCH(B33,Paletes!$A$5:$A$393,0)),0)</f>
      </c>
      <c r="W33" s="31">
        <f>IF(V33=0,0,J33/V33)</f>
      </c>
      <c r="X33" s="31">
        <f>IF(V33=0,0,MAX(M33,0)/V33)</f>
      </c>
    </row>
    <row r="34" spans="1:24" x14ac:dyDescent="0.25">
      <c r="A34" s="32" t="str">
        <f>B34&amp;"."&amp;IFERROR(MID(D34,FIND("(",D34)+1,FIND(")",D34)-FIND("(",D34)-1),"")</f>
        <v>2280.31363</v>
      </c>
      <c r="B34" s="33">
        <v>2280</v>
      </c>
      <c r="C34" s="32" t="s">
        <v>103</v>
      </c>
      <c r="D34" s="32" t="s">
        <v>104</v>
      </c>
      <c r="E34" s="32">
        <v>86814</v>
      </c>
      <c r="F34" s="32" t="s">
        <v>26</v>
      </c>
      <c r="G34" s="32" t="s">
        <v>51</v>
      </c>
      <c r="H34" s="34">
        <f>IFERROR(INDEX(Linha!$B$5:$B$788,MATCH(A34,Linha!$A$5:$A$788,0)),"NÃO CADASTRADO")</f>
      </c>
      <c r="I34" s="34">
        <f>IFERROR(INDEX(Linha!$C$5:$C$788,MATCH(A34,Linha!$A$5:$A$788,0)),"-")</f>
      </c>
      <c r="J34" s="35">
        <v>0</v>
      </c>
      <c r="K34" s="36">
        <f>IFERROR(INDEX(Linha!$D$5:$D$788,MATCH(A34,Linha!$A$5:$A$788,0))*1,0)</f>
      </c>
      <c r="L34" s="36">
        <f>SUMIFS(Reservas!$K$5:$K$3669,Reservas!$A$5:$A$3669,A34)</f>
      </c>
      <c r="M34" s="37">
        <f>J34-L34</f>
      </c>
      <c r="N34" s="38">
        <v>59.943</v>
      </c>
      <c r="O34" s="37">
        <f>J34*N34</f>
      </c>
      <c r="P34" s="37">
        <f>L34*N34</f>
      </c>
      <c r="Q34" s="39">
        <v>219.29730216</v>
      </c>
      <c r="R34" s="40">
        <f>J34*Q34</f>
      </c>
      <c r="S34" s="40">
        <f>L34*Q34</f>
      </c>
      <c r="T34" s="41">
        <f>IF(J34=0,0,L34/J34)</f>
      </c>
      <c r="U34" s="42">
        <f>IFERROR(INDEX(Paletes!$C$5:$C$393,MATCH(B34,Paletes!$A$5:$A$393,0)),"SEM CADASTRO")</f>
      </c>
      <c r="V34" s="36">
        <f>IFERROR(INDEX(Paletes!$D$5:$D$393,MATCH(B34,Paletes!$A$5:$A$393,0)),0)</f>
      </c>
      <c r="W34" s="43">
        <f>IF(V34=0,0,J34/V34)</f>
      </c>
      <c r="X34" s="43">
        <f>IF(V34=0,0,MAX(M34,0)/V34)</f>
      </c>
    </row>
    <row r="35" spans="1:24" x14ac:dyDescent="0.25">
      <c r="A35" s="20" t="str">
        <f>B35&amp;"."&amp;IFERROR(MID(D35,FIND("(",D35)+1,FIND(")",D35)-FIND("(",D35)-1),"")</f>
        <v>73539.16556</v>
      </c>
      <c r="B35" s="21">
        <v>73539</v>
      </c>
      <c r="C35" s="20" t="s">
        <v>105</v>
      </c>
      <c r="D35" s="20" t="s">
        <v>106</v>
      </c>
      <c r="E35" s="20">
        <v>73511</v>
      </c>
      <c r="F35" s="20" t="s">
        <v>25</v>
      </c>
      <c r="G35" s="20" t="s">
        <v>51</v>
      </c>
      <c r="H35" s="22">
        <f>IFERROR(INDEX(Linha!$B$5:$B$788,MATCH(A35,Linha!$A$5:$A$788,0)),"NÃO CADASTRADO")</f>
      </c>
      <c r="I35" s="22">
        <f>IFERROR(INDEX(Linha!$C$5:$C$788,MATCH(A35,Linha!$A$5:$A$788,0)),"-")</f>
      </c>
      <c r="J35" s="23">
        <v>0</v>
      </c>
      <c r="K35" s="24">
        <f>IFERROR(INDEX(Linha!$D$5:$D$788,MATCH(A35,Linha!$A$5:$A$788,0))*1,0)</f>
      </c>
      <c r="L35" s="24">
        <f>SUMIFS(Reservas!$K$5:$K$3669,Reservas!$A$5:$A$3669,A35)</f>
      </c>
      <c r="M35" s="25">
        <f>J35-L35</f>
      </c>
      <c r="N35" s="26">
        <v>12.675</v>
      </c>
      <c r="O35" s="25">
        <f>J35*N35</f>
      </c>
      <c r="P35" s="25">
        <f>L35*N35</f>
      </c>
      <c r="Q35" s="27">
        <v>70.96639148</v>
      </c>
      <c r="R35" s="28">
        <f>J35*Q35</f>
      </c>
      <c r="S35" s="28">
        <f>L35*Q35</f>
      </c>
      <c r="T35" s="29">
        <f>IF(J35=0,0,L35/J35)</f>
      </c>
      <c r="U35" s="30">
        <f>IFERROR(INDEX(Paletes!$C$5:$C$393,MATCH(B35,Paletes!$A$5:$A$393,0)),"SEM CADASTRO")</f>
      </c>
      <c r="V35" s="24">
        <f>IFERROR(INDEX(Paletes!$D$5:$D$393,MATCH(B35,Paletes!$A$5:$A$393,0)),0)</f>
      </c>
      <c r="W35" s="31">
        <f>IF(V35=0,0,J35/V35)</f>
      </c>
      <c r="X35" s="31">
        <f>IF(V35=0,0,MAX(M35,0)/V35)</f>
      </c>
    </row>
    <row r="36" spans="1:24" x14ac:dyDescent="0.25">
      <c r="A36" s="32" t="str">
        <f>B36&amp;"."&amp;IFERROR(MID(D36,FIND("(",D36)+1,FIND(")",D36)-FIND("(",D36)-1),"")</f>
        <v>73539.24026</v>
      </c>
      <c r="B36" s="33">
        <v>73539</v>
      </c>
      <c r="C36" s="32" t="s">
        <v>105</v>
      </c>
      <c r="D36" s="32" t="s">
        <v>107</v>
      </c>
      <c r="E36" s="32">
        <v>73511</v>
      </c>
      <c r="F36" s="32" t="s">
        <v>25</v>
      </c>
      <c r="G36" s="32" t="s">
        <v>51</v>
      </c>
      <c r="H36" s="34">
        <f>IFERROR(INDEX(Linha!$B$5:$B$788,MATCH(A36,Linha!$A$5:$A$788,0)),"NÃO CADASTRADO")</f>
      </c>
      <c r="I36" s="34">
        <f>IFERROR(INDEX(Linha!$C$5:$C$788,MATCH(A36,Linha!$A$5:$A$788,0)),"-")</f>
      </c>
      <c r="J36" s="35">
        <v>1</v>
      </c>
      <c r="K36" s="36">
        <f>IFERROR(INDEX(Linha!$D$5:$D$788,MATCH(A36,Linha!$A$5:$A$788,0))*1,0)</f>
      </c>
      <c r="L36" s="36">
        <f>SUMIFS(Reservas!$K$5:$K$3669,Reservas!$A$5:$A$3669,A36)</f>
      </c>
      <c r="M36" s="37">
        <f>J36-L36</f>
      </c>
      <c r="N36" s="38">
        <v>12.675</v>
      </c>
      <c r="O36" s="37">
        <f>J36*N36</f>
      </c>
      <c r="P36" s="37">
        <f>L36*N36</f>
      </c>
      <c r="Q36" s="39">
        <v>70.96639148</v>
      </c>
      <c r="R36" s="40">
        <f>J36*Q36</f>
      </c>
      <c r="S36" s="40">
        <f>L36*Q36</f>
      </c>
      <c r="T36" s="41">
        <f>IF(J36=0,0,L36/J36)</f>
      </c>
      <c r="U36" s="42">
        <f>IFERROR(INDEX(Paletes!$C$5:$C$393,MATCH(B36,Paletes!$A$5:$A$393,0)),"SEM CADASTRO")</f>
      </c>
      <c r="V36" s="36">
        <f>IFERROR(INDEX(Paletes!$D$5:$D$393,MATCH(B36,Paletes!$A$5:$A$393,0)),0)</f>
      </c>
      <c r="W36" s="43">
        <f>IF(V36=0,0,J36/V36)</f>
      </c>
      <c r="X36" s="43">
        <f>IF(V36=0,0,MAX(M36,0)/V36)</f>
      </c>
    </row>
    <row r="37" spans="1:24" x14ac:dyDescent="0.25">
      <c r="A37" s="20" t="str">
        <f>B37&amp;"."&amp;IFERROR(MID(D37,FIND("(",D37)+1,FIND(")",D37)-FIND("(",D37)-1),"")</f>
        <v>73388.16470</v>
      </c>
      <c r="B37" s="21">
        <v>73388</v>
      </c>
      <c r="C37" s="20" t="s">
        <v>108</v>
      </c>
      <c r="D37" s="20" t="s">
        <v>109</v>
      </c>
      <c r="E37" s="20">
        <v>54394</v>
      </c>
      <c r="F37" s="20" t="s">
        <v>25</v>
      </c>
      <c r="G37" s="20" t="s">
        <v>51</v>
      </c>
      <c r="H37" s="22">
        <f>IFERROR(INDEX(Linha!$B$5:$B$788,MATCH(A37,Linha!$A$5:$A$788,0)),"NÃO CADASTRADO")</f>
      </c>
      <c r="I37" s="22">
        <f>IFERROR(INDEX(Linha!$C$5:$C$788,MATCH(A37,Linha!$A$5:$A$788,0)),"-")</f>
      </c>
      <c r="J37" s="23">
        <v>313</v>
      </c>
      <c r="K37" s="24">
        <f>IFERROR(INDEX(Linha!$D$5:$D$788,MATCH(A37,Linha!$A$5:$A$788,0))*1,0)</f>
      </c>
      <c r="L37" s="24">
        <f>SUMIFS(Reservas!$K$5:$K$3669,Reservas!$A$5:$A$3669,A37)</f>
      </c>
      <c r="M37" s="25">
        <f>J37-L37</f>
      </c>
      <c r="N37" s="26">
        <v>15.795</v>
      </c>
      <c r="O37" s="25">
        <f>J37*N37</f>
      </c>
      <c r="P37" s="25">
        <f>L37*N37</f>
      </c>
      <c r="Q37" s="27">
        <v>86.28156571</v>
      </c>
      <c r="R37" s="28">
        <f>J37*Q37</f>
      </c>
      <c r="S37" s="28">
        <f>L37*Q37</f>
      </c>
      <c r="T37" s="29">
        <f>IF(J37=0,0,L37/J37)</f>
      </c>
      <c r="U37" s="30">
        <f>IFERROR(INDEX(Paletes!$C$5:$C$393,MATCH(B37,Paletes!$A$5:$A$393,0)),"SEM CADASTRO")</f>
      </c>
      <c r="V37" s="24">
        <f>IFERROR(INDEX(Paletes!$D$5:$D$393,MATCH(B37,Paletes!$A$5:$A$393,0)),0)</f>
      </c>
      <c r="W37" s="31">
        <f>IF(V37=0,0,J37/V37)</f>
      </c>
      <c r="X37" s="31">
        <f>IF(V37=0,0,MAX(M37,0)/V37)</f>
      </c>
    </row>
    <row r="38" spans="1:24" x14ac:dyDescent="0.25">
      <c r="A38" s="32" t="str">
        <f>B38&amp;"."&amp;IFERROR(MID(D38,FIND("(",D38)+1,FIND(")",D38)-FIND("(",D38)-1),"")</f>
        <v>2192.13154</v>
      </c>
      <c r="B38" s="33">
        <v>2192</v>
      </c>
      <c r="C38" s="32" t="s">
        <v>110</v>
      </c>
      <c r="D38" s="32" t="s">
        <v>111</v>
      </c>
      <c r="E38" s="32">
        <v>55521</v>
      </c>
      <c r="F38" s="32" t="s">
        <v>26</v>
      </c>
      <c r="G38" s="32" t="s">
        <v>51</v>
      </c>
      <c r="H38" s="34">
        <f>IFERROR(INDEX(Linha!$B$5:$B$788,MATCH(A38,Linha!$A$5:$A$788,0)),"NÃO CADASTRADO")</f>
      </c>
      <c r="I38" s="34">
        <f>IFERROR(INDEX(Linha!$C$5:$C$788,MATCH(A38,Linha!$A$5:$A$788,0)),"-")</f>
      </c>
      <c r="J38" s="35">
        <v>11</v>
      </c>
      <c r="K38" s="36">
        <f>IFERROR(INDEX(Linha!$D$5:$D$788,MATCH(A38,Linha!$A$5:$A$788,0))*1,0)</f>
      </c>
      <c r="L38" s="36">
        <f>SUMIFS(Reservas!$K$5:$K$3669,Reservas!$A$5:$A$3669,A38)</f>
      </c>
      <c r="M38" s="37">
        <f>J38-L38</f>
      </c>
      <c r="N38" s="38">
        <v>13.162</v>
      </c>
      <c r="O38" s="37">
        <f>J38*N38</f>
      </c>
      <c r="P38" s="37">
        <f>L38*N38</f>
      </c>
      <c r="Q38" s="39">
        <v>40.3409333</v>
      </c>
      <c r="R38" s="40">
        <f>J38*Q38</f>
      </c>
      <c r="S38" s="40">
        <f>L38*Q38</f>
      </c>
      <c r="T38" s="41">
        <f>IF(J38=0,0,L38/J38)</f>
      </c>
      <c r="U38" s="42">
        <f>IFERROR(INDEX(Paletes!$C$5:$C$393,MATCH(B38,Paletes!$A$5:$A$393,0)),"SEM CADASTRO")</f>
      </c>
      <c r="V38" s="36">
        <f>IFERROR(INDEX(Paletes!$D$5:$D$393,MATCH(B38,Paletes!$A$5:$A$393,0)),0)</f>
      </c>
      <c r="W38" s="43">
        <f>IF(V38=0,0,J38/V38)</f>
      </c>
      <c r="X38" s="43">
        <f>IF(V38=0,0,MAX(M38,0)/V38)</f>
      </c>
    </row>
    <row r="39" spans="1:24" x14ac:dyDescent="0.25">
      <c r="A39" s="20" t="str">
        <f>B39&amp;"."&amp;IFERROR(MID(D39,FIND("(",D39)+1,FIND(")",D39)-FIND("(",D39)-1),"")</f>
        <v>72643.16351</v>
      </c>
      <c r="B39" s="21">
        <v>72643</v>
      </c>
      <c r="C39" s="20" t="s">
        <v>112</v>
      </c>
      <c r="D39" s="20" t="s">
        <v>113</v>
      </c>
      <c r="E39" s="20">
        <v>87844</v>
      </c>
      <c r="F39" s="20" t="s">
        <v>26</v>
      </c>
      <c r="G39" s="20" t="s">
        <v>51</v>
      </c>
      <c r="H39" s="22">
        <f>IFERROR(INDEX(Linha!$B$5:$B$788,MATCH(A39,Linha!$A$5:$A$788,0)),"NÃO CADASTRADO")</f>
      </c>
      <c r="I39" s="22">
        <f>IFERROR(INDEX(Linha!$C$5:$C$788,MATCH(A39,Linha!$A$5:$A$788,0)),"-")</f>
      </c>
      <c r="J39" s="23">
        <v>0</v>
      </c>
      <c r="K39" s="24">
        <f>IFERROR(INDEX(Linha!$D$5:$D$788,MATCH(A39,Linha!$A$5:$A$788,0))*1,0)</f>
      </c>
      <c r="L39" s="24">
        <f>SUMIFS(Reservas!$K$5:$K$3669,Reservas!$A$5:$A$3669,A39)</f>
      </c>
      <c r="M39" s="25">
        <f>J39-L39</f>
      </c>
      <c r="N39" s="26">
        <v>62.361</v>
      </c>
      <c r="O39" s="25">
        <f>J39*N39</f>
      </c>
      <c r="P39" s="25">
        <f>L39*N39</f>
      </c>
      <c r="Q39" s="27">
        <v>184.46506581</v>
      </c>
      <c r="R39" s="28">
        <f>J39*Q39</f>
      </c>
      <c r="S39" s="28">
        <f>L39*Q39</f>
      </c>
      <c r="T39" s="29">
        <f>IF(J39=0,0,L39/J39)</f>
      </c>
      <c r="U39" s="30">
        <f>IFERROR(INDEX(Paletes!$C$5:$C$393,MATCH(B39,Paletes!$A$5:$A$393,0)),"SEM CADASTRO")</f>
      </c>
      <c r="V39" s="24">
        <f>IFERROR(INDEX(Paletes!$D$5:$D$393,MATCH(B39,Paletes!$A$5:$A$393,0)),0)</f>
      </c>
      <c r="W39" s="31">
        <f>IF(V39=0,0,J39/V39)</f>
      </c>
      <c r="X39" s="31">
        <f>IF(V39=0,0,MAX(M39,0)/V39)</f>
      </c>
    </row>
    <row r="40" spans="1:24" x14ac:dyDescent="0.25">
      <c r="A40" s="32" t="str">
        <f>B40&amp;"."&amp;IFERROR(MID(D40,FIND("(",D40)+1,FIND(")",D40)-FIND("(",D40)-1),"")</f>
        <v>72737.15527</v>
      </c>
      <c r="B40" s="33">
        <v>72737</v>
      </c>
      <c r="C40" s="32" t="s">
        <v>114</v>
      </c>
      <c r="D40" s="32" t="s">
        <v>115</v>
      </c>
      <c r="E40" s="32">
        <v>88262</v>
      </c>
      <c r="F40" s="32" t="s">
        <v>26</v>
      </c>
      <c r="G40" s="32" t="s">
        <v>51</v>
      </c>
      <c r="H40" s="34">
        <f>IFERROR(INDEX(Linha!$B$5:$B$788,MATCH(A40,Linha!$A$5:$A$788,0)),"NÃO CADASTRADO")</f>
      </c>
      <c r="I40" s="34">
        <f>IFERROR(INDEX(Linha!$C$5:$C$788,MATCH(A40,Linha!$A$5:$A$788,0)),"-")</f>
      </c>
      <c r="J40" s="35">
        <v>0</v>
      </c>
      <c r="K40" s="36">
        <f>IFERROR(INDEX(Linha!$D$5:$D$788,MATCH(A40,Linha!$A$5:$A$788,0))*1,0)</f>
      </c>
      <c r="L40" s="36">
        <f>SUMIFS(Reservas!$K$5:$K$3669,Reservas!$A$5:$A$3669,A40)</f>
      </c>
      <c r="M40" s="37">
        <f>J40-L40</f>
      </c>
      <c r="N40" s="38">
        <v>14.04</v>
      </c>
      <c r="O40" s="37">
        <f>J40*N40</f>
      </c>
      <c r="P40" s="37">
        <f>L40*N40</f>
      </c>
      <c r="Q40" s="39">
        <v>50.40185347</v>
      </c>
      <c r="R40" s="40">
        <f>J40*Q40</f>
      </c>
      <c r="S40" s="40">
        <f>L40*Q40</f>
      </c>
      <c r="T40" s="41">
        <f>IF(J40=0,0,L40/J40)</f>
      </c>
      <c r="U40" s="42">
        <f>IFERROR(INDEX(Paletes!$C$5:$C$393,MATCH(B40,Paletes!$A$5:$A$393,0)),"SEM CADASTRO")</f>
      </c>
      <c r="V40" s="36">
        <f>IFERROR(INDEX(Paletes!$D$5:$D$393,MATCH(B40,Paletes!$A$5:$A$393,0)),0)</f>
      </c>
      <c r="W40" s="43">
        <f>IF(V40=0,0,J40/V40)</f>
      </c>
      <c r="X40" s="43">
        <f>IF(V40=0,0,MAX(M40,0)/V40)</f>
      </c>
    </row>
    <row r="41" spans="1:24" x14ac:dyDescent="0.25">
      <c r="A41" s="20" t="str">
        <f>B41&amp;"."&amp;IFERROR(MID(D41,FIND("(",D41)+1,FIND(")",D41)-FIND("(",D41)-1),"")</f>
        <v>72758.16433</v>
      </c>
      <c r="B41" s="21">
        <v>72758</v>
      </c>
      <c r="C41" s="20" t="s">
        <v>116</v>
      </c>
      <c r="D41" s="20" t="s">
        <v>117</v>
      </c>
      <c r="E41" s="20">
        <v>88251</v>
      </c>
      <c r="F41" s="20" t="s">
        <v>25</v>
      </c>
      <c r="G41" s="20" t="s">
        <v>51</v>
      </c>
      <c r="H41" s="22">
        <f>IFERROR(INDEX(Linha!$B$5:$B$788,MATCH(A41,Linha!$A$5:$A$788,0)),"NÃO CADASTRADO")</f>
      </c>
      <c r="I41" s="22">
        <f>IFERROR(INDEX(Linha!$C$5:$C$788,MATCH(A41,Linha!$A$5:$A$788,0)),"-")</f>
      </c>
      <c r="J41" s="23">
        <v>0</v>
      </c>
      <c r="K41" s="24">
        <f>IFERROR(INDEX(Linha!$D$5:$D$788,MATCH(A41,Linha!$A$5:$A$788,0))*1,0)</f>
      </c>
      <c r="L41" s="24">
        <f>SUMIFS(Reservas!$K$5:$K$3669,Reservas!$A$5:$A$3669,A41)</f>
      </c>
      <c r="M41" s="25">
        <f>J41-L41</f>
      </c>
      <c r="N41" s="26">
        <v>11.836</v>
      </c>
      <c r="O41" s="25">
        <f>J41*N41</f>
      </c>
      <c r="P41" s="25">
        <f>L41*N41</f>
      </c>
      <c r="Q41" s="27">
        <v>48.00542369</v>
      </c>
      <c r="R41" s="28">
        <f>J41*Q41</f>
      </c>
      <c r="S41" s="28">
        <f>L41*Q41</f>
      </c>
      <c r="T41" s="29">
        <f>IF(J41=0,0,L41/J41)</f>
      </c>
      <c r="U41" s="30">
        <f>IFERROR(INDEX(Paletes!$C$5:$C$393,MATCH(B41,Paletes!$A$5:$A$393,0)),"SEM CADASTRO")</f>
      </c>
      <c r="V41" s="24">
        <f>IFERROR(INDEX(Paletes!$D$5:$D$393,MATCH(B41,Paletes!$A$5:$A$393,0)),0)</f>
      </c>
      <c r="W41" s="31">
        <f>IF(V41=0,0,J41/V41)</f>
      </c>
      <c r="X41" s="31">
        <f>IF(V41=0,0,MAX(M41,0)/V41)</f>
      </c>
    </row>
    <row r="42" spans="1:24" x14ac:dyDescent="0.25">
      <c r="A42" s="32" t="str">
        <f>B42&amp;"."&amp;IFERROR(MID(D42,FIND("(",D42)+1,FIND(")",D42)-FIND("(",D42)-1),"")</f>
        <v>2355.13272</v>
      </c>
      <c r="B42" s="33">
        <v>2355</v>
      </c>
      <c r="C42" s="32" t="s">
        <v>118</v>
      </c>
      <c r="D42" s="32" t="s">
        <v>119</v>
      </c>
      <c r="E42" s="32">
        <v>82939</v>
      </c>
      <c r="F42" s="32" t="s">
        <v>26</v>
      </c>
      <c r="G42" s="32" t="s">
        <v>51</v>
      </c>
      <c r="H42" s="34">
        <f>IFERROR(INDEX(Linha!$B$5:$B$788,MATCH(A42,Linha!$A$5:$A$788,0)),"NÃO CADASTRADO")</f>
      </c>
      <c r="I42" s="34">
        <f>IFERROR(INDEX(Linha!$C$5:$C$788,MATCH(A42,Linha!$A$5:$A$788,0)),"-")</f>
      </c>
      <c r="J42" s="35">
        <v>8</v>
      </c>
      <c r="K42" s="36">
        <f>IFERROR(INDEX(Linha!$D$5:$D$788,MATCH(A42,Linha!$A$5:$A$788,0))*1,0)</f>
      </c>
      <c r="L42" s="36">
        <f>SUMIFS(Reservas!$K$5:$K$3669,Reservas!$A$5:$A$3669,A42)</f>
      </c>
      <c r="M42" s="37">
        <f>J42-L42</f>
      </c>
      <c r="N42" s="38">
        <v>70.395</v>
      </c>
      <c r="O42" s="37">
        <f>J42*N42</f>
      </c>
      <c r="P42" s="37">
        <f>L42*N42</f>
      </c>
      <c r="Q42" s="39">
        <v>254.6220914</v>
      </c>
      <c r="R42" s="40">
        <f>J42*Q42</f>
      </c>
      <c r="S42" s="40">
        <f>L42*Q42</f>
      </c>
      <c r="T42" s="41">
        <f>IF(J42=0,0,L42/J42)</f>
      </c>
      <c r="U42" s="42">
        <f>IFERROR(INDEX(Paletes!$C$5:$C$393,MATCH(B42,Paletes!$A$5:$A$393,0)),"SEM CADASTRO")</f>
      </c>
      <c r="V42" s="36">
        <f>IFERROR(INDEX(Paletes!$D$5:$D$393,MATCH(B42,Paletes!$A$5:$A$393,0)),0)</f>
      </c>
      <c r="W42" s="43">
        <f>IF(V42=0,0,J42/V42)</f>
      </c>
      <c r="X42" s="43">
        <f>IF(V42=0,0,MAX(M42,0)/V42)</f>
      </c>
    </row>
    <row r="43" spans="1:24" x14ac:dyDescent="0.25">
      <c r="A43" s="20" t="str">
        <f>B43&amp;"."&amp;IFERROR(MID(D43,FIND("(",D43)+1,FIND(")",D43)-FIND("(",D43)-1),"")</f>
        <v>2372.16535</v>
      </c>
      <c r="B43" s="21">
        <v>2372</v>
      </c>
      <c r="C43" s="20" t="s">
        <v>120</v>
      </c>
      <c r="D43" s="20" t="s">
        <v>121</v>
      </c>
      <c r="E43" s="20">
        <v>82940</v>
      </c>
      <c r="F43" s="20" t="s">
        <v>25</v>
      </c>
      <c r="G43" s="20" t="s">
        <v>51</v>
      </c>
      <c r="H43" s="22">
        <f>IFERROR(INDEX(Linha!$B$5:$B$788,MATCH(A43,Linha!$A$5:$A$788,0)),"NÃO CADASTRADO")</f>
      </c>
      <c r="I43" s="22">
        <f>IFERROR(INDEX(Linha!$C$5:$C$788,MATCH(A43,Linha!$A$5:$A$788,0)),"-")</f>
      </c>
      <c r="J43" s="23">
        <v>0</v>
      </c>
      <c r="K43" s="24">
        <f>IFERROR(INDEX(Linha!$D$5:$D$788,MATCH(A43,Linha!$A$5:$A$788,0))*1,0)</f>
      </c>
      <c r="L43" s="24">
        <f>SUMIFS(Reservas!$K$5:$K$3669,Reservas!$A$5:$A$3669,A43)</f>
      </c>
      <c r="M43" s="25">
        <f>J43-L43</f>
      </c>
      <c r="N43" s="26">
        <v>34.125</v>
      </c>
      <c r="O43" s="25">
        <f>J43*N43</f>
      </c>
      <c r="P43" s="25">
        <f>L43*N43</f>
      </c>
      <c r="Q43" s="27">
        <v>417.79632923</v>
      </c>
      <c r="R43" s="28">
        <f>J43*Q43</f>
      </c>
      <c r="S43" s="28">
        <f>L43*Q43</f>
      </c>
      <c r="T43" s="29">
        <f>IF(J43=0,0,L43/J43)</f>
      </c>
      <c r="U43" s="30">
        <f>IFERROR(INDEX(Paletes!$C$5:$C$393,MATCH(B43,Paletes!$A$5:$A$393,0)),"SEM CADASTRO")</f>
      </c>
      <c r="V43" s="24">
        <f>IFERROR(INDEX(Paletes!$D$5:$D$393,MATCH(B43,Paletes!$A$5:$A$393,0)),0)</f>
      </c>
      <c r="W43" s="31">
        <f>IF(V43=0,0,J43/V43)</f>
      </c>
      <c r="X43" s="31">
        <f>IF(V43=0,0,MAX(M43,0)/V43)</f>
      </c>
    </row>
    <row r="44" spans="1:24" x14ac:dyDescent="0.25">
      <c r="A44" s="32" t="str">
        <f>B44&amp;"."&amp;IFERROR(MID(D44,FIND("(",D44)+1,FIND(")",D44)-FIND("(",D44)-1),"")</f>
        <v>84635.31549</v>
      </c>
      <c r="B44" s="33">
        <v>84635</v>
      </c>
      <c r="C44" s="32" t="s">
        <v>122</v>
      </c>
      <c r="D44" s="32" t="s">
        <v>123</v>
      </c>
      <c r="E44" s="32">
        <v>96483</v>
      </c>
      <c r="F44" s="32" t="s">
        <v>26</v>
      </c>
      <c r="G44" s="32" t="s">
        <v>51</v>
      </c>
      <c r="H44" s="34">
        <f>IFERROR(INDEX(Linha!$B$5:$B$788,MATCH(A44,Linha!$A$5:$A$788,0)),"NÃO CADASTRADO")</f>
      </c>
      <c r="I44" s="34">
        <f>IFERROR(INDEX(Linha!$C$5:$C$788,MATCH(A44,Linha!$A$5:$A$788,0)),"-")</f>
      </c>
      <c r="J44" s="35">
        <v>0</v>
      </c>
      <c r="K44" s="36">
        <f>IFERROR(INDEX(Linha!$D$5:$D$788,MATCH(A44,Linha!$A$5:$A$788,0))*1,0)</f>
      </c>
      <c r="L44" s="36">
        <f>SUMIFS(Reservas!$K$5:$K$3669,Reservas!$A$5:$A$3669,A44)</f>
      </c>
      <c r="M44" s="37">
        <f>J44-L44</f>
      </c>
      <c r="N44" s="38">
        <v>47.97</v>
      </c>
      <c r="O44" s="37">
        <f>J44*N44</f>
      </c>
      <c r="P44" s="37">
        <f>L44*N44</f>
      </c>
      <c r="Q44" s="39">
        <v>220.14466601</v>
      </c>
      <c r="R44" s="40">
        <f>J44*Q44</f>
      </c>
      <c r="S44" s="40">
        <f>L44*Q44</f>
      </c>
      <c r="T44" s="41">
        <f>IF(J44=0,0,L44/J44)</f>
      </c>
      <c r="U44" s="42">
        <f>IFERROR(INDEX(Paletes!$C$5:$C$393,MATCH(B44,Paletes!$A$5:$A$393,0)),"SEM CADASTRO")</f>
      </c>
      <c r="V44" s="36">
        <f>IFERROR(INDEX(Paletes!$D$5:$D$393,MATCH(B44,Paletes!$A$5:$A$393,0)),0)</f>
      </c>
      <c r="W44" s="43">
        <f>IF(V44=0,0,J44/V44)</f>
      </c>
      <c r="X44" s="43">
        <f>IF(V44=0,0,MAX(M44,0)/V44)</f>
      </c>
    </row>
    <row r="45" spans="1:24" x14ac:dyDescent="0.25">
      <c r="A45" s="20" t="str">
        <f>B45&amp;"."&amp;IFERROR(MID(D45,FIND("(",D45)+1,FIND(")",D45)-FIND("(",D45)-1),"")</f>
        <v>2346.12738</v>
      </c>
      <c r="B45" s="21">
        <v>2346</v>
      </c>
      <c r="C45" s="20" t="s">
        <v>124</v>
      </c>
      <c r="D45" s="20" t="s">
        <v>125</v>
      </c>
      <c r="E45" s="20">
        <v>81980</v>
      </c>
      <c r="F45" s="20" t="s">
        <v>26</v>
      </c>
      <c r="G45" s="20" t="s">
        <v>51</v>
      </c>
      <c r="H45" s="22">
        <f>IFERROR(INDEX(Linha!$B$5:$B$788,MATCH(A45,Linha!$A$5:$A$788,0)),"NÃO CADASTRADO")</f>
      </c>
      <c r="I45" s="22">
        <f>IFERROR(INDEX(Linha!$C$5:$C$788,MATCH(A45,Linha!$A$5:$A$788,0)),"-")</f>
      </c>
      <c r="J45" s="23">
        <v>0</v>
      </c>
      <c r="K45" s="24">
        <f>IFERROR(INDEX(Linha!$D$5:$D$788,MATCH(A45,Linha!$A$5:$A$788,0))*1,0)</f>
      </c>
      <c r="L45" s="24">
        <f>SUMIFS(Reservas!$K$5:$K$3669,Reservas!$A$5:$A$3669,A45)</f>
      </c>
      <c r="M45" s="25">
        <f>J45-L45</f>
      </c>
      <c r="N45" s="26">
        <v>42.461</v>
      </c>
      <c r="O45" s="25">
        <f>J45*N45</f>
      </c>
      <c r="P45" s="25">
        <f>L45*N45</f>
      </c>
      <c r="Q45" s="27">
        <v>153.23859156</v>
      </c>
      <c r="R45" s="28">
        <f>J45*Q45</f>
      </c>
      <c r="S45" s="28">
        <f>L45*Q45</f>
      </c>
      <c r="T45" s="29">
        <f>IF(J45=0,0,L45/J45)</f>
      </c>
      <c r="U45" s="30">
        <f>IFERROR(INDEX(Paletes!$C$5:$C$393,MATCH(B45,Paletes!$A$5:$A$393,0)),"SEM CADASTRO")</f>
      </c>
      <c r="V45" s="24">
        <f>IFERROR(INDEX(Paletes!$D$5:$D$393,MATCH(B45,Paletes!$A$5:$A$393,0)),0)</f>
      </c>
      <c r="W45" s="31">
        <f>IF(V45=0,0,J45/V45)</f>
      </c>
      <c r="X45" s="31">
        <f>IF(V45=0,0,MAX(M45,0)/V45)</f>
      </c>
    </row>
    <row r="46" spans="1:24" x14ac:dyDescent="0.25">
      <c r="A46" s="32" t="str">
        <f>B46&amp;"."&amp;IFERROR(MID(D46,FIND("(",D46)+1,FIND(")",D46)-FIND("(",D46)-1),"")</f>
        <v>74203.31405</v>
      </c>
      <c r="B46" s="33">
        <v>74203</v>
      </c>
      <c r="C46" s="32" t="s">
        <v>126</v>
      </c>
      <c r="D46" s="32" t="s">
        <v>127</v>
      </c>
      <c r="E46" s="32">
        <v>59255</v>
      </c>
      <c r="F46" s="32" t="s">
        <v>24</v>
      </c>
      <c r="G46" s="32" t="s">
        <v>51</v>
      </c>
      <c r="H46" s="34">
        <f>IFERROR(INDEX(Linha!$B$5:$B$788,MATCH(A46,Linha!$A$5:$A$788,0)),"NÃO CADASTRADO")</f>
      </c>
      <c r="I46" s="34">
        <f>IFERROR(INDEX(Linha!$C$5:$C$788,MATCH(A46,Linha!$A$5:$A$788,0)),"-")</f>
      </c>
      <c r="J46" s="35">
        <v>0</v>
      </c>
      <c r="K46" s="36">
        <f>IFERROR(INDEX(Linha!$D$5:$D$788,MATCH(A46,Linha!$A$5:$A$788,0))*1,0)</f>
      </c>
      <c r="L46" s="36">
        <f>SUMIFS(Reservas!$K$5:$K$3669,Reservas!$A$5:$A$3669,A46)</f>
      </c>
      <c r="M46" s="37">
        <f>J46-L46</f>
      </c>
      <c r="N46" s="38">
        <v>7.02</v>
      </c>
      <c r="O46" s="37">
        <f>J46*N46</f>
      </c>
      <c r="P46" s="37">
        <f>L46*N46</f>
      </c>
      <c r="Q46" s="39">
        <v>31.65399054</v>
      </c>
      <c r="R46" s="40">
        <f>J46*Q46</f>
      </c>
      <c r="S46" s="40">
        <f>L46*Q46</f>
      </c>
      <c r="T46" s="41">
        <f>IF(J46=0,0,L46/J46)</f>
      </c>
      <c r="U46" s="42">
        <f>IFERROR(INDEX(Paletes!$C$5:$C$393,MATCH(B46,Paletes!$A$5:$A$393,0)),"SEM CADASTRO")</f>
      </c>
      <c r="V46" s="36">
        <f>IFERROR(INDEX(Paletes!$D$5:$D$393,MATCH(B46,Paletes!$A$5:$A$393,0)),0)</f>
      </c>
      <c r="W46" s="43">
        <f>IF(V46=0,0,J46/V46)</f>
      </c>
      <c r="X46" s="43">
        <f>IF(V46=0,0,MAX(M46,0)/V46)</f>
      </c>
    </row>
    <row r="47" spans="1:24" x14ac:dyDescent="0.25">
      <c r="A47" s="20" t="str">
        <f>B47&amp;"."&amp;IFERROR(MID(D47,FIND("(",D47)+1,FIND(")",D47)-FIND("(",D47)-1),"")</f>
        <v>85670.49971</v>
      </c>
      <c r="B47" s="21">
        <v>85670</v>
      </c>
      <c r="C47" s="20" t="s">
        <v>128</v>
      </c>
      <c r="D47" s="20" t="s">
        <v>129</v>
      </c>
      <c r="E47" s="20">
        <v>100117</v>
      </c>
      <c r="F47" s="20" t="s">
        <v>24</v>
      </c>
      <c r="G47" s="20" t="s">
        <v>51</v>
      </c>
      <c r="H47" s="22">
        <f>IFERROR(INDEX(Linha!$B$5:$B$788,MATCH(A47,Linha!$A$5:$A$788,0)),"NÃO CADASTRADO")</f>
      </c>
      <c r="I47" s="22">
        <f>IFERROR(INDEX(Linha!$C$5:$C$788,MATCH(A47,Linha!$A$5:$A$788,0)),"-")</f>
      </c>
      <c r="J47" s="23">
        <v>80</v>
      </c>
      <c r="K47" s="24">
        <f>IFERROR(INDEX(Linha!$D$5:$D$788,MATCH(A47,Linha!$A$5:$A$788,0))*1,0)</f>
      </c>
      <c r="L47" s="24">
        <f>SUMIFS(Reservas!$K$5:$K$3669,Reservas!$A$5:$A$3669,A47)</f>
      </c>
      <c r="M47" s="25">
        <f>J47-L47</f>
      </c>
      <c r="N47" s="26">
        <v>36.075</v>
      </c>
      <c r="O47" s="25">
        <f>J47*N47</f>
      </c>
      <c r="P47" s="25">
        <f>L47*N47</f>
      </c>
      <c r="Q47" s="27">
        <v>144.17979756</v>
      </c>
      <c r="R47" s="28">
        <f>J47*Q47</f>
      </c>
      <c r="S47" s="28">
        <f>L47*Q47</f>
      </c>
      <c r="T47" s="29">
        <f>IF(J47=0,0,L47/J47)</f>
      </c>
      <c r="U47" s="30">
        <f>IFERROR(INDEX(Paletes!$C$5:$C$393,MATCH(B47,Paletes!$A$5:$A$393,0)),"SEM CADASTRO")</f>
      </c>
      <c r="V47" s="24">
        <f>IFERROR(INDEX(Paletes!$D$5:$D$393,MATCH(B47,Paletes!$A$5:$A$393,0)),0)</f>
      </c>
      <c r="W47" s="31">
        <f>IF(V47=0,0,J47/V47)</f>
      </c>
      <c r="X47" s="31">
        <f>IF(V47=0,0,MAX(M47,0)/V47)</f>
      </c>
    </row>
    <row r="48" spans="1:24" x14ac:dyDescent="0.25">
      <c r="A48" s="32" t="str">
        <f>B48&amp;"."&amp;IFERROR(MID(D48,FIND("(",D48)+1,FIND(")",D48)-FIND("(",D48)-1),"")</f>
        <v>84712.31795</v>
      </c>
      <c r="B48" s="33">
        <v>84712</v>
      </c>
      <c r="C48" s="32" t="s">
        <v>130</v>
      </c>
      <c r="D48" s="32" t="s">
        <v>131</v>
      </c>
      <c r="E48" s="32">
        <v>96491</v>
      </c>
      <c r="F48" s="32" t="s">
        <v>26</v>
      </c>
      <c r="G48" s="32" t="s">
        <v>51</v>
      </c>
      <c r="H48" s="34">
        <f>IFERROR(INDEX(Linha!$B$5:$B$788,MATCH(A48,Linha!$A$5:$A$788,0)),"NÃO CADASTRADO")</f>
      </c>
      <c r="I48" s="34">
        <f>IFERROR(INDEX(Linha!$C$5:$C$788,MATCH(A48,Linha!$A$5:$A$788,0)),"-")</f>
      </c>
      <c r="J48" s="35">
        <v>0</v>
      </c>
      <c r="K48" s="36">
        <f>IFERROR(INDEX(Linha!$D$5:$D$788,MATCH(A48,Linha!$A$5:$A$788,0))*1,0)</f>
      </c>
      <c r="L48" s="36">
        <f>SUMIFS(Reservas!$K$5:$K$3669,Reservas!$A$5:$A$3669,A48)</f>
      </c>
      <c r="M48" s="37">
        <f>J48-L48</f>
      </c>
      <c r="N48" s="38">
        <v>16.672</v>
      </c>
      <c r="O48" s="37">
        <f>J48*N48</f>
      </c>
      <c r="P48" s="37">
        <f>L48*N48</f>
      </c>
      <c r="Q48" s="39">
        <v>45.85095099</v>
      </c>
      <c r="R48" s="40">
        <f>J48*Q48</f>
      </c>
      <c r="S48" s="40">
        <f>L48*Q48</f>
      </c>
      <c r="T48" s="41">
        <f>IF(J48=0,0,L48/J48)</f>
      </c>
      <c r="U48" s="42">
        <f>IFERROR(INDEX(Paletes!$C$5:$C$393,MATCH(B48,Paletes!$A$5:$A$393,0)),"SEM CADASTRO")</f>
      </c>
      <c r="V48" s="36">
        <f>IFERROR(INDEX(Paletes!$D$5:$D$393,MATCH(B48,Paletes!$A$5:$A$393,0)),0)</f>
      </c>
      <c r="W48" s="43">
        <f>IF(V48=0,0,J48/V48)</f>
      </c>
      <c r="X48" s="43">
        <f>IF(V48=0,0,MAX(M48,0)/V48)</f>
      </c>
    </row>
    <row r="49" spans="1:24" x14ac:dyDescent="0.25">
      <c r="A49" s="20" t="str">
        <f>B49&amp;"."&amp;IFERROR(MID(D49,FIND("(",D49)+1,FIND(")",D49)-FIND("(",D49)-1),"")</f>
        <v>217.16142</v>
      </c>
      <c r="B49" s="21">
        <v>217</v>
      </c>
      <c r="C49" s="20" t="s">
        <v>132</v>
      </c>
      <c r="D49" s="20" t="s">
        <v>133</v>
      </c>
      <c r="E49" s="20">
        <v>32317</v>
      </c>
      <c r="F49" s="20" t="s">
        <v>25</v>
      </c>
      <c r="G49" s="20" t="s">
        <v>51</v>
      </c>
      <c r="H49" s="22">
        <f>IFERROR(INDEX(Linha!$B$5:$B$788,MATCH(A49,Linha!$A$5:$A$788,0)),"NÃO CADASTRADO")</f>
      </c>
      <c r="I49" s="22">
        <f>IFERROR(INDEX(Linha!$C$5:$C$788,MATCH(A49,Linha!$A$5:$A$788,0)),"-")</f>
      </c>
      <c r="J49" s="23">
        <v>1028</v>
      </c>
      <c r="K49" s="24">
        <f>IFERROR(INDEX(Linha!$D$5:$D$788,MATCH(A49,Linha!$A$5:$A$788,0))*1,0)</f>
      </c>
      <c r="L49" s="24">
        <f>SUMIFS(Reservas!$K$5:$K$3669,Reservas!$A$5:$A$3669,A49)</f>
      </c>
      <c r="M49" s="25">
        <f>J49-L49</f>
      </c>
      <c r="N49" s="26">
        <v>11.51</v>
      </c>
      <c r="O49" s="25">
        <f>J49*N49</f>
      </c>
      <c r="P49" s="25">
        <f>L49*N49</f>
      </c>
      <c r="Q49" s="27">
        <v>60.69808126</v>
      </c>
      <c r="R49" s="28">
        <f>J49*Q49</f>
      </c>
      <c r="S49" s="28">
        <f>L49*Q49</f>
      </c>
      <c r="T49" s="29">
        <f>IF(J49=0,0,L49/J49)</f>
      </c>
      <c r="U49" s="30">
        <f>IFERROR(INDEX(Paletes!$C$5:$C$393,MATCH(B49,Paletes!$A$5:$A$393,0)),"SEM CADASTRO")</f>
      </c>
      <c r="V49" s="24">
        <f>IFERROR(INDEX(Paletes!$D$5:$D$393,MATCH(B49,Paletes!$A$5:$A$393,0)),0)</f>
      </c>
      <c r="W49" s="31">
        <f>IF(V49=0,0,J49/V49)</f>
      </c>
      <c r="X49" s="31">
        <f>IF(V49=0,0,MAX(M49,0)/V49)</f>
      </c>
    </row>
    <row r="50" spans="1:24" x14ac:dyDescent="0.25">
      <c r="A50" s="32" t="str">
        <f>B50&amp;"."&amp;IFERROR(MID(D50,FIND("(",D50)+1,FIND(")",D50)-FIND("(",D50)-1),"")</f>
        <v>217.55179</v>
      </c>
      <c r="B50" s="33">
        <v>217</v>
      </c>
      <c r="C50" s="32" t="s">
        <v>132</v>
      </c>
      <c r="D50" s="32" t="s">
        <v>134</v>
      </c>
      <c r="E50" s="32">
        <v>32317</v>
      </c>
      <c r="F50" s="32" t="s">
        <v>25</v>
      </c>
      <c r="G50" s="32" t="s">
        <v>51</v>
      </c>
      <c r="H50" s="34">
        <f>IFERROR(INDEX(Linha!$B$5:$B$788,MATCH(A50,Linha!$A$5:$A$788,0)),"NÃO CADASTRADO")</f>
      </c>
      <c r="I50" s="34">
        <f>IFERROR(INDEX(Linha!$C$5:$C$788,MATCH(A50,Linha!$A$5:$A$788,0)),"-")</f>
      </c>
      <c r="J50" s="35">
        <v>284</v>
      </c>
      <c r="K50" s="36">
        <f>IFERROR(INDEX(Linha!$D$5:$D$788,MATCH(A50,Linha!$A$5:$A$788,0))*1,0)</f>
      </c>
      <c r="L50" s="36">
        <f>SUMIFS(Reservas!$K$5:$K$3669,Reservas!$A$5:$A$3669,A50)</f>
      </c>
      <c r="M50" s="37">
        <f>J50-L50</f>
      </c>
      <c r="N50" s="38">
        <v>11.51</v>
      </c>
      <c r="O50" s="37">
        <f>J50*N50</f>
      </c>
      <c r="P50" s="37">
        <f>L50*N50</f>
      </c>
      <c r="Q50" s="39">
        <v>67.67295096</v>
      </c>
      <c r="R50" s="40">
        <f>J50*Q50</f>
      </c>
      <c r="S50" s="40">
        <f>L50*Q50</f>
      </c>
      <c r="T50" s="41">
        <f>IF(J50=0,0,L50/J50)</f>
      </c>
      <c r="U50" s="42">
        <f>IFERROR(INDEX(Paletes!$C$5:$C$393,MATCH(B50,Paletes!$A$5:$A$393,0)),"SEM CADASTRO")</f>
      </c>
      <c r="V50" s="36">
        <f>IFERROR(INDEX(Paletes!$D$5:$D$393,MATCH(B50,Paletes!$A$5:$A$393,0)),0)</f>
      </c>
      <c r="W50" s="43">
        <f>IF(V50=0,0,J50/V50)</f>
      </c>
      <c r="X50" s="43">
        <f>IF(V50=0,0,MAX(M50,0)/V50)</f>
      </c>
    </row>
    <row r="51" spans="1:24" x14ac:dyDescent="0.25">
      <c r="A51" s="20" t="str">
        <f>B51&amp;"."&amp;IFERROR(MID(D51,FIND("(",D51)+1,FIND(")",D51)-FIND("(",D51)-1),"")</f>
        <v>87626.93315</v>
      </c>
      <c r="B51" s="21">
        <v>87626</v>
      </c>
      <c r="C51" s="20" t="s">
        <v>135</v>
      </c>
      <c r="D51" s="20" t="s">
        <v>136</v>
      </c>
      <c r="E51" s="20" t="s">
        <v>89</v>
      </c>
      <c r="F51" s="20" t="s">
        <v>25</v>
      </c>
      <c r="G51" s="20" t="s">
        <v>51</v>
      </c>
      <c r="H51" s="22">
        <f>IFERROR(INDEX(Linha!$B$5:$B$788,MATCH(A51,Linha!$A$5:$A$788,0)),"NÃO CADASTRADO")</f>
      </c>
      <c r="I51" s="22">
        <f>IFERROR(INDEX(Linha!$C$5:$C$788,MATCH(A51,Linha!$A$5:$A$788,0)),"-")</f>
      </c>
      <c r="J51" s="23">
        <v>451</v>
      </c>
      <c r="K51" s="24">
        <f>IFERROR(INDEX(Linha!$D$5:$D$788,MATCH(A51,Linha!$A$5:$A$788,0))*1,0)</f>
      </c>
      <c r="L51" s="24">
        <f>SUMIFS(Reservas!$K$5:$K$3669,Reservas!$A$5:$A$3669,A51)</f>
      </c>
      <c r="M51" s="25">
        <f>J51-L51</f>
      </c>
      <c r="N51" s="26">
        <v>11.51</v>
      </c>
      <c r="O51" s="25">
        <f>J51*N51</f>
      </c>
      <c r="P51" s="25">
        <f>L51*N51</f>
      </c>
      <c r="Q51" s="27">
        <v>56.10098898</v>
      </c>
      <c r="R51" s="28">
        <f>J51*Q51</f>
      </c>
      <c r="S51" s="28">
        <f>L51*Q51</f>
      </c>
      <c r="T51" s="29">
        <f>IF(J51=0,0,L51/J51)</f>
      </c>
      <c r="U51" s="30">
        <f>IFERROR(INDEX(Paletes!$C$5:$C$393,MATCH(B51,Paletes!$A$5:$A$393,0)),"SEM CADASTRO")</f>
      </c>
      <c r="V51" s="24">
        <f>IFERROR(INDEX(Paletes!$D$5:$D$393,MATCH(B51,Paletes!$A$5:$A$393,0)),0)</f>
      </c>
      <c r="W51" s="31">
        <f>IF(V51=0,0,J51/V51)</f>
      </c>
      <c r="X51" s="31">
        <f>IF(V51=0,0,MAX(M51,0)/V51)</f>
      </c>
    </row>
    <row r="52" spans="1:24" x14ac:dyDescent="0.25">
      <c r="A52" s="32" t="str">
        <f>B52&amp;"."&amp;IFERROR(MID(D52,FIND("(",D52)+1,FIND(")",D52)-FIND("(",D52)-1),"")</f>
        <v>87025.90076</v>
      </c>
      <c r="B52" s="33">
        <v>87025</v>
      </c>
      <c r="C52" s="32" t="s">
        <v>137</v>
      </c>
      <c r="D52" s="32" t="s">
        <v>138</v>
      </c>
      <c r="E52" s="32">
        <v>102955</v>
      </c>
      <c r="F52" s="32" t="s">
        <v>24</v>
      </c>
      <c r="G52" s="32" t="s">
        <v>51</v>
      </c>
      <c r="H52" s="34">
        <f>IFERROR(INDEX(Linha!$B$5:$B$788,MATCH(A52,Linha!$A$5:$A$788,0)),"NÃO CADASTRADO")</f>
      </c>
      <c r="I52" s="34">
        <f>IFERROR(INDEX(Linha!$C$5:$C$788,MATCH(A52,Linha!$A$5:$A$788,0)),"-")</f>
      </c>
      <c r="J52" s="35">
        <v>2</v>
      </c>
      <c r="K52" s="36">
        <f>IFERROR(INDEX(Linha!$D$5:$D$788,MATCH(A52,Linha!$A$5:$A$788,0))*1,0)</f>
      </c>
      <c r="L52" s="36">
        <f>SUMIFS(Reservas!$K$5:$K$3669,Reservas!$A$5:$A$3669,A52)</f>
      </c>
      <c r="M52" s="37">
        <f>J52-L52</f>
      </c>
      <c r="N52" s="38">
        <v>39</v>
      </c>
      <c r="O52" s="37">
        <f>J52*N52</f>
      </c>
      <c r="P52" s="37">
        <f>L52*N52</f>
      </c>
      <c r="Q52" s="39">
        <v>206.72334299</v>
      </c>
      <c r="R52" s="40">
        <f>J52*Q52</f>
      </c>
      <c r="S52" s="40">
        <f>L52*Q52</f>
      </c>
      <c r="T52" s="41">
        <f>IF(J52=0,0,L52/J52)</f>
      </c>
      <c r="U52" s="42">
        <f>IFERROR(INDEX(Paletes!$C$5:$C$393,MATCH(B52,Paletes!$A$5:$A$393,0)),"SEM CADASTRO")</f>
      </c>
      <c r="V52" s="36">
        <f>IFERROR(INDEX(Paletes!$D$5:$D$393,MATCH(B52,Paletes!$A$5:$A$393,0)),0)</f>
      </c>
      <c r="W52" s="43">
        <f>IF(V52=0,0,J52/V52)</f>
      </c>
      <c r="X52" s="43">
        <f>IF(V52=0,0,MAX(M52,0)/V52)</f>
      </c>
    </row>
    <row r="53" spans="1:24" x14ac:dyDescent="0.25">
      <c r="A53" s="20" t="str">
        <f>B53&amp;"."&amp;IFERROR(MID(D53,FIND("(",D53)+1,FIND(")",D53)-FIND("(",D53)-1),"")</f>
        <v>87121.90710</v>
      </c>
      <c r="B53" s="21">
        <v>87121</v>
      </c>
      <c r="C53" s="20" t="s">
        <v>139</v>
      </c>
      <c r="D53" s="20" t="s">
        <v>140</v>
      </c>
      <c r="E53" s="20">
        <v>104474</v>
      </c>
      <c r="F53" s="20" t="s">
        <v>26</v>
      </c>
      <c r="G53" s="20" t="s">
        <v>51</v>
      </c>
      <c r="H53" s="22">
        <f>IFERROR(INDEX(Linha!$B$5:$B$788,MATCH(A53,Linha!$A$5:$A$788,0)),"NÃO CADASTRADO")</f>
      </c>
      <c r="I53" s="22">
        <f>IFERROR(INDEX(Linha!$C$5:$C$788,MATCH(A53,Linha!$A$5:$A$788,0)),"-")</f>
      </c>
      <c r="J53" s="23">
        <v>315</v>
      </c>
      <c r="K53" s="24">
        <f>IFERROR(INDEX(Linha!$D$5:$D$788,MATCH(A53,Linha!$A$5:$A$788,0))*1,0)</f>
      </c>
      <c r="L53" s="24">
        <f>SUMIFS(Reservas!$K$5:$K$3669,Reservas!$A$5:$A$3669,A53)</f>
      </c>
      <c r="M53" s="25">
        <f>J53-L53</f>
      </c>
      <c r="N53" s="26">
        <v>49.725</v>
      </c>
      <c r="O53" s="25">
        <f>J53*N53</f>
      </c>
      <c r="P53" s="25">
        <f>L53*N53</f>
      </c>
      <c r="Q53" s="27">
        <v>172.2127407</v>
      </c>
      <c r="R53" s="28">
        <f>J53*Q53</f>
      </c>
      <c r="S53" s="28">
        <f>L53*Q53</f>
      </c>
      <c r="T53" s="29">
        <f>IF(J53=0,0,L53/J53)</f>
      </c>
      <c r="U53" s="30">
        <f>IFERROR(INDEX(Paletes!$C$5:$C$393,MATCH(B53,Paletes!$A$5:$A$393,0)),"SEM CADASTRO")</f>
      </c>
      <c r="V53" s="24">
        <f>IFERROR(INDEX(Paletes!$D$5:$D$393,MATCH(B53,Paletes!$A$5:$A$393,0)),0)</f>
      </c>
      <c r="W53" s="31">
        <f>IF(V53=0,0,J53/V53)</f>
      </c>
      <c r="X53" s="31">
        <f>IF(V53=0,0,MAX(M53,0)/V53)</f>
      </c>
    </row>
    <row r="54" spans="1:24" x14ac:dyDescent="0.25">
      <c r="A54" s="32" t="str">
        <f>B54&amp;"."&amp;IFERROR(MID(D54,FIND("(",D54)+1,FIND(")",D54)-FIND("(",D54)-1),"")</f>
        <v>87130.90734</v>
      </c>
      <c r="B54" s="33">
        <v>87130</v>
      </c>
      <c r="C54" s="32" t="s">
        <v>141</v>
      </c>
      <c r="D54" s="32" t="s">
        <v>142</v>
      </c>
      <c r="E54" s="32">
        <v>104501</v>
      </c>
      <c r="F54" s="32" t="s">
        <v>26</v>
      </c>
      <c r="G54" s="32" t="s">
        <v>51</v>
      </c>
      <c r="H54" s="34">
        <f>IFERROR(INDEX(Linha!$B$5:$B$788,MATCH(A54,Linha!$A$5:$A$788,0)),"NÃO CADASTRADO")</f>
      </c>
      <c r="I54" s="34">
        <f>IFERROR(INDEX(Linha!$C$5:$C$788,MATCH(A54,Linha!$A$5:$A$788,0)),"-")</f>
      </c>
      <c r="J54" s="35">
        <v>155</v>
      </c>
      <c r="K54" s="36">
        <f>IFERROR(INDEX(Linha!$D$5:$D$788,MATCH(A54,Linha!$A$5:$A$788,0))*1,0)</f>
      </c>
      <c r="L54" s="36">
        <f>SUMIFS(Reservas!$K$5:$K$3669,Reservas!$A$5:$A$3669,A54)</f>
      </c>
      <c r="M54" s="37">
        <f>J54-L54</f>
      </c>
      <c r="N54" s="38">
        <v>0.546</v>
      </c>
      <c r="O54" s="37">
        <f>J54*N54</f>
      </c>
      <c r="P54" s="37">
        <f>L54*N54</f>
      </c>
      <c r="Q54" s="39">
        <v>6.14868195</v>
      </c>
      <c r="R54" s="40">
        <f>J54*Q54</f>
      </c>
      <c r="S54" s="40">
        <f>L54*Q54</f>
      </c>
      <c r="T54" s="41">
        <f>IF(J54=0,0,L54/J54)</f>
      </c>
      <c r="U54" s="42">
        <f>IFERROR(INDEX(Paletes!$C$5:$C$393,MATCH(B54,Paletes!$A$5:$A$393,0)),"SEM CADASTRO")</f>
      </c>
      <c r="V54" s="36">
        <f>IFERROR(INDEX(Paletes!$D$5:$D$393,MATCH(B54,Paletes!$A$5:$A$393,0)),0)</f>
      </c>
      <c r="W54" s="43">
        <f>IF(V54=0,0,J54/V54)</f>
      </c>
      <c r="X54" s="43">
        <f>IF(V54=0,0,MAX(M54,0)/V54)</f>
      </c>
    </row>
    <row r="55" spans="1:24" x14ac:dyDescent="0.25">
      <c r="A55" s="20" t="str">
        <f>B55&amp;"."&amp;IFERROR(MID(D55,FIND("(",D55)+1,FIND(")",D55)-FIND("(",D55)-1),"")</f>
        <v>87140.90813</v>
      </c>
      <c r="B55" s="21">
        <v>87140</v>
      </c>
      <c r="C55" s="20" t="s">
        <v>143</v>
      </c>
      <c r="D55" s="20" t="s">
        <v>144</v>
      </c>
      <c r="E55" s="20" t="s">
        <v>89</v>
      </c>
      <c r="F55" s="20" t="s">
        <v>26</v>
      </c>
      <c r="G55" s="20" t="s">
        <v>51</v>
      </c>
      <c r="H55" s="22">
        <f>IFERROR(INDEX(Linha!$B$5:$B$788,MATCH(A55,Linha!$A$5:$A$788,0)),"NÃO CADASTRADO")</f>
      </c>
      <c r="I55" s="22">
        <f>IFERROR(INDEX(Linha!$C$5:$C$788,MATCH(A55,Linha!$A$5:$A$788,0)),"-")</f>
      </c>
      <c r="J55" s="23">
        <v>22</v>
      </c>
      <c r="K55" s="24">
        <f>IFERROR(INDEX(Linha!$D$5:$D$788,MATCH(A55,Linha!$A$5:$A$788,0))*1,0)</f>
      </c>
      <c r="L55" s="24">
        <f>SUMIFS(Reservas!$K$5:$K$3669,Reservas!$A$5:$A$3669,A55)</f>
      </c>
      <c r="M55" s="25">
        <f>J55-L55</f>
      </c>
      <c r="N55" s="26">
        <v>46.312</v>
      </c>
      <c r="O55" s="25">
        <f>J55*N55</f>
      </c>
      <c r="P55" s="25">
        <f>L55*N55</f>
      </c>
      <c r="Q55" s="27">
        <v>126.05220362</v>
      </c>
      <c r="R55" s="28">
        <f>J55*Q55</f>
      </c>
      <c r="S55" s="28">
        <f>L55*Q55</f>
      </c>
      <c r="T55" s="29">
        <f>IF(J55=0,0,L55/J55)</f>
      </c>
      <c r="U55" s="30">
        <f>IFERROR(INDEX(Paletes!$C$5:$C$393,MATCH(B55,Paletes!$A$5:$A$393,0)),"SEM CADASTRO")</f>
      </c>
      <c r="V55" s="24">
        <f>IFERROR(INDEX(Paletes!$D$5:$D$393,MATCH(B55,Paletes!$A$5:$A$393,0)),0)</f>
      </c>
      <c r="W55" s="31">
        <f>IF(V55=0,0,J55/V55)</f>
      </c>
      <c r="X55" s="31">
        <f>IF(V55=0,0,MAX(M55,0)/V55)</f>
      </c>
    </row>
    <row r="56" spans="1:24" x14ac:dyDescent="0.25">
      <c r="A56" s="32" t="str">
        <f>B56&amp;"."&amp;IFERROR(MID(D56,FIND("(",D56)+1,FIND(")",D56)-FIND("(",D56)-1),"")</f>
        <v>87140.90814</v>
      </c>
      <c r="B56" s="33">
        <v>87140</v>
      </c>
      <c r="C56" s="32" t="s">
        <v>143</v>
      </c>
      <c r="D56" s="32" t="s">
        <v>145</v>
      </c>
      <c r="E56" s="32" t="s">
        <v>89</v>
      </c>
      <c r="F56" s="32" t="s">
        <v>26</v>
      </c>
      <c r="G56" s="32" t="s">
        <v>51</v>
      </c>
      <c r="H56" s="34">
        <f>IFERROR(INDEX(Linha!$B$5:$B$788,MATCH(A56,Linha!$A$5:$A$788,0)),"NÃO CADASTRADO")</f>
      </c>
      <c r="I56" s="34">
        <f>IFERROR(INDEX(Linha!$C$5:$C$788,MATCH(A56,Linha!$A$5:$A$788,0)),"-")</f>
      </c>
      <c r="J56" s="35">
        <v>50</v>
      </c>
      <c r="K56" s="36">
        <f>IFERROR(INDEX(Linha!$D$5:$D$788,MATCH(A56,Linha!$A$5:$A$788,0))*1,0)</f>
      </c>
      <c r="L56" s="36">
        <f>SUMIFS(Reservas!$K$5:$K$3669,Reservas!$A$5:$A$3669,A56)</f>
      </c>
      <c r="M56" s="37">
        <f>J56-L56</f>
      </c>
      <c r="N56" s="38">
        <v>46.312</v>
      </c>
      <c r="O56" s="37">
        <f>J56*N56</f>
      </c>
      <c r="P56" s="37">
        <f>L56*N56</f>
      </c>
      <c r="Q56" s="39">
        <v>165.66808384</v>
      </c>
      <c r="R56" s="40">
        <f>J56*Q56</f>
      </c>
      <c r="S56" s="40">
        <f>L56*Q56</f>
      </c>
      <c r="T56" s="41">
        <f>IF(J56=0,0,L56/J56)</f>
      </c>
      <c r="U56" s="42">
        <f>IFERROR(INDEX(Paletes!$C$5:$C$393,MATCH(B56,Paletes!$A$5:$A$393,0)),"SEM CADASTRO")</f>
      </c>
      <c r="V56" s="36">
        <f>IFERROR(INDEX(Paletes!$D$5:$D$393,MATCH(B56,Paletes!$A$5:$A$393,0)),0)</f>
      </c>
      <c r="W56" s="43">
        <f>IF(V56=0,0,J56/V56)</f>
      </c>
      <c r="X56" s="43">
        <f>IF(V56=0,0,MAX(M56,0)/V56)</f>
      </c>
    </row>
    <row r="57" spans="1:24" x14ac:dyDescent="0.25">
      <c r="A57" s="20" t="str">
        <f>B57&amp;"."&amp;IFERROR(MID(D57,FIND("(",D57)+1,FIND(")",D57)-FIND("(",D57)-1),"")</f>
        <v>87469.91611</v>
      </c>
      <c r="B57" s="21">
        <v>87469</v>
      </c>
      <c r="C57" s="20" t="s">
        <v>146</v>
      </c>
      <c r="D57" s="20" t="s">
        <v>147</v>
      </c>
      <c r="E57" s="20">
        <v>104712</v>
      </c>
      <c r="F57" s="20" t="s">
        <v>26</v>
      </c>
      <c r="G57" s="20" t="s">
        <v>51</v>
      </c>
      <c r="H57" s="22">
        <f>IFERROR(INDEX(Linha!$B$5:$B$788,MATCH(A57,Linha!$A$5:$A$788,0)),"NÃO CADASTRADO")</f>
      </c>
      <c r="I57" s="22">
        <f>IFERROR(INDEX(Linha!$C$5:$C$788,MATCH(A57,Linha!$A$5:$A$788,0)),"-")</f>
      </c>
      <c r="J57" s="23">
        <v>359</v>
      </c>
      <c r="K57" s="24">
        <f>IFERROR(INDEX(Linha!$D$5:$D$788,MATCH(A57,Linha!$A$5:$A$788,0))*1,0)</f>
      </c>
      <c r="L57" s="24">
        <f>SUMIFS(Reservas!$K$5:$K$3669,Reservas!$A$5:$A$3669,A57)</f>
      </c>
      <c r="M57" s="25">
        <f>J57-L57</f>
      </c>
      <c r="N57" s="26">
        <v>46.848</v>
      </c>
      <c r="O57" s="25">
        <f>J57*N57</f>
      </c>
      <c r="P57" s="25">
        <f>L57*N57</f>
      </c>
      <c r="Q57" s="27">
        <v>162.35259162</v>
      </c>
      <c r="R57" s="28">
        <f>J57*Q57</f>
      </c>
      <c r="S57" s="28">
        <f>L57*Q57</f>
      </c>
      <c r="T57" s="29">
        <f>IF(J57=0,0,L57/J57)</f>
      </c>
      <c r="U57" s="30">
        <f>IFERROR(INDEX(Paletes!$C$5:$C$393,MATCH(B57,Paletes!$A$5:$A$393,0)),"SEM CADASTRO")</f>
      </c>
      <c r="V57" s="24">
        <f>IFERROR(INDEX(Paletes!$D$5:$D$393,MATCH(B57,Paletes!$A$5:$A$393,0)),0)</f>
      </c>
      <c r="W57" s="31">
        <f>IF(V57=0,0,J57/V57)</f>
      </c>
      <c r="X57" s="31">
        <f>IF(V57=0,0,MAX(M57,0)/V57)</f>
      </c>
    </row>
    <row r="58" spans="1:24" x14ac:dyDescent="0.25">
      <c r="A58" s="32" t="str">
        <f>B58&amp;"."&amp;IFERROR(MID(D58,FIND("(",D58)+1,FIND(")",D58)-FIND("(",D58)-1),"")</f>
        <v>87123.90719</v>
      </c>
      <c r="B58" s="33">
        <v>87123</v>
      </c>
      <c r="C58" s="32" t="s">
        <v>148</v>
      </c>
      <c r="D58" s="32" t="s">
        <v>149</v>
      </c>
      <c r="E58" s="32">
        <v>104475</v>
      </c>
      <c r="F58" s="32" t="s">
        <v>26</v>
      </c>
      <c r="G58" s="32" t="s">
        <v>51</v>
      </c>
      <c r="H58" s="34">
        <f>IFERROR(INDEX(Linha!$B$5:$B$788,MATCH(A58,Linha!$A$5:$A$788,0)),"NÃO CADASTRADO")</f>
      </c>
      <c r="I58" s="34">
        <f>IFERROR(INDEX(Linha!$C$5:$C$788,MATCH(A58,Linha!$A$5:$A$788,0)),"-")</f>
      </c>
      <c r="J58" s="35">
        <v>66</v>
      </c>
      <c r="K58" s="36">
        <f>IFERROR(INDEX(Linha!$D$5:$D$788,MATCH(A58,Linha!$A$5:$A$788,0))*1,0)</f>
      </c>
      <c r="L58" s="36">
        <f>SUMIFS(Reservas!$K$5:$K$3669,Reservas!$A$5:$A$3669,A58)</f>
      </c>
      <c r="M58" s="37">
        <f>J58-L58</f>
      </c>
      <c r="N58" s="38">
        <v>55.575</v>
      </c>
      <c r="O58" s="37">
        <f>J58*N58</f>
      </c>
      <c r="P58" s="37">
        <f>L58*N58</f>
      </c>
      <c r="Q58" s="39">
        <v>317.74454716</v>
      </c>
      <c r="R58" s="40">
        <f>J58*Q58</f>
      </c>
      <c r="S58" s="40">
        <f>L58*Q58</f>
      </c>
      <c r="T58" s="41">
        <f>IF(J58=0,0,L58/J58)</f>
      </c>
      <c r="U58" s="42">
        <f>IFERROR(INDEX(Paletes!$C$5:$C$393,MATCH(B58,Paletes!$A$5:$A$393,0)),"SEM CADASTRO")</f>
      </c>
      <c r="V58" s="36">
        <f>IFERROR(INDEX(Paletes!$D$5:$D$393,MATCH(B58,Paletes!$A$5:$A$393,0)),0)</f>
      </c>
      <c r="W58" s="43">
        <f>IF(V58=0,0,J58/V58)</f>
      </c>
      <c r="X58" s="43">
        <f>IF(V58=0,0,MAX(M58,0)/V58)</f>
      </c>
    </row>
    <row r="59" spans="1:24" x14ac:dyDescent="0.25">
      <c r="A59" s="20" t="str">
        <f>B59&amp;"."&amp;IFERROR(MID(D59,FIND("(",D59)+1,FIND(")",D59)-FIND("(",D59)-1),"")</f>
        <v>74668.55637</v>
      </c>
      <c r="B59" s="21">
        <v>74668</v>
      </c>
      <c r="C59" s="20" t="s">
        <v>150</v>
      </c>
      <c r="D59" s="20" t="s">
        <v>151</v>
      </c>
      <c r="E59" s="20">
        <v>80654</v>
      </c>
      <c r="F59" s="20" t="s">
        <v>26</v>
      </c>
      <c r="G59" s="20" t="s">
        <v>51</v>
      </c>
      <c r="H59" s="22">
        <f>IFERROR(INDEX(Linha!$B$5:$B$788,MATCH(A59,Linha!$A$5:$A$788,0)),"NÃO CADASTRADO")</f>
      </c>
      <c r="I59" s="22">
        <f>IFERROR(INDEX(Linha!$C$5:$C$788,MATCH(A59,Linha!$A$5:$A$788,0)),"-")</f>
      </c>
      <c r="J59" s="23">
        <v>0</v>
      </c>
      <c r="K59" s="24">
        <f>IFERROR(INDEX(Linha!$D$5:$D$788,MATCH(A59,Linha!$A$5:$A$788,0))*1,0)</f>
      </c>
      <c r="L59" s="24">
        <f>SUMIFS(Reservas!$K$5:$K$3669,Reservas!$A$5:$A$3669,A59)</f>
      </c>
      <c r="M59" s="25">
        <f>J59-L59</f>
      </c>
      <c r="N59" s="26">
        <v>28.275</v>
      </c>
      <c r="O59" s="25">
        <f>J59*N59</f>
      </c>
      <c r="P59" s="25">
        <f>L59*N59</f>
      </c>
      <c r="Q59" s="27">
        <v>97.55401045</v>
      </c>
      <c r="R59" s="28">
        <f>J59*Q59</f>
      </c>
      <c r="S59" s="28">
        <f>L59*Q59</f>
      </c>
      <c r="T59" s="29">
        <f>IF(J59=0,0,L59/J59)</f>
      </c>
      <c r="U59" s="30">
        <f>IFERROR(INDEX(Paletes!$C$5:$C$393,MATCH(B59,Paletes!$A$5:$A$393,0)),"SEM CADASTRO")</f>
      </c>
      <c r="V59" s="24">
        <f>IFERROR(INDEX(Paletes!$D$5:$D$393,MATCH(B59,Paletes!$A$5:$A$393,0)),0)</f>
      </c>
      <c r="W59" s="31">
        <f>IF(V59=0,0,J59/V59)</f>
      </c>
      <c r="X59" s="31">
        <f>IF(V59=0,0,MAX(M59,0)/V59)</f>
      </c>
    </row>
    <row r="60" spans="1:24" x14ac:dyDescent="0.25">
      <c r="A60" s="32" t="str">
        <f>B60&amp;"."&amp;IFERROR(MID(D60,FIND("(",D60)+1,FIND(")",D60)-FIND("(",D60)-1),"")</f>
        <v>73280.78154</v>
      </c>
      <c r="B60" s="33">
        <v>73280</v>
      </c>
      <c r="C60" s="32" t="s">
        <v>152</v>
      </c>
      <c r="D60" s="32" t="s">
        <v>153</v>
      </c>
      <c r="E60" s="32">
        <v>59518</v>
      </c>
      <c r="F60" s="32" t="s">
        <v>24</v>
      </c>
      <c r="G60" s="32" t="s">
        <v>51</v>
      </c>
      <c r="H60" s="34">
        <f>IFERROR(INDEX(Linha!$B$5:$B$788,MATCH(A60,Linha!$A$5:$A$788,0)),"NÃO CADASTRADO")</f>
      </c>
      <c r="I60" s="34">
        <f>IFERROR(INDEX(Linha!$C$5:$C$788,MATCH(A60,Linha!$A$5:$A$788,0)),"-")</f>
      </c>
      <c r="J60" s="35">
        <v>253</v>
      </c>
      <c r="K60" s="36">
        <f>IFERROR(INDEX(Linha!$D$5:$D$788,MATCH(A60,Linha!$A$5:$A$788,0))*1,0)</f>
      </c>
      <c r="L60" s="36">
        <f>SUMIFS(Reservas!$K$5:$K$3669,Reservas!$A$5:$A$3669,A60)</f>
      </c>
      <c r="M60" s="37">
        <f>J60-L60</f>
      </c>
      <c r="N60" s="38">
        <v>44.85</v>
      </c>
      <c r="O60" s="37">
        <f>J60*N60</f>
      </c>
      <c r="P60" s="37">
        <f>L60*N60</f>
      </c>
      <c r="Q60" s="39">
        <v>205.52541352</v>
      </c>
      <c r="R60" s="40">
        <f>J60*Q60</f>
      </c>
      <c r="S60" s="40">
        <f>L60*Q60</f>
      </c>
      <c r="T60" s="41">
        <f>IF(J60=0,0,L60/J60)</f>
      </c>
      <c r="U60" s="42">
        <f>IFERROR(INDEX(Paletes!$C$5:$C$393,MATCH(B60,Paletes!$A$5:$A$393,0)),"SEM CADASTRO")</f>
      </c>
      <c r="V60" s="36">
        <f>IFERROR(INDEX(Paletes!$D$5:$D$393,MATCH(B60,Paletes!$A$5:$A$393,0)),0)</f>
      </c>
      <c r="W60" s="43">
        <f>IF(V60=0,0,J60/V60)</f>
      </c>
      <c r="X60" s="43">
        <f>IF(V60=0,0,MAX(M60,0)/V60)</f>
      </c>
    </row>
    <row r="61" spans="1:24" x14ac:dyDescent="0.25">
      <c r="A61" s="20" t="str">
        <f>B61&amp;"."&amp;IFERROR(MID(D61,FIND("(",D61)+1,FIND(")",D61)-FIND("(",D61)-1),"")</f>
        <v>73280.78155</v>
      </c>
      <c r="B61" s="21">
        <v>73280</v>
      </c>
      <c r="C61" s="20" t="s">
        <v>152</v>
      </c>
      <c r="D61" s="20" t="s">
        <v>154</v>
      </c>
      <c r="E61" s="20">
        <v>59518</v>
      </c>
      <c r="F61" s="20" t="s">
        <v>24</v>
      </c>
      <c r="G61" s="20" t="s">
        <v>51</v>
      </c>
      <c r="H61" s="22">
        <f>IFERROR(INDEX(Linha!$B$5:$B$788,MATCH(A61,Linha!$A$5:$A$788,0)),"NÃO CADASTRADO")</f>
      </c>
      <c r="I61" s="22">
        <f>IFERROR(INDEX(Linha!$C$5:$C$788,MATCH(A61,Linha!$A$5:$A$788,0)),"-")</f>
      </c>
      <c r="J61" s="23">
        <v>28</v>
      </c>
      <c r="K61" s="24">
        <f>IFERROR(INDEX(Linha!$D$5:$D$788,MATCH(A61,Linha!$A$5:$A$788,0))*1,0)</f>
      </c>
      <c r="L61" s="24">
        <f>SUMIFS(Reservas!$K$5:$K$3669,Reservas!$A$5:$A$3669,A61)</f>
      </c>
      <c r="M61" s="25">
        <f>J61-L61</f>
      </c>
      <c r="N61" s="26">
        <v>44.85</v>
      </c>
      <c r="O61" s="25">
        <f>J61*N61</f>
      </c>
      <c r="P61" s="25">
        <f>L61*N61</f>
      </c>
      <c r="Q61" s="27">
        <v>213.15464207</v>
      </c>
      <c r="R61" s="28">
        <f>J61*Q61</f>
      </c>
      <c r="S61" s="28">
        <f>L61*Q61</f>
      </c>
      <c r="T61" s="29">
        <f>IF(J61=0,0,L61/J61)</f>
      </c>
      <c r="U61" s="30">
        <f>IFERROR(INDEX(Paletes!$C$5:$C$393,MATCH(B61,Paletes!$A$5:$A$393,0)),"SEM CADASTRO")</f>
      </c>
      <c r="V61" s="24">
        <f>IFERROR(INDEX(Paletes!$D$5:$D$393,MATCH(B61,Paletes!$A$5:$A$393,0)),0)</f>
      </c>
      <c r="W61" s="31">
        <f>IF(V61=0,0,J61/V61)</f>
      </c>
      <c r="X61" s="31">
        <f>IF(V61=0,0,MAX(M61,0)/V61)</f>
      </c>
    </row>
    <row r="62" spans="1:24" x14ac:dyDescent="0.25">
      <c r="A62" s="32" t="str">
        <f>B62&amp;"."&amp;IFERROR(MID(D62,FIND("(",D62)+1,FIND(")",D62)-FIND("(",D62)-1),"")</f>
        <v>2102.12834</v>
      </c>
      <c r="B62" s="33">
        <v>2102</v>
      </c>
      <c r="C62" s="32" t="s">
        <v>155</v>
      </c>
      <c r="D62" s="32" t="s">
        <v>156</v>
      </c>
      <c r="E62" s="32">
        <v>59624</v>
      </c>
      <c r="F62" s="32" t="s">
        <v>26</v>
      </c>
      <c r="G62" s="32" t="s">
        <v>51</v>
      </c>
      <c r="H62" s="34">
        <f>IFERROR(INDEX(Linha!$B$5:$B$788,MATCH(A62,Linha!$A$5:$A$788,0)),"NÃO CADASTRADO")</f>
      </c>
      <c r="I62" s="34">
        <f>IFERROR(INDEX(Linha!$C$5:$C$788,MATCH(A62,Linha!$A$5:$A$788,0)),"-")</f>
      </c>
      <c r="J62" s="35">
        <v>665</v>
      </c>
      <c r="K62" s="36">
        <f>IFERROR(INDEX(Linha!$D$5:$D$788,MATCH(A62,Linha!$A$5:$A$788,0))*1,0)</f>
      </c>
      <c r="L62" s="36">
        <f>SUMIFS(Reservas!$K$5:$K$3669,Reservas!$A$5:$A$3669,A62)</f>
      </c>
      <c r="M62" s="37">
        <f>J62-L62</f>
      </c>
      <c r="N62" s="38">
        <v>50.018</v>
      </c>
      <c r="O62" s="37">
        <f>J62*N62</f>
      </c>
      <c r="P62" s="37">
        <f>L62*N62</f>
      </c>
      <c r="Q62" s="39">
        <v>225.70788135</v>
      </c>
      <c r="R62" s="40">
        <f>J62*Q62</f>
      </c>
      <c r="S62" s="40">
        <f>L62*Q62</f>
      </c>
      <c r="T62" s="41">
        <f>IF(J62=0,0,L62/J62)</f>
      </c>
      <c r="U62" s="42">
        <f>IFERROR(INDEX(Paletes!$C$5:$C$393,MATCH(B62,Paletes!$A$5:$A$393,0)),"SEM CADASTRO")</f>
      </c>
      <c r="V62" s="36">
        <f>IFERROR(INDEX(Paletes!$D$5:$D$393,MATCH(B62,Paletes!$A$5:$A$393,0)),0)</f>
      </c>
      <c r="W62" s="43">
        <f>IF(V62=0,0,J62/V62)</f>
      </c>
      <c r="X62" s="43">
        <f>IF(V62=0,0,MAX(M62,0)/V62)</f>
      </c>
    </row>
    <row r="63" spans="1:24" x14ac:dyDescent="0.25">
      <c r="A63" s="20" t="str">
        <f>B63&amp;"."&amp;IFERROR(MID(D63,FIND("(",D63)+1,FIND(")",D63)-FIND("(",D63)-1),"")</f>
        <v>2102.12836</v>
      </c>
      <c r="B63" s="21">
        <v>2102</v>
      </c>
      <c r="C63" s="20" t="s">
        <v>155</v>
      </c>
      <c r="D63" s="20" t="s">
        <v>157</v>
      </c>
      <c r="E63" s="20">
        <v>59624</v>
      </c>
      <c r="F63" s="20" t="s">
        <v>26</v>
      </c>
      <c r="G63" s="20" t="s">
        <v>51</v>
      </c>
      <c r="H63" s="22">
        <f>IFERROR(INDEX(Linha!$B$5:$B$788,MATCH(A63,Linha!$A$5:$A$788,0)),"NÃO CADASTRADO")</f>
      </c>
      <c r="I63" s="22">
        <f>IFERROR(INDEX(Linha!$C$5:$C$788,MATCH(A63,Linha!$A$5:$A$788,0)),"-")</f>
      </c>
      <c r="J63" s="23">
        <v>5</v>
      </c>
      <c r="K63" s="24">
        <f>IFERROR(INDEX(Linha!$D$5:$D$788,MATCH(A63,Linha!$A$5:$A$788,0))*1,0)</f>
      </c>
      <c r="L63" s="24">
        <f>SUMIFS(Reservas!$K$5:$K$3669,Reservas!$A$5:$A$3669,A63)</f>
      </c>
      <c r="M63" s="25">
        <f>J63-L63</f>
      </c>
      <c r="N63" s="26">
        <v>50.018</v>
      </c>
      <c r="O63" s="25">
        <f>J63*N63</f>
      </c>
      <c r="P63" s="25">
        <f>L63*N63</f>
      </c>
      <c r="Q63" s="27">
        <v>212.85310628</v>
      </c>
      <c r="R63" s="28">
        <f>J63*Q63</f>
      </c>
      <c r="S63" s="28">
        <f>L63*Q63</f>
      </c>
      <c r="T63" s="29">
        <f>IF(J63=0,0,L63/J63)</f>
      </c>
      <c r="U63" s="30">
        <f>IFERROR(INDEX(Paletes!$C$5:$C$393,MATCH(B63,Paletes!$A$5:$A$393,0)),"SEM CADASTRO")</f>
      </c>
      <c r="V63" s="24">
        <f>IFERROR(INDEX(Paletes!$D$5:$D$393,MATCH(B63,Paletes!$A$5:$A$393,0)),0)</f>
      </c>
      <c r="W63" s="31">
        <f>IF(V63=0,0,J63/V63)</f>
      </c>
      <c r="X63" s="31">
        <f>IF(V63=0,0,MAX(M63,0)/V63)</f>
      </c>
    </row>
    <row r="64" spans="1:24" x14ac:dyDescent="0.25">
      <c r="A64" s="32" t="str">
        <f>B64&amp;"."&amp;IFERROR(MID(D64,FIND("(",D64)+1,FIND(")",D64)-FIND("(",D64)-1),"")</f>
        <v>274.12236</v>
      </c>
      <c r="B64" s="33">
        <v>274</v>
      </c>
      <c r="C64" s="32" t="s">
        <v>158</v>
      </c>
      <c r="D64" s="32" t="s">
        <v>159</v>
      </c>
      <c r="E64" s="32">
        <v>59947</v>
      </c>
      <c r="F64" s="32" t="s">
        <v>26</v>
      </c>
      <c r="G64" s="32" t="s">
        <v>51</v>
      </c>
      <c r="H64" s="34">
        <f>IFERROR(INDEX(Linha!$B$5:$B$788,MATCH(A64,Linha!$A$5:$A$788,0)),"NÃO CADASTRADO")</f>
      </c>
      <c r="I64" s="34">
        <f>IFERROR(INDEX(Linha!$C$5:$C$788,MATCH(A64,Linha!$A$5:$A$788,0)),"-")</f>
      </c>
      <c r="J64" s="35">
        <v>1109</v>
      </c>
      <c r="K64" s="36">
        <f>IFERROR(INDEX(Linha!$D$5:$D$788,MATCH(A64,Linha!$A$5:$A$788,0))*1,0)</f>
      </c>
      <c r="L64" s="36">
        <f>SUMIFS(Reservas!$K$5:$K$3669,Reservas!$A$5:$A$3669,A64)</f>
      </c>
      <c r="M64" s="37">
        <f>J64-L64</f>
      </c>
      <c r="N64" s="38">
        <v>49.725</v>
      </c>
      <c r="O64" s="37">
        <f>J64*N64</f>
      </c>
      <c r="P64" s="37">
        <f>L64*N64</f>
      </c>
      <c r="Q64" s="39">
        <v>203.80780138</v>
      </c>
      <c r="R64" s="40">
        <f>J64*Q64</f>
      </c>
      <c r="S64" s="40">
        <f>L64*Q64</f>
      </c>
      <c r="T64" s="41">
        <f>IF(J64=0,0,L64/J64)</f>
      </c>
      <c r="U64" s="42">
        <f>IFERROR(INDEX(Paletes!$C$5:$C$393,MATCH(B64,Paletes!$A$5:$A$393,0)),"SEM CADASTRO")</f>
      </c>
      <c r="V64" s="36">
        <f>IFERROR(INDEX(Paletes!$D$5:$D$393,MATCH(B64,Paletes!$A$5:$A$393,0)),0)</f>
      </c>
      <c r="W64" s="43">
        <f>IF(V64=0,0,J64/V64)</f>
      </c>
      <c r="X64" s="43">
        <f>IF(V64=0,0,MAX(M64,0)/V64)</f>
      </c>
    </row>
    <row r="65" spans="1:24" x14ac:dyDescent="0.25">
      <c r="A65" s="20" t="str">
        <f>B65&amp;"."&amp;IFERROR(MID(D65,FIND("(",D65)+1,FIND(")",D65)-FIND("(",D65)-1),"")</f>
        <v>2109.13733</v>
      </c>
      <c r="B65" s="21">
        <v>2109</v>
      </c>
      <c r="C65" s="20" t="s">
        <v>160</v>
      </c>
      <c r="D65" s="20" t="s">
        <v>161</v>
      </c>
      <c r="E65" s="20">
        <v>72915</v>
      </c>
      <c r="F65" s="20" t="s">
        <v>26</v>
      </c>
      <c r="G65" s="20" t="s">
        <v>51</v>
      </c>
      <c r="H65" s="22">
        <f>IFERROR(INDEX(Linha!$B$5:$B$788,MATCH(A65,Linha!$A$5:$A$788,0)),"NÃO CADASTRADO")</f>
      </c>
      <c r="I65" s="22">
        <f>IFERROR(INDEX(Linha!$C$5:$C$788,MATCH(A65,Linha!$A$5:$A$788,0)),"-")</f>
      </c>
      <c r="J65" s="23">
        <v>923</v>
      </c>
      <c r="K65" s="24">
        <f>IFERROR(INDEX(Linha!$D$5:$D$788,MATCH(A65,Linha!$A$5:$A$788,0))*1,0)</f>
      </c>
      <c r="L65" s="24">
        <f>SUMIFS(Reservas!$K$5:$K$3669,Reservas!$A$5:$A$3669,A65)</f>
      </c>
      <c r="M65" s="25">
        <f>J65-L65</f>
      </c>
      <c r="N65" s="26">
        <v>44.167</v>
      </c>
      <c r="O65" s="25">
        <f>J65*N65</f>
      </c>
      <c r="P65" s="25">
        <f>L65*N65</f>
      </c>
      <c r="Q65" s="27">
        <v>164.33675788</v>
      </c>
      <c r="R65" s="28">
        <f>J65*Q65</f>
      </c>
      <c r="S65" s="28">
        <f>L65*Q65</f>
      </c>
      <c r="T65" s="29">
        <f>IF(J65=0,0,L65/J65)</f>
      </c>
      <c r="U65" s="30">
        <f>IFERROR(INDEX(Paletes!$C$5:$C$393,MATCH(B65,Paletes!$A$5:$A$393,0)),"SEM CADASTRO")</f>
      </c>
      <c r="V65" s="24">
        <f>IFERROR(INDEX(Paletes!$D$5:$D$393,MATCH(B65,Paletes!$A$5:$A$393,0)),0)</f>
      </c>
      <c r="W65" s="31">
        <f>IF(V65=0,0,J65/V65)</f>
      </c>
      <c r="X65" s="31">
        <f>IF(V65=0,0,MAX(M65,0)/V65)</f>
      </c>
    </row>
    <row r="66" spans="1:24" x14ac:dyDescent="0.25">
      <c r="A66" s="32" t="str">
        <f>B66&amp;"."&amp;IFERROR(MID(D66,FIND("(",D66)+1,FIND(")",D66)-FIND("(",D66)-1),"")</f>
        <v>2109.13735</v>
      </c>
      <c r="B66" s="33">
        <v>2109</v>
      </c>
      <c r="C66" s="32" t="s">
        <v>160</v>
      </c>
      <c r="D66" s="32" t="s">
        <v>162</v>
      </c>
      <c r="E66" s="32">
        <v>72915</v>
      </c>
      <c r="F66" s="32" t="s">
        <v>26</v>
      </c>
      <c r="G66" s="32" t="s">
        <v>51</v>
      </c>
      <c r="H66" s="34">
        <f>IFERROR(INDEX(Linha!$B$5:$B$788,MATCH(A66,Linha!$A$5:$A$788,0)),"NÃO CADASTRADO")</f>
      </c>
      <c r="I66" s="34">
        <f>IFERROR(INDEX(Linha!$C$5:$C$788,MATCH(A66,Linha!$A$5:$A$788,0)),"-")</f>
      </c>
      <c r="J66" s="35">
        <v>16</v>
      </c>
      <c r="K66" s="36">
        <f>IFERROR(INDEX(Linha!$D$5:$D$788,MATCH(A66,Linha!$A$5:$A$788,0))*1,0)</f>
      </c>
      <c r="L66" s="36">
        <f>SUMIFS(Reservas!$K$5:$K$3669,Reservas!$A$5:$A$3669,A66)</f>
      </c>
      <c r="M66" s="37">
        <f>J66-L66</f>
      </c>
      <c r="N66" s="38">
        <v>44.167</v>
      </c>
      <c r="O66" s="37">
        <f>J66*N66</f>
      </c>
      <c r="P66" s="37">
        <f>L66*N66</f>
      </c>
      <c r="Q66" s="39">
        <v>167.01883303</v>
      </c>
      <c r="R66" s="40">
        <f>J66*Q66</f>
      </c>
      <c r="S66" s="40">
        <f>L66*Q66</f>
      </c>
      <c r="T66" s="41">
        <f>IF(J66=0,0,L66/J66)</f>
      </c>
      <c r="U66" s="42">
        <f>IFERROR(INDEX(Paletes!$C$5:$C$393,MATCH(B66,Paletes!$A$5:$A$393,0)),"SEM CADASTRO")</f>
      </c>
      <c r="V66" s="36">
        <f>IFERROR(INDEX(Paletes!$D$5:$D$393,MATCH(B66,Paletes!$A$5:$A$393,0)),0)</f>
      </c>
      <c r="W66" s="43">
        <f>IF(V66=0,0,J66/V66)</f>
      </c>
      <c r="X66" s="43">
        <f>IF(V66=0,0,MAX(M66,0)/V66)</f>
      </c>
    </row>
    <row r="67" spans="1:24" x14ac:dyDescent="0.25">
      <c r="A67" s="20" t="str">
        <f>B67&amp;"."&amp;IFERROR(MID(D67,FIND("(",D67)+1,FIND(")",D67)-FIND("(",D67)-1),"")</f>
        <v>73540.16026</v>
      </c>
      <c r="B67" s="21">
        <v>73540</v>
      </c>
      <c r="C67" s="20" t="s">
        <v>163</v>
      </c>
      <c r="D67" s="20" t="s">
        <v>164</v>
      </c>
      <c r="E67" s="20">
        <v>73512</v>
      </c>
      <c r="F67" s="20" t="s">
        <v>25</v>
      </c>
      <c r="G67" s="20" t="s">
        <v>51</v>
      </c>
      <c r="H67" s="22">
        <f>IFERROR(INDEX(Linha!$B$5:$B$788,MATCH(A67,Linha!$A$5:$A$788,0)),"NÃO CADASTRADO")</f>
      </c>
      <c r="I67" s="22">
        <f>IFERROR(INDEX(Linha!$C$5:$C$788,MATCH(A67,Linha!$A$5:$A$788,0)),"-")</f>
      </c>
      <c r="J67" s="23">
        <v>18</v>
      </c>
      <c r="K67" s="24">
        <f>IFERROR(INDEX(Linha!$D$5:$D$788,MATCH(A67,Linha!$A$5:$A$788,0))*1,0)</f>
      </c>
      <c r="L67" s="24">
        <f>SUMIFS(Reservas!$K$5:$K$3669,Reservas!$A$5:$A$3669,A67)</f>
      </c>
      <c r="M67" s="25">
        <f>J67-L67</f>
      </c>
      <c r="N67" s="26">
        <v>3.9</v>
      </c>
      <c r="O67" s="25">
        <f>J67*N67</f>
      </c>
      <c r="P67" s="25">
        <f>L67*N67</f>
      </c>
      <c r="Q67" s="27">
        <v>28.93581276</v>
      </c>
      <c r="R67" s="28">
        <f>J67*Q67</f>
      </c>
      <c r="S67" s="28">
        <f>L67*Q67</f>
      </c>
      <c r="T67" s="29">
        <f>IF(J67=0,0,L67/J67)</f>
      </c>
      <c r="U67" s="30">
        <f>IFERROR(INDEX(Paletes!$C$5:$C$393,MATCH(B67,Paletes!$A$5:$A$393,0)),"SEM CADASTRO")</f>
      </c>
      <c r="V67" s="24">
        <f>IFERROR(INDEX(Paletes!$D$5:$D$393,MATCH(B67,Paletes!$A$5:$A$393,0)),0)</f>
      </c>
      <c r="W67" s="31">
        <f>IF(V67=0,0,J67/V67)</f>
      </c>
      <c r="X67" s="31">
        <f>IF(V67=0,0,MAX(M67,0)/V67)</f>
      </c>
    </row>
    <row r="68" spans="1:24" x14ac:dyDescent="0.25">
      <c r="A68" s="32" t="str">
        <f>B68&amp;"."&amp;IFERROR(MID(D68,FIND("(",D68)+1,FIND(")",D68)-FIND("(",D68)-1),"")</f>
        <v>2345.13525</v>
      </c>
      <c r="B68" s="33">
        <v>2345</v>
      </c>
      <c r="C68" s="32" t="s">
        <v>165</v>
      </c>
      <c r="D68" s="32" t="s">
        <v>166</v>
      </c>
      <c r="E68" s="32">
        <v>73906</v>
      </c>
      <c r="F68" s="32" t="s">
        <v>26</v>
      </c>
      <c r="G68" s="32" t="s">
        <v>51</v>
      </c>
      <c r="H68" s="34">
        <f>IFERROR(INDEX(Linha!$B$5:$B$788,MATCH(A68,Linha!$A$5:$A$788,0)),"NÃO CADASTRADO")</f>
      </c>
      <c r="I68" s="34">
        <f>IFERROR(INDEX(Linha!$C$5:$C$788,MATCH(A68,Linha!$A$5:$A$788,0)),"-")</f>
      </c>
      <c r="J68" s="35">
        <v>50</v>
      </c>
      <c r="K68" s="36">
        <f>IFERROR(INDEX(Linha!$D$5:$D$788,MATCH(A68,Linha!$A$5:$A$788,0))*1,0)</f>
      </c>
      <c r="L68" s="36">
        <f>SUMIFS(Reservas!$K$5:$K$3669,Reservas!$A$5:$A$3669,A68)</f>
      </c>
      <c r="M68" s="37">
        <f>J68-L68</f>
      </c>
      <c r="N68" s="38">
        <v>55.38</v>
      </c>
      <c r="O68" s="37">
        <f>J68*N68</f>
      </c>
      <c r="P68" s="37">
        <f>L68*N68</f>
      </c>
      <c r="Q68" s="39">
        <v>151.85930656</v>
      </c>
      <c r="R68" s="40">
        <f>J68*Q68</f>
      </c>
      <c r="S68" s="40">
        <f>L68*Q68</f>
      </c>
      <c r="T68" s="41">
        <f>IF(J68=0,0,L68/J68)</f>
      </c>
      <c r="U68" s="42">
        <f>IFERROR(INDEX(Paletes!$C$5:$C$393,MATCH(B68,Paletes!$A$5:$A$393,0)),"SEM CADASTRO")</f>
      </c>
      <c r="V68" s="36">
        <f>IFERROR(INDEX(Paletes!$D$5:$D$393,MATCH(B68,Paletes!$A$5:$A$393,0)),0)</f>
      </c>
      <c r="W68" s="43">
        <f>IF(V68=0,0,J68/V68)</f>
      </c>
      <c r="X68" s="43">
        <f>IF(V68=0,0,MAX(M68,0)/V68)</f>
      </c>
    </row>
    <row r="69" spans="1:24" x14ac:dyDescent="0.25">
      <c r="A69" s="20" t="str">
        <f>B69&amp;"."&amp;IFERROR(MID(D69,FIND("(",D69)+1,FIND(")",D69)-FIND("(",D69)-1),"")</f>
        <v>2239.13888</v>
      </c>
      <c r="B69" s="21">
        <v>2239</v>
      </c>
      <c r="C69" s="20" t="s">
        <v>167</v>
      </c>
      <c r="D69" s="20" t="s">
        <v>168</v>
      </c>
      <c r="E69" s="20">
        <v>73943</v>
      </c>
      <c r="F69" s="20" t="s">
        <v>26</v>
      </c>
      <c r="G69" s="20" t="s">
        <v>51</v>
      </c>
      <c r="H69" s="22">
        <f>IFERROR(INDEX(Linha!$B$5:$B$788,MATCH(A69,Linha!$A$5:$A$788,0)),"NÃO CADASTRADO")</f>
      </c>
      <c r="I69" s="22">
        <f>IFERROR(INDEX(Linha!$C$5:$C$788,MATCH(A69,Linha!$A$5:$A$788,0)),"-")</f>
      </c>
      <c r="J69" s="23">
        <v>2</v>
      </c>
      <c r="K69" s="24">
        <f>IFERROR(INDEX(Linha!$D$5:$D$788,MATCH(A69,Linha!$A$5:$A$788,0))*1,0)</f>
      </c>
      <c r="L69" s="24">
        <f>SUMIFS(Reservas!$K$5:$K$3669,Reservas!$A$5:$A$3669,A69)</f>
      </c>
      <c r="M69" s="25">
        <f>J69-L69</f>
      </c>
      <c r="N69" s="26">
        <v>39.49</v>
      </c>
      <c r="O69" s="25">
        <f>J69*N69</f>
      </c>
      <c r="P69" s="25">
        <f>L69*N69</f>
      </c>
      <c r="Q69" s="27">
        <v>89.34507778</v>
      </c>
      <c r="R69" s="28">
        <f>J69*Q69</f>
      </c>
      <c r="S69" s="28">
        <f>L69*Q69</f>
      </c>
      <c r="T69" s="29">
        <f>IF(J69=0,0,L69/J69)</f>
      </c>
      <c r="U69" s="30">
        <f>IFERROR(INDEX(Paletes!$C$5:$C$393,MATCH(B69,Paletes!$A$5:$A$393,0)),"SEM CADASTRO")</f>
      </c>
      <c r="V69" s="24">
        <f>IFERROR(INDEX(Paletes!$D$5:$D$393,MATCH(B69,Paletes!$A$5:$A$393,0)),0)</f>
      </c>
      <c r="W69" s="31">
        <f>IF(V69=0,0,J69/V69)</f>
      </c>
      <c r="X69" s="31">
        <f>IF(V69=0,0,MAX(M69,0)/V69)</f>
      </c>
    </row>
    <row r="70" spans="1:24" x14ac:dyDescent="0.25">
      <c r="A70" s="32" t="str">
        <f>B70&amp;"."&amp;IFERROR(MID(D70,FIND("(",D70)+1,FIND(")",D70)-FIND("(",D70)-1),"")</f>
        <v>161.15503</v>
      </c>
      <c r="B70" s="33">
        <v>161</v>
      </c>
      <c r="C70" s="32" t="s">
        <v>169</v>
      </c>
      <c r="D70" s="32" t="s">
        <v>170</v>
      </c>
      <c r="E70" s="32">
        <v>74166</v>
      </c>
      <c r="F70" s="32" t="s">
        <v>25</v>
      </c>
      <c r="G70" s="32" t="s">
        <v>51</v>
      </c>
      <c r="H70" s="34">
        <f>IFERROR(INDEX(Linha!$B$5:$B$788,MATCH(A70,Linha!$A$5:$A$788,0)),"NÃO CADASTRADO")</f>
      </c>
      <c r="I70" s="34">
        <f>IFERROR(INDEX(Linha!$C$5:$C$788,MATCH(A70,Linha!$A$5:$A$788,0)),"-")</f>
      </c>
      <c r="J70" s="35">
        <v>187</v>
      </c>
      <c r="K70" s="36">
        <f>IFERROR(INDEX(Linha!$D$5:$D$788,MATCH(A70,Linha!$A$5:$A$788,0))*1,0)</f>
      </c>
      <c r="L70" s="36">
        <f>SUMIFS(Reservas!$K$5:$K$3669,Reservas!$A$5:$A$3669,A70)</f>
      </c>
      <c r="M70" s="37">
        <f>J70-L70</f>
      </c>
      <c r="N70" s="38">
        <v>43.875</v>
      </c>
      <c r="O70" s="37">
        <f>J70*N70</f>
      </c>
      <c r="P70" s="37">
        <f>L70*N70</f>
      </c>
      <c r="Q70" s="39">
        <v>171.15052928</v>
      </c>
      <c r="R70" s="40">
        <f>J70*Q70</f>
      </c>
      <c r="S70" s="40">
        <f>L70*Q70</f>
      </c>
      <c r="T70" s="41">
        <f>IF(J70=0,0,L70/J70)</f>
      </c>
      <c r="U70" s="42">
        <f>IFERROR(INDEX(Paletes!$C$5:$C$393,MATCH(B70,Paletes!$A$5:$A$393,0)),"SEM CADASTRO")</f>
      </c>
      <c r="V70" s="36">
        <f>IFERROR(INDEX(Paletes!$D$5:$D$393,MATCH(B70,Paletes!$A$5:$A$393,0)),0)</f>
      </c>
      <c r="W70" s="43">
        <f>IF(V70=0,0,J70/V70)</f>
      </c>
      <c r="X70" s="43">
        <f>IF(V70=0,0,MAX(M70,0)/V70)</f>
      </c>
    </row>
    <row r="71" spans="1:24" x14ac:dyDescent="0.25">
      <c r="A71" s="20" t="str">
        <f>B71&amp;"."&amp;IFERROR(MID(D71,FIND("(",D71)+1,FIND(")",D71)-FIND("(",D71)-1),"")</f>
        <v>73285.16000</v>
      </c>
      <c r="B71" s="21">
        <v>73285</v>
      </c>
      <c r="C71" s="20" t="s">
        <v>171</v>
      </c>
      <c r="D71" s="20" t="s">
        <v>172</v>
      </c>
      <c r="E71" s="20">
        <v>76416</v>
      </c>
      <c r="F71" s="20" t="s">
        <v>24</v>
      </c>
      <c r="G71" s="20" t="s">
        <v>51</v>
      </c>
      <c r="H71" s="22">
        <f>IFERROR(INDEX(Linha!$B$5:$B$788,MATCH(A71,Linha!$A$5:$A$788,0)),"NÃO CADASTRADO")</f>
      </c>
      <c r="I71" s="22">
        <f>IFERROR(INDEX(Linha!$C$5:$C$788,MATCH(A71,Linha!$A$5:$A$788,0)),"-")</f>
      </c>
      <c r="J71" s="23">
        <v>161</v>
      </c>
      <c r="K71" s="24">
        <f>IFERROR(INDEX(Linha!$D$5:$D$788,MATCH(A71,Linha!$A$5:$A$788,0))*1,0)</f>
      </c>
      <c r="L71" s="24">
        <f>SUMIFS(Reservas!$K$5:$K$3669,Reservas!$A$5:$A$3669,A71)</f>
      </c>
      <c r="M71" s="25">
        <f>J71-L71</f>
      </c>
      <c r="N71" s="26">
        <v>43.241</v>
      </c>
      <c r="O71" s="25">
        <f>J71*N71</f>
      </c>
      <c r="P71" s="25">
        <f>L71*N71</f>
      </c>
      <c r="Q71" s="27">
        <v>185.66241945</v>
      </c>
      <c r="R71" s="28">
        <f>J71*Q71</f>
      </c>
      <c r="S71" s="28">
        <f>L71*Q71</f>
      </c>
      <c r="T71" s="29">
        <f>IF(J71=0,0,L71/J71)</f>
      </c>
      <c r="U71" s="30">
        <f>IFERROR(INDEX(Paletes!$C$5:$C$393,MATCH(B71,Paletes!$A$5:$A$393,0)),"SEM CADASTRO")</f>
      </c>
      <c r="V71" s="24">
        <f>IFERROR(INDEX(Paletes!$D$5:$D$393,MATCH(B71,Paletes!$A$5:$A$393,0)),0)</f>
      </c>
      <c r="W71" s="31">
        <f>IF(V71=0,0,J71/V71)</f>
      </c>
      <c r="X71" s="31">
        <f>IF(V71=0,0,MAX(M71,0)/V71)</f>
      </c>
    </row>
    <row r="72" spans="1:24" x14ac:dyDescent="0.25">
      <c r="A72" s="32" t="str">
        <f>B72&amp;"."&amp;IFERROR(MID(D72,FIND("(",D72)+1,FIND(")",D72)-FIND("(",D72)-1),"")</f>
        <v>73286.16526</v>
      </c>
      <c r="B72" s="33">
        <v>73286</v>
      </c>
      <c r="C72" s="32" t="s">
        <v>173</v>
      </c>
      <c r="D72" s="32" t="s">
        <v>174</v>
      </c>
      <c r="E72" s="32">
        <v>76418</v>
      </c>
      <c r="F72" s="32" t="s">
        <v>24</v>
      </c>
      <c r="G72" s="32" t="s">
        <v>51</v>
      </c>
      <c r="H72" s="34">
        <f>IFERROR(INDEX(Linha!$B$5:$B$788,MATCH(A72,Linha!$A$5:$A$788,0)),"NÃO CADASTRADO")</f>
      </c>
      <c r="I72" s="34">
        <f>IFERROR(INDEX(Linha!$C$5:$C$788,MATCH(A72,Linha!$A$5:$A$788,0)),"-")</f>
      </c>
      <c r="J72" s="35">
        <v>143</v>
      </c>
      <c r="K72" s="36">
        <f>IFERROR(INDEX(Linha!$D$5:$D$788,MATCH(A72,Linha!$A$5:$A$788,0))*1,0)</f>
      </c>
      <c r="L72" s="36">
        <f>SUMIFS(Reservas!$K$5:$K$3669,Reservas!$A$5:$A$3669,A72)</f>
      </c>
      <c r="M72" s="37">
        <f>J72-L72</f>
      </c>
      <c r="N72" s="38">
        <v>41.047</v>
      </c>
      <c r="O72" s="37">
        <f>J72*N72</f>
      </c>
      <c r="P72" s="37">
        <f>L72*N72</f>
      </c>
      <c r="Q72" s="39">
        <v>134.18443841</v>
      </c>
      <c r="R72" s="40">
        <f>J72*Q72</f>
      </c>
      <c r="S72" s="40">
        <f>L72*Q72</f>
      </c>
      <c r="T72" s="41">
        <f>IF(J72=0,0,L72/J72)</f>
      </c>
      <c r="U72" s="42">
        <f>IFERROR(INDEX(Paletes!$C$5:$C$393,MATCH(B72,Paletes!$A$5:$A$393,0)),"SEM CADASTRO")</f>
      </c>
      <c r="V72" s="36">
        <f>IFERROR(INDEX(Paletes!$D$5:$D$393,MATCH(B72,Paletes!$A$5:$A$393,0)),0)</f>
      </c>
      <c r="W72" s="43">
        <f>IF(V72=0,0,J72/V72)</f>
      </c>
      <c r="X72" s="43">
        <f>IF(V72=0,0,MAX(M72,0)/V72)</f>
      </c>
    </row>
    <row r="73" spans="1:24" x14ac:dyDescent="0.25">
      <c r="A73" s="20" t="str">
        <f>B73&amp;"."&amp;IFERROR(MID(D73,FIND("(",D73)+1,FIND(")",D73)-FIND("(",D73)-1),"")</f>
        <v>73352.16550</v>
      </c>
      <c r="B73" s="21">
        <v>73352</v>
      </c>
      <c r="C73" s="20" t="s">
        <v>175</v>
      </c>
      <c r="D73" s="20" t="s">
        <v>176</v>
      </c>
      <c r="E73" s="20">
        <v>76881</v>
      </c>
      <c r="F73" s="20" t="s">
        <v>25</v>
      </c>
      <c r="G73" s="20" t="s">
        <v>51</v>
      </c>
      <c r="H73" s="22">
        <f>IFERROR(INDEX(Linha!$B$5:$B$788,MATCH(A73,Linha!$A$5:$A$788,0)),"NÃO CADASTRADO")</f>
      </c>
      <c r="I73" s="22">
        <f>IFERROR(INDEX(Linha!$C$5:$C$788,MATCH(A73,Linha!$A$5:$A$788,0)),"-")</f>
      </c>
      <c r="J73" s="23">
        <v>530</v>
      </c>
      <c r="K73" s="24">
        <f>IFERROR(INDEX(Linha!$D$5:$D$788,MATCH(A73,Linha!$A$5:$A$788,0))*1,0)</f>
      </c>
      <c r="L73" s="24">
        <f>SUMIFS(Reservas!$K$5:$K$3669,Reservas!$A$5:$A$3669,A73)</f>
      </c>
      <c r="M73" s="25">
        <f>J73-L73</f>
      </c>
      <c r="N73" s="26">
        <v>41.028</v>
      </c>
      <c r="O73" s="25">
        <f>J73*N73</f>
      </c>
      <c r="P73" s="25">
        <f>L73*N73</f>
      </c>
      <c r="Q73" s="27">
        <v>219.15821626</v>
      </c>
      <c r="R73" s="28">
        <f>J73*Q73</f>
      </c>
      <c r="S73" s="28">
        <f>L73*Q73</f>
      </c>
      <c r="T73" s="29">
        <f>IF(J73=0,0,L73/J73)</f>
      </c>
      <c r="U73" s="30">
        <f>IFERROR(INDEX(Paletes!$C$5:$C$393,MATCH(B73,Paletes!$A$5:$A$393,0)),"SEM CADASTRO")</f>
      </c>
      <c r="V73" s="24">
        <f>IFERROR(INDEX(Paletes!$D$5:$D$393,MATCH(B73,Paletes!$A$5:$A$393,0)),0)</f>
      </c>
      <c r="W73" s="31">
        <f>IF(V73=0,0,J73/V73)</f>
      </c>
      <c r="X73" s="31">
        <f>IF(V73=0,0,MAX(M73,0)/V73)</f>
      </c>
    </row>
    <row r="74" spans="1:24" x14ac:dyDescent="0.25">
      <c r="A74" s="32" t="str">
        <f>B74&amp;"."&amp;IFERROR(MID(D74,FIND("(",D74)+1,FIND(")",D74)-FIND("(",D74)-1),"")</f>
        <v>74494.78567</v>
      </c>
      <c r="B74" s="33">
        <v>74494</v>
      </c>
      <c r="C74" s="32" t="s">
        <v>177</v>
      </c>
      <c r="D74" s="32" t="s">
        <v>178</v>
      </c>
      <c r="E74" s="32">
        <v>77213</v>
      </c>
      <c r="F74" s="32" t="s">
        <v>24</v>
      </c>
      <c r="G74" s="32" t="s">
        <v>51</v>
      </c>
      <c r="H74" s="34">
        <f>IFERROR(INDEX(Linha!$B$5:$B$788,MATCH(A74,Linha!$A$5:$A$788,0)),"NÃO CADASTRADO")</f>
      </c>
      <c r="I74" s="34">
        <f>IFERROR(INDEX(Linha!$C$5:$C$788,MATCH(A74,Linha!$A$5:$A$788,0)),"-")</f>
      </c>
      <c r="J74" s="35">
        <v>0</v>
      </c>
      <c r="K74" s="36">
        <f>IFERROR(INDEX(Linha!$D$5:$D$788,MATCH(A74,Linha!$A$5:$A$788,0))*1,0)</f>
      </c>
      <c r="L74" s="36">
        <f>SUMIFS(Reservas!$K$5:$K$3669,Reservas!$A$5:$A$3669,A74)</f>
      </c>
      <c r="M74" s="37">
        <f>J74-L74</f>
      </c>
      <c r="N74" s="38">
        <v>16.09</v>
      </c>
      <c r="O74" s="37">
        <f>J74*N74</f>
      </c>
      <c r="P74" s="37">
        <f>L74*N74</f>
      </c>
      <c r="Q74" s="39">
        <v>116.67516422</v>
      </c>
      <c r="R74" s="40">
        <f>J74*Q74</f>
      </c>
      <c r="S74" s="40">
        <f>L74*Q74</f>
      </c>
      <c r="T74" s="41">
        <f>IF(J74=0,0,L74/J74)</f>
      </c>
      <c r="U74" s="42">
        <f>IFERROR(INDEX(Paletes!$C$5:$C$393,MATCH(B74,Paletes!$A$5:$A$393,0)),"SEM CADASTRO")</f>
      </c>
      <c r="V74" s="36">
        <f>IFERROR(INDEX(Paletes!$D$5:$D$393,MATCH(B74,Paletes!$A$5:$A$393,0)),0)</f>
      </c>
      <c r="W74" s="43">
        <f>IF(V74=0,0,J74/V74)</f>
      </c>
      <c r="X74" s="43">
        <f>IF(V74=0,0,MAX(M74,0)/V74)</f>
      </c>
    </row>
    <row r="75" spans="1:24" x14ac:dyDescent="0.25">
      <c r="A75" s="20" t="str">
        <f>B75&amp;"."&amp;IFERROR(MID(D75,FIND("(",D75)+1,FIND(")",D75)-FIND("(",D75)-1),"")</f>
        <v>73122.16493</v>
      </c>
      <c r="B75" s="21">
        <v>73122</v>
      </c>
      <c r="C75" s="20" t="s">
        <v>179</v>
      </c>
      <c r="D75" s="20" t="s">
        <v>180</v>
      </c>
      <c r="E75" s="20">
        <v>81579</v>
      </c>
      <c r="F75" s="20" t="s">
        <v>24</v>
      </c>
      <c r="G75" s="20" t="s">
        <v>51</v>
      </c>
      <c r="H75" s="22">
        <f>IFERROR(INDEX(Linha!$B$5:$B$788,MATCH(A75,Linha!$A$5:$A$788,0)),"NÃO CADASTRADO")</f>
      </c>
      <c r="I75" s="22">
        <f>IFERROR(INDEX(Linha!$C$5:$C$788,MATCH(A75,Linha!$A$5:$A$788,0)),"-")</f>
      </c>
      <c r="J75" s="23">
        <v>98</v>
      </c>
      <c r="K75" s="24">
        <f>IFERROR(INDEX(Linha!$D$5:$D$788,MATCH(A75,Linha!$A$5:$A$788,0))*1,0)</f>
      </c>
      <c r="L75" s="24">
        <f>SUMIFS(Reservas!$K$5:$K$3669,Reservas!$A$5:$A$3669,A75)</f>
      </c>
      <c r="M75" s="25">
        <f>J75-L75</f>
      </c>
      <c r="N75" s="26">
        <v>51.675</v>
      </c>
      <c r="O75" s="25">
        <f>J75*N75</f>
      </c>
      <c r="P75" s="25">
        <f>L75*N75</f>
      </c>
      <c r="Q75" s="27">
        <v>304.02166518</v>
      </c>
      <c r="R75" s="28">
        <f>J75*Q75</f>
      </c>
      <c r="S75" s="28">
        <f>L75*Q75</f>
      </c>
      <c r="T75" s="29">
        <f>IF(J75=0,0,L75/J75)</f>
      </c>
      <c r="U75" s="30">
        <f>IFERROR(INDEX(Paletes!$C$5:$C$393,MATCH(B75,Paletes!$A$5:$A$393,0)),"SEM CADASTRO")</f>
      </c>
      <c r="V75" s="24">
        <f>IFERROR(INDEX(Paletes!$D$5:$D$393,MATCH(B75,Paletes!$A$5:$A$393,0)),0)</f>
      </c>
      <c r="W75" s="31">
        <f>IF(V75=0,0,J75/V75)</f>
      </c>
      <c r="X75" s="31">
        <f>IF(V75=0,0,MAX(M75,0)/V75)</f>
      </c>
    </row>
    <row r="76" spans="1:24" x14ac:dyDescent="0.25">
      <c r="A76" s="32" t="str">
        <f>B76&amp;"."&amp;IFERROR(MID(D76,FIND("(",D76)+1,FIND(")",D76)-FIND("(",D76)-1),"")</f>
        <v>73122.16497</v>
      </c>
      <c r="B76" s="33">
        <v>73122</v>
      </c>
      <c r="C76" s="32" t="s">
        <v>179</v>
      </c>
      <c r="D76" s="32" t="s">
        <v>181</v>
      </c>
      <c r="E76" s="32">
        <v>81579</v>
      </c>
      <c r="F76" s="32" t="s">
        <v>24</v>
      </c>
      <c r="G76" s="32" t="s">
        <v>51</v>
      </c>
      <c r="H76" s="34">
        <f>IFERROR(INDEX(Linha!$B$5:$B$788,MATCH(A76,Linha!$A$5:$A$788,0)),"NÃO CADASTRADO")</f>
      </c>
      <c r="I76" s="34">
        <f>IFERROR(INDEX(Linha!$C$5:$C$788,MATCH(A76,Linha!$A$5:$A$788,0)),"-")</f>
      </c>
      <c r="J76" s="35">
        <v>54</v>
      </c>
      <c r="K76" s="36">
        <f>IFERROR(INDEX(Linha!$D$5:$D$788,MATCH(A76,Linha!$A$5:$A$788,0))*1,0)</f>
      </c>
      <c r="L76" s="36">
        <f>SUMIFS(Reservas!$K$5:$K$3669,Reservas!$A$5:$A$3669,A76)</f>
      </c>
      <c r="M76" s="37">
        <f>J76-L76</f>
      </c>
      <c r="N76" s="38">
        <v>51.675</v>
      </c>
      <c r="O76" s="37">
        <f>J76*N76</f>
      </c>
      <c r="P76" s="37">
        <f>L76*N76</f>
      </c>
      <c r="Q76" s="39">
        <v>271.46787263</v>
      </c>
      <c r="R76" s="40">
        <f>J76*Q76</f>
      </c>
      <c r="S76" s="40">
        <f>L76*Q76</f>
      </c>
      <c r="T76" s="41">
        <f>IF(J76=0,0,L76/J76)</f>
      </c>
      <c r="U76" s="42">
        <f>IFERROR(INDEX(Paletes!$C$5:$C$393,MATCH(B76,Paletes!$A$5:$A$393,0)),"SEM CADASTRO")</f>
      </c>
      <c r="V76" s="36">
        <f>IFERROR(INDEX(Paletes!$D$5:$D$393,MATCH(B76,Paletes!$A$5:$A$393,0)),0)</f>
      </c>
      <c r="W76" s="43">
        <f>IF(V76=0,0,J76/V76)</f>
      </c>
      <c r="X76" s="43">
        <f>IF(V76=0,0,MAX(M76,0)/V76)</f>
      </c>
    </row>
    <row r="77" spans="1:24" x14ac:dyDescent="0.25">
      <c r="A77" s="20" t="str">
        <f>B77&amp;"."&amp;IFERROR(MID(D77,FIND("(",D77)+1,FIND(")",D77)-FIND("(",D77)-1),"")</f>
        <v>73123.15534</v>
      </c>
      <c r="B77" s="21">
        <v>73123</v>
      </c>
      <c r="C77" s="20" t="s">
        <v>182</v>
      </c>
      <c r="D77" s="20" t="s">
        <v>183</v>
      </c>
      <c r="E77" s="20">
        <v>81580</v>
      </c>
      <c r="F77" s="20" t="s">
        <v>24</v>
      </c>
      <c r="G77" s="20" t="s">
        <v>51</v>
      </c>
      <c r="H77" s="22">
        <f>IFERROR(INDEX(Linha!$B$5:$B$788,MATCH(A77,Linha!$A$5:$A$788,0)),"NÃO CADASTRADO")</f>
      </c>
      <c r="I77" s="22">
        <f>IFERROR(INDEX(Linha!$C$5:$C$788,MATCH(A77,Linha!$A$5:$A$788,0)),"-")</f>
      </c>
      <c r="J77" s="23">
        <v>24</v>
      </c>
      <c r="K77" s="24">
        <f>IFERROR(INDEX(Linha!$D$5:$D$788,MATCH(A77,Linha!$A$5:$A$788,0))*1,0)</f>
      </c>
      <c r="L77" s="24">
        <f>SUMIFS(Reservas!$K$5:$K$3669,Reservas!$A$5:$A$3669,A77)</f>
      </c>
      <c r="M77" s="25">
        <f>J77-L77</f>
      </c>
      <c r="N77" s="26">
        <v>51.675</v>
      </c>
      <c r="O77" s="25">
        <f>J77*N77</f>
      </c>
      <c r="P77" s="25">
        <f>L77*N77</f>
      </c>
      <c r="Q77" s="27">
        <v>234.9147276</v>
      </c>
      <c r="R77" s="28">
        <f>J77*Q77</f>
      </c>
      <c r="S77" s="28">
        <f>L77*Q77</f>
      </c>
      <c r="T77" s="29">
        <f>IF(J77=0,0,L77/J77)</f>
      </c>
      <c r="U77" s="30">
        <f>IFERROR(INDEX(Paletes!$C$5:$C$393,MATCH(B77,Paletes!$A$5:$A$393,0)),"SEM CADASTRO")</f>
      </c>
      <c r="V77" s="24">
        <f>IFERROR(INDEX(Paletes!$D$5:$D$393,MATCH(B77,Paletes!$A$5:$A$393,0)),0)</f>
      </c>
      <c r="W77" s="31">
        <f>IF(V77=0,0,J77/V77)</f>
      </c>
      <c r="X77" s="31">
        <f>IF(V77=0,0,MAX(M77,0)/V77)</f>
      </c>
    </row>
    <row r="78" spans="1:24" x14ac:dyDescent="0.25">
      <c r="A78" s="32" t="str">
        <f>B78&amp;"."&amp;IFERROR(MID(D78,FIND("(",D78)+1,FIND(")",D78)-FIND("(",D78)-1),"")</f>
        <v>2179.12572</v>
      </c>
      <c r="B78" s="33">
        <v>2179</v>
      </c>
      <c r="C78" s="32" t="s">
        <v>184</v>
      </c>
      <c r="D78" s="32" t="s">
        <v>185</v>
      </c>
      <c r="E78" s="32">
        <v>81671</v>
      </c>
      <c r="F78" s="32" t="s">
        <v>26</v>
      </c>
      <c r="G78" s="32" t="s">
        <v>51</v>
      </c>
      <c r="H78" s="34">
        <f>IFERROR(INDEX(Linha!$B$5:$B$788,MATCH(A78,Linha!$A$5:$A$788,0)),"NÃO CADASTRADO")</f>
      </c>
      <c r="I78" s="34">
        <f>IFERROR(INDEX(Linha!$C$5:$C$788,MATCH(A78,Linha!$A$5:$A$788,0)),"-")</f>
      </c>
      <c r="J78" s="35">
        <v>47</v>
      </c>
      <c r="K78" s="36">
        <f>IFERROR(INDEX(Linha!$D$5:$D$788,MATCH(A78,Linha!$A$5:$A$788,0))*1,0)</f>
      </c>
      <c r="L78" s="36">
        <f>SUMIFS(Reservas!$K$5:$K$3669,Reservas!$A$5:$A$3669,A78)</f>
      </c>
      <c r="M78" s="37">
        <f>J78-L78</f>
      </c>
      <c r="N78" s="38">
        <v>58.5</v>
      </c>
      <c r="O78" s="37">
        <f>J78*N78</f>
      </c>
      <c r="P78" s="37">
        <f>L78*N78</f>
      </c>
      <c r="Q78" s="39">
        <v>232.75067007</v>
      </c>
      <c r="R78" s="40">
        <f>J78*Q78</f>
      </c>
      <c r="S78" s="40">
        <f>L78*Q78</f>
      </c>
      <c r="T78" s="41">
        <f>IF(J78=0,0,L78/J78)</f>
      </c>
      <c r="U78" s="42">
        <f>IFERROR(INDEX(Paletes!$C$5:$C$393,MATCH(B78,Paletes!$A$5:$A$393,0)),"SEM CADASTRO")</f>
      </c>
      <c r="V78" s="36">
        <f>IFERROR(INDEX(Paletes!$D$5:$D$393,MATCH(B78,Paletes!$A$5:$A$393,0)),0)</f>
      </c>
      <c r="W78" s="43">
        <f>IF(V78=0,0,J78/V78)</f>
      </c>
      <c r="X78" s="43">
        <f>IF(V78=0,0,MAX(M78,0)/V78)</f>
      </c>
    </row>
    <row r="79" spans="1:24" x14ac:dyDescent="0.25">
      <c r="A79" s="20" t="str">
        <f>B79&amp;"."&amp;IFERROR(MID(D79,FIND("(",D79)+1,FIND(")",D79)-FIND("(",D79)-1),"")</f>
        <v>2181.12946</v>
      </c>
      <c r="B79" s="21">
        <v>2181</v>
      </c>
      <c r="C79" s="20" t="s">
        <v>186</v>
      </c>
      <c r="D79" s="20" t="s">
        <v>187</v>
      </c>
      <c r="E79" s="20">
        <v>81672</v>
      </c>
      <c r="F79" s="20" t="s">
        <v>26</v>
      </c>
      <c r="G79" s="20" t="s">
        <v>51</v>
      </c>
      <c r="H79" s="22">
        <f>IFERROR(INDEX(Linha!$B$5:$B$788,MATCH(A79,Linha!$A$5:$A$788,0)),"NÃO CADASTRADO")</f>
      </c>
      <c r="I79" s="22">
        <f>IFERROR(INDEX(Linha!$C$5:$C$788,MATCH(A79,Linha!$A$5:$A$788,0)),"-")</f>
      </c>
      <c r="J79" s="23">
        <v>74</v>
      </c>
      <c r="K79" s="24">
        <f>IFERROR(INDEX(Linha!$D$5:$D$788,MATCH(A79,Linha!$A$5:$A$788,0))*1,0)</f>
      </c>
      <c r="L79" s="24">
        <f>SUMIFS(Reservas!$K$5:$K$3669,Reservas!$A$5:$A$3669,A79)</f>
      </c>
      <c r="M79" s="25">
        <f>J79-L79</f>
      </c>
      <c r="N79" s="26">
        <v>49.387</v>
      </c>
      <c r="O79" s="25">
        <f>J79*N79</f>
      </c>
      <c r="P79" s="25">
        <f>L79*N79</f>
      </c>
      <c r="Q79" s="27">
        <v>164.95475605</v>
      </c>
      <c r="R79" s="28">
        <f>J79*Q79</f>
      </c>
      <c r="S79" s="28">
        <f>L79*Q79</f>
      </c>
      <c r="T79" s="29">
        <f>IF(J79=0,0,L79/J79)</f>
      </c>
      <c r="U79" s="30">
        <f>IFERROR(INDEX(Paletes!$C$5:$C$393,MATCH(B79,Paletes!$A$5:$A$393,0)),"SEM CADASTRO")</f>
      </c>
      <c r="V79" s="24">
        <f>IFERROR(INDEX(Paletes!$D$5:$D$393,MATCH(B79,Paletes!$A$5:$A$393,0)),0)</f>
      </c>
      <c r="W79" s="31">
        <f>IF(V79=0,0,J79/V79)</f>
      </c>
      <c r="X79" s="31">
        <f>IF(V79=0,0,MAX(M79,0)/V79)</f>
      </c>
    </row>
    <row r="80" spans="1:24" x14ac:dyDescent="0.25">
      <c r="A80" s="32" t="str">
        <f>B80&amp;"."&amp;IFERROR(MID(D80,FIND("(",D80)+1,FIND(")",D80)-FIND("(",D80)-1),"")</f>
        <v>2185.13743</v>
      </c>
      <c r="B80" s="33">
        <v>2185</v>
      </c>
      <c r="C80" s="32" t="s">
        <v>188</v>
      </c>
      <c r="D80" s="32" t="s">
        <v>189</v>
      </c>
      <c r="E80" s="32">
        <v>81673</v>
      </c>
      <c r="F80" s="32" t="s">
        <v>26</v>
      </c>
      <c r="G80" s="32" t="s">
        <v>51</v>
      </c>
      <c r="H80" s="34">
        <f>IFERROR(INDEX(Linha!$B$5:$B$788,MATCH(A80,Linha!$A$5:$A$788,0)),"NÃO CADASTRADO")</f>
      </c>
      <c r="I80" s="34">
        <f>IFERROR(INDEX(Linha!$C$5:$C$788,MATCH(A80,Linha!$A$5:$A$788,0)),"-")</f>
      </c>
      <c r="J80" s="35">
        <v>1</v>
      </c>
      <c r="K80" s="36">
        <f>IFERROR(INDEX(Linha!$D$5:$D$788,MATCH(A80,Linha!$A$5:$A$788,0))*1,0)</f>
      </c>
      <c r="L80" s="36">
        <f>SUMIFS(Reservas!$K$5:$K$3669,Reservas!$A$5:$A$3669,A80)</f>
      </c>
      <c r="M80" s="37">
        <f>J80-L80</f>
      </c>
      <c r="N80" s="38">
        <v>63.375</v>
      </c>
      <c r="O80" s="37">
        <f>J80*N80</f>
      </c>
      <c r="P80" s="37">
        <f>L80*N80</f>
      </c>
      <c r="Q80" s="39">
        <v>234.44964842</v>
      </c>
      <c r="R80" s="40">
        <f>J80*Q80</f>
      </c>
      <c r="S80" s="40">
        <f>L80*Q80</f>
      </c>
      <c r="T80" s="41">
        <f>IF(J80=0,0,L80/J80)</f>
      </c>
      <c r="U80" s="42">
        <f>IFERROR(INDEX(Paletes!$C$5:$C$393,MATCH(B80,Paletes!$A$5:$A$393,0)),"SEM CADASTRO")</f>
      </c>
      <c r="V80" s="36">
        <f>IFERROR(INDEX(Paletes!$D$5:$D$393,MATCH(B80,Paletes!$A$5:$A$393,0)),0)</f>
      </c>
      <c r="W80" s="43">
        <f>IF(V80=0,0,J80/V80)</f>
      </c>
      <c r="X80" s="43">
        <f>IF(V80=0,0,MAX(M80,0)/V80)</f>
      </c>
    </row>
    <row r="81" spans="1:24" x14ac:dyDescent="0.25">
      <c r="A81" s="20" t="str">
        <f>B81&amp;"."&amp;IFERROR(MID(D81,FIND("(",D81)+1,FIND(")",D81)-FIND("(",D81)-1),"")</f>
        <v>2183.13599</v>
      </c>
      <c r="B81" s="21">
        <v>2183</v>
      </c>
      <c r="C81" s="20" t="s">
        <v>190</v>
      </c>
      <c r="D81" s="20" t="s">
        <v>191</v>
      </c>
      <c r="E81" s="20">
        <v>81873</v>
      </c>
      <c r="F81" s="20" t="s">
        <v>26</v>
      </c>
      <c r="G81" s="20" t="s">
        <v>51</v>
      </c>
      <c r="H81" s="22">
        <f>IFERROR(INDEX(Linha!$B$5:$B$788,MATCH(A81,Linha!$A$5:$A$788,0)),"NÃO CADASTRADO")</f>
      </c>
      <c r="I81" s="22">
        <f>IFERROR(INDEX(Linha!$C$5:$C$788,MATCH(A81,Linha!$A$5:$A$788,0)),"-")</f>
      </c>
      <c r="J81" s="23">
        <v>72</v>
      </c>
      <c r="K81" s="24">
        <f>IFERROR(INDEX(Linha!$D$5:$D$788,MATCH(A81,Linha!$A$5:$A$788,0))*1,0)</f>
      </c>
      <c r="L81" s="24">
        <f>SUMIFS(Reservas!$K$5:$K$3669,Reservas!$A$5:$A$3669,A81)</f>
      </c>
      <c r="M81" s="25">
        <f>J81-L81</f>
      </c>
      <c r="N81" s="26">
        <v>62.4</v>
      </c>
      <c r="O81" s="25">
        <f>J81*N81</f>
      </c>
      <c r="P81" s="25">
        <f>L81*N81</f>
      </c>
      <c r="Q81" s="27">
        <v>283.45420692</v>
      </c>
      <c r="R81" s="28">
        <f>J81*Q81</f>
      </c>
      <c r="S81" s="28">
        <f>L81*Q81</f>
      </c>
      <c r="T81" s="29">
        <f>IF(J81=0,0,L81/J81)</f>
      </c>
      <c r="U81" s="30">
        <f>IFERROR(INDEX(Paletes!$C$5:$C$393,MATCH(B81,Paletes!$A$5:$A$393,0)),"SEM CADASTRO")</f>
      </c>
      <c r="V81" s="24">
        <f>IFERROR(INDEX(Paletes!$D$5:$D$393,MATCH(B81,Paletes!$A$5:$A$393,0)),0)</f>
      </c>
      <c r="W81" s="31">
        <f>IF(V81=0,0,J81/V81)</f>
      </c>
      <c r="X81" s="31">
        <f>IF(V81=0,0,MAX(M81,0)/V81)</f>
      </c>
    </row>
    <row r="82" spans="1:24" x14ac:dyDescent="0.25">
      <c r="A82" s="32" t="str">
        <f>B82&amp;"."&amp;IFERROR(MID(D82,FIND("(",D82)+1,FIND(")",D82)-FIND("(",D82)-1),"")</f>
        <v>2350.12744</v>
      </c>
      <c r="B82" s="33">
        <v>2350</v>
      </c>
      <c r="C82" s="32" t="s">
        <v>192</v>
      </c>
      <c r="D82" s="32" t="s">
        <v>193</v>
      </c>
      <c r="E82" s="32">
        <v>81985</v>
      </c>
      <c r="F82" s="32" t="s">
        <v>26</v>
      </c>
      <c r="G82" s="32" t="s">
        <v>51</v>
      </c>
      <c r="H82" s="34">
        <f>IFERROR(INDEX(Linha!$B$5:$B$788,MATCH(A82,Linha!$A$5:$A$788,0)),"NÃO CADASTRADO")</f>
      </c>
      <c r="I82" s="34">
        <f>IFERROR(INDEX(Linha!$C$5:$C$788,MATCH(A82,Linha!$A$5:$A$788,0)),"-")</f>
      </c>
      <c r="J82" s="35">
        <v>4</v>
      </c>
      <c r="K82" s="36">
        <f>IFERROR(INDEX(Linha!$D$5:$D$788,MATCH(A82,Linha!$A$5:$A$788,0))*1,0)</f>
      </c>
      <c r="L82" s="36">
        <f>SUMIFS(Reservas!$K$5:$K$3669,Reservas!$A$5:$A$3669,A82)</f>
      </c>
      <c r="M82" s="37">
        <f>J82-L82</f>
      </c>
      <c r="N82" s="38">
        <v>28.323</v>
      </c>
      <c r="O82" s="37">
        <f>J82*N82</f>
      </c>
      <c r="P82" s="37">
        <f>L82*N82</f>
      </c>
      <c r="Q82" s="39">
        <v>105.86662986</v>
      </c>
      <c r="R82" s="40">
        <f>J82*Q82</f>
      </c>
      <c r="S82" s="40">
        <f>L82*Q82</f>
      </c>
      <c r="T82" s="41">
        <f>IF(J82=0,0,L82/J82)</f>
      </c>
      <c r="U82" s="42">
        <f>IFERROR(INDEX(Paletes!$C$5:$C$393,MATCH(B82,Paletes!$A$5:$A$393,0)),"SEM CADASTRO")</f>
      </c>
      <c r="V82" s="36">
        <f>IFERROR(INDEX(Paletes!$D$5:$D$393,MATCH(B82,Paletes!$A$5:$A$393,0)),0)</f>
      </c>
      <c r="W82" s="43">
        <f>IF(V82=0,0,J82/V82)</f>
      </c>
      <c r="X82" s="43">
        <f>IF(V82=0,0,MAX(M82,0)/V82)</f>
      </c>
    </row>
    <row r="83" spans="1:24" x14ac:dyDescent="0.25">
      <c r="A83" s="20" t="str">
        <f>B83&amp;"."&amp;IFERROR(MID(D83,FIND("(",D83)+1,FIND(")",D83)-FIND("(",D83)-1),"")</f>
        <v>72595.12820</v>
      </c>
      <c r="B83" s="21">
        <v>72595</v>
      </c>
      <c r="C83" s="20" t="s">
        <v>194</v>
      </c>
      <c r="D83" s="20" t="s">
        <v>195</v>
      </c>
      <c r="E83" s="20">
        <v>85421</v>
      </c>
      <c r="F83" s="20" t="s">
        <v>26</v>
      </c>
      <c r="G83" s="20" t="s">
        <v>51</v>
      </c>
      <c r="H83" s="22">
        <f>IFERROR(INDEX(Linha!$B$5:$B$788,MATCH(A83,Linha!$A$5:$A$788,0)),"NÃO CADASTRADO")</f>
      </c>
      <c r="I83" s="22">
        <f>IFERROR(INDEX(Linha!$C$5:$C$788,MATCH(A83,Linha!$A$5:$A$788,0)),"-")</f>
      </c>
      <c r="J83" s="23">
        <v>109</v>
      </c>
      <c r="K83" s="24">
        <f>IFERROR(INDEX(Linha!$D$5:$D$788,MATCH(A83,Linha!$A$5:$A$788,0))*1,0)</f>
      </c>
      <c r="L83" s="24">
        <f>SUMIFS(Reservas!$K$5:$K$3669,Reservas!$A$5:$A$3669,A83)</f>
      </c>
      <c r="M83" s="25">
        <f>J83-L83</f>
      </c>
      <c r="N83" s="26">
        <v>62.107</v>
      </c>
      <c r="O83" s="25">
        <f>J83*N83</f>
      </c>
      <c r="P83" s="25">
        <f>L83*N83</f>
      </c>
      <c r="Q83" s="27">
        <v>194.97653499</v>
      </c>
      <c r="R83" s="28">
        <f>J83*Q83</f>
      </c>
      <c r="S83" s="28">
        <f>L83*Q83</f>
      </c>
      <c r="T83" s="29">
        <f>IF(J83=0,0,L83/J83)</f>
      </c>
      <c r="U83" s="30">
        <f>IFERROR(INDEX(Paletes!$C$5:$C$393,MATCH(B83,Paletes!$A$5:$A$393,0)),"SEM CADASTRO")</f>
      </c>
      <c r="V83" s="24">
        <f>IFERROR(INDEX(Paletes!$D$5:$D$393,MATCH(B83,Paletes!$A$5:$A$393,0)),0)</f>
      </c>
      <c r="W83" s="31">
        <f>IF(V83=0,0,J83/V83)</f>
      </c>
      <c r="X83" s="31">
        <f>IF(V83=0,0,MAX(M83,0)/V83)</f>
      </c>
    </row>
    <row r="84" spans="1:24" x14ac:dyDescent="0.25">
      <c r="A84" s="32" t="str">
        <f>B84&amp;"."&amp;IFERROR(MID(D84,FIND("(",D84)+1,FIND(")",D84)-FIND("(",D84)-1),"")</f>
        <v>2246.12520</v>
      </c>
      <c r="B84" s="33">
        <v>2246</v>
      </c>
      <c r="C84" s="32" t="s">
        <v>196</v>
      </c>
      <c r="D84" s="32" t="s">
        <v>197</v>
      </c>
      <c r="E84" s="32">
        <v>87025</v>
      </c>
      <c r="F84" s="32" t="s">
        <v>26</v>
      </c>
      <c r="G84" s="32" t="s">
        <v>51</v>
      </c>
      <c r="H84" s="34">
        <f>IFERROR(INDEX(Linha!$B$5:$B$788,MATCH(A84,Linha!$A$5:$A$788,0)),"NÃO CADASTRADO")</f>
      </c>
      <c r="I84" s="34">
        <f>IFERROR(INDEX(Linha!$C$5:$C$788,MATCH(A84,Linha!$A$5:$A$788,0)),"-")</f>
      </c>
      <c r="J84" s="35">
        <v>275</v>
      </c>
      <c r="K84" s="36">
        <f>IFERROR(INDEX(Linha!$D$5:$D$788,MATCH(A84,Linha!$A$5:$A$788,0))*1,0)</f>
      </c>
      <c r="L84" s="36">
        <f>SUMIFS(Reservas!$K$5:$K$3669,Reservas!$A$5:$A$3669,A84)</f>
      </c>
      <c r="M84" s="37">
        <f>J84-L84</f>
      </c>
      <c r="N84" s="38">
        <v>15.307</v>
      </c>
      <c r="O84" s="37">
        <f>J84*N84</f>
      </c>
      <c r="P84" s="37">
        <f>L84*N84</f>
      </c>
      <c r="Q84" s="39">
        <v>41.58999923</v>
      </c>
      <c r="R84" s="40">
        <f>J84*Q84</f>
      </c>
      <c r="S84" s="40">
        <f>L84*Q84</f>
      </c>
      <c r="T84" s="41">
        <f>IF(J84=0,0,L84/J84)</f>
      </c>
      <c r="U84" s="42">
        <f>IFERROR(INDEX(Paletes!$C$5:$C$393,MATCH(B84,Paletes!$A$5:$A$393,0)),"SEM CADASTRO")</f>
      </c>
      <c r="V84" s="36">
        <f>IFERROR(INDEX(Paletes!$D$5:$D$393,MATCH(B84,Paletes!$A$5:$A$393,0)),0)</f>
      </c>
      <c r="W84" s="43">
        <f>IF(V84=0,0,J84/V84)</f>
      </c>
      <c r="X84" s="43">
        <f>IF(V84=0,0,MAX(M84,0)/V84)</f>
      </c>
    </row>
    <row r="85" spans="1:24" x14ac:dyDescent="0.25">
      <c r="A85" s="20" t="str">
        <f>B85&amp;"."&amp;IFERROR(MID(D85,FIND("(",D85)+1,FIND(")",D85)-FIND("(",D85)-1),"")</f>
        <v>72777.13607</v>
      </c>
      <c r="B85" s="21">
        <v>72777</v>
      </c>
      <c r="C85" s="20" t="s">
        <v>198</v>
      </c>
      <c r="D85" s="20" t="s">
        <v>199</v>
      </c>
      <c r="E85" s="20">
        <v>87556</v>
      </c>
      <c r="F85" s="20" t="s">
        <v>26</v>
      </c>
      <c r="G85" s="20" t="s">
        <v>51</v>
      </c>
      <c r="H85" s="22">
        <f>IFERROR(INDEX(Linha!$B$5:$B$788,MATCH(A85,Linha!$A$5:$A$788,0)),"NÃO CADASTRADO")</f>
      </c>
      <c r="I85" s="22">
        <f>IFERROR(INDEX(Linha!$C$5:$C$788,MATCH(A85,Linha!$A$5:$A$788,0)),"-")</f>
      </c>
      <c r="J85" s="23">
        <v>44</v>
      </c>
      <c r="K85" s="24">
        <f>IFERROR(INDEX(Linha!$D$5:$D$788,MATCH(A85,Linha!$A$5:$A$788,0))*1,0)</f>
      </c>
      <c r="L85" s="24">
        <f>SUMIFS(Reservas!$K$5:$K$3669,Reservas!$A$5:$A$3669,A85)</f>
      </c>
      <c r="M85" s="25">
        <f>J85-L85</f>
      </c>
      <c r="N85" s="26">
        <v>39</v>
      </c>
      <c r="O85" s="25">
        <f>J85*N85</f>
      </c>
      <c r="P85" s="25">
        <f>L85*N85</f>
      </c>
      <c r="Q85" s="27">
        <v>90.22475444</v>
      </c>
      <c r="R85" s="28">
        <f>J85*Q85</f>
      </c>
      <c r="S85" s="28">
        <f>L85*Q85</f>
      </c>
      <c r="T85" s="29">
        <f>IF(J85=0,0,L85/J85)</f>
      </c>
      <c r="U85" s="30">
        <f>IFERROR(INDEX(Paletes!$C$5:$C$393,MATCH(B85,Paletes!$A$5:$A$393,0)),"SEM CADASTRO")</f>
      </c>
      <c r="V85" s="24">
        <f>IFERROR(INDEX(Paletes!$D$5:$D$393,MATCH(B85,Paletes!$A$5:$A$393,0)),0)</f>
      </c>
      <c r="W85" s="31">
        <f>IF(V85=0,0,J85/V85)</f>
      </c>
      <c r="X85" s="31">
        <f>IF(V85=0,0,MAX(M85,0)/V85)</f>
      </c>
    </row>
    <row r="86" spans="1:24" x14ac:dyDescent="0.25">
      <c r="A86" s="32" t="str">
        <f>B86&amp;"."&amp;IFERROR(MID(D86,FIND("(",D86)+1,FIND(")",D86)-FIND("(",D86)-1),"")</f>
        <v>72663.13533</v>
      </c>
      <c r="B86" s="33">
        <v>72663</v>
      </c>
      <c r="C86" s="32" t="s">
        <v>200</v>
      </c>
      <c r="D86" s="32" t="s">
        <v>201</v>
      </c>
      <c r="E86" s="32">
        <v>87849</v>
      </c>
      <c r="F86" s="32" t="s">
        <v>26</v>
      </c>
      <c r="G86" s="32" t="s">
        <v>51</v>
      </c>
      <c r="H86" s="34">
        <f>IFERROR(INDEX(Linha!$B$5:$B$788,MATCH(A86,Linha!$A$5:$A$788,0)),"NÃO CADASTRADO")</f>
      </c>
      <c r="I86" s="34">
        <f>IFERROR(INDEX(Linha!$C$5:$C$788,MATCH(A86,Linha!$A$5:$A$788,0)),"-")</f>
      </c>
      <c r="J86" s="35">
        <v>144</v>
      </c>
      <c r="K86" s="36">
        <f>IFERROR(INDEX(Linha!$D$5:$D$788,MATCH(A86,Linha!$A$5:$A$788,0))*1,0)</f>
      </c>
      <c r="L86" s="36">
        <f>SUMIFS(Reservas!$K$5:$K$3669,Reservas!$A$5:$A$3669,A86)</f>
      </c>
      <c r="M86" s="37">
        <f>J86-L86</f>
      </c>
      <c r="N86" s="38">
        <v>39.468</v>
      </c>
      <c r="O86" s="37">
        <f>J86*N86</f>
      </c>
      <c r="P86" s="37">
        <f>L86*N86</f>
      </c>
      <c r="Q86" s="39">
        <v>170.66076693</v>
      </c>
      <c r="R86" s="40">
        <f>J86*Q86</f>
      </c>
      <c r="S86" s="40">
        <f>L86*Q86</f>
      </c>
      <c r="T86" s="41">
        <f>IF(J86=0,0,L86/J86)</f>
      </c>
      <c r="U86" s="42">
        <f>IFERROR(INDEX(Paletes!$C$5:$C$393,MATCH(B86,Paletes!$A$5:$A$393,0)),"SEM CADASTRO")</f>
      </c>
      <c r="V86" s="36">
        <f>IFERROR(INDEX(Paletes!$D$5:$D$393,MATCH(B86,Paletes!$A$5:$A$393,0)),0)</f>
      </c>
      <c r="W86" s="43">
        <f>IF(V86=0,0,J86/V86)</f>
      </c>
      <c r="X86" s="43">
        <f>IF(V86=0,0,MAX(M86,0)/V86)</f>
      </c>
    </row>
    <row r="87" spans="1:24" x14ac:dyDescent="0.25">
      <c r="A87" s="20" t="str">
        <f>B87&amp;"."&amp;IFERROR(MID(D87,FIND("(",D87)+1,FIND(")",D87)-FIND("(",D87)-1),"")</f>
        <v>73547.15890</v>
      </c>
      <c r="B87" s="21">
        <v>73547</v>
      </c>
      <c r="C87" s="20" t="s">
        <v>202</v>
      </c>
      <c r="D87" s="20" t="s">
        <v>203</v>
      </c>
      <c r="E87" s="20">
        <v>88033</v>
      </c>
      <c r="F87" s="20" t="s">
        <v>25</v>
      </c>
      <c r="G87" s="20" t="s">
        <v>51</v>
      </c>
      <c r="H87" s="22">
        <f>IFERROR(INDEX(Linha!$B$5:$B$788,MATCH(A87,Linha!$A$5:$A$788,0)),"NÃO CADASTRADO")</f>
      </c>
      <c r="I87" s="22">
        <f>IFERROR(INDEX(Linha!$C$5:$C$788,MATCH(A87,Linha!$A$5:$A$788,0)),"-")</f>
      </c>
      <c r="J87" s="23">
        <v>72</v>
      </c>
      <c r="K87" s="24">
        <f>IFERROR(INDEX(Linha!$D$5:$D$788,MATCH(A87,Linha!$A$5:$A$788,0))*1,0)</f>
      </c>
      <c r="L87" s="24">
        <f>SUMIFS(Reservas!$K$5:$K$3669,Reservas!$A$5:$A$3669,A87)</f>
      </c>
      <c r="M87" s="25">
        <f>J87-L87</f>
      </c>
      <c r="N87" s="26">
        <v>11.115</v>
      </c>
      <c r="O87" s="25">
        <f>J87*N87</f>
      </c>
      <c r="P87" s="25">
        <f>L87*N87</f>
      </c>
      <c r="Q87" s="27">
        <v>60.67572703</v>
      </c>
      <c r="R87" s="28">
        <f>J87*Q87</f>
      </c>
      <c r="S87" s="28">
        <f>L87*Q87</f>
      </c>
      <c r="T87" s="29">
        <f>IF(J87=0,0,L87/J87)</f>
      </c>
      <c r="U87" s="30">
        <f>IFERROR(INDEX(Paletes!$C$5:$C$393,MATCH(B87,Paletes!$A$5:$A$393,0)),"SEM CADASTRO")</f>
      </c>
      <c r="V87" s="24">
        <f>IFERROR(INDEX(Paletes!$D$5:$D$393,MATCH(B87,Paletes!$A$5:$A$393,0)),0)</f>
      </c>
      <c r="W87" s="31">
        <f>IF(V87=0,0,J87/V87)</f>
      </c>
      <c r="X87" s="31">
        <f>IF(V87=0,0,MAX(M87,0)/V87)</f>
      </c>
    </row>
    <row r="88" spans="1:24" x14ac:dyDescent="0.25">
      <c r="A88" s="32" t="str">
        <f>B88&amp;"."&amp;IFERROR(MID(D88,FIND("(",D88)+1,FIND(")",D88)-FIND("(",D88)-1),"")</f>
        <v>73547.15886</v>
      </c>
      <c r="B88" s="33">
        <v>73547</v>
      </c>
      <c r="C88" s="32" t="s">
        <v>202</v>
      </c>
      <c r="D88" s="32" t="s">
        <v>204</v>
      </c>
      <c r="E88" s="32">
        <v>88033</v>
      </c>
      <c r="F88" s="32" t="s">
        <v>25</v>
      </c>
      <c r="G88" s="32" t="s">
        <v>51</v>
      </c>
      <c r="H88" s="34">
        <f>IFERROR(INDEX(Linha!$B$5:$B$788,MATCH(A88,Linha!$A$5:$A$788,0)),"NÃO CADASTRADO")</f>
      </c>
      <c r="I88" s="34">
        <f>IFERROR(INDEX(Linha!$C$5:$C$788,MATCH(A88,Linha!$A$5:$A$788,0)),"-")</f>
      </c>
      <c r="J88" s="35">
        <v>31</v>
      </c>
      <c r="K88" s="36">
        <f>IFERROR(INDEX(Linha!$D$5:$D$788,MATCH(A88,Linha!$A$5:$A$788,0))*1,0)</f>
      </c>
      <c r="L88" s="36">
        <f>SUMIFS(Reservas!$K$5:$K$3669,Reservas!$A$5:$A$3669,A88)</f>
      </c>
      <c r="M88" s="37">
        <f>J88-L88</f>
      </c>
      <c r="N88" s="38">
        <v>11.115</v>
      </c>
      <c r="O88" s="37">
        <f>J88*N88</f>
      </c>
      <c r="P88" s="37">
        <f>L88*N88</f>
      </c>
      <c r="Q88" s="39">
        <v>65.72806638</v>
      </c>
      <c r="R88" s="40">
        <f>J88*Q88</f>
      </c>
      <c r="S88" s="40">
        <f>L88*Q88</f>
      </c>
      <c r="T88" s="41">
        <f>IF(J88=0,0,L88/J88)</f>
      </c>
      <c r="U88" s="42">
        <f>IFERROR(INDEX(Paletes!$C$5:$C$393,MATCH(B88,Paletes!$A$5:$A$393,0)),"SEM CADASTRO")</f>
      </c>
      <c r="V88" s="36">
        <f>IFERROR(INDEX(Paletes!$D$5:$D$393,MATCH(B88,Paletes!$A$5:$A$393,0)),0)</f>
      </c>
      <c r="W88" s="43">
        <f>IF(V88=0,0,J88/V88)</f>
      </c>
      <c r="X88" s="43">
        <f>IF(V88=0,0,MAX(M88,0)/V88)</f>
      </c>
    </row>
    <row r="89" spans="1:24" x14ac:dyDescent="0.25">
      <c r="A89" s="20" t="str">
        <f>B89&amp;"."&amp;IFERROR(MID(D89,FIND("(",D89)+1,FIND(")",D89)-FIND("(",D89)-1),"")</f>
        <v>72567.13294</v>
      </c>
      <c r="B89" s="21">
        <v>72567</v>
      </c>
      <c r="C89" s="20" t="s">
        <v>205</v>
      </c>
      <c r="D89" s="20" t="s">
        <v>206</v>
      </c>
      <c r="E89" s="20">
        <v>88120</v>
      </c>
      <c r="F89" s="20" t="s">
        <v>26</v>
      </c>
      <c r="G89" s="20" t="s">
        <v>51</v>
      </c>
      <c r="H89" s="22">
        <f>IFERROR(INDEX(Linha!$B$5:$B$788,MATCH(A89,Linha!$A$5:$A$788,0)),"NÃO CADASTRADO")</f>
      </c>
      <c r="I89" s="22">
        <f>IFERROR(INDEX(Linha!$C$5:$C$788,MATCH(A89,Linha!$A$5:$A$788,0)),"-")</f>
      </c>
      <c r="J89" s="23">
        <v>248</v>
      </c>
      <c r="K89" s="24">
        <f>IFERROR(INDEX(Linha!$D$5:$D$788,MATCH(A89,Linha!$A$5:$A$788,0))*1,0)</f>
      </c>
      <c r="L89" s="24">
        <f>SUMIFS(Reservas!$K$5:$K$3669,Reservas!$A$5:$A$3669,A89)</f>
      </c>
      <c r="M89" s="25">
        <f>J89-L89</f>
      </c>
      <c r="N89" s="26">
        <v>32.66</v>
      </c>
      <c r="O89" s="25">
        <f>J89*N89</f>
      </c>
      <c r="P89" s="25">
        <f>L89*N89</f>
      </c>
      <c r="Q89" s="27">
        <v>138.04817152</v>
      </c>
      <c r="R89" s="28">
        <f>J89*Q89</f>
      </c>
      <c r="S89" s="28">
        <f>L89*Q89</f>
      </c>
      <c r="T89" s="29">
        <f>IF(J89=0,0,L89/J89)</f>
      </c>
      <c r="U89" s="30">
        <f>IFERROR(INDEX(Paletes!$C$5:$C$393,MATCH(B89,Paletes!$A$5:$A$393,0)),"SEM CADASTRO")</f>
      </c>
      <c r="V89" s="24">
        <f>IFERROR(INDEX(Paletes!$D$5:$D$393,MATCH(B89,Paletes!$A$5:$A$393,0)),0)</f>
      </c>
      <c r="W89" s="31">
        <f>IF(V89=0,0,J89/V89)</f>
      </c>
      <c r="X89" s="31">
        <f>IF(V89=0,0,MAX(M89,0)/V89)</f>
      </c>
    </row>
    <row r="90" spans="1:24" x14ac:dyDescent="0.25">
      <c r="A90" s="32" t="str">
        <f>B90&amp;"."&amp;IFERROR(MID(D90,FIND("(",D90)+1,FIND(")",D90)-FIND("(",D90)-1),"")</f>
        <v>2308.15700</v>
      </c>
      <c r="B90" s="33">
        <v>2308</v>
      </c>
      <c r="C90" s="32" t="s">
        <v>207</v>
      </c>
      <c r="D90" s="32" t="s">
        <v>208</v>
      </c>
      <c r="E90" s="32">
        <v>89001</v>
      </c>
      <c r="F90" s="32" t="s">
        <v>23</v>
      </c>
      <c r="G90" s="32" t="s">
        <v>51</v>
      </c>
      <c r="H90" s="34">
        <f>IFERROR(INDEX(Linha!$B$5:$B$788,MATCH(A90,Linha!$A$5:$A$788,0)),"NÃO CADASTRADO")</f>
      </c>
      <c r="I90" s="34">
        <f>IFERROR(INDEX(Linha!$C$5:$C$788,MATCH(A90,Linha!$A$5:$A$788,0)),"-")</f>
      </c>
      <c r="J90" s="35">
        <v>53</v>
      </c>
      <c r="K90" s="36">
        <f>IFERROR(INDEX(Linha!$D$5:$D$788,MATCH(A90,Linha!$A$5:$A$788,0))*1,0)</f>
      </c>
      <c r="L90" s="36">
        <f>SUMIFS(Reservas!$K$5:$K$3669,Reservas!$A$5:$A$3669,A90)</f>
      </c>
      <c r="M90" s="37">
        <f>J90-L90</f>
      </c>
      <c r="N90" s="38">
        <v>0.702</v>
      </c>
      <c r="O90" s="37">
        <f>J90*N90</f>
      </c>
      <c r="P90" s="37">
        <f>L90*N90</f>
      </c>
      <c r="Q90" s="39">
        <v>48.79709267</v>
      </c>
      <c r="R90" s="40">
        <f>J90*Q90</f>
      </c>
      <c r="S90" s="40">
        <f>L90*Q90</f>
      </c>
      <c r="T90" s="41">
        <f>IF(J90=0,0,L90/J90)</f>
      </c>
      <c r="U90" s="42">
        <f>IFERROR(INDEX(Paletes!$C$5:$C$393,MATCH(B90,Paletes!$A$5:$A$393,0)),"SEM CADASTRO")</f>
      </c>
      <c r="V90" s="36">
        <f>IFERROR(INDEX(Paletes!$D$5:$D$393,MATCH(B90,Paletes!$A$5:$A$393,0)),0)</f>
      </c>
      <c r="W90" s="43">
        <f>IF(V90=0,0,J90/V90)</f>
      </c>
      <c r="X90" s="43">
        <f>IF(V90=0,0,MAX(M90,0)/V90)</f>
      </c>
    </row>
    <row r="91" spans="1:24" x14ac:dyDescent="0.25">
      <c r="A91" s="20" t="str">
        <f>B91&amp;"."&amp;IFERROR(MID(D91,FIND("(",D91)+1,FIND(")",D91)-FIND("(",D91)-1),"")</f>
        <v>87562.93214</v>
      </c>
      <c r="B91" s="21">
        <v>87562</v>
      </c>
      <c r="C91" s="20" t="s">
        <v>209</v>
      </c>
      <c r="D91" s="20" t="s">
        <v>210</v>
      </c>
      <c r="E91" s="20">
        <v>105092</v>
      </c>
      <c r="F91" s="20" t="s">
        <v>26</v>
      </c>
      <c r="G91" s="20" t="s">
        <v>51</v>
      </c>
      <c r="H91" s="22">
        <f>IFERROR(INDEX(Linha!$B$5:$B$788,MATCH(A91,Linha!$A$5:$A$788,0)),"NÃO CADASTRADO")</f>
      </c>
      <c r="I91" s="22">
        <f>IFERROR(INDEX(Linha!$C$5:$C$788,MATCH(A91,Linha!$A$5:$A$788,0)),"-")</f>
      </c>
      <c r="J91" s="23">
        <v>32</v>
      </c>
      <c r="K91" s="24">
        <f>IFERROR(INDEX(Linha!$D$5:$D$788,MATCH(A91,Linha!$A$5:$A$788,0))*1,0)</f>
      </c>
      <c r="L91" s="24">
        <f>SUMIFS(Reservas!$K$5:$K$3669,Reservas!$A$5:$A$3669,A91)</f>
      </c>
      <c r="M91" s="25">
        <f>J91-L91</f>
      </c>
      <c r="N91" s="26">
        <v>61.425</v>
      </c>
      <c r="O91" s="25">
        <f>J91*N91</f>
      </c>
      <c r="P91" s="25">
        <f>L91*N91</f>
      </c>
      <c r="Q91" s="27">
        <v>210.3206201</v>
      </c>
      <c r="R91" s="28">
        <f>J91*Q91</f>
      </c>
      <c r="S91" s="28">
        <f>L91*Q91</f>
      </c>
      <c r="T91" s="29">
        <f>IF(J91=0,0,L91/J91)</f>
      </c>
      <c r="U91" s="30">
        <f>IFERROR(INDEX(Paletes!$C$5:$C$393,MATCH(B91,Paletes!$A$5:$A$393,0)),"SEM CADASTRO")</f>
      </c>
      <c r="V91" s="24">
        <f>IFERROR(INDEX(Paletes!$D$5:$D$393,MATCH(B91,Paletes!$A$5:$A$393,0)),0)</f>
      </c>
      <c r="W91" s="31">
        <f>IF(V91=0,0,J91/V91)</f>
      </c>
      <c r="X91" s="31">
        <f>IF(V91=0,0,MAX(M91,0)/V91)</f>
      </c>
    </row>
    <row r="92" spans="1:24" x14ac:dyDescent="0.25">
      <c r="A92" s="32" t="str">
        <f>B92&amp;"."&amp;IFERROR(MID(D92,FIND("(",D92)+1,FIND(")",D92)-FIND("(",D92)-1),"")</f>
        <v>97299.99826</v>
      </c>
      <c r="B92" s="33">
        <v>97299</v>
      </c>
      <c r="C92" s="32" t="s">
        <v>211</v>
      </c>
      <c r="D92" s="32" t="s">
        <v>212</v>
      </c>
      <c r="E92" s="32" t="s">
        <v>89</v>
      </c>
      <c r="F92" s="32" t="s">
        <v>24</v>
      </c>
      <c r="G92" s="32" t="s">
        <v>51</v>
      </c>
      <c r="H92" s="34">
        <f>IFERROR(INDEX(Linha!$B$5:$B$788,MATCH(A92,Linha!$A$5:$A$788,0)),"NÃO CADASTRADO")</f>
      </c>
      <c r="I92" s="34">
        <f>IFERROR(INDEX(Linha!$C$5:$C$788,MATCH(A92,Linha!$A$5:$A$788,0)),"-")</f>
      </c>
      <c r="J92" s="35">
        <v>0</v>
      </c>
      <c r="K92" s="36">
        <f>IFERROR(INDEX(Linha!$D$5:$D$788,MATCH(A92,Linha!$A$5:$A$788,0))*1,0)</f>
      </c>
      <c r="L92" s="36">
        <f>SUMIFS(Reservas!$K$5:$K$3669,Reservas!$A$5:$A$3669,A92)</f>
      </c>
      <c r="M92" s="37">
        <f>J92-L92</f>
      </c>
      <c r="N92" s="38">
        <v>25.35</v>
      </c>
      <c r="O92" s="37">
        <f>J92*N92</f>
      </c>
      <c r="P92" s="37">
        <f>L92*N92</f>
      </c>
      <c r="Q92" s="39">
        <v>67.55571285</v>
      </c>
      <c r="R92" s="40">
        <f>J92*Q92</f>
      </c>
      <c r="S92" s="40">
        <f>L92*Q92</f>
      </c>
      <c r="T92" s="41">
        <f>IF(J92=0,0,L92/J92)</f>
      </c>
      <c r="U92" s="42">
        <f>IFERROR(INDEX(Paletes!$C$5:$C$393,MATCH(B92,Paletes!$A$5:$A$393,0)),"SEM CADASTRO")</f>
      </c>
      <c r="V92" s="36">
        <f>IFERROR(INDEX(Paletes!$D$5:$D$393,MATCH(B92,Paletes!$A$5:$A$393,0)),0)</f>
      </c>
      <c r="W92" s="43">
        <f>IF(V92=0,0,J92/V92)</f>
      </c>
      <c r="X92" s="43">
        <f>IF(V92=0,0,MAX(M92,0)/V92)</f>
      </c>
    </row>
    <row r="93" spans="1:24" x14ac:dyDescent="0.25">
      <c r="A93" s="20" t="str">
        <f>B93&amp;"."&amp;IFERROR(MID(D93,FIND("(",D93)+1,FIND(")",D93)-FIND("(",D93)-1),"")</f>
        <v>97300.99825</v>
      </c>
      <c r="B93" s="21">
        <v>97300</v>
      </c>
      <c r="C93" s="20" t="s">
        <v>213</v>
      </c>
      <c r="D93" s="20" t="s">
        <v>214</v>
      </c>
      <c r="E93" s="20" t="s">
        <v>89</v>
      </c>
      <c r="F93" s="20" t="s">
        <v>24</v>
      </c>
      <c r="G93" s="20" t="s">
        <v>51</v>
      </c>
      <c r="H93" s="22">
        <f>IFERROR(INDEX(Linha!$B$5:$B$788,MATCH(A93,Linha!$A$5:$A$788,0)),"NÃO CADASTRADO")</f>
      </c>
      <c r="I93" s="22">
        <f>IFERROR(INDEX(Linha!$C$5:$C$788,MATCH(A93,Linha!$A$5:$A$788,0)),"-")</f>
      </c>
      <c r="J93" s="23">
        <v>86</v>
      </c>
      <c r="K93" s="24">
        <f>IFERROR(INDEX(Linha!$D$5:$D$788,MATCH(A93,Linha!$A$5:$A$788,0))*1,0)</f>
      </c>
      <c r="L93" s="24">
        <f>SUMIFS(Reservas!$K$5:$K$3669,Reservas!$A$5:$A$3669,A93)</f>
      </c>
      <c r="M93" s="25">
        <f>J93-L93</f>
      </c>
      <c r="N93" s="26">
        <v>12.96</v>
      </c>
      <c r="O93" s="25">
        <f>J93*N93</f>
      </c>
      <c r="P93" s="25">
        <f>L93*N93</f>
      </c>
      <c r="Q93" s="27">
        <v>48.52595657</v>
      </c>
      <c r="R93" s="28">
        <f>J93*Q93</f>
      </c>
      <c r="S93" s="28">
        <f>L93*Q93</f>
      </c>
      <c r="T93" s="29">
        <f>IF(J93=0,0,L93/J93)</f>
      </c>
      <c r="U93" s="30">
        <f>IFERROR(INDEX(Paletes!$C$5:$C$393,MATCH(B93,Paletes!$A$5:$A$393,0)),"SEM CADASTRO")</f>
      </c>
      <c r="V93" s="24">
        <f>IFERROR(INDEX(Paletes!$D$5:$D$393,MATCH(B93,Paletes!$A$5:$A$393,0)),0)</f>
      </c>
      <c r="W93" s="31">
        <f>IF(V93=0,0,J93/V93)</f>
      </c>
      <c r="X93" s="31">
        <f>IF(V93=0,0,MAX(M93,0)/V93)</f>
      </c>
    </row>
    <row r="94" spans="1:24" x14ac:dyDescent="0.25">
      <c r="A94" s="32" t="str">
        <f>B94&amp;"."&amp;IFERROR(MID(D94,FIND("(",D94)+1,FIND(")",D94)-FIND("(",D94)-1),"")</f>
        <v>73189.16643</v>
      </c>
      <c r="B94" s="33">
        <v>73189</v>
      </c>
      <c r="C94" s="32" t="s">
        <v>215</v>
      </c>
      <c r="D94" s="32" t="s">
        <v>216</v>
      </c>
      <c r="E94" s="32">
        <v>91018</v>
      </c>
      <c r="F94" s="32" t="s">
        <v>24</v>
      </c>
      <c r="G94" s="32" t="s">
        <v>51</v>
      </c>
      <c r="H94" s="34">
        <f>IFERROR(INDEX(Linha!$B$5:$B$788,MATCH(A94,Linha!$A$5:$A$788,0)),"NÃO CADASTRADO")</f>
      </c>
      <c r="I94" s="34">
        <f>IFERROR(INDEX(Linha!$C$5:$C$788,MATCH(A94,Linha!$A$5:$A$788,0)),"-")</f>
      </c>
      <c r="J94" s="35">
        <v>5</v>
      </c>
      <c r="K94" s="36">
        <f>IFERROR(INDEX(Linha!$D$5:$D$788,MATCH(A94,Linha!$A$5:$A$788,0))*1,0)</f>
      </c>
      <c r="L94" s="36">
        <f>SUMIFS(Reservas!$K$5:$K$3669,Reservas!$A$5:$A$3669,A94)</f>
      </c>
      <c r="M94" s="37">
        <f>J94-L94</f>
      </c>
      <c r="N94" s="38">
        <v>32.175</v>
      </c>
      <c r="O94" s="37">
        <f>J94*N94</f>
      </c>
      <c r="P94" s="37">
        <f>L94*N94</f>
      </c>
      <c r="Q94" s="39">
        <v>146.98803669</v>
      </c>
      <c r="R94" s="40">
        <f>J94*Q94</f>
      </c>
      <c r="S94" s="40">
        <f>L94*Q94</f>
      </c>
      <c r="T94" s="41">
        <f>IF(J94=0,0,L94/J94)</f>
      </c>
      <c r="U94" s="42">
        <f>IFERROR(INDEX(Paletes!$C$5:$C$393,MATCH(B94,Paletes!$A$5:$A$393,0)),"SEM CADASTRO")</f>
      </c>
      <c r="V94" s="36">
        <f>IFERROR(INDEX(Paletes!$D$5:$D$393,MATCH(B94,Paletes!$A$5:$A$393,0)),0)</f>
      </c>
      <c r="W94" s="43">
        <f>IF(V94=0,0,J94/V94)</f>
      </c>
      <c r="X94" s="43">
        <f>IF(V94=0,0,MAX(M94,0)/V94)</f>
      </c>
    </row>
    <row r="95" spans="1:24" x14ac:dyDescent="0.25">
      <c r="A95" s="20" t="str">
        <f>B95&amp;"."&amp;IFERROR(MID(D95,FIND("(",D95)+1,FIND(")",D95)-FIND("(",D95)-1),"")</f>
        <v>77197.13224</v>
      </c>
      <c r="B95" s="21">
        <v>77197</v>
      </c>
      <c r="C95" s="20" t="s">
        <v>217</v>
      </c>
      <c r="D95" s="20" t="s">
        <v>218</v>
      </c>
      <c r="E95" s="20">
        <v>91522</v>
      </c>
      <c r="F95" s="20" t="s">
        <v>26</v>
      </c>
      <c r="G95" s="20" t="s">
        <v>51</v>
      </c>
      <c r="H95" s="22">
        <f>IFERROR(INDEX(Linha!$B$5:$B$788,MATCH(A95,Linha!$A$5:$A$788,0)),"NÃO CADASTRADO")</f>
      </c>
      <c r="I95" s="22">
        <f>IFERROR(INDEX(Linha!$C$5:$C$788,MATCH(A95,Linha!$A$5:$A$788,0)),"-")</f>
      </c>
      <c r="J95" s="23">
        <v>88</v>
      </c>
      <c r="K95" s="24">
        <f>IFERROR(INDEX(Linha!$D$5:$D$788,MATCH(A95,Linha!$A$5:$A$788,0))*1,0)</f>
      </c>
      <c r="L95" s="24">
        <f>SUMIFS(Reservas!$K$5:$K$3669,Reservas!$A$5:$A$3669,A95)</f>
      </c>
      <c r="M95" s="25">
        <f>J95-L95</f>
      </c>
      <c r="N95" s="26">
        <v>28.27</v>
      </c>
      <c r="O95" s="25">
        <f>J95*N95</f>
      </c>
      <c r="P95" s="25">
        <f>L95*N95</f>
      </c>
      <c r="Q95" s="27">
        <v>121.14239032</v>
      </c>
      <c r="R95" s="28">
        <f>J95*Q95</f>
      </c>
      <c r="S95" s="28">
        <f>L95*Q95</f>
      </c>
      <c r="T95" s="29">
        <f>IF(J95=0,0,L95/J95)</f>
      </c>
      <c r="U95" s="30">
        <f>IFERROR(INDEX(Paletes!$C$5:$C$393,MATCH(B95,Paletes!$A$5:$A$393,0)),"SEM CADASTRO")</f>
      </c>
      <c r="V95" s="24">
        <f>IFERROR(INDEX(Paletes!$D$5:$D$393,MATCH(B95,Paletes!$A$5:$A$393,0)),0)</f>
      </c>
      <c r="W95" s="31">
        <f>IF(V95=0,0,J95/V95)</f>
      </c>
      <c r="X95" s="31">
        <f>IF(V95=0,0,MAX(M95,0)/V95)</f>
      </c>
    </row>
    <row r="96" spans="1:24" x14ac:dyDescent="0.25">
      <c r="A96" s="32" t="str">
        <f>B96&amp;"."&amp;IFERROR(MID(D96,FIND("(",D96)+1,FIND(")",D96)-FIND("(",D96)-1),"")</f>
        <v>81935.32027</v>
      </c>
      <c r="B96" s="33">
        <v>81935</v>
      </c>
      <c r="C96" s="32" t="s">
        <v>219</v>
      </c>
      <c r="D96" s="32" t="s">
        <v>220</v>
      </c>
      <c r="E96" s="32">
        <v>93682</v>
      </c>
      <c r="F96" s="32" t="s">
        <v>24</v>
      </c>
      <c r="G96" s="32" t="s">
        <v>51</v>
      </c>
      <c r="H96" s="34">
        <f>IFERROR(INDEX(Linha!$B$5:$B$788,MATCH(A96,Linha!$A$5:$A$788,0)),"NÃO CADASTRADO")</f>
      </c>
      <c r="I96" s="34">
        <f>IFERROR(INDEX(Linha!$C$5:$C$788,MATCH(A96,Linha!$A$5:$A$788,0)),"-")</f>
      </c>
      <c r="J96" s="35">
        <v>3</v>
      </c>
      <c r="K96" s="36">
        <f>IFERROR(INDEX(Linha!$D$5:$D$788,MATCH(A96,Linha!$A$5:$A$788,0))*1,0)</f>
      </c>
      <c r="L96" s="36">
        <f>SUMIFS(Reservas!$K$5:$K$3669,Reservas!$A$5:$A$3669,A96)</f>
      </c>
      <c r="M96" s="37">
        <f>J96-L96</f>
      </c>
      <c r="N96" s="38">
        <v>36.562</v>
      </c>
      <c r="O96" s="37">
        <f>J96*N96</f>
      </c>
      <c r="P96" s="37">
        <f>L96*N96</f>
      </c>
      <c r="Q96" s="39">
        <v>171.84235504</v>
      </c>
      <c r="R96" s="40">
        <f>J96*Q96</f>
      </c>
      <c r="S96" s="40">
        <f>L96*Q96</f>
      </c>
      <c r="T96" s="41">
        <f>IF(J96=0,0,L96/J96)</f>
      </c>
      <c r="U96" s="42">
        <f>IFERROR(INDEX(Paletes!$C$5:$C$393,MATCH(B96,Paletes!$A$5:$A$393,0)),"SEM CADASTRO")</f>
      </c>
      <c r="V96" s="36">
        <f>IFERROR(INDEX(Paletes!$D$5:$D$393,MATCH(B96,Paletes!$A$5:$A$393,0)),0)</f>
      </c>
      <c r="W96" s="43">
        <f>IF(V96=0,0,J96/V96)</f>
      </c>
      <c r="X96" s="43">
        <f>IF(V96=0,0,MAX(M96,0)/V96)</f>
      </c>
    </row>
    <row r="97" spans="1:24" x14ac:dyDescent="0.25">
      <c r="A97" s="20" t="str">
        <f>B97&amp;"."&amp;IFERROR(MID(D97,FIND("(",D97)+1,FIND(")",D97)-FIND("(",D97)-1),"")</f>
        <v>84911.31287</v>
      </c>
      <c r="B97" s="21">
        <v>84911</v>
      </c>
      <c r="C97" s="20" t="s">
        <v>49</v>
      </c>
      <c r="D97" s="20" t="s">
        <v>221</v>
      </c>
      <c r="E97" s="20">
        <v>96437</v>
      </c>
      <c r="F97" s="20" t="s">
        <v>24</v>
      </c>
      <c r="G97" s="20" t="s">
        <v>51</v>
      </c>
      <c r="H97" s="22">
        <f>IFERROR(INDEX(Linha!$B$5:$B$788,MATCH(A97,Linha!$A$5:$A$788,0)),"NÃO CADASTRADO")</f>
      </c>
      <c r="I97" s="22">
        <f>IFERROR(INDEX(Linha!$C$5:$C$788,MATCH(A97,Linha!$A$5:$A$788,0)),"-")</f>
      </c>
      <c r="J97" s="23">
        <v>50</v>
      </c>
      <c r="K97" s="24">
        <f>IFERROR(INDEX(Linha!$D$5:$D$788,MATCH(A97,Linha!$A$5:$A$788,0))*1,0)</f>
      </c>
      <c r="L97" s="24">
        <f>SUMIFS(Reservas!$K$5:$K$3669,Reservas!$A$5:$A$3669,A97)</f>
      </c>
      <c r="M97" s="25">
        <f>J97-L97</f>
      </c>
      <c r="N97" s="26">
        <v>34.222</v>
      </c>
      <c r="O97" s="25">
        <f>J97*N97</f>
      </c>
      <c r="P97" s="25">
        <f>L97*N97</f>
      </c>
      <c r="Q97" s="27">
        <v>149.87468665</v>
      </c>
      <c r="R97" s="28">
        <f>J97*Q97</f>
      </c>
      <c r="S97" s="28">
        <f>L97*Q97</f>
      </c>
      <c r="T97" s="29">
        <f>IF(J97=0,0,L97/J97)</f>
      </c>
      <c r="U97" s="30">
        <f>IFERROR(INDEX(Paletes!$C$5:$C$393,MATCH(B97,Paletes!$A$5:$A$393,0)),"SEM CADASTRO")</f>
      </c>
      <c r="V97" s="24">
        <f>IFERROR(INDEX(Paletes!$D$5:$D$393,MATCH(B97,Paletes!$A$5:$A$393,0)),0)</f>
      </c>
      <c r="W97" s="31">
        <f>IF(V97=0,0,J97/V97)</f>
      </c>
      <c r="X97" s="31">
        <f>IF(V97=0,0,MAX(M97,0)/V97)</f>
      </c>
    </row>
    <row r="98" spans="1:24" x14ac:dyDescent="0.25">
      <c r="A98" s="32" t="str">
        <f>B98&amp;"."&amp;IFERROR(MID(D98,FIND("(",D98)+1,FIND(")",D98)-FIND("(",D98)-1),"")</f>
        <v>84901.31284</v>
      </c>
      <c r="B98" s="33">
        <v>84901</v>
      </c>
      <c r="C98" s="32" t="s">
        <v>52</v>
      </c>
      <c r="D98" s="32" t="s">
        <v>222</v>
      </c>
      <c r="E98" s="32">
        <v>96436</v>
      </c>
      <c r="F98" s="32" t="s">
        <v>24</v>
      </c>
      <c r="G98" s="32" t="s">
        <v>51</v>
      </c>
      <c r="H98" s="34">
        <f>IFERROR(INDEX(Linha!$B$5:$B$788,MATCH(A98,Linha!$A$5:$A$788,0)),"NÃO CADASTRADO")</f>
      </c>
      <c r="I98" s="34">
        <f>IFERROR(INDEX(Linha!$C$5:$C$788,MATCH(A98,Linha!$A$5:$A$788,0)),"-")</f>
      </c>
      <c r="J98" s="35">
        <v>180</v>
      </c>
      <c r="K98" s="36">
        <f>IFERROR(INDEX(Linha!$D$5:$D$788,MATCH(A98,Linha!$A$5:$A$788,0))*1,0)</f>
      </c>
      <c r="L98" s="36">
        <f>SUMIFS(Reservas!$K$5:$K$3669,Reservas!$A$5:$A$3669,A98)</f>
      </c>
      <c r="M98" s="37">
        <f>J98-L98</f>
      </c>
      <c r="N98" s="38">
        <v>36.66</v>
      </c>
      <c r="O98" s="37">
        <f>J98*N98</f>
      </c>
      <c r="P98" s="37">
        <f>L98*N98</f>
      </c>
      <c r="Q98" s="39">
        <v>182.66424846</v>
      </c>
      <c r="R98" s="40">
        <f>J98*Q98</f>
      </c>
      <c r="S98" s="40">
        <f>L98*Q98</f>
      </c>
      <c r="T98" s="41">
        <f>IF(J98=0,0,L98/J98)</f>
      </c>
      <c r="U98" s="42">
        <f>IFERROR(INDEX(Paletes!$C$5:$C$393,MATCH(B98,Paletes!$A$5:$A$393,0)),"SEM CADASTRO")</f>
      </c>
      <c r="V98" s="36">
        <f>IFERROR(INDEX(Paletes!$D$5:$D$393,MATCH(B98,Paletes!$A$5:$A$393,0)),0)</f>
      </c>
      <c r="W98" s="43">
        <f>IF(V98=0,0,J98/V98)</f>
      </c>
      <c r="X98" s="43">
        <f>IF(V98=0,0,MAX(M98,0)/V98)</f>
      </c>
    </row>
    <row r="99" spans="1:24" x14ac:dyDescent="0.25">
      <c r="A99" s="20" t="str">
        <f>B99&amp;"."&amp;IFERROR(MID(D99,FIND("(",D99)+1,FIND(")",D99)-FIND("(",D99)-1),"")</f>
        <v>84773.30615</v>
      </c>
      <c r="B99" s="21">
        <v>84773</v>
      </c>
      <c r="C99" s="20" t="s">
        <v>223</v>
      </c>
      <c r="D99" s="20" t="s">
        <v>224</v>
      </c>
      <c r="E99" s="20">
        <v>96503</v>
      </c>
      <c r="F99" s="20" t="s">
        <v>26</v>
      </c>
      <c r="G99" s="20" t="s">
        <v>51</v>
      </c>
      <c r="H99" s="22">
        <f>IFERROR(INDEX(Linha!$B$5:$B$788,MATCH(A99,Linha!$A$5:$A$788,0)),"NÃO CADASTRADO")</f>
      </c>
      <c r="I99" s="22">
        <f>IFERROR(INDEX(Linha!$C$5:$C$788,MATCH(A99,Linha!$A$5:$A$788,0)),"-")</f>
      </c>
      <c r="J99" s="23">
        <v>69</v>
      </c>
      <c r="K99" s="24">
        <f>IFERROR(INDEX(Linha!$D$5:$D$788,MATCH(A99,Linha!$A$5:$A$788,0))*1,0)</f>
      </c>
      <c r="L99" s="24">
        <f>SUMIFS(Reservas!$K$5:$K$3669,Reservas!$A$5:$A$3669,A99)</f>
      </c>
      <c r="M99" s="25">
        <f>J99-L99</f>
      </c>
      <c r="N99" s="26">
        <v>33.978</v>
      </c>
      <c r="O99" s="25">
        <f>J99*N99</f>
      </c>
      <c r="P99" s="25">
        <f>L99*N99</f>
      </c>
      <c r="Q99" s="27">
        <v>117.6150539</v>
      </c>
      <c r="R99" s="28">
        <f>J99*Q99</f>
      </c>
      <c r="S99" s="28">
        <f>L99*Q99</f>
      </c>
      <c r="T99" s="29">
        <f>IF(J99=0,0,L99/J99)</f>
      </c>
      <c r="U99" s="30">
        <f>IFERROR(INDEX(Paletes!$C$5:$C$393,MATCH(B99,Paletes!$A$5:$A$393,0)),"SEM CADASTRO")</f>
      </c>
      <c r="V99" s="24">
        <f>IFERROR(INDEX(Paletes!$D$5:$D$393,MATCH(B99,Paletes!$A$5:$A$393,0)),0)</f>
      </c>
      <c r="W99" s="31">
        <f>IF(V99=0,0,J99/V99)</f>
      </c>
      <c r="X99" s="31">
        <f>IF(V99=0,0,MAX(M99,0)/V99)</f>
      </c>
    </row>
    <row r="100" spans="1:24" x14ac:dyDescent="0.25">
      <c r="A100" s="32" t="str">
        <f>B100&amp;"."&amp;IFERROR(MID(D100,FIND("(",D100)+1,FIND(")",D100)-FIND("(",D100)-1),"")</f>
        <v>85436.46143</v>
      </c>
      <c r="B100" s="33">
        <v>85436</v>
      </c>
      <c r="C100" s="32" t="s">
        <v>225</v>
      </c>
      <c r="D100" s="32" t="s">
        <v>226</v>
      </c>
      <c r="E100" s="32">
        <v>97774</v>
      </c>
      <c r="F100" s="32" t="s">
        <v>25</v>
      </c>
      <c r="G100" s="32" t="s">
        <v>51</v>
      </c>
      <c r="H100" s="34">
        <f>IFERROR(INDEX(Linha!$B$5:$B$788,MATCH(A100,Linha!$A$5:$A$788,0)),"NÃO CADASTRADO")</f>
      </c>
      <c r="I100" s="34">
        <f>IFERROR(INDEX(Linha!$C$5:$C$788,MATCH(A100,Linha!$A$5:$A$788,0)),"-")</f>
      </c>
      <c r="J100" s="35">
        <v>150</v>
      </c>
      <c r="K100" s="36">
        <f>IFERROR(INDEX(Linha!$D$5:$D$788,MATCH(A100,Linha!$A$5:$A$788,0))*1,0)</f>
      </c>
      <c r="L100" s="36">
        <f>SUMIFS(Reservas!$K$5:$K$3669,Reservas!$A$5:$A$3669,A100)</f>
      </c>
      <c r="M100" s="37">
        <f>J100-L100</f>
      </c>
      <c r="N100" s="38">
        <v>18.183</v>
      </c>
      <c r="O100" s="37">
        <f>J100*N100</f>
      </c>
      <c r="P100" s="37">
        <f>L100*N100</f>
      </c>
      <c r="Q100" s="39">
        <v>128.2312884</v>
      </c>
      <c r="R100" s="40">
        <f>J100*Q100</f>
      </c>
      <c r="S100" s="40">
        <f>L100*Q100</f>
      </c>
      <c r="T100" s="41">
        <f>IF(J100=0,0,L100/J100)</f>
      </c>
      <c r="U100" s="42">
        <f>IFERROR(INDEX(Paletes!$C$5:$C$393,MATCH(B100,Paletes!$A$5:$A$393,0)),"SEM CADASTRO")</f>
      </c>
      <c r="V100" s="36">
        <f>IFERROR(INDEX(Paletes!$D$5:$D$393,MATCH(B100,Paletes!$A$5:$A$393,0)),0)</f>
      </c>
      <c r="W100" s="43">
        <f>IF(V100=0,0,J100/V100)</f>
      </c>
      <c r="X100" s="43">
        <f>IF(V100=0,0,MAX(M100,0)/V100)</f>
      </c>
    </row>
    <row r="101" spans="1:24" x14ac:dyDescent="0.25">
      <c r="A101" s="20" t="str">
        <f>B101&amp;"."&amp;IFERROR(MID(D101,FIND("(",D101)+1,FIND(")",D101)-FIND("(",D101)-1),"")</f>
        <v>86324.69481</v>
      </c>
      <c r="B101" s="21">
        <v>86324</v>
      </c>
      <c r="C101" s="20" t="s">
        <v>56</v>
      </c>
      <c r="D101" s="20" t="s">
        <v>227</v>
      </c>
      <c r="E101" s="20">
        <v>100435</v>
      </c>
      <c r="F101" s="20" t="s">
        <v>26</v>
      </c>
      <c r="G101" s="20" t="s">
        <v>51</v>
      </c>
      <c r="H101" s="22">
        <f>IFERROR(INDEX(Linha!$B$5:$B$788,MATCH(A101,Linha!$A$5:$A$788,0)),"NÃO CADASTRADO")</f>
      </c>
      <c r="I101" s="22">
        <f>IFERROR(INDEX(Linha!$C$5:$C$788,MATCH(A101,Linha!$A$5:$A$788,0)),"-")</f>
      </c>
      <c r="J101" s="23">
        <v>250</v>
      </c>
      <c r="K101" s="24">
        <f>IFERROR(INDEX(Linha!$D$5:$D$788,MATCH(A101,Linha!$A$5:$A$788,0))*1,0)</f>
      </c>
      <c r="L101" s="24">
        <f>SUMIFS(Reservas!$K$5:$K$3669,Reservas!$A$5:$A$3669,A101)</f>
      </c>
      <c r="M101" s="25">
        <f>J101-L101</f>
      </c>
      <c r="N101" s="26">
        <v>15.161</v>
      </c>
      <c r="O101" s="25">
        <f>J101*N101</f>
      </c>
      <c r="P101" s="25">
        <f>L101*N101</f>
      </c>
      <c r="Q101" s="27">
        <v>70.83044821</v>
      </c>
      <c r="R101" s="28">
        <f>J101*Q101</f>
      </c>
      <c r="S101" s="28">
        <f>L101*Q101</f>
      </c>
      <c r="T101" s="29">
        <f>IF(J101=0,0,L101/J101)</f>
      </c>
      <c r="U101" s="30">
        <f>IFERROR(INDEX(Paletes!$C$5:$C$393,MATCH(B101,Paletes!$A$5:$A$393,0)),"SEM CADASTRO")</f>
      </c>
      <c r="V101" s="24">
        <f>IFERROR(INDEX(Paletes!$D$5:$D$393,MATCH(B101,Paletes!$A$5:$A$393,0)),0)</f>
      </c>
      <c r="W101" s="31">
        <f>IF(V101=0,0,J101/V101)</f>
      </c>
      <c r="X101" s="31">
        <f>IF(V101=0,0,MAX(M101,0)/V101)</f>
      </c>
    </row>
    <row r="102" spans="1:24" x14ac:dyDescent="0.25">
      <c r="A102" s="32" t="str">
        <f>B102&amp;"."&amp;IFERROR(MID(D102,FIND("(",D102)+1,FIND(")",D102)-FIND("(",D102)-1),"")</f>
        <v>73081.15967</v>
      </c>
      <c r="B102" s="33">
        <v>73081</v>
      </c>
      <c r="C102" s="32" t="s">
        <v>228</v>
      </c>
      <c r="D102" s="32" t="s">
        <v>229</v>
      </c>
      <c r="E102" s="32">
        <v>40559</v>
      </c>
      <c r="F102" s="32" t="s">
        <v>24</v>
      </c>
      <c r="G102" s="32" t="s">
        <v>51</v>
      </c>
      <c r="H102" s="34">
        <f>IFERROR(INDEX(Linha!$B$5:$B$788,MATCH(A102,Linha!$A$5:$A$788,0)),"NÃO CADASTRADO")</f>
      </c>
      <c r="I102" s="34">
        <f>IFERROR(INDEX(Linha!$C$5:$C$788,MATCH(A102,Linha!$A$5:$A$788,0)),"-")</f>
      </c>
      <c r="J102" s="35">
        <v>54</v>
      </c>
      <c r="K102" s="36">
        <f>IFERROR(INDEX(Linha!$D$5:$D$788,MATCH(A102,Linha!$A$5:$A$788,0))*1,0)</f>
      </c>
      <c r="L102" s="36">
        <f>SUMIFS(Reservas!$K$5:$K$3669,Reservas!$A$5:$A$3669,A102)</f>
      </c>
      <c r="M102" s="37">
        <f>J102-L102</f>
      </c>
      <c r="N102" s="38">
        <v>18.78</v>
      </c>
      <c r="O102" s="37">
        <f>J102*N102</f>
      </c>
      <c r="P102" s="37">
        <f>L102*N102</f>
      </c>
      <c r="Q102" s="39">
        <v>128.1880713</v>
      </c>
      <c r="R102" s="40">
        <f>J102*Q102</f>
      </c>
      <c r="S102" s="40">
        <f>L102*Q102</f>
      </c>
      <c r="T102" s="41">
        <f>IF(J102=0,0,L102/J102)</f>
      </c>
      <c r="U102" s="42">
        <f>IFERROR(INDEX(Paletes!$C$5:$C$393,MATCH(B102,Paletes!$A$5:$A$393,0)),"SEM CADASTRO")</f>
      </c>
      <c r="V102" s="36">
        <f>IFERROR(INDEX(Paletes!$D$5:$D$393,MATCH(B102,Paletes!$A$5:$A$393,0)),0)</f>
      </c>
      <c r="W102" s="43">
        <f>IF(V102=0,0,J102/V102)</f>
      </c>
      <c r="X102" s="43">
        <f>IF(V102=0,0,MAX(M102,0)/V102)</f>
      </c>
    </row>
    <row r="103" spans="1:24" x14ac:dyDescent="0.25">
      <c r="A103" s="20" t="str">
        <f>B103&amp;"."&amp;IFERROR(MID(D103,FIND("(",D103)+1,FIND(")",D103)-FIND("(",D103)-1),"")</f>
        <v>73176.16193</v>
      </c>
      <c r="B103" s="21">
        <v>73176</v>
      </c>
      <c r="C103" s="20" t="s">
        <v>230</v>
      </c>
      <c r="D103" s="20" t="s">
        <v>231</v>
      </c>
      <c r="E103" s="20">
        <v>40567</v>
      </c>
      <c r="F103" s="20" t="s">
        <v>24</v>
      </c>
      <c r="G103" s="20" t="s">
        <v>51</v>
      </c>
      <c r="H103" s="22">
        <f>IFERROR(INDEX(Linha!$B$5:$B$788,MATCH(A103,Linha!$A$5:$A$788,0)),"NÃO CADASTRADO")</f>
      </c>
      <c r="I103" s="22">
        <f>IFERROR(INDEX(Linha!$C$5:$C$788,MATCH(A103,Linha!$A$5:$A$788,0)),"-")</f>
      </c>
      <c r="J103" s="23">
        <v>58</v>
      </c>
      <c r="K103" s="24">
        <f>IFERROR(INDEX(Linha!$D$5:$D$788,MATCH(A103,Linha!$A$5:$A$788,0))*1,0)</f>
      </c>
      <c r="L103" s="24">
        <f>SUMIFS(Reservas!$K$5:$K$3669,Reservas!$A$5:$A$3669,A103)</f>
      </c>
      <c r="M103" s="25">
        <f>J103-L103</f>
      </c>
      <c r="N103" s="26">
        <v>6.83</v>
      </c>
      <c r="O103" s="25">
        <f>J103*N103</f>
      </c>
      <c r="P103" s="25">
        <f>L103*N103</f>
      </c>
      <c r="Q103" s="27">
        <v>27.09722734</v>
      </c>
      <c r="R103" s="28">
        <f>J103*Q103</f>
      </c>
      <c r="S103" s="28">
        <f>L103*Q103</f>
      </c>
      <c r="T103" s="29">
        <f>IF(J103=0,0,L103/J103)</f>
      </c>
      <c r="U103" s="30">
        <f>IFERROR(INDEX(Paletes!$C$5:$C$393,MATCH(B103,Paletes!$A$5:$A$393,0)),"SEM CADASTRO")</f>
      </c>
      <c r="V103" s="24">
        <f>IFERROR(INDEX(Paletes!$D$5:$D$393,MATCH(B103,Paletes!$A$5:$A$393,0)),0)</f>
      </c>
      <c r="W103" s="31">
        <f>IF(V103=0,0,J103/V103)</f>
      </c>
      <c r="X103" s="31">
        <f>IF(V103=0,0,MAX(M103,0)/V103)</f>
      </c>
    </row>
    <row r="104" spans="1:24" x14ac:dyDescent="0.25">
      <c r="A104" s="32" t="str">
        <f>B104&amp;"."&amp;IFERROR(MID(D104,FIND("(",D104)+1,FIND(")",D104)-FIND("(",D104)-1),"")</f>
        <v>73175.15748</v>
      </c>
      <c r="B104" s="33">
        <v>73175</v>
      </c>
      <c r="C104" s="32" t="s">
        <v>232</v>
      </c>
      <c r="D104" s="32" t="s">
        <v>233</v>
      </c>
      <c r="E104" s="32">
        <v>40568</v>
      </c>
      <c r="F104" s="32" t="s">
        <v>24</v>
      </c>
      <c r="G104" s="32" t="s">
        <v>51</v>
      </c>
      <c r="H104" s="34">
        <f>IFERROR(INDEX(Linha!$B$5:$B$788,MATCH(A104,Linha!$A$5:$A$788,0)),"NÃO CADASTRADO")</f>
      </c>
      <c r="I104" s="34">
        <f>IFERROR(INDEX(Linha!$C$5:$C$788,MATCH(A104,Linha!$A$5:$A$788,0)),"-")</f>
      </c>
      <c r="J104" s="35">
        <v>58</v>
      </c>
      <c r="K104" s="36">
        <f>IFERROR(INDEX(Linha!$D$5:$D$788,MATCH(A104,Linha!$A$5:$A$788,0))*1,0)</f>
      </c>
      <c r="L104" s="36">
        <f>SUMIFS(Reservas!$K$5:$K$3669,Reservas!$A$5:$A$3669,A104)</f>
      </c>
      <c r="M104" s="37">
        <f>J104-L104</f>
      </c>
      <c r="N104" s="38">
        <v>16.09</v>
      </c>
      <c r="O104" s="37">
        <f>J104*N104</f>
      </c>
      <c r="P104" s="37">
        <f>L104*N104</f>
      </c>
      <c r="Q104" s="39">
        <v>116.25197594</v>
      </c>
      <c r="R104" s="40">
        <f>J104*Q104</f>
      </c>
      <c r="S104" s="40">
        <f>L104*Q104</f>
      </c>
      <c r="T104" s="41">
        <f>IF(J104=0,0,L104/J104)</f>
      </c>
      <c r="U104" s="42">
        <f>IFERROR(INDEX(Paletes!$C$5:$C$393,MATCH(B104,Paletes!$A$5:$A$393,0)),"SEM CADASTRO")</f>
      </c>
      <c r="V104" s="36">
        <f>IFERROR(INDEX(Paletes!$D$5:$D$393,MATCH(B104,Paletes!$A$5:$A$393,0)),0)</f>
      </c>
      <c r="W104" s="43">
        <f>IF(V104=0,0,J104/V104)</f>
      </c>
      <c r="X104" s="43">
        <f>IF(V104=0,0,MAX(M104,0)/V104)</f>
      </c>
    </row>
    <row r="105" spans="1:24" x14ac:dyDescent="0.25">
      <c r="A105" s="20" t="str">
        <f>B105&amp;"."&amp;IFERROR(MID(D105,FIND("(",D105)+1,FIND(")",D105)-FIND("(",D105)-1),"")</f>
        <v>73145.23978</v>
      </c>
      <c r="B105" s="21">
        <v>73145</v>
      </c>
      <c r="C105" s="20" t="s">
        <v>63</v>
      </c>
      <c r="D105" s="20" t="s">
        <v>234</v>
      </c>
      <c r="E105" s="20">
        <v>40598</v>
      </c>
      <c r="F105" s="20" t="s">
        <v>24</v>
      </c>
      <c r="G105" s="20" t="s">
        <v>51</v>
      </c>
      <c r="H105" s="22">
        <f>IFERROR(INDEX(Linha!$B$5:$B$788,MATCH(A105,Linha!$A$5:$A$788,0)),"NÃO CADASTRADO")</f>
      </c>
      <c r="I105" s="22">
        <f>IFERROR(INDEX(Linha!$C$5:$C$788,MATCH(A105,Linha!$A$5:$A$788,0)),"-")</f>
      </c>
      <c r="J105" s="23">
        <v>319</v>
      </c>
      <c r="K105" s="24">
        <f>IFERROR(INDEX(Linha!$D$5:$D$788,MATCH(A105,Linha!$A$5:$A$788,0))*1,0)</f>
      </c>
      <c r="L105" s="24">
        <f>SUMIFS(Reservas!$K$5:$K$3669,Reservas!$A$5:$A$3669,A105)</f>
      </c>
      <c r="M105" s="25">
        <f>J105-L105</f>
      </c>
      <c r="N105" s="26">
        <v>17.16</v>
      </c>
      <c r="O105" s="25">
        <f>J105*N105</f>
      </c>
      <c r="P105" s="25">
        <f>L105*N105</f>
      </c>
      <c r="Q105" s="27">
        <v>89.15134644</v>
      </c>
      <c r="R105" s="28">
        <f>J105*Q105</f>
      </c>
      <c r="S105" s="28">
        <f>L105*Q105</f>
      </c>
      <c r="T105" s="29">
        <f>IF(J105=0,0,L105/J105)</f>
      </c>
      <c r="U105" s="30">
        <f>IFERROR(INDEX(Paletes!$C$5:$C$393,MATCH(B105,Paletes!$A$5:$A$393,0)),"SEM CADASTRO")</f>
      </c>
      <c r="V105" s="24">
        <f>IFERROR(INDEX(Paletes!$D$5:$D$393,MATCH(B105,Paletes!$A$5:$A$393,0)),0)</f>
      </c>
      <c r="W105" s="31">
        <f>IF(V105=0,0,J105/V105)</f>
      </c>
      <c r="X105" s="31">
        <f>IF(V105=0,0,MAX(M105,0)/V105)</f>
      </c>
    </row>
    <row r="106" spans="1:24" x14ac:dyDescent="0.25">
      <c r="A106" s="32" t="str">
        <f>B106&amp;"."&amp;IFERROR(MID(D106,FIND("(",D106)+1,FIND(")",D106)-FIND("(",D106)-1),"")</f>
        <v>73276.15754</v>
      </c>
      <c r="B106" s="33">
        <v>73276</v>
      </c>
      <c r="C106" s="32" t="s">
        <v>235</v>
      </c>
      <c r="D106" s="32" t="s">
        <v>236</v>
      </c>
      <c r="E106" s="32">
        <v>41596</v>
      </c>
      <c r="F106" s="32" t="s">
        <v>24</v>
      </c>
      <c r="G106" s="32" t="s">
        <v>51</v>
      </c>
      <c r="H106" s="34">
        <f>IFERROR(INDEX(Linha!$B$5:$B$788,MATCH(A106,Linha!$A$5:$A$788,0)),"NÃO CADASTRADO")</f>
      </c>
      <c r="I106" s="34">
        <f>IFERROR(INDEX(Linha!$C$5:$C$788,MATCH(A106,Linha!$A$5:$A$788,0)),"-")</f>
      </c>
      <c r="J106" s="35">
        <v>62</v>
      </c>
      <c r="K106" s="36">
        <f>IFERROR(INDEX(Linha!$D$5:$D$788,MATCH(A106,Linha!$A$5:$A$788,0))*1,0)</f>
      </c>
      <c r="L106" s="36">
        <f>SUMIFS(Reservas!$K$5:$K$3669,Reservas!$A$5:$A$3669,A106)</f>
      </c>
      <c r="M106" s="37">
        <f>J106-L106</f>
      </c>
      <c r="N106" s="38">
        <v>29.767</v>
      </c>
      <c r="O106" s="37">
        <f>J106*N106</f>
      </c>
      <c r="P106" s="37">
        <f>L106*N106</f>
      </c>
      <c r="Q106" s="39">
        <v>99.51241956</v>
      </c>
      <c r="R106" s="40">
        <f>J106*Q106</f>
      </c>
      <c r="S106" s="40">
        <f>L106*Q106</f>
      </c>
      <c r="T106" s="41">
        <f>IF(J106=0,0,L106/J106)</f>
      </c>
      <c r="U106" s="42">
        <f>IFERROR(INDEX(Paletes!$C$5:$C$393,MATCH(B106,Paletes!$A$5:$A$393,0)),"SEM CADASTRO")</f>
      </c>
      <c r="V106" s="36">
        <f>IFERROR(INDEX(Paletes!$D$5:$D$393,MATCH(B106,Paletes!$A$5:$A$393,0)),0)</f>
      </c>
      <c r="W106" s="43">
        <f>IF(V106=0,0,J106/V106)</f>
      </c>
      <c r="X106" s="43">
        <f>IF(V106=0,0,MAX(M106,0)/V106)</f>
      </c>
    </row>
    <row r="107" spans="1:24" x14ac:dyDescent="0.25">
      <c r="A107" s="20" t="str">
        <f>B107&amp;"."&amp;IFERROR(MID(D107,FIND("(",D107)+1,FIND(")",D107)-FIND("(",D107)-1),"")</f>
        <v>2399.13410</v>
      </c>
      <c r="B107" s="21">
        <v>2399</v>
      </c>
      <c r="C107" s="20" t="s">
        <v>237</v>
      </c>
      <c r="D107" s="20" t="s">
        <v>238</v>
      </c>
      <c r="E107" s="20">
        <v>42517</v>
      </c>
      <c r="F107" s="20" t="s">
        <v>26</v>
      </c>
      <c r="G107" s="20" t="s">
        <v>51</v>
      </c>
      <c r="H107" s="22">
        <f>IFERROR(INDEX(Linha!$B$5:$B$788,MATCH(A107,Linha!$A$5:$A$788,0)),"NÃO CADASTRADO")</f>
      </c>
      <c r="I107" s="22">
        <f>IFERROR(INDEX(Linha!$C$5:$C$788,MATCH(A107,Linha!$A$5:$A$788,0)),"-")</f>
      </c>
      <c r="J107" s="23">
        <v>265</v>
      </c>
      <c r="K107" s="24">
        <f>IFERROR(INDEX(Linha!$D$5:$D$788,MATCH(A107,Linha!$A$5:$A$788,0))*1,0)</f>
      </c>
      <c r="L107" s="24">
        <f>SUMIFS(Reservas!$K$5:$K$3669,Reservas!$A$5:$A$3669,A107)</f>
      </c>
      <c r="M107" s="25">
        <f>J107-L107</f>
      </c>
      <c r="N107" s="26">
        <v>45.708</v>
      </c>
      <c r="O107" s="25">
        <f>J107*N107</f>
      </c>
      <c r="P107" s="25">
        <f>L107*N107</f>
      </c>
      <c r="Q107" s="27">
        <v>157.04339044</v>
      </c>
      <c r="R107" s="28">
        <f>J107*Q107</f>
      </c>
      <c r="S107" s="28">
        <f>L107*Q107</f>
      </c>
      <c r="T107" s="29">
        <f>IF(J107=0,0,L107/J107)</f>
      </c>
      <c r="U107" s="30">
        <f>IFERROR(INDEX(Paletes!$C$5:$C$393,MATCH(B107,Paletes!$A$5:$A$393,0)),"SEM CADASTRO")</f>
      </c>
      <c r="V107" s="24">
        <f>IFERROR(INDEX(Paletes!$D$5:$D$393,MATCH(B107,Paletes!$A$5:$A$393,0)),0)</f>
      </c>
      <c r="W107" s="31">
        <f>IF(V107=0,0,J107/V107)</f>
      </c>
      <c r="X107" s="31">
        <f>IF(V107=0,0,MAX(M107,0)/V107)</f>
      </c>
    </row>
    <row r="108" spans="1:24" x14ac:dyDescent="0.25">
      <c r="A108" s="32" t="str">
        <f>B108&amp;"."&amp;IFERROR(MID(D108,FIND("(",D108)+1,FIND(")",D108)-FIND("(",D108)-1),"")</f>
        <v>2400.13759</v>
      </c>
      <c r="B108" s="33">
        <v>2400</v>
      </c>
      <c r="C108" s="32" t="s">
        <v>239</v>
      </c>
      <c r="D108" s="32" t="s">
        <v>240</v>
      </c>
      <c r="E108" s="32">
        <v>42518</v>
      </c>
      <c r="F108" s="32" t="s">
        <v>26</v>
      </c>
      <c r="G108" s="32" t="s">
        <v>51</v>
      </c>
      <c r="H108" s="34">
        <f>IFERROR(INDEX(Linha!$B$5:$B$788,MATCH(A108,Linha!$A$5:$A$788,0)),"NÃO CADASTRADO")</f>
      </c>
      <c r="I108" s="34">
        <f>IFERROR(INDEX(Linha!$C$5:$C$788,MATCH(A108,Linha!$A$5:$A$788,0)),"-")</f>
      </c>
      <c r="J108" s="35">
        <v>262</v>
      </c>
      <c r="K108" s="36">
        <f>IFERROR(INDEX(Linha!$D$5:$D$788,MATCH(A108,Linha!$A$5:$A$788,0))*1,0)</f>
      </c>
      <c r="L108" s="36">
        <f>SUMIFS(Reservas!$K$5:$K$3669,Reservas!$A$5:$A$3669,A108)</f>
      </c>
      <c r="M108" s="37">
        <f>J108-L108</f>
      </c>
      <c r="N108" s="38">
        <v>37.947</v>
      </c>
      <c r="O108" s="37">
        <f>J108*N108</f>
      </c>
      <c r="P108" s="37">
        <f>L108*N108</f>
      </c>
      <c r="Q108" s="39">
        <v>198.22895711</v>
      </c>
      <c r="R108" s="40">
        <f>J108*Q108</f>
      </c>
      <c r="S108" s="40">
        <f>L108*Q108</f>
      </c>
      <c r="T108" s="41">
        <f>IF(J108=0,0,L108/J108)</f>
      </c>
      <c r="U108" s="42">
        <f>IFERROR(INDEX(Paletes!$C$5:$C$393,MATCH(B108,Paletes!$A$5:$A$393,0)),"SEM CADASTRO")</f>
      </c>
      <c r="V108" s="36">
        <f>IFERROR(INDEX(Paletes!$D$5:$D$393,MATCH(B108,Paletes!$A$5:$A$393,0)),0)</f>
      </c>
      <c r="W108" s="43">
        <f>IF(V108=0,0,J108/V108)</f>
      </c>
      <c r="X108" s="43">
        <f>IF(V108=0,0,MAX(M108,0)/V108)</f>
      </c>
    </row>
    <row r="109" spans="1:24" x14ac:dyDescent="0.25">
      <c r="A109" s="20" t="str">
        <f>B109&amp;"."&amp;IFERROR(MID(D109,FIND("(",D109)+1,FIND(")",D109)-FIND("(",D109)-1),"")</f>
        <v>73283.15561</v>
      </c>
      <c r="B109" s="21">
        <v>73283</v>
      </c>
      <c r="C109" s="20" t="s">
        <v>70</v>
      </c>
      <c r="D109" s="20" t="s">
        <v>241</v>
      </c>
      <c r="E109" s="20">
        <v>45138</v>
      </c>
      <c r="F109" s="20" t="s">
        <v>24</v>
      </c>
      <c r="G109" s="20" t="s">
        <v>51</v>
      </c>
      <c r="H109" s="22">
        <f>IFERROR(INDEX(Linha!$B$5:$B$788,MATCH(A109,Linha!$A$5:$A$788,0)),"NÃO CADASTRADO")</f>
      </c>
      <c r="I109" s="22">
        <f>IFERROR(INDEX(Linha!$C$5:$C$788,MATCH(A109,Linha!$A$5:$A$788,0)),"-")</f>
      </c>
      <c r="J109" s="23">
        <v>334</v>
      </c>
      <c r="K109" s="24">
        <f>IFERROR(INDEX(Linha!$D$5:$D$788,MATCH(A109,Linha!$A$5:$A$788,0))*1,0)</f>
      </c>
      <c r="L109" s="24">
        <f>SUMIFS(Reservas!$K$5:$K$3669,Reservas!$A$5:$A$3669,A109)</f>
      </c>
      <c r="M109" s="25">
        <f>J109-L109</f>
      </c>
      <c r="N109" s="26">
        <v>30.95</v>
      </c>
      <c r="O109" s="25">
        <f>J109*N109</f>
      </c>
      <c r="P109" s="25">
        <f>L109*N109</f>
      </c>
      <c r="Q109" s="27">
        <v>142.72956452</v>
      </c>
      <c r="R109" s="28">
        <f>J109*Q109</f>
      </c>
      <c r="S109" s="28">
        <f>L109*Q109</f>
      </c>
      <c r="T109" s="29">
        <f>IF(J109=0,0,L109/J109)</f>
      </c>
      <c r="U109" s="30">
        <f>IFERROR(INDEX(Paletes!$C$5:$C$393,MATCH(B109,Paletes!$A$5:$A$393,0)),"SEM CADASTRO")</f>
      </c>
      <c r="V109" s="24">
        <f>IFERROR(INDEX(Paletes!$D$5:$D$393,MATCH(B109,Paletes!$A$5:$A$393,0)),0)</f>
      </c>
      <c r="W109" s="31">
        <f>IF(V109=0,0,J109/V109)</f>
      </c>
      <c r="X109" s="31">
        <f>IF(V109=0,0,MAX(M109,0)/V109)</f>
      </c>
    </row>
    <row r="110" spans="1:24" x14ac:dyDescent="0.25">
      <c r="A110" s="32" t="str">
        <f>B110&amp;"."&amp;IFERROR(MID(D110,FIND("(",D110)+1,FIND(")",D110)-FIND("(",D110)-1),"")</f>
        <v>2408.13092</v>
      </c>
      <c r="B110" s="33">
        <v>2408</v>
      </c>
      <c r="C110" s="32" t="s">
        <v>242</v>
      </c>
      <c r="D110" s="32" t="s">
        <v>243</v>
      </c>
      <c r="E110" s="32">
        <v>45892</v>
      </c>
      <c r="F110" s="32" t="s">
        <v>26</v>
      </c>
      <c r="G110" s="32" t="s">
        <v>51</v>
      </c>
      <c r="H110" s="34">
        <f>IFERROR(INDEX(Linha!$B$5:$B$788,MATCH(A110,Linha!$A$5:$A$788,0)),"NÃO CADASTRADO")</f>
      </c>
      <c r="I110" s="34">
        <f>IFERROR(INDEX(Linha!$C$5:$C$788,MATCH(A110,Linha!$A$5:$A$788,0)),"-")</f>
      </c>
      <c r="J110" s="35">
        <v>61</v>
      </c>
      <c r="K110" s="36">
        <f>IFERROR(INDEX(Linha!$D$5:$D$788,MATCH(A110,Linha!$A$5:$A$788,0))*1,0)</f>
      </c>
      <c r="L110" s="36">
        <f>SUMIFS(Reservas!$K$5:$K$3669,Reservas!$A$5:$A$3669,A110)</f>
      </c>
      <c r="M110" s="37">
        <f>J110-L110</f>
      </c>
      <c r="N110" s="38">
        <v>56.55</v>
      </c>
      <c r="O110" s="37">
        <f>J110*N110</f>
      </c>
      <c r="P110" s="37">
        <f>L110*N110</f>
      </c>
      <c r="Q110" s="39">
        <v>228.44140771</v>
      </c>
      <c r="R110" s="40">
        <f>J110*Q110</f>
      </c>
      <c r="S110" s="40">
        <f>L110*Q110</f>
      </c>
      <c r="T110" s="41">
        <f>IF(J110=0,0,L110/J110)</f>
      </c>
      <c r="U110" s="42">
        <f>IFERROR(INDEX(Paletes!$C$5:$C$393,MATCH(B110,Paletes!$A$5:$A$393,0)),"SEM CADASTRO")</f>
      </c>
      <c r="V110" s="36">
        <f>IFERROR(INDEX(Paletes!$D$5:$D$393,MATCH(B110,Paletes!$A$5:$A$393,0)),0)</f>
      </c>
      <c r="W110" s="43">
        <f>IF(V110=0,0,J110/V110)</f>
      </c>
      <c r="X110" s="43">
        <f>IF(V110=0,0,MAX(M110,0)/V110)</f>
      </c>
    </row>
    <row r="111" spans="1:24" x14ac:dyDescent="0.25">
      <c r="A111" s="20" t="str">
        <f>B111&amp;"."&amp;IFERROR(MID(D111,FIND("(",D111)+1,FIND(")",D111)-FIND("(",D111)-1),"")</f>
        <v>2085.12720</v>
      </c>
      <c r="B111" s="21">
        <v>2085</v>
      </c>
      <c r="C111" s="20" t="s">
        <v>244</v>
      </c>
      <c r="D111" s="20" t="s">
        <v>245</v>
      </c>
      <c r="E111" s="20">
        <v>46005</v>
      </c>
      <c r="F111" s="20" t="s">
        <v>26</v>
      </c>
      <c r="G111" s="20" t="s">
        <v>51</v>
      </c>
      <c r="H111" s="22">
        <f>IFERROR(INDEX(Linha!$B$5:$B$788,MATCH(A111,Linha!$A$5:$A$788,0)),"NÃO CADASTRADO")</f>
      </c>
      <c r="I111" s="22">
        <f>IFERROR(INDEX(Linha!$C$5:$C$788,MATCH(A111,Linha!$A$5:$A$788,0)),"-")</f>
      </c>
      <c r="J111" s="23">
        <v>731</v>
      </c>
      <c r="K111" s="24">
        <f>IFERROR(INDEX(Linha!$D$5:$D$788,MATCH(A111,Linha!$A$5:$A$788,0))*1,0)</f>
      </c>
      <c r="L111" s="24">
        <f>SUMIFS(Reservas!$K$5:$K$3669,Reservas!$A$5:$A$3669,A111)</f>
      </c>
      <c r="M111" s="25">
        <f>J111-L111</f>
      </c>
      <c r="N111" s="26">
        <v>39.975</v>
      </c>
      <c r="O111" s="25">
        <f>J111*N111</f>
      </c>
      <c r="P111" s="25">
        <f>L111*N111</f>
      </c>
      <c r="Q111" s="27">
        <v>159.51297843</v>
      </c>
      <c r="R111" s="28">
        <f>J111*Q111</f>
      </c>
      <c r="S111" s="28">
        <f>L111*Q111</f>
      </c>
      <c r="T111" s="29">
        <f>IF(J111=0,0,L111/J111)</f>
      </c>
      <c r="U111" s="30">
        <f>IFERROR(INDEX(Paletes!$C$5:$C$393,MATCH(B111,Paletes!$A$5:$A$393,0)),"SEM CADASTRO")</f>
      </c>
      <c r="V111" s="24">
        <f>IFERROR(INDEX(Paletes!$D$5:$D$393,MATCH(B111,Paletes!$A$5:$A$393,0)),0)</f>
      </c>
      <c r="W111" s="31">
        <f>IF(V111=0,0,J111/V111)</f>
      </c>
      <c r="X111" s="31">
        <f>IF(V111=0,0,MAX(M111,0)/V111)</f>
      </c>
    </row>
    <row r="112" spans="1:24" x14ac:dyDescent="0.25">
      <c r="A112" s="32" t="str">
        <f>B112&amp;"."&amp;IFERROR(MID(D112,FIND("(",D112)+1,FIND(")",D112)-FIND("(",D112)-1),"")</f>
        <v>73543.46282</v>
      </c>
      <c r="B112" s="33">
        <v>73543</v>
      </c>
      <c r="C112" s="32" t="s">
        <v>74</v>
      </c>
      <c r="D112" s="32" t="s">
        <v>246</v>
      </c>
      <c r="E112" s="32">
        <v>87486</v>
      </c>
      <c r="F112" s="32" t="s">
        <v>25</v>
      </c>
      <c r="G112" s="32" t="s">
        <v>51</v>
      </c>
      <c r="H112" s="34">
        <f>IFERROR(INDEX(Linha!$B$5:$B$788,MATCH(A112,Linha!$A$5:$A$788,0)),"NÃO CADASTRADO")</f>
      </c>
      <c r="I112" s="34">
        <f>IFERROR(INDEX(Linha!$C$5:$C$788,MATCH(A112,Linha!$A$5:$A$788,0)),"-")</f>
      </c>
      <c r="J112" s="35">
        <v>53</v>
      </c>
      <c r="K112" s="36">
        <f>IFERROR(INDEX(Linha!$D$5:$D$788,MATCH(A112,Linha!$A$5:$A$788,0))*1,0)</f>
      </c>
      <c r="L112" s="36">
        <f>SUMIFS(Reservas!$K$5:$K$3669,Reservas!$A$5:$A$3669,A112)</f>
      </c>
      <c r="M112" s="37">
        <f>J112-L112</f>
      </c>
      <c r="N112" s="38">
        <v>14.644</v>
      </c>
      <c r="O112" s="37">
        <f>J112*N112</f>
      </c>
      <c r="P112" s="37">
        <f>L112*N112</f>
      </c>
      <c r="Q112" s="39">
        <v>107.90527693</v>
      </c>
      <c r="R112" s="40">
        <f>J112*Q112</f>
      </c>
      <c r="S112" s="40">
        <f>L112*Q112</f>
      </c>
      <c r="T112" s="41">
        <f>IF(J112=0,0,L112/J112)</f>
      </c>
      <c r="U112" s="42">
        <f>IFERROR(INDEX(Paletes!$C$5:$C$393,MATCH(B112,Paletes!$A$5:$A$393,0)),"SEM CADASTRO")</f>
      </c>
      <c r="V112" s="36">
        <f>IFERROR(INDEX(Paletes!$D$5:$D$393,MATCH(B112,Paletes!$A$5:$A$393,0)),0)</f>
      </c>
      <c r="W112" s="43">
        <f>IF(V112=0,0,J112/V112)</f>
      </c>
      <c r="X112" s="43">
        <f>IF(V112=0,0,MAX(M112,0)/V112)</f>
      </c>
    </row>
    <row r="113" spans="1:24" x14ac:dyDescent="0.25">
      <c r="A113" s="20" t="str">
        <f>B113&amp;"."&amp;IFERROR(MID(D113,FIND("(",D113)+1,FIND(")",D113)-FIND("(",D113)-1),"")</f>
        <v>86071.68015</v>
      </c>
      <c r="B113" s="21">
        <v>86071</v>
      </c>
      <c r="C113" s="20" t="s">
        <v>247</v>
      </c>
      <c r="D113" s="20" t="s">
        <v>248</v>
      </c>
      <c r="E113" s="20">
        <v>100691</v>
      </c>
      <c r="F113" s="20" t="s">
        <v>25</v>
      </c>
      <c r="G113" s="20" t="s">
        <v>51</v>
      </c>
      <c r="H113" s="22">
        <f>IFERROR(INDEX(Linha!$B$5:$B$788,MATCH(A113,Linha!$A$5:$A$788,0)),"NÃO CADASTRADO")</f>
      </c>
      <c r="I113" s="22">
        <f>IFERROR(INDEX(Linha!$C$5:$C$788,MATCH(A113,Linha!$A$5:$A$788,0)),"-")</f>
      </c>
      <c r="J113" s="23">
        <v>48</v>
      </c>
      <c r="K113" s="24">
        <f>IFERROR(INDEX(Linha!$D$5:$D$788,MATCH(A113,Linha!$A$5:$A$788,0))*1,0)</f>
      </c>
      <c r="L113" s="24">
        <f>SUMIFS(Reservas!$K$5:$K$3669,Reservas!$A$5:$A$3669,A113)</f>
      </c>
      <c r="M113" s="25">
        <f>J113-L113</f>
      </c>
      <c r="N113" s="26">
        <v>14.625</v>
      </c>
      <c r="O113" s="25">
        <f>J113*N113</f>
      </c>
      <c r="P113" s="25">
        <f>L113*N113</f>
      </c>
      <c r="Q113" s="27">
        <v>223.45286403</v>
      </c>
      <c r="R113" s="28">
        <f>J113*Q113</f>
      </c>
      <c r="S113" s="28">
        <f>L113*Q113</f>
      </c>
      <c r="T113" s="29">
        <f>IF(J113=0,0,L113/J113)</f>
      </c>
      <c r="U113" s="30">
        <f>IFERROR(INDEX(Paletes!$C$5:$C$393,MATCH(B113,Paletes!$A$5:$A$393,0)),"SEM CADASTRO")</f>
      </c>
      <c r="V113" s="24">
        <f>IFERROR(INDEX(Paletes!$D$5:$D$393,MATCH(B113,Paletes!$A$5:$A$393,0)),0)</f>
      </c>
      <c r="W113" s="31">
        <f>IF(V113=0,0,J113/V113)</f>
      </c>
      <c r="X113" s="31">
        <f>IF(V113=0,0,MAX(M113,0)/V113)</f>
      </c>
    </row>
    <row r="114" spans="1:24" x14ac:dyDescent="0.25">
      <c r="A114" s="32" t="str">
        <f>B114&amp;"."&amp;IFERROR(MID(D114,FIND("(",D114)+1,FIND(")",D114)-FIND("(",D114)-1),"")</f>
        <v>84495.101042</v>
      </c>
      <c r="B114" s="33">
        <v>84495</v>
      </c>
      <c r="C114" s="32" t="s">
        <v>249</v>
      </c>
      <c r="D114" s="32" t="s">
        <v>250</v>
      </c>
      <c r="E114" s="32">
        <v>95552</v>
      </c>
      <c r="F114" s="32" t="s">
        <v>26</v>
      </c>
      <c r="G114" s="32" t="s">
        <v>51</v>
      </c>
      <c r="H114" s="34">
        <f>IFERROR(INDEX(Linha!$B$5:$B$788,MATCH(A114,Linha!$A$5:$A$788,0)),"NÃO CADASTRADO")</f>
      </c>
      <c r="I114" s="34">
        <f>IFERROR(INDEX(Linha!$C$5:$C$788,MATCH(A114,Linha!$A$5:$A$788,0)),"-")</f>
      </c>
      <c r="J114" s="35">
        <v>1014</v>
      </c>
      <c r="K114" s="36">
        <f>IFERROR(INDEX(Linha!$D$5:$D$788,MATCH(A114,Linha!$A$5:$A$788,0))*1,0)</f>
      </c>
      <c r="L114" s="36">
        <f>SUMIFS(Reservas!$K$5:$K$3669,Reservas!$A$5:$A$3669,A114)</f>
      </c>
      <c r="M114" s="37">
        <f>J114-L114</f>
      </c>
      <c r="N114" s="38">
        <v>49.38</v>
      </c>
      <c r="O114" s="37">
        <f>J114*N114</f>
      </c>
      <c r="P114" s="37">
        <f>L114*N114</f>
      </c>
      <c r="Q114" s="39">
        <v>144.10301721</v>
      </c>
      <c r="R114" s="40">
        <f>J114*Q114</f>
      </c>
      <c r="S114" s="40">
        <f>L114*Q114</f>
      </c>
      <c r="T114" s="41">
        <f>IF(J114=0,0,L114/J114)</f>
      </c>
      <c r="U114" s="42">
        <f>IFERROR(INDEX(Paletes!$C$5:$C$393,MATCH(B114,Paletes!$A$5:$A$393,0)),"SEM CADASTRO")</f>
      </c>
      <c r="V114" s="36">
        <f>IFERROR(INDEX(Paletes!$D$5:$D$393,MATCH(B114,Paletes!$A$5:$A$393,0)),0)</f>
      </c>
      <c r="W114" s="43">
        <f>IF(V114=0,0,J114/V114)</f>
      </c>
      <c r="X114" s="43">
        <f>IF(V114=0,0,MAX(M114,0)/V114)</f>
      </c>
    </row>
    <row r="115" spans="1:24" x14ac:dyDescent="0.25">
      <c r="A115" s="20" t="str">
        <f>B115&amp;"."&amp;IFERROR(MID(D115,FIND("(",D115)+1,FIND(")",D115)-FIND("(",D115)-1),"")</f>
        <v>84946.52526</v>
      </c>
      <c r="B115" s="21">
        <v>84946</v>
      </c>
      <c r="C115" s="20" t="s">
        <v>83</v>
      </c>
      <c r="D115" s="20" t="s">
        <v>251</v>
      </c>
      <c r="E115" s="20">
        <v>96465</v>
      </c>
      <c r="F115" s="20" t="s">
        <v>24</v>
      </c>
      <c r="G115" s="20" t="s">
        <v>51</v>
      </c>
      <c r="H115" s="22">
        <f>IFERROR(INDEX(Linha!$B$5:$B$788,MATCH(A115,Linha!$A$5:$A$788,0)),"NÃO CADASTRADO")</f>
      </c>
      <c r="I115" s="22">
        <f>IFERROR(INDEX(Linha!$C$5:$C$788,MATCH(A115,Linha!$A$5:$A$788,0)),"-")</f>
      </c>
      <c r="J115" s="23">
        <v>0</v>
      </c>
      <c r="K115" s="24">
        <f>IFERROR(INDEX(Linha!$D$5:$D$788,MATCH(A115,Linha!$A$5:$A$788,0))*1,0)</f>
      </c>
      <c r="L115" s="24">
        <f>SUMIFS(Reservas!$K$5:$K$3669,Reservas!$A$5:$A$3669,A115)</f>
      </c>
      <c r="M115" s="25">
        <f>J115-L115</f>
      </c>
      <c r="N115" s="26">
        <v>39.955</v>
      </c>
      <c r="O115" s="25">
        <f>J115*N115</f>
      </c>
      <c r="P115" s="25">
        <f>L115*N115</f>
      </c>
      <c r="Q115" s="27">
        <v>157.61329617</v>
      </c>
      <c r="R115" s="28">
        <f>J115*Q115</f>
      </c>
      <c r="S115" s="28">
        <f>L115*Q115</f>
      </c>
      <c r="T115" s="29">
        <f>IF(J115=0,0,L115/J115)</f>
      </c>
      <c r="U115" s="30">
        <f>IFERROR(INDEX(Paletes!$C$5:$C$393,MATCH(B115,Paletes!$A$5:$A$393,0)),"SEM CADASTRO")</f>
      </c>
      <c r="V115" s="24">
        <f>IFERROR(INDEX(Paletes!$D$5:$D$393,MATCH(B115,Paletes!$A$5:$A$393,0)),0)</f>
      </c>
      <c r="W115" s="31">
        <f>IF(V115=0,0,J115/V115)</f>
      </c>
      <c r="X115" s="31">
        <f>IF(V115=0,0,MAX(M115,0)/V115)</f>
      </c>
    </row>
    <row r="116" spans="1:24" x14ac:dyDescent="0.25">
      <c r="A116" s="32" t="str">
        <f>B116&amp;"."&amp;IFERROR(MID(D116,FIND("(",D116)+1,FIND(")",D116)-FIND("(",D116)-1),"")</f>
        <v>73343.16019</v>
      </c>
      <c r="B116" s="33">
        <v>73343</v>
      </c>
      <c r="C116" s="32" t="s">
        <v>252</v>
      </c>
      <c r="D116" s="32" t="s">
        <v>253</v>
      </c>
      <c r="E116" s="32">
        <v>74631</v>
      </c>
      <c r="F116" s="32" t="s">
        <v>25</v>
      </c>
      <c r="G116" s="32" t="s">
        <v>51</v>
      </c>
      <c r="H116" s="34">
        <f>IFERROR(INDEX(Linha!$B$5:$B$788,MATCH(A116,Linha!$A$5:$A$788,0)),"NÃO CADASTRADO")</f>
      </c>
      <c r="I116" s="34">
        <f>IFERROR(INDEX(Linha!$C$5:$C$788,MATCH(A116,Linha!$A$5:$A$788,0)),"-")</f>
      </c>
      <c r="J116" s="35">
        <v>70</v>
      </c>
      <c r="K116" s="36">
        <f>IFERROR(INDEX(Linha!$D$5:$D$788,MATCH(A116,Linha!$A$5:$A$788,0))*1,0)</f>
      </c>
      <c r="L116" s="36">
        <f>SUMIFS(Reservas!$K$5:$K$3669,Reservas!$A$5:$A$3669,A116)</f>
      </c>
      <c r="M116" s="37">
        <f>J116-L116</f>
      </c>
      <c r="N116" s="38">
        <v>16.575</v>
      </c>
      <c r="O116" s="37">
        <f>J116*N116</f>
      </c>
      <c r="P116" s="37">
        <f>L116*N116</f>
      </c>
      <c r="Q116" s="39">
        <v>65.02877464</v>
      </c>
      <c r="R116" s="40">
        <f>J116*Q116</f>
      </c>
      <c r="S116" s="40">
        <f>L116*Q116</f>
      </c>
      <c r="T116" s="41">
        <f>IF(J116=0,0,L116/J116)</f>
      </c>
      <c r="U116" s="42">
        <f>IFERROR(INDEX(Paletes!$C$5:$C$393,MATCH(B116,Paletes!$A$5:$A$393,0)),"SEM CADASTRO")</f>
      </c>
      <c r="V116" s="36">
        <f>IFERROR(INDEX(Paletes!$D$5:$D$393,MATCH(B116,Paletes!$A$5:$A$393,0)),0)</f>
      </c>
      <c r="W116" s="43">
        <f>IF(V116=0,0,J116/V116)</f>
      </c>
      <c r="X116" s="43">
        <f>IF(V116=0,0,MAX(M116,0)/V116)</f>
      </c>
    </row>
    <row r="117" spans="1:24" x14ac:dyDescent="0.25">
      <c r="A117" s="20" t="str">
        <f>B117&amp;"."&amp;IFERROR(MID(D117,FIND("(",D117)+1,FIND(")",D117)-FIND("(",D117)-1),"")</f>
        <v>84921.36184</v>
      </c>
      <c r="B117" s="21">
        <v>84921</v>
      </c>
      <c r="C117" s="20" t="s">
        <v>99</v>
      </c>
      <c r="D117" s="20" t="s">
        <v>254</v>
      </c>
      <c r="E117" s="20">
        <v>96440</v>
      </c>
      <c r="F117" s="20" t="s">
        <v>24</v>
      </c>
      <c r="G117" s="20" t="s">
        <v>51</v>
      </c>
      <c r="H117" s="22">
        <f>IFERROR(INDEX(Linha!$B$5:$B$788,MATCH(A117,Linha!$A$5:$A$788,0)),"NÃO CADASTRADO")</f>
      </c>
      <c r="I117" s="22">
        <f>IFERROR(INDEX(Linha!$C$5:$C$788,MATCH(A117,Linha!$A$5:$A$788,0)),"-")</f>
      </c>
      <c r="J117" s="23">
        <v>12</v>
      </c>
      <c r="K117" s="24">
        <f>IFERROR(INDEX(Linha!$D$5:$D$788,MATCH(A117,Linha!$A$5:$A$788,0))*1,0)</f>
      </c>
      <c r="L117" s="24">
        <f>SUMIFS(Reservas!$K$5:$K$3669,Reservas!$A$5:$A$3669,A117)</f>
      </c>
      <c r="M117" s="25">
        <f>J117-L117</f>
      </c>
      <c r="N117" s="26">
        <v>41.73</v>
      </c>
      <c r="O117" s="25">
        <f>J117*N117</f>
      </c>
      <c r="P117" s="25">
        <f>L117*N117</f>
      </c>
      <c r="Q117" s="27">
        <v>191.17094378</v>
      </c>
      <c r="R117" s="28">
        <f>J117*Q117</f>
      </c>
      <c r="S117" s="28">
        <f>L117*Q117</f>
      </c>
      <c r="T117" s="29">
        <f>IF(J117=0,0,L117/J117)</f>
      </c>
      <c r="U117" s="30">
        <f>IFERROR(INDEX(Paletes!$C$5:$C$393,MATCH(B117,Paletes!$A$5:$A$393,0)),"SEM CADASTRO")</f>
      </c>
      <c r="V117" s="24">
        <f>IFERROR(INDEX(Paletes!$D$5:$D$393,MATCH(B117,Paletes!$A$5:$A$393,0)),0)</f>
      </c>
      <c r="W117" s="31">
        <f>IF(V117=0,0,J117/V117)</f>
      </c>
      <c r="X117" s="31">
        <f>IF(V117=0,0,MAX(M117,0)/V117)</f>
      </c>
    </row>
    <row r="118" spans="1:24" x14ac:dyDescent="0.25">
      <c r="A118" s="32" t="str">
        <f>B118&amp;"."&amp;IFERROR(MID(D118,FIND("(",D118)+1,FIND(")",D118)-FIND("(",D118)-1),"")</f>
        <v>85168.72819</v>
      </c>
      <c r="B118" s="33">
        <v>85168</v>
      </c>
      <c r="C118" s="32" t="s">
        <v>101</v>
      </c>
      <c r="D118" s="32" t="s">
        <v>255</v>
      </c>
      <c r="E118" s="32">
        <v>96252</v>
      </c>
      <c r="F118" s="32" t="s">
        <v>25</v>
      </c>
      <c r="G118" s="32" t="s">
        <v>51</v>
      </c>
      <c r="H118" s="34">
        <f>IFERROR(INDEX(Linha!$B$5:$B$788,MATCH(A118,Linha!$A$5:$A$788,0)),"NÃO CADASTRADO")</f>
      </c>
      <c r="I118" s="34">
        <f>IFERROR(INDEX(Linha!$C$5:$C$788,MATCH(A118,Linha!$A$5:$A$788,0)),"-")</f>
      </c>
      <c r="J118" s="35">
        <v>6</v>
      </c>
      <c r="K118" s="36">
        <f>IFERROR(INDEX(Linha!$D$5:$D$788,MATCH(A118,Linha!$A$5:$A$788,0))*1,0)</f>
      </c>
      <c r="L118" s="36">
        <f>SUMIFS(Reservas!$K$5:$K$3669,Reservas!$A$5:$A$3669,A118)</f>
      </c>
      <c r="M118" s="37">
        <f>J118-L118</f>
      </c>
      <c r="N118" s="38">
        <v>28.567</v>
      </c>
      <c r="O118" s="37">
        <f>J118*N118</f>
      </c>
      <c r="P118" s="37">
        <f>L118*N118</f>
      </c>
      <c r="Q118" s="39">
        <v>139.0643285</v>
      </c>
      <c r="R118" s="40">
        <f>J118*Q118</f>
      </c>
      <c r="S118" s="40">
        <f>L118*Q118</f>
      </c>
      <c r="T118" s="41">
        <f>IF(J118=0,0,L118/J118)</f>
      </c>
      <c r="U118" s="42">
        <f>IFERROR(INDEX(Paletes!$C$5:$C$393,MATCH(B118,Paletes!$A$5:$A$393,0)),"SEM CADASTRO")</f>
      </c>
      <c r="V118" s="36">
        <f>IFERROR(INDEX(Paletes!$D$5:$D$393,MATCH(B118,Paletes!$A$5:$A$393,0)),0)</f>
      </c>
      <c r="W118" s="43">
        <f>IF(V118=0,0,J118/V118)</f>
      </c>
      <c r="X118" s="43">
        <f>IF(V118=0,0,MAX(M118,0)/V118)</f>
      </c>
    </row>
    <row r="119" spans="1:24" x14ac:dyDescent="0.25">
      <c r="A119" s="20" t="str">
        <f>B119&amp;"."&amp;IFERROR(MID(D119,FIND("(",D119)+1,FIND(")",D119)-FIND("(",D119)-1),"")</f>
        <v>74629.99860</v>
      </c>
      <c r="B119" s="21">
        <v>74629</v>
      </c>
      <c r="C119" s="20" t="s">
        <v>256</v>
      </c>
      <c r="D119" s="20" t="s">
        <v>257</v>
      </c>
      <c r="E119" s="20">
        <v>81387</v>
      </c>
      <c r="F119" s="20" t="s">
        <v>24</v>
      </c>
      <c r="G119" s="20" t="s">
        <v>51</v>
      </c>
      <c r="H119" s="22">
        <f>IFERROR(INDEX(Linha!$B$5:$B$788,MATCH(A119,Linha!$A$5:$A$788,0)),"NÃO CADASTRADO")</f>
      </c>
      <c r="I119" s="22">
        <f>IFERROR(INDEX(Linha!$C$5:$C$788,MATCH(A119,Linha!$A$5:$A$788,0)),"-")</f>
      </c>
      <c r="J119" s="23">
        <v>0</v>
      </c>
      <c r="K119" s="24">
        <f>IFERROR(INDEX(Linha!$D$5:$D$788,MATCH(A119,Linha!$A$5:$A$788,0))*1,0)</f>
      </c>
      <c r="L119" s="24">
        <f>SUMIFS(Reservas!$K$5:$K$3669,Reservas!$A$5:$A$3669,A119)</f>
      </c>
      <c r="M119" s="25">
        <f>J119-L119</f>
      </c>
      <c r="N119" s="26">
        <v>28.275</v>
      </c>
      <c r="O119" s="25">
        <f>J119*N119</f>
      </c>
      <c r="P119" s="25">
        <f>L119*N119</f>
      </c>
      <c r="Q119" s="27">
        <v>70.97314041</v>
      </c>
      <c r="R119" s="28">
        <f>J119*Q119</f>
      </c>
      <c r="S119" s="28">
        <f>L119*Q119</f>
      </c>
      <c r="T119" s="29">
        <f>IF(J119=0,0,L119/J119)</f>
      </c>
      <c r="U119" s="30">
        <f>IFERROR(INDEX(Paletes!$C$5:$C$393,MATCH(B119,Paletes!$A$5:$A$393,0)),"SEM CADASTRO")</f>
      </c>
      <c r="V119" s="24">
        <f>IFERROR(INDEX(Paletes!$D$5:$D$393,MATCH(B119,Paletes!$A$5:$A$393,0)),0)</f>
      </c>
      <c r="W119" s="31">
        <f>IF(V119=0,0,J119/V119)</f>
      </c>
      <c r="X119" s="31">
        <f>IF(V119=0,0,MAX(M119,0)/V119)</f>
      </c>
    </row>
    <row r="120" spans="1:24" x14ac:dyDescent="0.25">
      <c r="A120" s="32" t="str">
        <f>B120&amp;"."&amp;IFERROR(MID(D120,FIND("(",D120)+1,FIND(")",D120)-FIND("(",D120)-1),"")</f>
        <v>72866.16313</v>
      </c>
      <c r="B120" s="33">
        <v>72866</v>
      </c>
      <c r="C120" s="32" t="s">
        <v>258</v>
      </c>
      <c r="D120" s="32" t="s">
        <v>259</v>
      </c>
      <c r="E120" s="32">
        <v>87200</v>
      </c>
      <c r="F120" s="32" t="s">
        <v>24</v>
      </c>
      <c r="G120" s="32" t="s">
        <v>51</v>
      </c>
      <c r="H120" s="34">
        <f>IFERROR(INDEX(Linha!$B$5:$B$788,MATCH(A120,Linha!$A$5:$A$788,0)),"NÃO CADASTRADO")</f>
      </c>
      <c r="I120" s="34">
        <f>IFERROR(INDEX(Linha!$C$5:$C$788,MATCH(A120,Linha!$A$5:$A$788,0)),"-")</f>
      </c>
      <c r="J120" s="35">
        <v>1</v>
      </c>
      <c r="K120" s="36">
        <f>IFERROR(INDEX(Linha!$D$5:$D$788,MATCH(A120,Linha!$A$5:$A$788,0))*1,0)</f>
      </c>
      <c r="L120" s="36">
        <f>SUMIFS(Reservas!$K$5:$K$3669,Reservas!$A$5:$A$3669,A120)</f>
      </c>
      <c r="M120" s="37">
        <f>J120-L120</f>
      </c>
      <c r="N120" s="38">
        <v>35.958</v>
      </c>
      <c r="O120" s="37">
        <f>J120*N120</f>
      </c>
      <c r="P120" s="37">
        <f>L120*N120</f>
      </c>
      <c r="Q120" s="39">
        <v>155.06255156</v>
      </c>
      <c r="R120" s="40">
        <f>J120*Q120</f>
      </c>
      <c r="S120" s="40">
        <f>L120*Q120</f>
      </c>
      <c r="T120" s="41">
        <f>IF(J120=0,0,L120/J120)</f>
      </c>
      <c r="U120" s="42">
        <f>IFERROR(INDEX(Paletes!$C$5:$C$393,MATCH(B120,Paletes!$A$5:$A$393,0)),"SEM CADASTRO")</f>
      </c>
      <c r="V120" s="36">
        <f>IFERROR(INDEX(Paletes!$D$5:$D$393,MATCH(B120,Paletes!$A$5:$A$393,0)),0)</f>
      </c>
      <c r="W120" s="43">
        <f>IF(V120=0,0,J120/V120)</f>
      </c>
      <c r="X120" s="43">
        <f>IF(V120=0,0,MAX(M120,0)/V120)</f>
      </c>
    </row>
    <row r="121" spans="1:24" x14ac:dyDescent="0.25">
      <c r="A121" s="20" t="str">
        <f>B121&amp;"."&amp;IFERROR(MID(D121,FIND("(",D121)+1,FIND(")",D121)-FIND("(",D121)-1),"")</f>
        <v>72866.16314</v>
      </c>
      <c r="B121" s="21">
        <v>72866</v>
      </c>
      <c r="C121" s="20" t="s">
        <v>258</v>
      </c>
      <c r="D121" s="20" t="s">
        <v>260</v>
      </c>
      <c r="E121" s="20">
        <v>87200</v>
      </c>
      <c r="F121" s="20" t="s">
        <v>24</v>
      </c>
      <c r="G121" s="20" t="s">
        <v>51</v>
      </c>
      <c r="H121" s="22">
        <f>IFERROR(INDEX(Linha!$B$5:$B$788,MATCH(A121,Linha!$A$5:$A$788,0)),"NÃO CADASTRADO")</f>
      </c>
      <c r="I121" s="22">
        <f>IFERROR(INDEX(Linha!$C$5:$C$788,MATCH(A121,Linha!$A$5:$A$788,0)),"-")</f>
      </c>
      <c r="J121" s="23">
        <v>0</v>
      </c>
      <c r="K121" s="24">
        <f>IFERROR(INDEX(Linha!$D$5:$D$788,MATCH(A121,Linha!$A$5:$A$788,0))*1,0)</f>
      </c>
      <c r="L121" s="24">
        <f>SUMIFS(Reservas!$K$5:$K$3669,Reservas!$A$5:$A$3669,A121)</f>
      </c>
      <c r="M121" s="25">
        <f>J121-L121</f>
      </c>
      <c r="N121" s="26">
        <v>35.958</v>
      </c>
      <c r="O121" s="25">
        <f>J121*N121</f>
      </c>
      <c r="P121" s="25">
        <f>L121*N121</f>
      </c>
      <c r="Q121" s="27">
        <v>156.65255156</v>
      </c>
      <c r="R121" s="28">
        <f>J121*Q121</f>
      </c>
      <c r="S121" s="28">
        <f>L121*Q121</f>
      </c>
      <c r="T121" s="29">
        <f>IF(J121=0,0,L121/J121)</f>
      </c>
      <c r="U121" s="30">
        <f>IFERROR(INDEX(Paletes!$C$5:$C$393,MATCH(B121,Paletes!$A$5:$A$393,0)),"SEM CADASTRO")</f>
      </c>
      <c r="V121" s="24">
        <f>IFERROR(INDEX(Paletes!$D$5:$D$393,MATCH(B121,Paletes!$A$5:$A$393,0)),0)</f>
      </c>
      <c r="W121" s="31">
        <f>IF(V121=0,0,J121/V121)</f>
      </c>
      <c r="X121" s="31">
        <f>IF(V121=0,0,MAX(M121,0)/V121)</f>
      </c>
    </row>
    <row r="122" spans="1:24" x14ac:dyDescent="0.25">
      <c r="A122" s="32" t="str">
        <f>B122&amp;"."&amp;IFERROR(MID(D122,FIND("(",D122)+1,FIND(")",D122)-FIND("(",D122)-1),"")</f>
        <v>2105.13140</v>
      </c>
      <c r="B122" s="33">
        <v>2105</v>
      </c>
      <c r="C122" s="32" t="s">
        <v>261</v>
      </c>
      <c r="D122" s="32" t="s">
        <v>262</v>
      </c>
      <c r="E122" s="32">
        <v>51224</v>
      </c>
      <c r="F122" s="32" t="s">
        <v>26</v>
      </c>
      <c r="G122" s="32" t="s">
        <v>51</v>
      </c>
      <c r="H122" s="34">
        <f>IFERROR(INDEX(Linha!$B$5:$B$788,MATCH(A122,Linha!$A$5:$A$788,0)),"NÃO CADASTRADO")</f>
      </c>
      <c r="I122" s="34">
        <f>IFERROR(INDEX(Linha!$C$5:$C$788,MATCH(A122,Linha!$A$5:$A$788,0)),"-")</f>
      </c>
      <c r="J122" s="35">
        <v>8</v>
      </c>
      <c r="K122" s="36">
        <f>IFERROR(INDEX(Linha!$D$5:$D$788,MATCH(A122,Linha!$A$5:$A$788,0))*1,0)</f>
      </c>
      <c r="L122" s="36">
        <f>SUMIFS(Reservas!$K$5:$K$3669,Reservas!$A$5:$A$3669,A122)</f>
      </c>
      <c r="M122" s="37">
        <f>J122-L122</f>
      </c>
      <c r="N122" s="38">
        <v>49.384</v>
      </c>
      <c r="O122" s="37">
        <f>J122*N122</f>
      </c>
      <c r="P122" s="37">
        <f>L122*N122</f>
      </c>
      <c r="Q122" s="39">
        <v>151.09602131</v>
      </c>
      <c r="R122" s="40">
        <f>J122*Q122</f>
      </c>
      <c r="S122" s="40">
        <f>L122*Q122</f>
      </c>
      <c r="T122" s="41">
        <f>IF(J122=0,0,L122/J122)</f>
      </c>
      <c r="U122" s="42">
        <f>IFERROR(INDEX(Paletes!$C$5:$C$393,MATCH(B122,Paletes!$A$5:$A$393,0)),"SEM CADASTRO")</f>
      </c>
      <c r="V122" s="36">
        <f>IFERROR(INDEX(Paletes!$D$5:$D$393,MATCH(B122,Paletes!$A$5:$A$393,0)),0)</f>
      </c>
      <c r="W122" s="43">
        <f>IF(V122=0,0,J122/V122)</f>
      </c>
      <c r="X122" s="43">
        <f>IF(V122=0,0,MAX(M122,0)/V122)</f>
      </c>
    </row>
    <row r="123" spans="1:24" x14ac:dyDescent="0.25">
      <c r="A123" s="20" t="str">
        <f>B123&amp;"."&amp;IFERROR(MID(D123,FIND("(",D123)+1,FIND(")",D123)-FIND("(",D123)-1),"")</f>
        <v>2105.13144</v>
      </c>
      <c r="B123" s="21">
        <v>2105</v>
      </c>
      <c r="C123" s="20" t="s">
        <v>261</v>
      </c>
      <c r="D123" s="20" t="s">
        <v>263</v>
      </c>
      <c r="E123" s="20">
        <v>51224</v>
      </c>
      <c r="F123" s="20" t="s">
        <v>26</v>
      </c>
      <c r="G123" s="20" t="s">
        <v>51</v>
      </c>
      <c r="H123" s="22">
        <f>IFERROR(INDEX(Linha!$B$5:$B$788,MATCH(A123,Linha!$A$5:$A$788,0)),"NÃO CADASTRADO")</f>
      </c>
      <c r="I123" s="22">
        <f>IFERROR(INDEX(Linha!$C$5:$C$788,MATCH(A123,Linha!$A$5:$A$788,0)),"-")</f>
      </c>
      <c r="J123" s="23">
        <v>0</v>
      </c>
      <c r="K123" s="24">
        <f>IFERROR(INDEX(Linha!$D$5:$D$788,MATCH(A123,Linha!$A$5:$A$788,0))*1,0)</f>
      </c>
      <c r="L123" s="24">
        <f>SUMIFS(Reservas!$K$5:$K$3669,Reservas!$A$5:$A$3669,A123)</f>
      </c>
      <c r="M123" s="25">
        <f>J123-L123</f>
      </c>
      <c r="N123" s="26">
        <v>49.384</v>
      </c>
      <c r="O123" s="25">
        <f>J123*N123</f>
      </c>
      <c r="P123" s="25">
        <f>L123*N123</f>
      </c>
      <c r="Q123" s="27">
        <v>149.01436653</v>
      </c>
      <c r="R123" s="28">
        <f>J123*Q123</f>
      </c>
      <c r="S123" s="28">
        <f>L123*Q123</f>
      </c>
      <c r="T123" s="29">
        <f>IF(J123=0,0,L123/J123)</f>
      </c>
      <c r="U123" s="30">
        <f>IFERROR(INDEX(Paletes!$C$5:$C$393,MATCH(B123,Paletes!$A$5:$A$393,0)),"SEM CADASTRO")</f>
      </c>
      <c r="V123" s="24">
        <f>IFERROR(INDEX(Paletes!$D$5:$D$393,MATCH(B123,Paletes!$A$5:$A$393,0)),0)</f>
      </c>
      <c r="W123" s="31">
        <f>IF(V123=0,0,J123/V123)</f>
      </c>
      <c r="X123" s="31">
        <f>IF(V123=0,0,MAX(M123,0)/V123)</f>
      </c>
    </row>
    <row r="124" spans="1:24" x14ac:dyDescent="0.25">
      <c r="A124" s="32" t="str">
        <f>B124&amp;"."&amp;IFERROR(MID(D124,FIND("(",D124)+1,FIND(")",D124)-FIND("(",D124)-1),"")</f>
        <v>73994.72173</v>
      </c>
      <c r="B124" s="33">
        <v>73994</v>
      </c>
      <c r="C124" s="32" t="s">
        <v>264</v>
      </c>
      <c r="D124" s="32" t="s">
        <v>265</v>
      </c>
      <c r="E124" s="32">
        <v>53932</v>
      </c>
      <c r="F124" s="32" t="s">
        <v>26</v>
      </c>
      <c r="G124" s="32" t="s">
        <v>51</v>
      </c>
      <c r="H124" s="34">
        <f>IFERROR(INDEX(Linha!$B$5:$B$788,MATCH(A124,Linha!$A$5:$A$788,0)),"NÃO CADASTRADO")</f>
      </c>
      <c r="I124" s="34">
        <f>IFERROR(INDEX(Linha!$C$5:$C$788,MATCH(A124,Linha!$A$5:$A$788,0)),"-")</f>
      </c>
      <c r="J124" s="35">
        <v>1</v>
      </c>
      <c r="K124" s="36">
        <f>IFERROR(INDEX(Linha!$D$5:$D$788,MATCH(A124,Linha!$A$5:$A$788,0))*1,0)</f>
      </c>
      <c r="L124" s="36">
        <f>SUMIFS(Reservas!$K$5:$K$3669,Reservas!$A$5:$A$3669,A124)</f>
      </c>
      <c r="M124" s="37">
        <f>J124-L124</f>
      </c>
      <c r="N124" s="38">
        <v>28.08</v>
      </c>
      <c r="O124" s="37">
        <f>J124*N124</f>
      </c>
      <c r="P124" s="37">
        <f>L124*N124</f>
      </c>
      <c r="Q124" s="39">
        <v>102.5300602</v>
      </c>
      <c r="R124" s="40">
        <f>J124*Q124</f>
      </c>
      <c r="S124" s="40">
        <f>L124*Q124</f>
      </c>
      <c r="T124" s="41">
        <f>IF(J124=0,0,L124/J124)</f>
      </c>
      <c r="U124" s="42">
        <f>IFERROR(INDEX(Paletes!$C$5:$C$393,MATCH(B124,Paletes!$A$5:$A$393,0)),"SEM CADASTRO")</f>
      </c>
      <c r="V124" s="36">
        <f>IFERROR(INDEX(Paletes!$D$5:$D$393,MATCH(B124,Paletes!$A$5:$A$393,0)),0)</f>
      </c>
      <c r="W124" s="43">
        <f>IF(V124=0,0,J124/V124)</f>
      </c>
      <c r="X124" s="43">
        <f>IF(V124=0,0,MAX(M124,0)/V124)</f>
      </c>
    </row>
    <row r="125" spans="1:24" x14ac:dyDescent="0.25">
      <c r="A125" s="20" t="str">
        <f>B125&amp;"."&amp;IFERROR(MID(D125,FIND("(",D125)+1,FIND(")",D125)-FIND("(",D125)-1),"")</f>
        <v>2414.13008</v>
      </c>
      <c r="B125" s="21">
        <v>2414</v>
      </c>
      <c r="C125" s="20" t="s">
        <v>266</v>
      </c>
      <c r="D125" s="20" t="s">
        <v>267</v>
      </c>
      <c r="E125" s="20">
        <v>65303</v>
      </c>
      <c r="F125" s="20" t="s">
        <v>26</v>
      </c>
      <c r="G125" s="20" t="s">
        <v>51</v>
      </c>
      <c r="H125" s="22">
        <f>IFERROR(INDEX(Linha!$B$5:$B$788,MATCH(A125,Linha!$A$5:$A$788,0)),"NÃO CADASTRADO")</f>
      </c>
      <c r="I125" s="22">
        <f>IFERROR(INDEX(Linha!$C$5:$C$788,MATCH(A125,Linha!$A$5:$A$788,0)),"-")</f>
      </c>
      <c r="J125" s="23">
        <v>0</v>
      </c>
      <c r="K125" s="24">
        <f>IFERROR(INDEX(Linha!$D$5:$D$788,MATCH(A125,Linha!$A$5:$A$788,0))*1,0)</f>
      </c>
      <c r="L125" s="24">
        <f>SUMIFS(Reservas!$K$5:$K$3669,Reservas!$A$5:$A$3669,A125)</f>
      </c>
      <c r="M125" s="25">
        <f>J125-L125</f>
      </c>
      <c r="N125" s="26">
        <v>53.04</v>
      </c>
      <c r="O125" s="25">
        <f>J125*N125</f>
      </c>
      <c r="P125" s="25">
        <f>L125*N125</f>
      </c>
      <c r="Q125" s="27">
        <v>185.30255754</v>
      </c>
      <c r="R125" s="28">
        <f>J125*Q125</f>
      </c>
      <c r="S125" s="28">
        <f>L125*Q125</f>
      </c>
      <c r="T125" s="29">
        <f>IF(J125=0,0,L125/J125)</f>
      </c>
      <c r="U125" s="30">
        <f>IFERROR(INDEX(Paletes!$C$5:$C$393,MATCH(B125,Paletes!$A$5:$A$393,0)),"SEM CADASTRO")</f>
      </c>
      <c r="V125" s="24">
        <f>IFERROR(INDEX(Paletes!$D$5:$D$393,MATCH(B125,Paletes!$A$5:$A$393,0)),0)</f>
      </c>
      <c r="W125" s="31">
        <f>IF(V125=0,0,J125/V125)</f>
      </c>
      <c r="X125" s="31">
        <f>IF(V125=0,0,MAX(M125,0)/V125)</f>
      </c>
    </row>
    <row r="126" spans="1:24" x14ac:dyDescent="0.25">
      <c r="A126" s="32" t="str">
        <f>B126&amp;"."&amp;IFERROR(MID(D126,FIND("(",D126)+1,FIND(")",D126)-FIND("(",D126)-1),"")</f>
        <v>2353.13268</v>
      </c>
      <c r="B126" s="33">
        <v>2353</v>
      </c>
      <c r="C126" s="32" t="s">
        <v>268</v>
      </c>
      <c r="D126" s="32" t="s">
        <v>269</v>
      </c>
      <c r="E126" s="32">
        <v>82936</v>
      </c>
      <c r="F126" s="32" t="s">
        <v>26</v>
      </c>
      <c r="G126" s="32" t="s">
        <v>51</v>
      </c>
      <c r="H126" s="34">
        <f>IFERROR(INDEX(Linha!$B$5:$B$788,MATCH(A126,Linha!$A$5:$A$788,0)),"NÃO CADASTRADO")</f>
      </c>
      <c r="I126" s="34">
        <f>IFERROR(INDEX(Linha!$C$5:$C$788,MATCH(A126,Linha!$A$5:$A$788,0)),"-")</f>
      </c>
      <c r="J126" s="35">
        <v>0</v>
      </c>
      <c r="K126" s="36">
        <f>IFERROR(INDEX(Linha!$D$5:$D$788,MATCH(A126,Linha!$A$5:$A$788,0))*1,0)</f>
      </c>
      <c r="L126" s="36">
        <f>SUMIFS(Reservas!$K$5:$K$3669,Reservas!$A$5:$A$3669,A126)</f>
      </c>
      <c r="M126" s="37">
        <f>J126-L126</f>
      </c>
      <c r="N126" s="38">
        <v>51.675</v>
      </c>
      <c r="O126" s="37">
        <f>J126*N126</f>
      </c>
      <c r="P126" s="37">
        <f>L126*N126</f>
      </c>
      <c r="Q126" s="39">
        <v>407.4004329</v>
      </c>
      <c r="R126" s="40">
        <f>J126*Q126</f>
      </c>
      <c r="S126" s="40">
        <f>L126*Q126</f>
      </c>
      <c r="T126" s="41">
        <f>IF(J126=0,0,L126/J126)</f>
      </c>
      <c r="U126" s="42">
        <f>IFERROR(INDEX(Paletes!$C$5:$C$393,MATCH(B126,Paletes!$A$5:$A$393,0)),"SEM CADASTRO")</f>
      </c>
      <c r="V126" s="36">
        <f>IFERROR(INDEX(Paletes!$D$5:$D$393,MATCH(B126,Paletes!$A$5:$A$393,0)),0)</f>
      </c>
      <c r="W126" s="43">
        <f>IF(V126=0,0,J126/V126)</f>
      </c>
      <c r="X126" s="43">
        <f>IF(V126=0,0,MAX(M126,0)/V126)</f>
      </c>
    </row>
    <row r="127" spans="1:24" x14ac:dyDescent="0.25">
      <c r="A127" s="20" t="str">
        <f>B127&amp;"."&amp;IFERROR(MID(D127,FIND("(",D127)+1,FIND(")",D127)-FIND("(",D127)-1),"")</f>
        <v>84635.31547</v>
      </c>
      <c r="B127" s="21">
        <v>84635</v>
      </c>
      <c r="C127" s="20" t="s">
        <v>122</v>
      </c>
      <c r="D127" s="20" t="s">
        <v>270</v>
      </c>
      <c r="E127" s="20">
        <v>96483</v>
      </c>
      <c r="F127" s="20" t="s">
        <v>26</v>
      </c>
      <c r="G127" s="20" t="s">
        <v>51</v>
      </c>
      <c r="H127" s="22">
        <f>IFERROR(INDEX(Linha!$B$5:$B$788,MATCH(A127,Linha!$A$5:$A$788,0)),"NÃO CADASTRADO")</f>
      </c>
      <c r="I127" s="22">
        <f>IFERROR(INDEX(Linha!$C$5:$C$788,MATCH(A127,Linha!$A$5:$A$788,0)),"-")</f>
      </c>
      <c r="J127" s="23">
        <v>0</v>
      </c>
      <c r="K127" s="24">
        <f>IFERROR(INDEX(Linha!$D$5:$D$788,MATCH(A127,Linha!$A$5:$A$788,0))*1,0)</f>
      </c>
      <c r="L127" s="24">
        <f>SUMIFS(Reservas!$K$5:$K$3669,Reservas!$A$5:$A$3669,A127)</f>
      </c>
      <c r="M127" s="25">
        <f>J127-L127</f>
      </c>
      <c r="N127" s="26">
        <v>47.97</v>
      </c>
      <c r="O127" s="25">
        <f>J127*N127</f>
      </c>
      <c r="P127" s="25">
        <f>L127*N127</f>
      </c>
      <c r="Q127" s="27">
        <v>218.1956301</v>
      </c>
      <c r="R127" s="28">
        <f>J127*Q127</f>
      </c>
      <c r="S127" s="28">
        <f>L127*Q127</f>
      </c>
      <c r="T127" s="29">
        <f>IF(J127=0,0,L127/J127)</f>
      </c>
      <c r="U127" s="30">
        <f>IFERROR(INDEX(Paletes!$C$5:$C$393,MATCH(B127,Paletes!$A$5:$A$393,0)),"SEM CADASTRO")</f>
      </c>
      <c r="V127" s="24">
        <f>IFERROR(INDEX(Paletes!$D$5:$D$393,MATCH(B127,Paletes!$A$5:$A$393,0)),0)</f>
      </c>
      <c r="W127" s="31">
        <f>IF(V127=0,0,J127/V127)</f>
      </c>
      <c r="X127" s="31">
        <f>IF(V127=0,0,MAX(M127,0)/V127)</f>
      </c>
    </row>
    <row r="128" spans="1:24" x14ac:dyDescent="0.25">
      <c r="A128" s="32" t="str">
        <f>B128&amp;"."&amp;IFERROR(MID(D128,FIND("(",D128)+1,FIND(")",D128)-FIND("(",D128)-1),"")</f>
        <v>81941.31367</v>
      </c>
      <c r="B128" s="33">
        <v>81941</v>
      </c>
      <c r="C128" s="32" t="s">
        <v>271</v>
      </c>
      <c r="D128" s="32" t="s">
        <v>272</v>
      </c>
      <c r="E128" s="32">
        <v>93691</v>
      </c>
      <c r="F128" s="32" t="s">
        <v>24</v>
      </c>
      <c r="G128" s="32" t="s">
        <v>51</v>
      </c>
      <c r="H128" s="34">
        <f>IFERROR(INDEX(Linha!$B$5:$B$788,MATCH(A128,Linha!$A$5:$A$788,0)),"NÃO CADASTRADO")</f>
      </c>
      <c r="I128" s="34">
        <f>IFERROR(INDEX(Linha!$C$5:$C$788,MATCH(A128,Linha!$A$5:$A$788,0)),"-")</f>
      </c>
      <c r="J128" s="35">
        <v>0</v>
      </c>
      <c r="K128" s="36">
        <f>IFERROR(INDEX(Linha!$D$5:$D$788,MATCH(A128,Linha!$A$5:$A$788,0))*1,0)</f>
      </c>
      <c r="L128" s="36">
        <f>SUMIFS(Reservas!$K$5:$K$3669,Reservas!$A$5:$A$3669,A128)</f>
      </c>
      <c r="M128" s="37">
        <f>J128-L128</f>
      </c>
      <c r="N128" s="38">
        <v>44.85</v>
      </c>
      <c r="O128" s="37">
        <f>J128*N128</f>
      </c>
      <c r="P128" s="37">
        <f>L128*N128</f>
      </c>
      <c r="Q128" s="39">
        <v>181.94493958</v>
      </c>
      <c r="R128" s="40">
        <f>J128*Q128</f>
      </c>
      <c r="S128" s="40">
        <f>L128*Q128</f>
      </c>
      <c r="T128" s="41">
        <f>IF(J128=0,0,L128/J128)</f>
      </c>
      <c r="U128" s="42">
        <f>IFERROR(INDEX(Paletes!$C$5:$C$393,MATCH(B128,Paletes!$A$5:$A$393,0)),"SEM CADASTRO")</f>
      </c>
      <c r="V128" s="36">
        <f>IFERROR(INDEX(Paletes!$D$5:$D$393,MATCH(B128,Paletes!$A$5:$A$393,0)),0)</f>
      </c>
      <c r="W128" s="43">
        <f>IF(V128=0,0,J128/V128)</f>
      </c>
      <c r="X128" s="43">
        <f>IF(V128=0,0,MAX(M128,0)/V128)</f>
      </c>
    </row>
    <row r="129" spans="1:24" x14ac:dyDescent="0.25">
      <c r="A129" s="20" t="str">
        <f>B129&amp;"."&amp;IFERROR(MID(D129,FIND("(",D129)+1,FIND(")",D129)-FIND("(",D129)-1),"")</f>
        <v>72645.15783</v>
      </c>
      <c r="B129" s="21">
        <v>72645</v>
      </c>
      <c r="C129" s="20" t="s">
        <v>273</v>
      </c>
      <c r="D129" s="20" t="s">
        <v>274</v>
      </c>
      <c r="E129" s="20">
        <v>87845</v>
      </c>
      <c r="F129" s="20" t="s">
        <v>26</v>
      </c>
      <c r="G129" s="20" t="s">
        <v>51</v>
      </c>
      <c r="H129" s="22">
        <f>IFERROR(INDEX(Linha!$B$5:$B$788,MATCH(A129,Linha!$A$5:$A$788,0)),"NÃO CADASTRADO")</f>
      </c>
      <c r="I129" s="22">
        <f>IFERROR(INDEX(Linha!$C$5:$C$788,MATCH(A129,Linha!$A$5:$A$788,0)),"-")</f>
      </c>
      <c r="J129" s="23">
        <v>0</v>
      </c>
      <c r="K129" s="24">
        <f>IFERROR(INDEX(Linha!$D$5:$D$788,MATCH(A129,Linha!$A$5:$A$788,0))*1,0)</f>
      </c>
      <c r="L129" s="24">
        <f>SUMIFS(Reservas!$K$5:$K$3669,Reservas!$A$5:$A$3669,A129)</f>
      </c>
      <c r="M129" s="25">
        <f>J129-L129</f>
      </c>
      <c r="N129" s="26">
        <v>45.805</v>
      </c>
      <c r="O129" s="25">
        <f>J129*N129</f>
      </c>
      <c r="P129" s="25">
        <f>L129*N129</f>
      </c>
      <c r="Q129" s="27">
        <v>136.17029693</v>
      </c>
      <c r="R129" s="28">
        <f>J129*Q129</f>
      </c>
      <c r="S129" s="28">
        <f>L129*Q129</f>
      </c>
      <c r="T129" s="29">
        <f>IF(J129=0,0,L129/J129)</f>
      </c>
      <c r="U129" s="30">
        <f>IFERROR(INDEX(Paletes!$C$5:$C$393,MATCH(B129,Paletes!$A$5:$A$393,0)),"SEM CADASTRO")</f>
      </c>
      <c r="V129" s="24">
        <f>IFERROR(INDEX(Paletes!$D$5:$D$393,MATCH(B129,Paletes!$A$5:$A$393,0)),0)</f>
      </c>
      <c r="W129" s="31">
        <f>IF(V129=0,0,J129/V129)</f>
      </c>
      <c r="X129" s="31">
        <f>IF(V129=0,0,MAX(M129,0)/V129)</f>
      </c>
    </row>
    <row r="130" spans="1:24" x14ac:dyDescent="0.25">
      <c r="A130" s="32" t="str">
        <f>B130&amp;"."&amp;IFERROR(MID(D130,FIND("(",D130)+1,FIND(")",D130)-FIND("(",D130)-1),"")</f>
        <v>74204.31779</v>
      </c>
      <c r="B130" s="33">
        <v>74204</v>
      </c>
      <c r="C130" s="32" t="s">
        <v>275</v>
      </c>
      <c r="D130" s="32" t="s">
        <v>276</v>
      </c>
      <c r="E130" s="32">
        <v>59256</v>
      </c>
      <c r="F130" s="32" t="s">
        <v>24</v>
      </c>
      <c r="G130" s="32" t="s">
        <v>51</v>
      </c>
      <c r="H130" s="34">
        <f>IFERROR(INDEX(Linha!$B$5:$B$788,MATCH(A130,Linha!$A$5:$A$788,0)),"NÃO CADASTRADO")</f>
      </c>
      <c r="I130" s="34">
        <f>IFERROR(INDEX(Linha!$C$5:$C$788,MATCH(A130,Linha!$A$5:$A$788,0)),"-")</f>
      </c>
      <c r="J130" s="35">
        <v>0</v>
      </c>
      <c r="K130" s="36">
        <f>IFERROR(INDEX(Linha!$D$5:$D$788,MATCH(A130,Linha!$A$5:$A$788,0))*1,0)</f>
      </c>
      <c r="L130" s="36">
        <f>SUMIFS(Reservas!$K$5:$K$3669,Reservas!$A$5:$A$3669,A130)</f>
      </c>
      <c r="M130" s="37">
        <f>J130-L130</f>
      </c>
      <c r="N130" s="38">
        <v>16.95</v>
      </c>
      <c r="O130" s="37">
        <f>J130*N130</f>
      </c>
      <c r="P130" s="37">
        <f>L130*N130</f>
      </c>
      <c r="Q130" s="39">
        <v>76.98510221</v>
      </c>
      <c r="R130" s="40">
        <f>J130*Q130</f>
      </c>
      <c r="S130" s="40">
        <f>L130*Q130</f>
      </c>
      <c r="T130" s="41">
        <f>IF(J130=0,0,L130/J130)</f>
      </c>
      <c r="U130" s="42">
        <f>IFERROR(INDEX(Paletes!$C$5:$C$393,MATCH(B130,Paletes!$A$5:$A$393,0)),"SEM CADASTRO")</f>
      </c>
      <c r="V130" s="36">
        <f>IFERROR(INDEX(Paletes!$D$5:$D$393,MATCH(B130,Paletes!$A$5:$A$393,0)),0)</f>
      </c>
      <c r="W130" s="43">
        <f>IF(V130=0,0,J130/V130)</f>
      </c>
      <c r="X130" s="43">
        <f>IF(V130=0,0,MAX(M130,0)/V130)</f>
      </c>
    </row>
    <row r="131" spans="1:24" x14ac:dyDescent="0.25">
      <c r="A131" s="20" t="str">
        <f>B131&amp;"."&amp;IFERROR(MID(D131,FIND("(",D131)+1,FIND(")",D131)-FIND("(",D131)-1),"")</f>
        <v>85335.46266</v>
      </c>
      <c r="B131" s="21">
        <v>85335</v>
      </c>
      <c r="C131" s="20" t="s">
        <v>277</v>
      </c>
      <c r="D131" s="20" t="s">
        <v>278</v>
      </c>
      <c r="E131" s="20">
        <v>97865</v>
      </c>
      <c r="F131" s="20" t="s">
        <v>25</v>
      </c>
      <c r="G131" s="20" t="s">
        <v>51</v>
      </c>
      <c r="H131" s="22">
        <f>IFERROR(INDEX(Linha!$B$5:$B$788,MATCH(A131,Linha!$A$5:$A$788,0)),"NÃO CADASTRADO")</f>
      </c>
      <c r="I131" s="22">
        <f>IFERROR(INDEX(Linha!$C$5:$C$788,MATCH(A131,Linha!$A$5:$A$788,0)),"-")</f>
      </c>
      <c r="J131" s="23">
        <v>38</v>
      </c>
      <c r="K131" s="24">
        <f>IFERROR(INDEX(Linha!$D$5:$D$788,MATCH(A131,Linha!$A$5:$A$788,0))*1,0)</f>
      </c>
      <c r="L131" s="24">
        <f>SUMIFS(Reservas!$K$5:$K$3669,Reservas!$A$5:$A$3669,A131)</f>
      </c>
      <c r="M131" s="25">
        <f>J131-L131</f>
      </c>
      <c r="N131" s="26">
        <v>14.625</v>
      </c>
      <c r="O131" s="25">
        <f>J131*N131</f>
      </c>
      <c r="P131" s="25">
        <f>L131*N131</f>
      </c>
      <c r="Q131" s="27">
        <v>89.33429787</v>
      </c>
      <c r="R131" s="28">
        <f>J131*Q131</f>
      </c>
      <c r="S131" s="28">
        <f>L131*Q131</f>
      </c>
      <c r="T131" s="29">
        <f>IF(J131=0,0,L131/J131)</f>
      </c>
      <c r="U131" s="30">
        <f>IFERROR(INDEX(Paletes!$C$5:$C$393,MATCH(B131,Paletes!$A$5:$A$393,0)),"SEM CADASTRO")</f>
      </c>
      <c r="V131" s="24">
        <f>IFERROR(INDEX(Paletes!$D$5:$D$393,MATCH(B131,Paletes!$A$5:$A$393,0)),0)</f>
      </c>
      <c r="W131" s="31">
        <f>IF(V131=0,0,J131/V131)</f>
      </c>
      <c r="X131" s="31">
        <f>IF(V131=0,0,MAX(M131,0)/V131)</f>
      </c>
    </row>
    <row r="132" spans="1:24" x14ac:dyDescent="0.25">
      <c r="A132" s="32" t="str">
        <f>B132&amp;"."&amp;IFERROR(MID(D132,FIND("(",D132)+1,FIND(")",D132)-FIND("(",D132)-1),"")</f>
        <v>84712.31797</v>
      </c>
      <c r="B132" s="33">
        <v>84712</v>
      </c>
      <c r="C132" s="32" t="s">
        <v>130</v>
      </c>
      <c r="D132" s="32" t="s">
        <v>279</v>
      </c>
      <c r="E132" s="32">
        <v>96491</v>
      </c>
      <c r="F132" s="32" t="s">
        <v>26</v>
      </c>
      <c r="G132" s="32" t="s">
        <v>51</v>
      </c>
      <c r="H132" s="34">
        <f>IFERROR(INDEX(Linha!$B$5:$B$788,MATCH(A132,Linha!$A$5:$A$788,0)),"NÃO CADASTRADO")</f>
      </c>
      <c r="I132" s="34">
        <f>IFERROR(INDEX(Linha!$C$5:$C$788,MATCH(A132,Linha!$A$5:$A$788,0)),"-")</f>
      </c>
      <c r="J132" s="35">
        <v>0</v>
      </c>
      <c r="K132" s="36">
        <f>IFERROR(INDEX(Linha!$D$5:$D$788,MATCH(A132,Linha!$A$5:$A$788,0))*1,0)</f>
      </c>
      <c r="L132" s="36">
        <f>SUMIFS(Reservas!$K$5:$K$3669,Reservas!$A$5:$A$3669,A132)</f>
      </c>
      <c r="M132" s="37">
        <f>J132-L132</f>
      </c>
      <c r="N132" s="38">
        <v>16.672</v>
      </c>
      <c r="O132" s="37">
        <f>J132*N132</f>
      </c>
      <c r="P132" s="37">
        <f>L132*N132</f>
      </c>
      <c r="Q132" s="39">
        <v>46.08095099</v>
      </c>
      <c r="R132" s="40">
        <f>J132*Q132</f>
      </c>
      <c r="S132" s="40">
        <f>L132*Q132</f>
      </c>
      <c r="T132" s="41">
        <f>IF(J132=0,0,L132/J132)</f>
      </c>
      <c r="U132" s="42">
        <f>IFERROR(INDEX(Paletes!$C$5:$C$393,MATCH(B132,Paletes!$A$5:$A$393,0)),"SEM CADASTRO")</f>
      </c>
      <c r="V132" s="36">
        <f>IFERROR(INDEX(Paletes!$D$5:$D$393,MATCH(B132,Paletes!$A$5:$A$393,0)),0)</f>
      </c>
      <c r="W132" s="43">
        <f>IF(V132=0,0,J132/V132)</f>
      </c>
      <c r="X132" s="43">
        <f>IF(V132=0,0,MAX(M132,0)/V132)</f>
      </c>
    </row>
    <row r="133" spans="1:24" x14ac:dyDescent="0.25">
      <c r="A133" s="20" t="str">
        <f>B133&amp;"."&amp;IFERROR(MID(D133,FIND("(",D133)+1,FIND(")",D133)-FIND("(",D133)-1),"")</f>
        <v>84715.31341</v>
      </c>
      <c r="B133" s="21">
        <v>84715</v>
      </c>
      <c r="C133" s="20" t="s">
        <v>280</v>
      </c>
      <c r="D133" s="20" t="s">
        <v>281</v>
      </c>
      <c r="E133" s="20">
        <v>96485</v>
      </c>
      <c r="F133" s="20" t="s">
        <v>26</v>
      </c>
      <c r="G133" s="20" t="s">
        <v>51</v>
      </c>
      <c r="H133" s="22">
        <f>IFERROR(INDEX(Linha!$B$5:$B$788,MATCH(A133,Linha!$A$5:$A$788,0)),"NÃO CADASTRADO")</f>
      </c>
      <c r="I133" s="22">
        <f>IFERROR(INDEX(Linha!$C$5:$C$788,MATCH(A133,Linha!$A$5:$A$788,0)),"-")</f>
      </c>
      <c r="J133" s="23">
        <v>0</v>
      </c>
      <c r="K133" s="24">
        <f>IFERROR(INDEX(Linha!$D$5:$D$788,MATCH(A133,Linha!$A$5:$A$788,0))*1,0)</f>
      </c>
      <c r="L133" s="24">
        <f>SUMIFS(Reservas!$K$5:$K$3669,Reservas!$A$5:$A$3669,A133)</f>
      </c>
      <c r="M133" s="25">
        <f>J133-L133</f>
      </c>
      <c r="N133" s="26">
        <v>53.625</v>
      </c>
      <c r="O133" s="25">
        <f>J133*N133</f>
      </c>
      <c r="P133" s="25">
        <f>L133*N133</f>
      </c>
      <c r="Q133" s="27">
        <v>180.4734681</v>
      </c>
      <c r="R133" s="28">
        <f>J133*Q133</f>
      </c>
      <c r="S133" s="28">
        <f>L133*Q133</f>
      </c>
      <c r="T133" s="29">
        <f>IF(J133=0,0,L133/J133)</f>
      </c>
      <c r="U133" s="30">
        <f>IFERROR(INDEX(Paletes!$C$5:$C$393,MATCH(B133,Paletes!$A$5:$A$393,0)),"SEM CADASTRO")</f>
      </c>
      <c r="V133" s="24">
        <f>IFERROR(INDEX(Paletes!$D$5:$D$393,MATCH(B133,Paletes!$A$5:$A$393,0)),0)</f>
      </c>
      <c r="W133" s="31">
        <f>IF(V133=0,0,J133/V133)</f>
      </c>
      <c r="X133" s="31">
        <f>IF(V133=0,0,MAX(M133,0)/V133)</f>
      </c>
    </row>
    <row r="134" spans="1:24" x14ac:dyDescent="0.25">
      <c r="A134" s="32" t="str">
        <f>B134&amp;"."&amp;IFERROR(MID(D134,FIND("(",D134)+1,FIND(")",D134)-FIND("(",D134)-1),"")</f>
        <v>74125.99905</v>
      </c>
      <c r="B134" s="33">
        <v>74125</v>
      </c>
      <c r="C134" s="32" t="s">
        <v>282</v>
      </c>
      <c r="D134" s="32" t="s">
        <v>283</v>
      </c>
      <c r="E134" s="32">
        <v>57200</v>
      </c>
      <c r="F134" s="32" t="s">
        <v>24</v>
      </c>
      <c r="G134" s="32" t="s">
        <v>51</v>
      </c>
      <c r="H134" s="34">
        <f>IFERROR(INDEX(Linha!$B$5:$B$788,MATCH(A134,Linha!$A$5:$A$788,0)),"NÃO CADASTRADO")</f>
      </c>
      <c r="I134" s="34">
        <f>IFERROR(INDEX(Linha!$C$5:$C$788,MATCH(A134,Linha!$A$5:$A$788,0)),"-")</f>
      </c>
      <c r="J134" s="35">
        <v>2</v>
      </c>
      <c r="K134" s="36">
        <f>IFERROR(INDEX(Linha!$D$5:$D$788,MATCH(A134,Linha!$A$5:$A$788,0))*1,0)</f>
      </c>
      <c r="L134" s="36">
        <f>SUMIFS(Reservas!$K$5:$K$3669,Reservas!$A$5:$A$3669,A134)</f>
      </c>
      <c r="M134" s="37">
        <f>J134-L134</f>
      </c>
      <c r="N134" s="38">
        <v>8.677</v>
      </c>
      <c r="O134" s="37">
        <f>J134*N134</f>
      </c>
      <c r="P134" s="37">
        <f>L134*N134</f>
      </c>
      <c r="Q134" s="39">
        <v>35.9901931</v>
      </c>
      <c r="R134" s="40">
        <f>J134*Q134</f>
      </c>
      <c r="S134" s="40">
        <f>L134*Q134</f>
      </c>
      <c r="T134" s="41">
        <f>IF(J134=0,0,L134/J134)</f>
      </c>
      <c r="U134" s="42">
        <f>IFERROR(INDEX(Paletes!$C$5:$C$393,MATCH(B134,Paletes!$A$5:$A$393,0)),"SEM CADASTRO")</f>
      </c>
      <c r="V134" s="36">
        <f>IFERROR(INDEX(Paletes!$D$5:$D$393,MATCH(B134,Paletes!$A$5:$A$393,0)),0)</f>
      </c>
      <c r="W134" s="43">
        <f>IF(V134=0,0,J134/V134)</f>
      </c>
      <c r="X134" s="43">
        <f>IF(V134=0,0,MAX(M134,0)/V134)</f>
      </c>
    </row>
    <row r="135" spans="1:24" x14ac:dyDescent="0.25">
      <c r="A135" s="20" t="str">
        <f>B135&amp;"."&amp;IFERROR(MID(D135,FIND("(",D135)+1,FIND(")",D135)-FIND("(",D135)-1),"")</f>
        <v>84885.30944</v>
      </c>
      <c r="B135" s="21">
        <v>84885</v>
      </c>
      <c r="C135" s="20" t="s">
        <v>284</v>
      </c>
      <c r="D135" s="20" t="s">
        <v>285</v>
      </c>
      <c r="E135" s="20">
        <v>96635</v>
      </c>
      <c r="F135" s="20" t="s">
        <v>26</v>
      </c>
      <c r="G135" s="20" t="s">
        <v>51</v>
      </c>
      <c r="H135" s="22">
        <f>IFERROR(INDEX(Linha!$B$5:$B$788,MATCH(A135,Linha!$A$5:$A$788,0)),"NÃO CADASTRADO")</f>
      </c>
      <c r="I135" s="22">
        <f>IFERROR(INDEX(Linha!$C$5:$C$788,MATCH(A135,Linha!$A$5:$A$788,0)),"-")</f>
      </c>
      <c r="J135" s="23">
        <v>0</v>
      </c>
      <c r="K135" s="24">
        <f>IFERROR(INDEX(Linha!$D$5:$D$788,MATCH(A135,Linha!$A$5:$A$788,0))*1,0)</f>
      </c>
      <c r="L135" s="24">
        <f>SUMIFS(Reservas!$K$5:$K$3669,Reservas!$A$5:$A$3669,A135)</f>
      </c>
      <c r="M135" s="25">
        <f>J135-L135</f>
      </c>
      <c r="N135" s="26">
        <v>66.748</v>
      </c>
      <c r="O135" s="25">
        <f>J135*N135</f>
      </c>
      <c r="P135" s="25">
        <f>L135*N135</f>
      </c>
      <c r="Q135" s="27">
        <v>256.20689502</v>
      </c>
      <c r="R135" s="28">
        <f>J135*Q135</f>
      </c>
      <c r="S135" s="28">
        <f>L135*Q135</f>
      </c>
      <c r="T135" s="29">
        <f>IF(J135=0,0,L135/J135)</f>
      </c>
      <c r="U135" s="30">
        <f>IFERROR(INDEX(Paletes!$C$5:$C$393,MATCH(B135,Paletes!$A$5:$A$393,0)),"SEM CADASTRO")</f>
      </c>
      <c r="V135" s="24">
        <f>IFERROR(INDEX(Paletes!$D$5:$D$393,MATCH(B135,Paletes!$A$5:$A$393,0)),0)</f>
      </c>
      <c r="W135" s="31">
        <f>IF(V135=0,0,J135/V135)</f>
      </c>
      <c r="X135" s="31">
        <f>IF(V135=0,0,MAX(M135,0)/V135)</f>
      </c>
    </row>
    <row r="136" spans="1:24" x14ac:dyDescent="0.25">
      <c r="A136" s="32" t="str">
        <f>B136&amp;"."&amp;IFERROR(MID(D136,FIND("(",D136)+1,FIND(")",D136)-FIND("(",D136)-1),"")</f>
        <v>84721.</v>
      </c>
      <c r="B136" s="33">
        <v>84721</v>
      </c>
      <c r="C136" s="32" t="s">
        <v>286</v>
      </c>
      <c r="D136" s="32" t="s">
        <v>89</v>
      </c>
      <c r="E136" s="32">
        <v>96493</v>
      </c>
      <c r="F136" s="32" t="s">
        <v>26</v>
      </c>
      <c r="G136" s="32" t="s">
        <v>51</v>
      </c>
      <c r="H136" s="34">
        <f>IFERROR(INDEX(Linha!$B$5:$B$788,MATCH(A136,Linha!$A$5:$A$788,0)),"NÃO CADASTRADO")</f>
      </c>
      <c r="I136" s="34">
        <f>IFERROR(INDEX(Linha!$C$5:$C$788,MATCH(A136,Linha!$A$5:$A$788,0)),"-")</f>
      </c>
      <c r="J136" s="35">
        <v>14</v>
      </c>
      <c r="K136" s="36">
        <f>IFERROR(INDEX(Linha!$D$5:$D$788,MATCH(A136,Linha!$A$5:$A$788,0))*1,0)</f>
      </c>
      <c r="L136" s="36">
        <f>SUMIFS(Reservas!$K$5:$K$3669,Reservas!$A$5:$A$3669,A136)</f>
      </c>
      <c r="M136" s="37">
        <f>J136-L136</f>
      </c>
      <c r="N136" s="38">
        <v>11.7</v>
      </c>
      <c r="O136" s="37">
        <f>J136*N136</f>
      </c>
      <c r="P136" s="37">
        <f>L136*N136</f>
      </c>
      <c r="Q136" s="39">
        <v>81.79817002</v>
      </c>
      <c r="R136" s="40">
        <f>J136*Q136</f>
      </c>
      <c r="S136" s="40">
        <f>L136*Q136</f>
      </c>
      <c r="T136" s="41">
        <f>IF(J136=0,0,L136/J136)</f>
      </c>
      <c r="U136" s="42">
        <f>IFERROR(INDEX(Paletes!$C$5:$C$393,MATCH(B136,Paletes!$A$5:$A$393,0)),"SEM CADASTRO")</f>
      </c>
      <c r="V136" s="36">
        <f>IFERROR(INDEX(Paletes!$D$5:$D$393,MATCH(B136,Paletes!$A$5:$A$393,0)),0)</f>
      </c>
      <c r="W136" s="43">
        <f>IF(V136=0,0,J136/V136)</f>
      </c>
      <c r="X136" s="43">
        <f>IF(V136=0,0,MAX(M136,0)/V136)</f>
      </c>
    </row>
    <row r="137" spans="1:24" x14ac:dyDescent="0.25">
      <c r="A137" s="20" t="str">
        <f>B137&amp;"."&amp;IFERROR(MID(D137,FIND("(",D137)+1,FIND(")",D137)-FIND("(",D137)-1),"")</f>
        <v>74201.31755</v>
      </c>
      <c r="B137" s="21">
        <v>74201</v>
      </c>
      <c r="C137" s="20" t="s">
        <v>287</v>
      </c>
      <c r="D137" s="20" t="s">
        <v>288</v>
      </c>
      <c r="E137" s="20">
        <v>59249</v>
      </c>
      <c r="F137" s="20" t="s">
        <v>25</v>
      </c>
      <c r="G137" s="20" t="s">
        <v>51</v>
      </c>
      <c r="H137" s="22">
        <f>IFERROR(INDEX(Linha!$B$5:$B$788,MATCH(A137,Linha!$A$5:$A$788,0)),"NÃO CADASTRADO")</f>
      </c>
      <c r="I137" s="22">
        <f>IFERROR(INDEX(Linha!$C$5:$C$788,MATCH(A137,Linha!$A$5:$A$788,0)),"-")</f>
      </c>
      <c r="J137" s="23">
        <v>116</v>
      </c>
      <c r="K137" s="24">
        <f>IFERROR(INDEX(Linha!$D$5:$D$788,MATCH(A137,Linha!$A$5:$A$788,0))*1,0)</f>
      </c>
      <c r="L137" s="24">
        <f>SUMIFS(Reservas!$K$5:$K$3669,Reservas!$A$5:$A$3669,A137)</f>
      </c>
      <c r="M137" s="25">
        <f>J137-L137</f>
      </c>
      <c r="N137" s="26">
        <v>38.42</v>
      </c>
      <c r="O137" s="25">
        <f>J137*N137</f>
      </c>
      <c r="P137" s="25">
        <f>L137*N137</f>
      </c>
      <c r="Q137" s="27">
        <v>141.42174056</v>
      </c>
      <c r="R137" s="28">
        <f>J137*Q137</f>
      </c>
      <c r="S137" s="28">
        <f>L137*Q137</f>
      </c>
      <c r="T137" s="29">
        <f>IF(J137=0,0,L137/J137)</f>
      </c>
      <c r="U137" s="30">
        <f>IFERROR(INDEX(Paletes!$C$5:$C$393,MATCH(B137,Paletes!$A$5:$A$393,0)),"SEM CADASTRO")</f>
      </c>
      <c r="V137" s="24">
        <f>IFERROR(INDEX(Paletes!$D$5:$D$393,MATCH(B137,Paletes!$A$5:$A$393,0)),0)</f>
      </c>
      <c r="W137" s="31">
        <f>IF(V137=0,0,J137/V137)</f>
      </c>
      <c r="X137" s="31">
        <f>IF(V137=0,0,MAX(M137,0)/V137)</f>
      </c>
    </row>
    <row r="138" spans="1:24" x14ac:dyDescent="0.25">
      <c r="A138" s="32" t="str">
        <f>B138&amp;"."&amp;IFERROR(MID(D138,FIND("(",D138)+1,FIND(")",D138)-FIND("(",D138)-1),"")</f>
        <v>85648.60575</v>
      </c>
      <c r="B138" s="33">
        <v>85648</v>
      </c>
      <c r="C138" s="32" t="s">
        <v>289</v>
      </c>
      <c r="D138" s="32" t="s">
        <v>290</v>
      </c>
      <c r="E138" s="32">
        <v>99953</v>
      </c>
      <c r="F138" s="32" t="s">
        <v>25</v>
      </c>
      <c r="G138" s="32" t="s">
        <v>51</v>
      </c>
      <c r="H138" s="34">
        <f>IFERROR(INDEX(Linha!$B$5:$B$788,MATCH(A138,Linha!$A$5:$A$788,0)),"NÃO CADASTRADO")</f>
      </c>
      <c r="I138" s="34">
        <f>IFERROR(INDEX(Linha!$C$5:$C$788,MATCH(A138,Linha!$A$5:$A$788,0)),"-")</f>
      </c>
      <c r="J138" s="35">
        <v>17</v>
      </c>
      <c r="K138" s="36">
        <f>IFERROR(INDEX(Linha!$D$5:$D$788,MATCH(A138,Linha!$A$5:$A$788,0))*1,0)</f>
      </c>
      <c r="L138" s="36">
        <f>SUMIFS(Reservas!$K$5:$K$3669,Reservas!$A$5:$A$3669,A138)</f>
      </c>
      <c r="M138" s="37">
        <f>J138-L138</f>
      </c>
      <c r="N138" s="38">
        <v>11.358</v>
      </c>
      <c r="O138" s="37">
        <f>J138*N138</f>
      </c>
      <c r="P138" s="37">
        <f>L138*N138</f>
      </c>
      <c r="Q138" s="39">
        <v>159.80117882</v>
      </c>
      <c r="R138" s="40">
        <f>J138*Q138</f>
      </c>
      <c r="S138" s="40">
        <f>L138*Q138</f>
      </c>
      <c r="T138" s="41">
        <f>IF(J138=0,0,L138/J138)</f>
      </c>
      <c r="U138" s="42">
        <f>IFERROR(INDEX(Paletes!$C$5:$C$393,MATCH(B138,Paletes!$A$5:$A$393,0)),"SEM CADASTRO")</f>
      </c>
      <c r="V138" s="36">
        <f>IFERROR(INDEX(Paletes!$D$5:$D$393,MATCH(B138,Paletes!$A$5:$A$393,0)),0)</f>
      </c>
      <c r="W138" s="43">
        <f>IF(V138=0,0,J138/V138)</f>
      </c>
      <c r="X138" s="43">
        <f>IF(V138=0,0,MAX(M138,0)/V138)</f>
      </c>
    </row>
    <row r="139" spans="1:24" x14ac:dyDescent="0.25">
      <c r="A139" s="20" t="str">
        <f>B139&amp;"."&amp;IFERROR(MID(D139,FIND("(",D139)+1,FIND(")",D139)-FIND("(",D139)-1),"")</f>
        <v>85543.46224</v>
      </c>
      <c r="B139" s="21">
        <v>85543</v>
      </c>
      <c r="C139" s="20" t="s">
        <v>291</v>
      </c>
      <c r="D139" s="20" t="s">
        <v>292</v>
      </c>
      <c r="E139" s="20">
        <v>98497</v>
      </c>
      <c r="F139" s="20" t="s">
        <v>25</v>
      </c>
      <c r="G139" s="20" t="s">
        <v>51</v>
      </c>
      <c r="H139" s="22">
        <f>IFERROR(INDEX(Linha!$B$5:$B$788,MATCH(A139,Linha!$A$5:$A$788,0)),"NÃO CADASTRADO")</f>
      </c>
      <c r="I139" s="22">
        <f>IFERROR(INDEX(Linha!$C$5:$C$788,MATCH(A139,Linha!$A$5:$A$788,0)),"-")</f>
      </c>
      <c r="J139" s="23">
        <v>252</v>
      </c>
      <c r="K139" s="24">
        <f>IFERROR(INDEX(Linha!$D$5:$D$788,MATCH(A139,Linha!$A$5:$A$788,0))*1,0)</f>
      </c>
      <c r="L139" s="24">
        <f>SUMIFS(Reservas!$K$5:$K$3669,Reservas!$A$5:$A$3669,A139)</f>
      </c>
      <c r="M139" s="25">
        <f>J139-L139</f>
      </c>
      <c r="N139" s="26">
        <v>24.862</v>
      </c>
      <c r="O139" s="25">
        <f>J139*N139</f>
      </c>
      <c r="P139" s="25">
        <f>L139*N139</f>
      </c>
      <c r="Q139" s="27">
        <v>188.5256747</v>
      </c>
      <c r="R139" s="28">
        <f>J139*Q139</f>
      </c>
      <c r="S139" s="28">
        <f>L139*Q139</f>
      </c>
      <c r="T139" s="29">
        <f>IF(J139=0,0,L139/J139)</f>
      </c>
      <c r="U139" s="30">
        <f>IFERROR(INDEX(Paletes!$C$5:$C$393,MATCH(B139,Paletes!$A$5:$A$393,0)),"SEM CADASTRO")</f>
      </c>
      <c r="V139" s="24">
        <f>IFERROR(INDEX(Paletes!$D$5:$D$393,MATCH(B139,Paletes!$A$5:$A$393,0)),0)</f>
      </c>
      <c r="W139" s="31">
        <f>IF(V139=0,0,J139/V139)</f>
      </c>
      <c r="X139" s="31">
        <f>IF(V139=0,0,MAX(M139,0)/V139)</f>
      </c>
    </row>
    <row r="140" spans="1:24" x14ac:dyDescent="0.25">
      <c r="A140" s="32" t="str">
        <f>B140&amp;"."&amp;IFERROR(MID(D140,FIND("(",D140)+1,FIND(")",D140)-FIND("(",D140)-1),"")</f>
        <v>87462.91603</v>
      </c>
      <c r="B140" s="33">
        <v>87462</v>
      </c>
      <c r="C140" s="32" t="s">
        <v>293</v>
      </c>
      <c r="D140" s="32" t="s">
        <v>294</v>
      </c>
      <c r="E140" s="32">
        <v>99469</v>
      </c>
      <c r="F140" s="32" t="s">
        <v>26</v>
      </c>
      <c r="G140" s="32" t="s">
        <v>51</v>
      </c>
      <c r="H140" s="34">
        <f>IFERROR(INDEX(Linha!$B$5:$B$788,MATCH(A140,Linha!$A$5:$A$788,0)),"NÃO CADASTRADO")</f>
      </c>
      <c r="I140" s="34">
        <f>IFERROR(INDEX(Linha!$C$5:$C$788,MATCH(A140,Linha!$A$5:$A$788,0)),"-")</f>
      </c>
      <c r="J140" s="35">
        <v>381</v>
      </c>
      <c r="K140" s="36">
        <f>IFERROR(INDEX(Linha!$D$5:$D$788,MATCH(A140,Linha!$A$5:$A$788,0))*1,0)</f>
      </c>
      <c r="L140" s="36">
        <f>SUMIFS(Reservas!$K$5:$K$3669,Reservas!$A$5:$A$3669,A140)</f>
      </c>
      <c r="M140" s="37">
        <f>J140-L140</f>
      </c>
      <c r="N140" s="38">
        <v>48.262</v>
      </c>
      <c r="O140" s="37">
        <f>J140*N140</f>
      </c>
      <c r="P140" s="37">
        <f>L140*N140</f>
      </c>
      <c r="Q140" s="39">
        <v>159.16812221</v>
      </c>
      <c r="R140" s="40">
        <f>J140*Q140</f>
      </c>
      <c r="S140" s="40">
        <f>L140*Q140</f>
      </c>
      <c r="T140" s="41">
        <f>IF(J140=0,0,L140/J140)</f>
      </c>
      <c r="U140" s="42">
        <f>IFERROR(INDEX(Paletes!$C$5:$C$393,MATCH(B140,Paletes!$A$5:$A$393,0)),"SEM CADASTRO")</f>
      </c>
      <c r="V140" s="36">
        <f>IFERROR(INDEX(Paletes!$D$5:$D$393,MATCH(B140,Paletes!$A$5:$A$393,0)),0)</f>
      </c>
      <c r="W140" s="43">
        <f>IF(V140=0,0,J140/V140)</f>
      </c>
      <c r="X140" s="43">
        <f>IF(V140=0,0,MAX(M140,0)/V140)</f>
      </c>
    </row>
    <row r="141" spans="1:24" x14ac:dyDescent="0.25">
      <c r="A141" s="20" t="str">
        <f>B141&amp;"."&amp;IFERROR(MID(D141,FIND("(",D141)+1,FIND(")",D141)-FIND("(",D141)-1),"")</f>
        <v>85644.48775</v>
      </c>
      <c r="B141" s="21">
        <v>85644</v>
      </c>
      <c r="C141" s="20" t="s">
        <v>295</v>
      </c>
      <c r="D141" s="20" t="s">
        <v>296</v>
      </c>
      <c r="E141" s="20">
        <v>99901</v>
      </c>
      <c r="F141" s="20" t="s">
        <v>25</v>
      </c>
      <c r="G141" s="20" t="s">
        <v>51</v>
      </c>
      <c r="H141" s="22">
        <f>IFERROR(INDEX(Linha!$B$5:$B$788,MATCH(A141,Linha!$A$5:$A$788,0)),"NÃO CADASTRADO")</f>
      </c>
      <c r="I141" s="22">
        <f>IFERROR(INDEX(Linha!$C$5:$C$788,MATCH(A141,Linha!$A$5:$A$788,0)),"-")</f>
      </c>
      <c r="J141" s="23">
        <v>184</v>
      </c>
      <c r="K141" s="24">
        <f>IFERROR(INDEX(Linha!$D$5:$D$788,MATCH(A141,Linha!$A$5:$A$788,0))*1,0)</f>
      </c>
      <c r="L141" s="24">
        <f>SUMIFS(Reservas!$K$5:$K$3669,Reservas!$A$5:$A$3669,A141)</f>
      </c>
      <c r="M141" s="25">
        <f>J141-L141</f>
      </c>
      <c r="N141" s="26">
        <v>16.575</v>
      </c>
      <c r="O141" s="25">
        <f>J141*N141</f>
      </c>
      <c r="P141" s="25">
        <f>L141*N141</f>
      </c>
      <c r="Q141" s="27">
        <v>257.4139891</v>
      </c>
      <c r="R141" s="28">
        <f>J141*Q141</f>
      </c>
      <c r="S141" s="28">
        <f>L141*Q141</f>
      </c>
      <c r="T141" s="29">
        <f>IF(J141=0,0,L141/J141)</f>
      </c>
      <c r="U141" s="30">
        <f>IFERROR(INDEX(Paletes!$C$5:$C$393,MATCH(B141,Paletes!$A$5:$A$393,0)),"SEM CADASTRO")</f>
      </c>
      <c r="V141" s="24">
        <f>IFERROR(INDEX(Paletes!$D$5:$D$393,MATCH(B141,Paletes!$A$5:$A$393,0)),0)</f>
      </c>
      <c r="W141" s="31">
        <f>IF(V141=0,0,J141/V141)</f>
      </c>
      <c r="X141" s="31">
        <f>IF(V141=0,0,MAX(M141,0)/V141)</f>
      </c>
    </row>
    <row r="142" spans="1:24" x14ac:dyDescent="0.25">
      <c r="A142" s="32" t="str">
        <f>B142&amp;"."&amp;IFERROR(MID(D142,FIND("(",D142)+1,FIND(")",D142)-FIND("(",D142)-1),"")</f>
        <v>87025.90077</v>
      </c>
      <c r="B142" s="33">
        <v>87025</v>
      </c>
      <c r="C142" s="32" t="s">
        <v>137</v>
      </c>
      <c r="D142" s="32" t="s">
        <v>297</v>
      </c>
      <c r="E142" s="32">
        <v>102955</v>
      </c>
      <c r="F142" s="32" t="s">
        <v>24</v>
      </c>
      <c r="G142" s="32" t="s">
        <v>51</v>
      </c>
      <c r="H142" s="34">
        <f>IFERROR(INDEX(Linha!$B$5:$B$788,MATCH(A142,Linha!$A$5:$A$788,0)),"NÃO CADASTRADO")</f>
      </c>
      <c r="I142" s="34">
        <f>IFERROR(INDEX(Linha!$C$5:$C$788,MATCH(A142,Linha!$A$5:$A$788,0)),"-")</f>
      </c>
      <c r="J142" s="35">
        <v>2</v>
      </c>
      <c r="K142" s="36">
        <f>IFERROR(INDEX(Linha!$D$5:$D$788,MATCH(A142,Linha!$A$5:$A$788,0))*1,0)</f>
      </c>
      <c r="L142" s="36">
        <f>SUMIFS(Reservas!$K$5:$K$3669,Reservas!$A$5:$A$3669,A142)</f>
      </c>
      <c r="M142" s="37">
        <f>J142-L142</f>
      </c>
      <c r="N142" s="38">
        <v>39</v>
      </c>
      <c r="O142" s="37">
        <f>J142*N142</f>
      </c>
      <c r="P142" s="37">
        <f>L142*N142</f>
      </c>
      <c r="Q142" s="39">
        <v>206.22667168</v>
      </c>
      <c r="R142" s="40">
        <f>J142*Q142</f>
      </c>
      <c r="S142" s="40">
        <f>L142*Q142</f>
      </c>
      <c r="T142" s="41">
        <f>IF(J142=0,0,L142/J142)</f>
      </c>
      <c r="U142" s="42">
        <f>IFERROR(INDEX(Paletes!$C$5:$C$393,MATCH(B142,Paletes!$A$5:$A$393,0)),"SEM CADASTRO")</f>
      </c>
      <c r="V142" s="36">
        <f>IFERROR(INDEX(Paletes!$D$5:$D$393,MATCH(B142,Paletes!$A$5:$A$393,0)),0)</f>
      </c>
      <c r="W142" s="43">
        <f>IF(V142=0,0,J142/V142)</f>
      </c>
      <c r="X142" s="43">
        <f>IF(V142=0,0,MAX(M142,0)/V142)</f>
      </c>
    </row>
    <row r="143" spans="1:24" x14ac:dyDescent="0.25">
      <c r="A143" s="20" t="str">
        <f>B143&amp;"."&amp;IFERROR(MID(D143,FIND("(",D143)+1,FIND(")",D143)-FIND("(",D143)-1),"")</f>
        <v>87123.90717</v>
      </c>
      <c r="B143" s="21">
        <v>87123</v>
      </c>
      <c r="C143" s="20" t="s">
        <v>148</v>
      </c>
      <c r="D143" s="20" t="s">
        <v>298</v>
      </c>
      <c r="E143" s="20">
        <v>104475</v>
      </c>
      <c r="F143" s="20" t="s">
        <v>26</v>
      </c>
      <c r="G143" s="20" t="s">
        <v>51</v>
      </c>
      <c r="H143" s="22">
        <f>IFERROR(INDEX(Linha!$B$5:$B$788,MATCH(A143,Linha!$A$5:$A$788,0)),"NÃO CADASTRADO")</f>
      </c>
      <c r="I143" s="22">
        <f>IFERROR(INDEX(Linha!$C$5:$C$788,MATCH(A143,Linha!$A$5:$A$788,0)),"-")</f>
      </c>
      <c r="J143" s="23">
        <v>195</v>
      </c>
      <c r="K143" s="24">
        <f>IFERROR(INDEX(Linha!$D$5:$D$788,MATCH(A143,Linha!$A$5:$A$788,0))*1,0)</f>
      </c>
      <c r="L143" s="24">
        <f>SUMIFS(Reservas!$K$5:$K$3669,Reservas!$A$5:$A$3669,A143)</f>
      </c>
      <c r="M143" s="25">
        <f>J143-L143</f>
      </c>
      <c r="N143" s="26">
        <v>55.575</v>
      </c>
      <c r="O143" s="25">
        <f>J143*N143</f>
      </c>
      <c r="P143" s="25">
        <f>L143*N143</f>
      </c>
      <c r="Q143" s="27">
        <v>275.22734932</v>
      </c>
      <c r="R143" s="28">
        <f>J143*Q143</f>
      </c>
      <c r="S143" s="28">
        <f>L143*Q143</f>
      </c>
      <c r="T143" s="29">
        <f>IF(J143=0,0,L143/J143)</f>
      </c>
      <c r="U143" s="30">
        <f>IFERROR(INDEX(Paletes!$C$5:$C$393,MATCH(B143,Paletes!$A$5:$A$393,0)),"SEM CADASTRO")</f>
      </c>
      <c r="V143" s="24">
        <f>IFERROR(INDEX(Paletes!$D$5:$D$393,MATCH(B143,Paletes!$A$5:$A$393,0)),0)</f>
      </c>
      <c r="W143" s="31">
        <f>IF(V143=0,0,J143/V143)</f>
      </c>
      <c r="X143" s="31">
        <f>IF(V143=0,0,MAX(M143,0)/V143)</f>
      </c>
    </row>
    <row r="144" spans="1:24" x14ac:dyDescent="0.25">
      <c r="A144" s="32" t="str">
        <f>B144&amp;"."&amp;IFERROR(MID(D144,FIND("(",D144)+1,FIND(")",D144)-FIND("(",D144)-1),"")</f>
        <v>74613.55688</v>
      </c>
      <c r="B144" s="33">
        <v>74613</v>
      </c>
      <c r="C144" s="32" t="s">
        <v>299</v>
      </c>
      <c r="D144" s="32" t="s">
        <v>300</v>
      </c>
      <c r="E144" s="32">
        <v>80749</v>
      </c>
      <c r="F144" s="32" t="s">
        <v>26</v>
      </c>
      <c r="G144" s="32" t="s">
        <v>51</v>
      </c>
      <c r="H144" s="34">
        <f>IFERROR(INDEX(Linha!$B$5:$B$788,MATCH(A144,Linha!$A$5:$A$788,0)),"NÃO CADASTRADO")</f>
      </c>
      <c r="I144" s="34">
        <f>IFERROR(INDEX(Linha!$C$5:$C$788,MATCH(A144,Linha!$A$5:$A$788,0)),"-")</f>
      </c>
      <c r="J144" s="35">
        <v>0</v>
      </c>
      <c r="K144" s="36">
        <f>IFERROR(INDEX(Linha!$D$5:$D$788,MATCH(A144,Linha!$A$5:$A$788,0))*1,0)</f>
      </c>
      <c r="L144" s="36">
        <f>SUMIFS(Reservas!$K$5:$K$3669,Reservas!$A$5:$A$3669,A144)</f>
      </c>
      <c r="M144" s="37">
        <f>J144-L144</f>
      </c>
      <c r="N144" s="38">
        <v>32.662</v>
      </c>
      <c r="O144" s="37">
        <f>J144*N144</f>
      </c>
      <c r="P144" s="37">
        <f>L144*N144</f>
      </c>
      <c r="Q144" s="39">
        <v>110.60583966</v>
      </c>
      <c r="R144" s="40">
        <f>J144*Q144</f>
      </c>
      <c r="S144" s="40">
        <f>L144*Q144</f>
      </c>
      <c r="T144" s="41">
        <f>IF(J144=0,0,L144/J144)</f>
      </c>
      <c r="U144" s="42">
        <f>IFERROR(INDEX(Paletes!$C$5:$C$393,MATCH(B144,Paletes!$A$5:$A$393,0)),"SEM CADASTRO")</f>
      </c>
      <c r="V144" s="36">
        <f>IFERROR(INDEX(Paletes!$D$5:$D$393,MATCH(B144,Paletes!$A$5:$A$393,0)),0)</f>
      </c>
      <c r="W144" s="43">
        <f>IF(V144=0,0,J144/V144)</f>
      </c>
      <c r="X144" s="43">
        <f>IF(V144=0,0,MAX(M144,0)/V144)</f>
      </c>
    </row>
    <row r="145" spans="1:24" x14ac:dyDescent="0.25">
      <c r="A145" s="20" t="str">
        <f>B145&amp;"."&amp;IFERROR(MID(D145,FIND("(",D145)+1,FIND(")",D145)-FIND("(",D145)-1),"")</f>
        <v>74671.55683</v>
      </c>
      <c r="B145" s="21">
        <v>74671</v>
      </c>
      <c r="C145" s="20" t="s">
        <v>301</v>
      </c>
      <c r="D145" s="20" t="s">
        <v>302</v>
      </c>
      <c r="E145" s="20">
        <v>80735</v>
      </c>
      <c r="F145" s="20" t="s">
        <v>26</v>
      </c>
      <c r="G145" s="20" t="s">
        <v>51</v>
      </c>
      <c r="H145" s="22">
        <f>IFERROR(INDEX(Linha!$B$5:$B$788,MATCH(A145,Linha!$A$5:$A$788,0)),"NÃO CADASTRADO")</f>
      </c>
      <c r="I145" s="22">
        <f>IFERROR(INDEX(Linha!$C$5:$C$788,MATCH(A145,Linha!$A$5:$A$788,0)),"-")</f>
      </c>
      <c r="J145" s="23">
        <v>0</v>
      </c>
      <c r="K145" s="24">
        <f>IFERROR(INDEX(Linha!$D$5:$D$788,MATCH(A145,Linha!$A$5:$A$788,0))*1,0)</f>
      </c>
      <c r="L145" s="24">
        <f>SUMIFS(Reservas!$K$5:$K$3669,Reservas!$A$5:$A$3669,A145)</f>
      </c>
      <c r="M145" s="25">
        <f>J145-L145</f>
      </c>
      <c r="N145" s="26">
        <v>42.607</v>
      </c>
      <c r="O145" s="25">
        <f>J145*N145</f>
      </c>
      <c r="P145" s="25">
        <f>L145*N145</f>
      </c>
      <c r="Q145" s="27">
        <v>149.5813192</v>
      </c>
      <c r="R145" s="28">
        <f>J145*Q145</f>
      </c>
      <c r="S145" s="28">
        <f>L145*Q145</f>
      </c>
      <c r="T145" s="29">
        <f>IF(J145=0,0,L145/J145)</f>
      </c>
      <c r="U145" s="30">
        <f>IFERROR(INDEX(Paletes!$C$5:$C$393,MATCH(B145,Paletes!$A$5:$A$393,0)),"SEM CADASTRO")</f>
      </c>
      <c r="V145" s="24">
        <f>IFERROR(INDEX(Paletes!$D$5:$D$393,MATCH(B145,Paletes!$A$5:$A$393,0)),0)</f>
      </c>
      <c r="W145" s="31">
        <f>IF(V145=0,0,J145/V145)</f>
      </c>
      <c r="X145" s="31">
        <f>IF(V145=0,0,MAX(M145,0)/V145)</f>
      </c>
    </row>
    <row r="146" spans="1:24" x14ac:dyDescent="0.25">
      <c r="A146" s="32" t="str">
        <f>B146&amp;"."&amp;IFERROR(MID(D146,FIND("(",D146)+1,FIND(")",D146)-FIND("(",D146)-1),"")</f>
        <v>73259.16521</v>
      </c>
      <c r="B146" s="33">
        <v>73259</v>
      </c>
      <c r="C146" s="32" t="s">
        <v>303</v>
      </c>
      <c r="D146" s="32" t="s">
        <v>304</v>
      </c>
      <c r="E146" s="32">
        <v>59350</v>
      </c>
      <c r="F146" s="32" t="s">
        <v>24</v>
      </c>
      <c r="G146" s="32" t="s">
        <v>51</v>
      </c>
      <c r="H146" s="34">
        <f>IFERROR(INDEX(Linha!$B$5:$B$788,MATCH(A146,Linha!$A$5:$A$788,0)),"NÃO CADASTRADO")</f>
      </c>
      <c r="I146" s="34">
        <f>IFERROR(INDEX(Linha!$C$5:$C$788,MATCH(A146,Linha!$A$5:$A$788,0)),"-")</f>
      </c>
      <c r="J146" s="35">
        <v>670</v>
      </c>
      <c r="K146" s="36">
        <f>IFERROR(INDEX(Linha!$D$5:$D$788,MATCH(A146,Linha!$A$5:$A$788,0))*1,0)</f>
      </c>
      <c r="L146" s="36">
        <f>SUMIFS(Reservas!$K$5:$K$3669,Reservas!$A$5:$A$3669,A146)</f>
      </c>
      <c r="M146" s="37">
        <f>J146-L146</f>
      </c>
      <c r="N146" s="38">
        <v>56.55</v>
      </c>
      <c r="O146" s="37">
        <f>J146*N146</f>
      </c>
      <c r="P146" s="37">
        <f>L146*N146</f>
      </c>
      <c r="Q146" s="39">
        <v>224.60231136</v>
      </c>
      <c r="R146" s="40">
        <f>J146*Q146</f>
      </c>
      <c r="S146" s="40">
        <f>L146*Q146</f>
      </c>
      <c r="T146" s="41">
        <f>IF(J146=0,0,L146/J146)</f>
      </c>
      <c r="U146" s="42">
        <f>IFERROR(INDEX(Paletes!$C$5:$C$393,MATCH(B146,Paletes!$A$5:$A$393,0)),"SEM CADASTRO")</f>
      </c>
      <c r="V146" s="36">
        <f>IFERROR(INDEX(Paletes!$D$5:$D$393,MATCH(B146,Paletes!$A$5:$A$393,0)),0)</f>
      </c>
      <c r="W146" s="43">
        <f>IF(V146=0,0,J146/V146)</f>
      </c>
      <c r="X146" s="43">
        <f>IF(V146=0,0,MAX(M146,0)/V146)</f>
      </c>
    </row>
    <row r="147" spans="1:24" x14ac:dyDescent="0.25">
      <c r="A147" s="20" t="str">
        <f>B147&amp;"."&amp;IFERROR(MID(D147,FIND("(",D147)+1,FIND(")",D147)-FIND("(",D147)-1),"")</f>
        <v>101.88275</v>
      </c>
      <c r="B147" s="21">
        <v>101</v>
      </c>
      <c r="C147" s="20" t="s">
        <v>305</v>
      </c>
      <c r="D147" s="20" t="s">
        <v>306</v>
      </c>
      <c r="E147" s="20">
        <v>59618</v>
      </c>
      <c r="F147" s="20" t="s">
        <v>26</v>
      </c>
      <c r="G147" s="20" t="s">
        <v>51</v>
      </c>
      <c r="H147" s="22">
        <f>IFERROR(INDEX(Linha!$B$5:$B$788,MATCH(A147,Linha!$A$5:$A$788,0)),"NÃO CADASTRADO")</f>
      </c>
      <c r="I147" s="22">
        <f>IFERROR(INDEX(Linha!$C$5:$C$788,MATCH(A147,Linha!$A$5:$A$788,0)),"-")</f>
      </c>
      <c r="J147" s="23">
        <v>0</v>
      </c>
      <c r="K147" s="24">
        <f>IFERROR(INDEX(Linha!$D$5:$D$788,MATCH(A147,Linha!$A$5:$A$788,0))*1,0)</f>
      </c>
      <c r="L147" s="24">
        <f>SUMIFS(Reservas!$K$5:$K$3669,Reservas!$A$5:$A$3669,A147)</f>
      </c>
      <c r="M147" s="25">
        <f>J147-L147</f>
      </c>
      <c r="N147" s="26">
        <v>66.787</v>
      </c>
      <c r="O147" s="25">
        <f>J147*N147</f>
      </c>
      <c r="P147" s="25">
        <f>L147*N147</f>
      </c>
      <c r="Q147" s="27">
        <v>219.00895573</v>
      </c>
      <c r="R147" s="28">
        <f>J147*Q147</f>
      </c>
      <c r="S147" s="28">
        <f>L147*Q147</f>
      </c>
      <c r="T147" s="29">
        <f>IF(J147=0,0,L147/J147)</f>
      </c>
      <c r="U147" s="30">
        <f>IFERROR(INDEX(Paletes!$C$5:$C$393,MATCH(B147,Paletes!$A$5:$A$393,0)),"SEM CADASTRO")</f>
      </c>
      <c r="V147" s="24">
        <f>IFERROR(INDEX(Paletes!$D$5:$D$393,MATCH(B147,Paletes!$A$5:$A$393,0)),0)</f>
      </c>
      <c r="W147" s="31">
        <f>IF(V147=0,0,J147/V147)</f>
      </c>
      <c r="X147" s="31">
        <f>IF(V147=0,0,MAX(M147,0)/V147)</f>
      </c>
    </row>
    <row r="148" spans="1:24" x14ac:dyDescent="0.25">
      <c r="A148" s="32" t="str">
        <f>B148&amp;"."&amp;IFERROR(MID(D148,FIND("(",D148)+1,FIND(")",D148)-FIND("(",D148)-1),"")</f>
        <v>2086.12970</v>
      </c>
      <c r="B148" s="33">
        <v>2086</v>
      </c>
      <c r="C148" s="32" t="s">
        <v>307</v>
      </c>
      <c r="D148" s="32" t="s">
        <v>308</v>
      </c>
      <c r="E148" s="32">
        <v>59959</v>
      </c>
      <c r="F148" s="32" t="s">
        <v>26</v>
      </c>
      <c r="G148" s="32" t="s">
        <v>51</v>
      </c>
      <c r="H148" s="34">
        <f>IFERROR(INDEX(Linha!$B$5:$B$788,MATCH(A148,Linha!$A$5:$A$788,0)),"NÃO CADASTRADO")</f>
      </c>
      <c r="I148" s="34">
        <f>IFERROR(INDEX(Linha!$C$5:$C$788,MATCH(A148,Linha!$A$5:$A$788,0)),"-")</f>
      </c>
      <c r="J148" s="35">
        <v>174</v>
      </c>
      <c r="K148" s="36">
        <f>IFERROR(INDEX(Linha!$D$5:$D$788,MATCH(A148,Linha!$A$5:$A$788,0))*1,0)</f>
      </c>
      <c r="L148" s="36">
        <f>SUMIFS(Reservas!$K$5:$K$3669,Reservas!$A$5:$A$3669,A148)</f>
      </c>
      <c r="M148" s="37">
        <f>J148-L148</f>
      </c>
      <c r="N148" s="38">
        <v>35.587</v>
      </c>
      <c r="O148" s="37">
        <f>J148*N148</f>
      </c>
      <c r="P148" s="37">
        <f>L148*N148</f>
      </c>
      <c r="Q148" s="39">
        <v>113.2898195</v>
      </c>
      <c r="R148" s="40">
        <f>J148*Q148</f>
      </c>
      <c r="S148" s="40">
        <f>L148*Q148</f>
      </c>
      <c r="T148" s="41">
        <f>IF(J148=0,0,L148/J148)</f>
      </c>
      <c r="U148" s="42">
        <f>IFERROR(INDEX(Paletes!$C$5:$C$393,MATCH(B148,Paletes!$A$5:$A$393,0)),"SEM CADASTRO")</f>
      </c>
      <c r="V148" s="36">
        <f>IFERROR(INDEX(Paletes!$D$5:$D$393,MATCH(B148,Paletes!$A$5:$A$393,0)),0)</f>
      </c>
      <c r="W148" s="43">
        <f>IF(V148=0,0,J148/V148)</f>
      </c>
      <c r="X148" s="43">
        <f>IF(V148=0,0,MAX(M148,0)/V148)</f>
      </c>
    </row>
    <row r="149" spans="1:24" x14ac:dyDescent="0.25">
      <c r="A149" s="20" t="str">
        <f>B149&amp;"."&amp;IFERROR(MID(D149,FIND("(",D149)+1,FIND(")",D149)-FIND("(",D149)-1),"")</f>
        <v>74272.78658</v>
      </c>
      <c r="B149" s="21">
        <v>74272</v>
      </c>
      <c r="C149" s="20" t="s">
        <v>309</v>
      </c>
      <c r="D149" s="20" t="s">
        <v>310</v>
      </c>
      <c r="E149" s="20">
        <v>60629</v>
      </c>
      <c r="F149" s="20" t="s">
        <v>26</v>
      </c>
      <c r="G149" s="20" t="s">
        <v>51</v>
      </c>
      <c r="H149" s="22">
        <f>IFERROR(INDEX(Linha!$B$5:$B$788,MATCH(A149,Linha!$A$5:$A$788,0)),"NÃO CADASTRADO")</f>
      </c>
      <c r="I149" s="22">
        <f>IFERROR(INDEX(Linha!$C$5:$C$788,MATCH(A149,Linha!$A$5:$A$788,0)),"-")</f>
      </c>
      <c r="J149" s="23">
        <v>1</v>
      </c>
      <c r="K149" s="24">
        <f>IFERROR(INDEX(Linha!$D$5:$D$788,MATCH(A149,Linha!$A$5:$A$788,0))*1,0)</f>
      </c>
      <c r="L149" s="24">
        <f>SUMIFS(Reservas!$K$5:$K$3669,Reservas!$A$5:$A$3669,A149)</f>
      </c>
      <c r="M149" s="25">
        <f>J149-L149</f>
      </c>
      <c r="N149" s="26">
        <v>66.787</v>
      </c>
      <c r="O149" s="25">
        <f>J149*N149</f>
      </c>
      <c r="P149" s="25">
        <f>L149*N149</f>
      </c>
      <c r="Q149" s="27">
        <v>217.92138413</v>
      </c>
      <c r="R149" s="28">
        <f>J149*Q149</f>
      </c>
      <c r="S149" s="28">
        <f>L149*Q149</f>
      </c>
      <c r="T149" s="29">
        <f>IF(J149=0,0,L149/J149)</f>
      </c>
      <c r="U149" s="30">
        <f>IFERROR(INDEX(Paletes!$C$5:$C$393,MATCH(B149,Paletes!$A$5:$A$393,0)),"SEM CADASTRO")</f>
      </c>
      <c r="V149" s="24">
        <f>IFERROR(INDEX(Paletes!$D$5:$D$393,MATCH(B149,Paletes!$A$5:$A$393,0)),0)</f>
      </c>
      <c r="W149" s="31">
        <f>IF(V149=0,0,J149/V149)</f>
      </c>
      <c r="X149" s="31">
        <f>IF(V149=0,0,MAX(M149,0)/V149)</f>
      </c>
    </row>
    <row r="150" spans="1:24" x14ac:dyDescent="0.25">
      <c r="A150" s="32" t="str">
        <f>B150&amp;"."&amp;IFERROR(MID(D150,FIND("(",D150)+1,FIND(")",D150)-FIND("(",D150)-1),"")</f>
        <v>73534.16702</v>
      </c>
      <c r="B150" s="33">
        <v>73534</v>
      </c>
      <c r="C150" s="32" t="s">
        <v>311</v>
      </c>
      <c r="D150" s="32" t="s">
        <v>312</v>
      </c>
      <c r="E150" s="32">
        <v>65348</v>
      </c>
      <c r="F150" s="32" t="s">
        <v>25</v>
      </c>
      <c r="G150" s="32" t="s">
        <v>51</v>
      </c>
      <c r="H150" s="34">
        <f>IFERROR(INDEX(Linha!$B$5:$B$788,MATCH(A150,Linha!$A$5:$A$788,0)),"NÃO CADASTRADO")</f>
      </c>
      <c r="I150" s="34">
        <f>IFERROR(INDEX(Linha!$C$5:$C$788,MATCH(A150,Linha!$A$5:$A$788,0)),"-")</f>
      </c>
      <c r="J150" s="35">
        <v>0</v>
      </c>
      <c r="K150" s="36">
        <f>IFERROR(INDEX(Linha!$D$5:$D$788,MATCH(A150,Linha!$A$5:$A$788,0))*1,0)</f>
      </c>
      <c r="L150" s="36">
        <f>SUMIFS(Reservas!$K$5:$K$3669,Reservas!$A$5:$A$3669,A150)</f>
      </c>
      <c r="M150" s="37">
        <f>J150-L150</f>
      </c>
      <c r="N150" s="38">
        <v>11.358</v>
      </c>
      <c r="O150" s="37">
        <f>J150*N150</f>
      </c>
      <c r="P150" s="37">
        <f>L150*N150</f>
      </c>
      <c r="Q150" s="39">
        <v>79.98530468</v>
      </c>
      <c r="R150" s="40">
        <f>J150*Q150</f>
      </c>
      <c r="S150" s="40">
        <f>L150*Q150</f>
      </c>
      <c r="T150" s="41">
        <f>IF(J150=0,0,L150/J150)</f>
      </c>
      <c r="U150" s="42">
        <f>IFERROR(INDEX(Paletes!$C$5:$C$393,MATCH(B150,Paletes!$A$5:$A$393,0)),"SEM CADASTRO")</f>
      </c>
      <c r="V150" s="36">
        <f>IFERROR(INDEX(Paletes!$D$5:$D$393,MATCH(B150,Paletes!$A$5:$A$393,0)),0)</f>
      </c>
      <c r="W150" s="43">
        <f>IF(V150=0,0,J150/V150)</f>
      </c>
      <c r="X150" s="43">
        <f>IF(V150=0,0,MAX(M150,0)/V150)</f>
      </c>
    </row>
    <row r="151" spans="1:24" x14ac:dyDescent="0.25">
      <c r="A151" s="20" t="str">
        <f>B151&amp;"."&amp;IFERROR(MID(D151,FIND("(",D151)+1,FIND(")",D151)-FIND("(",D151)-1),"")</f>
        <v>73534.16701</v>
      </c>
      <c r="B151" s="21">
        <v>73534</v>
      </c>
      <c r="C151" s="20" t="s">
        <v>311</v>
      </c>
      <c r="D151" s="20" t="s">
        <v>313</v>
      </c>
      <c r="E151" s="20">
        <v>65348</v>
      </c>
      <c r="F151" s="20" t="s">
        <v>25</v>
      </c>
      <c r="G151" s="20" t="s">
        <v>51</v>
      </c>
      <c r="H151" s="22">
        <f>IFERROR(INDEX(Linha!$B$5:$B$788,MATCH(A151,Linha!$A$5:$A$788,0)),"NÃO CADASTRADO")</f>
      </c>
      <c r="I151" s="22">
        <f>IFERROR(INDEX(Linha!$C$5:$C$788,MATCH(A151,Linha!$A$5:$A$788,0)),"-")</f>
      </c>
      <c r="J151" s="23">
        <v>0</v>
      </c>
      <c r="K151" s="24">
        <f>IFERROR(INDEX(Linha!$D$5:$D$788,MATCH(A151,Linha!$A$5:$A$788,0))*1,0)</f>
      </c>
      <c r="L151" s="24">
        <f>SUMIFS(Reservas!$K$5:$K$3669,Reservas!$A$5:$A$3669,A151)</f>
      </c>
      <c r="M151" s="25">
        <f>J151-L151</f>
      </c>
      <c r="N151" s="26">
        <v>11.358</v>
      </c>
      <c r="O151" s="25">
        <f>J151*N151</f>
      </c>
      <c r="P151" s="25">
        <f>L151*N151</f>
      </c>
      <c r="Q151" s="27">
        <v>95.70791133</v>
      </c>
      <c r="R151" s="28">
        <f>J151*Q151</f>
      </c>
      <c r="S151" s="28">
        <f>L151*Q151</f>
      </c>
      <c r="T151" s="29">
        <f>IF(J151=0,0,L151/J151)</f>
      </c>
      <c r="U151" s="30">
        <f>IFERROR(INDEX(Paletes!$C$5:$C$393,MATCH(B151,Paletes!$A$5:$A$393,0)),"SEM CADASTRO")</f>
      </c>
      <c r="V151" s="24">
        <f>IFERROR(INDEX(Paletes!$D$5:$D$393,MATCH(B151,Paletes!$A$5:$A$393,0)),0)</f>
      </c>
      <c r="W151" s="31">
        <f>IF(V151=0,0,J151/V151)</f>
      </c>
      <c r="X151" s="31">
        <f>IF(V151=0,0,MAX(M151,0)/V151)</f>
      </c>
    </row>
    <row r="152" spans="1:24" x14ac:dyDescent="0.25">
      <c r="A152" s="32" t="str">
        <f>B152&amp;"."&amp;IFERROR(MID(D152,FIND("(",D152)+1,FIND(")",D152)-FIND("(",D152)-1),"")</f>
        <v>73534.46226</v>
      </c>
      <c r="B152" s="33">
        <v>73534</v>
      </c>
      <c r="C152" s="32" t="s">
        <v>311</v>
      </c>
      <c r="D152" s="32" t="s">
        <v>314</v>
      </c>
      <c r="E152" s="32">
        <v>65348</v>
      </c>
      <c r="F152" s="32" t="s">
        <v>25</v>
      </c>
      <c r="G152" s="32" t="s">
        <v>51</v>
      </c>
      <c r="H152" s="34">
        <f>IFERROR(INDEX(Linha!$B$5:$B$788,MATCH(A152,Linha!$A$5:$A$788,0)),"NÃO CADASTRADO")</f>
      </c>
      <c r="I152" s="34">
        <f>IFERROR(INDEX(Linha!$C$5:$C$788,MATCH(A152,Linha!$A$5:$A$788,0)),"-")</f>
      </c>
      <c r="J152" s="35">
        <v>0</v>
      </c>
      <c r="K152" s="36">
        <f>IFERROR(INDEX(Linha!$D$5:$D$788,MATCH(A152,Linha!$A$5:$A$788,0))*1,0)</f>
      </c>
      <c r="L152" s="36">
        <f>SUMIFS(Reservas!$K$5:$K$3669,Reservas!$A$5:$A$3669,A152)</f>
      </c>
      <c r="M152" s="37">
        <f>J152-L152</f>
      </c>
      <c r="N152" s="38">
        <v>11.358</v>
      </c>
      <c r="O152" s="37">
        <f>J152*N152</f>
      </c>
      <c r="P152" s="37">
        <f>L152*N152</f>
      </c>
      <c r="Q152" s="39">
        <v>96.71209654</v>
      </c>
      <c r="R152" s="40">
        <f>J152*Q152</f>
      </c>
      <c r="S152" s="40">
        <f>L152*Q152</f>
      </c>
      <c r="T152" s="41">
        <f>IF(J152=0,0,L152/J152)</f>
      </c>
      <c r="U152" s="42">
        <f>IFERROR(INDEX(Paletes!$C$5:$C$393,MATCH(B152,Paletes!$A$5:$A$393,0)),"SEM CADASTRO")</f>
      </c>
      <c r="V152" s="36">
        <f>IFERROR(INDEX(Paletes!$D$5:$D$393,MATCH(B152,Paletes!$A$5:$A$393,0)),0)</f>
      </c>
      <c r="W152" s="43">
        <f>IF(V152=0,0,J152/V152)</f>
      </c>
      <c r="X152" s="43">
        <f>IF(V152=0,0,MAX(M152,0)/V152)</f>
      </c>
    </row>
    <row r="153" spans="1:24" x14ac:dyDescent="0.25">
      <c r="A153" s="20" t="str">
        <f>B153&amp;"."&amp;IFERROR(MID(D153,FIND("(",D153)+1,FIND(")",D153)-FIND("(",D153)-1),"")</f>
        <v>73378.20171</v>
      </c>
      <c r="B153" s="21">
        <v>73378</v>
      </c>
      <c r="C153" s="20" t="s">
        <v>315</v>
      </c>
      <c r="D153" s="20" t="s">
        <v>316</v>
      </c>
      <c r="E153" s="20">
        <v>65950</v>
      </c>
      <c r="F153" s="20" t="s">
        <v>25</v>
      </c>
      <c r="G153" s="20" t="s">
        <v>51</v>
      </c>
      <c r="H153" s="22">
        <f>IFERROR(INDEX(Linha!$B$5:$B$788,MATCH(A153,Linha!$A$5:$A$788,0)),"NÃO CADASTRADO")</f>
      </c>
      <c r="I153" s="22">
        <f>IFERROR(INDEX(Linha!$C$5:$C$788,MATCH(A153,Linha!$A$5:$A$788,0)),"-")</f>
      </c>
      <c r="J153" s="23">
        <v>0</v>
      </c>
      <c r="K153" s="24">
        <f>IFERROR(INDEX(Linha!$D$5:$D$788,MATCH(A153,Linha!$A$5:$A$788,0))*1,0)</f>
      </c>
      <c r="L153" s="24">
        <f>SUMIFS(Reservas!$K$5:$K$3669,Reservas!$A$5:$A$3669,A153)</f>
      </c>
      <c r="M153" s="25">
        <f>J153-L153</f>
      </c>
      <c r="N153" s="26">
        <v>29.25</v>
      </c>
      <c r="O153" s="25">
        <f>J153*N153</f>
      </c>
      <c r="P153" s="25">
        <f>L153*N153</f>
      </c>
      <c r="Q153" s="27">
        <v>130.18859573</v>
      </c>
      <c r="R153" s="28">
        <f>J153*Q153</f>
      </c>
      <c r="S153" s="28">
        <f>L153*Q153</f>
      </c>
      <c r="T153" s="29">
        <f>IF(J153=0,0,L153/J153)</f>
      </c>
      <c r="U153" s="30">
        <f>IFERROR(INDEX(Paletes!$C$5:$C$393,MATCH(B153,Paletes!$A$5:$A$393,0)),"SEM CADASTRO")</f>
      </c>
      <c r="V153" s="24">
        <f>IFERROR(INDEX(Paletes!$D$5:$D$393,MATCH(B153,Paletes!$A$5:$A$393,0)),0)</f>
      </c>
      <c r="W153" s="31">
        <f>IF(V153=0,0,J153/V153)</f>
      </c>
      <c r="X153" s="31">
        <f>IF(V153=0,0,MAX(M153,0)/V153)</f>
      </c>
    </row>
    <row r="154" spans="1:24" x14ac:dyDescent="0.25">
      <c r="A154" s="32" t="str">
        <f>B154&amp;"."&amp;IFERROR(MID(D154,FIND("(",D154)+1,FIND(")",D154)-FIND("(",D154)-1),"")</f>
        <v>73371.16254</v>
      </c>
      <c r="B154" s="33">
        <v>73371</v>
      </c>
      <c r="C154" s="32" t="s">
        <v>317</v>
      </c>
      <c r="D154" s="32" t="s">
        <v>318</v>
      </c>
      <c r="E154" s="32">
        <v>72717</v>
      </c>
      <c r="F154" s="32" t="s">
        <v>25</v>
      </c>
      <c r="G154" s="32" t="s">
        <v>51</v>
      </c>
      <c r="H154" s="34">
        <f>IFERROR(INDEX(Linha!$B$5:$B$788,MATCH(A154,Linha!$A$5:$A$788,0)),"NÃO CADASTRADO")</f>
      </c>
      <c r="I154" s="34">
        <f>IFERROR(INDEX(Linha!$C$5:$C$788,MATCH(A154,Linha!$A$5:$A$788,0)),"-")</f>
      </c>
      <c r="J154" s="35">
        <v>37</v>
      </c>
      <c r="K154" s="36">
        <f>IFERROR(INDEX(Linha!$D$5:$D$788,MATCH(A154,Linha!$A$5:$A$788,0))*1,0)</f>
      </c>
      <c r="L154" s="36">
        <f>SUMIFS(Reservas!$K$5:$K$3669,Reservas!$A$5:$A$3669,A154)</f>
      </c>
      <c r="M154" s="37">
        <f>J154-L154</f>
      </c>
      <c r="N154" s="38">
        <v>17.696</v>
      </c>
      <c r="O154" s="37">
        <f>J154*N154</f>
      </c>
      <c r="P154" s="37">
        <f>L154*N154</f>
      </c>
      <c r="Q154" s="39">
        <v>79.28350042</v>
      </c>
      <c r="R154" s="40">
        <f>J154*Q154</f>
      </c>
      <c r="S154" s="40">
        <f>L154*Q154</f>
      </c>
      <c r="T154" s="41">
        <f>IF(J154=0,0,L154/J154)</f>
      </c>
      <c r="U154" s="42">
        <f>IFERROR(INDEX(Paletes!$C$5:$C$393,MATCH(B154,Paletes!$A$5:$A$393,0)),"SEM CADASTRO")</f>
      </c>
      <c r="V154" s="36">
        <f>IFERROR(INDEX(Paletes!$D$5:$D$393,MATCH(B154,Paletes!$A$5:$A$393,0)),0)</f>
      </c>
      <c r="W154" s="43">
        <f>IF(V154=0,0,J154/V154)</f>
      </c>
      <c r="X154" s="43">
        <f>IF(V154=0,0,MAX(M154,0)/V154)</f>
      </c>
    </row>
    <row r="155" spans="1:24" x14ac:dyDescent="0.25">
      <c r="A155" s="20" t="str">
        <f>B155&amp;"."&amp;IFERROR(MID(D155,FIND("(",D155)+1,FIND(")",D155)-FIND("(",D155)-1),"")</f>
        <v>73351.15618</v>
      </c>
      <c r="B155" s="21">
        <v>73351</v>
      </c>
      <c r="C155" s="20" t="s">
        <v>319</v>
      </c>
      <c r="D155" s="20" t="s">
        <v>320</v>
      </c>
      <c r="E155" s="20">
        <v>72718</v>
      </c>
      <c r="F155" s="20" t="s">
        <v>25</v>
      </c>
      <c r="G155" s="20" t="s">
        <v>51</v>
      </c>
      <c r="H155" s="22">
        <f>IFERROR(INDEX(Linha!$B$5:$B$788,MATCH(A155,Linha!$A$5:$A$788,0)),"NÃO CADASTRADO")</f>
      </c>
      <c r="I155" s="22">
        <f>IFERROR(INDEX(Linha!$C$5:$C$788,MATCH(A155,Linha!$A$5:$A$788,0)),"-")</f>
      </c>
      <c r="J155" s="23">
        <v>69</v>
      </c>
      <c r="K155" s="24">
        <f>IFERROR(INDEX(Linha!$D$5:$D$788,MATCH(A155,Linha!$A$5:$A$788,0))*1,0)</f>
      </c>
      <c r="L155" s="24">
        <f>SUMIFS(Reservas!$K$5:$K$3669,Reservas!$A$5:$A$3669,A155)</f>
      </c>
      <c r="M155" s="25">
        <f>J155-L155</f>
      </c>
      <c r="N155" s="26">
        <v>26.325</v>
      </c>
      <c r="O155" s="25">
        <f>J155*N155</f>
      </c>
      <c r="P155" s="25">
        <f>L155*N155</f>
      </c>
      <c r="Q155" s="27">
        <v>133.74173616</v>
      </c>
      <c r="R155" s="28">
        <f>J155*Q155</f>
      </c>
      <c r="S155" s="28">
        <f>L155*Q155</f>
      </c>
      <c r="T155" s="29">
        <f>IF(J155=0,0,L155/J155)</f>
      </c>
      <c r="U155" s="30">
        <f>IFERROR(INDEX(Paletes!$C$5:$C$393,MATCH(B155,Paletes!$A$5:$A$393,0)),"SEM CADASTRO")</f>
      </c>
      <c r="V155" s="24">
        <f>IFERROR(INDEX(Paletes!$D$5:$D$393,MATCH(B155,Paletes!$A$5:$A$393,0)),0)</f>
      </c>
      <c r="W155" s="31">
        <f>IF(V155=0,0,J155/V155)</f>
      </c>
      <c r="X155" s="31">
        <f>IF(V155=0,0,MAX(M155,0)/V155)</f>
      </c>
    </row>
    <row r="156" spans="1:24" x14ac:dyDescent="0.25">
      <c r="A156" s="32" t="str">
        <f>B156&amp;"."&amp;IFERROR(MID(D156,FIND("(",D156)+1,FIND(")",D156)-FIND("(",D156)-1),"")</f>
        <v>2108.13402</v>
      </c>
      <c r="B156" s="33">
        <v>2108</v>
      </c>
      <c r="C156" s="32" t="s">
        <v>321</v>
      </c>
      <c r="D156" s="32" t="s">
        <v>322</v>
      </c>
      <c r="E156" s="32">
        <v>72914</v>
      </c>
      <c r="F156" s="32" t="s">
        <v>26</v>
      </c>
      <c r="G156" s="32" t="s">
        <v>51</v>
      </c>
      <c r="H156" s="34">
        <f>IFERROR(INDEX(Linha!$B$5:$B$788,MATCH(A156,Linha!$A$5:$A$788,0)),"NÃO CADASTRADO")</f>
      </c>
      <c r="I156" s="34">
        <f>IFERROR(INDEX(Linha!$C$5:$C$788,MATCH(A156,Linha!$A$5:$A$788,0)),"-")</f>
      </c>
      <c r="J156" s="35">
        <v>925</v>
      </c>
      <c r="K156" s="36">
        <f>IFERROR(INDEX(Linha!$D$5:$D$788,MATCH(A156,Linha!$A$5:$A$788,0))*1,0)</f>
      </c>
      <c r="L156" s="36">
        <f>SUMIFS(Reservas!$K$5:$K$3669,Reservas!$A$5:$A$3669,A156)</f>
      </c>
      <c r="M156" s="37">
        <f>J156-L156</f>
      </c>
      <c r="N156" s="38">
        <v>48.555</v>
      </c>
      <c r="O156" s="37">
        <f>J156*N156</f>
      </c>
      <c r="P156" s="37">
        <f>L156*N156</f>
      </c>
      <c r="Q156" s="39">
        <v>163.18012958</v>
      </c>
      <c r="R156" s="40">
        <f>J156*Q156</f>
      </c>
      <c r="S156" s="40">
        <f>L156*Q156</f>
      </c>
      <c r="T156" s="41">
        <f>IF(J156=0,0,L156/J156)</f>
      </c>
      <c r="U156" s="42">
        <f>IFERROR(INDEX(Paletes!$C$5:$C$393,MATCH(B156,Paletes!$A$5:$A$393,0)),"SEM CADASTRO")</f>
      </c>
      <c r="V156" s="36">
        <f>IFERROR(INDEX(Paletes!$D$5:$D$393,MATCH(B156,Paletes!$A$5:$A$393,0)),0)</f>
      </c>
      <c r="W156" s="43">
        <f>IF(V156=0,0,J156/V156)</f>
      </c>
      <c r="X156" s="43">
        <f>IF(V156=0,0,MAX(M156,0)/V156)</f>
      </c>
    </row>
    <row r="157" spans="1:24" x14ac:dyDescent="0.25">
      <c r="A157" s="20" t="str">
        <f>B157&amp;"."&amp;IFERROR(MID(D157,FIND("(",D157)+1,FIND(")",D157)-FIND("(",D157)-1),"")</f>
        <v>2110.12848</v>
      </c>
      <c r="B157" s="21">
        <v>2110</v>
      </c>
      <c r="C157" s="20" t="s">
        <v>323</v>
      </c>
      <c r="D157" s="20" t="s">
        <v>324</v>
      </c>
      <c r="E157" s="20">
        <v>72916</v>
      </c>
      <c r="F157" s="20" t="s">
        <v>26</v>
      </c>
      <c r="G157" s="20" t="s">
        <v>51</v>
      </c>
      <c r="H157" s="22">
        <f>IFERROR(INDEX(Linha!$B$5:$B$788,MATCH(A157,Linha!$A$5:$A$788,0)),"NÃO CADASTRADO")</f>
      </c>
      <c r="I157" s="22">
        <f>IFERROR(INDEX(Linha!$C$5:$C$788,MATCH(A157,Linha!$A$5:$A$788,0)),"-")</f>
      </c>
      <c r="J157" s="23">
        <v>637</v>
      </c>
      <c r="K157" s="24">
        <f>IFERROR(INDEX(Linha!$D$5:$D$788,MATCH(A157,Linha!$A$5:$A$788,0))*1,0)</f>
      </c>
      <c r="L157" s="24">
        <f>SUMIFS(Reservas!$K$5:$K$3669,Reservas!$A$5:$A$3669,A157)</f>
      </c>
      <c r="M157" s="25">
        <f>J157-L157</f>
      </c>
      <c r="N157" s="26">
        <v>55.477</v>
      </c>
      <c r="O157" s="25">
        <f>J157*N157</f>
      </c>
      <c r="P157" s="25">
        <f>L157*N157</f>
      </c>
      <c r="Q157" s="27">
        <v>164.24021236</v>
      </c>
      <c r="R157" s="28">
        <f>J157*Q157</f>
      </c>
      <c r="S157" s="28">
        <f>L157*Q157</f>
      </c>
      <c r="T157" s="29">
        <f>IF(J157=0,0,L157/J157)</f>
      </c>
      <c r="U157" s="30">
        <f>IFERROR(INDEX(Paletes!$C$5:$C$393,MATCH(B157,Paletes!$A$5:$A$393,0)),"SEM CADASTRO")</f>
      </c>
      <c r="V157" s="24">
        <f>IFERROR(INDEX(Paletes!$D$5:$D$393,MATCH(B157,Paletes!$A$5:$A$393,0)),0)</f>
      </c>
      <c r="W157" s="31">
        <f>IF(V157=0,0,J157/V157)</f>
      </c>
      <c r="X157" s="31">
        <f>IF(V157=0,0,MAX(M157,0)/V157)</f>
      </c>
    </row>
    <row r="158" spans="1:24" x14ac:dyDescent="0.25">
      <c r="A158" s="32" t="str">
        <f>B158&amp;"."&amp;IFERROR(MID(D158,FIND("(",D158)+1,FIND(")",D158)-FIND("(",D158)-1),"")</f>
        <v>2320.13072</v>
      </c>
      <c r="B158" s="33">
        <v>2320</v>
      </c>
      <c r="C158" s="32" t="s">
        <v>325</v>
      </c>
      <c r="D158" s="32" t="s">
        <v>326</v>
      </c>
      <c r="E158" s="32">
        <v>73373</v>
      </c>
      <c r="F158" s="32" t="s">
        <v>26</v>
      </c>
      <c r="G158" s="32" t="s">
        <v>51</v>
      </c>
      <c r="H158" s="34">
        <f>IFERROR(INDEX(Linha!$B$5:$B$788,MATCH(A158,Linha!$A$5:$A$788,0)),"NÃO CADASTRADO")</f>
      </c>
      <c r="I158" s="34">
        <f>IFERROR(INDEX(Linha!$C$5:$C$788,MATCH(A158,Linha!$A$5:$A$788,0)),"-")</f>
      </c>
      <c r="J158" s="35">
        <v>533</v>
      </c>
      <c r="K158" s="36">
        <f>IFERROR(INDEX(Linha!$D$5:$D$788,MATCH(A158,Linha!$A$5:$A$788,0))*1,0)</f>
      </c>
      <c r="L158" s="36">
        <f>SUMIFS(Reservas!$K$5:$K$3669,Reservas!$A$5:$A$3669,A158)</f>
      </c>
      <c r="M158" s="37">
        <f>J158-L158</f>
      </c>
      <c r="N158" s="38">
        <v>57.622</v>
      </c>
      <c r="O158" s="37">
        <f>J158*N158</f>
      </c>
      <c r="P158" s="37">
        <f>L158*N158</f>
      </c>
      <c r="Q158" s="39">
        <v>184.96052923</v>
      </c>
      <c r="R158" s="40">
        <f>J158*Q158</f>
      </c>
      <c r="S158" s="40">
        <f>L158*Q158</f>
      </c>
      <c r="T158" s="41">
        <f>IF(J158=0,0,L158/J158)</f>
      </c>
      <c r="U158" s="42">
        <f>IFERROR(INDEX(Paletes!$C$5:$C$393,MATCH(B158,Paletes!$A$5:$A$393,0)),"SEM CADASTRO")</f>
      </c>
      <c r="V158" s="36">
        <f>IFERROR(INDEX(Paletes!$D$5:$D$393,MATCH(B158,Paletes!$A$5:$A$393,0)),0)</f>
      </c>
      <c r="W158" s="43">
        <f>IF(V158=0,0,J158/V158)</f>
      </c>
      <c r="X158" s="43">
        <f>IF(V158=0,0,MAX(M158,0)/V158)</f>
      </c>
    </row>
    <row r="159" spans="1:24" x14ac:dyDescent="0.25">
      <c r="A159" s="20" t="str">
        <f>B159&amp;"."&amp;IFERROR(MID(D159,FIND("(",D159)+1,FIND(")",D159)-FIND("(",D159)-1),"")</f>
        <v>73540.16027</v>
      </c>
      <c r="B159" s="21">
        <v>73540</v>
      </c>
      <c r="C159" s="20" t="s">
        <v>163</v>
      </c>
      <c r="D159" s="20" t="s">
        <v>327</v>
      </c>
      <c r="E159" s="20">
        <v>73512</v>
      </c>
      <c r="F159" s="20" t="s">
        <v>25</v>
      </c>
      <c r="G159" s="20" t="s">
        <v>51</v>
      </c>
      <c r="H159" s="22">
        <f>IFERROR(INDEX(Linha!$B$5:$B$788,MATCH(A159,Linha!$A$5:$A$788,0)),"NÃO CADASTRADO")</f>
      </c>
      <c r="I159" s="22">
        <f>IFERROR(INDEX(Linha!$C$5:$C$788,MATCH(A159,Linha!$A$5:$A$788,0)),"-")</f>
      </c>
      <c r="J159" s="23">
        <v>44</v>
      </c>
      <c r="K159" s="24">
        <f>IFERROR(INDEX(Linha!$D$5:$D$788,MATCH(A159,Linha!$A$5:$A$788,0))*1,0)</f>
      </c>
      <c r="L159" s="24">
        <f>SUMIFS(Reservas!$K$5:$K$3669,Reservas!$A$5:$A$3669,A159)</f>
      </c>
      <c r="M159" s="25">
        <f>J159-L159</f>
      </c>
      <c r="N159" s="26">
        <v>3.9</v>
      </c>
      <c r="O159" s="25">
        <f>J159*N159</f>
      </c>
      <c r="P159" s="25">
        <f>L159*N159</f>
      </c>
      <c r="Q159" s="27">
        <v>25.98581276</v>
      </c>
      <c r="R159" s="28">
        <f>J159*Q159</f>
      </c>
      <c r="S159" s="28">
        <f>L159*Q159</f>
      </c>
      <c r="T159" s="29">
        <f>IF(J159=0,0,L159/J159)</f>
      </c>
      <c r="U159" s="30">
        <f>IFERROR(INDEX(Paletes!$C$5:$C$393,MATCH(B159,Paletes!$A$5:$A$393,0)),"SEM CADASTRO")</f>
      </c>
      <c r="V159" s="24">
        <f>IFERROR(INDEX(Paletes!$D$5:$D$393,MATCH(B159,Paletes!$A$5:$A$393,0)),0)</f>
      </c>
      <c r="W159" s="31">
        <f>IF(V159=0,0,J159/V159)</f>
      </c>
      <c r="X159" s="31">
        <f>IF(V159=0,0,MAX(M159,0)/V159)</f>
      </c>
    </row>
    <row r="160" spans="1:24" x14ac:dyDescent="0.25">
      <c r="A160" s="32" t="str">
        <f>B160&amp;"."&amp;IFERROR(MID(D160,FIND("(",D160)+1,FIND(")",D160)-FIND("(",D160)-1),"")</f>
        <v>73540.60484</v>
      </c>
      <c r="B160" s="33">
        <v>73540</v>
      </c>
      <c r="C160" s="32" t="s">
        <v>163</v>
      </c>
      <c r="D160" s="32" t="s">
        <v>328</v>
      </c>
      <c r="E160" s="32">
        <v>73512</v>
      </c>
      <c r="F160" s="32" t="s">
        <v>25</v>
      </c>
      <c r="G160" s="32" t="s">
        <v>51</v>
      </c>
      <c r="H160" s="34">
        <f>IFERROR(INDEX(Linha!$B$5:$B$788,MATCH(A160,Linha!$A$5:$A$788,0)),"NÃO CADASTRADO")</f>
      </c>
      <c r="I160" s="34">
        <f>IFERROR(INDEX(Linha!$C$5:$C$788,MATCH(A160,Linha!$A$5:$A$788,0)),"-")</f>
      </c>
      <c r="J160" s="35">
        <v>4</v>
      </c>
      <c r="K160" s="36">
        <f>IFERROR(INDEX(Linha!$D$5:$D$788,MATCH(A160,Linha!$A$5:$A$788,0))*1,0)</f>
      </c>
      <c r="L160" s="36">
        <f>SUMIFS(Reservas!$K$5:$K$3669,Reservas!$A$5:$A$3669,A160)</f>
      </c>
      <c r="M160" s="37">
        <f>J160-L160</f>
      </c>
      <c r="N160" s="38">
        <v>3.9</v>
      </c>
      <c r="O160" s="37">
        <f>J160*N160</f>
      </c>
      <c r="P160" s="37">
        <f>L160*N160</f>
      </c>
      <c r="Q160" s="39">
        <v>25.45581276</v>
      </c>
      <c r="R160" s="40">
        <f>J160*Q160</f>
      </c>
      <c r="S160" s="40">
        <f>L160*Q160</f>
      </c>
      <c r="T160" s="41">
        <f>IF(J160=0,0,L160/J160)</f>
      </c>
      <c r="U160" s="42">
        <f>IFERROR(INDEX(Paletes!$C$5:$C$393,MATCH(B160,Paletes!$A$5:$A$393,0)),"SEM CADASTRO")</f>
      </c>
      <c r="V160" s="36">
        <f>IFERROR(INDEX(Paletes!$D$5:$D$393,MATCH(B160,Paletes!$A$5:$A$393,0)),0)</f>
      </c>
      <c r="W160" s="43">
        <f>IF(V160=0,0,J160/V160)</f>
      </c>
      <c r="X160" s="43">
        <f>IF(V160=0,0,MAX(M160,0)/V160)</f>
      </c>
    </row>
    <row r="161" spans="1:24" x14ac:dyDescent="0.25">
      <c r="A161" s="20" t="str">
        <f>B161&amp;"."&amp;IFERROR(MID(D161,FIND("(",D161)+1,FIND(")",D161)-FIND("(",D161)-1),"")</f>
        <v>2345.13529</v>
      </c>
      <c r="B161" s="21">
        <v>2345</v>
      </c>
      <c r="C161" s="20" t="s">
        <v>165</v>
      </c>
      <c r="D161" s="20" t="s">
        <v>329</v>
      </c>
      <c r="E161" s="20">
        <v>73906</v>
      </c>
      <c r="F161" s="20" t="s">
        <v>26</v>
      </c>
      <c r="G161" s="20" t="s">
        <v>51</v>
      </c>
      <c r="H161" s="22">
        <f>IFERROR(INDEX(Linha!$B$5:$B$788,MATCH(A161,Linha!$A$5:$A$788,0)),"NÃO CADASTRADO")</f>
      </c>
      <c r="I161" s="22">
        <f>IFERROR(INDEX(Linha!$C$5:$C$788,MATCH(A161,Linha!$A$5:$A$788,0)),"-")</f>
      </c>
      <c r="J161" s="23">
        <v>0</v>
      </c>
      <c r="K161" s="24">
        <f>IFERROR(INDEX(Linha!$D$5:$D$788,MATCH(A161,Linha!$A$5:$A$788,0))*1,0)</f>
      </c>
      <c r="L161" s="24">
        <f>SUMIFS(Reservas!$K$5:$K$3669,Reservas!$A$5:$A$3669,A161)</f>
      </c>
      <c r="M161" s="25">
        <f>J161-L161</f>
      </c>
      <c r="N161" s="26">
        <v>55.38</v>
      </c>
      <c r="O161" s="25">
        <f>J161*N161</f>
      </c>
      <c r="P161" s="25">
        <f>L161*N161</f>
      </c>
      <c r="Q161" s="27">
        <v>170.89619978</v>
      </c>
      <c r="R161" s="28">
        <f>J161*Q161</f>
      </c>
      <c r="S161" s="28">
        <f>L161*Q161</f>
      </c>
      <c r="T161" s="29">
        <f>IF(J161=0,0,L161/J161)</f>
      </c>
      <c r="U161" s="30">
        <f>IFERROR(INDEX(Paletes!$C$5:$C$393,MATCH(B161,Paletes!$A$5:$A$393,0)),"SEM CADASTRO")</f>
      </c>
      <c r="V161" s="24">
        <f>IFERROR(INDEX(Paletes!$D$5:$D$393,MATCH(B161,Paletes!$A$5:$A$393,0)),0)</f>
      </c>
      <c r="W161" s="31">
        <f>IF(V161=0,0,J161/V161)</f>
      </c>
      <c r="X161" s="31">
        <f>IF(V161=0,0,MAX(M161,0)/V161)</f>
      </c>
    </row>
    <row r="162" spans="1:24" x14ac:dyDescent="0.25">
      <c r="A162" s="32" t="str">
        <f>B162&amp;"."&amp;IFERROR(MID(D162,FIND("(",D162)+1,FIND(")",D162)-FIND("(",D162)-1),"")</f>
        <v>2238.12342</v>
      </c>
      <c r="B162" s="33">
        <v>2238</v>
      </c>
      <c r="C162" s="32" t="s">
        <v>330</v>
      </c>
      <c r="D162" s="32" t="s">
        <v>331</v>
      </c>
      <c r="E162" s="32">
        <v>73942</v>
      </c>
      <c r="F162" s="32" t="s">
        <v>26</v>
      </c>
      <c r="G162" s="32" t="s">
        <v>51</v>
      </c>
      <c r="H162" s="34">
        <f>IFERROR(INDEX(Linha!$B$5:$B$788,MATCH(A162,Linha!$A$5:$A$788,0)),"NÃO CADASTRADO")</f>
      </c>
      <c r="I162" s="34">
        <f>IFERROR(INDEX(Linha!$C$5:$C$788,MATCH(A162,Linha!$A$5:$A$788,0)),"-")</f>
      </c>
      <c r="J162" s="35">
        <v>12</v>
      </c>
      <c r="K162" s="36">
        <f>IFERROR(INDEX(Linha!$D$5:$D$788,MATCH(A162,Linha!$A$5:$A$788,0))*1,0)</f>
      </c>
      <c r="L162" s="36">
        <f>SUMIFS(Reservas!$K$5:$K$3669,Reservas!$A$5:$A$3669,A162)</f>
      </c>
      <c r="M162" s="37">
        <f>J162-L162</f>
      </c>
      <c r="N162" s="38">
        <v>43.88</v>
      </c>
      <c r="O162" s="37">
        <f>J162*N162</f>
      </c>
      <c r="P162" s="37">
        <f>L162*N162</f>
      </c>
      <c r="Q162" s="39">
        <v>227.90118338</v>
      </c>
      <c r="R162" s="40">
        <f>J162*Q162</f>
      </c>
      <c r="S162" s="40">
        <f>L162*Q162</f>
      </c>
      <c r="T162" s="41">
        <f>IF(J162=0,0,L162/J162)</f>
      </c>
      <c r="U162" s="42">
        <f>IFERROR(INDEX(Paletes!$C$5:$C$393,MATCH(B162,Paletes!$A$5:$A$393,0)),"SEM CADASTRO")</f>
      </c>
      <c r="V162" s="36">
        <f>IFERROR(INDEX(Paletes!$D$5:$D$393,MATCH(B162,Paletes!$A$5:$A$393,0)),0)</f>
      </c>
      <c r="W162" s="43">
        <f>IF(V162=0,0,J162/V162)</f>
      </c>
      <c r="X162" s="43">
        <f>IF(V162=0,0,MAX(M162,0)/V162)</f>
      </c>
    </row>
    <row r="163" spans="1:24" x14ac:dyDescent="0.25">
      <c r="A163" s="20" t="str">
        <f>B163&amp;"."&amp;IFERROR(MID(D163,FIND("(",D163)+1,FIND(")",D163)-FIND("(",D163)-1),"")</f>
        <v>73285.16001</v>
      </c>
      <c r="B163" s="21">
        <v>73285</v>
      </c>
      <c r="C163" s="20" t="s">
        <v>171</v>
      </c>
      <c r="D163" s="20" t="s">
        <v>332</v>
      </c>
      <c r="E163" s="20">
        <v>76416</v>
      </c>
      <c r="F163" s="20" t="s">
        <v>24</v>
      </c>
      <c r="G163" s="20" t="s">
        <v>51</v>
      </c>
      <c r="H163" s="22">
        <f>IFERROR(INDEX(Linha!$B$5:$B$788,MATCH(A163,Linha!$A$5:$A$788,0)),"NÃO CADASTRADO")</f>
      </c>
      <c r="I163" s="22">
        <f>IFERROR(INDEX(Linha!$C$5:$C$788,MATCH(A163,Linha!$A$5:$A$788,0)),"-")</f>
      </c>
      <c r="J163" s="23">
        <v>189</v>
      </c>
      <c r="K163" s="24">
        <f>IFERROR(INDEX(Linha!$D$5:$D$788,MATCH(A163,Linha!$A$5:$A$788,0))*1,0)</f>
      </c>
      <c r="L163" s="24">
        <f>SUMIFS(Reservas!$K$5:$K$3669,Reservas!$A$5:$A$3669,A163)</f>
      </c>
      <c r="M163" s="25">
        <f>J163-L163</f>
      </c>
      <c r="N163" s="26">
        <v>43.241</v>
      </c>
      <c r="O163" s="25">
        <f>J163*N163</f>
      </c>
      <c r="P163" s="25">
        <f>L163*N163</f>
      </c>
      <c r="Q163" s="27">
        <v>187.57049883</v>
      </c>
      <c r="R163" s="28">
        <f>J163*Q163</f>
      </c>
      <c r="S163" s="28">
        <f>L163*Q163</f>
      </c>
      <c r="T163" s="29">
        <f>IF(J163=0,0,L163/J163)</f>
      </c>
      <c r="U163" s="30">
        <f>IFERROR(INDEX(Paletes!$C$5:$C$393,MATCH(B163,Paletes!$A$5:$A$393,0)),"SEM CADASTRO")</f>
      </c>
      <c r="V163" s="24">
        <f>IFERROR(INDEX(Paletes!$D$5:$D$393,MATCH(B163,Paletes!$A$5:$A$393,0)),0)</f>
      </c>
      <c r="W163" s="31">
        <f>IF(V163=0,0,J163/V163)</f>
      </c>
      <c r="X163" s="31">
        <f>IF(V163=0,0,MAX(M163,0)/V163)</f>
      </c>
    </row>
    <row r="164" spans="1:24" x14ac:dyDescent="0.25">
      <c r="A164" s="32" t="str">
        <f>B164&amp;"."&amp;IFERROR(MID(D164,FIND("(",D164)+1,FIND(")",D164)-FIND("(",D164)-1),"")</f>
        <v>73285.16003</v>
      </c>
      <c r="B164" s="33">
        <v>73285</v>
      </c>
      <c r="C164" s="32" t="s">
        <v>171</v>
      </c>
      <c r="D164" s="32" t="s">
        <v>333</v>
      </c>
      <c r="E164" s="32">
        <v>76416</v>
      </c>
      <c r="F164" s="32" t="s">
        <v>24</v>
      </c>
      <c r="G164" s="32" t="s">
        <v>51</v>
      </c>
      <c r="H164" s="34">
        <f>IFERROR(INDEX(Linha!$B$5:$B$788,MATCH(A164,Linha!$A$5:$A$788,0)),"NÃO CADASTRADO")</f>
      </c>
      <c r="I164" s="34">
        <f>IFERROR(INDEX(Linha!$C$5:$C$788,MATCH(A164,Linha!$A$5:$A$788,0)),"-")</f>
      </c>
      <c r="J164" s="35">
        <v>21</v>
      </c>
      <c r="K164" s="36">
        <f>IFERROR(INDEX(Linha!$D$5:$D$788,MATCH(A164,Linha!$A$5:$A$788,0))*1,0)</f>
      </c>
      <c r="L164" s="36">
        <f>SUMIFS(Reservas!$K$5:$K$3669,Reservas!$A$5:$A$3669,A164)</f>
      </c>
      <c r="M164" s="37">
        <f>J164-L164</f>
      </c>
      <c r="N164" s="38">
        <v>43.241</v>
      </c>
      <c r="O164" s="37">
        <f>J164*N164</f>
      </c>
      <c r="P164" s="37">
        <f>L164*N164</f>
      </c>
      <c r="Q164" s="39">
        <v>179.99544021</v>
      </c>
      <c r="R164" s="40">
        <f>J164*Q164</f>
      </c>
      <c r="S164" s="40">
        <f>L164*Q164</f>
      </c>
      <c r="T164" s="41">
        <f>IF(J164=0,0,L164/J164)</f>
      </c>
      <c r="U164" s="42">
        <f>IFERROR(INDEX(Paletes!$C$5:$C$393,MATCH(B164,Paletes!$A$5:$A$393,0)),"SEM CADASTRO")</f>
      </c>
      <c r="V164" s="36">
        <f>IFERROR(INDEX(Paletes!$D$5:$D$393,MATCH(B164,Paletes!$A$5:$A$393,0)),0)</f>
      </c>
      <c r="W164" s="43">
        <f>IF(V164=0,0,J164/V164)</f>
      </c>
      <c r="X164" s="43">
        <f>IF(V164=0,0,MAX(M164,0)/V164)</f>
      </c>
    </row>
    <row r="165" spans="1:24" x14ac:dyDescent="0.25">
      <c r="A165" s="20" t="str">
        <f>B165&amp;"."&amp;IFERROR(MID(D165,FIND("(",D165)+1,FIND(")",D165)-FIND("(",D165)-1),"")</f>
        <v>73285.16004</v>
      </c>
      <c r="B165" s="21">
        <v>73285</v>
      </c>
      <c r="C165" s="20" t="s">
        <v>171</v>
      </c>
      <c r="D165" s="20" t="s">
        <v>334</v>
      </c>
      <c r="E165" s="20">
        <v>76416</v>
      </c>
      <c r="F165" s="20" t="s">
        <v>24</v>
      </c>
      <c r="G165" s="20" t="s">
        <v>51</v>
      </c>
      <c r="H165" s="22">
        <f>IFERROR(INDEX(Linha!$B$5:$B$788,MATCH(A165,Linha!$A$5:$A$788,0)),"NÃO CADASTRADO")</f>
      </c>
      <c r="I165" s="22">
        <f>IFERROR(INDEX(Linha!$C$5:$C$788,MATCH(A165,Linha!$A$5:$A$788,0)),"-")</f>
      </c>
      <c r="J165" s="23">
        <v>70</v>
      </c>
      <c r="K165" s="24">
        <f>IFERROR(INDEX(Linha!$D$5:$D$788,MATCH(A165,Linha!$A$5:$A$788,0))*1,0)</f>
      </c>
      <c r="L165" s="24">
        <f>SUMIFS(Reservas!$K$5:$K$3669,Reservas!$A$5:$A$3669,A165)</f>
      </c>
      <c r="M165" s="25">
        <f>J165-L165</f>
      </c>
      <c r="N165" s="26">
        <v>43.241</v>
      </c>
      <c r="O165" s="25">
        <f>J165*N165</f>
      </c>
      <c r="P165" s="25">
        <f>L165*N165</f>
      </c>
      <c r="Q165" s="27">
        <v>177.29686649</v>
      </c>
      <c r="R165" s="28">
        <f>J165*Q165</f>
      </c>
      <c r="S165" s="28">
        <f>L165*Q165</f>
      </c>
      <c r="T165" s="29">
        <f>IF(J165=0,0,L165/J165)</f>
      </c>
      <c r="U165" s="30">
        <f>IFERROR(INDEX(Paletes!$C$5:$C$393,MATCH(B165,Paletes!$A$5:$A$393,0)),"SEM CADASTRO")</f>
      </c>
      <c r="V165" s="24">
        <f>IFERROR(INDEX(Paletes!$D$5:$D$393,MATCH(B165,Paletes!$A$5:$A$393,0)),0)</f>
      </c>
      <c r="W165" s="31">
        <f>IF(V165=0,0,J165/V165)</f>
      </c>
      <c r="X165" s="31">
        <f>IF(V165=0,0,MAX(M165,0)/V165)</f>
      </c>
    </row>
    <row r="166" spans="1:24" x14ac:dyDescent="0.25">
      <c r="A166" s="32" t="str">
        <f>B166&amp;"."&amp;IFERROR(MID(D166,FIND("(",D166)+1,FIND(")",D166)-FIND("(",D166)-1),"")</f>
        <v>73286.16525</v>
      </c>
      <c r="B166" s="33">
        <v>73286</v>
      </c>
      <c r="C166" s="32" t="s">
        <v>173</v>
      </c>
      <c r="D166" s="32" t="s">
        <v>335</v>
      </c>
      <c r="E166" s="32">
        <v>76418</v>
      </c>
      <c r="F166" s="32" t="s">
        <v>24</v>
      </c>
      <c r="G166" s="32" t="s">
        <v>51</v>
      </c>
      <c r="H166" s="34">
        <f>IFERROR(INDEX(Linha!$B$5:$B$788,MATCH(A166,Linha!$A$5:$A$788,0)),"NÃO CADASTRADO")</f>
      </c>
      <c r="I166" s="34">
        <f>IFERROR(INDEX(Linha!$C$5:$C$788,MATCH(A166,Linha!$A$5:$A$788,0)),"-")</f>
      </c>
      <c r="J166" s="35">
        <v>192</v>
      </c>
      <c r="K166" s="36">
        <f>IFERROR(INDEX(Linha!$D$5:$D$788,MATCH(A166,Linha!$A$5:$A$788,0))*1,0)</f>
      </c>
      <c r="L166" s="36">
        <f>SUMIFS(Reservas!$K$5:$K$3669,Reservas!$A$5:$A$3669,A166)</f>
      </c>
      <c r="M166" s="37">
        <f>J166-L166</f>
      </c>
      <c r="N166" s="38">
        <v>41.047</v>
      </c>
      <c r="O166" s="37">
        <f>J166*N166</f>
      </c>
      <c r="P166" s="37">
        <f>L166*N166</f>
      </c>
      <c r="Q166" s="39">
        <v>145.91770099</v>
      </c>
      <c r="R166" s="40">
        <f>J166*Q166</f>
      </c>
      <c r="S166" s="40">
        <f>L166*Q166</f>
      </c>
      <c r="T166" s="41">
        <f>IF(J166=0,0,L166/J166)</f>
      </c>
      <c r="U166" s="42">
        <f>IFERROR(INDEX(Paletes!$C$5:$C$393,MATCH(B166,Paletes!$A$5:$A$393,0)),"SEM CADASTRO")</f>
      </c>
      <c r="V166" s="36">
        <f>IFERROR(INDEX(Paletes!$D$5:$D$393,MATCH(B166,Paletes!$A$5:$A$393,0)),0)</f>
      </c>
      <c r="W166" s="43">
        <f>IF(V166=0,0,J166/V166)</f>
      </c>
      <c r="X166" s="43">
        <f>IF(V166=0,0,MAX(M166,0)/V166)</f>
      </c>
    </row>
    <row r="167" spans="1:24" x14ac:dyDescent="0.25">
      <c r="A167" s="20" t="str">
        <f>B167&amp;"."&amp;IFERROR(MID(D167,FIND("(",D167)+1,FIND(")",D167)-FIND("(",D167)-1),"")</f>
        <v>74493.55479</v>
      </c>
      <c r="B167" s="21">
        <v>74493</v>
      </c>
      <c r="C167" s="20" t="s">
        <v>336</v>
      </c>
      <c r="D167" s="20" t="s">
        <v>337</v>
      </c>
      <c r="E167" s="20">
        <v>77212</v>
      </c>
      <c r="F167" s="20" t="s">
        <v>24</v>
      </c>
      <c r="G167" s="20" t="s">
        <v>51</v>
      </c>
      <c r="H167" s="22">
        <f>IFERROR(INDEX(Linha!$B$5:$B$788,MATCH(A167,Linha!$A$5:$A$788,0)),"NÃO CADASTRADO")</f>
      </c>
      <c r="I167" s="22">
        <f>IFERROR(INDEX(Linha!$C$5:$C$788,MATCH(A167,Linha!$A$5:$A$788,0)),"-")</f>
      </c>
      <c r="J167" s="23">
        <v>0</v>
      </c>
      <c r="K167" s="24">
        <f>IFERROR(INDEX(Linha!$D$5:$D$788,MATCH(A167,Linha!$A$5:$A$788,0))*1,0)</f>
      </c>
      <c r="L167" s="24">
        <f>SUMIFS(Reservas!$K$5:$K$3669,Reservas!$A$5:$A$3669,A167)</f>
      </c>
      <c r="M167" s="25">
        <f>J167-L167</f>
      </c>
      <c r="N167" s="26">
        <v>6.83</v>
      </c>
      <c r="O167" s="25">
        <f>J167*N167</f>
      </c>
      <c r="P167" s="25">
        <f>L167*N167</f>
      </c>
      <c r="Q167" s="27">
        <v>26.65348755</v>
      </c>
      <c r="R167" s="28">
        <f>J167*Q167</f>
      </c>
      <c r="S167" s="28">
        <f>L167*Q167</f>
      </c>
      <c r="T167" s="29">
        <f>IF(J167=0,0,L167/J167)</f>
      </c>
      <c r="U167" s="30">
        <f>IFERROR(INDEX(Paletes!$C$5:$C$393,MATCH(B167,Paletes!$A$5:$A$393,0)),"SEM CADASTRO")</f>
      </c>
      <c r="V167" s="24">
        <f>IFERROR(INDEX(Paletes!$D$5:$D$393,MATCH(B167,Paletes!$A$5:$A$393,0)),0)</f>
      </c>
      <c r="W167" s="31">
        <f>IF(V167=0,0,J167/V167)</f>
      </c>
      <c r="X167" s="31">
        <f>IF(V167=0,0,MAX(M167,0)/V167)</f>
      </c>
    </row>
    <row r="168" spans="1:24" x14ac:dyDescent="0.25">
      <c r="A168" s="32" t="str">
        <f>B168&amp;"."&amp;IFERROR(MID(D168,FIND("(",D168)+1,FIND(")",D168)-FIND("(",D168)-1),"")</f>
        <v>74494.78384</v>
      </c>
      <c r="B168" s="33">
        <v>74494</v>
      </c>
      <c r="C168" s="32" t="s">
        <v>177</v>
      </c>
      <c r="D168" s="32" t="s">
        <v>338</v>
      </c>
      <c r="E168" s="32">
        <v>77213</v>
      </c>
      <c r="F168" s="32" t="s">
        <v>24</v>
      </c>
      <c r="G168" s="32" t="s">
        <v>51</v>
      </c>
      <c r="H168" s="34">
        <f>IFERROR(INDEX(Linha!$B$5:$B$788,MATCH(A168,Linha!$A$5:$A$788,0)),"NÃO CADASTRADO")</f>
      </c>
      <c r="I168" s="34">
        <f>IFERROR(INDEX(Linha!$C$5:$C$788,MATCH(A168,Linha!$A$5:$A$788,0)),"-")</f>
      </c>
      <c r="J168" s="35">
        <v>0</v>
      </c>
      <c r="K168" s="36">
        <f>IFERROR(INDEX(Linha!$D$5:$D$788,MATCH(A168,Linha!$A$5:$A$788,0))*1,0)</f>
      </c>
      <c r="L168" s="36">
        <f>SUMIFS(Reservas!$K$5:$K$3669,Reservas!$A$5:$A$3669,A168)</f>
      </c>
      <c r="M168" s="37">
        <f>J168-L168</f>
      </c>
      <c r="N168" s="38">
        <v>16.09</v>
      </c>
      <c r="O168" s="37">
        <f>J168*N168</f>
      </c>
      <c r="P168" s="37">
        <f>L168*N168</f>
      </c>
      <c r="Q168" s="39">
        <v>155.46340082</v>
      </c>
      <c r="R168" s="40">
        <f>J168*Q168</f>
      </c>
      <c r="S168" s="40">
        <f>L168*Q168</f>
      </c>
      <c r="T168" s="41">
        <f>IF(J168=0,0,L168/J168)</f>
      </c>
      <c r="U168" s="42">
        <f>IFERROR(INDEX(Paletes!$C$5:$C$393,MATCH(B168,Paletes!$A$5:$A$393,0)),"SEM CADASTRO")</f>
      </c>
      <c r="V168" s="36">
        <f>IFERROR(INDEX(Paletes!$D$5:$D$393,MATCH(B168,Paletes!$A$5:$A$393,0)),0)</f>
      </c>
      <c r="W168" s="43">
        <f>IF(V168=0,0,J168/V168)</f>
      </c>
      <c r="X168" s="43">
        <f>IF(V168=0,0,MAX(M168,0)/V168)</f>
      </c>
    </row>
    <row r="169" spans="1:24" x14ac:dyDescent="0.25">
      <c r="A169" s="20" t="str">
        <f>B169&amp;"."&amp;IFERROR(MID(D169,FIND("(",D169)+1,FIND(")",D169)-FIND("(",D169)-1),"")</f>
        <v>2176.12386</v>
      </c>
      <c r="B169" s="21">
        <v>2176</v>
      </c>
      <c r="C169" s="20" t="s">
        <v>339</v>
      </c>
      <c r="D169" s="20" t="s">
        <v>340</v>
      </c>
      <c r="E169" s="20">
        <v>81670</v>
      </c>
      <c r="F169" s="20" t="s">
        <v>26</v>
      </c>
      <c r="G169" s="20" t="s">
        <v>51</v>
      </c>
      <c r="H169" s="22">
        <f>IFERROR(INDEX(Linha!$B$5:$B$788,MATCH(A169,Linha!$A$5:$A$788,0)),"NÃO CADASTRADO")</f>
      </c>
      <c r="I169" s="22">
        <f>IFERROR(INDEX(Linha!$C$5:$C$788,MATCH(A169,Linha!$A$5:$A$788,0)),"-")</f>
      </c>
      <c r="J169" s="23">
        <v>7</v>
      </c>
      <c r="K169" s="24">
        <f>IFERROR(INDEX(Linha!$D$5:$D$788,MATCH(A169,Linha!$A$5:$A$788,0))*1,0)</f>
      </c>
      <c r="L169" s="24">
        <f>SUMIFS(Reservas!$K$5:$K$3669,Reservas!$A$5:$A$3669,A169)</f>
      </c>
      <c r="M169" s="25">
        <f>J169-L169</f>
      </c>
      <c r="N169" s="26">
        <v>57.037</v>
      </c>
      <c r="O169" s="25">
        <f>J169*N169</f>
      </c>
      <c r="P169" s="25">
        <f>L169*N169</f>
      </c>
      <c r="Q169" s="27">
        <v>168.05589644</v>
      </c>
      <c r="R169" s="28">
        <f>J169*Q169</f>
      </c>
      <c r="S169" s="28">
        <f>L169*Q169</f>
      </c>
      <c r="T169" s="29">
        <f>IF(J169=0,0,L169/J169)</f>
      </c>
      <c r="U169" s="30">
        <f>IFERROR(INDEX(Paletes!$C$5:$C$393,MATCH(B169,Paletes!$A$5:$A$393,0)),"SEM CADASTRO")</f>
      </c>
      <c r="V169" s="24">
        <f>IFERROR(INDEX(Paletes!$D$5:$D$393,MATCH(B169,Paletes!$A$5:$A$393,0)),0)</f>
      </c>
      <c r="W169" s="31">
        <f>IF(V169=0,0,J169/V169)</f>
      </c>
      <c r="X169" s="31">
        <f>IF(V169=0,0,MAX(M169,0)/V169)</f>
      </c>
    </row>
    <row r="170" spans="1:24" x14ac:dyDescent="0.25">
      <c r="A170" s="32" t="str">
        <f>B170&amp;"."&amp;IFERROR(MID(D170,FIND("(",D170)+1,FIND(")",D170)-FIND("(",D170)-1),"")</f>
        <v>74552.31967</v>
      </c>
      <c r="B170" s="33">
        <v>74552</v>
      </c>
      <c r="C170" s="32" t="s">
        <v>341</v>
      </c>
      <c r="D170" s="32" t="s">
        <v>342</v>
      </c>
      <c r="E170" s="32">
        <v>82384</v>
      </c>
      <c r="F170" s="32" t="s">
        <v>25</v>
      </c>
      <c r="G170" s="32" t="s">
        <v>51</v>
      </c>
      <c r="H170" s="34">
        <f>IFERROR(INDEX(Linha!$B$5:$B$788,MATCH(A170,Linha!$A$5:$A$788,0)),"NÃO CADASTRADO")</f>
      </c>
      <c r="I170" s="34">
        <f>IFERROR(INDEX(Linha!$C$5:$C$788,MATCH(A170,Linha!$A$5:$A$788,0)),"-")</f>
      </c>
      <c r="J170" s="35">
        <v>0</v>
      </c>
      <c r="K170" s="36">
        <f>IFERROR(INDEX(Linha!$D$5:$D$788,MATCH(A170,Linha!$A$5:$A$788,0))*1,0)</f>
      </c>
      <c r="L170" s="36">
        <f>SUMIFS(Reservas!$K$5:$K$3669,Reservas!$A$5:$A$3669,A170)</f>
      </c>
      <c r="M170" s="37">
        <f>J170-L170</f>
      </c>
      <c r="N170" s="38">
        <v>50.544</v>
      </c>
      <c r="O170" s="37">
        <f>J170*N170</f>
      </c>
      <c r="P170" s="37">
        <f>L170*N170</f>
      </c>
      <c r="Q170" s="39">
        <v>218.33673191</v>
      </c>
      <c r="R170" s="40">
        <f>J170*Q170</f>
      </c>
      <c r="S170" s="40">
        <f>L170*Q170</f>
      </c>
      <c r="T170" s="41">
        <f>IF(J170=0,0,L170/J170)</f>
      </c>
      <c r="U170" s="42">
        <f>IFERROR(INDEX(Paletes!$C$5:$C$393,MATCH(B170,Paletes!$A$5:$A$393,0)),"SEM CADASTRO")</f>
      </c>
      <c r="V170" s="36">
        <f>IFERROR(INDEX(Paletes!$D$5:$D$393,MATCH(B170,Paletes!$A$5:$A$393,0)),0)</f>
      </c>
      <c r="W170" s="43">
        <f>IF(V170=0,0,J170/V170)</f>
      </c>
      <c r="X170" s="43">
        <f>IF(V170=0,0,MAX(M170,0)/V170)</f>
      </c>
    </row>
    <row r="171" spans="1:24" x14ac:dyDescent="0.25">
      <c r="A171" s="20" t="str">
        <f>B171&amp;"."&amp;IFERROR(MID(D171,FIND("(",D171)+1,FIND(")",D171)-FIND("(",D171)-1),"")</f>
        <v>72595.12822</v>
      </c>
      <c r="B171" s="21">
        <v>72595</v>
      </c>
      <c r="C171" s="20" t="s">
        <v>194</v>
      </c>
      <c r="D171" s="20" t="s">
        <v>343</v>
      </c>
      <c r="E171" s="20">
        <v>85421</v>
      </c>
      <c r="F171" s="20" t="s">
        <v>26</v>
      </c>
      <c r="G171" s="20" t="s">
        <v>51</v>
      </c>
      <c r="H171" s="22">
        <f>IFERROR(INDEX(Linha!$B$5:$B$788,MATCH(A171,Linha!$A$5:$A$788,0)),"NÃO CADASTRADO")</f>
      </c>
      <c r="I171" s="22">
        <f>IFERROR(INDEX(Linha!$C$5:$C$788,MATCH(A171,Linha!$A$5:$A$788,0)),"-")</f>
      </c>
      <c r="J171" s="23">
        <v>1102</v>
      </c>
      <c r="K171" s="24">
        <f>IFERROR(INDEX(Linha!$D$5:$D$788,MATCH(A171,Linha!$A$5:$A$788,0))*1,0)</f>
      </c>
      <c r="L171" s="24">
        <f>SUMIFS(Reservas!$K$5:$K$3669,Reservas!$A$5:$A$3669,A171)</f>
      </c>
      <c r="M171" s="25">
        <f>J171-L171</f>
      </c>
      <c r="N171" s="26">
        <v>62.107</v>
      </c>
      <c r="O171" s="25">
        <f>J171*N171</f>
      </c>
      <c r="P171" s="25">
        <f>L171*N171</f>
      </c>
      <c r="Q171" s="27">
        <v>201.24792845</v>
      </c>
      <c r="R171" s="28">
        <f>J171*Q171</f>
      </c>
      <c r="S171" s="28">
        <f>L171*Q171</f>
      </c>
      <c r="T171" s="29">
        <f>IF(J171=0,0,L171/J171)</f>
      </c>
      <c r="U171" s="30">
        <f>IFERROR(INDEX(Paletes!$C$5:$C$393,MATCH(B171,Paletes!$A$5:$A$393,0)),"SEM CADASTRO")</f>
      </c>
      <c r="V171" s="24">
        <f>IFERROR(INDEX(Paletes!$D$5:$D$393,MATCH(B171,Paletes!$A$5:$A$393,0)),0)</f>
      </c>
      <c r="W171" s="31">
        <f>IF(V171=0,0,J171/V171)</f>
      </c>
      <c r="X171" s="31">
        <f>IF(V171=0,0,MAX(M171,0)/V171)</f>
      </c>
    </row>
    <row r="172" spans="1:24" x14ac:dyDescent="0.25">
      <c r="A172" s="32" t="str">
        <f>B172&amp;"."&amp;IFERROR(MID(D172,FIND("(",D172)+1,FIND(")",D172)-FIND("(",D172)-1),"")</f>
        <v>72595.12824</v>
      </c>
      <c r="B172" s="33">
        <v>72595</v>
      </c>
      <c r="C172" s="32" t="s">
        <v>194</v>
      </c>
      <c r="D172" s="32" t="s">
        <v>344</v>
      </c>
      <c r="E172" s="32">
        <v>85421</v>
      </c>
      <c r="F172" s="32" t="s">
        <v>26</v>
      </c>
      <c r="G172" s="32" t="s">
        <v>51</v>
      </c>
      <c r="H172" s="34">
        <f>IFERROR(INDEX(Linha!$B$5:$B$788,MATCH(A172,Linha!$A$5:$A$788,0)),"NÃO CADASTRADO")</f>
      </c>
      <c r="I172" s="34">
        <f>IFERROR(INDEX(Linha!$C$5:$C$788,MATCH(A172,Linha!$A$5:$A$788,0)),"-")</f>
      </c>
      <c r="J172" s="35">
        <v>94</v>
      </c>
      <c r="K172" s="36">
        <f>IFERROR(INDEX(Linha!$D$5:$D$788,MATCH(A172,Linha!$A$5:$A$788,0))*1,0)</f>
      </c>
      <c r="L172" s="36">
        <f>SUMIFS(Reservas!$K$5:$K$3669,Reservas!$A$5:$A$3669,A172)</f>
      </c>
      <c r="M172" s="37">
        <f>J172-L172</f>
      </c>
      <c r="N172" s="38">
        <v>62.107</v>
      </c>
      <c r="O172" s="37">
        <f>J172*N172</f>
      </c>
      <c r="P172" s="37">
        <f>L172*N172</f>
      </c>
      <c r="Q172" s="39">
        <v>218.04916884</v>
      </c>
      <c r="R172" s="40">
        <f>J172*Q172</f>
      </c>
      <c r="S172" s="40">
        <f>L172*Q172</f>
      </c>
      <c r="T172" s="41">
        <f>IF(J172=0,0,L172/J172)</f>
      </c>
      <c r="U172" s="42">
        <f>IFERROR(INDEX(Paletes!$C$5:$C$393,MATCH(B172,Paletes!$A$5:$A$393,0)),"SEM CADASTRO")</f>
      </c>
      <c r="V172" s="36">
        <f>IFERROR(INDEX(Paletes!$D$5:$D$393,MATCH(B172,Paletes!$A$5:$A$393,0)),0)</f>
      </c>
      <c r="W172" s="43">
        <f>IF(V172=0,0,J172/V172)</f>
      </c>
      <c r="X172" s="43">
        <f>IF(V172=0,0,MAX(M172,0)/V172)</f>
      </c>
    </row>
    <row r="173" spans="1:24" x14ac:dyDescent="0.25">
      <c r="A173" s="20" t="str">
        <f>B173&amp;"."&amp;IFERROR(MID(D173,FIND("(",D173)+1,FIND(")",D173)-FIND("(",D173)-1),"")</f>
        <v>72777.13611</v>
      </c>
      <c r="B173" s="21">
        <v>72777</v>
      </c>
      <c r="C173" s="20" t="s">
        <v>198</v>
      </c>
      <c r="D173" s="20" t="s">
        <v>345</v>
      </c>
      <c r="E173" s="20">
        <v>87556</v>
      </c>
      <c r="F173" s="20" t="s">
        <v>26</v>
      </c>
      <c r="G173" s="20" t="s">
        <v>51</v>
      </c>
      <c r="H173" s="22">
        <f>IFERROR(INDEX(Linha!$B$5:$B$788,MATCH(A173,Linha!$A$5:$A$788,0)),"NÃO CADASTRADO")</f>
      </c>
      <c r="I173" s="22">
        <f>IFERROR(INDEX(Linha!$C$5:$C$788,MATCH(A173,Linha!$A$5:$A$788,0)),"-")</f>
      </c>
      <c r="J173" s="23">
        <v>0</v>
      </c>
      <c r="K173" s="24">
        <f>IFERROR(INDEX(Linha!$D$5:$D$788,MATCH(A173,Linha!$A$5:$A$788,0))*1,0)</f>
      </c>
      <c r="L173" s="24">
        <f>SUMIFS(Reservas!$K$5:$K$3669,Reservas!$A$5:$A$3669,A173)</f>
      </c>
      <c r="M173" s="25">
        <f>J173-L173</f>
      </c>
      <c r="N173" s="26">
        <v>39</v>
      </c>
      <c r="O173" s="25">
        <f>J173*N173</f>
      </c>
      <c r="P173" s="25">
        <f>L173*N173</f>
      </c>
      <c r="Q173" s="27">
        <v>142.24070407</v>
      </c>
      <c r="R173" s="28">
        <f>J173*Q173</f>
      </c>
      <c r="S173" s="28">
        <f>L173*Q173</f>
      </c>
      <c r="T173" s="29">
        <f>IF(J173=0,0,L173/J173)</f>
      </c>
      <c r="U173" s="30">
        <f>IFERROR(INDEX(Paletes!$C$5:$C$393,MATCH(B173,Paletes!$A$5:$A$393,0)),"SEM CADASTRO")</f>
      </c>
      <c r="V173" s="24">
        <f>IFERROR(INDEX(Paletes!$D$5:$D$393,MATCH(B173,Paletes!$A$5:$A$393,0)),0)</f>
      </c>
      <c r="W173" s="31">
        <f>IF(V173=0,0,J173/V173)</f>
      </c>
      <c r="X173" s="31">
        <f>IF(V173=0,0,MAX(M173,0)/V173)</f>
      </c>
    </row>
    <row r="174" spans="1:24" x14ac:dyDescent="0.25">
      <c r="A174" s="32" t="str">
        <f>B174&amp;"."&amp;IFERROR(MID(D174,FIND("(",D174)+1,FIND(")",D174)-FIND("(",D174)-1),"")</f>
        <v>72777.13613</v>
      </c>
      <c r="B174" s="33">
        <v>72777</v>
      </c>
      <c r="C174" s="32" t="s">
        <v>198</v>
      </c>
      <c r="D174" s="32" t="s">
        <v>346</v>
      </c>
      <c r="E174" s="32">
        <v>87556</v>
      </c>
      <c r="F174" s="32" t="s">
        <v>26</v>
      </c>
      <c r="G174" s="32" t="s">
        <v>51</v>
      </c>
      <c r="H174" s="34">
        <f>IFERROR(INDEX(Linha!$B$5:$B$788,MATCH(A174,Linha!$A$5:$A$788,0)),"NÃO CADASTRADO")</f>
      </c>
      <c r="I174" s="34">
        <f>IFERROR(INDEX(Linha!$C$5:$C$788,MATCH(A174,Linha!$A$5:$A$788,0)),"-")</f>
      </c>
      <c r="J174" s="35">
        <v>65</v>
      </c>
      <c r="K174" s="36">
        <f>IFERROR(INDEX(Linha!$D$5:$D$788,MATCH(A174,Linha!$A$5:$A$788,0))*1,0)</f>
      </c>
      <c r="L174" s="36">
        <f>SUMIFS(Reservas!$K$5:$K$3669,Reservas!$A$5:$A$3669,A174)</f>
      </c>
      <c r="M174" s="37">
        <f>J174-L174</f>
      </c>
      <c r="N174" s="38">
        <v>39</v>
      </c>
      <c r="O174" s="37">
        <f>J174*N174</f>
      </c>
      <c r="P174" s="37">
        <f>L174*N174</f>
      </c>
      <c r="Q174" s="39">
        <v>79.97310799</v>
      </c>
      <c r="R174" s="40">
        <f>J174*Q174</f>
      </c>
      <c r="S174" s="40">
        <f>L174*Q174</f>
      </c>
      <c r="T174" s="41">
        <f>IF(J174=0,0,L174/J174)</f>
      </c>
      <c r="U174" s="42">
        <f>IFERROR(INDEX(Paletes!$C$5:$C$393,MATCH(B174,Paletes!$A$5:$A$393,0)),"SEM CADASTRO")</f>
      </c>
      <c r="V174" s="36">
        <f>IFERROR(INDEX(Paletes!$D$5:$D$393,MATCH(B174,Paletes!$A$5:$A$393,0)),0)</f>
      </c>
      <c r="W174" s="43">
        <f>IF(V174=0,0,J174/V174)</f>
      </c>
      <c r="X174" s="43">
        <f>IF(V174=0,0,MAX(M174,0)/V174)</f>
      </c>
    </row>
    <row r="175" spans="1:24" x14ac:dyDescent="0.25">
      <c r="A175" s="20" t="str">
        <f>B175&amp;"."&amp;IFERROR(MID(D175,FIND("(",D175)+1,FIND(")",D175)-FIND("(",D175)-1),"")</f>
        <v>72663.13537</v>
      </c>
      <c r="B175" s="21">
        <v>72663</v>
      </c>
      <c r="C175" s="20" t="s">
        <v>200</v>
      </c>
      <c r="D175" s="20" t="s">
        <v>347</v>
      </c>
      <c r="E175" s="20">
        <v>87849</v>
      </c>
      <c r="F175" s="20" t="s">
        <v>26</v>
      </c>
      <c r="G175" s="20" t="s">
        <v>51</v>
      </c>
      <c r="H175" s="22">
        <f>IFERROR(INDEX(Linha!$B$5:$B$788,MATCH(A175,Linha!$A$5:$A$788,0)),"NÃO CADASTRADO")</f>
      </c>
      <c r="I175" s="22">
        <f>IFERROR(INDEX(Linha!$C$5:$C$788,MATCH(A175,Linha!$A$5:$A$788,0)),"-")</f>
      </c>
      <c r="J175" s="23">
        <v>56</v>
      </c>
      <c r="K175" s="24">
        <f>IFERROR(INDEX(Linha!$D$5:$D$788,MATCH(A175,Linha!$A$5:$A$788,0))*1,0)</f>
      </c>
      <c r="L175" s="24">
        <f>SUMIFS(Reservas!$K$5:$K$3669,Reservas!$A$5:$A$3669,A175)</f>
      </c>
      <c r="M175" s="25">
        <f>J175-L175</f>
      </c>
      <c r="N175" s="26">
        <v>39.468</v>
      </c>
      <c r="O175" s="25">
        <f>J175*N175</f>
      </c>
      <c r="P175" s="25">
        <f>L175*N175</f>
      </c>
      <c r="Q175" s="27">
        <v>160.64536629</v>
      </c>
      <c r="R175" s="28">
        <f>J175*Q175</f>
      </c>
      <c r="S175" s="28">
        <f>L175*Q175</f>
      </c>
      <c r="T175" s="29">
        <f>IF(J175=0,0,L175/J175)</f>
      </c>
      <c r="U175" s="30">
        <f>IFERROR(INDEX(Paletes!$C$5:$C$393,MATCH(B175,Paletes!$A$5:$A$393,0)),"SEM CADASTRO")</f>
      </c>
      <c r="V175" s="24">
        <f>IFERROR(INDEX(Paletes!$D$5:$D$393,MATCH(B175,Paletes!$A$5:$A$393,0)),0)</f>
      </c>
      <c r="W175" s="31">
        <f>IF(V175=0,0,J175/V175)</f>
      </c>
      <c r="X175" s="31">
        <f>IF(V175=0,0,MAX(M175,0)/V175)</f>
      </c>
    </row>
    <row r="176" spans="1:24" x14ac:dyDescent="0.25">
      <c r="A176" s="32" t="str">
        <f>B176&amp;"."&amp;IFERROR(MID(D176,FIND("(",D176)+1,FIND(")",D176)-FIND("(",D176)-1),"")</f>
        <v>85024.79508</v>
      </c>
      <c r="B176" s="33">
        <v>85024</v>
      </c>
      <c r="C176" s="32" t="s">
        <v>348</v>
      </c>
      <c r="D176" s="32" t="s">
        <v>349</v>
      </c>
      <c r="E176" s="32">
        <v>91789</v>
      </c>
      <c r="F176" s="32" t="s">
        <v>24</v>
      </c>
      <c r="G176" s="32" t="s">
        <v>51</v>
      </c>
      <c r="H176" s="34">
        <f>IFERROR(INDEX(Linha!$B$5:$B$788,MATCH(A176,Linha!$A$5:$A$788,0)),"NÃO CADASTRADO")</f>
      </c>
      <c r="I176" s="34">
        <f>IFERROR(INDEX(Linha!$C$5:$C$788,MATCH(A176,Linha!$A$5:$A$788,0)),"-")</f>
      </c>
      <c r="J176" s="35">
        <v>39</v>
      </c>
      <c r="K176" s="36">
        <f>IFERROR(INDEX(Linha!$D$5:$D$788,MATCH(A176,Linha!$A$5:$A$788,0))*1,0)</f>
      </c>
      <c r="L176" s="36">
        <f>SUMIFS(Reservas!$K$5:$K$3669,Reservas!$A$5:$A$3669,A176)</f>
      </c>
      <c r="M176" s="37">
        <f>J176-L176</f>
      </c>
      <c r="N176" s="38">
        <v>0.546</v>
      </c>
      <c r="O176" s="37">
        <f>J176*N176</f>
      </c>
      <c r="P176" s="37">
        <f>L176*N176</f>
      </c>
      <c r="Q176" s="39">
        <v>3.55366649</v>
      </c>
      <c r="R176" s="40">
        <f>J176*Q176</f>
      </c>
      <c r="S176" s="40">
        <f>L176*Q176</f>
      </c>
      <c r="T176" s="41">
        <f>IF(J176=0,0,L176/J176)</f>
      </c>
      <c r="U176" s="42">
        <f>IFERROR(INDEX(Paletes!$C$5:$C$393,MATCH(B176,Paletes!$A$5:$A$393,0)),"SEM CADASTRO")</f>
      </c>
      <c r="V176" s="36">
        <f>IFERROR(INDEX(Paletes!$D$5:$D$393,MATCH(B176,Paletes!$A$5:$A$393,0)),0)</f>
      </c>
      <c r="W176" s="43">
        <f>IF(V176=0,0,J176/V176)</f>
      </c>
      <c r="X176" s="43">
        <f>IF(V176=0,0,MAX(M176,0)/V176)</f>
      </c>
    </row>
    <row r="177" spans="1:24" x14ac:dyDescent="0.25">
      <c r="A177" s="20" t="str">
        <f>B177&amp;"."&amp;IFERROR(MID(D177,FIND("(",D177)+1,FIND(")",D177)-FIND("(",D177)-1),"")</f>
        <v>97301.99824</v>
      </c>
      <c r="B177" s="21">
        <v>97301</v>
      </c>
      <c r="C177" s="20" t="s">
        <v>350</v>
      </c>
      <c r="D177" s="20" t="s">
        <v>351</v>
      </c>
      <c r="E177" s="20" t="s">
        <v>89</v>
      </c>
      <c r="F177" s="20" t="s">
        <v>24</v>
      </c>
      <c r="G177" s="20" t="s">
        <v>51</v>
      </c>
      <c r="H177" s="22">
        <f>IFERROR(INDEX(Linha!$B$5:$B$788,MATCH(A177,Linha!$A$5:$A$788,0)),"NÃO CADASTRADO")</f>
      </c>
      <c r="I177" s="22">
        <f>IFERROR(INDEX(Linha!$C$5:$C$788,MATCH(A177,Linha!$A$5:$A$788,0)),"-")</f>
      </c>
      <c r="J177" s="23">
        <v>86</v>
      </c>
      <c r="K177" s="24">
        <f>IFERROR(INDEX(Linha!$D$5:$D$788,MATCH(A177,Linha!$A$5:$A$788,0))*1,0)</f>
      </c>
      <c r="L177" s="24">
        <f>SUMIFS(Reservas!$K$5:$K$3669,Reservas!$A$5:$A$3669,A177)</f>
      </c>
      <c r="M177" s="25">
        <f>J177-L177</f>
      </c>
      <c r="N177" s="26">
        <v>17.94</v>
      </c>
      <c r="O177" s="25">
        <f>J177*N177</f>
      </c>
      <c r="P177" s="25">
        <f>L177*N177</f>
      </c>
      <c r="Q177" s="27">
        <v>121.54245436</v>
      </c>
      <c r="R177" s="28">
        <f>J177*Q177</f>
      </c>
      <c r="S177" s="28">
        <f>L177*Q177</f>
      </c>
      <c r="T177" s="29">
        <f>IF(J177=0,0,L177/J177)</f>
      </c>
      <c r="U177" s="30">
        <f>IFERROR(INDEX(Paletes!$C$5:$C$393,MATCH(B177,Paletes!$A$5:$A$393,0)),"SEM CADASTRO")</f>
      </c>
      <c r="V177" s="24">
        <f>IFERROR(INDEX(Paletes!$D$5:$D$393,MATCH(B177,Paletes!$A$5:$A$393,0)),0)</f>
      </c>
      <c r="W177" s="31">
        <f>IF(V177=0,0,J177/V177)</f>
      </c>
      <c r="X177" s="31">
        <f>IF(V177=0,0,MAX(M177,0)/V177)</f>
      </c>
    </row>
    <row r="178" spans="1:24" x14ac:dyDescent="0.25">
      <c r="A178" s="32" t="str">
        <f>B178&amp;"."&amp;IFERROR(MID(D178,FIND("(",D178)+1,FIND(")",D178)-FIND("(",D178)-1),"")</f>
        <v>73126.15980</v>
      </c>
      <c r="B178" s="33">
        <v>73126</v>
      </c>
      <c r="C178" s="32" t="s">
        <v>352</v>
      </c>
      <c r="D178" s="32" t="s">
        <v>353</v>
      </c>
      <c r="E178" s="32">
        <v>90752</v>
      </c>
      <c r="F178" s="32" t="s">
        <v>24</v>
      </c>
      <c r="G178" s="32" t="s">
        <v>51</v>
      </c>
      <c r="H178" s="34">
        <f>IFERROR(INDEX(Linha!$B$5:$B$788,MATCH(A178,Linha!$A$5:$A$788,0)),"NÃO CADASTRADO")</f>
      </c>
      <c r="I178" s="34">
        <f>IFERROR(INDEX(Linha!$C$5:$C$788,MATCH(A178,Linha!$A$5:$A$788,0)),"-")</f>
      </c>
      <c r="J178" s="35">
        <v>0</v>
      </c>
      <c r="K178" s="36">
        <f>IFERROR(INDEX(Linha!$D$5:$D$788,MATCH(A178,Linha!$A$5:$A$788,0))*1,0)</f>
      </c>
      <c r="L178" s="36">
        <f>SUMIFS(Reservas!$K$5:$K$3669,Reservas!$A$5:$A$3669,A178)</f>
      </c>
      <c r="M178" s="37">
        <f>J178-L178</f>
      </c>
      <c r="N178" s="38">
        <v>43.875</v>
      </c>
      <c r="O178" s="37">
        <f>J178*N178</f>
      </c>
      <c r="P178" s="37">
        <f>L178*N178</f>
      </c>
      <c r="Q178" s="39">
        <v>179.95140032</v>
      </c>
      <c r="R178" s="40">
        <f>J178*Q178</f>
      </c>
      <c r="S178" s="40">
        <f>L178*Q178</f>
      </c>
      <c r="T178" s="41">
        <f>IF(J178=0,0,L178/J178)</f>
      </c>
      <c r="U178" s="42">
        <f>IFERROR(INDEX(Paletes!$C$5:$C$393,MATCH(B178,Paletes!$A$5:$A$393,0)),"SEM CADASTRO")</f>
      </c>
      <c r="V178" s="36">
        <f>IFERROR(INDEX(Paletes!$D$5:$D$393,MATCH(B178,Paletes!$A$5:$A$393,0)),0)</f>
      </c>
      <c r="W178" s="43">
        <f>IF(V178=0,0,J178/V178)</f>
      </c>
      <c r="X178" s="43">
        <f>IF(V178=0,0,MAX(M178,0)/V178)</f>
      </c>
    </row>
    <row r="179" spans="1:24" x14ac:dyDescent="0.25">
      <c r="A179" s="20" t="str">
        <f>B179&amp;"."&amp;IFERROR(MID(D179,FIND("(",D179)+1,FIND(")",D179)-FIND("(",D179)-1),"")</f>
        <v>73189.16642</v>
      </c>
      <c r="B179" s="21">
        <v>73189</v>
      </c>
      <c r="C179" s="20" t="s">
        <v>215</v>
      </c>
      <c r="D179" s="20" t="s">
        <v>354</v>
      </c>
      <c r="E179" s="20">
        <v>91018</v>
      </c>
      <c r="F179" s="20" t="s">
        <v>24</v>
      </c>
      <c r="G179" s="20" t="s">
        <v>51</v>
      </c>
      <c r="H179" s="22">
        <f>IFERROR(INDEX(Linha!$B$5:$B$788,MATCH(A179,Linha!$A$5:$A$788,0)),"NÃO CADASTRADO")</f>
      </c>
      <c r="I179" s="22">
        <f>IFERROR(INDEX(Linha!$C$5:$C$788,MATCH(A179,Linha!$A$5:$A$788,0)),"-")</f>
      </c>
      <c r="J179" s="23">
        <v>750</v>
      </c>
      <c r="K179" s="24">
        <f>IFERROR(INDEX(Linha!$D$5:$D$788,MATCH(A179,Linha!$A$5:$A$788,0))*1,0)</f>
      </c>
      <c r="L179" s="24">
        <f>SUMIFS(Reservas!$K$5:$K$3669,Reservas!$A$5:$A$3669,A179)</f>
      </c>
      <c r="M179" s="25">
        <f>J179-L179</f>
      </c>
      <c r="N179" s="26">
        <v>32.175</v>
      </c>
      <c r="O179" s="25">
        <f>J179*N179</f>
      </c>
      <c r="P179" s="25">
        <f>L179*N179</f>
      </c>
      <c r="Q179" s="27">
        <v>138.56406503</v>
      </c>
      <c r="R179" s="28">
        <f>J179*Q179</f>
      </c>
      <c r="S179" s="28">
        <f>L179*Q179</f>
      </c>
      <c r="T179" s="29">
        <f>IF(J179=0,0,L179/J179)</f>
      </c>
      <c r="U179" s="30">
        <f>IFERROR(INDEX(Paletes!$C$5:$C$393,MATCH(B179,Paletes!$A$5:$A$393,0)),"SEM CADASTRO")</f>
      </c>
      <c r="V179" s="24">
        <f>IFERROR(INDEX(Paletes!$D$5:$D$393,MATCH(B179,Paletes!$A$5:$A$393,0)),0)</f>
      </c>
      <c r="W179" s="31">
        <f>IF(V179=0,0,J179/V179)</f>
      </c>
      <c r="X179" s="31">
        <f>IF(V179=0,0,MAX(M179,0)/V179)</f>
      </c>
    </row>
    <row r="180" spans="1:24" x14ac:dyDescent="0.25">
      <c r="A180" s="32" t="str">
        <f>B180&amp;"."&amp;IFERROR(MID(D180,FIND("(",D180)+1,FIND(")",D180)-FIND("(",D180)-1),"")</f>
        <v>85025.55817</v>
      </c>
      <c r="B180" s="33">
        <v>85025</v>
      </c>
      <c r="C180" s="32" t="s">
        <v>355</v>
      </c>
      <c r="D180" s="32" t="s">
        <v>356</v>
      </c>
      <c r="E180" s="32">
        <v>91794</v>
      </c>
      <c r="F180" s="32" t="s">
        <v>24</v>
      </c>
      <c r="G180" s="32" t="s">
        <v>51</v>
      </c>
      <c r="H180" s="34">
        <f>IFERROR(INDEX(Linha!$B$5:$B$788,MATCH(A180,Linha!$A$5:$A$788,0)),"NÃO CADASTRADO")</f>
      </c>
      <c r="I180" s="34">
        <f>IFERROR(INDEX(Linha!$C$5:$C$788,MATCH(A180,Linha!$A$5:$A$788,0)),"-")</f>
      </c>
      <c r="J180" s="35">
        <v>18</v>
      </c>
      <c r="K180" s="36">
        <f>IFERROR(INDEX(Linha!$D$5:$D$788,MATCH(A180,Linha!$A$5:$A$788,0))*1,0)</f>
      </c>
      <c r="L180" s="36">
        <f>SUMIFS(Reservas!$K$5:$K$3669,Reservas!$A$5:$A$3669,A180)</f>
      </c>
      <c r="M180" s="37">
        <f>J180-L180</f>
      </c>
      <c r="N180" s="38">
        <v>0.39</v>
      </c>
      <c r="O180" s="37">
        <f>J180*N180</f>
      </c>
      <c r="P180" s="37">
        <f>L180*N180</f>
      </c>
      <c r="Q180" s="39">
        <v>1.85060704</v>
      </c>
      <c r="R180" s="40">
        <f>J180*Q180</f>
      </c>
      <c r="S180" s="40">
        <f>L180*Q180</f>
      </c>
      <c r="T180" s="41">
        <f>IF(J180=0,0,L180/J180)</f>
      </c>
      <c r="U180" s="42">
        <f>IFERROR(INDEX(Paletes!$C$5:$C$393,MATCH(B180,Paletes!$A$5:$A$393,0)),"SEM CADASTRO")</f>
      </c>
      <c r="V180" s="36">
        <f>IFERROR(INDEX(Paletes!$D$5:$D$393,MATCH(B180,Paletes!$A$5:$A$393,0)),0)</f>
      </c>
      <c r="W180" s="43">
        <f>IF(V180=0,0,J180/V180)</f>
      </c>
      <c r="X180" s="43">
        <f>IF(V180=0,0,MAX(M180,0)/V180)</f>
      </c>
    </row>
    <row r="181" spans="1:24" x14ac:dyDescent="0.25">
      <c r="A181" s="20" t="str">
        <f>B181&amp;"."&amp;IFERROR(MID(D181,FIND("(",D181)+1,FIND(")",D181)-FIND("(",D181)-1),"")</f>
        <v>75868.13790</v>
      </c>
      <c r="B181" s="21">
        <v>75868</v>
      </c>
      <c r="C181" s="20" t="s">
        <v>357</v>
      </c>
      <c r="D181" s="20" t="s">
        <v>358</v>
      </c>
      <c r="E181" s="20">
        <v>91884</v>
      </c>
      <c r="F181" s="20" t="s">
        <v>26</v>
      </c>
      <c r="G181" s="20" t="s">
        <v>51</v>
      </c>
      <c r="H181" s="22">
        <f>IFERROR(INDEX(Linha!$B$5:$B$788,MATCH(A181,Linha!$A$5:$A$788,0)),"NÃO CADASTRADO")</f>
      </c>
      <c r="I181" s="22">
        <f>IFERROR(INDEX(Linha!$C$5:$C$788,MATCH(A181,Linha!$A$5:$A$788,0)),"-")</f>
      </c>
      <c r="J181" s="23">
        <v>164</v>
      </c>
      <c r="K181" s="24">
        <f>IFERROR(INDEX(Linha!$D$5:$D$788,MATCH(A181,Linha!$A$5:$A$788,0))*1,0)</f>
      </c>
      <c r="L181" s="24">
        <f>SUMIFS(Reservas!$K$5:$K$3669,Reservas!$A$5:$A$3669,A181)</f>
      </c>
      <c r="M181" s="25">
        <f>J181-L181</f>
      </c>
      <c r="N181" s="26">
        <v>59.943</v>
      </c>
      <c r="O181" s="25">
        <f>J181*N181</f>
      </c>
      <c r="P181" s="25">
        <f>L181*N181</f>
      </c>
      <c r="Q181" s="27">
        <v>209.33578116</v>
      </c>
      <c r="R181" s="28">
        <f>J181*Q181</f>
      </c>
      <c r="S181" s="28">
        <f>L181*Q181</f>
      </c>
      <c r="T181" s="29">
        <f>IF(J181=0,0,L181/J181)</f>
      </c>
      <c r="U181" s="30">
        <f>IFERROR(INDEX(Paletes!$C$5:$C$393,MATCH(B181,Paletes!$A$5:$A$393,0)),"SEM CADASTRO")</f>
      </c>
      <c r="V181" s="24">
        <f>IFERROR(INDEX(Paletes!$D$5:$D$393,MATCH(B181,Paletes!$A$5:$A$393,0)),0)</f>
      </c>
      <c r="W181" s="31">
        <f>IF(V181=0,0,J181/V181)</f>
      </c>
      <c r="X181" s="31">
        <f>IF(V181=0,0,MAX(M181,0)/V181)</f>
      </c>
    </row>
    <row r="182" spans="1:24" x14ac:dyDescent="0.25">
      <c r="A182" s="32" t="str">
        <f>B182&amp;"."&amp;IFERROR(MID(D182,FIND("(",D182)+1,FIND(")",D182)-FIND("(",D182)-1),"")</f>
        <v>83251.31597</v>
      </c>
      <c r="B182" s="33">
        <v>83251</v>
      </c>
      <c r="C182" s="32" t="s">
        <v>359</v>
      </c>
      <c r="D182" s="32" t="s">
        <v>360</v>
      </c>
      <c r="E182" s="32">
        <v>92251</v>
      </c>
      <c r="F182" s="32" t="s">
        <v>25</v>
      </c>
      <c r="G182" s="32" t="s">
        <v>51</v>
      </c>
      <c r="H182" s="34">
        <f>IFERROR(INDEX(Linha!$B$5:$B$788,MATCH(A182,Linha!$A$5:$A$788,0)),"NÃO CADASTRADO")</f>
      </c>
      <c r="I182" s="34">
        <f>IFERROR(INDEX(Linha!$C$5:$C$788,MATCH(A182,Linha!$A$5:$A$788,0)),"-")</f>
      </c>
      <c r="J182" s="35">
        <v>120</v>
      </c>
      <c r="K182" s="36">
        <f>IFERROR(INDEX(Linha!$D$5:$D$788,MATCH(A182,Linha!$A$5:$A$788,0))*1,0)</f>
      </c>
      <c r="L182" s="36">
        <f>SUMIFS(Reservas!$K$5:$K$3669,Reservas!$A$5:$A$3669,A182)</f>
      </c>
      <c r="M182" s="37">
        <f>J182-L182</f>
      </c>
      <c r="N182" s="38">
        <v>15.834</v>
      </c>
      <c r="O182" s="37">
        <f>J182*N182</f>
      </c>
      <c r="P182" s="37">
        <f>L182*N182</f>
      </c>
      <c r="Q182" s="39">
        <v>98.79977867</v>
      </c>
      <c r="R182" s="40">
        <f>J182*Q182</f>
      </c>
      <c r="S182" s="40">
        <f>L182*Q182</f>
      </c>
      <c r="T182" s="41">
        <f>IF(J182=0,0,L182/J182)</f>
      </c>
      <c r="U182" s="42">
        <f>IFERROR(INDEX(Paletes!$C$5:$C$393,MATCH(B182,Paletes!$A$5:$A$393,0)),"SEM CADASTRO")</f>
      </c>
      <c r="V182" s="36">
        <f>IFERROR(INDEX(Paletes!$D$5:$D$393,MATCH(B182,Paletes!$A$5:$A$393,0)),0)</f>
      </c>
      <c r="W182" s="43">
        <f>IF(V182=0,0,J182/V182)</f>
      </c>
      <c r="X182" s="43">
        <f>IF(V182=0,0,MAX(M182,0)/V182)</f>
      </c>
    </row>
    <row r="183" spans="1:24" x14ac:dyDescent="0.25">
      <c r="A183" s="20" t="str">
        <f>B183&amp;"."&amp;IFERROR(MID(D183,FIND("(",D183)+1,FIND(")",D183)-FIND("(",D183)-1),"")</f>
        <v>81935.32029</v>
      </c>
      <c r="B183" s="21">
        <v>81935</v>
      </c>
      <c r="C183" s="20" t="s">
        <v>219</v>
      </c>
      <c r="D183" s="20" t="s">
        <v>361</v>
      </c>
      <c r="E183" s="20">
        <v>93682</v>
      </c>
      <c r="F183" s="20" t="s">
        <v>24</v>
      </c>
      <c r="G183" s="20" t="s">
        <v>51</v>
      </c>
      <c r="H183" s="22">
        <f>IFERROR(INDEX(Linha!$B$5:$B$788,MATCH(A183,Linha!$A$5:$A$788,0)),"NÃO CADASTRADO")</f>
      </c>
      <c r="I183" s="22">
        <f>IFERROR(INDEX(Linha!$C$5:$C$788,MATCH(A183,Linha!$A$5:$A$788,0)),"-")</f>
      </c>
      <c r="J183" s="23">
        <v>63</v>
      </c>
      <c r="K183" s="24">
        <f>IFERROR(INDEX(Linha!$D$5:$D$788,MATCH(A183,Linha!$A$5:$A$788,0))*1,0)</f>
      </c>
      <c r="L183" s="24">
        <f>SUMIFS(Reservas!$K$5:$K$3669,Reservas!$A$5:$A$3669,A183)</f>
      </c>
      <c r="M183" s="25">
        <f>J183-L183</f>
      </c>
      <c r="N183" s="26">
        <v>36.562</v>
      </c>
      <c r="O183" s="25">
        <f>J183*N183</f>
      </c>
      <c r="P183" s="25">
        <f>L183*N183</f>
      </c>
      <c r="Q183" s="27">
        <v>161.37120074</v>
      </c>
      <c r="R183" s="28">
        <f>J183*Q183</f>
      </c>
      <c r="S183" s="28">
        <f>L183*Q183</f>
      </c>
      <c r="T183" s="29">
        <f>IF(J183=0,0,L183/J183)</f>
      </c>
      <c r="U183" s="30">
        <f>IFERROR(INDEX(Paletes!$C$5:$C$393,MATCH(B183,Paletes!$A$5:$A$393,0)),"SEM CADASTRO")</f>
      </c>
      <c r="V183" s="24">
        <f>IFERROR(INDEX(Paletes!$D$5:$D$393,MATCH(B183,Paletes!$A$5:$A$393,0)),0)</f>
      </c>
      <c r="W183" s="31">
        <f>IF(V183=0,0,J183/V183)</f>
      </c>
      <c r="X183" s="31">
        <f>IF(V183=0,0,MAX(M183,0)/V183)</f>
      </c>
    </row>
    <row r="184" spans="1:24" x14ac:dyDescent="0.25">
      <c r="A184" s="32" t="str">
        <f>B184&amp;"."&amp;IFERROR(MID(D184,FIND("(",D184)+1,FIND(")",D184)-FIND("(",D184)-1),"")</f>
        <v>81938.31501</v>
      </c>
      <c r="B184" s="33">
        <v>81938</v>
      </c>
      <c r="C184" s="32" t="s">
        <v>362</v>
      </c>
      <c r="D184" s="32" t="s">
        <v>363</v>
      </c>
      <c r="E184" s="32">
        <v>93683</v>
      </c>
      <c r="F184" s="32" t="s">
        <v>24</v>
      </c>
      <c r="G184" s="32" t="s">
        <v>51</v>
      </c>
      <c r="H184" s="34">
        <f>IFERROR(INDEX(Linha!$B$5:$B$788,MATCH(A184,Linha!$A$5:$A$788,0)),"NÃO CADASTRADO")</f>
      </c>
      <c r="I184" s="34">
        <f>IFERROR(INDEX(Linha!$C$5:$C$788,MATCH(A184,Linha!$A$5:$A$788,0)),"-")</f>
      </c>
      <c r="J184" s="35">
        <v>631</v>
      </c>
      <c r="K184" s="36">
        <f>IFERROR(INDEX(Linha!$D$5:$D$788,MATCH(A184,Linha!$A$5:$A$788,0))*1,0)</f>
      </c>
      <c r="L184" s="36">
        <f>SUMIFS(Reservas!$K$5:$K$3669,Reservas!$A$5:$A$3669,A184)</f>
      </c>
      <c r="M184" s="37">
        <f>J184-L184</f>
      </c>
      <c r="N184" s="38">
        <v>38.512</v>
      </c>
      <c r="O184" s="37">
        <f>J184*N184</f>
      </c>
      <c r="P184" s="37">
        <f>L184*N184</f>
      </c>
      <c r="Q184" s="39">
        <v>206.54544911</v>
      </c>
      <c r="R184" s="40">
        <f>J184*Q184</f>
      </c>
      <c r="S184" s="40">
        <f>L184*Q184</f>
      </c>
      <c r="T184" s="41">
        <f>IF(J184=0,0,L184/J184)</f>
      </c>
      <c r="U184" s="42">
        <f>IFERROR(INDEX(Paletes!$C$5:$C$393,MATCH(B184,Paletes!$A$5:$A$393,0)),"SEM CADASTRO")</f>
      </c>
      <c r="V184" s="36">
        <f>IFERROR(INDEX(Paletes!$D$5:$D$393,MATCH(B184,Paletes!$A$5:$A$393,0)),0)</f>
      </c>
      <c r="W184" s="43">
        <f>IF(V184=0,0,J184/V184)</f>
      </c>
      <c r="X184" s="43">
        <f>IF(V184=0,0,MAX(M184,0)/V184)</f>
      </c>
    </row>
    <row r="185" spans="1:24" x14ac:dyDescent="0.25">
      <c r="A185" s="20" t="str">
        <f>B185&amp;"."&amp;IFERROR(MID(D185,FIND("(",D185)+1,FIND(")",D185)-FIND("(",D185)-1),"")</f>
        <v>85366.46065</v>
      </c>
      <c r="B185" s="21">
        <v>85366</v>
      </c>
      <c r="C185" s="20" t="s">
        <v>364</v>
      </c>
      <c r="D185" s="20" t="s">
        <v>365</v>
      </c>
      <c r="E185" s="20">
        <v>96295</v>
      </c>
      <c r="F185" s="20" t="s">
        <v>25</v>
      </c>
      <c r="G185" s="20" t="s">
        <v>51</v>
      </c>
      <c r="H185" s="22">
        <f>IFERROR(INDEX(Linha!$B$5:$B$788,MATCH(A185,Linha!$A$5:$A$788,0)),"NÃO CADASTRADO")</f>
      </c>
      <c r="I185" s="22">
        <f>IFERROR(INDEX(Linha!$C$5:$C$788,MATCH(A185,Linha!$A$5:$A$788,0)),"-")</f>
      </c>
      <c r="J185" s="23">
        <v>96</v>
      </c>
      <c r="K185" s="24">
        <f>IFERROR(INDEX(Linha!$D$5:$D$788,MATCH(A185,Linha!$A$5:$A$788,0))*1,0)</f>
      </c>
      <c r="L185" s="24">
        <f>SUMIFS(Reservas!$K$5:$K$3669,Reservas!$A$5:$A$3669,A185)</f>
      </c>
      <c r="M185" s="25">
        <f>J185-L185</f>
      </c>
      <c r="N185" s="26">
        <v>12.577</v>
      </c>
      <c r="O185" s="25">
        <f>J185*N185</f>
      </c>
      <c r="P185" s="25">
        <f>L185*N185</f>
      </c>
      <c r="Q185" s="27">
        <v>88.85019983</v>
      </c>
      <c r="R185" s="28">
        <f>J185*Q185</f>
      </c>
      <c r="S185" s="28">
        <f>L185*Q185</f>
      </c>
      <c r="T185" s="29">
        <f>IF(J185=0,0,L185/J185)</f>
      </c>
      <c r="U185" s="30">
        <f>IFERROR(INDEX(Paletes!$C$5:$C$393,MATCH(B185,Paletes!$A$5:$A$393,0)),"SEM CADASTRO")</f>
      </c>
      <c r="V185" s="24">
        <f>IFERROR(INDEX(Paletes!$D$5:$D$393,MATCH(B185,Paletes!$A$5:$A$393,0)),0)</f>
      </c>
      <c r="W185" s="31">
        <f>IF(V185=0,0,J185/V185)</f>
      </c>
      <c r="X185" s="31">
        <f>IF(V185=0,0,MAX(M185,0)/V185)</f>
      </c>
    </row>
    <row r="186" spans="1:24" x14ac:dyDescent="0.25">
      <c r="A186" s="32" t="str">
        <f>B186&amp;"."&amp;IFERROR(MID(D186,FIND("(",D186)+1,FIND(")",D186)-FIND("(",D186)-1),"")</f>
        <v>84822.30747</v>
      </c>
      <c r="B186" s="33">
        <v>84822</v>
      </c>
      <c r="C186" s="32" t="s">
        <v>366</v>
      </c>
      <c r="D186" s="32" t="s">
        <v>367</v>
      </c>
      <c r="E186" s="32">
        <v>96575</v>
      </c>
      <c r="F186" s="32" t="s">
        <v>26</v>
      </c>
      <c r="G186" s="32" t="s">
        <v>51</v>
      </c>
      <c r="H186" s="34">
        <f>IFERROR(INDEX(Linha!$B$5:$B$788,MATCH(A186,Linha!$A$5:$A$788,0)),"NÃO CADASTRADO")</f>
      </c>
      <c r="I186" s="34">
        <f>IFERROR(INDEX(Linha!$C$5:$C$788,MATCH(A186,Linha!$A$5:$A$788,0)),"-")</f>
      </c>
      <c r="J186" s="35">
        <v>353</v>
      </c>
      <c r="K186" s="36">
        <f>IFERROR(INDEX(Linha!$D$5:$D$788,MATCH(A186,Linha!$A$5:$A$788,0))*1,0)</f>
      </c>
      <c r="L186" s="36">
        <f>SUMIFS(Reservas!$K$5:$K$3669,Reservas!$A$5:$A$3669,A186)</f>
      </c>
      <c r="M186" s="37">
        <f>J186-L186</f>
      </c>
      <c r="N186" s="38">
        <v>54.6</v>
      </c>
      <c r="O186" s="37">
        <f>J186*N186</f>
      </c>
      <c r="P186" s="37">
        <f>L186*N186</f>
      </c>
      <c r="Q186" s="39">
        <v>268.05711066</v>
      </c>
      <c r="R186" s="40">
        <f>J186*Q186</f>
      </c>
      <c r="S186" s="40">
        <f>L186*Q186</f>
      </c>
      <c r="T186" s="41">
        <f>IF(J186=0,0,L186/J186)</f>
      </c>
      <c r="U186" s="42">
        <f>IFERROR(INDEX(Paletes!$C$5:$C$393,MATCH(B186,Paletes!$A$5:$A$393,0)),"SEM CADASTRO")</f>
      </c>
      <c r="V186" s="36">
        <f>IFERROR(INDEX(Paletes!$D$5:$D$393,MATCH(B186,Paletes!$A$5:$A$393,0)),0)</f>
      </c>
      <c r="W186" s="43">
        <f>IF(V186=0,0,J186/V186)</f>
      </c>
      <c r="X186" s="43">
        <f>IF(V186=0,0,MAX(M186,0)/V186)</f>
      </c>
    </row>
    <row r="187" spans="1:24" x14ac:dyDescent="0.25">
      <c r="A187" s="20" t="str">
        <f>B187&amp;"."&amp;IFERROR(MID(D187,FIND("(",D187)+1,FIND(")",D187)-FIND("(",D187)-1),"")</f>
        <v>84795.40350</v>
      </c>
      <c r="B187" s="21">
        <v>84795</v>
      </c>
      <c r="C187" s="20" t="s">
        <v>368</v>
      </c>
      <c r="D187" s="20" t="s">
        <v>369</v>
      </c>
      <c r="E187" s="20">
        <v>96518</v>
      </c>
      <c r="F187" s="20" t="s">
        <v>26</v>
      </c>
      <c r="G187" s="20" t="s">
        <v>51</v>
      </c>
      <c r="H187" s="22">
        <f>IFERROR(INDEX(Linha!$B$5:$B$788,MATCH(A187,Linha!$A$5:$A$788,0)),"NÃO CADASTRADO")</f>
      </c>
      <c r="I187" s="22">
        <f>IFERROR(INDEX(Linha!$C$5:$C$788,MATCH(A187,Linha!$A$5:$A$788,0)),"-")</f>
      </c>
      <c r="J187" s="23">
        <v>0</v>
      </c>
      <c r="K187" s="24">
        <f>IFERROR(INDEX(Linha!$D$5:$D$788,MATCH(A187,Linha!$A$5:$A$788,0))*1,0)</f>
      </c>
      <c r="L187" s="24">
        <f>SUMIFS(Reservas!$K$5:$K$3669,Reservas!$A$5:$A$3669,A187)</f>
      </c>
      <c r="M187" s="25">
        <f>J187-L187</f>
      </c>
      <c r="N187" s="26">
        <v>58.792</v>
      </c>
      <c r="O187" s="25">
        <f>J187*N187</f>
      </c>
      <c r="P187" s="25">
        <f>L187*N187</f>
      </c>
      <c r="Q187" s="27">
        <v>292.59651139</v>
      </c>
      <c r="R187" s="28">
        <f>J187*Q187</f>
      </c>
      <c r="S187" s="28">
        <f>L187*Q187</f>
      </c>
      <c r="T187" s="29">
        <f>IF(J187=0,0,L187/J187)</f>
      </c>
      <c r="U187" s="30">
        <f>IFERROR(INDEX(Paletes!$C$5:$C$393,MATCH(B187,Paletes!$A$5:$A$393,0)),"SEM CADASTRO")</f>
      </c>
      <c r="V187" s="24">
        <f>IFERROR(INDEX(Paletes!$D$5:$D$393,MATCH(B187,Paletes!$A$5:$A$393,0)),0)</f>
      </c>
      <c r="W187" s="31">
        <f>IF(V187=0,0,J187/V187)</f>
      </c>
      <c r="X187" s="31">
        <f>IF(V187=0,0,MAX(M187,0)/V187)</f>
      </c>
    </row>
    <row r="188" spans="1:24" x14ac:dyDescent="0.25">
      <c r="A188" s="32" t="str">
        <f>B188&amp;"."&amp;IFERROR(MID(D188,FIND("(",D188)+1,FIND(")",D188)-FIND("(",D188)-1),"")</f>
        <v>84800.43034</v>
      </c>
      <c r="B188" s="33">
        <v>84800</v>
      </c>
      <c r="C188" s="32" t="s">
        <v>370</v>
      </c>
      <c r="D188" s="32" t="s">
        <v>371</v>
      </c>
      <c r="E188" s="32">
        <v>96519</v>
      </c>
      <c r="F188" s="32" t="s">
        <v>26</v>
      </c>
      <c r="G188" s="32" t="s">
        <v>51</v>
      </c>
      <c r="H188" s="34">
        <f>IFERROR(INDEX(Linha!$B$5:$B$788,MATCH(A188,Linha!$A$5:$A$788,0)),"NÃO CADASTRADO")</f>
      </c>
      <c r="I188" s="34">
        <f>IFERROR(INDEX(Linha!$C$5:$C$788,MATCH(A188,Linha!$A$5:$A$788,0)),"-")</f>
      </c>
      <c r="J188" s="35">
        <v>252</v>
      </c>
      <c r="K188" s="36">
        <f>IFERROR(INDEX(Linha!$D$5:$D$788,MATCH(A188,Linha!$A$5:$A$788,0))*1,0)</f>
      </c>
      <c r="L188" s="36">
        <f>SUMIFS(Reservas!$K$5:$K$3669,Reservas!$A$5:$A$3669,A188)</f>
      </c>
      <c r="M188" s="37">
        <f>J188-L188</f>
      </c>
      <c r="N188" s="38">
        <v>58.5</v>
      </c>
      <c r="O188" s="37">
        <f>J188*N188</f>
      </c>
      <c r="P188" s="37">
        <f>L188*N188</f>
      </c>
      <c r="Q188" s="39">
        <v>217.23885917</v>
      </c>
      <c r="R188" s="40">
        <f>J188*Q188</f>
      </c>
      <c r="S188" s="40">
        <f>L188*Q188</f>
      </c>
      <c r="T188" s="41">
        <f>IF(J188=0,0,L188/J188)</f>
      </c>
      <c r="U188" s="42">
        <f>IFERROR(INDEX(Paletes!$C$5:$C$393,MATCH(B188,Paletes!$A$5:$A$393,0)),"SEM CADASTRO")</f>
      </c>
      <c r="V188" s="36">
        <f>IFERROR(INDEX(Paletes!$D$5:$D$393,MATCH(B188,Paletes!$A$5:$A$393,0)),0)</f>
      </c>
      <c r="W188" s="43">
        <f>IF(V188=0,0,J188/V188)</f>
      </c>
      <c r="X188" s="43">
        <f>IF(V188=0,0,MAX(M188,0)/V188)</f>
      </c>
    </row>
    <row r="189" spans="1:24" x14ac:dyDescent="0.25">
      <c r="A189" s="20" t="str">
        <f>B189&amp;"."&amp;IFERROR(MID(D189,FIND("(",D189)+1,FIND(")",D189)-FIND("(",D189)-1),"")</f>
        <v>84966.36932</v>
      </c>
      <c r="B189" s="21">
        <v>84966</v>
      </c>
      <c r="C189" s="20" t="s">
        <v>54</v>
      </c>
      <c r="D189" s="20" t="s">
        <v>372</v>
      </c>
      <c r="E189" s="20">
        <v>97476</v>
      </c>
      <c r="F189" s="20" t="s">
        <v>24</v>
      </c>
      <c r="G189" s="20" t="s">
        <v>51</v>
      </c>
      <c r="H189" s="22">
        <f>IFERROR(INDEX(Linha!$B$5:$B$788,MATCH(A189,Linha!$A$5:$A$788,0)),"NÃO CADASTRADO")</f>
      </c>
      <c r="I189" s="22">
        <f>IFERROR(INDEX(Linha!$C$5:$C$788,MATCH(A189,Linha!$A$5:$A$788,0)),"-")</f>
      </c>
      <c r="J189" s="23">
        <v>5</v>
      </c>
      <c r="K189" s="24">
        <f>IFERROR(INDEX(Linha!$D$5:$D$788,MATCH(A189,Linha!$A$5:$A$788,0))*1,0)</f>
      </c>
      <c r="L189" s="24">
        <f>SUMIFS(Reservas!$K$5:$K$3669,Reservas!$A$5:$A$3669,A189)</f>
      </c>
      <c r="M189" s="25">
        <f>J189-L189</f>
      </c>
      <c r="N189" s="26">
        <v>35.1</v>
      </c>
      <c r="O189" s="25">
        <f>J189*N189</f>
      </c>
      <c r="P189" s="25">
        <f>L189*N189</f>
      </c>
      <c r="Q189" s="27">
        <v>194.03228359</v>
      </c>
      <c r="R189" s="28">
        <f>J189*Q189</f>
      </c>
      <c r="S189" s="28">
        <f>L189*Q189</f>
      </c>
      <c r="T189" s="29">
        <f>IF(J189=0,0,L189/J189)</f>
      </c>
      <c r="U189" s="30">
        <f>IFERROR(INDEX(Paletes!$C$5:$C$393,MATCH(B189,Paletes!$A$5:$A$393,0)),"SEM CADASTRO")</f>
      </c>
      <c r="V189" s="24">
        <f>IFERROR(INDEX(Paletes!$D$5:$D$393,MATCH(B189,Paletes!$A$5:$A$393,0)),0)</f>
      </c>
      <c r="W189" s="31">
        <f>IF(V189=0,0,J189/V189)</f>
      </c>
      <c r="X189" s="31">
        <f>IF(V189=0,0,MAX(M189,0)/V189)</f>
      </c>
    </row>
    <row r="190" spans="1:24" x14ac:dyDescent="0.25">
      <c r="A190" s="32" t="str">
        <f>B190&amp;"."&amp;IFERROR(MID(D190,FIND("(",D190)+1,FIND(")",D190)-FIND("(",D190)-1),"")</f>
        <v>85436.46144</v>
      </c>
      <c r="B190" s="33">
        <v>85436</v>
      </c>
      <c r="C190" s="32" t="s">
        <v>225</v>
      </c>
      <c r="D190" s="32" t="s">
        <v>373</v>
      </c>
      <c r="E190" s="32">
        <v>97774</v>
      </c>
      <c r="F190" s="32" t="s">
        <v>25</v>
      </c>
      <c r="G190" s="32" t="s">
        <v>51</v>
      </c>
      <c r="H190" s="34">
        <f>IFERROR(INDEX(Linha!$B$5:$B$788,MATCH(A190,Linha!$A$5:$A$788,0)),"NÃO CADASTRADO")</f>
      </c>
      <c r="I190" s="34">
        <f>IFERROR(INDEX(Linha!$C$5:$C$788,MATCH(A190,Linha!$A$5:$A$788,0)),"-")</f>
      </c>
      <c r="J190" s="35">
        <v>0</v>
      </c>
      <c r="K190" s="36">
        <f>IFERROR(INDEX(Linha!$D$5:$D$788,MATCH(A190,Linha!$A$5:$A$788,0))*1,0)</f>
      </c>
      <c r="L190" s="36">
        <f>SUMIFS(Reservas!$K$5:$K$3669,Reservas!$A$5:$A$3669,A190)</f>
      </c>
      <c r="M190" s="37">
        <f>J190-L190</f>
      </c>
      <c r="N190" s="38">
        <v>18.183</v>
      </c>
      <c r="O190" s="37">
        <f>J190*N190</f>
      </c>
      <c r="P190" s="37">
        <f>L190*N190</f>
      </c>
      <c r="Q190" s="39">
        <v>121.07797701</v>
      </c>
      <c r="R190" s="40">
        <f>J190*Q190</f>
      </c>
      <c r="S190" s="40">
        <f>L190*Q190</f>
      </c>
      <c r="T190" s="41">
        <f>IF(J190=0,0,L190/J190)</f>
      </c>
      <c r="U190" s="42">
        <f>IFERROR(INDEX(Paletes!$C$5:$C$393,MATCH(B190,Paletes!$A$5:$A$393,0)),"SEM CADASTRO")</f>
      </c>
      <c r="V190" s="36">
        <f>IFERROR(INDEX(Paletes!$D$5:$D$393,MATCH(B190,Paletes!$A$5:$A$393,0)),0)</f>
      </c>
      <c r="W190" s="43">
        <f>IF(V190=0,0,J190/V190)</f>
      </c>
      <c r="X190" s="43">
        <f>IF(V190=0,0,MAX(M190,0)/V190)</f>
      </c>
    </row>
    <row r="191" spans="1:24" x14ac:dyDescent="0.25">
      <c r="A191" s="20" t="str">
        <f>B191&amp;"."&amp;IFERROR(MID(D191,FIND("(",D191)+1,FIND(")",D191)-FIND("(",D191)-1),"")</f>
        <v>86265.69384</v>
      </c>
      <c r="B191" s="21">
        <v>86265</v>
      </c>
      <c r="C191" s="20" t="s">
        <v>374</v>
      </c>
      <c r="D191" s="20" t="s">
        <v>375</v>
      </c>
      <c r="E191" s="20">
        <v>100433</v>
      </c>
      <c r="F191" s="20" t="s">
        <v>26</v>
      </c>
      <c r="G191" s="20" t="s">
        <v>51</v>
      </c>
      <c r="H191" s="22">
        <f>IFERROR(INDEX(Linha!$B$5:$B$788,MATCH(A191,Linha!$A$5:$A$788,0)),"NÃO CADASTRADO")</f>
      </c>
      <c r="I191" s="22">
        <f>IFERROR(INDEX(Linha!$C$5:$C$788,MATCH(A191,Linha!$A$5:$A$788,0)),"-")</f>
      </c>
      <c r="J191" s="23">
        <v>262</v>
      </c>
      <c r="K191" s="24">
        <f>IFERROR(INDEX(Linha!$D$5:$D$788,MATCH(A191,Linha!$A$5:$A$788,0))*1,0)</f>
      </c>
      <c r="L191" s="24">
        <f>SUMIFS(Reservas!$K$5:$K$3669,Reservas!$A$5:$A$3669,A191)</f>
      </c>
      <c r="M191" s="25">
        <f>J191-L191</f>
      </c>
      <c r="N191" s="26">
        <v>47.726</v>
      </c>
      <c r="O191" s="25">
        <f>J191*N191</f>
      </c>
      <c r="P191" s="25">
        <f>L191*N191</f>
      </c>
      <c r="Q191" s="27">
        <v>161.11214362</v>
      </c>
      <c r="R191" s="28">
        <f>J191*Q191</f>
      </c>
      <c r="S191" s="28">
        <f>L191*Q191</f>
      </c>
      <c r="T191" s="29">
        <f>IF(J191=0,0,L191/J191)</f>
      </c>
      <c r="U191" s="30">
        <f>IFERROR(INDEX(Paletes!$C$5:$C$393,MATCH(B191,Paletes!$A$5:$A$393,0)),"SEM CADASTRO")</f>
      </c>
      <c r="V191" s="24">
        <f>IFERROR(INDEX(Paletes!$D$5:$D$393,MATCH(B191,Paletes!$A$5:$A$393,0)),0)</f>
      </c>
      <c r="W191" s="31">
        <f>IF(V191=0,0,J191/V191)</f>
      </c>
      <c r="X191" s="31">
        <f>IF(V191=0,0,MAX(M191,0)/V191)</f>
      </c>
    </row>
    <row r="192" spans="1:24" x14ac:dyDescent="0.25">
      <c r="A192" s="32" t="str">
        <f>B192&amp;"."&amp;IFERROR(MID(D192,FIND("(",D192)+1,FIND(")",D192)-FIND("(",D192)-1),"")</f>
        <v>187.15490</v>
      </c>
      <c r="B192" s="33">
        <v>187</v>
      </c>
      <c r="C192" s="32" t="s">
        <v>376</v>
      </c>
      <c r="D192" s="32" t="s">
        <v>377</v>
      </c>
      <c r="E192" s="32">
        <v>590</v>
      </c>
      <c r="F192" s="32" t="s">
        <v>23</v>
      </c>
      <c r="G192" s="32" t="s">
        <v>51</v>
      </c>
      <c r="H192" s="34">
        <f>IFERROR(INDEX(Linha!$B$5:$B$788,MATCH(A192,Linha!$A$5:$A$788,0)),"NÃO CADASTRADO")</f>
      </c>
      <c r="I192" s="34">
        <f>IFERROR(INDEX(Linha!$C$5:$C$788,MATCH(A192,Linha!$A$5:$A$788,0)),"-")</f>
      </c>
      <c r="J192" s="35">
        <v>47</v>
      </c>
      <c r="K192" s="36">
        <f>IFERROR(INDEX(Linha!$D$5:$D$788,MATCH(A192,Linha!$A$5:$A$788,0))*1,0)</f>
      </c>
      <c r="L192" s="36">
        <f>SUMIFS(Reservas!$K$5:$K$3669,Reservas!$A$5:$A$3669,A192)</f>
      </c>
      <c r="M192" s="37">
        <f>J192-L192</f>
      </c>
      <c r="N192" s="38">
        <v>0.546</v>
      </c>
      <c r="O192" s="37">
        <f>J192*N192</f>
      </c>
      <c r="P192" s="37">
        <f>L192*N192</f>
      </c>
      <c r="Q192" s="39">
        <v>5.38507845</v>
      </c>
      <c r="R192" s="40">
        <f>J192*Q192</f>
      </c>
      <c r="S192" s="40">
        <f>L192*Q192</f>
      </c>
      <c r="T192" s="41">
        <f>IF(J192=0,0,L192/J192)</f>
      </c>
      <c r="U192" s="42">
        <f>IFERROR(INDEX(Paletes!$C$5:$C$393,MATCH(B192,Paletes!$A$5:$A$393,0)),"SEM CADASTRO")</f>
      </c>
      <c r="V192" s="36">
        <f>IFERROR(INDEX(Paletes!$D$5:$D$393,MATCH(B192,Paletes!$A$5:$A$393,0)),0)</f>
      </c>
      <c r="W192" s="43">
        <f>IF(V192=0,0,J192/V192)</f>
      </c>
      <c r="X192" s="43">
        <f>IF(V192=0,0,MAX(M192,0)/V192)</f>
      </c>
    </row>
    <row r="193" spans="1:24" x14ac:dyDescent="0.25">
      <c r="A193" s="20" t="str">
        <f>B193&amp;"."&amp;IFERROR(MID(D193,FIND("(",D193)+1,FIND(")",D193)-FIND("(",D193)-1),"")</f>
        <v>2194.16653</v>
      </c>
      <c r="B193" s="21">
        <v>2194</v>
      </c>
      <c r="C193" s="20" t="s">
        <v>378</v>
      </c>
      <c r="D193" s="20" t="s">
        <v>379</v>
      </c>
      <c r="E193" s="20">
        <v>7558</v>
      </c>
      <c r="F193" s="20" t="s">
        <v>23</v>
      </c>
      <c r="G193" s="20" t="s">
        <v>51</v>
      </c>
      <c r="H193" s="22">
        <f>IFERROR(INDEX(Linha!$B$5:$B$788,MATCH(A193,Linha!$A$5:$A$788,0)),"NÃO CADASTRADO")</f>
      </c>
      <c r="I193" s="22">
        <f>IFERROR(INDEX(Linha!$C$5:$C$788,MATCH(A193,Linha!$A$5:$A$788,0)),"-")</f>
      </c>
      <c r="J193" s="23">
        <v>584</v>
      </c>
      <c r="K193" s="24">
        <f>IFERROR(INDEX(Linha!$D$5:$D$788,MATCH(A193,Linha!$A$5:$A$788,0))*1,0)</f>
      </c>
      <c r="L193" s="24">
        <f>SUMIFS(Reservas!$K$5:$K$3669,Reservas!$A$5:$A$3669,A193)</f>
      </c>
      <c r="M193" s="25">
        <f>J193-L193</f>
      </c>
      <c r="N193" s="26">
        <v>1.092</v>
      </c>
      <c r="O193" s="25">
        <f>J193*N193</f>
      </c>
      <c r="P193" s="25">
        <f>L193*N193</f>
      </c>
      <c r="Q193" s="27">
        <v>8.03311271</v>
      </c>
      <c r="R193" s="28">
        <f>J193*Q193</f>
      </c>
      <c r="S193" s="28">
        <f>L193*Q193</f>
      </c>
      <c r="T193" s="29">
        <f>IF(J193=0,0,L193/J193)</f>
      </c>
      <c r="U193" s="30">
        <f>IFERROR(INDEX(Paletes!$C$5:$C$393,MATCH(B193,Paletes!$A$5:$A$393,0)),"SEM CADASTRO")</f>
      </c>
      <c r="V193" s="24">
        <f>IFERROR(INDEX(Paletes!$D$5:$D$393,MATCH(B193,Paletes!$A$5:$A$393,0)),0)</f>
      </c>
      <c r="W193" s="31">
        <f>IF(V193=0,0,J193/V193)</f>
      </c>
      <c r="X193" s="31">
        <f>IF(V193=0,0,MAX(M193,0)/V193)</f>
      </c>
    </row>
    <row r="194" spans="1:24" x14ac:dyDescent="0.25">
      <c r="A194" s="32" t="str">
        <f>B194&amp;"."&amp;IFERROR(MID(D194,FIND("(",D194)+1,FIND(")",D194)-FIND("(",D194)-1),"")</f>
        <v>2186.</v>
      </c>
      <c r="B194" s="33">
        <v>2186</v>
      </c>
      <c r="C194" s="32" t="s">
        <v>380</v>
      </c>
      <c r="D194" s="32" t="s">
        <v>89</v>
      </c>
      <c r="E194" s="32">
        <v>19991</v>
      </c>
      <c r="F194" s="32" t="s">
        <v>26</v>
      </c>
      <c r="G194" s="32" t="s">
        <v>51</v>
      </c>
      <c r="H194" s="34">
        <f>IFERROR(INDEX(Linha!$B$5:$B$788,MATCH(A194,Linha!$A$5:$A$788,0)),"NÃO CADASTRADO")</f>
      </c>
      <c r="I194" s="34">
        <f>IFERROR(INDEX(Linha!$C$5:$C$788,MATCH(A194,Linha!$A$5:$A$788,0)),"-")</f>
      </c>
      <c r="J194" s="35">
        <v>1014</v>
      </c>
      <c r="K194" s="36">
        <f>IFERROR(INDEX(Linha!$D$5:$D$788,MATCH(A194,Linha!$A$5:$A$788,0))*1,0)</f>
      </c>
      <c r="L194" s="36">
        <f>SUMIFS(Reservas!$K$5:$K$3669,Reservas!$A$5:$A$3669,A194)</f>
      </c>
      <c r="M194" s="37">
        <f>J194-L194</f>
      </c>
      <c r="N194" s="38">
        <v>3.9</v>
      </c>
      <c r="O194" s="37">
        <f>J194*N194</f>
      </c>
      <c r="P194" s="37">
        <f>L194*N194</f>
      </c>
      <c r="Q194" s="39">
        <v>14.97492367</v>
      </c>
      <c r="R194" s="40">
        <f>J194*Q194</f>
      </c>
      <c r="S194" s="40">
        <f>L194*Q194</f>
      </c>
      <c r="T194" s="41">
        <f>IF(J194=0,0,L194/J194)</f>
      </c>
      <c r="U194" s="42">
        <f>IFERROR(INDEX(Paletes!$C$5:$C$393,MATCH(B194,Paletes!$A$5:$A$393,0)),"SEM CADASTRO")</f>
      </c>
      <c r="V194" s="36">
        <f>IFERROR(INDEX(Paletes!$D$5:$D$393,MATCH(B194,Paletes!$A$5:$A$393,0)),0)</f>
      </c>
      <c r="W194" s="43">
        <f>IF(V194=0,0,J194/V194)</f>
      </c>
      <c r="X194" s="43">
        <f>IF(V194=0,0,MAX(M194,0)/V194)</f>
      </c>
    </row>
    <row r="195" spans="1:24" x14ac:dyDescent="0.25">
      <c r="A195" s="20" t="str">
        <f>B195&amp;"."&amp;IFERROR(MID(D195,FIND("(",D195)+1,FIND(")",D195)-FIND("(",D195)-1),"")</f>
        <v>73279.15757</v>
      </c>
      <c r="B195" s="21">
        <v>73279</v>
      </c>
      <c r="C195" s="20" t="s">
        <v>381</v>
      </c>
      <c r="D195" s="20" t="s">
        <v>382</v>
      </c>
      <c r="E195" s="20">
        <v>24205</v>
      </c>
      <c r="F195" s="20" t="s">
        <v>24</v>
      </c>
      <c r="G195" s="20" t="s">
        <v>51</v>
      </c>
      <c r="H195" s="22">
        <f>IFERROR(INDEX(Linha!$B$5:$B$788,MATCH(A195,Linha!$A$5:$A$788,0)),"NÃO CADASTRADO")</f>
      </c>
      <c r="I195" s="22">
        <f>IFERROR(INDEX(Linha!$C$5:$C$788,MATCH(A195,Linha!$A$5:$A$788,0)),"-")</f>
      </c>
      <c r="J195" s="23">
        <v>1310</v>
      </c>
      <c r="K195" s="24">
        <f>IFERROR(INDEX(Linha!$D$5:$D$788,MATCH(A195,Linha!$A$5:$A$788,0))*1,0)</f>
      </c>
      <c r="L195" s="24">
        <f>SUMIFS(Reservas!$K$5:$K$3669,Reservas!$A$5:$A$3669,A195)</f>
      </c>
      <c r="M195" s="25">
        <f>J195-L195</f>
      </c>
      <c r="N195" s="26">
        <v>27.3</v>
      </c>
      <c r="O195" s="25">
        <f>J195*N195</f>
      </c>
      <c r="P195" s="25">
        <f>L195*N195</f>
      </c>
      <c r="Q195" s="27">
        <v>93.18067401</v>
      </c>
      <c r="R195" s="28">
        <f>J195*Q195</f>
      </c>
      <c r="S195" s="28">
        <f>L195*Q195</f>
      </c>
      <c r="T195" s="29">
        <f>IF(J195=0,0,L195/J195)</f>
      </c>
      <c r="U195" s="30">
        <f>IFERROR(INDEX(Paletes!$C$5:$C$393,MATCH(B195,Paletes!$A$5:$A$393,0)),"SEM CADASTRO")</f>
      </c>
      <c r="V195" s="24">
        <f>IFERROR(INDEX(Paletes!$D$5:$D$393,MATCH(B195,Paletes!$A$5:$A$393,0)),0)</f>
      </c>
      <c r="W195" s="31">
        <f>IF(V195=0,0,J195/V195)</f>
      </c>
      <c r="X195" s="31">
        <f>IF(V195=0,0,MAX(M195,0)/V195)</f>
      </c>
    </row>
    <row r="196" spans="1:24" x14ac:dyDescent="0.25">
      <c r="A196" s="32" t="str">
        <f>B196&amp;"."&amp;IFERROR(MID(D196,FIND("(",D196)+1,FIND(")",D196)-FIND("(",D196)-1),"")</f>
        <v>73279.15760</v>
      </c>
      <c r="B196" s="33">
        <v>73279</v>
      </c>
      <c r="C196" s="32" t="s">
        <v>381</v>
      </c>
      <c r="D196" s="32" t="s">
        <v>383</v>
      </c>
      <c r="E196" s="32">
        <v>24205</v>
      </c>
      <c r="F196" s="32" t="s">
        <v>24</v>
      </c>
      <c r="G196" s="32" t="s">
        <v>51</v>
      </c>
      <c r="H196" s="34">
        <f>IFERROR(INDEX(Linha!$B$5:$B$788,MATCH(A196,Linha!$A$5:$A$788,0)),"NÃO CADASTRADO")</f>
      </c>
      <c r="I196" s="34">
        <f>IFERROR(INDEX(Linha!$C$5:$C$788,MATCH(A196,Linha!$A$5:$A$788,0)),"-")</f>
      </c>
      <c r="J196" s="35">
        <v>48</v>
      </c>
      <c r="K196" s="36">
        <f>IFERROR(INDEX(Linha!$D$5:$D$788,MATCH(A196,Linha!$A$5:$A$788,0))*1,0)</f>
      </c>
      <c r="L196" s="36">
        <f>SUMIFS(Reservas!$K$5:$K$3669,Reservas!$A$5:$A$3669,A196)</f>
      </c>
      <c r="M196" s="37">
        <f>J196-L196</f>
      </c>
      <c r="N196" s="38">
        <v>27.3</v>
      </c>
      <c r="O196" s="37">
        <f>J196*N196</f>
      </c>
      <c r="P196" s="37">
        <f>L196*N196</f>
      </c>
      <c r="Q196" s="39">
        <v>92.39037112</v>
      </c>
      <c r="R196" s="40">
        <f>J196*Q196</f>
      </c>
      <c r="S196" s="40">
        <f>L196*Q196</f>
      </c>
      <c r="T196" s="41">
        <f>IF(J196=0,0,L196/J196)</f>
      </c>
      <c r="U196" s="42">
        <f>IFERROR(INDEX(Paletes!$C$5:$C$393,MATCH(B196,Paletes!$A$5:$A$393,0)),"SEM CADASTRO")</f>
      </c>
      <c r="V196" s="36">
        <f>IFERROR(INDEX(Paletes!$D$5:$D$393,MATCH(B196,Paletes!$A$5:$A$393,0)),0)</f>
      </c>
      <c r="W196" s="43">
        <f>IF(V196=0,0,J196/V196)</f>
      </c>
      <c r="X196" s="43">
        <f>IF(V196=0,0,MAX(M196,0)/V196)</f>
      </c>
    </row>
    <row r="197" spans="1:24" x14ac:dyDescent="0.25">
      <c r="A197" s="20" t="str">
        <f>B197&amp;"."&amp;IFERROR(MID(D197,FIND("(",D197)+1,FIND(")",D197)-FIND("(",D197)-1),"")</f>
        <v>275.12674</v>
      </c>
      <c r="B197" s="21">
        <v>275</v>
      </c>
      <c r="C197" s="20" t="s">
        <v>384</v>
      </c>
      <c r="D197" s="20" t="s">
        <v>385</v>
      </c>
      <c r="E197" s="20">
        <v>38643</v>
      </c>
      <c r="F197" s="20" t="s">
        <v>26</v>
      </c>
      <c r="G197" s="20" t="s">
        <v>51</v>
      </c>
      <c r="H197" s="22">
        <f>IFERROR(INDEX(Linha!$B$5:$B$788,MATCH(A197,Linha!$A$5:$A$788,0)),"NÃO CADASTRADO")</f>
      </c>
      <c r="I197" s="22">
        <f>IFERROR(INDEX(Linha!$C$5:$C$788,MATCH(A197,Linha!$A$5:$A$788,0)),"-")</f>
      </c>
      <c r="J197" s="23">
        <v>291</v>
      </c>
      <c r="K197" s="24">
        <f>IFERROR(INDEX(Linha!$D$5:$D$788,MATCH(A197,Linha!$A$5:$A$788,0))*1,0)</f>
      </c>
      <c r="L197" s="24">
        <f>SUMIFS(Reservas!$K$5:$K$3669,Reservas!$A$5:$A$3669,A197)</f>
      </c>
      <c r="M197" s="25">
        <f>J197-L197</f>
      </c>
      <c r="N197" s="26">
        <v>59.67</v>
      </c>
      <c r="O197" s="25">
        <f>J197*N197</f>
      </c>
      <c r="P197" s="25">
        <f>L197*N197</f>
      </c>
      <c r="Q197" s="27">
        <v>182.48426761</v>
      </c>
      <c r="R197" s="28">
        <f>J197*Q197</f>
      </c>
      <c r="S197" s="28">
        <f>L197*Q197</f>
      </c>
      <c r="T197" s="29">
        <f>IF(J197=0,0,L197/J197)</f>
      </c>
      <c r="U197" s="30">
        <f>IFERROR(INDEX(Paletes!$C$5:$C$393,MATCH(B197,Paletes!$A$5:$A$393,0)),"SEM CADASTRO")</f>
      </c>
      <c r="V197" s="24">
        <f>IFERROR(INDEX(Paletes!$D$5:$D$393,MATCH(B197,Paletes!$A$5:$A$393,0)),0)</f>
      </c>
      <c r="W197" s="31">
        <f>IF(V197=0,0,J197/V197)</f>
      </c>
      <c r="X197" s="31">
        <f>IF(V197=0,0,MAX(M197,0)/V197)</f>
      </c>
    </row>
    <row r="198" spans="1:24" x14ac:dyDescent="0.25">
      <c r="A198" s="32" t="str">
        <f>B198&amp;"."&amp;IFERROR(MID(D198,FIND("(",D198)+1,FIND(")",D198)-FIND("(",D198)-1),"")</f>
        <v>185.12424</v>
      </c>
      <c r="B198" s="33">
        <v>185</v>
      </c>
      <c r="C198" s="32" t="s">
        <v>386</v>
      </c>
      <c r="D198" s="32" t="s">
        <v>387</v>
      </c>
      <c r="E198" s="32">
        <v>39082</v>
      </c>
      <c r="F198" s="32" t="s">
        <v>26</v>
      </c>
      <c r="G198" s="32" t="s">
        <v>51</v>
      </c>
      <c r="H198" s="34">
        <f>IFERROR(INDEX(Linha!$B$5:$B$788,MATCH(A198,Linha!$A$5:$A$788,0)),"NÃO CADASTRADO")</f>
      </c>
      <c r="I198" s="34">
        <f>IFERROR(INDEX(Linha!$C$5:$C$788,MATCH(A198,Linha!$A$5:$A$788,0)),"-")</f>
      </c>
      <c r="J198" s="35">
        <v>452</v>
      </c>
      <c r="K198" s="36">
        <f>IFERROR(INDEX(Linha!$D$5:$D$788,MATCH(A198,Linha!$A$5:$A$788,0))*1,0)</f>
      </c>
      <c r="L198" s="36">
        <f>SUMIFS(Reservas!$K$5:$K$3669,Reservas!$A$5:$A$3669,A198)</f>
      </c>
      <c r="M198" s="37">
        <f>J198-L198</f>
      </c>
      <c r="N198" s="38">
        <v>28.08</v>
      </c>
      <c r="O198" s="37">
        <f>J198*N198</f>
      </c>
      <c r="P198" s="37">
        <f>L198*N198</f>
      </c>
      <c r="Q198" s="39">
        <v>97.80354401</v>
      </c>
      <c r="R198" s="40">
        <f>J198*Q198</f>
      </c>
      <c r="S198" s="40">
        <f>L198*Q198</f>
      </c>
      <c r="T198" s="41">
        <f>IF(J198=0,0,L198/J198)</f>
      </c>
      <c r="U198" s="42">
        <f>IFERROR(INDEX(Paletes!$C$5:$C$393,MATCH(B198,Paletes!$A$5:$A$393,0)),"SEM CADASTRO")</f>
      </c>
      <c r="V198" s="36">
        <f>IFERROR(INDEX(Paletes!$D$5:$D$393,MATCH(B198,Paletes!$A$5:$A$393,0)),0)</f>
      </c>
      <c r="W198" s="43">
        <f>IF(V198=0,0,J198/V198)</f>
      </c>
      <c r="X198" s="43">
        <f>IF(V198=0,0,MAX(M198,0)/V198)</f>
      </c>
    </row>
    <row r="199" spans="1:24" x14ac:dyDescent="0.25">
      <c r="A199" s="20" t="str">
        <f>B199&amp;"."&amp;IFERROR(MID(D199,FIND("(",D199)+1,FIND(")",D199)-FIND("(",D199)-1),"")</f>
        <v>73083.16418</v>
      </c>
      <c r="B199" s="21">
        <v>73083</v>
      </c>
      <c r="C199" s="20" t="s">
        <v>388</v>
      </c>
      <c r="D199" s="20" t="s">
        <v>389</v>
      </c>
      <c r="E199" s="20">
        <v>40558</v>
      </c>
      <c r="F199" s="20" t="s">
        <v>24</v>
      </c>
      <c r="G199" s="20" t="s">
        <v>51</v>
      </c>
      <c r="H199" s="22">
        <f>IFERROR(INDEX(Linha!$B$5:$B$788,MATCH(A199,Linha!$A$5:$A$788,0)),"NÃO CADASTRADO")</f>
      </c>
      <c r="I199" s="22">
        <f>IFERROR(INDEX(Linha!$C$5:$C$788,MATCH(A199,Linha!$A$5:$A$788,0)),"-")</f>
      </c>
      <c r="J199" s="23">
        <v>173</v>
      </c>
      <c r="K199" s="24">
        <f>IFERROR(INDEX(Linha!$D$5:$D$788,MATCH(A199,Linha!$A$5:$A$788,0))*1,0)</f>
      </c>
      <c r="L199" s="24">
        <f>SUMIFS(Reservas!$K$5:$K$3669,Reservas!$A$5:$A$3669,A199)</f>
      </c>
      <c r="M199" s="25">
        <f>J199-L199</f>
      </c>
      <c r="N199" s="26">
        <v>11.33</v>
      </c>
      <c r="O199" s="25">
        <f>J199*N199</f>
      </c>
      <c r="P199" s="25">
        <f>L199*N199</f>
      </c>
      <c r="Q199" s="27">
        <v>40.07066818</v>
      </c>
      <c r="R199" s="28">
        <f>J199*Q199</f>
      </c>
      <c r="S199" s="28">
        <f>L199*Q199</f>
      </c>
      <c r="T199" s="29">
        <f>IF(J199=0,0,L199/J199)</f>
      </c>
      <c r="U199" s="30">
        <f>IFERROR(INDEX(Paletes!$C$5:$C$393,MATCH(B199,Paletes!$A$5:$A$393,0)),"SEM CADASTRO")</f>
      </c>
      <c r="V199" s="24">
        <f>IFERROR(INDEX(Paletes!$D$5:$D$393,MATCH(B199,Paletes!$A$5:$A$393,0)),0)</f>
      </c>
      <c r="W199" s="31">
        <f>IF(V199=0,0,J199/V199)</f>
      </c>
      <c r="X199" s="31">
        <f>IF(V199=0,0,MAX(M199,0)/V199)</f>
      </c>
    </row>
    <row r="200" spans="1:24" x14ac:dyDescent="0.25">
      <c r="A200" s="32" t="str">
        <f>B200&amp;"."&amp;IFERROR(MID(D200,FIND("(",D200)+1,FIND(")",D200)-FIND("(",D200)-1),"")</f>
        <v>73081.15966</v>
      </c>
      <c r="B200" s="33">
        <v>73081</v>
      </c>
      <c r="C200" s="32" t="s">
        <v>228</v>
      </c>
      <c r="D200" s="32" t="s">
        <v>390</v>
      </c>
      <c r="E200" s="32">
        <v>40559</v>
      </c>
      <c r="F200" s="32" t="s">
        <v>24</v>
      </c>
      <c r="G200" s="32" t="s">
        <v>51</v>
      </c>
      <c r="H200" s="34">
        <f>IFERROR(INDEX(Linha!$B$5:$B$788,MATCH(A200,Linha!$A$5:$A$788,0)),"NÃO CADASTRADO")</f>
      </c>
      <c r="I200" s="34">
        <f>IFERROR(INDEX(Linha!$C$5:$C$788,MATCH(A200,Linha!$A$5:$A$788,0)),"-")</f>
      </c>
      <c r="J200" s="35">
        <v>178</v>
      </c>
      <c r="K200" s="36">
        <f>IFERROR(INDEX(Linha!$D$5:$D$788,MATCH(A200,Linha!$A$5:$A$788,0))*1,0)</f>
      </c>
      <c r="L200" s="36">
        <f>SUMIFS(Reservas!$K$5:$K$3669,Reservas!$A$5:$A$3669,A200)</f>
      </c>
      <c r="M200" s="37">
        <f>J200-L200</f>
      </c>
      <c r="N200" s="38">
        <v>18.78</v>
      </c>
      <c r="O200" s="37">
        <f>J200*N200</f>
      </c>
      <c r="P200" s="37">
        <f>L200*N200</f>
      </c>
      <c r="Q200" s="39">
        <v>128.24024167</v>
      </c>
      <c r="R200" s="40">
        <f>J200*Q200</f>
      </c>
      <c r="S200" s="40">
        <f>L200*Q200</f>
      </c>
      <c r="T200" s="41">
        <f>IF(J200=0,0,L200/J200)</f>
      </c>
      <c r="U200" s="42">
        <f>IFERROR(INDEX(Paletes!$C$5:$C$393,MATCH(B200,Paletes!$A$5:$A$393,0)),"SEM CADASTRO")</f>
      </c>
      <c r="V200" s="36">
        <f>IFERROR(INDEX(Paletes!$D$5:$D$393,MATCH(B200,Paletes!$A$5:$A$393,0)),0)</f>
      </c>
      <c r="W200" s="43">
        <f>IF(V200=0,0,J200/V200)</f>
      </c>
      <c r="X200" s="43">
        <f>IF(V200=0,0,MAX(M200,0)/V200)</f>
      </c>
    </row>
    <row r="201" spans="1:24" x14ac:dyDescent="0.25">
      <c r="A201" s="20" t="str">
        <f>B201&amp;"."&amp;IFERROR(MID(D201,FIND("(",D201)+1,FIND(")",D201)-FIND("(",D201)-1),"")</f>
        <v>2162.16161</v>
      </c>
      <c r="B201" s="21">
        <v>2162</v>
      </c>
      <c r="C201" s="20" t="s">
        <v>391</v>
      </c>
      <c r="D201" s="20" t="s">
        <v>392</v>
      </c>
      <c r="E201" s="20">
        <v>40579</v>
      </c>
      <c r="F201" s="20" t="s">
        <v>24</v>
      </c>
      <c r="G201" s="20" t="s">
        <v>51</v>
      </c>
      <c r="H201" s="22">
        <f>IFERROR(INDEX(Linha!$B$5:$B$788,MATCH(A201,Linha!$A$5:$A$788,0)),"NÃO CADASTRADO")</f>
      </c>
      <c r="I201" s="22">
        <f>IFERROR(INDEX(Linha!$C$5:$C$788,MATCH(A201,Linha!$A$5:$A$788,0)),"-")</f>
      </c>
      <c r="J201" s="23">
        <v>772</v>
      </c>
      <c r="K201" s="24">
        <f>IFERROR(INDEX(Linha!$D$5:$D$788,MATCH(A201,Linha!$A$5:$A$788,0))*1,0)</f>
      </c>
      <c r="L201" s="24">
        <f>SUMIFS(Reservas!$K$5:$K$3669,Reservas!$A$5:$A$3669,A201)</f>
      </c>
      <c r="M201" s="25">
        <f>J201-L201</f>
      </c>
      <c r="N201" s="26">
        <v>12.96</v>
      </c>
      <c r="O201" s="25">
        <f>J201*N201</f>
      </c>
      <c r="P201" s="25">
        <f>L201*N201</f>
      </c>
      <c r="Q201" s="27">
        <v>47.69518102</v>
      </c>
      <c r="R201" s="28">
        <f>J201*Q201</f>
      </c>
      <c r="S201" s="28">
        <f>L201*Q201</f>
      </c>
      <c r="T201" s="29">
        <f>IF(J201=0,0,L201/J201)</f>
      </c>
      <c r="U201" s="30">
        <f>IFERROR(INDEX(Paletes!$C$5:$C$393,MATCH(B201,Paletes!$A$5:$A$393,0)),"SEM CADASTRO")</f>
      </c>
      <c r="V201" s="24">
        <f>IFERROR(INDEX(Paletes!$D$5:$D$393,MATCH(B201,Paletes!$A$5:$A$393,0)),0)</f>
      </c>
      <c r="W201" s="31">
        <f>IF(V201=0,0,J201/V201)</f>
      </c>
      <c r="X201" s="31">
        <f>IF(V201=0,0,MAX(M201,0)/V201)</f>
      </c>
    </row>
    <row r="202" spans="1:24" x14ac:dyDescent="0.25">
      <c r="A202" s="32" t="str">
        <f>B202&amp;"."&amp;IFERROR(MID(D202,FIND("(",D202)+1,FIND(")",D202)-FIND("(",D202)-1),"")</f>
        <v>2163.15695</v>
      </c>
      <c r="B202" s="33">
        <v>2163</v>
      </c>
      <c r="C202" s="32" t="s">
        <v>61</v>
      </c>
      <c r="D202" s="32" t="s">
        <v>393</v>
      </c>
      <c r="E202" s="32">
        <v>40580</v>
      </c>
      <c r="F202" s="32" t="s">
        <v>24</v>
      </c>
      <c r="G202" s="32" t="s">
        <v>51</v>
      </c>
      <c r="H202" s="34">
        <f>IFERROR(INDEX(Linha!$B$5:$B$788,MATCH(A202,Linha!$A$5:$A$788,0)),"NÃO CADASTRADO")</f>
      </c>
      <c r="I202" s="34">
        <f>IFERROR(INDEX(Linha!$C$5:$C$788,MATCH(A202,Linha!$A$5:$A$788,0)),"-")</f>
      </c>
      <c r="J202" s="35">
        <v>6</v>
      </c>
      <c r="K202" s="36">
        <f>IFERROR(INDEX(Linha!$D$5:$D$788,MATCH(A202,Linha!$A$5:$A$788,0))*1,0)</f>
      </c>
      <c r="L202" s="36">
        <f>SUMIFS(Reservas!$K$5:$K$3669,Reservas!$A$5:$A$3669,A202)</f>
      </c>
      <c r="M202" s="37">
        <f>J202-L202</f>
      </c>
      <c r="N202" s="38">
        <v>17.94</v>
      </c>
      <c r="O202" s="37">
        <f>J202*N202</f>
      </c>
      <c r="P202" s="37">
        <f>L202*N202</f>
      </c>
      <c r="Q202" s="39">
        <v>85.19841322</v>
      </c>
      <c r="R202" s="40">
        <f>J202*Q202</f>
      </c>
      <c r="S202" s="40">
        <f>L202*Q202</f>
      </c>
      <c r="T202" s="41">
        <f>IF(J202=0,0,L202/J202)</f>
      </c>
      <c r="U202" s="42">
        <f>IFERROR(INDEX(Paletes!$C$5:$C$393,MATCH(B202,Paletes!$A$5:$A$393,0)),"SEM CADASTRO")</f>
      </c>
      <c r="V202" s="36">
        <f>IFERROR(INDEX(Paletes!$D$5:$D$393,MATCH(B202,Paletes!$A$5:$A$393,0)),0)</f>
      </c>
      <c r="W202" s="43">
        <f>IF(V202=0,0,J202/V202)</f>
      </c>
      <c r="X202" s="43">
        <f>IF(V202=0,0,MAX(M202,0)/V202)</f>
      </c>
    </row>
    <row r="203" spans="1:24" x14ac:dyDescent="0.25">
      <c r="A203" s="20" t="str">
        <f>B203&amp;"."&amp;IFERROR(MID(D203,FIND("(",D203)+1,FIND(")",D203)-FIND("(",D203)-1),"")</f>
        <v>73277.16320</v>
      </c>
      <c r="B203" s="21">
        <v>73277</v>
      </c>
      <c r="C203" s="20" t="s">
        <v>394</v>
      </c>
      <c r="D203" s="20" t="s">
        <v>395</v>
      </c>
      <c r="E203" s="20">
        <v>41597</v>
      </c>
      <c r="F203" s="20" t="s">
        <v>24</v>
      </c>
      <c r="G203" s="20" t="s">
        <v>51</v>
      </c>
      <c r="H203" s="22">
        <f>IFERROR(INDEX(Linha!$B$5:$B$788,MATCH(A203,Linha!$A$5:$A$788,0)),"NÃO CADASTRADO")</f>
      </c>
      <c r="I203" s="22">
        <f>IFERROR(INDEX(Linha!$C$5:$C$788,MATCH(A203,Linha!$A$5:$A$788,0)),"-")</f>
      </c>
      <c r="J203" s="23">
        <v>224</v>
      </c>
      <c r="K203" s="24">
        <f>IFERROR(INDEX(Linha!$D$5:$D$788,MATCH(A203,Linha!$A$5:$A$788,0))*1,0)</f>
      </c>
      <c r="L203" s="24">
        <f>SUMIFS(Reservas!$K$5:$K$3669,Reservas!$A$5:$A$3669,A203)</f>
      </c>
      <c r="M203" s="25">
        <f>J203-L203</f>
      </c>
      <c r="N203" s="26">
        <v>41.711</v>
      </c>
      <c r="O203" s="25">
        <f>J203*N203</f>
      </c>
      <c r="P203" s="25">
        <f>L203*N203</f>
      </c>
      <c r="Q203" s="27">
        <v>179.10390206</v>
      </c>
      <c r="R203" s="28">
        <f>J203*Q203</f>
      </c>
      <c r="S203" s="28">
        <f>L203*Q203</f>
      </c>
      <c r="T203" s="29">
        <f>IF(J203=0,0,L203/J203)</f>
      </c>
      <c r="U203" s="30">
        <f>IFERROR(INDEX(Paletes!$C$5:$C$393,MATCH(B203,Paletes!$A$5:$A$393,0)),"SEM CADASTRO")</f>
      </c>
      <c r="V203" s="24">
        <f>IFERROR(INDEX(Paletes!$D$5:$D$393,MATCH(B203,Paletes!$A$5:$A$393,0)),0)</f>
      </c>
      <c r="W203" s="31">
        <f>IF(V203=0,0,J203/V203)</f>
      </c>
      <c r="X203" s="31">
        <f>IF(V203=0,0,MAX(M203,0)/V203)</f>
      </c>
    </row>
    <row r="204" spans="1:24" x14ac:dyDescent="0.25">
      <c r="A204" s="32" t="str">
        <f>B204&amp;"."&amp;IFERROR(MID(D204,FIND("(",D204)+1,FIND(")",D204)-FIND("(",D204)-1),"")</f>
        <v>73277.16322</v>
      </c>
      <c r="B204" s="33">
        <v>73277</v>
      </c>
      <c r="C204" s="32" t="s">
        <v>394</v>
      </c>
      <c r="D204" s="32" t="s">
        <v>396</v>
      </c>
      <c r="E204" s="32">
        <v>41597</v>
      </c>
      <c r="F204" s="32" t="s">
        <v>24</v>
      </c>
      <c r="G204" s="32" t="s">
        <v>51</v>
      </c>
      <c r="H204" s="34">
        <f>IFERROR(INDEX(Linha!$B$5:$B$788,MATCH(A204,Linha!$A$5:$A$788,0)),"NÃO CADASTRADO")</f>
      </c>
      <c r="I204" s="34">
        <f>IFERROR(INDEX(Linha!$C$5:$C$788,MATCH(A204,Linha!$A$5:$A$788,0)),"-")</f>
      </c>
      <c r="J204" s="35">
        <v>281</v>
      </c>
      <c r="K204" s="36">
        <f>IFERROR(INDEX(Linha!$D$5:$D$788,MATCH(A204,Linha!$A$5:$A$788,0))*1,0)</f>
      </c>
      <c r="L204" s="36">
        <f>SUMIFS(Reservas!$K$5:$K$3669,Reservas!$A$5:$A$3669,A204)</f>
      </c>
      <c r="M204" s="37">
        <f>J204-L204</f>
      </c>
      <c r="N204" s="38">
        <v>41.711</v>
      </c>
      <c r="O204" s="37">
        <f>J204*N204</f>
      </c>
      <c r="P204" s="37">
        <f>L204*N204</f>
      </c>
      <c r="Q204" s="39">
        <v>175.36683352</v>
      </c>
      <c r="R204" s="40">
        <f>J204*Q204</f>
      </c>
      <c r="S204" s="40">
        <f>L204*Q204</f>
      </c>
      <c r="T204" s="41">
        <f>IF(J204=0,0,L204/J204)</f>
      </c>
      <c r="U204" s="42">
        <f>IFERROR(INDEX(Paletes!$C$5:$C$393,MATCH(B204,Paletes!$A$5:$A$393,0)),"SEM CADASTRO")</f>
      </c>
      <c r="V204" s="36">
        <f>IFERROR(INDEX(Paletes!$D$5:$D$393,MATCH(B204,Paletes!$A$5:$A$393,0)),0)</f>
      </c>
      <c r="W204" s="43">
        <f>IF(V204=0,0,J204/V204)</f>
      </c>
      <c r="X204" s="43">
        <f>IF(V204=0,0,MAX(M204,0)/V204)</f>
      </c>
    </row>
    <row r="205" spans="1:24" x14ac:dyDescent="0.25">
      <c r="A205" s="20" t="str">
        <f>B205&amp;"."&amp;IFERROR(MID(D205,FIND("(",D205)+1,FIND(")",D205)-FIND("(",D205)-1),"")</f>
        <v>2403.12964</v>
      </c>
      <c r="B205" s="21">
        <v>2403</v>
      </c>
      <c r="C205" s="20" t="s">
        <v>397</v>
      </c>
      <c r="D205" s="20" t="s">
        <v>398</v>
      </c>
      <c r="E205" s="20">
        <v>42510</v>
      </c>
      <c r="F205" s="20" t="s">
        <v>26</v>
      </c>
      <c r="G205" s="20" t="s">
        <v>51</v>
      </c>
      <c r="H205" s="22">
        <f>IFERROR(INDEX(Linha!$B$5:$B$788,MATCH(A205,Linha!$A$5:$A$788,0)),"NÃO CADASTRADO")</f>
      </c>
      <c r="I205" s="22">
        <f>IFERROR(INDEX(Linha!$C$5:$C$788,MATCH(A205,Linha!$A$5:$A$788,0)),"-")</f>
      </c>
      <c r="J205" s="23">
        <v>180</v>
      </c>
      <c r="K205" s="24">
        <f>IFERROR(INDEX(Linha!$D$5:$D$788,MATCH(A205,Linha!$A$5:$A$788,0))*1,0)</f>
      </c>
      <c r="L205" s="24">
        <f>SUMIFS(Reservas!$K$5:$K$3669,Reservas!$A$5:$A$3669,A205)</f>
      </c>
      <c r="M205" s="25">
        <f>J205-L205</f>
      </c>
      <c r="N205" s="26">
        <v>58.968</v>
      </c>
      <c r="O205" s="25">
        <f>J205*N205</f>
      </c>
      <c r="P205" s="25">
        <f>L205*N205</f>
      </c>
      <c r="Q205" s="27">
        <v>261.11041698</v>
      </c>
      <c r="R205" s="28">
        <f>J205*Q205</f>
      </c>
      <c r="S205" s="28">
        <f>L205*Q205</f>
      </c>
      <c r="T205" s="29">
        <f>IF(J205=0,0,L205/J205)</f>
      </c>
      <c r="U205" s="30">
        <f>IFERROR(INDEX(Paletes!$C$5:$C$393,MATCH(B205,Paletes!$A$5:$A$393,0)),"SEM CADASTRO")</f>
      </c>
      <c r="V205" s="24">
        <f>IFERROR(INDEX(Paletes!$D$5:$D$393,MATCH(B205,Paletes!$A$5:$A$393,0)),0)</f>
      </c>
      <c r="W205" s="31">
        <f>IF(V205=0,0,J205/V205)</f>
      </c>
      <c r="X205" s="31">
        <f>IF(V205=0,0,MAX(M205,0)/V205)</f>
      </c>
    </row>
    <row r="206" spans="1:24" x14ac:dyDescent="0.25">
      <c r="A206" s="32" t="str">
        <f>B206&amp;"."&amp;IFERROR(MID(D206,FIND("(",D206)+1,FIND(")",D206)-FIND("(",D206)-1),"")</f>
        <v>2403.12966</v>
      </c>
      <c r="B206" s="33">
        <v>2403</v>
      </c>
      <c r="C206" s="32" t="s">
        <v>397</v>
      </c>
      <c r="D206" s="32" t="s">
        <v>399</v>
      </c>
      <c r="E206" s="32">
        <v>42510</v>
      </c>
      <c r="F206" s="32" t="s">
        <v>26</v>
      </c>
      <c r="G206" s="32" t="s">
        <v>51</v>
      </c>
      <c r="H206" s="34">
        <f>IFERROR(INDEX(Linha!$B$5:$B$788,MATCH(A206,Linha!$A$5:$A$788,0)),"NÃO CADASTRADO")</f>
      </c>
      <c r="I206" s="34">
        <f>IFERROR(INDEX(Linha!$C$5:$C$788,MATCH(A206,Linha!$A$5:$A$788,0)),"-")</f>
      </c>
      <c r="J206" s="35">
        <v>0</v>
      </c>
      <c r="K206" s="36">
        <f>IFERROR(INDEX(Linha!$D$5:$D$788,MATCH(A206,Linha!$A$5:$A$788,0))*1,0)</f>
      </c>
      <c r="L206" s="36">
        <f>SUMIFS(Reservas!$K$5:$K$3669,Reservas!$A$5:$A$3669,A206)</f>
      </c>
      <c r="M206" s="37">
        <f>J206-L206</f>
      </c>
      <c r="N206" s="38">
        <v>58.968</v>
      </c>
      <c r="O206" s="37">
        <f>J206*N206</f>
      </c>
      <c r="P206" s="37">
        <f>L206*N206</f>
      </c>
      <c r="Q206" s="39">
        <v>286.47578456</v>
      </c>
      <c r="R206" s="40">
        <f>J206*Q206</f>
      </c>
      <c r="S206" s="40">
        <f>L206*Q206</f>
      </c>
      <c r="T206" s="41">
        <f>IF(J206=0,0,L206/J206)</f>
      </c>
      <c r="U206" s="42">
        <f>IFERROR(INDEX(Paletes!$C$5:$C$393,MATCH(B206,Paletes!$A$5:$A$393,0)),"SEM CADASTRO")</f>
      </c>
      <c r="V206" s="36">
        <f>IFERROR(INDEX(Paletes!$D$5:$D$393,MATCH(B206,Paletes!$A$5:$A$393,0)),0)</f>
      </c>
      <c r="W206" s="43">
        <f>IF(V206=0,0,J206/V206)</f>
      </c>
      <c r="X206" s="43">
        <f>IF(V206=0,0,MAX(M206,0)/V206)</f>
      </c>
    </row>
    <row r="207" spans="1:24" x14ac:dyDescent="0.25">
      <c r="A207" s="20" t="str">
        <f>B207&amp;"."&amp;IFERROR(MID(D207,FIND("(",D207)+1,FIND(")",D207)-FIND("(",D207)-1),"")</f>
        <v>2407.12544</v>
      </c>
      <c r="B207" s="21">
        <v>2407</v>
      </c>
      <c r="C207" s="20" t="s">
        <v>400</v>
      </c>
      <c r="D207" s="20" t="s">
        <v>401</v>
      </c>
      <c r="E207" s="20">
        <v>45891</v>
      </c>
      <c r="F207" s="20" t="s">
        <v>26</v>
      </c>
      <c r="G207" s="20" t="s">
        <v>51</v>
      </c>
      <c r="H207" s="22">
        <f>IFERROR(INDEX(Linha!$B$5:$B$788,MATCH(A207,Linha!$A$5:$A$788,0)),"NÃO CADASTRADO")</f>
      </c>
      <c r="I207" s="22">
        <f>IFERROR(INDEX(Linha!$C$5:$C$788,MATCH(A207,Linha!$A$5:$A$788,0)),"-")</f>
      </c>
      <c r="J207" s="23">
        <v>72</v>
      </c>
      <c r="K207" s="24">
        <f>IFERROR(INDEX(Linha!$D$5:$D$788,MATCH(A207,Linha!$A$5:$A$788,0))*1,0)</f>
      </c>
      <c r="L207" s="24">
        <f>SUMIFS(Reservas!$K$5:$K$3669,Reservas!$A$5:$A$3669,A207)</f>
      </c>
      <c r="M207" s="25">
        <f>J207-L207</f>
      </c>
      <c r="N207" s="26">
        <v>55.185</v>
      </c>
      <c r="O207" s="25">
        <f>J207*N207</f>
      </c>
      <c r="P207" s="25">
        <f>L207*N207</f>
      </c>
      <c r="Q207" s="27">
        <v>185.613162</v>
      </c>
      <c r="R207" s="28">
        <f>J207*Q207</f>
      </c>
      <c r="S207" s="28">
        <f>L207*Q207</f>
      </c>
      <c r="T207" s="29">
        <f>IF(J207=0,0,L207/J207)</f>
      </c>
      <c r="U207" s="30">
        <f>IFERROR(INDEX(Paletes!$C$5:$C$393,MATCH(B207,Paletes!$A$5:$A$393,0)),"SEM CADASTRO")</f>
      </c>
      <c r="V207" s="24">
        <f>IFERROR(INDEX(Paletes!$D$5:$D$393,MATCH(B207,Paletes!$A$5:$A$393,0)),0)</f>
      </c>
      <c r="W207" s="31">
        <f>IF(V207=0,0,J207/V207)</f>
      </c>
      <c r="X207" s="31">
        <f>IF(V207=0,0,MAX(M207,0)/V207)</f>
      </c>
    </row>
    <row r="208" spans="1:24" x14ac:dyDescent="0.25">
      <c r="A208" s="32" t="str">
        <f>B208&amp;"."&amp;IFERROR(MID(D208,FIND("(",D208)+1,FIND(")",D208)-FIND("(",D208)-1),"")</f>
        <v>2408.13094</v>
      </c>
      <c r="B208" s="33">
        <v>2408</v>
      </c>
      <c r="C208" s="32" t="s">
        <v>242</v>
      </c>
      <c r="D208" s="32" t="s">
        <v>402</v>
      </c>
      <c r="E208" s="32">
        <v>45892</v>
      </c>
      <c r="F208" s="32" t="s">
        <v>26</v>
      </c>
      <c r="G208" s="32" t="s">
        <v>51</v>
      </c>
      <c r="H208" s="34">
        <f>IFERROR(INDEX(Linha!$B$5:$B$788,MATCH(A208,Linha!$A$5:$A$788,0)),"NÃO CADASTRADO")</f>
      </c>
      <c r="I208" s="34">
        <f>IFERROR(INDEX(Linha!$C$5:$C$788,MATCH(A208,Linha!$A$5:$A$788,0)),"-")</f>
      </c>
      <c r="J208" s="35">
        <v>228</v>
      </c>
      <c r="K208" s="36">
        <f>IFERROR(INDEX(Linha!$D$5:$D$788,MATCH(A208,Linha!$A$5:$A$788,0))*1,0)</f>
      </c>
      <c r="L208" s="36">
        <f>SUMIFS(Reservas!$K$5:$K$3669,Reservas!$A$5:$A$3669,A208)</f>
      </c>
      <c r="M208" s="37">
        <f>J208-L208</f>
      </c>
      <c r="N208" s="38">
        <v>56.55</v>
      </c>
      <c r="O208" s="37">
        <f>J208*N208</f>
      </c>
      <c r="P208" s="37">
        <f>L208*N208</f>
      </c>
      <c r="Q208" s="39">
        <v>213.73555757</v>
      </c>
      <c r="R208" s="40">
        <f>J208*Q208</f>
      </c>
      <c r="S208" s="40">
        <f>L208*Q208</f>
      </c>
      <c r="T208" s="41">
        <f>IF(J208=0,0,L208/J208)</f>
      </c>
      <c r="U208" s="42">
        <f>IFERROR(INDEX(Paletes!$C$5:$C$393,MATCH(B208,Paletes!$A$5:$A$393,0)),"SEM CADASTRO")</f>
      </c>
      <c r="V208" s="36">
        <f>IFERROR(INDEX(Paletes!$D$5:$D$393,MATCH(B208,Paletes!$A$5:$A$393,0)),0)</f>
      </c>
      <c r="W208" s="43">
        <f>IF(V208=0,0,J208/V208)</f>
      </c>
      <c r="X208" s="43">
        <f>IF(V208=0,0,MAX(M208,0)/V208)</f>
      </c>
    </row>
    <row r="209" spans="1:24" x14ac:dyDescent="0.25">
      <c r="A209" s="20" t="str">
        <f>B209&amp;"."&amp;IFERROR(MID(D209,FIND("(",D209)+1,FIND(")",D209)-FIND("(",D209)-1),"")</f>
        <v>84929.37103</v>
      </c>
      <c r="B209" s="21">
        <v>84929</v>
      </c>
      <c r="C209" s="20" t="s">
        <v>403</v>
      </c>
      <c r="D209" s="20" t="s">
        <v>404</v>
      </c>
      <c r="E209" s="20">
        <v>96443</v>
      </c>
      <c r="F209" s="20" t="s">
        <v>24</v>
      </c>
      <c r="G209" s="20" t="s">
        <v>51</v>
      </c>
      <c r="H209" s="22">
        <f>IFERROR(INDEX(Linha!$B$5:$B$788,MATCH(A209,Linha!$A$5:$A$788,0)),"NÃO CADASTRADO")</f>
      </c>
      <c r="I209" s="22">
        <f>IFERROR(INDEX(Linha!$C$5:$C$788,MATCH(A209,Linha!$A$5:$A$788,0)),"-")</f>
      </c>
      <c r="J209" s="23">
        <v>0</v>
      </c>
      <c r="K209" s="24">
        <f>IFERROR(INDEX(Linha!$D$5:$D$788,MATCH(A209,Linha!$A$5:$A$788,0))*1,0)</f>
      </c>
      <c r="L209" s="24">
        <f>SUMIFS(Reservas!$K$5:$K$3669,Reservas!$A$5:$A$3669,A209)</f>
      </c>
      <c r="M209" s="25">
        <f>J209-L209</f>
      </c>
      <c r="N209" s="26">
        <v>38.025</v>
      </c>
      <c r="O209" s="25">
        <f>J209*N209</f>
      </c>
      <c r="P209" s="25">
        <f>L209*N209</f>
      </c>
      <c r="Q209" s="27">
        <v>160.26381452</v>
      </c>
      <c r="R209" s="28">
        <f>J209*Q209</f>
      </c>
      <c r="S209" s="28">
        <f>L209*Q209</f>
      </c>
      <c r="T209" s="29">
        <f>IF(J209=0,0,L209/J209)</f>
      </c>
      <c r="U209" s="30">
        <f>IFERROR(INDEX(Paletes!$C$5:$C$393,MATCH(B209,Paletes!$A$5:$A$393,0)),"SEM CADASTRO")</f>
      </c>
      <c r="V209" s="24">
        <f>IFERROR(INDEX(Paletes!$D$5:$D$393,MATCH(B209,Paletes!$A$5:$A$393,0)),0)</f>
      </c>
      <c r="W209" s="31">
        <f>IF(V209=0,0,J209/V209)</f>
      </c>
      <c r="X209" s="31">
        <f>IF(V209=0,0,MAX(M209,0)/V209)</f>
      </c>
    </row>
    <row r="210" spans="1:24" x14ac:dyDescent="0.25">
      <c r="A210" s="32" t="str">
        <f>B210&amp;"."&amp;IFERROR(MID(D210,FIND("(",D210)+1,FIND(")",D210)-FIND("(",D210)-1),"")</f>
        <v>84586.31463</v>
      </c>
      <c r="B210" s="33">
        <v>84586</v>
      </c>
      <c r="C210" s="32" t="s">
        <v>405</v>
      </c>
      <c r="D210" s="32" t="s">
        <v>406</v>
      </c>
      <c r="E210" s="32">
        <v>96478</v>
      </c>
      <c r="F210" s="32" t="s">
        <v>26</v>
      </c>
      <c r="G210" s="32" t="s">
        <v>51</v>
      </c>
      <c r="H210" s="34">
        <f>IFERROR(INDEX(Linha!$B$5:$B$788,MATCH(A210,Linha!$A$5:$A$788,0)),"NÃO CADASTRADO")</f>
      </c>
      <c r="I210" s="34">
        <f>IFERROR(INDEX(Linha!$C$5:$C$788,MATCH(A210,Linha!$A$5:$A$788,0)),"-")</f>
      </c>
      <c r="J210" s="35">
        <v>11</v>
      </c>
      <c r="K210" s="36">
        <f>IFERROR(INDEX(Linha!$D$5:$D$788,MATCH(A210,Linha!$A$5:$A$788,0))*1,0)</f>
      </c>
      <c r="L210" s="36">
        <f>SUMIFS(Reservas!$K$5:$K$3669,Reservas!$A$5:$A$3669,A210)</f>
      </c>
      <c r="M210" s="37">
        <f>J210-L210</f>
      </c>
      <c r="N210" s="38">
        <v>47.238</v>
      </c>
      <c r="O210" s="37">
        <f>J210*N210</f>
      </c>
      <c r="P210" s="37">
        <f>L210*N210</f>
      </c>
      <c r="Q210" s="39">
        <v>181.84102781</v>
      </c>
      <c r="R210" s="40">
        <f>J210*Q210</f>
      </c>
      <c r="S210" s="40">
        <f>L210*Q210</f>
      </c>
      <c r="T210" s="41">
        <f>IF(J210=0,0,L210/J210)</f>
      </c>
      <c r="U210" s="42">
        <f>IFERROR(INDEX(Paletes!$C$5:$C$393,MATCH(B210,Paletes!$A$5:$A$393,0)),"SEM CADASTRO")</f>
      </c>
      <c r="V210" s="36">
        <f>IFERROR(INDEX(Paletes!$D$5:$D$393,MATCH(B210,Paletes!$A$5:$A$393,0)),0)</f>
      </c>
      <c r="W210" s="43">
        <f>IF(V210=0,0,J210/V210)</f>
      </c>
      <c r="X210" s="43">
        <f>IF(V210=0,0,MAX(M210,0)/V210)</f>
      </c>
    </row>
    <row r="211" spans="1:24" x14ac:dyDescent="0.25">
      <c r="A211" s="20" t="str">
        <f>B211&amp;"."&amp;IFERROR(MID(D211,FIND("(",D211)+1,FIND(")",D211)-FIND("(",D211)-1),"")</f>
        <v>72879.16176</v>
      </c>
      <c r="B211" s="21">
        <v>72879</v>
      </c>
      <c r="C211" s="20" t="s">
        <v>407</v>
      </c>
      <c r="D211" s="20" t="s">
        <v>408</v>
      </c>
      <c r="E211" s="20">
        <v>89019</v>
      </c>
      <c r="F211" s="20" t="s">
        <v>24</v>
      </c>
      <c r="G211" s="20" t="s">
        <v>51</v>
      </c>
      <c r="H211" s="22">
        <f>IFERROR(INDEX(Linha!$B$5:$B$788,MATCH(A211,Linha!$A$5:$A$788,0)),"NÃO CADASTRADO")</f>
      </c>
      <c r="I211" s="22">
        <f>IFERROR(INDEX(Linha!$C$5:$C$788,MATCH(A211,Linha!$A$5:$A$788,0)),"-")</f>
      </c>
      <c r="J211" s="23">
        <v>0</v>
      </c>
      <c r="K211" s="24">
        <f>IFERROR(INDEX(Linha!$D$5:$D$788,MATCH(A211,Linha!$A$5:$A$788,0))*1,0)</f>
      </c>
      <c r="L211" s="24">
        <f>SUMIFS(Reservas!$K$5:$K$3669,Reservas!$A$5:$A$3669,A211)</f>
      </c>
      <c r="M211" s="25">
        <f>J211-L211</f>
      </c>
      <c r="N211" s="26">
        <v>32.175</v>
      </c>
      <c r="O211" s="25">
        <f>J211*N211</f>
      </c>
      <c r="P211" s="25">
        <f>L211*N211</f>
      </c>
      <c r="Q211" s="27">
        <v>139.34745665</v>
      </c>
      <c r="R211" s="28">
        <f>J211*Q211</f>
      </c>
      <c r="S211" s="28">
        <f>L211*Q211</f>
      </c>
      <c r="T211" s="29">
        <f>IF(J211=0,0,L211/J211)</f>
      </c>
      <c r="U211" s="30">
        <f>IFERROR(INDEX(Paletes!$C$5:$C$393,MATCH(B211,Paletes!$A$5:$A$393,0)),"SEM CADASTRO")</f>
      </c>
      <c r="V211" s="24">
        <f>IFERROR(INDEX(Paletes!$D$5:$D$393,MATCH(B211,Paletes!$A$5:$A$393,0)),0)</f>
      </c>
      <c r="W211" s="31">
        <f>IF(V211=0,0,J211/V211)</f>
      </c>
      <c r="X211" s="31">
        <f>IF(V211=0,0,MAX(M211,0)/V211)</f>
      </c>
    </row>
    <row r="212" spans="1:24" x14ac:dyDescent="0.25">
      <c r="A212" s="32" t="str">
        <f>B212&amp;"."&amp;IFERROR(MID(D212,FIND("(",D212)+1,FIND(")",D212)-FIND("(",D212)-1),"")</f>
        <v>73550.46395</v>
      </c>
      <c r="B212" s="33">
        <v>73550</v>
      </c>
      <c r="C212" s="32" t="s">
        <v>85</v>
      </c>
      <c r="D212" s="32" t="s">
        <v>409</v>
      </c>
      <c r="E212" s="32">
        <v>66401</v>
      </c>
      <c r="F212" s="32" t="s">
        <v>25</v>
      </c>
      <c r="G212" s="32" t="s">
        <v>51</v>
      </c>
      <c r="H212" s="34">
        <f>IFERROR(INDEX(Linha!$B$5:$B$788,MATCH(A212,Linha!$A$5:$A$788,0)),"NÃO CADASTRADO")</f>
      </c>
      <c r="I212" s="34">
        <f>IFERROR(INDEX(Linha!$C$5:$C$788,MATCH(A212,Linha!$A$5:$A$788,0)),"-")</f>
      </c>
      <c r="J212" s="35">
        <v>8</v>
      </c>
      <c r="K212" s="36">
        <f>IFERROR(INDEX(Linha!$D$5:$D$788,MATCH(A212,Linha!$A$5:$A$788,0))*1,0)</f>
      </c>
      <c r="L212" s="36">
        <f>SUMIFS(Reservas!$K$5:$K$3669,Reservas!$A$5:$A$3669,A212)</f>
      </c>
      <c r="M212" s="37">
        <f>J212-L212</f>
      </c>
      <c r="N212" s="38">
        <v>11.358</v>
      </c>
      <c r="O212" s="37">
        <f>J212*N212</f>
      </c>
      <c r="P212" s="37">
        <f>L212*N212</f>
      </c>
      <c r="Q212" s="39">
        <v>92.02530468</v>
      </c>
      <c r="R212" s="40">
        <f>J212*Q212</f>
      </c>
      <c r="S212" s="40">
        <f>L212*Q212</f>
      </c>
      <c r="T212" s="41">
        <f>IF(J212=0,0,L212/J212)</f>
      </c>
      <c r="U212" s="42">
        <f>IFERROR(INDEX(Paletes!$C$5:$C$393,MATCH(B212,Paletes!$A$5:$A$393,0)),"SEM CADASTRO")</f>
      </c>
      <c r="V212" s="36">
        <f>IFERROR(INDEX(Paletes!$D$5:$D$393,MATCH(B212,Paletes!$A$5:$A$393,0)),0)</f>
      </c>
      <c r="W212" s="43">
        <f>IF(V212=0,0,J212/V212)</f>
      </c>
      <c r="X212" s="43">
        <f>IF(V212=0,0,MAX(M212,0)/V212)</f>
      </c>
    </row>
    <row r="213" spans="1:24" x14ac:dyDescent="0.25">
      <c r="A213" s="20" t="str">
        <f>B213&amp;"."&amp;IFERROR(MID(D213,FIND("(",D213)+1,FIND(")",D213)-FIND("(",D213)-1),"")</f>
        <v>86392.74072</v>
      </c>
      <c r="B213" s="21">
        <v>86392</v>
      </c>
      <c r="C213" s="20" t="s">
        <v>410</v>
      </c>
      <c r="D213" s="20" t="s">
        <v>411</v>
      </c>
      <c r="E213" s="20">
        <v>102105</v>
      </c>
      <c r="F213" s="20" t="s">
        <v>25</v>
      </c>
      <c r="G213" s="20" t="s">
        <v>51</v>
      </c>
      <c r="H213" s="22">
        <f>IFERROR(INDEX(Linha!$B$5:$B$788,MATCH(A213,Linha!$A$5:$A$788,0)),"NÃO CADASTRADO")</f>
      </c>
      <c r="I213" s="22">
        <f>IFERROR(INDEX(Linha!$C$5:$C$788,MATCH(A213,Linha!$A$5:$A$788,0)),"-")</f>
      </c>
      <c r="J213" s="23">
        <v>98</v>
      </c>
      <c r="K213" s="24">
        <f>IFERROR(INDEX(Linha!$D$5:$D$788,MATCH(A213,Linha!$A$5:$A$788,0))*1,0)</f>
      </c>
      <c r="L213" s="24">
        <f>SUMIFS(Reservas!$K$5:$K$3669,Reservas!$A$5:$A$3669,A213)</f>
      </c>
      <c r="M213" s="25">
        <f>J213-L213</f>
      </c>
      <c r="N213" s="26">
        <v>15.015</v>
      </c>
      <c r="O213" s="25">
        <f>J213*N213</f>
      </c>
      <c r="P213" s="25">
        <f>L213*N213</f>
      </c>
      <c r="Q213" s="27">
        <v>93.8530652</v>
      </c>
      <c r="R213" s="28">
        <f>J213*Q213</f>
      </c>
      <c r="S213" s="28">
        <f>L213*Q213</f>
      </c>
      <c r="T213" s="29">
        <f>IF(J213=0,0,L213/J213)</f>
      </c>
      <c r="U213" s="30">
        <f>IFERROR(INDEX(Paletes!$C$5:$C$393,MATCH(B213,Paletes!$A$5:$A$393,0)),"SEM CADASTRO")</f>
      </c>
      <c r="V213" s="24">
        <f>IFERROR(INDEX(Paletes!$D$5:$D$393,MATCH(B213,Paletes!$A$5:$A$393,0)),0)</f>
      </c>
      <c r="W213" s="31">
        <f>IF(V213=0,0,J213/V213)</f>
      </c>
      <c r="X213" s="31">
        <f>IF(V213=0,0,MAX(M213,0)/V213)</f>
      </c>
    </row>
    <row r="214" spans="1:24" x14ac:dyDescent="0.25">
      <c r="A214" s="32" t="str">
        <f>B214&amp;"."&amp;IFERROR(MID(D214,FIND("(",D214)+1,FIND(")",D214)-FIND("(",D214)-1),"")</f>
        <v>74269.72163</v>
      </c>
      <c r="B214" s="33">
        <v>74269</v>
      </c>
      <c r="C214" s="32" t="s">
        <v>412</v>
      </c>
      <c r="D214" s="32" t="s">
        <v>413</v>
      </c>
      <c r="E214" s="32">
        <v>60615</v>
      </c>
      <c r="F214" s="32" t="s">
        <v>26</v>
      </c>
      <c r="G214" s="32" t="s">
        <v>51</v>
      </c>
      <c r="H214" s="34">
        <f>IFERROR(INDEX(Linha!$B$5:$B$788,MATCH(A214,Linha!$A$5:$A$788,0)),"NÃO CADASTRADO")</f>
      </c>
      <c r="I214" s="34">
        <f>IFERROR(INDEX(Linha!$C$5:$C$788,MATCH(A214,Linha!$A$5:$A$788,0)),"-")</f>
      </c>
      <c r="J214" s="35">
        <v>0</v>
      </c>
      <c r="K214" s="36">
        <f>IFERROR(INDEX(Linha!$D$5:$D$788,MATCH(A214,Linha!$A$5:$A$788,0))*1,0)</f>
      </c>
      <c r="L214" s="36">
        <f>SUMIFS(Reservas!$K$5:$K$3669,Reservas!$A$5:$A$3669,A214)</f>
      </c>
      <c r="M214" s="37">
        <f>J214-L214</f>
      </c>
      <c r="N214" s="38">
        <v>47.04</v>
      </c>
      <c r="O214" s="37">
        <f>J214*N214</f>
      </c>
      <c r="P214" s="37">
        <f>L214*N214</f>
      </c>
      <c r="Q214" s="39">
        <v>144.70644904</v>
      </c>
      <c r="R214" s="40">
        <f>J214*Q214</f>
      </c>
      <c r="S214" s="40">
        <f>L214*Q214</f>
      </c>
      <c r="T214" s="41">
        <f>IF(J214=0,0,L214/J214)</f>
      </c>
      <c r="U214" s="42">
        <f>IFERROR(INDEX(Paletes!$C$5:$C$393,MATCH(B214,Paletes!$A$5:$A$393,0)),"SEM CADASTRO")</f>
      </c>
      <c r="V214" s="36">
        <f>IFERROR(INDEX(Paletes!$D$5:$D$393,MATCH(B214,Paletes!$A$5:$A$393,0)),0)</f>
      </c>
      <c r="W214" s="43">
        <f>IF(V214=0,0,J214/V214)</f>
      </c>
      <c r="X214" s="43">
        <f>IF(V214=0,0,MAX(M214,0)/V214)</f>
      </c>
    </row>
    <row r="215" spans="1:24" x14ac:dyDescent="0.25">
      <c r="A215" s="20" t="str">
        <f>B215&amp;"."&amp;IFERROR(MID(D215,FIND("(",D215)+1,FIND(")",D215)-FIND("(",D215)-1),"")</f>
        <v>73545.16385</v>
      </c>
      <c r="B215" s="21">
        <v>73545</v>
      </c>
      <c r="C215" s="20" t="s">
        <v>414</v>
      </c>
      <c r="D215" s="20" t="s">
        <v>415</v>
      </c>
      <c r="E215" s="20">
        <v>54258</v>
      </c>
      <c r="F215" s="20" t="s">
        <v>25</v>
      </c>
      <c r="G215" s="20" t="s">
        <v>51</v>
      </c>
      <c r="H215" s="22">
        <f>IFERROR(INDEX(Linha!$B$5:$B$788,MATCH(A215,Linha!$A$5:$A$788,0)),"NÃO CADASTRADO")</f>
      </c>
      <c r="I215" s="22">
        <f>IFERROR(INDEX(Linha!$C$5:$C$788,MATCH(A215,Linha!$A$5:$A$788,0)),"-")</f>
      </c>
      <c r="J215" s="23">
        <v>1</v>
      </c>
      <c r="K215" s="24">
        <f>IFERROR(INDEX(Linha!$D$5:$D$788,MATCH(A215,Linha!$A$5:$A$788,0))*1,0)</f>
      </c>
      <c r="L215" s="24">
        <f>SUMIFS(Reservas!$K$5:$K$3669,Reservas!$A$5:$A$3669,A215)</f>
      </c>
      <c r="M215" s="25">
        <f>J215-L215</f>
      </c>
      <c r="N215" s="26">
        <v>11.358</v>
      </c>
      <c r="O215" s="25">
        <f>J215*N215</f>
      </c>
      <c r="P215" s="25">
        <f>L215*N215</f>
      </c>
      <c r="Q215" s="27">
        <v>75.24530468</v>
      </c>
      <c r="R215" s="28">
        <f>J215*Q215</f>
      </c>
      <c r="S215" s="28">
        <f>L215*Q215</f>
      </c>
      <c r="T215" s="29">
        <f>IF(J215=0,0,L215/J215)</f>
      </c>
      <c r="U215" s="30">
        <f>IFERROR(INDEX(Paletes!$C$5:$C$393,MATCH(B215,Paletes!$A$5:$A$393,0)),"SEM CADASTRO")</f>
      </c>
      <c r="V215" s="24">
        <f>IFERROR(INDEX(Paletes!$D$5:$D$393,MATCH(B215,Paletes!$A$5:$A$393,0)),0)</f>
      </c>
      <c r="W215" s="31">
        <f>IF(V215=0,0,J215/V215)</f>
      </c>
      <c r="X215" s="31">
        <f>IF(V215=0,0,MAX(M215,0)/V215)</f>
      </c>
    </row>
    <row r="216" spans="1:24" x14ac:dyDescent="0.25">
      <c r="A216" s="32" t="str">
        <f>B216&amp;"."&amp;IFERROR(MID(D216,FIND("(",D216)+1,FIND(")",D216)-FIND("(",D216)-1),"")</f>
        <v>87103.90674</v>
      </c>
      <c r="B216" s="33">
        <v>87103</v>
      </c>
      <c r="C216" s="32" t="s">
        <v>416</v>
      </c>
      <c r="D216" s="32" t="s">
        <v>417</v>
      </c>
      <c r="E216" s="32">
        <v>104349</v>
      </c>
      <c r="F216" s="32" t="s">
        <v>26</v>
      </c>
      <c r="G216" s="32" t="s">
        <v>51</v>
      </c>
      <c r="H216" s="34">
        <f>IFERROR(INDEX(Linha!$B$5:$B$788,MATCH(A216,Linha!$A$5:$A$788,0)),"NÃO CADASTRADO")</f>
      </c>
      <c r="I216" s="34">
        <f>IFERROR(INDEX(Linha!$C$5:$C$788,MATCH(A216,Linha!$A$5:$A$788,0)),"-")</f>
      </c>
      <c r="J216" s="35">
        <v>286</v>
      </c>
      <c r="K216" s="36">
        <f>IFERROR(INDEX(Linha!$D$5:$D$788,MATCH(A216,Linha!$A$5:$A$788,0))*1,0)</f>
      </c>
      <c r="L216" s="36">
        <f>SUMIFS(Reservas!$K$5:$K$3669,Reservas!$A$5:$A$3669,A216)</f>
      </c>
      <c r="M216" s="37">
        <f>J216-L216</f>
      </c>
      <c r="N216" s="38">
        <v>37.537</v>
      </c>
      <c r="O216" s="37">
        <f>J216*N216</f>
      </c>
      <c r="P216" s="37">
        <f>L216*N216</f>
      </c>
      <c r="Q216" s="39">
        <v>152.5109167</v>
      </c>
      <c r="R216" s="40">
        <f>J216*Q216</f>
      </c>
      <c r="S216" s="40">
        <f>L216*Q216</f>
      </c>
      <c r="T216" s="41">
        <f>IF(J216=0,0,L216/J216)</f>
      </c>
      <c r="U216" s="42">
        <f>IFERROR(INDEX(Paletes!$C$5:$C$393,MATCH(B216,Paletes!$A$5:$A$393,0)),"SEM CADASTRO")</f>
      </c>
      <c r="V216" s="36">
        <f>IFERROR(INDEX(Paletes!$D$5:$D$393,MATCH(B216,Paletes!$A$5:$A$393,0)),0)</f>
      </c>
      <c r="W216" s="43">
        <f>IF(V216=0,0,J216/V216)</f>
      </c>
      <c r="X216" s="43">
        <f>IF(V216=0,0,MAX(M216,0)/V216)</f>
      </c>
    </row>
    <row r="217" spans="1:24" x14ac:dyDescent="0.25">
      <c r="A217" s="20" t="str">
        <f>B217&amp;"."&amp;IFERROR(MID(D217,FIND("(",D217)+1,FIND(")",D217)-FIND("(",D217)-1),"")</f>
        <v>84877.30942</v>
      </c>
      <c r="B217" s="21">
        <v>84877</v>
      </c>
      <c r="C217" s="20" t="s">
        <v>418</v>
      </c>
      <c r="D217" s="20" t="s">
        <v>419</v>
      </c>
      <c r="E217" s="20">
        <v>96634</v>
      </c>
      <c r="F217" s="20" t="s">
        <v>26</v>
      </c>
      <c r="G217" s="20" t="s">
        <v>51</v>
      </c>
      <c r="H217" s="22">
        <f>IFERROR(INDEX(Linha!$B$5:$B$788,MATCH(A217,Linha!$A$5:$A$788,0)),"NÃO CADASTRADO")</f>
      </c>
      <c r="I217" s="22">
        <f>IFERROR(INDEX(Linha!$C$5:$C$788,MATCH(A217,Linha!$A$5:$A$788,0)),"-")</f>
      </c>
      <c r="J217" s="23">
        <v>2</v>
      </c>
      <c r="K217" s="24">
        <f>IFERROR(INDEX(Linha!$D$5:$D$788,MATCH(A217,Linha!$A$5:$A$788,0))*1,0)</f>
      </c>
      <c r="L217" s="24">
        <f>SUMIFS(Reservas!$K$5:$K$3669,Reservas!$A$5:$A$3669,A217)</f>
      </c>
      <c r="M217" s="25">
        <f>J217-L217</f>
      </c>
      <c r="N217" s="26">
        <v>54.97</v>
      </c>
      <c r="O217" s="25">
        <f>J217*N217</f>
      </c>
      <c r="P217" s="25">
        <f>L217*N217</f>
      </c>
      <c r="Q217" s="27">
        <v>186.92456239</v>
      </c>
      <c r="R217" s="28">
        <f>J217*Q217</f>
      </c>
      <c r="S217" s="28">
        <f>L217*Q217</f>
      </c>
      <c r="T217" s="29">
        <f>IF(J217=0,0,L217/J217)</f>
      </c>
      <c r="U217" s="30">
        <f>IFERROR(INDEX(Paletes!$C$5:$C$393,MATCH(B217,Paletes!$A$5:$A$393,0)),"SEM CADASTRO")</f>
      </c>
      <c r="V217" s="24">
        <f>IFERROR(INDEX(Paletes!$D$5:$D$393,MATCH(B217,Paletes!$A$5:$A$393,0)),0)</f>
      </c>
      <c r="W217" s="31">
        <f>IF(V217=0,0,J217/V217)</f>
      </c>
      <c r="X217" s="31">
        <f>IF(V217=0,0,MAX(M217,0)/V217)</f>
      </c>
    </row>
    <row r="218" spans="1:24" x14ac:dyDescent="0.25">
      <c r="A218" s="32" t="str">
        <f>B218&amp;"."&amp;IFERROR(MID(D218,FIND("(",D218)+1,FIND(")",D218)-FIND("(",D218)-1),"")</f>
        <v>74509.31977</v>
      </c>
      <c r="B218" s="33">
        <v>74509</v>
      </c>
      <c r="C218" s="32" t="s">
        <v>420</v>
      </c>
      <c r="D218" s="32" t="s">
        <v>421</v>
      </c>
      <c r="E218" s="32">
        <v>77221</v>
      </c>
      <c r="F218" s="32" t="s">
        <v>24</v>
      </c>
      <c r="G218" s="32" t="s">
        <v>51</v>
      </c>
      <c r="H218" s="34">
        <f>IFERROR(INDEX(Linha!$B$5:$B$788,MATCH(A218,Linha!$A$5:$A$788,0)),"NÃO CADASTRADO")</f>
      </c>
      <c r="I218" s="34">
        <f>IFERROR(INDEX(Linha!$C$5:$C$788,MATCH(A218,Linha!$A$5:$A$788,0)),"-")</f>
      </c>
      <c r="J218" s="35">
        <v>0</v>
      </c>
      <c r="K218" s="36">
        <f>IFERROR(INDEX(Linha!$D$5:$D$788,MATCH(A218,Linha!$A$5:$A$788,0))*1,0)</f>
      </c>
      <c r="L218" s="36">
        <f>SUMIFS(Reservas!$K$5:$K$3669,Reservas!$A$5:$A$3669,A218)</f>
      </c>
      <c r="M218" s="37">
        <f>J218-L218</f>
      </c>
      <c r="N218" s="38">
        <v>11.33</v>
      </c>
      <c r="O218" s="37">
        <f>J218*N218</f>
      </c>
      <c r="P218" s="37">
        <f>L218*N218</f>
      </c>
      <c r="Q218" s="39">
        <v>47.75847392</v>
      </c>
      <c r="R218" s="40">
        <f>J218*Q218</f>
      </c>
      <c r="S218" s="40">
        <f>L218*Q218</f>
      </c>
      <c r="T218" s="41">
        <f>IF(J218=0,0,L218/J218)</f>
      </c>
      <c r="U218" s="42">
        <f>IFERROR(INDEX(Paletes!$C$5:$C$393,MATCH(B218,Paletes!$A$5:$A$393,0)),"SEM CADASTRO")</f>
      </c>
      <c r="V218" s="36">
        <f>IFERROR(INDEX(Paletes!$D$5:$D$393,MATCH(B218,Paletes!$A$5:$A$393,0)),0)</f>
      </c>
      <c r="W218" s="43">
        <f>IF(V218=0,0,J218/V218)</f>
      </c>
      <c r="X218" s="43">
        <f>IF(V218=0,0,MAX(M218,0)/V218)</f>
      </c>
    </row>
    <row r="219" spans="1:24" x14ac:dyDescent="0.25">
      <c r="A219" s="20" t="str">
        <f>B219&amp;"."&amp;IFERROR(MID(D219,FIND("(",D219)+1,FIND(")",D219)-FIND("(",D219)-1),"")</f>
        <v>72829.16465</v>
      </c>
      <c r="B219" s="21">
        <v>72829</v>
      </c>
      <c r="C219" s="20" t="s">
        <v>422</v>
      </c>
      <c r="D219" s="20" t="s">
        <v>423</v>
      </c>
      <c r="E219" s="20">
        <v>89017</v>
      </c>
      <c r="F219" s="20" t="s">
        <v>24</v>
      </c>
      <c r="G219" s="20" t="s">
        <v>51</v>
      </c>
      <c r="H219" s="22">
        <f>IFERROR(INDEX(Linha!$B$5:$B$788,MATCH(A219,Linha!$A$5:$A$788,0)),"NÃO CADASTRADO")</f>
      </c>
      <c r="I219" s="22">
        <f>IFERROR(INDEX(Linha!$C$5:$C$788,MATCH(A219,Linha!$A$5:$A$788,0)),"-")</f>
      </c>
      <c r="J219" s="23">
        <v>0</v>
      </c>
      <c r="K219" s="24">
        <f>IFERROR(INDEX(Linha!$D$5:$D$788,MATCH(A219,Linha!$A$5:$A$788,0))*1,0)</f>
      </c>
      <c r="L219" s="24">
        <f>SUMIFS(Reservas!$K$5:$K$3669,Reservas!$A$5:$A$3669,A219)</f>
      </c>
      <c r="M219" s="25">
        <f>J219-L219</f>
      </c>
      <c r="N219" s="26">
        <v>40.033</v>
      </c>
      <c r="O219" s="25">
        <f>J219*N219</f>
      </c>
      <c r="P219" s="25">
        <f>L219*N219</f>
      </c>
      <c r="Q219" s="27">
        <v>186.37989607</v>
      </c>
      <c r="R219" s="28">
        <f>J219*Q219</f>
      </c>
      <c r="S219" s="28">
        <f>L219*Q219</f>
      </c>
      <c r="T219" s="29">
        <f>IF(J219=0,0,L219/J219)</f>
      </c>
      <c r="U219" s="30">
        <f>IFERROR(INDEX(Paletes!$C$5:$C$393,MATCH(B219,Paletes!$A$5:$A$393,0)),"SEM CADASTRO")</f>
      </c>
      <c r="V219" s="24">
        <f>IFERROR(INDEX(Paletes!$D$5:$D$393,MATCH(B219,Paletes!$A$5:$A$393,0)),0)</f>
      </c>
      <c r="W219" s="31">
        <f>IF(V219=0,0,J219/V219)</f>
      </c>
      <c r="X219" s="31">
        <f>IF(V219=0,0,MAX(M219,0)/V219)</f>
      </c>
    </row>
    <row r="220" spans="1:24" x14ac:dyDescent="0.25">
      <c r="A220" s="32" t="str">
        <f>B220&amp;"."&amp;IFERROR(MID(D220,FIND("(",D220)+1,FIND(")",D220)-FIND("(",D220)-1),"")</f>
        <v>2262.31357</v>
      </c>
      <c r="B220" s="33">
        <v>2262</v>
      </c>
      <c r="C220" s="32" t="s">
        <v>424</v>
      </c>
      <c r="D220" s="32" t="s">
        <v>425</v>
      </c>
      <c r="E220" s="32">
        <v>86812</v>
      </c>
      <c r="F220" s="32" t="s">
        <v>26</v>
      </c>
      <c r="G220" s="32" t="s">
        <v>51</v>
      </c>
      <c r="H220" s="34">
        <f>IFERROR(INDEX(Linha!$B$5:$B$788,MATCH(A220,Linha!$A$5:$A$788,0)),"NÃO CADASTRADO")</f>
      </c>
      <c r="I220" s="34">
        <f>IFERROR(INDEX(Linha!$C$5:$C$788,MATCH(A220,Linha!$A$5:$A$788,0)),"-")</f>
      </c>
      <c r="J220" s="35">
        <v>0</v>
      </c>
      <c r="K220" s="36">
        <f>IFERROR(INDEX(Linha!$D$5:$D$788,MATCH(A220,Linha!$A$5:$A$788,0))*1,0)</f>
      </c>
      <c r="L220" s="36">
        <f>SUMIFS(Reservas!$K$5:$K$3669,Reservas!$A$5:$A$3669,A220)</f>
      </c>
      <c r="M220" s="37">
        <f>J220-L220</f>
      </c>
      <c r="N220" s="38">
        <v>52.162</v>
      </c>
      <c r="O220" s="37">
        <f>J220*N220</f>
      </c>
      <c r="P220" s="37">
        <f>L220*N220</f>
      </c>
      <c r="Q220" s="39">
        <v>171.8961917</v>
      </c>
      <c r="R220" s="40">
        <f>J220*Q220</f>
      </c>
      <c r="S220" s="40">
        <f>L220*Q220</f>
      </c>
      <c r="T220" s="41">
        <f>IF(J220=0,0,L220/J220)</f>
      </c>
      <c r="U220" s="42">
        <f>IFERROR(INDEX(Paletes!$C$5:$C$393,MATCH(B220,Paletes!$A$5:$A$393,0)),"SEM CADASTRO")</f>
      </c>
      <c r="V220" s="36">
        <f>IFERROR(INDEX(Paletes!$D$5:$D$393,MATCH(B220,Paletes!$A$5:$A$393,0)),0)</f>
      </c>
      <c r="W220" s="43">
        <f>IF(V220=0,0,J220/V220)</f>
      </c>
      <c r="X220" s="43">
        <f>IF(V220=0,0,MAX(M220,0)/V220)</f>
      </c>
    </row>
    <row r="221" spans="1:24" x14ac:dyDescent="0.25">
      <c r="A221" s="20" t="str">
        <f>B221&amp;"."&amp;IFERROR(MID(D221,FIND("(",D221)+1,FIND(")",D221)-FIND("(",D221)-1),"")</f>
        <v>2253.15572</v>
      </c>
      <c r="B221" s="21">
        <v>2253</v>
      </c>
      <c r="C221" s="20" t="s">
        <v>426</v>
      </c>
      <c r="D221" s="20" t="s">
        <v>427</v>
      </c>
      <c r="E221" s="20">
        <v>86810</v>
      </c>
      <c r="F221" s="20" t="s">
        <v>26</v>
      </c>
      <c r="G221" s="20" t="s">
        <v>51</v>
      </c>
      <c r="H221" s="22">
        <f>IFERROR(INDEX(Linha!$B$5:$B$788,MATCH(A221,Linha!$A$5:$A$788,0)),"NÃO CADASTRADO")</f>
      </c>
      <c r="I221" s="22">
        <f>IFERROR(INDEX(Linha!$C$5:$C$788,MATCH(A221,Linha!$A$5:$A$788,0)),"-")</f>
      </c>
      <c r="J221" s="23">
        <v>0</v>
      </c>
      <c r="K221" s="24">
        <f>IFERROR(INDEX(Linha!$D$5:$D$788,MATCH(A221,Linha!$A$5:$A$788,0))*1,0)</f>
      </c>
      <c r="L221" s="24">
        <f>SUMIFS(Reservas!$K$5:$K$3669,Reservas!$A$5:$A$3669,A221)</f>
      </c>
      <c r="M221" s="25">
        <f>J221-L221</f>
      </c>
      <c r="N221" s="26">
        <v>55.672</v>
      </c>
      <c r="O221" s="25">
        <f>J221*N221</f>
      </c>
      <c r="P221" s="25">
        <f>L221*N221</f>
      </c>
      <c r="Q221" s="27">
        <v>272.54165506</v>
      </c>
      <c r="R221" s="28">
        <f>J221*Q221</f>
      </c>
      <c r="S221" s="28">
        <f>L221*Q221</f>
      </c>
      <c r="T221" s="29">
        <f>IF(J221=0,0,L221/J221)</f>
      </c>
      <c r="U221" s="30">
        <f>IFERROR(INDEX(Paletes!$C$5:$C$393,MATCH(B221,Paletes!$A$5:$A$393,0)),"SEM CADASTRO")</f>
      </c>
      <c r="V221" s="24">
        <f>IFERROR(INDEX(Paletes!$D$5:$D$393,MATCH(B221,Paletes!$A$5:$A$393,0)),0)</f>
      </c>
      <c r="W221" s="31">
        <f>IF(V221=0,0,J221/V221)</f>
      </c>
      <c r="X221" s="31">
        <f>IF(V221=0,0,MAX(M221,0)/V221)</f>
      </c>
    </row>
    <row r="222" spans="1:24" x14ac:dyDescent="0.25">
      <c r="A222" s="32" t="str">
        <f>B222&amp;"."&amp;IFERROR(MID(D222,FIND("(",D222)+1,FIND(")",D222)-FIND("(",D222)-1),"")</f>
        <v>75841.13218</v>
      </c>
      <c r="B222" s="33">
        <v>75841</v>
      </c>
      <c r="C222" s="32" t="s">
        <v>428</v>
      </c>
      <c r="D222" s="32" t="s">
        <v>429</v>
      </c>
      <c r="E222" s="32">
        <v>91882</v>
      </c>
      <c r="F222" s="32" t="s">
        <v>26</v>
      </c>
      <c r="G222" s="32" t="s">
        <v>51</v>
      </c>
      <c r="H222" s="34">
        <f>IFERROR(INDEX(Linha!$B$5:$B$788,MATCH(A222,Linha!$A$5:$A$788,0)),"NÃO CADASTRADO")</f>
      </c>
      <c r="I222" s="34">
        <f>IFERROR(INDEX(Linha!$C$5:$C$788,MATCH(A222,Linha!$A$5:$A$788,0)),"-")</f>
      </c>
      <c r="J222" s="35">
        <v>0</v>
      </c>
      <c r="K222" s="36">
        <f>IFERROR(INDEX(Linha!$D$5:$D$788,MATCH(A222,Linha!$A$5:$A$788,0))*1,0)</f>
      </c>
      <c r="L222" s="36">
        <f>SUMIFS(Reservas!$K$5:$K$3669,Reservas!$A$5:$A$3669,A222)</f>
      </c>
      <c r="M222" s="37">
        <f>J222-L222</f>
      </c>
      <c r="N222" s="38">
        <v>55.672</v>
      </c>
      <c r="O222" s="37">
        <f>J222*N222</f>
      </c>
      <c r="P222" s="37">
        <f>L222*N222</f>
      </c>
      <c r="Q222" s="39">
        <v>272.79165506</v>
      </c>
      <c r="R222" s="40">
        <f>J222*Q222</f>
      </c>
      <c r="S222" s="40">
        <f>L222*Q222</f>
      </c>
      <c r="T222" s="41">
        <f>IF(J222=0,0,L222/J222)</f>
      </c>
      <c r="U222" s="42">
        <f>IFERROR(INDEX(Paletes!$C$5:$C$393,MATCH(B222,Paletes!$A$5:$A$393,0)),"SEM CADASTRO")</f>
      </c>
      <c r="V222" s="36">
        <f>IFERROR(INDEX(Paletes!$D$5:$D$393,MATCH(B222,Paletes!$A$5:$A$393,0)),0)</f>
      </c>
      <c r="W222" s="43">
        <f>IF(V222=0,0,J222/V222)</f>
      </c>
      <c r="X222" s="43">
        <f>IF(V222=0,0,MAX(M222,0)/V222)</f>
      </c>
    </row>
    <row r="223" spans="1:24" x14ac:dyDescent="0.25">
      <c r="A223" s="20" t="str">
        <f>B223&amp;"."&amp;IFERROR(MID(D223,FIND("(",D223)+1,FIND(")",D223)-FIND("(",D223)-1),"")</f>
        <v>2192.13156</v>
      </c>
      <c r="B223" s="21">
        <v>2192</v>
      </c>
      <c r="C223" s="20" t="s">
        <v>110</v>
      </c>
      <c r="D223" s="20" t="s">
        <v>430</v>
      </c>
      <c r="E223" s="20">
        <v>55521</v>
      </c>
      <c r="F223" s="20" t="s">
        <v>26</v>
      </c>
      <c r="G223" s="20" t="s">
        <v>51</v>
      </c>
      <c r="H223" s="22">
        <f>IFERROR(INDEX(Linha!$B$5:$B$788,MATCH(A223,Linha!$A$5:$A$788,0)),"NÃO CADASTRADO")</f>
      </c>
      <c r="I223" s="22">
        <f>IFERROR(INDEX(Linha!$C$5:$C$788,MATCH(A223,Linha!$A$5:$A$788,0)),"-")</f>
      </c>
      <c r="J223" s="23">
        <v>11</v>
      </c>
      <c r="K223" s="24">
        <f>IFERROR(INDEX(Linha!$D$5:$D$788,MATCH(A223,Linha!$A$5:$A$788,0))*1,0)</f>
      </c>
      <c r="L223" s="24">
        <f>SUMIFS(Reservas!$K$5:$K$3669,Reservas!$A$5:$A$3669,A223)</f>
      </c>
      <c r="M223" s="25">
        <f>J223-L223</f>
      </c>
      <c r="N223" s="26">
        <v>13.162</v>
      </c>
      <c r="O223" s="25">
        <f>J223*N223</f>
      </c>
      <c r="P223" s="25">
        <f>L223*N223</f>
      </c>
      <c r="Q223" s="27">
        <v>50.78548763</v>
      </c>
      <c r="R223" s="28">
        <f>J223*Q223</f>
      </c>
      <c r="S223" s="28">
        <f>L223*Q223</f>
      </c>
      <c r="T223" s="29">
        <f>IF(J223=0,0,L223/J223)</f>
      </c>
      <c r="U223" s="30">
        <f>IFERROR(INDEX(Paletes!$C$5:$C$393,MATCH(B223,Paletes!$A$5:$A$393,0)),"SEM CADASTRO")</f>
      </c>
      <c r="V223" s="24">
        <f>IFERROR(INDEX(Paletes!$D$5:$D$393,MATCH(B223,Paletes!$A$5:$A$393,0)),0)</f>
      </c>
      <c r="W223" s="31">
        <f>IF(V223=0,0,J223/V223)</f>
      </c>
      <c r="X223" s="31">
        <f>IF(V223=0,0,MAX(M223,0)/V223)</f>
      </c>
    </row>
    <row r="224" spans="1:24" x14ac:dyDescent="0.25">
      <c r="A224" s="32" t="str">
        <f>B224&amp;"."&amp;IFERROR(MID(D224,FIND("(",D224)+1,FIND(")",D224)-FIND("(",D224)-1),"")</f>
        <v>84875.30939</v>
      </c>
      <c r="B224" s="33">
        <v>84875</v>
      </c>
      <c r="C224" s="32" t="s">
        <v>431</v>
      </c>
      <c r="D224" s="32" t="s">
        <v>432</v>
      </c>
      <c r="E224" s="32">
        <v>96633</v>
      </c>
      <c r="F224" s="32" t="s">
        <v>26</v>
      </c>
      <c r="G224" s="32" t="s">
        <v>51</v>
      </c>
      <c r="H224" s="34">
        <f>IFERROR(INDEX(Linha!$B$5:$B$788,MATCH(A224,Linha!$A$5:$A$788,0)),"NÃO CADASTRADO")</f>
      </c>
      <c r="I224" s="34">
        <f>IFERROR(INDEX(Linha!$C$5:$C$788,MATCH(A224,Linha!$A$5:$A$788,0)),"-")</f>
      </c>
      <c r="J224" s="35">
        <v>0</v>
      </c>
      <c r="K224" s="36">
        <f>IFERROR(INDEX(Linha!$D$5:$D$788,MATCH(A224,Linha!$A$5:$A$788,0))*1,0)</f>
      </c>
      <c r="L224" s="36">
        <f>SUMIFS(Reservas!$K$5:$K$3669,Reservas!$A$5:$A$3669,A224)</f>
      </c>
      <c r="M224" s="37">
        <f>J224-L224</f>
      </c>
      <c r="N224" s="38">
        <v>52.162</v>
      </c>
      <c r="O224" s="37">
        <f>J224*N224</f>
      </c>
      <c r="P224" s="37">
        <f>L224*N224</f>
      </c>
      <c r="Q224" s="39">
        <v>194.5761917</v>
      </c>
      <c r="R224" s="40">
        <f>J224*Q224</f>
      </c>
      <c r="S224" s="40">
        <f>L224*Q224</f>
      </c>
      <c r="T224" s="41">
        <f>IF(J224=0,0,L224/J224)</f>
      </c>
      <c r="U224" s="42">
        <f>IFERROR(INDEX(Paletes!$C$5:$C$393,MATCH(B224,Paletes!$A$5:$A$393,0)),"SEM CADASTRO")</f>
      </c>
      <c r="V224" s="36">
        <f>IFERROR(INDEX(Paletes!$D$5:$D$393,MATCH(B224,Paletes!$A$5:$A$393,0)),0)</f>
      </c>
      <c r="W224" s="43">
        <f>IF(V224=0,0,J224/V224)</f>
      </c>
      <c r="X224" s="43">
        <f>IF(V224=0,0,MAX(M224,0)/V224)</f>
      </c>
    </row>
    <row r="225" spans="1:24" x14ac:dyDescent="0.25">
      <c r="A225" s="20" t="str">
        <f>B225&amp;"."&amp;IFERROR(MID(D225,FIND("(",D225)+1,FIND(")",D225)-FIND("(",D225)-1),"")</f>
        <v>81942.32033</v>
      </c>
      <c r="B225" s="21">
        <v>81942</v>
      </c>
      <c r="C225" s="20" t="s">
        <v>433</v>
      </c>
      <c r="D225" s="20" t="s">
        <v>434</v>
      </c>
      <c r="E225" s="20">
        <v>93692</v>
      </c>
      <c r="F225" s="20" t="s">
        <v>24</v>
      </c>
      <c r="G225" s="20" t="s">
        <v>51</v>
      </c>
      <c r="H225" s="22">
        <f>IFERROR(INDEX(Linha!$B$5:$B$788,MATCH(A225,Linha!$A$5:$A$788,0)),"NÃO CADASTRADO")</f>
      </c>
      <c r="I225" s="22">
        <f>IFERROR(INDEX(Linha!$C$5:$C$788,MATCH(A225,Linha!$A$5:$A$788,0)),"-")</f>
      </c>
      <c r="J225" s="23">
        <v>0</v>
      </c>
      <c r="K225" s="24">
        <f>IFERROR(INDEX(Linha!$D$5:$D$788,MATCH(A225,Linha!$A$5:$A$788,0))*1,0)</f>
      </c>
      <c r="L225" s="24">
        <f>SUMIFS(Reservas!$K$5:$K$3669,Reservas!$A$5:$A$3669,A225)</f>
      </c>
      <c r="M225" s="25">
        <f>J225-L225</f>
      </c>
      <c r="N225" s="26">
        <v>24.862</v>
      </c>
      <c r="O225" s="25">
        <f>J225*N225</f>
      </c>
      <c r="P225" s="25">
        <f>L225*N225</f>
      </c>
      <c r="Q225" s="27">
        <v>85.64121651</v>
      </c>
      <c r="R225" s="28">
        <f>J225*Q225</f>
      </c>
      <c r="S225" s="28">
        <f>L225*Q225</f>
      </c>
      <c r="T225" s="29">
        <f>IF(J225=0,0,L225/J225)</f>
      </c>
      <c r="U225" s="30">
        <f>IFERROR(INDEX(Paletes!$C$5:$C$393,MATCH(B225,Paletes!$A$5:$A$393,0)),"SEM CADASTRO")</f>
      </c>
      <c r="V225" s="24">
        <f>IFERROR(INDEX(Paletes!$D$5:$D$393,MATCH(B225,Paletes!$A$5:$A$393,0)),0)</f>
      </c>
      <c r="W225" s="31">
        <f>IF(V225=0,0,J225/V225)</f>
      </c>
      <c r="X225" s="31">
        <f>IF(V225=0,0,MAX(M225,0)/V225)</f>
      </c>
    </row>
    <row r="226" spans="1:24" x14ac:dyDescent="0.25">
      <c r="A226" s="32" t="str">
        <f>B226&amp;"."&amp;IFERROR(MID(D226,FIND("(",D226)+1,FIND(")",D226)-FIND("(",D226)-1),"")</f>
        <v>72764.25905</v>
      </c>
      <c r="B226" s="33">
        <v>72764</v>
      </c>
      <c r="C226" s="32" t="s">
        <v>435</v>
      </c>
      <c r="D226" s="32" t="s">
        <v>436</v>
      </c>
      <c r="E226" s="32">
        <v>87846</v>
      </c>
      <c r="F226" s="32" t="s">
        <v>26</v>
      </c>
      <c r="G226" s="32" t="s">
        <v>51</v>
      </c>
      <c r="H226" s="34">
        <f>IFERROR(INDEX(Linha!$B$5:$B$788,MATCH(A226,Linha!$A$5:$A$788,0)),"NÃO CADASTRADO")</f>
      </c>
      <c r="I226" s="34">
        <f>IFERROR(INDEX(Linha!$C$5:$C$788,MATCH(A226,Linha!$A$5:$A$788,0)),"-")</f>
      </c>
      <c r="J226" s="35">
        <v>0</v>
      </c>
      <c r="K226" s="36">
        <f>IFERROR(INDEX(Linha!$D$5:$D$788,MATCH(A226,Linha!$A$5:$A$788,0))*1,0)</f>
      </c>
      <c r="L226" s="36">
        <f>SUMIFS(Reservas!$K$5:$K$3669,Reservas!$A$5:$A$3669,A226)</f>
      </c>
      <c r="M226" s="37">
        <f>J226-L226</f>
      </c>
      <c r="N226" s="38">
        <v>8.97</v>
      </c>
      <c r="O226" s="37">
        <f>J226*N226</f>
      </c>
      <c r="P226" s="37">
        <f>L226*N226</f>
      </c>
      <c r="Q226" s="39">
        <v>86.46396194</v>
      </c>
      <c r="R226" s="40">
        <f>J226*Q226</f>
      </c>
      <c r="S226" s="40">
        <f>L226*Q226</f>
      </c>
      <c r="T226" s="41">
        <f>IF(J226=0,0,L226/J226)</f>
      </c>
      <c r="U226" s="42">
        <f>IFERROR(INDEX(Paletes!$C$5:$C$393,MATCH(B226,Paletes!$A$5:$A$393,0)),"SEM CADASTRO")</f>
      </c>
      <c r="V226" s="36">
        <f>IFERROR(INDEX(Paletes!$D$5:$D$393,MATCH(B226,Paletes!$A$5:$A$393,0)),0)</f>
      </c>
      <c r="W226" s="43">
        <f>IF(V226=0,0,J226/V226)</f>
      </c>
      <c r="X226" s="43">
        <f>IF(V226=0,0,MAX(M226,0)/V226)</f>
      </c>
    </row>
    <row r="227" spans="1:24" x14ac:dyDescent="0.25">
      <c r="A227" s="20" t="str">
        <f>B227&amp;"."&amp;IFERROR(MID(D227,FIND("(",D227)+1,FIND(")",D227)-FIND("(",D227)-1),"")</f>
        <v>72645.15781</v>
      </c>
      <c r="B227" s="21">
        <v>72645</v>
      </c>
      <c r="C227" s="20" t="s">
        <v>273</v>
      </c>
      <c r="D227" s="20" t="s">
        <v>437</v>
      </c>
      <c r="E227" s="20">
        <v>87845</v>
      </c>
      <c r="F227" s="20" t="s">
        <v>26</v>
      </c>
      <c r="G227" s="20" t="s">
        <v>51</v>
      </c>
      <c r="H227" s="22">
        <f>IFERROR(INDEX(Linha!$B$5:$B$788,MATCH(A227,Linha!$A$5:$A$788,0)),"NÃO CADASTRADO")</f>
      </c>
      <c r="I227" s="22">
        <f>IFERROR(INDEX(Linha!$C$5:$C$788,MATCH(A227,Linha!$A$5:$A$788,0)),"-")</f>
      </c>
      <c r="J227" s="23">
        <v>0</v>
      </c>
      <c r="K227" s="24">
        <f>IFERROR(INDEX(Linha!$D$5:$D$788,MATCH(A227,Linha!$A$5:$A$788,0))*1,0)</f>
      </c>
      <c r="L227" s="24">
        <f>SUMIFS(Reservas!$K$5:$K$3669,Reservas!$A$5:$A$3669,A227)</f>
      </c>
      <c r="M227" s="25">
        <f>J227-L227</f>
      </c>
      <c r="N227" s="26">
        <v>45.805</v>
      </c>
      <c r="O227" s="25">
        <f>J227*N227</f>
      </c>
      <c r="P227" s="25">
        <f>L227*N227</f>
      </c>
      <c r="Q227" s="27">
        <v>130.90029693</v>
      </c>
      <c r="R227" s="28">
        <f>J227*Q227</f>
      </c>
      <c r="S227" s="28">
        <f>L227*Q227</f>
      </c>
      <c r="T227" s="29">
        <f>IF(J227=0,0,L227/J227)</f>
      </c>
      <c r="U227" s="30">
        <f>IFERROR(INDEX(Paletes!$C$5:$C$393,MATCH(B227,Paletes!$A$5:$A$393,0)),"SEM CADASTRO")</f>
      </c>
      <c r="V227" s="24">
        <f>IFERROR(INDEX(Paletes!$D$5:$D$393,MATCH(B227,Paletes!$A$5:$A$393,0)),0)</f>
      </c>
      <c r="W227" s="31">
        <f>IF(V227=0,0,J227/V227)</f>
      </c>
      <c r="X227" s="31">
        <f>IF(V227=0,0,MAX(M227,0)/V227)</f>
      </c>
    </row>
    <row r="228" spans="1:24" x14ac:dyDescent="0.25">
      <c r="A228" s="32" t="str">
        <f>B228&amp;"."&amp;IFERROR(MID(D228,FIND("(",D228)+1,FIND(")",D228)-FIND("(",D228)-1),"")</f>
        <v>73533.16554</v>
      </c>
      <c r="B228" s="33">
        <v>73533</v>
      </c>
      <c r="C228" s="32" t="s">
        <v>438</v>
      </c>
      <c r="D228" s="32" t="s">
        <v>439</v>
      </c>
      <c r="E228" s="32">
        <v>74813</v>
      </c>
      <c r="F228" s="32" t="s">
        <v>25</v>
      </c>
      <c r="G228" s="32" t="s">
        <v>51</v>
      </c>
      <c r="H228" s="34">
        <f>IFERROR(INDEX(Linha!$B$5:$B$788,MATCH(A228,Linha!$A$5:$A$788,0)),"NÃO CADASTRADO")</f>
      </c>
      <c r="I228" s="34">
        <f>IFERROR(INDEX(Linha!$C$5:$C$788,MATCH(A228,Linha!$A$5:$A$788,0)),"-")</f>
      </c>
      <c r="J228" s="35">
        <v>4</v>
      </c>
      <c r="K228" s="36">
        <f>IFERROR(INDEX(Linha!$D$5:$D$788,MATCH(A228,Linha!$A$5:$A$788,0))*1,0)</f>
      </c>
      <c r="L228" s="36">
        <f>SUMIFS(Reservas!$K$5:$K$3669,Reservas!$A$5:$A$3669,A228)</f>
      </c>
      <c r="M228" s="37">
        <f>J228-L228</f>
      </c>
      <c r="N228" s="38">
        <v>6.678</v>
      </c>
      <c r="O228" s="37">
        <f>J228*N228</f>
      </c>
      <c r="P228" s="37">
        <f>L228*N228</f>
      </c>
      <c r="Q228" s="39">
        <v>46.22032936</v>
      </c>
      <c r="R228" s="40">
        <f>J228*Q228</f>
      </c>
      <c r="S228" s="40">
        <f>L228*Q228</f>
      </c>
      <c r="T228" s="41">
        <f>IF(J228=0,0,L228/J228)</f>
      </c>
      <c r="U228" s="42">
        <f>IFERROR(INDEX(Paletes!$C$5:$C$393,MATCH(B228,Paletes!$A$5:$A$393,0)),"SEM CADASTRO")</f>
      </c>
      <c r="V228" s="36">
        <f>IFERROR(INDEX(Paletes!$D$5:$D$393,MATCH(B228,Paletes!$A$5:$A$393,0)),0)</f>
      </c>
      <c r="W228" s="43">
        <f>IF(V228=0,0,J228/V228)</f>
      </c>
      <c r="X228" s="43">
        <f>IF(V228=0,0,MAX(M228,0)/V228)</f>
      </c>
    </row>
    <row r="229" spans="1:24" x14ac:dyDescent="0.25">
      <c r="A229" s="20" t="str">
        <f>B229&amp;"."&amp;IFERROR(MID(D229,FIND("(",D229)+1,FIND(")",D229)-FIND("(",D229)-1),"")</f>
        <v>73536.16376</v>
      </c>
      <c r="B229" s="21">
        <v>73536</v>
      </c>
      <c r="C229" s="20" t="s">
        <v>440</v>
      </c>
      <c r="D229" s="20" t="s">
        <v>441</v>
      </c>
      <c r="E229" s="20">
        <v>86502</v>
      </c>
      <c r="F229" s="20" t="s">
        <v>25</v>
      </c>
      <c r="G229" s="20" t="s">
        <v>51</v>
      </c>
      <c r="H229" s="22">
        <f>IFERROR(INDEX(Linha!$B$5:$B$788,MATCH(A229,Linha!$A$5:$A$788,0)),"NÃO CADASTRADO")</f>
      </c>
      <c r="I229" s="22">
        <f>IFERROR(INDEX(Linha!$C$5:$C$788,MATCH(A229,Linha!$A$5:$A$788,0)),"-")</f>
      </c>
      <c r="J229" s="23">
        <v>1</v>
      </c>
      <c r="K229" s="24">
        <f>IFERROR(INDEX(Linha!$D$5:$D$788,MATCH(A229,Linha!$A$5:$A$788,0))*1,0)</f>
      </c>
      <c r="L229" s="24">
        <f>SUMIFS(Reservas!$K$5:$K$3669,Reservas!$A$5:$A$3669,A229)</f>
      </c>
      <c r="M229" s="25">
        <f>J229-L229</f>
      </c>
      <c r="N229" s="26">
        <v>7.234</v>
      </c>
      <c r="O229" s="25">
        <f>J229*N229</f>
      </c>
      <c r="P229" s="25">
        <f>L229*N229</f>
      </c>
      <c r="Q229" s="27">
        <v>51.98323268</v>
      </c>
      <c r="R229" s="28">
        <f>J229*Q229</f>
      </c>
      <c r="S229" s="28">
        <f>L229*Q229</f>
      </c>
      <c r="T229" s="29">
        <f>IF(J229=0,0,L229/J229)</f>
      </c>
      <c r="U229" s="30">
        <f>IFERROR(INDEX(Paletes!$C$5:$C$393,MATCH(B229,Paletes!$A$5:$A$393,0)),"SEM CADASTRO")</f>
      </c>
      <c r="V229" s="24">
        <f>IFERROR(INDEX(Paletes!$D$5:$D$393,MATCH(B229,Paletes!$A$5:$A$393,0)),0)</f>
      </c>
      <c r="W229" s="31">
        <f>IF(V229=0,0,J229/V229)</f>
      </c>
      <c r="X229" s="31">
        <f>IF(V229=0,0,MAX(M229,0)/V229)</f>
      </c>
    </row>
    <row r="230" spans="1:24" x14ac:dyDescent="0.25">
      <c r="A230" s="32" t="str">
        <f>B230&amp;"."&amp;IFERROR(MID(D230,FIND("(",D230)+1,FIND(")",D230)-FIND("(",D230)-1),"")</f>
        <v>85038.45301</v>
      </c>
      <c r="B230" s="33">
        <v>85038</v>
      </c>
      <c r="C230" s="32" t="s">
        <v>442</v>
      </c>
      <c r="D230" s="32" t="s">
        <v>443</v>
      </c>
      <c r="E230" s="32">
        <v>96385</v>
      </c>
      <c r="F230" s="32" t="s">
        <v>25</v>
      </c>
      <c r="G230" s="32" t="s">
        <v>51</v>
      </c>
      <c r="H230" s="34">
        <f>IFERROR(INDEX(Linha!$B$5:$B$788,MATCH(A230,Linha!$A$5:$A$788,0)),"NÃO CADASTRADO")</f>
      </c>
      <c r="I230" s="34">
        <f>IFERROR(INDEX(Linha!$C$5:$C$788,MATCH(A230,Linha!$A$5:$A$788,0)),"-")</f>
      </c>
      <c r="J230" s="35">
        <v>564</v>
      </c>
      <c r="K230" s="36">
        <f>IFERROR(INDEX(Linha!$D$5:$D$788,MATCH(A230,Linha!$A$5:$A$788,0))*1,0)</f>
      </c>
      <c r="L230" s="36">
        <f>SUMIFS(Reservas!$K$5:$K$3669,Reservas!$A$5:$A$3669,A230)</f>
      </c>
      <c r="M230" s="37">
        <f>J230-L230</f>
      </c>
      <c r="N230" s="38">
        <v>24.911</v>
      </c>
      <c r="O230" s="37">
        <f>J230*N230</f>
      </c>
      <c r="P230" s="37">
        <f>L230*N230</f>
      </c>
      <c r="Q230" s="39">
        <v>148.18488231</v>
      </c>
      <c r="R230" s="40">
        <f>J230*Q230</f>
      </c>
      <c r="S230" s="40">
        <f>L230*Q230</f>
      </c>
      <c r="T230" s="41">
        <f>IF(J230=0,0,L230/J230)</f>
      </c>
      <c r="U230" s="42">
        <f>IFERROR(INDEX(Paletes!$C$5:$C$393,MATCH(B230,Paletes!$A$5:$A$393,0)),"SEM CADASTRO")</f>
      </c>
      <c r="V230" s="36">
        <f>IFERROR(INDEX(Paletes!$D$5:$D$393,MATCH(B230,Paletes!$A$5:$A$393,0)),0)</f>
      </c>
      <c r="W230" s="43">
        <f>IF(V230=0,0,J230/V230)</f>
      </c>
      <c r="X230" s="43">
        <f>IF(V230=0,0,MAX(M230,0)/V230)</f>
      </c>
    </row>
    <row r="231" spans="1:24" x14ac:dyDescent="0.25">
      <c r="A231" s="20" t="str">
        <f>B231&amp;"."&amp;IFERROR(MID(D231,FIND("(",D231)+1,FIND(")",D231)-FIND("(",D231)-1),"")</f>
        <v>85507.46195</v>
      </c>
      <c r="B231" s="21">
        <v>85507</v>
      </c>
      <c r="C231" s="20" t="s">
        <v>444</v>
      </c>
      <c r="D231" s="20" t="s">
        <v>445</v>
      </c>
      <c r="E231" s="20">
        <v>97866</v>
      </c>
      <c r="F231" s="20" t="s">
        <v>25</v>
      </c>
      <c r="G231" s="20" t="s">
        <v>51</v>
      </c>
      <c r="H231" s="22">
        <f>IFERROR(INDEX(Linha!$B$5:$B$788,MATCH(A231,Linha!$A$5:$A$788,0)),"NÃO CADASTRADO")</f>
      </c>
      <c r="I231" s="22">
        <f>IFERROR(INDEX(Linha!$C$5:$C$788,MATCH(A231,Linha!$A$5:$A$788,0)),"-")</f>
      </c>
      <c r="J231" s="23">
        <v>4</v>
      </c>
      <c r="K231" s="24">
        <f>IFERROR(INDEX(Linha!$D$5:$D$788,MATCH(A231,Linha!$A$5:$A$788,0))*1,0)</f>
      </c>
      <c r="L231" s="24">
        <f>SUMIFS(Reservas!$K$5:$K$3669,Reservas!$A$5:$A$3669,A231)</f>
      </c>
      <c r="M231" s="25">
        <f>J231-L231</f>
      </c>
      <c r="N231" s="26">
        <v>20.377</v>
      </c>
      <c r="O231" s="25">
        <f>J231*N231</f>
      </c>
      <c r="P231" s="25">
        <f>L231*N231</f>
      </c>
      <c r="Q231" s="27">
        <v>131.47312169</v>
      </c>
      <c r="R231" s="28">
        <f>J231*Q231</f>
      </c>
      <c r="S231" s="28">
        <f>L231*Q231</f>
      </c>
      <c r="T231" s="29">
        <f>IF(J231=0,0,L231/J231)</f>
      </c>
      <c r="U231" s="30">
        <f>IFERROR(INDEX(Paletes!$C$5:$C$393,MATCH(B231,Paletes!$A$5:$A$393,0)),"SEM CADASTRO")</f>
      </c>
      <c r="V231" s="24">
        <f>IFERROR(INDEX(Paletes!$D$5:$D$393,MATCH(B231,Paletes!$A$5:$A$393,0)),0)</f>
      </c>
      <c r="W231" s="31">
        <f>IF(V231=0,0,J231/V231)</f>
      </c>
      <c r="X231" s="31">
        <f>IF(V231=0,0,MAX(M231,0)/V231)</f>
      </c>
    </row>
    <row r="232" spans="1:24" x14ac:dyDescent="0.25">
      <c r="A232" s="32" t="str">
        <f>B232&amp;"."&amp;IFERROR(MID(D232,FIND("(",D232)+1,FIND(")",D232)-FIND("(",D232)-1),"")</f>
        <v>85315.46265</v>
      </c>
      <c r="B232" s="33">
        <v>85315</v>
      </c>
      <c r="C232" s="32" t="s">
        <v>446</v>
      </c>
      <c r="D232" s="32" t="s">
        <v>447</v>
      </c>
      <c r="E232" s="32">
        <v>97857</v>
      </c>
      <c r="F232" s="32" t="s">
        <v>25</v>
      </c>
      <c r="G232" s="32" t="s">
        <v>51</v>
      </c>
      <c r="H232" s="34">
        <f>IFERROR(INDEX(Linha!$B$5:$B$788,MATCH(A232,Linha!$A$5:$A$788,0)),"NÃO CADASTRADO")</f>
      </c>
      <c r="I232" s="34">
        <f>IFERROR(INDEX(Linha!$C$5:$C$788,MATCH(A232,Linha!$A$5:$A$788,0)),"-")</f>
      </c>
      <c r="J232" s="35">
        <v>1</v>
      </c>
      <c r="K232" s="36">
        <f>IFERROR(INDEX(Linha!$D$5:$D$788,MATCH(A232,Linha!$A$5:$A$788,0))*1,0)</f>
      </c>
      <c r="L232" s="36">
        <f>SUMIFS(Reservas!$K$5:$K$3669,Reservas!$A$5:$A$3669,A232)</f>
      </c>
      <c r="M232" s="37">
        <f>J232-L232</f>
      </c>
      <c r="N232" s="38">
        <v>14.625</v>
      </c>
      <c r="O232" s="37">
        <f>J232*N232</f>
      </c>
      <c r="P232" s="37">
        <f>L232*N232</f>
      </c>
      <c r="Q232" s="39">
        <v>91.40429787</v>
      </c>
      <c r="R232" s="40">
        <f>J232*Q232</f>
      </c>
      <c r="S232" s="40">
        <f>L232*Q232</f>
      </c>
      <c r="T232" s="41">
        <f>IF(J232=0,0,L232/J232)</f>
      </c>
      <c r="U232" s="42">
        <f>IFERROR(INDEX(Paletes!$C$5:$C$393,MATCH(B232,Paletes!$A$5:$A$393,0)),"SEM CADASTRO")</f>
      </c>
      <c r="V232" s="36">
        <f>IFERROR(INDEX(Paletes!$D$5:$D$393,MATCH(B232,Paletes!$A$5:$A$393,0)),0)</f>
      </c>
      <c r="W232" s="43">
        <f>IF(V232=0,0,J232/V232)</f>
      </c>
      <c r="X232" s="43">
        <f>IF(V232=0,0,MAX(M232,0)/V232)</f>
      </c>
    </row>
    <row r="233" spans="1:24" x14ac:dyDescent="0.25">
      <c r="A233" s="20" t="str">
        <f>B233&amp;"."&amp;IFERROR(MID(D233,FIND("(",D233)+1,FIND(")",D233)-FIND("(",D233)-1),"")</f>
        <v>84688.31335</v>
      </c>
      <c r="B233" s="21">
        <v>84688</v>
      </c>
      <c r="C233" s="20" t="s">
        <v>448</v>
      </c>
      <c r="D233" s="20" t="s">
        <v>449</v>
      </c>
      <c r="E233" s="20">
        <v>96484</v>
      </c>
      <c r="F233" s="20" t="s">
        <v>26</v>
      </c>
      <c r="G233" s="20" t="s">
        <v>51</v>
      </c>
      <c r="H233" s="22">
        <f>IFERROR(INDEX(Linha!$B$5:$B$788,MATCH(A233,Linha!$A$5:$A$788,0)),"NÃO CADASTRADO")</f>
      </c>
      <c r="I233" s="22">
        <f>IFERROR(INDEX(Linha!$C$5:$C$788,MATCH(A233,Linha!$A$5:$A$788,0)),"-")</f>
      </c>
      <c r="J233" s="23">
        <v>0</v>
      </c>
      <c r="K233" s="24">
        <f>IFERROR(INDEX(Linha!$D$5:$D$788,MATCH(A233,Linha!$A$5:$A$788,0))*1,0)</f>
      </c>
      <c r="L233" s="24">
        <f>SUMIFS(Reservas!$K$5:$K$3669,Reservas!$A$5:$A$3669,A233)</f>
      </c>
      <c r="M233" s="25">
        <f>J233-L233</f>
      </c>
      <c r="N233" s="26">
        <v>49.92</v>
      </c>
      <c r="O233" s="25">
        <f>J233*N233</f>
      </c>
      <c r="P233" s="25">
        <f>L233*N233</f>
      </c>
      <c r="Q233" s="27">
        <v>150.47007021</v>
      </c>
      <c r="R233" s="28">
        <f>J233*Q233</f>
      </c>
      <c r="S233" s="28">
        <f>L233*Q233</f>
      </c>
      <c r="T233" s="29">
        <f>IF(J233=0,0,L233/J233)</f>
      </c>
      <c r="U233" s="30">
        <f>IFERROR(INDEX(Paletes!$C$5:$C$393,MATCH(B233,Paletes!$A$5:$A$393,0)),"SEM CADASTRO")</f>
      </c>
      <c r="V233" s="24">
        <f>IFERROR(INDEX(Paletes!$D$5:$D$393,MATCH(B233,Paletes!$A$5:$A$393,0)),0)</f>
      </c>
      <c r="W233" s="31">
        <f>IF(V233=0,0,J233/V233)</f>
      </c>
      <c r="X233" s="31">
        <f>IF(V233=0,0,MAX(M233,0)/V233)</f>
      </c>
    </row>
    <row r="234" spans="1:24" x14ac:dyDescent="0.25">
      <c r="A234" s="32" t="str">
        <f>B234&amp;"."&amp;IFERROR(MID(D234,FIND("(",D234)+1,FIND(")",D234)-FIND("(",D234)-1),"")</f>
        <v>217.16144</v>
      </c>
      <c r="B234" s="33">
        <v>217</v>
      </c>
      <c r="C234" s="32" t="s">
        <v>132</v>
      </c>
      <c r="D234" s="32" t="s">
        <v>450</v>
      </c>
      <c r="E234" s="32">
        <v>32317</v>
      </c>
      <c r="F234" s="32" t="s">
        <v>25</v>
      </c>
      <c r="G234" s="32" t="s">
        <v>51</v>
      </c>
      <c r="H234" s="34">
        <f>IFERROR(INDEX(Linha!$B$5:$B$788,MATCH(A234,Linha!$A$5:$A$788,0)),"NÃO CADASTRADO")</f>
      </c>
      <c r="I234" s="34">
        <f>IFERROR(INDEX(Linha!$C$5:$C$788,MATCH(A234,Linha!$A$5:$A$788,0)),"-")</f>
      </c>
      <c r="J234" s="35">
        <v>45</v>
      </c>
      <c r="K234" s="36">
        <f>IFERROR(INDEX(Linha!$D$5:$D$788,MATCH(A234,Linha!$A$5:$A$788,0))*1,0)</f>
      </c>
      <c r="L234" s="36">
        <f>SUMIFS(Reservas!$K$5:$K$3669,Reservas!$A$5:$A$3669,A234)</f>
      </c>
      <c r="M234" s="37">
        <f>J234-L234</f>
      </c>
      <c r="N234" s="38">
        <v>11.51</v>
      </c>
      <c r="O234" s="37">
        <f>J234*N234</f>
      </c>
      <c r="P234" s="37">
        <f>L234*N234</f>
      </c>
      <c r="Q234" s="39">
        <v>64.18764765</v>
      </c>
      <c r="R234" s="40">
        <f>J234*Q234</f>
      </c>
      <c r="S234" s="40">
        <f>L234*Q234</f>
      </c>
      <c r="T234" s="41">
        <f>IF(J234=0,0,L234/J234)</f>
      </c>
      <c r="U234" s="42">
        <f>IFERROR(INDEX(Paletes!$C$5:$C$393,MATCH(B234,Paletes!$A$5:$A$393,0)),"SEM CADASTRO")</f>
      </c>
      <c r="V234" s="36">
        <f>IFERROR(INDEX(Paletes!$D$5:$D$393,MATCH(B234,Paletes!$A$5:$A$393,0)),0)</f>
      </c>
      <c r="W234" s="43">
        <f>IF(V234=0,0,J234/V234)</f>
      </c>
      <c r="X234" s="43">
        <f>IF(V234=0,0,MAX(M234,0)/V234)</f>
      </c>
    </row>
    <row r="235" spans="1:24" x14ac:dyDescent="0.25">
      <c r="A235" s="20" t="str">
        <f>B235&amp;"."&amp;IFERROR(MID(D235,FIND("(",D235)+1,FIND(")",D235)-FIND("(",D235)-1),"")</f>
        <v>217.16137</v>
      </c>
      <c r="B235" s="21">
        <v>217</v>
      </c>
      <c r="C235" s="20" t="s">
        <v>132</v>
      </c>
      <c r="D235" s="20" t="s">
        <v>451</v>
      </c>
      <c r="E235" s="20">
        <v>32317</v>
      </c>
      <c r="F235" s="20" t="s">
        <v>25</v>
      </c>
      <c r="G235" s="20" t="s">
        <v>51</v>
      </c>
      <c r="H235" s="22">
        <f>IFERROR(INDEX(Linha!$B$5:$B$788,MATCH(A235,Linha!$A$5:$A$788,0)),"NÃO CADASTRADO")</f>
      </c>
      <c r="I235" s="22">
        <f>IFERROR(INDEX(Linha!$C$5:$C$788,MATCH(A235,Linha!$A$5:$A$788,0)),"-")</f>
      </c>
      <c r="J235" s="23">
        <v>0</v>
      </c>
      <c r="K235" s="24">
        <f>IFERROR(INDEX(Linha!$D$5:$D$788,MATCH(A235,Linha!$A$5:$A$788,0))*1,0)</f>
      </c>
      <c r="L235" s="24">
        <f>SUMIFS(Reservas!$K$5:$K$3669,Reservas!$A$5:$A$3669,A235)</f>
      </c>
      <c r="M235" s="25">
        <f>J235-L235</f>
      </c>
      <c r="N235" s="26">
        <v>11.51</v>
      </c>
      <c r="O235" s="25">
        <f>J235*N235</f>
      </c>
      <c r="P235" s="25">
        <f>L235*N235</f>
      </c>
      <c r="Q235" s="27">
        <v>68.41764765</v>
      </c>
      <c r="R235" s="28">
        <f>J235*Q235</f>
      </c>
      <c r="S235" s="28">
        <f>L235*Q235</f>
      </c>
      <c r="T235" s="29">
        <f>IF(J235=0,0,L235/J235)</f>
      </c>
      <c r="U235" s="30">
        <f>IFERROR(INDEX(Paletes!$C$5:$C$393,MATCH(B235,Paletes!$A$5:$A$393,0)),"SEM CADASTRO")</f>
      </c>
      <c r="V235" s="24">
        <f>IFERROR(INDEX(Paletes!$D$5:$D$393,MATCH(B235,Paletes!$A$5:$A$393,0)),0)</f>
      </c>
      <c r="W235" s="31">
        <f>IF(V235=0,0,J235/V235)</f>
      </c>
      <c r="X235" s="31">
        <f>IF(V235=0,0,MAX(M235,0)/V235)</f>
      </c>
    </row>
    <row r="236" spans="1:24" x14ac:dyDescent="0.25">
      <c r="A236" s="32" t="str">
        <f>B236&amp;"."&amp;IFERROR(MID(D236,FIND("(",D236)+1,FIND(")",D236)-FIND("(",D236)-1),"")</f>
        <v>217.55267</v>
      </c>
      <c r="B236" s="33">
        <v>217</v>
      </c>
      <c r="C236" s="32" t="s">
        <v>132</v>
      </c>
      <c r="D236" s="32" t="s">
        <v>452</v>
      </c>
      <c r="E236" s="32">
        <v>32317</v>
      </c>
      <c r="F236" s="32" t="s">
        <v>25</v>
      </c>
      <c r="G236" s="32" t="s">
        <v>51</v>
      </c>
      <c r="H236" s="34">
        <f>IFERROR(INDEX(Linha!$B$5:$B$788,MATCH(A236,Linha!$A$5:$A$788,0)),"NÃO CADASTRADO")</f>
      </c>
      <c r="I236" s="34">
        <f>IFERROR(INDEX(Linha!$C$5:$C$788,MATCH(A236,Linha!$A$5:$A$788,0)),"-")</f>
      </c>
      <c r="J236" s="35">
        <v>627</v>
      </c>
      <c r="K236" s="36">
        <f>IFERROR(INDEX(Linha!$D$5:$D$788,MATCH(A236,Linha!$A$5:$A$788,0))*1,0)</f>
      </c>
      <c r="L236" s="36">
        <f>SUMIFS(Reservas!$K$5:$K$3669,Reservas!$A$5:$A$3669,A236)</f>
      </c>
      <c r="M236" s="37">
        <f>J236-L236</f>
      </c>
      <c r="N236" s="38">
        <v>11.51</v>
      </c>
      <c r="O236" s="37">
        <f>J236*N236</f>
      </c>
      <c r="P236" s="37">
        <f>L236*N236</f>
      </c>
      <c r="Q236" s="39">
        <v>66.08014923</v>
      </c>
      <c r="R236" s="40">
        <f>J236*Q236</f>
      </c>
      <c r="S236" s="40">
        <f>L236*Q236</f>
      </c>
      <c r="T236" s="41">
        <f>IF(J236=0,0,L236/J236)</f>
      </c>
      <c r="U236" s="42">
        <f>IFERROR(INDEX(Paletes!$C$5:$C$393,MATCH(B236,Paletes!$A$5:$A$393,0)),"SEM CADASTRO")</f>
      </c>
      <c r="V236" s="36">
        <f>IFERROR(INDEX(Paletes!$D$5:$D$393,MATCH(B236,Paletes!$A$5:$A$393,0)),0)</f>
      </c>
      <c r="W236" s="43">
        <f>IF(V236=0,0,J236/V236)</f>
      </c>
      <c r="X236" s="43">
        <f>IF(V236=0,0,MAX(M236,0)/V236)</f>
      </c>
    </row>
    <row r="237" spans="1:24" x14ac:dyDescent="0.25">
      <c r="A237" s="20" t="str">
        <f>B237&amp;"."&amp;IFERROR(MID(D237,FIND("(",D237)+1,FIND(")",D237)-FIND("(",D237)-1),"")</f>
        <v>74201.31753</v>
      </c>
      <c r="B237" s="21">
        <v>74201</v>
      </c>
      <c r="C237" s="20" t="s">
        <v>287</v>
      </c>
      <c r="D237" s="20" t="s">
        <v>453</v>
      </c>
      <c r="E237" s="20">
        <v>59249</v>
      </c>
      <c r="F237" s="20" t="s">
        <v>25</v>
      </c>
      <c r="G237" s="20" t="s">
        <v>51</v>
      </c>
      <c r="H237" s="22">
        <f>IFERROR(INDEX(Linha!$B$5:$B$788,MATCH(A237,Linha!$A$5:$A$788,0)),"NÃO CADASTRADO")</f>
      </c>
      <c r="I237" s="22">
        <f>IFERROR(INDEX(Linha!$C$5:$C$788,MATCH(A237,Linha!$A$5:$A$788,0)),"-")</f>
      </c>
      <c r="J237" s="23">
        <v>340</v>
      </c>
      <c r="K237" s="24">
        <f>IFERROR(INDEX(Linha!$D$5:$D$788,MATCH(A237,Linha!$A$5:$A$788,0))*1,0)</f>
      </c>
      <c r="L237" s="24">
        <f>SUMIFS(Reservas!$K$5:$K$3669,Reservas!$A$5:$A$3669,A237)</f>
      </c>
      <c r="M237" s="25">
        <f>J237-L237</f>
      </c>
      <c r="N237" s="26">
        <v>38.42</v>
      </c>
      <c r="O237" s="25">
        <f>J237*N237</f>
      </c>
      <c r="P237" s="25">
        <f>L237*N237</f>
      </c>
      <c r="Q237" s="27">
        <v>156.22352523</v>
      </c>
      <c r="R237" s="28">
        <f>J237*Q237</f>
      </c>
      <c r="S237" s="28">
        <f>L237*Q237</f>
      </c>
      <c r="T237" s="29">
        <f>IF(J237=0,0,L237/J237)</f>
      </c>
      <c r="U237" s="30">
        <f>IFERROR(INDEX(Paletes!$C$5:$C$393,MATCH(B237,Paletes!$A$5:$A$393,0)),"SEM CADASTRO")</f>
      </c>
      <c r="V237" s="24">
        <f>IFERROR(INDEX(Paletes!$D$5:$D$393,MATCH(B237,Paletes!$A$5:$A$393,0)),0)</f>
      </c>
      <c r="W237" s="31">
        <f>IF(V237=0,0,J237/V237)</f>
      </c>
      <c r="X237" s="31">
        <f>IF(V237=0,0,MAX(M237,0)/V237)</f>
      </c>
    </row>
    <row r="238" spans="1:24" x14ac:dyDescent="0.25">
      <c r="A238" s="32" t="str">
        <f>B238&amp;"."&amp;IFERROR(MID(D238,FIND("(",D238)+1,FIND(")",D238)-FIND("(",D238)-1),"")</f>
        <v>81844.13794</v>
      </c>
      <c r="B238" s="33">
        <v>81844</v>
      </c>
      <c r="C238" s="32" t="s">
        <v>454</v>
      </c>
      <c r="D238" s="32" t="s">
        <v>455</v>
      </c>
      <c r="E238" s="32">
        <v>93641</v>
      </c>
      <c r="F238" s="32" t="s">
        <v>26</v>
      </c>
      <c r="G238" s="32" t="s">
        <v>51</v>
      </c>
      <c r="H238" s="34">
        <f>IFERROR(INDEX(Linha!$B$5:$B$788,MATCH(A238,Linha!$A$5:$A$788,0)),"NÃO CADASTRADO")</f>
      </c>
      <c r="I238" s="34">
        <f>IFERROR(INDEX(Linha!$C$5:$C$788,MATCH(A238,Linha!$A$5:$A$788,0)),"-")</f>
      </c>
      <c r="J238" s="35">
        <v>1</v>
      </c>
      <c r="K238" s="36">
        <f>IFERROR(INDEX(Linha!$D$5:$D$788,MATCH(A238,Linha!$A$5:$A$788,0))*1,0)</f>
      </c>
      <c r="L238" s="36">
        <f>SUMIFS(Reservas!$K$5:$K$3669,Reservas!$A$5:$A$3669,A238)</f>
      </c>
      <c r="M238" s="37">
        <f>J238-L238</f>
      </c>
      <c r="N238" s="38">
        <v>47.024</v>
      </c>
      <c r="O238" s="37">
        <f>J238*N238</f>
      </c>
      <c r="P238" s="37">
        <f>L238*N238</f>
      </c>
      <c r="Q238" s="39">
        <v>144.33969394</v>
      </c>
      <c r="R238" s="40">
        <f>J238*Q238</f>
      </c>
      <c r="S238" s="40">
        <f>L238*Q238</f>
      </c>
      <c r="T238" s="41">
        <f>IF(J238=0,0,L238/J238)</f>
      </c>
      <c r="U238" s="42">
        <f>IFERROR(INDEX(Paletes!$C$5:$C$393,MATCH(B238,Paletes!$A$5:$A$393,0)),"SEM CADASTRO")</f>
      </c>
      <c r="V238" s="36">
        <f>IFERROR(INDEX(Paletes!$D$5:$D$393,MATCH(B238,Paletes!$A$5:$A$393,0)),0)</f>
      </c>
      <c r="W238" s="43">
        <f>IF(V238=0,0,J238/V238)</f>
      </c>
      <c r="X238" s="43">
        <f>IF(V238=0,0,MAX(M238,0)/V238)</f>
      </c>
    </row>
    <row r="239" spans="1:24" x14ac:dyDescent="0.25">
      <c r="A239" s="20" t="str">
        <f>B239&amp;"."&amp;IFERROR(MID(D239,FIND("(",D239)+1,FIND(")",D239)-FIND("(",D239)-1),"")</f>
        <v>86318.69508</v>
      </c>
      <c r="B239" s="21">
        <v>86318</v>
      </c>
      <c r="C239" s="20" t="s">
        <v>456</v>
      </c>
      <c r="D239" s="20" t="s">
        <v>457</v>
      </c>
      <c r="E239" s="20">
        <v>99705</v>
      </c>
      <c r="F239" s="20" t="s">
        <v>26</v>
      </c>
      <c r="G239" s="20" t="s">
        <v>51</v>
      </c>
      <c r="H239" s="22">
        <f>IFERROR(INDEX(Linha!$B$5:$B$788,MATCH(A239,Linha!$A$5:$A$788,0)),"NÃO CADASTRADO")</f>
      </c>
      <c r="I239" s="22">
        <f>IFERROR(INDEX(Linha!$C$5:$C$788,MATCH(A239,Linha!$A$5:$A$788,0)),"-")</f>
      </c>
      <c r="J239" s="23">
        <v>4</v>
      </c>
      <c r="K239" s="24">
        <f>IFERROR(INDEX(Linha!$D$5:$D$788,MATCH(A239,Linha!$A$5:$A$788,0))*1,0)</f>
      </c>
      <c r="L239" s="24">
        <f>SUMIFS(Reservas!$K$5:$K$3669,Reservas!$A$5:$A$3669,A239)</f>
      </c>
      <c r="M239" s="25">
        <f>J239-L239</f>
      </c>
      <c r="N239" s="26">
        <v>28.908</v>
      </c>
      <c r="O239" s="25">
        <f>J239*N239</f>
      </c>
      <c r="P239" s="25">
        <f>L239*N239</f>
      </c>
      <c r="Q239" s="27">
        <v>129.96249689</v>
      </c>
      <c r="R239" s="28">
        <f>J239*Q239</f>
      </c>
      <c r="S239" s="28">
        <f>L239*Q239</f>
      </c>
      <c r="T239" s="29">
        <f>IF(J239=0,0,L239/J239)</f>
      </c>
      <c r="U239" s="30">
        <f>IFERROR(INDEX(Paletes!$C$5:$C$393,MATCH(B239,Paletes!$A$5:$A$393,0)),"SEM CADASTRO")</f>
      </c>
      <c r="V239" s="24">
        <f>IFERROR(INDEX(Paletes!$D$5:$D$393,MATCH(B239,Paletes!$A$5:$A$393,0)),0)</f>
      </c>
      <c r="W239" s="31">
        <f>IF(V239=0,0,J239/V239)</f>
      </c>
      <c r="X239" s="31">
        <f>IF(V239=0,0,MAX(M239,0)/V239)</f>
      </c>
    </row>
    <row r="240" spans="1:24" x14ac:dyDescent="0.25">
      <c r="A240" s="32" t="str">
        <f>B240&amp;"."&amp;IFERROR(MID(D240,FIND("(",D240)+1,FIND(")",D240)-FIND("(",D240)-1),"")</f>
        <v>86383.70244</v>
      </c>
      <c r="B240" s="33">
        <v>86383</v>
      </c>
      <c r="C240" s="32" t="s">
        <v>458</v>
      </c>
      <c r="D240" s="32" t="s">
        <v>459</v>
      </c>
      <c r="E240" s="32">
        <v>99780</v>
      </c>
      <c r="F240" s="32" t="s">
        <v>26</v>
      </c>
      <c r="G240" s="32" t="s">
        <v>51</v>
      </c>
      <c r="H240" s="34">
        <f>IFERROR(INDEX(Linha!$B$5:$B$788,MATCH(A240,Linha!$A$5:$A$788,0)),"NÃO CADASTRADO")</f>
      </c>
      <c r="I240" s="34">
        <f>IFERROR(INDEX(Linha!$C$5:$C$788,MATCH(A240,Linha!$A$5:$A$788,0)),"-")</f>
      </c>
      <c r="J240" s="35">
        <v>140</v>
      </c>
      <c r="K240" s="36">
        <f>IFERROR(INDEX(Linha!$D$5:$D$788,MATCH(A240,Linha!$A$5:$A$788,0))*1,0)</f>
      </c>
      <c r="L240" s="36">
        <f>SUMIFS(Reservas!$K$5:$K$3669,Reservas!$A$5:$A$3669,A240)</f>
      </c>
      <c r="M240" s="37">
        <f>J240-L240</f>
      </c>
      <c r="N240" s="38">
        <v>42.412</v>
      </c>
      <c r="O240" s="37">
        <f>J240*N240</f>
      </c>
      <c r="P240" s="37">
        <f>L240*N240</f>
      </c>
      <c r="Q240" s="39">
        <v>178.13334235</v>
      </c>
      <c r="R240" s="40">
        <f>J240*Q240</f>
      </c>
      <c r="S240" s="40">
        <f>L240*Q240</f>
      </c>
      <c r="T240" s="41">
        <f>IF(J240=0,0,L240/J240)</f>
      </c>
      <c r="U240" s="42">
        <f>IFERROR(INDEX(Paletes!$C$5:$C$393,MATCH(B240,Paletes!$A$5:$A$393,0)),"SEM CADASTRO")</f>
      </c>
      <c r="V240" s="36">
        <f>IFERROR(INDEX(Paletes!$D$5:$D$393,MATCH(B240,Paletes!$A$5:$A$393,0)),0)</f>
      </c>
      <c r="W240" s="43">
        <f>IF(V240=0,0,J240/V240)</f>
      </c>
      <c r="X240" s="43">
        <f>IF(V240=0,0,MAX(M240,0)/V240)</f>
      </c>
    </row>
    <row r="241" spans="1:24" x14ac:dyDescent="0.25">
      <c r="A241" s="20" t="str">
        <f>B241&amp;"."&amp;IFERROR(MID(D241,FIND("(",D241)+1,FIND(")",D241)-FIND("(",D241)-1),"")</f>
        <v>87112.90691</v>
      </c>
      <c r="B241" s="21">
        <v>87112</v>
      </c>
      <c r="C241" s="20" t="s">
        <v>460</v>
      </c>
      <c r="D241" s="20" t="s">
        <v>461</v>
      </c>
      <c r="E241" s="20">
        <v>104353</v>
      </c>
      <c r="F241" s="20" t="s">
        <v>26</v>
      </c>
      <c r="G241" s="20" t="s">
        <v>51</v>
      </c>
      <c r="H241" s="22">
        <f>IFERROR(INDEX(Linha!$B$5:$B$788,MATCH(A241,Linha!$A$5:$A$788,0)),"NÃO CADASTRADO")</f>
      </c>
      <c r="I241" s="22">
        <f>IFERROR(INDEX(Linha!$C$5:$C$788,MATCH(A241,Linha!$A$5:$A$788,0)),"-")</f>
      </c>
      <c r="J241" s="23">
        <v>111</v>
      </c>
      <c r="K241" s="24">
        <f>IFERROR(INDEX(Linha!$D$5:$D$788,MATCH(A241,Linha!$A$5:$A$788,0))*1,0)</f>
      </c>
      <c r="L241" s="24">
        <f>SUMIFS(Reservas!$K$5:$K$3669,Reservas!$A$5:$A$3669,A241)</f>
      </c>
      <c r="M241" s="25">
        <f>J241-L241</f>
      </c>
      <c r="N241" s="26">
        <v>9.555</v>
      </c>
      <c r="O241" s="25">
        <f>J241*N241</f>
      </c>
      <c r="P241" s="25">
        <f>L241*N241</f>
      </c>
      <c r="Q241" s="27">
        <v>40.49845822</v>
      </c>
      <c r="R241" s="28">
        <f>J241*Q241</f>
      </c>
      <c r="S241" s="28">
        <f>L241*Q241</f>
      </c>
      <c r="T241" s="29">
        <f>IF(J241=0,0,L241/J241)</f>
      </c>
      <c r="U241" s="30">
        <f>IFERROR(INDEX(Paletes!$C$5:$C$393,MATCH(B241,Paletes!$A$5:$A$393,0)),"SEM CADASTRO")</f>
      </c>
      <c r="V241" s="24">
        <f>IFERROR(INDEX(Paletes!$D$5:$D$393,MATCH(B241,Paletes!$A$5:$A$393,0)),0)</f>
      </c>
      <c r="W241" s="31">
        <f>IF(V241=0,0,J241/V241)</f>
      </c>
      <c r="X241" s="31">
        <f>IF(V241=0,0,MAX(M241,0)/V241)</f>
      </c>
    </row>
    <row r="242" spans="1:24" x14ac:dyDescent="0.25">
      <c r="A242" s="32" t="str">
        <f>B242&amp;"."&amp;IFERROR(MID(D242,FIND("(",D242)+1,FIND(")",D242)-FIND("(",D242)-1),"")</f>
        <v>87168.90917</v>
      </c>
      <c r="B242" s="33">
        <v>87168</v>
      </c>
      <c r="C242" s="32" t="s">
        <v>462</v>
      </c>
      <c r="D242" s="32" t="s">
        <v>463</v>
      </c>
      <c r="E242" s="32">
        <v>104830</v>
      </c>
      <c r="F242" s="32" t="s">
        <v>24</v>
      </c>
      <c r="G242" s="32" t="s">
        <v>51</v>
      </c>
      <c r="H242" s="34">
        <f>IFERROR(INDEX(Linha!$B$5:$B$788,MATCH(A242,Linha!$A$5:$A$788,0)),"NÃO CADASTRADO")</f>
      </c>
      <c r="I242" s="34">
        <f>IFERROR(INDEX(Linha!$C$5:$C$788,MATCH(A242,Linha!$A$5:$A$788,0)),"-")</f>
      </c>
      <c r="J242" s="35">
        <v>242</v>
      </c>
      <c r="K242" s="36">
        <f>IFERROR(INDEX(Linha!$D$5:$D$788,MATCH(A242,Linha!$A$5:$A$788,0))*1,0)</f>
      </c>
      <c r="L242" s="36">
        <f>SUMIFS(Reservas!$K$5:$K$3669,Reservas!$A$5:$A$3669,A242)</f>
      </c>
      <c r="M242" s="37">
        <f>J242-L242</f>
      </c>
      <c r="N242" s="38">
        <v>36.367</v>
      </c>
      <c r="O242" s="37">
        <f>J242*N242</f>
      </c>
      <c r="P242" s="37">
        <f>L242*N242</f>
      </c>
      <c r="Q242" s="39">
        <v>147.23599156</v>
      </c>
      <c r="R242" s="40">
        <f>J242*Q242</f>
      </c>
      <c r="S242" s="40">
        <f>L242*Q242</f>
      </c>
      <c r="T242" s="41">
        <f>IF(J242=0,0,L242/J242)</f>
      </c>
      <c r="U242" s="42">
        <f>IFERROR(INDEX(Paletes!$C$5:$C$393,MATCH(B242,Paletes!$A$5:$A$393,0)),"SEM CADASTRO")</f>
      </c>
      <c r="V242" s="36">
        <f>IFERROR(INDEX(Paletes!$D$5:$D$393,MATCH(B242,Paletes!$A$5:$A$393,0)),0)</f>
      </c>
      <c r="W242" s="43">
        <f>IF(V242=0,0,J242/V242)</f>
      </c>
      <c r="X242" s="43">
        <f>IF(V242=0,0,MAX(M242,0)/V242)</f>
      </c>
    </row>
    <row r="243" spans="1:24" x14ac:dyDescent="0.25">
      <c r="A243" s="20" t="str">
        <f>B243&amp;"."&amp;IFERROR(MID(D243,FIND("(",D243)+1,FIND(")",D243)-FIND("(",D243)-1),"")</f>
        <v>87110.90687</v>
      </c>
      <c r="B243" s="21">
        <v>87110</v>
      </c>
      <c r="C243" s="20" t="s">
        <v>464</v>
      </c>
      <c r="D243" s="20" t="s">
        <v>465</v>
      </c>
      <c r="E243" s="20">
        <v>104352</v>
      </c>
      <c r="F243" s="20" t="s">
        <v>26</v>
      </c>
      <c r="G243" s="20" t="s">
        <v>51</v>
      </c>
      <c r="H243" s="22">
        <f>IFERROR(INDEX(Linha!$B$5:$B$788,MATCH(A243,Linha!$A$5:$A$788,0)),"NÃO CADASTRADO")</f>
      </c>
      <c r="I243" s="22">
        <f>IFERROR(INDEX(Linha!$C$5:$C$788,MATCH(A243,Linha!$A$5:$A$788,0)),"-")</f>
      </c>
      <c r="J243" s="23">
        <v>65</v>
      </c>
      <c r="K243" s="24">
        <f>IFERROR(INDEX(Linha!$D$5:$D$788,MATCH(A243,Linha!$A$5:$A$788,0))*1,0)</f>
      </c>
      <c r="L243" s="24">
        <f>SUMIFS(Reservas!$K$5:$K$3669,Reservas!$A$5:$A$3669,A243)</f>
      </c>
      <c r="M243" s="25">
        <f>J243-L243</f>
      </c>
      <c r="N243" s="26">
        <v>16.331</v>
      </c>
      <c r="O243" s="25">
        <f>J243*N243</f>
      </c>
      <c r="P243" s="25">
        <f>L243*N243</f>
      </c>
      <c r="Q243" s="27">
        <v>46.61238886</v>
      </c>
      <c r="R243" s="28">
        <f>J243*Q243</f>
      </c>
      <c r="S243" s="28">
        <f>L243*Q243</f>
      </c>
      <c r="T243" s="29">
        <f>IF(J243=0,0,L243/J243)</f>
      </c>
      <c r="U243" s="30">
        <f>IFERROR(INDEX(Paletes!$C$5:$C$393,MATCH(B243,Paletes!$A$5:$A$393,0)),"SEM CADASTRO")</f>
      </c>
      <c r="V243" s="24">
        <f>IFERROR(INDEX(Paletes!$D$5:$D$393,MATCH(B243,Paletes!$A$5:$A$393,0)),0)</f>
      </c>
      <c r="W243" s="31">
        <f>IF(V243=0,0,J243/V243)</f>
      </c>
      <c r="X243" s="31">
        <f>IF(V243=0,0,MAX(M243,0)/V243)</f>
      </c>
    </row>
    <row r="244" spans="1:24" x14ac:dyDescent="0.25">
      <c r="A244" s="32" t="str">
        <f>B244&amp;"."&amp;IFERROR(MID(D244,FIND("(",D244)+1,FIND(")",D244)-FIND("(",D244)-1),"")</f>
        <v>73366.16713</v>
      </c>
      <c r="B244" s="33">
        <v>73366</v>
      </c>
      <c r="C244" s="32" t="s">
        <v>466</v>
      </c>
      <c r="D244" s="32" t="s">
        <v>467</v>
      </c>
      <c r="E244" s="32">
        <v>72704</v>
      </c>
      <c r="F244" s="32" t="s">
        <v>25</v>
      </c>
      <c r="G244" s="32" t="s">
        <v>51</v>
      </c>
      <c r="H244" s="34">
        <f>IFERROR(INDEX(Linha!$B$5:$B$788,MATCH(A244,Linha!$A$5:$A$788,0)),"NÃO CADASTRADO")</f>
      </c>
      <c r="I244" s="34">
        <f>IFERROR(INDEX(Linha!$C$5:$C$788,MATCH(A244,Linha!$A$5:$A$788,0)),"-")</f>
      </c>
      <c r="J244" s="35">
        <v>12</v>
      </c>
      <c r="K244" s="36">
        <f>IFERROR(INDEX(Linha!$D$5:$D$788,MATCH(A244,Linha!$A$5:$A$788,0))*1,0)</f>
      </c>
      <c r="L244" s="36">
        <f>SUMIFS(Reservas!$K$5:$K$3669,Reservas!$A$5:$A$3669,A244)</f>
      </c>
      <c r="M244" s="37">
        <f>J244-L244</f>
      </c>
      <c r="N244" s="38">
        <v>16.233</v>
      </c>
      <c r="O244" s="37">
        <f>J244*N244</f>
      </c>
      <c r="P244" s="37">
        <f>L244*N244</f>
      </c>
      <c r="Q244" s="39">
        <v>71.28399623</v>
      </c>
      <c r="R244" s="40">
        <f>J244*Q244</f>
      </c>
      <c r="S244" s="40">
        <f>L244*Q244</f>
      </c>
      <c r="T244" s="41">
        <f>IF(J244=0,0,L244/J244)</f>
      </c>
      <c r="U244" s="42">
        <f>IFERROR(INDEX(Paletes!$C$5:$C$393,MATCH(B244,Paletes!$A$5:$A$393,0)),"SEM CADASTRO")</f>
      </c>
      <c r="V244" s="36">
        <f>IFERROR(INDEX(Paletes!$D$5:$D$393,MATCH(B244,Paletes!$A$5:$A$393,0)),0)</f>
      </c>
      <c r="W244" s="43">
        <f>IF(V244=0,0,J244/V244)</f>
      </c>
      <c r="X244" s="43">
        <f>IF(V244=0,0,MAX(M244,0)/V244)</f>
      </c>
    </row>
    <row r="245" spans="1:24" x14ac:dyDescent="0.25">
      <c r="A245" s="20" t="str">
        <f>B245&amp;"."&amp;IFERROR(MID(D245,FIND("(",D245)+1,FIND(")",D245)-FIND("(",D245)-1),"")</f>
        <v>74613.55699</v>
      </c>
      <c r="B245" s="21">
        <v>74613</v>
      </c>
      <c r="C245" s="20" t="s">
        <v>299</v>
      </c>
      <c r="D245" s="20" t="s">
        <v>468</v>
      </c>
      <c r="E245" s="20">
        <v>80749</v>
      </c>
      <c r="F245" s="20" t="s">
        <v>26</v>
      </c>
      <c r="G245" s="20" t="s">
        <v>51</v>
      </c>
      <c r="H245" s="22">
        <f>IFERROR(INDEX(Linha!$B$5:$B$788,MATCH(A245,Linha!$A$5:$A$788,0)),"NÃO CADASTRADO")</f>
      </c>
      <c r="I245" s="22">
        <f>IFERROR(INDEX(Linha!$C$5:$C$788,MATCH(A245,Linha!$A$5:$A$788,0)),"-")</f>
      </c>
      <c r="J245" s="23">
        <v>0</v>
      </c>
      <c r="K245" s="24">
        <f>IFERROR(INDEX(Linha!$D$5:$D$788,MATCH(A245,Linha!$A$5:$A$788,0))*1,0)</f>
      </c>
      <c r="L245" s="24">
        <f>SUMIFS(Reservas!$K$5:$K$3669,Reservas!$A$5:$A$3669,A245)</f>
      </c>
      <c r="M245" s="25">
        <f>J245-L245</f>
      </c>
      <c r="N245" s="26">
        <v>32.662</v>
      </c>
      <c r="O245" s="25">
        <f>J245*N245</f>
      </c>
      <c r="P245" s="25">
        <f>L245*N245</f>
      </c>
      <c r="Q245" s="27">
        <v>110.60583966</v>
      </c>
      <c r="R245" s="28">
        <f>J245*Q245</f>
      </c>
      <c r="S245" s="28">
        <f>L245*Q245</f>
      </c>
      <c r="T245" s="29">
        <f>IF(J245=0,0,L245/J245)</f>
      </c>
      <c r="U245" s="30">
        <f>IFERROR(INDEX(Paletes!$C$5:$C$393,MATCH(B245,Paletes!$A$5:$A$393,0)),"SEM CADASTRO")</f>
      </c>
      <c r="V245" s="24">
        <f>IFERROR(INDEX(Paletes!$D$5:$D$393,MATCH(B245,Paletes!$A$5:$A$393,0)),0)</f>
      </c>
      <c r="W245" s="31">
        <f>IF(V245=0,0,J245/V245)</f>
      </c>
      <c r="X245" s="31">
        <f>IF(V245=0,0,MAX(M245,0)/V245)</f>
      </c>
    </row>
    <row r="246" spans="1:24" x14ac:dyDescent="0.25">
      <c r="A246" s="32" t="str">
        <f>B246&amp;"."&amp;IFERROR(MID(D246,FIND("(",D246)+1,FIND(")",D246)-FIND("(",D246)-1),"")</f>
        <v>184.12654</v>
      </c>
      <c r="B246" s="33">
        <v>184</v>
      </c>
      <c r="C246" s="32" t="s">
        <v>469</v>
      </c>
      <c r="D246" s="32" t="s">
        <v>470</v>
      </c>
      <c r="E246" s="32">
        <v>59607</v>
      </c>
      <c r="F246" s="32" t="s">
        <v>26</v>
      </c>
      <c r="G246" s="32" t="s">
        <v>51</v>
      </c>
      <c r="H246" s="34">
        <f>IFERROR(INDEX(Linha!$B$5:$B$788,MATCH(A246,Linha!$A$5:$A$788,0)),"NÃO CADASTRADO")</f>
      </c>
      <c r="I246" s="34">
        <f>IFERROR(INDEX(Linha!$C$5:$C$788,MATCH(A246,Linha!$A$5:$A$788,0)),"-")</f>
      </c>
      <c r="J246" s="35">
        <v>171</v>
      </c>
      <c r="K246" s="36">
        <f>IFERROR(INDEX(Linha!$D$5:$D$788,MATCH(A246,Linha!$A$5:$A$788,0))*1,0)</f>
      </c>
      <c r="L246" s="36">
        <f>SUMIFS(Reservas!$K$5:$K$3669,Reservas!$A$5:$A$3669,A246)</f>
      </c>
      <c r="M246" s="37">
        <f>J246-L246</f>
      </c>
      <c r="N246" s="38">
        <v>47.04</v>
      </c>
      <c r="O246" s="37">
        <f>J246*N246</f>
      </c>
      <c r="P246" s="37">
        <f>L246*N246</f>
      </c>
      <c r="Q246" s="39">
        <v>152.00061684</v>
      </c>
      <c r="R246" s="40">
        <f>J246*Q246</f>
      </c>
      <c r="S246" s="40">
        <f>L246*Q246</f>
      </c>
      <c r="T246" s="41">
        <f>IF(J246=0,0,L246/J246)</f>
      </c>
      <c r="U246" s="42">
        <f>IFERROR(INDEX(Paletes!$C$5:$C$393,MATCH(B246,Paletes!$A$5:$A$393,0)),"SEM CADASTRO")</f>
      </c>
      <c r="V246" s="36">
        <f>IFERROR(INDEX(Paletes!$D$5:$D$393,MATCH(B246,Paletes!$A$5:$A$393,0)),0)</f>
      </c>
      <c r="W246" s="43">
        <f>IF(V246=0,0,J246/V246)</f>
      </c>
      <c r="X246" s="43">
        <f>IF(V246=0,0,MAX(M246,0)/V246)</f>
      </c>
    </row>
    <row r="247" spans="1:24" x14ac:dyDescent="0.25">
      <c r="A247" s="20" t="str">
        <f>B247&amp;"."&amp;IFERROR(MID(D247,FIND("(",D247)+1,FIND(")",D247)-FIND("(",D247)-1),"")</f>
        <v>74272.15795</v>
      </c>
      <c r="B247" s="21">
        <v>74272</v>
      </c>
      <c r="C247" s="20" t="s">
        <v>309</v>
      </c>
      <c r="D247" s="20" t="s">
        <v>471</v>
      </c>
      <c r="E247" s="20">
        <v>60629</v>
      </c>
      <c r="F247" s="20" t="s">
        <v>26</v>
      </c>
      <c r="G247" s="20" t="s">
        <v>51</v>
      </c>
      <c r="H247" s="22">
        <f>IFERROR(INDEX(Linha!$B$5:$B$788,MATCH(A247,Linha!$A$5:$A$788,0)),"NÃO CADASTRADO")</f>
      </c>
      <c r="I247" s="22">
        <f>IFERROR(INDEX(Linha!$C$5:$C$788,MATCH(A247,Linha!$A$5:$A$788,0)),"-")</f>
      </c>
      <c r="J247" s="23">
        <v>1</v>
      </c>
      <c r="K247" s="24">
        <f>IFERROR(INDEX(Linha!$D$5:$D$788,MATCH(A247,Linha!$A$5:$A$788,0))*1,0)</f>
      </c>
      <c r="L247" s="24">
        <f>SUMIFS(Reservas!$K$5:$K$3669,Reservas!$A$5:$A$3669,A247)</f>
      </c>
      <c r="M247" s="25">
        <f>J247-L247</f>
      </c>
      <c r="N247" s="26">
        <v>66.787</v>
      </c>
      <c r="O247" s="25">
        <f>J247*N247</f>
      </c>
      <c r="P247" s="25">
        <f>L247*N247</f>
      </c>
      <c r="Q247" s="27">
        <v>220.07494963</v>
      </c>
      <c r="R247" s="28">
        <f>J247*Q247</f>
      </c>
      <c r="S247" s="28">
        <f>L247*Q247</f>
      </c>
      <c r="T247" s="29">
        <f>IF(J247=0,0,L247/J247)</f>
      </c>
      <c r="U247" s="30">
        <f>IFERROR(INDEX(Paletes!$C$5:$C$393,MATCH(B247,Paletes!$A$5:$A$393,0)),"SEM CADASTRO")</f>
      </c>
      <c r="V247" s="24">
        <f>IFERROR(INDEX(Paletes!$D$5:$D$393,MATCH(B247,Paletes!$A$5:$A$393,0)),0)</f>
      </c>
      <c r="W247" s="31">
        <f>IF(V247=0,0,J247/V247)</f>
      </c>
      <c r="X247" s="31">
        <f>IF(V247=0,0,MAX(M247,0)/V247)</f>
      </c>
    </row>
    <row r="248" spans="1:24" x14ac:dyDescent="0.25">
      <c r="A248" s="32" t="str">
        <f>B248&amp;"."&amp;IFERROR(MID(D248,FIND("(",D248)+1,FIND(")",D248)-FIND("(",D248)-1),"")</f>
        <v>72596.</v>
      </c>
      <c r="B248" s="33">
        <v>72596</v>
      </c>
      <c r="C248" s="32" t="s">
        <v>472</v>
      </c>
      <c r="D248" s="32" t="s">
        <v>89</v>
      </c>
      <c r="E248" s="32">
        <v>65506</v>
      </c>
      <c r="F248" s="32" t="s">
        <v>26</v>
      </c>
      <c r="G248" s="32" t="s">
        <v>51</v>
      </c>
      <c r="H248" s="34">
        <f>IFERROR(INDEX(Linha!$B$5:$B$788,MATCH(A248,Linha!$A$5:$A$788,0)),"NÃO CADASTRADO")</f>
      </c>
      <c r="I248" s="34">
        <f>IFERROR(INDEX(Linha!$C$5:$C$788,MATCH(A248,Linha!$A$5:$A$788,0)),"-")</f>
      </c>
      <c r="J248" s="35">
        <v>1327</v>
      </c>
      <c r="K248" s="36">
        <f>IFERROR(INDEX(Linha!$D$5:$D$788,MATCH(A248,Linha!$A$5:$A$788,0))*1,0)</f>
      </c>
      <c r="L248" s="36">
        <f>SUMIFS(Reservas!$K$5:$K$3669,Reservas!$A$5:$A$3669,A248)</f>
      </c>
      <c r="M248" s="37">
        <f>J248-L248</f>
      </c>
      <c r="N248" s="38">
        <v>6.123</v>
      </c>
      <c r="O248" s="37">
        <f>J248*N248</f>
      </c>
      <c r="P248" s="37">
        <f>L248*N248</f>
      </c>
      <c r="Q248" s="39">
        <v>49.35712948</v>
      </c>
      <c r="R248" s="40">
        <f>J248*Q248</f>
      </c>
      <c r="S248" s="40">
        <f>L248*Q248</f>
      </c>
      <c r="T248" s="41">
        <f>IF(J248=0,0,L248/J248)</f>
      </c>
      <c r="U248" s="42">
        <f>IFERROR(INDEX(Paletes!$C$5:$C$393,MATCH(B248,Paletes!$A$5:$A$393,0)),"SEM CADASTRO")</f>
      </c>
      <c r="V248" s="36">
        <f>IFERROR(INDEX(Paletes!$D$5:$D$393,MATCH(B248,Paletes!$A$5:$A$393,0)),0)</f>
      </c>
      <c r="W248" s="43">
        <f>IF(V248=0,0,J248/V248)</f>
      </c>
      <c r="X248" s="43">
        <f>IF(V248=0,0,MAX(M248,0)/V248)</f>
      </c>
    </row>
    <row r="249" spans="1:24" x14ac:dyDescent="0.25">
      <c r="A249" s="20" t="str">
        <f>B249&amp;"."&amp;IFERROR(MID(D249,FIND("(",D249)+1,FIND(")",D249)-FIND("(",D249)-1),"")</f>
        <v>73378.16475</v>
      </c>
      <c r="B249" s="21">
        <v>73378</v>
      </c>
      <c r="C249" s="20" t="s">
        <v>315</v>
      </c>
      <c r="D249" s="20" t="s">
        <v>473</v>
      </c>
      <c r="E249" s="20">
        <v>65950</v>
      </c>
      <c r="F249" s="20" t="s">
        <v>25</v>
      </c>
      <c r="G249" s="20" t="s">
        <v>51</v>
      </c>
      <c r="H249" s="22">
        <f>IFERROR(INDEX(Linha!$B$5:$B$788,MATCH(A249,Linha!$A$5:$A$788,0)),"NÃO CADASTRADO")</f>
      </c>
      <c r="I249" s="22">
        <f>IFERROR(INDEX(Linha!$C$5:$C$788,MATCH(A249,Linha!$A$5:$A$788,0)),"-")</f>
      </c>
      <c r="J249" s="23">
        <v>204</v>
      </c>
      <c r="K249" s="24">
        <f>IFERROR(INDEX(Linha!$D$5:$D$788,MATCH(A249,Linha!$A$5:$A$788,0))*1,0)</f>
      </c>
      <c r="L249" s="24">
        <f>SUMIFS(Reservas!$K$5:$K$3669,Reservas!$A$5:$A$3669,A249)</f>
      </c>
      <c r="M249" s="25">
        <f>J249-L249</f>
      </c>
      <c r="N249" s="26">
        <v>29.25</v>
      </c>
      <c r="O249" s="25">
        <f>J249*N249</f>
      </c>
      <c r="P249" s="25">
        <f>L249*N249</f>
      </c>
      <c r="Q249" s="27">
        <v>117.15361547</v>
      </c>
      <c r="R249" s="28">
        <f>J249*Q249</f>
      </c>
      <c r="S249" s="28">
        <f>L249*Q249</f>
      </c>
      <c r="T249" s="29">
        <f>IF(J249=0,0,L249/J249)</f>
      </c>
      <c r="U249" s="30">
        <f>IFERROR(INDEX(Paletes!$C$5:$C$393,MATCH(B249,Paletes!$A$5:$A$393,0)),"SEM CADASTRO")</f>
      </c>
      <c r="V249" s="24">
        <f>IFERROR(INDEX(Paletes!$D$5:$D$393,MATCH(B249,Paletes!$A$5:$A$393,0)),0)</f>
      </c>
      <c r="W249" s="31">
        <f>IF(V249=0,0,J249/V249)</f>
      </c>
      <c r="X249" s="31">
        <f>IF(V249=0,0,MAX(M249,0)/V249)</f>
      </c>
    </row>
    <row r="250" spans="1:24" x14ac:dyDescent="0.25">
      <c r="A250" s="32" t="str">
        <f>B250&amp;"."&amp;IFERROR(MID(D250,FIND("(",D250)+1,FIND(")",D250)-FIND("(",D250)-1),"")</f>
        <v>153.</v>
      </c>
      <c r="B250" s="33">
        <v>153</v>
      </c>
      <c r="C250" s="32" t="s">
        <v>474</v>
      </c>
      <c r="D250" s="32" t="s">
        <v>89</v>
      </c>
      <c r="E250" s="32">
        <v>71753</v>
      </c>
      <c r="F250" s="32" t="s">
        <v>26</v>
      </c>
      <c r="G250" s="32" t="s">
        <v>51</v>
      </c>
      <c r="H250" s="34">
        <f>IFERROR(INDEX(Linha!$B$5:$B$788,MATCH(A250,Linha!$A$5:$A$788,0)),"NÃO CADASTRADO")</f>
      </c>
      <c r="I250" s="34">
        <f>IFERROR(INDEX(Linha!$C$5:$C$788,MATCH(A250,Linha!$A$5:$A$788,0)),"-")</f>
      </c>
      <c r="J250" s="35">
        <v>1001</v>
      </c>
      <c r="K250" s="36">
        <f>IFERROR(INDEX(Linha!$D$5:$D$788,MATCH(A250,Linha!$A$5:$A$788,0))*1,0)</f>
      </c>
      <c r="L250" s="36">
        <f>SUMIFS(Reservas!$K$5:$K$3669,Reservas!$A$5:$A$3669,A250)</f>
      </c>
      <c r="M250" s="37">
        <f>J250-L250</f>
      </c>
      <c r="N250" s="38">
        <v>3.12</v>
      </c>
      <c r="O250" s="37">
        <f>J250*N250</f>
      </c>
      <c r="P250" s="37">
        <f>L250*N250</f>
      </c>
      <c r="Q250" s="39">
        <v>26.18703449</v>
      </c>
      <c r="R250" s="40">
        <f>J250*Q250</f>
      </c>
      <c r="S250" s="40">
        <f>L250*Q250</f>
      </c>
      <c r="T250" s="41">
        <f>IF(J250=0,0,L250/J250)</f>
      </c>
      <c r="U250" s="42">
        <f>IFERROR(INDEX(Paletes!$C$5:$C$393,MATCH(B250,Paletes!$A$5:$A$393,0)),"SEM CADASTRO")</f>
      </c>
      <c r="V250" s="36">
        <f>IFERROR(INDEX(Paletes!$D$5:$D$393,MATCH(B250,Paletes!$A$5:$A$393,0)),0)</f>
      </c>
      <c r="W250" s="43">
        <f>IF(V250=0,0,J250/V250)</f>
      </c>
      <c r="X250" s="43">
        <f>IF(V250=0,0,MAX(M250,0)/V250)</f>
      </c>
    </row>
    <row r="251" spans="1:24" x14ac:dyDescent="0.25">
      <c r="A251" s="20" t="str">
        <f>B251&amp;"."&amp;IFERROR(MID(D251,FIND("(",D251)+1,FIND(")",D251)-FIND("(",D251)-1),"")</f>
        <v>73385.16372</v>
      </c>
      <c r="B251" s="21">
        <v>73385</v>
      </c>
      <c r="C251" s="20" t="s">
        <v>475</v>
      </c>
      <c r="D251" s="20" t="s">
        <v>476</v>
      </c>
      <c r="E251" s="20">
        <v>72609</v>
      </c>
      <c r="F251" s="20" t="s">
        <v>25</v>
      </c>
      <c r="G251" s="20" t="s">
        <v>51</v>
      </c>
      <c r="H251" s="22">
        <f>IFERROR(INDEX(Linha!$B$5:$B$788,MATCH(A251,Linha!$A$5:$A$788,0)),"NÃO CADASTRADO")</f>
      </c>
      <c r="I251" s="22">
        <f>IFERROR(INDEX(Linha!$C$5:$C$788,MATCH(A251,Linha!$A$5:$A$788,0)),"-")</f>
      </c>
      <c r="J251" s="23">
        <v>236</v>
      </c>
      <c r="K251" s="24">
        <f>IFERROR(INDEX(Linha!$D$5:$D$788,MATCH(A251,Linha!$A$5:$A$788,0))*1,0)</f>
      </c>
      <c r="L251" s="24">
        <f>SUMIFS(Reservas!$K$5:$K$3669,Reservas!$A$5:$A$3669,A251)</f>
      </c>
      <c r="M251" s="25">
        <f>J251-L251</f>
      </c>
      <c r="N251" s="26">
        <v>12.337</v>
      </c>
      <c r="O251" s="25">
        <f>J251*N251</f>
      </c>
      <c r="P251" s="25">
        <f>L251*N251</f>
      </c>
      <c r="Q251" s="27">
        <v>108.93535692</v>
      </c>
      <c r="R251" s="28">
        <f>J251*Q251</f>
      </c>
      <c r="S251" s="28">
        <f>L251*Q251</f>
      </c>
      <c r="T251" s="29">
        <f>IF(J251=0,0,L251/J251)</f>
      </c>
      <c r="U251" s="30">
        <f>IFERROR(INDEX(Paletes!$C$5:$C$393,MATCH(B251,Paletes!$A$5:$A$393,0)),"SEM CADASTRO")</f>
      </c>
      <c r="V251" s="24">
        <f>IFERROR(INDEX(Paletes!$D$5:$D$393,MATCH(B251,Paletes!$A$5:$A$393,0)),0)</f>
      </c>
      <c r="W251" s="31">
        <f>IF(V251=0,0,J251/V251)</f>
      </c>
      <c r="X251" s="31">
        <f>IF(V251=0,0,MAX(M251,0)/V251)</f>
      </c>
    </row>
    <row r="252" spans="1:24" x14ac:dyDescent="0.25">
      <c r="A252" s="32" t="str">
        <f>B252&amp;"."&amp;IFERROR(MID(D252,FIND("(",D252)+1,FIND(")",D252)-FIND("(",D252)-1),"")</f>
        <v>73351.15617</v>
      </c>
      <c r="B252" s="33">
        <v>73351</v>
      </c>
      <c r="C252" s="32" t="s">
        <v>319</v>
      </c>
      <c r="D252" s="32" t="s">
        <v>477</v>
      </c>
      <c r="E252" s="32">
        <v>72718</v>
      </c>
      <c r="F252" s="32" t="s">
        <v>25</v>
      </c>
      <c r="G252" s="32" t="s">
        <v>51</v>
      </c>
      <c r="H252" s="34">
        <f>IFERROR(INDEX(Linha!$B$5:$B$788,MATCH(A252,Linha!$A$5:$A$788,0)),"NÃO CADASTRADO")</f>
      </c>
      <c r="I252" s="34">
        <f>IFERROR(INDEX(Linha!$C$5:$C$788,MATCH(A252,Linha!$A$5:$A$788,0)),"-")</f>
      </c>
      <c r="J252" s="35">
        <v>2</v>
      </c>
      <c r="K252" s="36">
        <f>IFERROR(INDEX(Linha!$D$5:$D$788,MATCH(A252,Linha!$A$5:$A$788,0))*1,0)</f>
      </c>
      <c r="L252" s="36">
        <f>SUMIFS(Reservas!$K$5:$K$3669,Reservas!$A$5:$A$3669,A252)</f>
      </c>
      <c r="M252" s="37">
        <f>J252-L252</f>
      </c>
      <c r="N252" s="38">
        <v>26.325</v>
      </c>
      <c r="O252" s="37">
        <f>J252*N252</f>
      </c>
      <c r="P252" s="37">
        <f>L252*N252</f>
      </c>
      <c r="Q252" s="39">
        <v>134.88173616</v>
      </c>
      <c r="R252" s="40">
        <f>J252*Q252</f>
      </c>
      <c r="S252" s="40">
        <f>L252*Q252</f>
      </c>
      <c r="T252" s="41">
        <f>IF(J252=0,0,L252/J252)</f>
      </c>
      <c r="U252" s="42">
        <f>IFERROR(INDEX(Paletes!$C$5:$C$393,MATCH(B252,Paletes!$A$5:$A$393,0)),"SEM CADASTRO")</f>
      </c>
      <c r="V252" s="36">
        <f>IFERROR(INDEX(Paletes!$D$5:$D$393,MATCH(B252,Paletes!$A$5:$A$393,0)),0)</f>
      </c>
      <c r="W252" s="43">
        <f>IF(V252=0,0,J252/V252)</f>
      </c>
      <c r="X252" s="43">
        <f>IF(V252=0,0,MAX(M252,0)/V252)</f>
      </c>
    </row>
    <row r="253" spans="1:24" x14ac:dyDescent="0.25">
      <c r="A253" s="20" t="str">
        <f>B253&amp;"."&amp;IFERROR(MID(D253,FIND("(",D253)+1,FIND(")",D253)-FIND("(",D253)-1),"")</f>
        <v>2319.12522</v>
      </c>
      <c r="B253" s="21">
        <v>2319</v>
      </c>
      <c r="C253" s="20" t="s">
        <v>478</v>
      </c>
      <c r="D253" s="20" t="s">
        <v>479</v>
      </c>
      <c r="E253" s="20">
        <v>73372</v>
      </c>
      <c r="F253" s="20" t="s">
        <v>26</v>
      </c>
      <c r="G253" s="20" t="s">
        <v>51</v>
      </c>
      <c r="H253" s="22">
        <f>IFERROR(INDEX(Linha!$B$5:$B$788,MATCH(A253,Linha!$A$5:$A$788,0)),"NÃO CADASTRADO")</f>
      </c>
      <c r="I253" s="22">
        <f>IFERROR(INDEX(Linha!$C$5:$C$788,MATCH(A253,Linha!$A$5:$A$788,0)),"-")</f>
      </c>
      <c r="J253" s="23">
        <v>547</v>
      </c>
      <c r="K253" s="24">
        <f>IFERROR(INDEX(Linha!$D$5:$D$788,MATCH(A253,Linha!$A$5:$A$788,0))*1,0)</f>
      </c>
      <c r="L253" s="24">
        <f>SUMIFS(Reservas!$K$5:$K$3669,Reservas!$A$5:$A$3669,A253)</f>
      </c>
      <c r="M253" s="25">
        <f>J253-L253</f>
      </c>
      <c r="N253" s="26">
        <v>47.58</v>
      </c>
      <c r="O253" s="25">
        <f>J253*N253</f>
      </c>
      <c r="P253" s="25">
        <f>L253*N253</f>
      </c>
      <c r="Q253" s="27">
        <v>136.74967271</v>
      </c>
      <c r="R253" s="28">
        <f>J253*Q253</f>
      </c>
      <c r="S253" s="28">
        <f>L253*Q253</f>
      </c>
      <c r="T253" s="29">
        <f>IF(J253=0,0,L253/J253)</f>
      </c>
      <c r="U253" s="30">
        <f>IFERROR(INDEX(Paletes!$C$5:$C$393,MATCH(B253,Paletes!$A$5:$A$393,0)),"SEM CADASTRO")</f>
      </c>
      <c r="V253" s="24">
        <f>IFERROR(INDEX(Paletes!$D$5:$D$393,MATCH(B253,Paletes!$A$5:$A$393,0)),0)</f>
      </c>
      <c r="W253" s="31">
        <f>IF(V253=0,0,J253/V253)</f>
      </c>
      <c r="X253" s="31">
        <f>IF(V253=0,0,MAX(M253,0)/V253)</f>
      </c>
    </row>
    <row r="254" spans="1:24" x14ac:dyDescent="0.25">
      <c r="A254" s="32" t="str">
        <f>B254&amp;"."&amp;IFERROR(MID(D254,FIND("(",D254)+1,FIND(")",D254)-FIND("(",D254)-1),"")</f>
        <v>2319.12526</v>
      </c>
      <c r="B254" s="33">
        <v>2319</v>
      </c>
      <c r="C254" s="32" t="s">
        <v>478</v>
      </c>
      <c r="D254" s="32" t="s">
        <v>480</v>
      </c>
      <c r="E254" s="32">
        <v>73372</v>
      </c>
      <c r="F254" s="32" t="s">
        <v>26</v>
      </c>
      <c r="G254" s="32" t="s">
        <v>51</v>
      </c>
      <c r="H254" s="34">
        <f>IFERROR(INDEX(Linha!$B$5:$B$788,MATCH(A254,Linha!$A$5:$A$788,0)),"NÃO CADASTRADO")</f>
      </c>
      <c r="I254" s="34">
        <f>IFERROR(INDEX(Linha!$C$5:$C$788,MATCH(A254,Linha!$A$5:$A$788,0)),"-")</f>
      </c>
      <c r="J254" s="35">
        <v>4</v>
      </c>
      <c r="K254" s="36">
        <f>IFERROR(INDEX(Linha!$D$5:$D$788,MATCH(A254,Linha!$A$5:$A$788,0))*1,0)</f>
      </c>
      <c r="L254" s="36">
        <f>SUMIFS(Reservas!$K$5:$K$3669,Reservas!$A$5:$A$3669,A254)</f>
      </c>
      <c r="M254" s="37">
        <f>J254-L254</f>
      </c>
      <c r="N254" s="38">
        <v>47.58</v>
      </c>
      <c r="O254" s="37">
        <f>J254*N254</f>
      </c>
      <c r="P254" s="37">
        <f>L254*N254</f>
      </c>
      <c r="Q254" s="39">
        <v>139.91977118</v>
      </c>
      <c r="R254" s="40">
        <f>J254*Q254</f>
      </c>
      <c r="S254" s="40">
        <f>L254*Q254</f>
      </c>
      <c r="T254" s="41">
        <f>IF(J254=0,0,L254/J254)</f>
      </c>
      <c r="U254" s="42">
        <f>IFERROR(INDEX(Paletes!$C$5:$C$393,MATCH(B254,Paletes!$A$5:$A$393,0)),"SEM CADASTRO")</f>
      </c>
      <c r="V254" s="36">
        <f>IFERROR(INDEX(Paletes!$D$5:$D$393,MATCH(B254,Paletes!$A$5:$A$393,0)),0)</f>
      </c>
      <c r="W254" s="43">
        <f>IF(V254=0,0,J254/V254)</f>
      </c>
      <c r="X254" s="43">
        <f>IF(V254=0,0,MAX(M254,0)/V254)</f>
      </c>
    </row>
    <row r="255" spans="1:24" x14ac:dyDescent="0.25">
      <c r="A255" s="20" t="str">
        <f>B255&amp;"."&amp;IFERROR(MID(D255,FIND("(",D255)+1,FIND(")",D255)-FIND("(",D255)-1),"")</f>
        <v>85010.79078</v>
      </c>
      <c r="B255" s="21">
        <v>85010</v>
      </c>
      <c r="C255" s="20" t="s">
        <v>481</v>
      </c>
      <c r="D255" s="20" t="s">
        <v>482</v>
      </c>
      <c r="E255" s="20">
        <v>92142</v>
      </c>
      <c r="F255" s="20" t="s">
        <v>25</v>
      </c>
      <c r="G255" s="20" t="s">
        <v>51</v>
      </c>
      <c r="H255" s="22">
        <f>IFERROR(INDEX(Linha!$B$5:$B$788,MATCH(A255,Linha!$A$5:$A$788,0)),"NÃO CADASTRADO")</f>
      </c>
      <c r="I255" s="22">
        <f>IFERROR(INDEX(Linha!$C$5:$C$788,MATCH(A255,Linha!$A$5:$A$788,0)),"-")</f>
      </c>
      <c r="J255" s="23">
        <v>6</v>
      </c>
      <c r="K255" s="24">
        <f>IFERROR(INDEX(Linha!$D$5:$D$788,MATCH(A255,Linha!$A$5:$A$788,0))*1,0)</f>
      </c>
      <c r="L255" s="24">
        <f>SUMIFS(Reservas!$K$5:$K$3669,Reservas!$A$5:$A$3669,A255)</f>
      </c>
      <c r="M255" s="25">
        <f>J255-L255</f>
      </c>
      <c r="N255" s="26">
        <v>14.478</v>
      </c>
      <c r="O255" s="25">
        <f>J255*N255</f>
      </c>
      <c r="P255" s="25">
        <f>L255*N255</f>
      </c>
      <c r="Q255" s="27">
        <v>76.5944854</v>
      </c>
      <c r="R255" s="28">
        <f>J255*Q255</f>
      </c>
      <c r="S255" s="28">
        <f>L255*Q255</f>
      </c>
      <c r="T255" s="29">
        <f>IF(J255=0,0,L255/J255)</f>
      </c>
      <c r="U255" s="30">
        <f>IFERROR(INDEX(Paletes!$C$5:$C$393,MATCH(B255,Paletes!$A$5:$A$393,0)),"SEM CADASTRO")</f>
      </c>
      <c r="V255" s="24">
        <f>IFERROR(INDEX(Paletes!$D$5:$D$393,MATCH(B255,Paletes!$A$5:$A$393,0)),0)</f>
      </c>
      <c r="W255" s="31">
        <f>IF(V255=0,0,J255/V255)</f>
      </c>
      <c r="X255" s="31">
        <f>IF(V255=0,0,MAX(M255,0)/V255)</f>
      </c>
    </row>
    <row r="256" spans="1:24" x14ac:dyDescent="0.25">
      <c r="A256" s="32" t="str">
        <f>B256&amp;"."&amp;IFERROR(MID(D256,FIND("(",D256)+1,FIND(")",D256)-FIND("(",D256)-1),"")</f>
        <v>2237.13659</v>
      </c>
      <c r="B256" s="33">
        <v>2237</v>
      </c>
      <c r="C256" s="32" t="s">
        <v>483</v>
      </c>
      <c r="D256" s="32" t="s">
        <v>484</v>
      </c>
      <c r="E256" s="32">
        <v>73940</v>
      </c>
      <c r="F256" s="32" t="s">
        <v>26</v>
      </c>
      <c r="G256" s="32" t="s">
        <v>51</v>
      </c>
      <c r="H256" s="34">
        <f>IFERROR(INDEX(Linha!$B$5:$B$788,MATCH(A256,Linha!$A$5:$A$788,0)),"NÃO CADASTRADO")</f>
      </c>
      <c r="I256" s="34">
        <f>IFERROR(INDEX(Linha!$C$5:$C$788,MATCH(A256,Linha!$A$5:$A$788,0)),"-")</f>
      </c>
      <c r="J256" s="35">
        <v>0</v>
      </c>
      <c r="K256" s="36">
        <f>IFERROR(INDEX(Linha!$D$5:$D$788,MATCH(A256,Linha!$A$5:$A$788,0))*1,0)</f>
      </c>
      <c r="L256" s="36">
        <f>SUMIFS(Reservas!$K$5:$K$3669,Reservas!$A$5:$A$3669,A256)</f>
      </c>
      <c r="M256" s="37">
        <f>J256-L256</f>
      </c>
      <c r="N256" s="38">
        <v>45.83</v>
      </c>
      <c r="O256" s="37">
        <f>J256*N256</f>
      </c>
      <c r="P256" s="37">
        <f>L256*N256</f>
      </c>
      <c r="Q256" s="39">
        <v>154.36837703</v>
      </c>
      <c r="R256" s="40">
        <f>J256*Q256</f>
      </c>
      <c r="S256" s="40">
        <f>L256*Q256</f>
      </c>
      <c r="T256" s="41">
        <f>IF(J256=0,0,L256/J256)</f>
      </c>
      <c r="U256" s="42">
        <f>IFERROR(INDEX(Paletes!$C$5:$C$393,MATCH(B256,Paletes!$A$5:$A$393,0)),"SEM CADASTRO")</f>
      </c>
      <c r="V256" s="36">
        <f>IFERROR(INDEX(Paletes!$D$5:$D$393,MATCH(B256,Paletes!$A$5:$A$393,0)),0)</f>
      </c>
      <c r="W256" s="43">
        <f>IF(V256=0,0,J256/V256)</f>
      </c>
      <c r="X256" s="43">
        <f>IF(V256=0,0,MAX(M256,0)/V256)</f>
      </c>
    </row>
    <row r="257" spans="1:24" x14ac:dyDescent="0.25">
      <c r="A257" s="20" t="str">
        <f>B257&amp;"."&amp;IFERROR(MID(D257,FIND("(",D257)+1,FIND(")",D257)-FIND("(",D257)-1),"")</f>
        <v>73286.16524</v>
      </c>
      <c r="B257" s="21">
        <v>73286</v>
      </c>
      <c r="C257" s="20" t="s">
        <v>173</v>
      </c>
      <c r="D257" s="20" t="s">
        <v>485</v>
      </c>
      <c r="E257" s="20">
        <v>76418</v>
      </c>
      <c r="F257" s="20" t="s">
        <v>24</v>
      </c>
      <c r="G257" s="20" t="s">
        <v>51</v>
      </c>
      <c r="H257" s="22">
        <f>IFERROR(INDEX(Linha!$B$5:$B$788,MATCH(A257,Linha!$A$5:$A$788,0)),"NÃO CADASTRADO")</f>
      </c>
      <c r="I257" s="22">
        <f>IFERROR(INDEX(Linha!$C$5:$C$788,MATCH(A257,Linha!$A$5:$A$788,0)),"-")</f>
      </c>
      <c r="J257" s="23">
        <v>166</v>
      </c>
      <c r="K257" s="24">
        <f>IFERROR(INDEX(Linha!$D$5:$D$788,MATCH(A257,Linha!$A$5:$A$788,0))*1,0)</f>
      </c>
      <c r="L257" s="24">
        <f>SUMIFS(Reservas!$K$5:$K$3669,Reservas!$A$5:$A$3669,A257)</f>
      </c>
      <c r="M257" s="25">
        <f>J257-L257</f>
      </c>
      <c r="N257" s="26">
        <v>41.047</v>
      </c>
      <c r="O257" s="25">
        <f>J257*N257</f>
      </c>
      <c r="P257" s="25">
        <f>L257*N257</f>
      </c>
      <c r="Q257" s="27">
        <v>142.75520233</v>
      </c>
      <c r="R257" s="28">
        <f>J257*Q257</f>
      </c>
      <c r="S257" s="28">
        <f>L257*Q257</f>
      </c>
      <c r="T257" s="29">
        <f>IF(J257=0,0,L257/J257)</f>
      </c>
      <c r="U257" s="30">
        <f>IFERROR(INDEX(Paletes!$C$5:$C$393,MATCH(B257,Paletes!$A$5:$A$393,0)),"SEM CADASTRO")</f>
      </c>
      <c r="V257" s="24">
        <f>IFERROR(INDEX(Paletes!$D$5:$D$393,MATCH(B257,Paletes!$A$5:$A$393,0)),0)</f>
      </c>
      <c r="W257" s="31">
        <f>IF(V257=0,0,J257/V257)</f>
      </c>
      <c r="X257" s="31">
        <f>IF(V257=0,0,MAX(M257,0)/V257)</f>
      </c>
    </row>
    <row r="258" spans="1:24" x14ac:dyDescent="0.25">
      <c r="A258" s="32" t="str">
        <f>B258&amp;"."&amp;IFERROR(MID(D258,FIND("(",D258)+1,FIND(")",D258)-FIND("(",D258)-1),"")</f>
        <v>87100.90670</v>
      </c>
      <c r="B258" s="33">
        <v>87100</v>
      </c>
      <c r="C258" s="32" t="s">
        <v>486</v>
      </c>
      <c r="D258" s="32" t="s">
        <v>487</v>
      </c>
      <c r="E258" s="32">
        <v>104348</v>
      </c>
      <c r="F258" s="32" t="s">
        <v>26</v>
      </c>
      <c r="G258" s="32" t="s">
        <v>51</v>
      </c>
      <c r="H258" s="34">
        <f>IFERROR(INDEX(Linha!$B$5:$B$788,MATCH(A258,Linha!$A$5:$A$788,0)),"NÃO CADASTRADO")</f>
      </c>
      <c r="I258" s="34">
        <f>IFERROR(INDEX(Linha!$C$5:$C$788,MATCH(A258,Linha!$A$5:$A$788,0)),"-")</f>
      </c>
      <c r="J258" s="35">
        <v>246</v>
      </c>
      <c r="K258" s="36">
        <f>IFERROR(INDEX(Linha!$D$5:$D$788,MATCH(A258,Linha!$A$5:$A$788,0))*1,0)</f>
      </c>
      <c r="L258" s="36">
        <f>SUMIFS(Reservas!$K$5:$K$3669,Reservas!$A$5:$A$3669,A258)</f>
      </c>
      <c r="M258" s="37">
        <f>J258-L258</f>
      </c>
      <c r="N258" s="38">
        <v>46.8</v>
      </c>
      <c r="O258" s="37">
        <f>J258*N258</f>
      </c>
      <c r="P258" s="37">
        <f>L258*N258</f>
      </c>
      <c r="Q258" s="39">
        <v>230.28047672</v>
      </c>
      <c r="R258" s="40">
        <f>J258*Q258</f>
      </c>
      <c r="S258" s="40">
        <f>L258*Q258</f>
      </c>
      <c r="T258" s="41">
        <f>IF(J258=0,0,L258/J258)</f>
      </c>
      <c r="U258" s="42">
        <f>IFERROR(INDEX(Paletes!$C$5:$C$393,MATCH(B258,Paletes!$A$5:$A$393,0)),"SEM CADASTRO")</f>
      </c>
      <c r="V258" s="36">
        <f>IFERROR(INDEX(Paletes!$D$5:$D$393,MATCH(B258,Paletes!$A$5:$A$393,0)),0)</f>
      </c>
      <c r="W258" s="43">
        <f>IF(V258=0,0,J258/V258)</f>
      </c>
      <c r="X258" s="43">
        <f>IF(V258=0,0,MAX(M258,0)/V258)</f>
      </c>
    </row>
    <row r="259" spans="1:24" x14ac:dyDescent="0.25">
      <c r="A259" s="20" t="str">
        <f>B259&amp;"."&amp;IFERROR(MID(D259,FIND("(",D259)+1,FIND(")",D259)-FIND("(",D259)-1),"")</f>
        <v>87100.90671</v>
      </c>
      <c r="B259" s="21">
        <v>87100</v>
      </c>
      <c r="C259" s="20" t="s">
        <v>486</v>
      </c>
      <c r="D259" s="20" t="s">
        <v>488</v>
      </c>
      <c r="E259" s="20">
        <v>104348</v>
      </c>
      <c r="F259" s="20" t="s">
        <v>26</v>
      </c>
      <c r="G259" s="20" t="s">
        <v>51</v>
      </c>
      <c r="H259" s="22">
        <f>IFERROR(INDEX(Linha!$B$5:$B$788,MATCH(A259,Linha!$A$5:$A$788,0)),"NÃO CADASTRADO")</f>
      </c>
      <c r="I259" s="22">
        <f>IFERROR(INDEX(Linha!$C$5:$C$788,MATCH(A259,Linha!$A$5:$A$788,0)),"-")</f>
      </c>
      <c r="J259" s="23">
        <v>262</v>
      </c>
      <c r="K259" s="24">
        <f>IFERROR(INDEX(Linha!$D$5:$D$788,MATCH(A259,Linha!$A$5:$A$788,0))*1,0)</f>
      </c>
      <c r="L259" s="24">
        <f>SUMIFS(Reservas!$K$5:$K$3669,Reservas!$A$5:$A$3669,A259)</f>
      </c>
      <c r="M259" s="25">
        <f>J259-L259</f>
      </c>
      <c r="N259" s="26">
        <v>46.8</v>
      </c>
      <c r="O259" s="25">
        <f>J259*N259</f>
      </c>
      <c r="P259" s="25">
        <f>L259*N259</f>
      </c>
      <c r="Q259" s="27">
        <v>210.83196091</v>
      </c>
      <c r="R259" s="28">
        <f>J259*Q259</f>
      </c>
      <c r="S259" s="28">
        <f>L259*Q259</f>
      </c>
      <c r="T259" s="29">
        <f>IF(J259=0,0,L259/J259)</f>
      </c>
      <c r="U259" s="30">
        <f>IFERROR(INDEX(Paletes!$C$5:$C$393,MATCH(B259,Paletes!$A$5:$A$393,0)),"SEM CADASTRO")</f>
      </c>
      <c r="V259" s="24">
        <f>IFERROR(INDEX(Paletes!$D$5:$D$393,MATCH(B259,Paletes!$A$5:$A$393,0)),0)</f>
      </c>
      <c r="W259" s="31">
        <f>IF(V259=0,0,J259/V259)</f>
      </c>
      <c r="X259" s="31">
        <f>IF(V259=0,0,MAX(M259,0)/V259)</f>
      </c>
    </row>
    <row r="260" spans="1:24" x14ac:dyDescent="0.25">
      <c r="A260" s="32" t="str">
        <f>B260&amp;"."&amp;IFERROR(MID(D260,FIND("(",D260)+1,FIND(")",D260)-FIND("(",D260)-1),"")</f>
        <v>87105.90679</v>
      </c>
      <c r="B260" s="33">
        <v>87105</v>
      </c>
      <c r="C260" s="32" t="s">
        <v>489</v>
      </c>
      <c r="D260" s="32" t="s">
        <v>490</v>
      </c>
      <c r="E260" s="32">
        <v>104350</v>
      </c>
      <c r="F260" s="32" t="s">
        <v>26</v>
      </c>
      <c r="G260" s="32" t="s">
        <v>51</v>
      </c>
      <c r="H260" s="34">
        <f>IFERROR(INDEX(Linha!$B$5:$B$788,MATCH(A260,Linha!$A$5:$A$788,0)),"NÃO CADASTRADO")</f>
      </c>
      <c r="I260" s="34">
        <f>IFERROR(INDEX(Linha!$C$5:$C$788,MATCH(A260,Linha!$A$5:$A$788,0)),"-")</f>
      </c>
      <c r="J260" s="35">
        <v>65</v>
      </c>
      <c r="K260" s="36">
        <f>IFERROR(INDEX(Linha!$D$5:$D$788,MATCH(A260,Linha!$A$5:$A$788,0))*1,0)</f>
      </c>
      <c r="L260" s="36">
        <f>SUMIFS(Reservas!$K$5:$K$3669,Reservas!$A$5:$A$3669,A260)</f>
      </c>
      <c r="M260" s="37">
        <f>J260-L260</f>
      </c>
      <c r="N260" s="38">
        <v>24.375</v>
      </c>
      <c r="O260" s="37">
        <f>J260*N260</f>
      </c>
      <c r="P260" s="37">
        <f>L260*N260</f>
      </c>
      <c r="Q260" s="39">
        <v>89.15837297</v>
      </c>
      <c r="R260" s="40">
        <f>J260*Q260</f>
      </c>
      <c r="S260" s="40">
        <f>L260*Q260</f>
      </c>
      <c r="T260" s="41">
        <f>IF(J260=0,0,L260/J260)</f>
      </c>
      <c r="U260" s="42">
        <f>IFERROR(INDEX(Paletes!$C$5:$C$393,MATCH(B260,Paletes!$A$5:$A$393,0)),"SEM CADASTRO")</f>
      </c>
      <c r="V260" s="36">
        <f>IFERROR(INDEX(Paletes!$D$5:$D$393,MATCH(B260,Paletes!$A$5:$A$393,0)),0)</f>
      </c>
      <c r="W260" s="43">
        <f>IF(V260=0,0,J260/V260)</f>
      </c>
      <c r="X260" s="43">
        <f>IF(V260=0,0,MAX(M260,0)/V260)</f>
      </c>
    </row>
    <row r="261" spans="1:24" x14ac:dyDescent="0.25">
      <c r="A261" s="20" t="str">
        <f>B261&amp;"."&amp;IFERROR(MID(D261,FIND("(",D261)+1,FIND(")",D261)-FIND("(",D261)-1),"")</f>
        <v>73123.15538</v>
      </c>
      <c r="B261" s="21">
        <v>73123</v>
      </c>
      <c r="C261" s="20" t="s">
        <v>182</v>
      </c>
      <c r="D261" s="20" t="s">
        <v>491</v>
      </c>
      <c r="E261" s="20">
        <v>81580</v>
      </c>
      <c r="F261" s="20" t="s">
        <v>24</v>
      </c>
      <c r="G261" s="20" t="s">
        <v>51</v>
      </c>
      <c r="H261" s="22">
        <f>IFERROR(INDEX(Linha!$B$5:$B$788,MATCH(A261,Linha!$A$5:$A$788,0)),"NÃO CADASTRADO")</f>
      </c>
      <c r="I261" s="22">
        <f>IFERROR(INDEX(Linha!$C$5:$C$788,MATCH(A261,Linha!$A$5:$A$788,0)),"-")</f>
      </c>
      <c r="J261" s="23">
        <v>0</v>
      </c>
      <c r="K261" s="24">
        <f>IFERROR(INDEX(Linha!$D$5:$D$788,MATCH(A261,Linha!$A$5:$A$788,0))*1,0)</f>
      </c>
      <c r="L261" s="24">
        <f>SUMIFS(Reservas!$K$5:$K$3669,Reservas!$A$5:$A$3669,A261)</f>
      </c>
      <c r="M261" s="25">
        <f>J261-L261</f>
      </c>
      <c r="N261" s="26">
        <v>51.675</v>
      </c>
      <c r="O261" s="25">
        <f>J261*N261</f>
      </c>
      <c r="P261" s="25">
        <f>L261*N261</f>
      </c>
      <c r="Q261" s="27">
        <v>217.64743039</v>
      </c>
      <c r="R261" s="28">
        <f>J261*Q261</f>
      </c>
      <c r="S261" s="28">
        <f>L261*Q261</f>
      </c>
      <c r="T261" s="29">
        <f>IF(J261=0,0,L261/J261)</f>
      </c>
      <c r="U261" s="30">
        <f>IFERROR(INDEX(Paletes!$C$5:$C$393,MATCH(B261,Paletes!$A$5:$A$393,0)),"SEM CADASTRO")</f>
      </c>
      <c r="V261" s="24">
        <f>IFERROR(INDEX(Paletes!$D$5:$D$393,MATCH(B261,Paletes!$A$5:$A$393,0)),0)</f>
      </c>
      <c r="W261" s="31">
        <f>IF(V261=0,0,J261/V261)</f>
      </c>
      <c r="X261" s="31">
        <f>IF(V261=0,0,MAX(M261,0)/V261)</f>
      </c>
    </row>
    <row r="262" spans="1:24" x14ac:dyDescent="0.25">
      <c r="A262" s="32" t="str">
        <f>B262&amp;"."&amp;IFERROR(MID(D262,FIND("(",D262)+1,FIND(")",D262)-FIND("(",D262)-1),"")</f>
        <v>2176.12382</v>
      </c>
      <c r="B262" s="33">
        <v>2176</v>
      </c>
      <c r="C262" s="32" t="s">
        <v>339</v>
      </c>
      <c r="D262" s="32" t="s">
        <v>492</v>
      </c>
      <c r="E262" s="32">
        <v>81670</v>
      </c>
      <c r="F262" s="32" t="s">
        <v>26</v>
      </c>
      <c r="G262" s="32" t="s">
        <v>51</v>
      </c>
      <c r="H262" s="34">
        <f>IFERROR(INDEX(Linha!$B$5:$B$788,MATCH(A262,Linha!$A$5:$A$788,0)),"NÃO CADASTRADO")</f>
      </c>
      <c r="I262" s="34">
        <f>IFERROR(INDEX(Linha!$C$5:$C$788,MATCH(A262,Linha!$A$5:$A$788,0)),"-")</f>
      </c>
      <c r="J262" s="35">
        <v>35</v>
      </c>
      <c r="K262" s="36">
        <f>IFERROR(INDEX(Linha!$D$5:$D$788,MATCH(A262,Linha!$A$5:$A$788,0))*1,0)</f>
      </c>
      <c r="L262" s="36">
        <f>SUMIFS(Reservas!$K$5:$K$3669,Reservas!$A$5:$A$3669,A262)</f>
      </c>
      <c r="M262" s="37">
        <f>J262-L262</f>
      </c>
      <c r="N262" s="38">
        <v>57.037</v>
      </c>
      <c r="O262" s="37">
        <f>J262*N262</f>
      </c>
      <c r="P262" s="37">
        <f>L262*N262</f>
      </c>
      <c r="Q262" s="39">
        <v>185.167853</v>
      </c>
      <c r="R262" s="40">
        <f>J262*Q262</f>
      </c>
      <c r="S262" s="40">
        <f>L262*Q262</f>
      </c>
      <c r="T262" s="41">
        <f>IF(J262=0,0,L262/J262)</f>
      </c>
      <c r="U262" s="42">
        <f>IFERROR(INDEX(Paletes!$C$5:$C$393,MATCH(B262,Paletes!$A$5:$A$393,0)),"SEM CADASTRO")</f>
      </c>
      <c r="V262" s="36">
        <f>IFERROR(INDEX(Paletes!$D$5:$D$393,MATCH(B262,Paletes!$A$5:$A$393,0)),0)</f>
      </c>
      <c r="W262" s="43">
        <f>IF(V262=0,0,J262/V262)</f>
      </c>
      <c r="X262" s="43">
        <f>IF(V262=0,0,MAX(M262,0)/V262)</f>
      </c>
    </row>
    <row r="263" spans="1:24" x14ac:dyDescent="0.25">
      <c r="A263" s="20" t="str">
        <f>B263&amp;"."&amp;IFERROR(MID(D263,FIND("(",D263)+1,FIND(")",D263)-FIND("(",D263)-1),"")</f>
        <v>2348.12324</v>
      </c>
      <c r="B263" s="21">
        <v>2348</v>
      </c>
      <c r="C263" s="20" t="s">
        <v>493</v>
      </c>
      <c r="D263" s="20" t="s">
        <v>494</v>
      </c>
      <c r="E263" s="20">
        <v>81992</v>
      </c>
      <c r="F263" s="20" t="s">
        <v>26</v>
      </c>
      <c r="G263" s="20" t="s">
        <v>51</v>
      </c>
      <c r="H263" s="22">
        <f>IFERROR(INDEX(Linha!$B$5:$B$788,MATCH(A263,Linha!$A$5:$A$788,0)),"NÃO CADASTRADO")</f>
      </c>
      <c r="I263" s="22">
        <f>IFERROR(INDEX(Linha!$C$5:$C$788,MATCH(A263,Linha!$A$5:$A$788,0)),"-")</f>
      </c>
      <c r="J263" s="23">
        <v>127</v>
      </c>
      <c r="K263" s="24">
        <f>IFERROR(INDEX(Linha!$D$5:$D$788,MATCH(A263,Linha!$A$5:$A$788,0))*1,0)</f>
      </c>
      <c r="L263" s="24">
        <f>SUMIFS(Reservas!$K$5:$K$3669,Reservas!$A$5:$A$3669,A263)</f>
      </c>
      <c r="M263" s="25">
        <f>J263-L263</f>
      </c>
      <c r="N263" s="26">
        <v>13.162</v>
      </c>
      <c r="O263" s="25">
        <f>J263*N263</f>
      </c>
      <c r="P263" s="25">
        <f>L263*N263</f>
      </c>
      <c r="Q263" s="27">
        <v>126.79335946</v>
      </c>
      <c r="R263" s="28">
        <f>J263*Q263</f>
      </c>
      <c r="S263" s="28">
        <f>L263*Q263</f>
      </c>
      <c r="T263" s="29">
        <f>IF(J263=0,0,L263/J263)</f>
      </c>
      <c r="U263" s="30">
        <f>IFERROR(INDEX(Paletes!$C$5:$C$393,MATCH(B263,Paletes!$A$5:$A$393,0)),"SEM CADASTRO")</f>
      </c>
      <c r="V263" s="24">
        <f>IFERROR(INDEX(Paletes!$D$5:$D$393,MATCH(B263,Paletes!$A$5:$A$393,0)),0)</f>
      </c>
      <c r="W263" s="31">
        <f>IF(V263=0,0,J263/V263)</f>
      </c>
      <c r="X263" s="31">
        <f>IF(V263=0,0,MAX(M263,0)/V263)</f>
      </c>
    </row>
    <row r="264" spans="1:24" x14ac:dyDescent="0.25">
      <c r="A264" s="32" t="str">
        <f>B264&amp;"."&amp;IFERROR(MID(D264,FIND("(",D264)+1,FIND(")",D264)-FIND("(",D264)-1),"")</f>
        <v>74551.31311</v>
      </c>
      <c r="B264" s="33">
        <v>74551</v>
      </c>
      <c r="C264" s="32" t="s">
        <v>495</v>
      </c>
      <c r="D264" s="32" t="s">
        <v>496</v>
      </c>
      <c r="E264" s="32">
        <v>82383</v>
      </c>
      <c r="F264" s="32" t="s">
        <v>25</v>
      </c>
      <c r="G264" s="32" t="s">
        <v>51</v>
      </c>
      <c r="H264" s="34">
        <f>IFERROR(INDEX(Linha!$B$5:$B$788,MATCH(A264,Linha!$A$5:$A$788,0)),"NÃO CADASTRADO")</f>
      </c>
      <c r="I264" s="34">
        <f>IFERROR(INDEX(Linha!$C$5:$C$788,MATCH(A264,Linha!$A$5:$A$788,0)),"-")</f>
      </c>
      <c r="J264" s="35">
        <v>0</v>
      </c>
      <c r="K264" s="36">
        <f>IFERROR(INDEX(Linha!$D$5:$D$788,MATCH(A264,Linha!$A$5:$A$788,0))*1,0)</f>
      </c>
      <c r="L264" s="36">
        <f>SUMIFS(Reservas!$K$5:$K$3669,Reservas!$A$5:$A$3669,A264)</f>
      </c>
      <c r="M264" s="37">
        <f>J264-L264</f>
      </c>
      <c r="N264" s="38">
        <v>53.274</v>
      </c>
      <c r="O264" s="37">
        <f>J264*N264</f>
      </c>
      <c r="P264" s="37">
        <f>L264*N264</f>
      </c>
      <c r="Q264" s="39">
        <v>247.09772823</v>
      </c>
      <c r="R264" s="40">
        <f>J264*Q264</f>
      </c>
      <c r="S264" s="40">
        <f>L264*Q264</f>
      </c>
      <c r="T264" s="41">
        <f>IF(J264=0,0,L264/J264)</f>
      </c>
      <c r="U264" s="42">
        <f>IFERROR(INDEX(Paletes!$C$5:$C$393,MATCH(B264,Paletes!$A$5:$A$393,0)),"SEM CADASTRO")</f>
      </c>
      <c r="V264" s="36">
        <f>IFERROR(INDEX(Paletes!$D$5:$D$393,MATCH(B264,Paletes!$A$5:$A$393,0)),0)</f>
      </c>
      <c r="W264" s="43">
        <f>IF(V264=0,0,J264/V264)</f>
      </c>
      <c r="X264" s="43">
        <f>IF(V264=0,0,MAX(M264,0)/V264)</f>
      </c>
    </row>
    <row r="265" spans="1:24" x14ac:dyDescent="0.25">
      <c r="A265" s="20" t="str">
        <f>B265&amp;"."&amp;IFERROR(MID(D265,FIND("(",D265)+1,FIND(")",D265)-FIND("(",D265)-1),"")</f>
        <v>2190.13808</v>
      </c>
      <c r="B265" s="21">
        <v>2190</v>
      </c>
      <c r="C265" s="20" t="s">
        <v>497</v>
      </c>
      <c r="D265" s="20" t="s">
        <v>498</v>
      </c>
      <c r="E265" s="20">
        <v>82388</v>
      </c>
      <c r="F265" s="20" t="s">
        <v>26</v>
      </c>
      <c r="G265" s="20" t="s">
        <v>51</v>
      </c>
      <c r="H265" s="22">
        <f>IFERROR(INDEX(Linha!$B$5:$B$788,MATCH(A265,Linha!$A$5:$A$788,0)),"NÃO CADASTRADO")</f>
      </c>
      <c r="I265" s="22">
        <f>IFERROR(INDEX(Linha!$C$5:$C$788,MATCH(A265,Linha!$A$5:$A$788,0)),"-")</f>
      </c>
      <c r="J265" s="23">
        <v>89</v>
      </c>
      <c r="K265" s="24">
        <f>IFERROR(INDEX(Linha!$D$5:$D$788,MATCH(A265,Linha!$A$5:$A$788,0))*1,0)</f>
      </c>
      <c r="L265" s="24">
        <f>SUMIFS(Reservas!$K$5:$K$3669,Reservas!$A$5:$A$3669,A265)</f>
      </c>
      <c r="M265" s="25">
        <f>J265-L265</f>
      </c>
      <c r="N265" s="26">
        <v>10.725</v>
      </c>
      <c r="O265" s="25">
        <f>J265*N265</f>
      </c>
      <c r="P265" s="25">
        <f>L265*N265</f>
      </c>
      <c r="Q265" s="27">
        <v>81.82774395</v>
      </c>
      <c r="R265" s="28">
        <f>J265*Q265</f>
      </c>
      <c r="S265" s="28">
        <f>L265*Q265</f>
      </c>
      <c r="T265" s="29">
        <f>IF(J265=0,0,L265/J265)</f>
      </c>
      <c r="U265" s="30">
        <f>IFERROR(INDEX(Paletes!$C$5:$C$393,MATCH(B265,Paletes!$A$5:$A$393,0)),"SEM CADASTRO")</f>
      </c>
      <c r="V265" s="24">
        <f>IFERROR(INDEX(Paletes!$D$5:$D$393,MATCH(B265,Paletes!$A$5:$A$393,0)),0)</f>
      </c>
      <c r="W265" s="31">
        <f>IF(V265=0,0,J265/V265)</f>
      </c>
      <c r="X265" s="31">
        <f>IF(V265=0,0,MAX(M265,0)/V265)</f>
      </c>
    </row>
    <row r="266" spans="1:24" x14ac:dyDescent="0.25">
      <c r="A266" s="32" t="str">
        <f>B266&amp;"."&amp;IFERROR(MID(D266,FIND("(",D266)+1,FIND(")",D266)-FIND("(",D266)-1),"")</f>
        <v>73166.15994</v>
      </c>
      <c r="B266" s="33">
        <v>73166</v>
      </c>
      <c r="C266" s="32" t="s">
        <v>499</v>
      </c>
      <c r="D266" s="32" t="s">
        <v>500</v>
      </c>
      <c r="E266" s="32">
        <v>87577</v>
      </c>
      <c r="F266" s="32" t="s">
        <v>24</v>
      </c>
      <c r="G266" s="32" t="s">
        <v>51</v>
      </c>
      <c r="H266" s="34">
        <f>IFERROR(INDEX(Linha!$B$5:$B$788,MATCH(A266,Linha!$A$5:$A$788,0)),"NÃO CADASTRADO")</f>
      </c>
      <c r="I266" s="34">
        <f>IFERROR(INDEX(Linha!$C$5:$C$788,MATCH(A266,Linha!$A$5:$A$788,0)),"-")</f>
      </c>
      <c r="J266" s="35">
        <v>161</v>
      </c>
      <c r="K266" s="36">
        <f>IFERROR(INDEX(Linha!$D$5:$D$788,MATCH(A266,Linha!$A$5:$A$788,0))*1,0)</f>
      </c>
      <c r="L266" s="36">
        <f>SUMIFS(Reservas!$K$5:$K$3669,Reservas!$A$5:$A$3669,A266)</f>
      </c>
      <c r="M266" s="37">
        <f>J266-L266</f>
      </c>
      <c r="N266" s="38">
        <v>19.5</v>
      </c>
      <c r="O266" s="37">
        <f>J266*N266</f>
      </c>
      <c r="P266" s="37">
        <f>L266*N266</f>
      </c>
      <c r="Q266" s="39">
        <v>88.3785526</v>
      </c>
      <c r="R266" s="40">
        <f>J266*Q266</f>
      </c>
      <c r="S266" s="40">
        <f>L266*Q266</f>
      </c>
      <c r="T266" s="41">
        <f>IF(J266=0,0,L266/J266)</f>
      </c>
      <c r="U266" s="42">
        <f>IFERROR(INDEX(Paletes!$C$5:$C$393,MATCH(B266,Paletes!$A$5:$A$393,0)),"SEM CADASTRO")</f>
      </c>
      <c r="V266" s="36">
        <f>IFERROR(INDEX(Paletes!$D$5:$D$393,MATCH(B266,Paletes!$A$5:$A$393,0)),0)</f>
      </c>
      <c r="W266" s="43">
        <f>IF(V266=0,0,J266/V266)</f>
      </c>
      <c r="X266" s="43">
        <f>IF(V266=0,0,MAX(M266,0)/V266)</f>
      </c>
    </row>
    <row r="267" spans="1:24" x14ac:dyDescent="0.25">
      <c r="A267" s="20" t="str">
        <f>B267&amp;"."&amp;IFERROR(MID(D267,FIND("(",D267)+1,FIND(")",D267)-FIND("(",D267)-1),"")</f>
        <v>72569.13645</v>
      </c>
      <c r="B267" s="21">
        <v>72569</v>
      </c>
      <c r="C267" s="20" t="s">
        <v>501</v>
      </c>
      <c r="D267" s="20" t="s">
        <v>502</v>
      </c>
      <c r="E267" s="20">
        <v>88122</v>
      </c>
      <c r="F267" s="20" t="s">
        <v>26</v>
      </c>
      <c r="G267" s="20" t="s">
        <v>51</v>
      </c>
      <c r="H267" s="22">
        <f>IFERROR(INDEX(Linha!$B$5:$B$788,MATCH(A267,Linha!$A$5:$A$788,0)),"NÃO CADASTRADO")</f>
      </c>
      <c r="I267" s="22">
        <f>IFERROR(INDEX(Linha!$C$5:$C$788,MATCH(A267,Linha!$A$5:$A$788,0)),"-")</f>
      </c>
      <c r="J267" s="23">
        <v>361</v>
      </c>
      <c r="K267" s="24">
        <f>IFERROR(INDEX(Linha!$D$5:$D$788,MATCH(A267,Linha!$A$5:$A$788,0))*1,0)</f>
      </c>
      <c r="L267" s="24">
        <f>SUMIFS(Reservas!$K$5:$K$3669,Reservas!$A$5:$A$3669,A267)</f>
      </c>
      <c r="M267" s="25">
        <f>J267-L267</f>
      </c>
      <c r="N267" s="26">
        <v>27.78</v>
      </c>
      <c r="O267" s="25">
        <f>J267*N267</f>
      </c>
      <c r="P267" s="25">
        <f>L267*N267</f>
      </c>
      <c r="Q267" s="27">
        <v>109.66649264</v>
      </c>
      <c r="R267" s="28">
        <f>J267*Q267</f>
      </c>
      <c r="S267" s="28">
        <f>L267*Q267</f>
      </c>
      <c r="T267" s="29">
        <f>IF(J267=0,0,L267/J267)</f>
      </c>
      <c r="U267" s="30">
        <f>IFERROR(INDEX(Paletes!$C$5:$C$393,MATCH(B267,Paletes!$A$5:$A$393,0)),"SEM CADASTRO")</f>
      </c>
      <c r="V267" s="24">
        <f>IFERROR(INDEX(Paletes!$D$5:$D$393,MATCH(B267,Paletes!$A$5:$A$393,0)),0)</f>
      </c>
      <c r="W267" s="31">
        <f>IF(V267=0,0,J267/V267)</f>
      </c>
      <c r="X267" s="31">
        <f>IF(V267=0,0,MAX(M267,0)/V267)</f>
      </c>
    </row>
    <row r="268" spans="1:24" x14ac:dyDescent="0.25">
      <c r="A268" s="32" t="str">
        <f>B268&amp;"."&amp;IFERROR(MID(D268,FIND("(",D268)+1,FIND(")",D268)-FIND("(",D268)-1),"")</f>
        <v>72572.13653</v>
      </c>
      <c r="B268" s="33">
        <v>72572</v>
      </c>
      <c r="C268" s="32" t="s">
        <v>503</v>
      </c>
      <c r="D268" s="32" t="s">
        <v>504</v>
      </c>
      <c r="E268" s="32">
        <v>88123</v>
      </c>
      <c r="F268" s="32" t="s">
        <v>26</v>
      </c>
      <c r="G268" s="32" t="s">
        <v>51</v>
      </c>
      <c r="H268" s="34">
        <f>IFERROR(INDEX(Linha!$B$5:$B$788,MATCH(A268,Linha!$A$5:$A$788,0)),"NÃO CADASTRADO")</f>
      </c>
      <c r="I268" s="34">
        <f>IFERROR(INDEX(Linha!$C$5:$C$788,MATCH(A268,Linha!$A$5:$A$788,0)),"-")</f>
      </c>
      <c r="J268" s="35">
        <v>383</v>
      </c>
      <c r="K268" s="36">
        <f>IFERROR(INDEX(Linha!$D$5:$D$788,MATCH(A268,Linha!$A$5:$A$788,0))*1,0)</f>
      </c>
      <c r="L268" s="36">
        <f>SUMIFS(Reservas!$K$5:$K$3669,Reservas!$A$5:$A$3669,A268)</f>
      </c>
      <c r="M268" s="37">
        <f>J268-L268</f>
      </c>
      <c r="N268" s="38">
        <v>17.121</v>
      </c>
      <c r="O268" s="37">
        <f>J268*N268</f>
      </c>
      <c r="P268" s="37">
        <f>L268*N268</f>
      </c>
      <c r="Q268" s="39">
        <v>155.27112445</v>
      </c>
      <c r="R268" s="40">
        <f>J268*Q268</f>
      </c>
      <c r="S268" s="40">
        <f>L268*Q268</f>
      </c>
      <c r="T268" s="41">
        <f>IF(J268=0,0,L268/J268)</f>
      </c>
      <c r="U268" s="42">
        <f>IFERROR(INDEX(Paletes!$C$5:$C$393,MATCH(B268,Paletes!$A$5:$A$393,0)),"SEM CADASTRO")</f>
      </c>
      <c r="V268" s="36">
        <f>IFERROR(INDEX(Paletes!$D$5:$D$393,MATCH(B268,Paletes!$A$5:$A$393,0)),0)</f>
      </c>
      <c r="W268" s="43">
        <f>IF(V268=0,0,J268/V268)</f>
      </c>
      <c r="X268" s="43">
        <f>IF(V268=0,0,MAX(M268,0)/V268)</f>
      </c>
    </row>
    <row r="269" spans="1:24" x14ac:dyDescent="0.25">
      <c r="A269" s="20" t="str">
        <f>B269&amp;"."&amp;IFERROR(MID(D269,FIND("(",D269)+1,FIND(")",D269)-FIND("(",D269)-1),"")</f>
        <v>87139.90810</v>
      </c>
      <c r="B269" s="21">
        <v>87139</v>
      </c>
      <c r="C269" s="20" t="s">
        <v>505</v>
      </c>
      <c r="D269" s="20" t="s">
        <v>506</v>
      </c>
      <c r="E269" s="20">
        <v>104504</v>
      </c>
      <c r="F269" s="20" t="s">
        <v>26</v>
      </c>
      <c r="G269" s="20" t="s">
        <v>51</v>
      </c>
      <c r="H269" s="22">
        <f>IFERROR(INDEX(Linha!$B$5:$B$788,MATCH(A269,Linha!$A$5:$A$788,0)),"NÃO CADASTRADO")</f>
      </c>
      <c r="I269" s="22">
        <f>IFERROR(INDEX(Linha!$C$5:$C$788,MATCH(A269,Linha!$A$5:$A$788,0)),"-")</f>
      </c>
      <c r="J269" s="23">
        <v>46</v>
      </c>
      <c r="K269" s="24">
        <f>IFERROR(INDEX(Linha!$D$5:$D$788,MATCH(A269,Linha!$A$5:$A$788,0))*1,0)</f>
      </c>
      <c r="L269" s="24">
        <f>SUMIFS(Reservas!$K$5:$K$3669,Reservas!$A$5:$A$3669,A269)</f>
      </c>
      <c r="M269" s="25">
        <f>J269-L269</f>
      </c>
      <c r="N269" s="26">
        <v>41.925</v>
      </c>
      <c r="O269" s="25">
        <f>J269*N269</f>
      </c>
      <c r="P269" s="25">
        <f>L269*N269</f>
      </c>
      <c r="Q269" s="27">
        <v>150.47856909</v>
      </c>
      <c r="R269" s="28">
        <f>J269*Q269</f>
      </c>
      <c r="S269" s="28">
        <f>L269*Q269</f>
      </c>
      <c r="T269" s="29">
        <f>IF(J269=0,0,L269/J269)</f>
      </c>
      <c r="U269" s="30">
        <f>IFERROR(INDEX(Paletes!$C$5:$C$393,MATCH(B269,Paletes!$A$5:$A$393,0)),"SEM CADASTRO")</f>
      </c>
      <c r="V269" s="24">
        <f>IFERROR(INDEX(Paletes!$D$5:$D$393,MATCH(B269,Paletes!$A$5:$A$393,0)),0)</f>
      </c>
      <c r="W269" s="31">
        <f>IF(V269=0,0,J269/V269)</f>
      </c>
      <c r="X269" s="31">
        <f>IF(V269=0,0,MAX(M269,0)/V269)</f>
      </c>
    </row>
    <row r="270" spans="1:24" x14ac:dyDescent="0.25">
      <c r="A270" s="32" t="str">
        <f>B270&amp;"."&amp;IFERROR(MID(D270,FIND("(",D270)+1,FIND(")",D270)-FIND("(",D270)-1),"")</f>
        <v>87472.91623</v>
      </c>
      <c r="B270" s="33">
        <v>87472</v>
      </c>
      <c r="C270" s="32" t="s">
        <v>507</v>
      </c>
      <c r="D270" s="32" t="s">
        <v>508</v>
      </c>
      <c r="E270" s="32">
        <v>105015</v>
      </c>
      <c r="F270" s="32" t="s">
        <v>25</v>
      </c>
      <c r="G270" s="32" t="s">
        <v>51</v>
      </c>
      <c r="H270" s="34">
        <f>IFERROR(INDEX(Linha!$B$5:$B$788,MATCH(A270,Linha!$A$5:$A$788,0)),"NÃO CADASTRADO")</f>
      </c>
      <c r="I270" s="34">
        <f>IFERROR(INDEX(Linha!$C$5:$C$788,MATCH(A270,Linha!$A$5:$A$788,0)),"-")</f>
      </c>
      <c r="J270" s="35">
        <v>178</v>
      </c>
      <c r="K270" s="36">
        <f>IFERROR(INDEX(Linha!$D$5:$D$788,MATCH(A270,Linha!$A$5:$A$788,0))*1,0)</f>
      </c>
      <c r="L270" s="36">
        <f>SUMIFS(Reservas!$K$5:$K$3669,Reservas!$A$5:$A$3669,A270)</f>
      </c>
      <c r="M270" s="37">
        <f>J270-L270</f>
      </c>
      <c r="N270" s="38">
        <v>39</v>
      </c>
      <c r="O270" s="37">
        <f>J270*N270</f>
      </c>
      <c r="P270" s="37">
        <f>L270*N270</f>
      </c>
      <c r="Q270" s="39">
        <v>224.0666875</v>
      </c>
      <c r="R270" s="40">
        <f>J270*Q270</f>
      </c>
      <c r="S270" s="40">
        <f>L270*Q270</f>
      </c>
      <c r="T270" s="41">
        <f>IF(J270=0,0,L270/J270)</f>
      </c>
      <c r="U270" s="42">
        <f>IFERROR(INDEX(Paletes!$C$5:$C$393,MATCH(B270,Paletes!$A$5:$A$393,0)),"SEM CADASTRO")</f>
      </c>
      <c r="V270" s="36">
        <f>IFERROR(INDEX(Paletes!$D$5:$D$393,MATCH(B270,Paletes!$A$5:$A$393,0)),0)</f>
      </c>
      <c r="W270" s="43">
        <f>IF(V270=0,0,J270/V270)</f>
      </c>
      <c r="X270" s="43">
        <f>IF(V270=0,0,MAX(M270,0)/V270)</f>
      </c>
    </row>
    <row r="271" spans="1:24" x14ac:dyDescent="0.25">
      <c r="A271" s="20" t="str">
        <f>B271&amp;"."&amp;IFERROR(MID(D271,FIND("(",D271)+1,FIND(")",D271)-FIND("(",D271)-1),"")</f>
        <v>95029.99250</v>
      </c>
      <c r="B271" s="21">
        <v>95029</v>
      </c>
      <c r="C271" s="20" t="s">
        <v>509</v>
      </c>
      <c r="D271" s="20" t="s">
        <v>510</v>
      </c>
      <c r="E271" s="20" t="s">
        <v>89</v>
      </c>
      <c r="F271" s="20" t="s">
        <v>25</v>
      </c>
      <c r="G271" s="20" t="s">
        <v>51</v>
      </c>
      <c r="H271" s="22">
        <f>IFERROR(INDEX(Linha!$B$5:$B$788,MATCH(A271,Linha!$A$5:$A$788,0)),"NÃO CADASTRADO")</f>
      </c>
      <c r="I271" s="22">
        <f>IFERROR(INDEX(Linha!$C$5:$C$788,MATCH(A271,Linha!$A$5:$A$788,0)),"-")</f>
      </c>
      <c r="J271" s="23">
        <v>44</v>
      </c>
      <c r="K271" s="24">
        <f>IFERROR(INDEX(Linha!$D$5:$D$788,MATCH(A271,Linha!$A$5:$A$788,0))*1,0)</f>
      </c>
      <c r="L271" s="24">
        <f>SUMIFS(Reservas!$K$5:$K$3669,Reservas!$A$5:$A$3669,A271)</f>
      </c>
      <c r="M271" s="25">
        <f>J271-L271</f>
      </c>
      <c r="N271" s="26">
        <v>13.308</v>
      </c>
      <c r="O271" s="25">
        <f>J271*N271</f>
      </c>
      <c r="P271" s="25">
        <f>L271*N271</f>
      </c>
      <c r="Q271" s="27">
        <v>76.80817948</v>
      </c>
      <c r="R271" s="28">
        <f>J271*Q271</f>
      </c>
      <c r="S271" s="28">
        <f>L271*Q271</f>
      </c>
      <c r="T271" s="29">
        <f>IF(J271=0,0,L271/J271)</f>
      </c>
      <c r="U271" s="30">
        <f>IFERROR(INDEX(Paletes!$C$5:$C$393,MATCH(B271,Paletes!$A$5:$A$393,0)),"SEM CADASTRO")</f>
      </c>
      <c r="V271" s="24">
        <f>IFERROR(INDEX(Paletes!$D$5:$D$393,MATCH(B271,Paletes!$A$5:$A$393,0)),0)</f>
      </c>
      <c r="W271" s="31">
        <f>IF(V271=0,0,J271/V271)</f>
      </c>
      <c r="X271" s="31">
        <f>IF(V271=0,0,MAX(M271,0)/V271)</f>
      </c>
    </row>
    <row r="272" spans="1:24" x14ac:dyDescent="0.25">
      <c r="A272" s="32" t="str">
        <f>B272&amp;"."&amp;IFERROR(MID(D272,FIND("(",D272)+1,FIND(")",D272)-FIND("(",D272)-1),"")</f>
        <v>85024.55767</v>
      </c>
      <c r="B272" s="33">
        <v>85024</v>
      </c>
      <c r="C272" s="32" t="s">
        <v>348</v>
      </c>
      <c r="D272" s="32" t="s">
        <v>511</v>
      </c>
      <c r="E272" s="32">
        <v>91789</v>
      </c>
      <c r="F272" s="32" t="s">
        <v>24</v>
      </c>
      <c r="G272" s="32" t="s">
        <v>51</v>
      </c>
      <c r="H272" s="34">
        <f>IFERROR(INDEX(Linha!$B$5:$B$788,MATCH(A272,Linha!$A$5:$A$788,0)),"NÃO CADASTRADO")</f>
      </c>
      <c r="I272" s="34">
        <f>IFERROR(INDEX(Linha!$C$5:$C$788,MATCH(A272,Linha!$A$5:$A$788,0)),"-")</f>
      </c>
      <c r="J272" s="35">
        <v>139</v>
      </c>
      <c r="K272" s="36">
        <f>IFERROR(INDEX(Linha!$D$5:$D$788,MATCH(A272,Linha!$A$5:$A$788,0))*1,0)</f>
      </c>
      <c r="L272" s="36">
        <f>SUMIFS(Reservas!$K$5:$K$3669,Reservas!$A$5:$A$3669,A272)</f>
      </c>
      <c r="M272" s="37">
        <f>J272-L272</f>
      </c>
      <c r="N272" s="38">
        <v>0.546</v>
      </c>
      <c r="O272" s="37">
        <f>J272*N272</f>
      </c>
      <c r="P272" s="37">
        <f>L272*N272</f>
      </c>
      <c r="Q272" s="39">
        <v>3.64283831</v>
      </c>
      <c r="R272" s="40">
        <f>J272*Q272</f>
      </c>
      <c r="S272" s="40">
        <f>L272*Q272</f>
      </c>
      <c r="T272" s="41">
        <f>IF(J272=0,0,L272/J272)</f>
      </c>
      <c r="U272" s="42">
        <f>IFERROR(INDEX(Paletes!$C$5:$C$393,MATCH(B272,Paletes!$A$5:$A$393,0)),"SEM CADASTRO")</f>
      </c>
      <c r="V272" s="36">
        <f>IFERROR(INDEX(Paletes!$D$5:$D$393,MATCH(B272,Paletes!$A$5:$A$393,0)),0)</f>
      </c>
      <c r="W272" s="43">
        <f>IF(V272=0,0,J272/V272)</f>
      </c>
      <c r="X272" s="43">
        <f>IF(V272=0,0,MAX(M272,0)/V272)</f>
      </c>
    </row>
    <row r="273" spans="1:24" x14ac:dyDescent="0.25">
      <c r="A273" s="20" t="str">
        <f>B273&amp;"."&amp;IFERROR(MID(D273,FIND("(",D273)+1,FIND(")",D273)-FIND("(",D273)-1),"")</f>
        <v>79208.16633</v>
      </c>
      <c r="B273" s="21">
        <v>79208</v>
      </c>
      <c r="C273" s="20" t="s">
        <v>512</v>
      </c>
      <c r="D273" s="20" t="s">
        <v>513</v>
      </c>
      <c r="E273" s="20">
        <v>90314</v>
      </c>
      <c r="F273" s="20" t="s">
        <v>25</v>
      </c>
      <c r="G273" s="20" t="s">
        <v>51</v>
      </c>
      <c r="H273" s="22">
        <f>IFERROR(INDEX(Linha!$B$5:$B$788,MATCH(A273,Linha!$A$5:$A$788,0)),"NÃO CADASTRADO")</f>
      </c>
      <c r="I273" s="22">
        <f>IFERROR(INDEX(Linha!$C$5:$C$788,MATCH(A273,Linha!$A$5:$A$788,0)),"-")</f>
      </c>
      <c r="J273" s="23">
        <v>26</v>
      </c>
      <c r="K273" s="24">
        <f>IFERROR(INDEX(Linha!$D$5:$D$788,MATCH(A273,Linha!$A$5:$A$788,0))*1,0)</f>
      </c>
      <c r="L273" s="24">
        <f>SUMIFS(Reservas!$K$5:$K$3669,Reservas!$A$5:$A$3669,A273)</f>
      </c>
      <c r="M273" s="25">
        <f>J273-L273</f>
      </c>
      <c r="N273" s="26">
        <v>38.42</v>
      </c>
      <c r="O273" s="25">
        <f>J273*N273</f>
      </c>
      <c r="P273" s="25">
        <f>L273*N273</f>
      </c>
      <c r="Q273" s="27">
        <v>162.35850049</v>
      </c>
      <c r="R273" s="28">
        <f>J273*Q273</f>
      </c>
      <c r="S273" s="28">
        <f>L273*Q273</f>
      </c>
      <c r="T273" s="29">
        <f>IF(J273=0,0,L273/J273)</f>
      </c>
      <c r="U273" s="30">
        <f>IFERROR(INDEX(Paletes!$C$5:$C$393,MATCH(B273,Paletes!$A$5:$A$393,0)),"SEM CADASTRO")</f>
      </c>
      <c r="V273" s="24">
        <f>IFERROR(INDEX(Paletes!$D$5:$D$393,MATCH(B273,Paletes!$A$5:$A$393,0)),0)</f>
      </c>
      <c r="W273" s="31">
        <f>IF(V273=0,0,J273/V273)</f>
      </c>
      <c r="X273" s="31">
        <f>IF(V273=0,0,MAX(M273,0)/V273)</f>
      </c>
    </row>
    <row r="274" spans="1:24" x14ac:dyDescent="0.25">
      <c r="A274" s="32" t="str">
        <f>B274&amp;"."&amp;IFERROR(MID(D274,FIND("(",D274)+1,FIND(")",D274)-FIND("(",D274)-1),"")</f>
        <v>97308.99991</v>
      </c>
      <c r="B274" s="33">
        <v>97308</v>
      </c>
      <c r="C274" s="32" t="s">
        <v>514</v>
      </c>
      <c r="D274" s="32" t="s">
        <v>515</v>
      </c>
      <c r="E274" s="32">
        <v>79071</v>
      </c>
      <c r="F274" s="32" t="s">
        <v>24</v>
      </c>
      <c r="G274" s="32" t="s">
        <v>51</v>
      </c>
      <c r="H274" s="34">
        <f>IFERROR(INDEX(Linha!$B$5:$B$788,MATCH(A274,Linha!$A$5:$A$788,0)),"NÃO CADASTRADO")</f>
      </c>
      <c r="I274" s="34">
        <f>IFERROR(INDEX(Linha!$C$5:$C$788,MATCH(A274,Linha!$A$5:$A$788,0)),"-")</f>
      </c>
      <c r="J274" s="35">
        <v>2</v>
      </c>
      <c r="K274" s="36">
        <f>IFERROR(INDEX(Linha!$D$5:$D$788,MATCH(A274,Linha!$A$5:$A$788,0))*1,0)</f>
      </c>
      <c r="L274" s="36">
        <f>SUMIFS(Reservas!$K$5:$K$3669,Reservas!$A$5:$A$3669,A274)</f>
      </c>
      <c r="M274" s="37">
        <f>J274-L274</f>
      </c>
      <c r="N274" s="38">
        <v>14.87</v>
      </c>
      <c r="O274" s="37">
        <f>J274*N274</f>
      </c>
      <c r="P274" s="37">
        <f>L274*N274</f>
      </c>
      <c r="Q274" s="39">
        <v>60.35519117</v>
      </c>
      <c r="R274" s="40">
        <f>J274*Q274</f>
      </c>
      <c r="S274" s="40">
        <f>L274*Q274</f>
      </c>
      <c r="T274" s="41">
        <f>IF(J274=0,0,L274/J274)</f>
      </c>
      <c r="U274" s="42">
        <f>IFERROR(INDEX(Paletes!$C$5:$C$393,MATCH(B274,Paletes!$A$5:$A$393,0)),"SEM CADASTRO")</f>
      </c>
      <c r="V274" s="36">
        <f>IFERROR(INDEX(Paletes!$D$5:$D$393,MATCH(B274,Paletes!$A$5:$A$393,0)),0)</f>
      </c>
      <c r="W274" s="43">
        <f>IF(V274=0,0,J274/V274)</f>
      </c>
      <c r="X274" s="43">
        <f>IF(V274=0,0,MAX(M274,0)/V274)</f>
      </c>
    </row>
    <row r="275" spans="1:24" x14ac:dyDescent="0.25">
      <c r="A275" s="20" t="str">
        <f>B275&amp;"."&amp;IFERROR(MID(D275,FIND("(",D275)+1,FIND(")",D275)-FIND("(",D275)-1),"")</f>
        <v>77143.12586</v>
      </c>
      <c r="B275" s="21">
        <v>77143</v>
      </c>
      <c r="C275" s="20" t="s">
        <v>516</v>
      </c>
      <c r="D275" s="20" t="s">
        <v>517</v>
      </c>
      <c r="E275" s="20">
        <v>91504</v>
      </c>
      <c r="F275" s="20" t="s">
        <v>26</v>
      </c>
      <c r="G275" s="20" t="s">
        <v>51</v>
      </c>
      <c r="H275" s="22">
        <f>IFERROR(INDEX(Linha!$B$5:$B$788,MATCH(A275,Linha!$A$5:$A$788,0)),"NÃO CADASTRADO")</f>
      </c>
      <c r="I275" s="22">
        <f>IFERROR(INDEX(Linha!$C$5:$C$788,MATCH(A275,Linha!$A$5:$A$788,0)),"-")</f>
      </c>
      <c r="J275" s="23">
        <v>378</v>
      </c>
      <c r="K275" s="24">
        <f>IFERROR(INDEX(Linha!$D$5:$D$788,MATCH(A275,Linha!$A$5:$A$788,0))*1,0)</f>
      </c>
      <c r="L275" s="24">
        <f>SUMIFS(Reservas!$K$5:$K$3669,Reservas!$A$5:$A$3669,A275)</f>
      </c>
      <c r="M275" s="25">
        <f>J275-L275</f>
      </c>
      <c r="N275" s="26">
        <v>27.3</v>
      </c>
      <c r="O275" s="25">
        <f>J275*N275</f>
      </c>
      <c r="P275" s="25">
        <f>L275*N275</f>
      </c>
      <c r="Q275" s="27">
        <v>181.79224093</v>
      </c>
      <c r="R275" s="28">
        <f>J275*Q275</f>
      </c>
      <c r="S275" s="28">
        <f>L275*Q275</f>
      </c>
      <c r="T275" s="29">
        <f>IF(J275=0,0,L275/J275)</f>
      </c>
      <c r="U275" s="30">
        <f>IFERROR(INDEX(Paletes!$C$5:$C$393,MATCH(B275,Paletes!$A$5:$A$393,0)),"SEM CADASTRO")</f>
      </c>
      <c r="V275" s="24">
        <f>IFERROR(INDEX(Paletes!$D$5:$D$393,MATCH(B275,Paletes!$A$5:$A$393,0)),0)</f>
      </c>
      <c r="W275" s="31">
        <f>IF(V275=0,0,J275/V275)</f>
      </c>
      <c r="X275" s="31">
        <f>IF(V275=0,0,MAX(M275,0)/V275)</f>
      </c>
    </row>
    <row r="276" spans="1:24" x14ac:dyDescent="0.25">
      <c r="A276" s="32" t="str">
        <f>B276&amp;"."&amp;IFERROR(MID(D276,FIND("(",D276)+1,FIND(")",D276)-FIND("(",D276)-1),"")</f>
        <v>85025.55816</v>
      </c>
      <c r="B276" s="33">
        <v>85025</v>
      </c>
      <c r="C276" s="32" t="s">
        <v>355</v>
      </c>
      <c r="D276" s="32" t="s">
        <v>518</v>
      </c>
      <c r="E276" s="32">
        <v>91794</v>
      </c>
      <c r="F276" s="32" t="s">
        <v>24</v>
      </c>
      <c r="G276" s="32" t="s">
        <v>51</v>
      </c>
      <c r="H276" s="34">
        <f>IFERROR(INDEX(Linha!$B$5:$B$788,MATCH(A276,Linha!$A$5:$A$788,0)),"NÃO CADASTRADO")</f>
      </c>
      <c r="I276" s="34">
        <f>IFERROR(INDEX(Linha!$C$5:$C$788,MATCH(A276,Linha!$A$5:$A$788,0)),"-")</f>
      </c>
      <c r="J276" s="35">
        <v>56</v>
      </c>
      <c r="K276" s="36">
        <f>IFERROR(INDEX(Linha!$D$5:$D$788,MATCH(A276,Linha!$A$5:$A$788,0))*1,0)</f>
      </c>
      <c r="L276" s="36">
        <f>SUMIFS(Reservas!$K$5:$K$3669,Reservas!$A$5:$A$3669,A276)</f>
      </c>
      <c r="M276" s="37">
        <f>J276-L276</f>
      </c>
      <c r="N276" s="38">
        <v>0.39</v>
      </c>
      <c r="O276" s="37">
        <f>J276*N276</f>
      </c>
      <c r="P276" s="37">
        <f>L276*N276</f>
      </c>
      <c r="Q276" s="39">
        <v>3.54243676</v>
      </c>
      <c r="R276" s="40">
        <f>J276*Q276</f>
      </c>
      <c r="S276" s="40">
        <f>L276*Q276</f>
      </c>
      <c r="T276" s="41">
        <f>IF(J276=0,0,L276/J276)</f>
      </c>
      <c r="U276" s="42">
        <f>IFERROR(INDEX(Paletes!$C$5:$C$393,MATCH(B276,Paletes!$A$5:$A$393,0)),"SEM CADASTRO")</f>
      </c>
      <c r="V276" s="36">
        <f>IFERROR(INDEX(Paletes!$D$5:$D$393,MATCH(B276,Paletes!$A$5:$A$393,0)),0)</f>
      </c>
      <c r="W276" s="43">
        <f>IF(V276=0,0,J276/V276)</f>
      </c>
      <c r="X276" s="43">
        <f>IF(V276=0,0,MAX(M276,0)/V276)</f>
      </c>
    </row>
    <row r="277" spans="1:24" x14ac:dyDescent="0.25">
      <c r="A277" s="20" t="str">
        <f>B277&amp;"."&amp;IFERROR(MID(D277,FIND("(",D277)+1,FIND(")",D277)-FIND("(",D277)-1),"")</f>
        <v>75868.13792</v>
      </c>
      <c r="B277" s="21">
        <v>75868</v>
      </c>
      <c r="C277" s="20" t="s">
        <v>357</v>
      </c>
      <c r="D277" s="20" t="s">
        <v>519</v>
      </c>
      <c r="E277" s="20">
        <v>91884</v>
      </c>
      <c r="F277" s="20" t="s">
        <v>26</v>
      </c>
      <c r="G277" s="20" t="s">
        <v>51</v>
      </c>
      <c r="H277" s="22">
        <f>IFERROR(INDEX(Linha!$B$5:$B$788,MATCH(A277,Linha!$A$5:$A$788,0)),"NÃO CADASTRADO")</f>
      </c>
      <c r="I277" s="22">
        <f>IFERROR(INDEX(Linha!$C$5:$C$788,MATCH(A277,Linha!$A$5:$A$788,0)),"-")</f>
      </c>
      <c r="J277" s="23">
        <v>0</v>
      </c>
      <c r="K277" s="24">
        <f>IFERROR(INDEX(Linha!$D$5:$D$788,MATCH(A277,Linha!$A$5:$A$788,0))*1,0)</f>
      </c>
      <c r="L277" s="24">
        <f>SUMIFS(Reservas!$K$5:$K$3669,Reservas!$A$5:$A$3669,A277)</f>
      </c>
      <c r="M277" s="25">
        <f>J277-L277</f>
      </c>
      <c r="N277" s="26">
        <v>59.943</v>
      </c>
      <c r="O277" s="25">
        <f>J277*N277</f>
      </c>
      <c r="P277" s="25">
        <f>L277*N277</f>
      </c>
      <c r="Q277" s="27">
        <v>209.48730216</v>
      </c>
      <c r="R277" s="28">
        <f>J277*Q277</f>
      </c>
      <c r="S277" s="28">
        <f>L277*Q277</f>
      </c>
      <c r="T277" s="29">
        <f>IF(J277=0,0,L277/J277)</f>
      </c>
      <c r="U277" s="30">
        <f>IFERROR(INDEX(Paletes!$C$5:$C$393,MATCH(B277,Paletes!$A$5:$A$393,0)),"SEM CADASTRO")</f>
      </c>
      <c r="V277" s="24">
        <f>IFERROR(INDEX(Paletes!$D$5:$D$393,MATCH(B277,Paletes!$A$5:$A$393,0)),0)</f>
      </c>
      <c r="W277" s="31">
        <f>IF(V277=0,0,J277/V277)</f>
      </c>
      <c r="X277" s="31">
        <f>IF(V277=0,0,MAX(M277,0)/V277)</f>
      </c>
    </row>
    <row r="278" spans="1:24" x14ac:dyDescent="0.25">
      <c r="A278" s="32" t="str">
        <f>B278&amp;"."&amp;IFERROR(MID(D278,FIND("(",D278)+1,FIND(")",D278)-FIND("(",D278)-1),"")</f>
        <v>83251.31595</v>
      </c>
      <c r="B278" s="33">
        <v>83251</v>
      </c>
      <c r="C278" s="32" t="s">
        <v>359</v>
      </c>
      <c r="D278" s="32" t="s">
        <v>520</v>
      </c>
      <c r="E278" s="32">
        <v>92251</v>
      </c>
      <c r="F278" s="32" t="s">
        <v>25</v>
      </c>
      <c r="G278" s="32" t="s">
        <v>51</v>
      </c>
      <c r="H278" s="34">
        <f>IFERROR(INDEX(Linha!$B$5:$B$788,MATCH(A278,Linha!$A$5:$A$788,0)),"NÃO CADASTRADO")</f>
      </c>
      <c r="I278" s="34">
        <f>IFERROR(INDEX(Linha!$C$5:$C$788,MATCH(A278,Linha!$A$5:$A$788,0)),"-")</f>
      </c>
      <c r="J278" s="35">
        <v>21</v>
      </c>
      <c r="K278" s="36">
        <f>IFERROR(INDEX(Linha!$D$5:$D$788,MATCH(A278,Linha!$A$5:$A$788,0))*1,0)</f>
      </c>
      <c r="L278" s="36">
        <f>SUMIFS(Reservas!$K$5:$K$3669,Reservas!$A$5:$A$3669,A278)</f>
      </c>
      <c r="M278" s="37">
        <f>J278-L278</f>
      </c>
      <c r="N278" s="38">
        <v>15.834</v>
      </c>
      <c r="O278" s="37">
        <f>J278*N278</f>
      </c>
      <c r="P278" s="37">
        <f>L278*N278</f>
      </c>
      <c r="Q278" s="39">
        <v>98.75977867</v>
      </c>
      <c r="R278" s="40">
        <f>J278*Q278</f>
      </c>
      <c r="S278" s="40">
        <f>L278*Q278</f>
      </c>
      <c r="T278" s="41">
        <f>IF(J278=0,0,L278/J278)</f>
      </c>
      <c r="U278" s="42">
        <f>IFERROR(INDEX(Paletes!$C$5:$C$393,MATCH(B278,Paletes!$A$5:$A$393,0)),"SEM CADASTRO")</f>
      </c>
      <c r="V278" s="36">
        <f>IFERROR(INDEX(Paletes!$D$5:$D$393,MATCH(B278,Paletes!$A$5:$A$393,0)),0)</f>
      </c>
      <c r="W278" s="43">
        <f>IF(V278=0,0,J278/V278)</f>
      </c>
      <c r="X278" s="43">
        <f>IF(V278=0,0,MAX(M278,0)/V278)</f>
      </c>
    </row>
    <row r="279" spans="1:24" x14ac:dyDescent="0.25">
      <c r="A279" s="20" t="str">
        <f>B279&amp;"."&amp;IFERROR(MID(D279,FIND("(",D279)+1,FIND(")",D279)-FIND("(",D279)-1),"")</f>
        <v>81935.66455</v>
      </c>
      <c r="B279" s="21">
        <v>81935</v>
      </c>
      <c r="C279" s="20" t="s">
        <v>219</v>
      </c>
      <c r="D279" s="20" t="s">
        <v>521</v>
      </c>
      <c r="E279" s="20">
        <v>93682</v>
      </c>
      <c r="F279" s="20" t="s">
        <v>24</v>
      </c>
      <c r="G279" s="20" t="s">
        <v>51</v>
      </c>
      <c r="H279" s="22">
        <f>IFERROR(INDEX(Linha!$B$5:$B$788,MATCH(A279,Linha!$A$5:$A$788,0)),"NÃO CADASTRADO")</f>
      </c>
      <c r="I279" s="22">
        <f>IFERROR(INDEX(Linha!$C$5:$C$788,MATCH(A279,Linha!$A$5:$A$788,0)),"-")</f>
      </c>
      <c r="J279" s="23">
        <v>314</v>
      </c>
      <c r="K279" s="24">
        <f>IFERROR(INDEX(Linha!$D$5:$D$788,MATCH(A279,Linha!$A$5:$A$788,0))*1,0)</f>
      </c>
      <c r="L279" s="24">
        <f>SUMIFS(Reservas!$K$5:$K$3669,Reservas!$A$5:$A$3669,A279)</f>
      </c>
      <c r="M279" s="25">
        <f>J279-L279</f>
      </c>
      <c r="N279" s="26">
        <v>36.562</v>
      </c>
      <c r="O279" s="25">
        <f>J279*N279</f>
      </c>
      <c r="P279" s="25">
        <f>L279*N279</f>
      </c>
      <c r="Q279" s="27">
        <v>156.13148295</v>
      </c>
      <c r="R279" s="28">
        <f>J279*Q279</f>
      </c>
      <c r="S279" s="28">
        <f>L279*Q279</f>
      </c>
      <c r="T279" s="29">
        <f>IF(J279=0,0,L279/J279)</f>
      </c>
      <c r="U279" s="30">
        <f>IFERROR(INDEX(Paletes!$C$5:$C$393,MATCH(B279,Paletes!$A$5:$A$393,0)),"SEM CADASTRO")</f>
      </c>
      <c r="V279" s="24">
        <f>IFERROR(INDEX(Paletes!$D$5:$D$393,MATCH(B279,Paletes!$A$5:$A$393,0)),0)</f>
      </c>
      <c r="W279" s="31">
        <f>IF(V279=0,0,J279/V279)</f>
      </c>
      <c r="X279" s="31">
        <f>IF(V279=0,0,MAX(M279,0)/V279)</f>
      </c>
    </row>
    <row r="280" spans="1:24" x14ac:dyDescent="0.25">
      <c r="A280" s="32" t="str">
        <f>B280&amp;"."&amp;IFERROR(MID(D280,FIND("(",D280)+1,FIND(")",D280)-FIND("(",D280)-1),"")</f>
        <v>81935.32025</v>
      </c>
      <c r="B280" s="33">
        <v>81935</v>
      </c>
      <c r="C280" s="32" t="s">
        <v>219</v>
      </c>
      <c r="D280" s="32" t="s">
        <v>522</v>
      </c>
      <c r="E280" s="32">
        <v>93682</v>
      </c>
      <c r="F280" s="32" t="s">
        <v>24</v>
      </c>
      <c r="G280" s="32" t="s">
        <v>51</v>
      </c>
      <c r="H280" s="34">
        <f>IFERROR(INDEX(Linha!$B$5:$B$788,MATCH(A280,Linha!$A$5:$A$788,0)),"NÃO CADASTRADO")</f>
      </c>
      <c r="I280" s="34">
        <f>IFERROR(INDEX(Linha!$C$5:$C$788,MATCH(A280,Linha!$A$5:$A$788,0)),"-")</f>
      </c>
      <c r="J280" s="35">
        <v>641</v>
      </c>
      <c r="K280" s="36">
        <f>IFERROR(INDEX(Linha!$D$5:$D$788,MATCH(A280,Linha!$A$5:$A$788,0))*1,0)</f>
      </c>
      <c r="L280" s="36">
        <f>SUMIFS(Reservas!$K$5:$K$3669,Reservas!$A$5:$A$3669,A280)</f>
      </c>
      <c r="M280" s="37">
        <f>J280-L280</f>
      </c>
      <c r="N280" s="38">
        <v>36.562</v>
      </c>
      <c r="O280" s="37">
        <f>J280*N280</f>
      </c>
      <c r="P280" s="37">
        <f>L280*N280</f>
      </c>
      <c r="Q280" s="39">
        <v>157.91603657</v>
      </c>
      <c r="R280" s="40">
        <f>J280*Q280</f>
      </c>
      <c r="S280" s="40">
        <f>L280*Q280</f>
      </c>
      <c r="T280" s="41">
        <f>IF(J280=0,0,L280/J280)</f>
      </c>
      <c r="U280" s="42">
        <f>IFERROR(INDEX(Paletes!$C$5:$C$393,MATCH(B280,Paletes!$A$5:$A$393,0)),"SEM CADASTRO")</f>
      </c>
      <c r="V280" s="36">
        <f>IFERROR(INDEX(Paletes!$D$5:$D$393,MATCH(B280,Paletes!$A$5:$A$393,0)),0)</f>
      </c>
      <c r="W280" s="43">
        <f>IF(V280=0,0,J280/V280)</f>
      </c>
      <c r="X280" s="43">
        <f>IF(V280=0,0,MAX(M280,0)/V280)</f>
      </c>
    </row>
    <row r="281" spans="1:24" x14ac:dyDescent="0.25">
      <c r="A281" s="20" t="str">
        <f>B281&amp;"."&amp;IFERROR(MID(D281,FIND("(",D281)+1,FIND(")",D281)-FIND("(",D281)-1),"")</f>
        <v>81938.66457</v>
      </c>
      <c r="B281" s="21">
        <v>81938</v>
      </c>
      <c r="C281" s="20" t="s">
        <v>362</v>
      </c>
      <c r="D281" s="20" t="s">
        <v>523</v>
      </c>
      <c r="E281" s="20">
        <v>93683</v>
      </c>
      <c r="F281" s="20" t="s">
        <v>24</v>
      </c>
      <c r="G281" s="20" t="s">
        <v>51</v>
      </c>
      <c r="H281" s="22">
        <f>IFERROR(INDEX(Linha!$B$5:$B$788,MATCH(A281,Linha!$A$5:$A$788,0)),"NÃO CADASTRADO")</f>
      </c>
      <c r="I281" s="22">
        <f>IFERROR(INDEX(Linha!$C$5:$C$788,MATCH(A281,Linha!$A$5:$A$788,0)),"-")</f>
      </c>
      <c r="J281" s="23">
        <v>292</v>
      </c>
      <c r="K281" s="24">
        <f>IFERROR(INDEX(Linha!$D$5:$D$788,MATCH(A281,Linha!$A$5:$A$788,0))*1,0)</f>
      </c>
      <c r="L281" s="24">
        <f>SUMIFS(Reservas!$K$5:$K$3669,Reservas!$A$5:$A$3669,A281)</f>
      </c>
      <c r="M281" s="25">
        <f>J281-L281</f>
      </c>
      <c r="N281" s="26">
        <v>38.512</v>
      </c>
      <c r="O281" s="25">
        <f>J281*N281</f>
      </c>
      <c r="P281" s="25">
        <f>L281*N281</f>
      </c>
      <c r="Q281" s="27">
        <v>204.05261253</v>
      </c>
      <c r="R281" s="28">
        <f>J281*Q281</f>
      </c>
      <c r="S281" s="28">
        <f>L281*Q281</f>
      </c>
      <c r="T281" s="29">
        <f>IF(J281=0,0,L281/J281)</f>
      </c>
      <c r="U281" s="30">
        <f>IFERROR(INDEX(Paletes!$C$5:$C$393,MATCH(B281,Paletes!$A$5:$A$393,0)),"SEM CADASTRO")</f>
      </c>
      <c r="V281" s="24">
        <f>IFERROR(INDEX(Paletes!$D$5:$D$393,MATCH(B281,Paletes!$A$5:$A$393,0)),0)</f>
      </c>
      <c r="W281" s="31">
        <f>IF(V281=0,0,J281/V281)</f>
      </c>
      <c r="X281" s="31">
        <f>IF(V281=0,0,MAX(M281,0)/V281)</f>
      </c>
    </row>
    <row r="282" spans="1:24" x14ac:dyDescent="0.25">
      <c r="A282" s="32" t="str">
        <f>B282&amp;"."&amp;IFERROR(MID(D282,FIND("(",D282)+1,FIND(")",D282)-FIND("(",D282)-1),"")</f>
        <v>85366.46061</v>
      </c>
      <c r="B282" s="33">
        <v>85366</v>
      </c>
      <c r="C282" s="32" t="s">
        <v>364</v>
      </c>
      <c r="D282" s="32" t="s">
        <v>524</v>
      </c>
      <c r="E282" s="32">
        <v>96295</v>
      </c>
      <c r="F282" s="32" t="s">
        <v>25</v>
      </c>
      <c r="G282" s="32" t="s">
        <v>51</v>
      </c>
      <c r="H282" s="34">
        <f>IFERROR(INDEX(Linha!$B$5:$B$788,MATCH(A282,Linha!$A$5:$A$788,0)),"NÃO CADASTRADO")</f>
      </c>
      <c r="I282" s="34">
        <f>IFERROR(INDEX(Linha!$C$5:$C$788,MATCH(A282,Linha!$A$5:$A$788,0)),"-")</f>
      </c>
      <c r="J282" s="35">
        <v>208</v>
      </c>
      <c r="K282" s="36">
        <f>IFERROR(INDEX(Linha!$D$5:$D$788,MATCH(A282,Linha!$A$5:$A$788,0))*1,0)</f>
      </c>
      <c r="L282" s="36">
        <f>SUMIFS(Reservas!$K$5:$K$3669,Reservas!$A$5:$A$3669,A282)</f>
      </c>
      <c r="M282" s="37">
        <f>J282-L282</f>
      </c>
      <c r="N282" s="38">
        <v>12.577</v>
      </c>
      <c r="O282" s="37">
        <f>J282*N282</f>
      </c>
      <c r="P282" s="37">
        <f>L282*N282</f>
      </c>
      <c r="Q282" s="39">
        <v>108.94226447</v>
      </c>
      <c r="R282" s="40">
        <f>J282*Q282</f>
      </c>
      <c r="S282" s="40">
        <f>L282*Q282</f>
      </c>
      <c r="T282" s="41">
        <f>IF(J282=0,0,L282/J282)</f>
      </c>
      <c r="U282" s="42">
        <f>IFERROR(INDEX(Paletes!$C$5:$C$393,MATCH(B282,Paletes!$A$5:$A$393,0)),"SEM CADASTRO")</f>
      </c>
      <c r="V282" s="36">
        <f>IFERROR(INDEX(Paletes!$D$5:$D$393,MATCH(B282,Paletes!$A$5:$A$393,0)),0)</f>
      </c>
      <c r="W282" s="43">
        <f>IF(V282=0,0,J282/V282)</f>
      </c>
      <c r="X282" s="43">
        <f>IF(V282=0,0,MAX(M282,0)/V282)</f>
      </c>
    </row>
    <row r="283" spans="1:24" x14ac:dyDescent="0.25">
      <c r="A283" s="20" t="str">
        <f>B283&amp;"."&amp;IFERROR(MID(D283,FIND("(",D283)+1,FIND(")",D283)-FIND("(",D283)-1),"")</f>
        <v>84822.30748</v>
      </c>
      <c r="B283" s="21">
        <v>84822</v>
      </c>
      <c r="C283" s="20" t="s">
        <v>366</v>
      </c>
      <c r="D283" s="20" t="s">
        <v>525</v>
      </c>
      <c r="E283" s="20">
        <v>96575</v>
      </c>
      <c r="F283" s="20" t="s">
        <v>26</v>
      </c>
      <c r="G283" s="20" t="s">
        <v>51</v>
      </c>
      <c r="H283" s="22">
        <f>IFERROR(INDEX(Linha!$B$5:$B$788,MATCH(A283,Linha!$A$5:$A$788,0)),"NÃO CADASTRADO")</f>
      </c>
      <c r="I283" s="22">
        <f>IFERROR(INDEX(Linha!$C$5:$C$788,MATCH(A283,Linha!$A$5:$A$788,0)),"-")</f>
      </c>
      <c r="J283" s="23">
        <v>269</v>
      </c>
      <c r="K283" s="24">
        <f>IFERROR(INDEX(Linha!$D$5:$D$788,MATCH(A283,Linha!$A$5:$A$788,0))*1,0)</f>
      </c>
      <c r="L283" s="24">
        <f>SUMIFS(Reservas!$K$5:$K$3669,Reservas!$A$5:$A$3669,A283)</f>
      </c>
      <c r="M283" s="25">
        <f>J283-L283</f>
      </c>
      <c r="N283" s="26">
        <v>54.6</v>
      </c>
      <c r="O283" s="25">
        <f>J283*N283</f>
      </c>
      <c r="P283" s="25">
        <f>L283*N283</f>
      </c>
      <c r="Q283" s="27">
        <v>262.63351901</v>
      </c>
      <c r="R283" s="28">
        <f>J283*Q283</f>
      </c>
      <c r="S283" s="28">
        <f>L283*Q283</f>
      </c>
      <c r="T283" s="29">
        <f>IF(J283=0,0,L283/J283)</f>
      </c>
      <c r="U283" s="30">
        <f>IFERROR(INDEX(Paletes!$C$5:$C$393,MATCH(B283,Paletes!$A$5:$A$393,0)),"SEM CADASTRO")</f>
      </c>
      <c r="V283" s="24">
        <f>IFERROR(INDEX(Paletes!$D$5:$D$393,MATCH(B283,Paletes!$A$5:$A$393,0)),0)</f>
      </c>
      <c r="W283" s="31">
        <f>IF(V283=0,0,J283/V283)</f>
      </c>
      <c r="X283" s="31">
        <f>IF(V283=0,0,MAX(M283,0)/V283)</f>
      </c>
    </row>
    <row r="284" spans="1:24" x14ac:dyDescent="0.25">
      <c r="A284" s="32" t="str">
        <f>B284&amp;"."&amp;IFERROR(MID(D284,FIND("(",D284)+1,FIND(")",D284)-FIND("(",D284)-1),"")</f>
        <v>84901.31283</v>
      </c>
      <c r="B284" s="33">
        <v>84901</v>
      </c>
      <c r="C284" s="32" t="s">
        <v>52</v>
      </c>
      <c r="D284" s="32" t="s">
        <v>526</v>
      </c>
      <c r="E284" s="32">
        <v>96436</v>
      </c>
      <c r="F284" s="32" t="s">
        <v>24</v>
      </c>
      <c r="G284" s="32" t="s">
        <v>51</v>
      </c>
      <c r="H284" s="34">
        <f>IFERROR(INDEX(Linha!$B$5:$B$788,MATCH(A284,Linha!$A$5:$A$788,0)),"NÃO CADASTRADO")</f>
      </c>
      <c r="I284" s="34">
        <f>IFERROR(INDEX(Linha!$C$5:$C$788,MATCH(A284,Linha!$A$5:$A$788,0)),"-")</f>
      </c>
      <c r="J284" s="35">
        <v>392</v>
      </c>
      <c r="K284" s="36">
        <f>IFERROR(INDEX(Linha!$D$5:$D$788,MATCH(A284,Linha!$A$5:$A$788,0))*1,0)</f>
      </c>
      <c r="L284" s="36">
        <f>SUMIFS(Reservas!$K$5:$K$3669,Reservas!$A$5:$A$3669,A284)</f>
      </c>
      <c r="M284" s="37">
        <f>J284-L284</f>
      </c>
      <c r="N284" s="38">
        <v>36.66</v>
      </c>
      <c r="O284" s="37">
        <f>J284*N284</f>
      </c>
      <c r="P284" s="37">
        <f>L284*N284</f>
      </c>
      <c r="Q284" s="39">
        <v>180.41043834</v>
      </c>
      <c r="R284" s="40">
        <f>J284*Q284</f>
      </c>
      <c r="S284" s="40">
        <f>L284*Q284</f>
      </c>
      <c r="T284" s="41">
        <f>IF(J284=0,0,L284/J284)</f>
      </c>
      <c r="U284" s="42">
        <f>IFERROR(INDEX(Paletes!$C$5:$C$393,MATCH(B284,Paletes!$A$5:$A$393,0)),"SEM CADASTRO")</f>
      </c>
      <c r="V284" s="36">
        <f>IFERROR(INDEX(Paletes!$D$5:$D$393,MATCH(B284,Paletes!$A$5:$A$393,0)),0)</f>
      </c>
      <c r="W284" s="43">
        <f>IF(V284=0,0,J284/V284)</f>
      </c>
      <c r="X284" s="43">
        <f>IF(V284=0,0,MAX(M284,0)/V284)</f>
      </c>
    </row>
    <row r="285" spans="1:24" x14ac:dyDescent="0.25">
      <c r="A285" s="20" t="str">
        <f>B285&amp;"."&amp;IFERROR(MID(D285,FIND("(",D285)+1,FIND(")",D285)-FIND("(",D285)-1),"")</f>
        <v>84755.30612</v>
      </c>
      <c r="B285" s="21">
        <v>84755</v>
      </c>
      <c r="C285" s="20" t="s">
        <v>527</v>
      </c>
      <c r="D285" s="20" t="s">
        <v>528</v>
      </c>
      <c r="E285" s="20">
        <v>96502</v>
      </c>
      <c r="F285" s="20" t="s">
        <v>26</v>
      </c>
      <c r="G285" s="20" t="s">
        <v>51</v>
      </c>
      <c r="H285" s="22">
        <f>IFERROR(INDEX(Linha!$B$5:$B$788,MATCH(A285,Linha!$A$5:$A$788,0)),"NÃO CADASTRADO")</f>
      </c>
      <c r="I285" s="22">
        <f>IFERROR(INDEX(Linha!$C$5:$C$788,MATCH(A285,Linha!$A$5:$A$788,0)),"-")</f>
      </c>
      <c r="J285" s="23">
        <v>38</v>
      </c>
      <c r="K285" s="24">
        <f>IFERROR(INDEX(Linha!$D$5:$D$788,MATCH(A285,Linha!$A$5:$A$788,0))*1,0)</f>
      </c>
      <c r="L285" s="24">
        <f>SUMIFS(Reservas!$K$5:$K$3669,Reservas!$A$5:$A$3669,A285)</f>
      </c>
      <c r="M285" s="25">
        <f>J285-L285</f>
      </c>
      <c r="N285" s="26">
        <v>52.825</v>
      </c>
      <c r="O285" s="25">
        <f>J285*N285</f>
      </c>
      <c r="P285" s="25">
        <f>L285*N285</f>
      </c>
      <c r="Q285" s="27">
        <v>167.89013321</v>
      </c>
      <c r="R285" s="28">
        <f>J285*Q285</f>
      </c>
      <c r="S285" s="28">
        <f>L285*Q285</f>
      </c>
      <c r="T285" s="29">
        <f>IF(J285=0,0,L285/J285)</f>
      </c>
      <c r="U285" s="30">
        <f>IFERROR(INDEX(Paletes!$C$5:$C$393,MATCH(B285,Paletes!$A$5:$A$393,0)),"SEM CADASTRO")</f>
      </c>
      <c r="V285" s="24">
        <f>IFERROR(INDEX(Paletes!$D$5:$D$393,MATCH(B285,Paletes!$A$5:$A$393,0)),0)</f>
      </c>
      <c r="W285" s="31">
        <f>IF(V285=0,0,J285/V285)</f>
      </c>
      <c r="X285" s="31">
        <f>IF(V285=0,0,MAX(M285,0)/V285)</f>
      </c>
    </row>
    <row r="286" spans="1:24" x14ac:dyDescent="0.25">
      <c r="A286" s="32" t="str">
        <f>B286&amp;"."&amp;IFERROR(MID(D286,FIND("(",D286)+1,FIND(")",D286)-FIND("(",D286)-1),"")</f>
        <v>84755.30613</v>
      </c>
      <c r="B286" s="33">
        <v>84755</v>
      </c>
      <c r="C286" s="32" t="s">
        <v>527</v>
      </c>
      <c r="D286" s="32" t="s">
        <v>529</v>
      </c>
      <c r="E286" s="32">
        <v>96502</v>
      </c>
      <c r="F286" s="32" t="s">
        <v>26</v>
      </c>
      <c r="G286" s="32" t="s">
        <v>51</v>
      </c>
      <c r="H286" s="34">
        <f>IFERROR(INDEX(Linha!$B$5:$B$788,MATCH(A286,Linha!$A$5:$A$788,0)),"NÃO CADASTRADO")</f>
      </c>
      <c r="I286" s="34">
        <f>IFERROR(INDEX(Linha!$C$5:$C$788,MATCH(A286,Linha!$A$5:$A$788,0)),"-")</f>
      </c>
      <c r="J286" s="35">
        <v>67</v>
      </c>
      <c r="K286" s="36">
        <f>IFERROR(INDEX(Linha!$D$5:$D$788,MATCH(A286,Linha!$A$5:$A$788,0))*1,0)</f>
      </c>
      <c r="L286" s="36">
        <f>SUMIFS(Reservas!$K$5:$K$3669,Reservas!$A$5:$A$3669,A286)</f>
      </c>
      <c r="M286" s="37">
        <f>J286-L286</f>
      </c>
      <c r="N286" s="38">
        <v>52.825</v>
      </c>
      <c r="O286" s="37">
        <f>J286*N286</f>
      </c>
      <c r="P286" s="37">
        <f>L286*N286</f>
      </c>
      <c r="Q286" s="39">
        <v>177.09816287</v>
      </c>
      <c r="R286" s="40">
        <f>J286*Q286</f>
      </c>
      <c r="S286" s="40">
        <f>L286*Q286</f>
      </c>
      <c r="T286" s="41">
        <f>IF(J286=0,0,L286/J286)</f>
      </c>
      <c r="U286" s="42">
        <f>IFERROR(INDEX(Paletes!$C$5:$C$393,MATCH(B286,Paletes!$A$5:$A$393,0)),"SEM CADASTRO")</f>
      </c>
      <c r="V286" s="36">
        <f>IFERROR(INDEX(Paletes!$D$5:$D$393,MATCH(B286,Paletes!$A$5:$A$393,0)),0)</f>
      </c>
      <c r="W286" s="43">
        <f>IF(V286=0,0,J286/V286)</f>
      </c>
      <c r="X286" s="43">
        <f>IF(V286=0,0,MAX(M286,0)/V286)</f>
      </c>
    </row>
    <row r="287" spans="1:24" x14ac:dyDescent="0.25">
      <c r="A287" s="20" t="str">
        <f>B287&amp;"."&amp;IFERROR(MID(D287,FIND("(",D287)+1,FIND(")",D287)-FIND("(",D287)-1),"")</f>
        <v>84785.</v>
      </c>
      <c r="B287" s="21">
        <v>84785</v>
      </c>
      <c r="C287" s="20" t="s">
        <v>530</v>
      </c>
      <c r="D287" s="20" t="s">
        <v>89</v>
      </c>
      <c r="E287" s="20">
        <v>96505</v>
      </c>
      <c r="F287" s="20" t="s">
        <v>26</v>
      </c>
      <c r="G287" s="20" t="s">
        <v>51</v>
      </c>
      <c r="H287" s="22">
        <f>IFERROR(INDEX(Linha!$B$5:$B$788,MATCH(A287,Linha!$A$5:$A$788,0)),"NÃO CADASTRADO")</f>
      </c>
      <c r="I287" s="22">
        <f>IFERROR(INDEX(Linha!$C$5:$C$788,MATCH(A287,Linha!$A$5:$A$788,0)),"-")</f>
      </c>
      <c r="J287" s="23">
        <v>30</v>
      </c>
      <c r="K287" s="24">
        <f>IFERROR(INDEX(Linha!$D$5:$D$788,MATCH(A287,Linha!$A$5:$A$788,0))*1,0)</f>
      </c>
      <c r="L287" s="24">
        <f>SUMIFS(Reservas!$K$5:$K$3669,Reservas!$A$5:$A$3669,A287)</f>
      </c>
      <c r="M287" s="25">
        <f>J287-L287</f>
      </c>
      <c r="N287" s="26">
        <v>9.75</v>
      </c>
      <c r="O287" s="25">
        <f>J287*N287</f>
      </c>
      <c r="P287" s="25">
        <f>L287*N287</f>
      </c>
      <c r="Q287" s="27">
        <v>64.27108333</v>
      </c>
      <c r="R287" s="28">
        <f>J287*Q287</f>
      </c>
      <c r="S287" s="28">
        <f>L287*Q287</f>
      </c>
      <c r="T287" s="29">
        <f>IF(J287=0,0,L287/J287)</f>
      </c>
      <c r="U287" s="30">
        <f>IFERROR(INDEX(Paletes!$C$5:$C$393,MATCH(B287,Paletes!$A$5:$A$393,0)),"SEM CADASTRO")</f>
      </c>
      <c r="V287" s="24">
        <f>IFERROR(INDEX(Paletes!$D$5:$D$393,MATCH(B287,Paletes!$A$5:$A$393,0)),0)</f>
      </c>
      <c r="W287" s="31">
        <f>IF(V287=0,0,J287/V287)</f>
      </c>
      <c r="X287" s="31">
        <f>IF(V287=0,0,MAX(M287,0)/V287)</f>
      </c>
    </row>
    <row r="288" spans="1:24" x14ac:dyDescent="0.25">
      <c r="A288" s="32" t="str">
        <f>B288&amp;"."&amp;IFERROR(MID(D288,FIND("(",D288)+1,FIND(")",D288)-FIND("(",D288)-1),"")</f>
        <v>84800.52020</v>
      </c>
      <c r="B288" s="33">
        <v>84800</v>
      </c>
      <c r="C288" s="32" t="s">
        <v>370</v>
      </c>
      <c r="D288" s="32" t="s">
        <v>531</v>
      </c>
      <c r="E288" s="32">
        <v>96519</v>
      </c>
      <c r="F288" s="32" t="s">
        <v>26</v>
      </c>
      <c r="G288" s="32" t="s">
        <v>51</v>
      </c>
      <c r="H288" s="34">
        <f>IFERROR(INDEX(Linha!$B$5:$B$788,MATCH(A288,Linha!$A$5:$A$788,0)),"NÃO CADASTRADO")</f>
      </c>
      <c r="I288" s="34">
        <f>IFERROR(INDEX(Linha!$C$5:$C$788,MATCH(A288,Linha!$A$5:$A$788,0)),"-")</f>
      </c>
      <c r="J288" s="35">
        <v>92</v>
      </c>
      <c r="K288" s="36">
        <f>IFERROR(INDEX(Linha!$D$5:$D$788,MATCH(A288,Linha!$A$5:$A$788,0))*1,0)</f>
      </c>
      <c r="L288" s="36">
        <f>SUMIFS(Reservas!$K$5:$K$3669,Reservas!$A$5:$A$3669,A288)</f>
      </c>
      <c r="M288" s="37">
        <f>J288-L288</f>
      </c>
      <c r="N288" s="38">
        <v>58.5</v>
      </c>
      <c r="O288" s="37">
        <f>J288*N288</f>
      </c>
      <c r="P288" s="37">
        <f>L288*N288</f>
      </c>
      <c r="Q288" s="39">
        <v>269.7526141</v>
      </c>
      <c r="R288" s="40">
        <f>J288*Q288</f>
      </c>
      <c r="S288" s="40">
        <f>L288*Q288</f>
      </c>
      <c r="T288" s="41">
        <f>IF(J288=0,0,L288/J288)</f>
      </c>
      <c r="U288" s="42">
        <f>IFERROR(INDEX(Paletes!$C$5:$C$393,MATCH(B288,Paletes!$A$5:$A$393,0)),"SEM CADASTRO")</f>
      </c>
      <c r="V288" s="36">
        <f>IFERROR(INDEX(Paletes!$D$5:$D$393,MATCH(B288,Paletes!$A$5:$A$393,0)),0)</f>
      </c>
      <c r="W288" s="43">
        <f>IF(V288=0,0,J288/V288)</f>
      </c>
      <c r="X288" s="43">
        <f>IF(V288=0,0,MAX(M288,0)/V288)</f>
      </c>
    </row>
    <row r="289" spans="1:24" x14ac:dyDescent="0.25">
      <c r="A289" s="20" t="str">
        <f>B289&amp;"."&amp;IFERROR(MID(D289,FIND("(",D289)+1,FIND(")",D289)-FIND("(",D289)-1),"")</f>
        <v>84809.42185</v>
      </c>
      <c r="B289" s="21">
        <v>84809</v>
      </c>
      <c r="C289" s="20" t="s">
        <v>532</v>
      </c>
      <c r="D289" s="20" t="s">
        <v>533</v>
      </c>
      <c r="E289" s="20">
        <v>96520</v>
      </c>
      <c r="F289" s="20" t="s">
        <v>26</v>
      </c>
      <c r="G289" s="20" t="s">
        <v>51</v>
      </c>
      <c r="H289" s="22">
        <f>IFERROR(INDEX(Linha!$B$5:$B$788,MATCH(A289,Linha!$A$5:$A$788,0)),"NÃO CADASTRADO")</f>
      </c>
      <c r="I289" s="22">
        <f>IFERROR(INDEX(Linha!$C$5:$C$788,MATCH(A289,Linha!$A$5:$A$788,0)),"-")</f>
      </c>
      <c r="J289" s="23">
        <v>232</v>
      </c>
      <c r="K289" s="24">
        <f>IFERROR(INDEX(Linha!$D$5:$D$788,MATCH(A289,Linha!$A$5:$A$788,0))*1,0)</f>
      </c>
      <c r="L289" s="24">
        <f>SUMIFS(Reservas!$K$5:$K$3669,Reservas!$A$5:$A$3669,A289)</f>
      </c>
      <c r="M289" s="25">
        <f>J289-L289</f>
      </c>
      <c r="N289" s="26">
        <v>67.665</v>
      </c>
      <c r="O289" s="25">
        <f>J289*N289</f>
      </c>
      <c r="P289" s="25">
        <f>L289*N289</f>
      </c>
      <c r="Q289" s="27">
        <v>194.88317515</v>
      </c>
      <c r="R289" s="28">
        <f>J289*Q289</f>
      </c>
      <c r="S289" s="28">
        <f>L289*Q289</f>
      </c>
      <c r="T289" s="29">
        <f>IF(J289=0,0,L289/J289)</f>
      </c>
      <c r="U289" s="30">
        <f>IFERROR(INDEX(Paletes!$C$5:$C$393,MATCH(B289,Paletes!$A$5:$A$393,0)),"SEM CADASTRO")</f>
      </c>
      <c r="V289" s="24">
        <f>IFERROR(INDEX(Paletes!$D$5:$D$393,MATCH(B289,Paletes!$A$5:$A$393,0)),0)</f>
      </c>
      <c r="W289" s="31">
        <f>IF(V289=0,0,J289/V289)</f>
      </c>
      <c r="X289" s="31">
        <f>IF(V289=0,0,MAX(M289,0)/V289)</f>
      </c>
    </row>
    <row r="290" spans="1:24" x14ac:dyDescent="0.25">
      <c r="A290" s="32" t="str">
        <f>B290&amp;"."&amp;IFERROR(MID(D290,FIND("(",D290)+1,FIND(")",D290)-FIND("(",D290)-1),"")</f>
        <v>84860.30884</v>
      </c>
      <c r="B290" s="33">
        <v>84860</v>
      </c>
      <c r="C290" s="32" t="s">
        <v>534</v>
      </c>
      <c r="D290" s="32" t="s">
        <v>535</v>
      </c>
      <c r="E290" s="32">
        <v>96613</v>
      </c>
      <c r="F290" s="32" t="s">
        <v>26</v>
      </c>
      <c r="G290" s="32" t="s">
        <v>51</v>
      </c>
      <c r="H290" s="34">
        <f>IFERROR(INDEX(Linha!$B$5:$B$788,MATCH(A290,Linha!$A$5:$A$788,0)),"NÃO CADASTRADO")</f>
      </c>
      <c r="I290" s="34">
        <f>IFERROR(INDEX(Linha!$C$5:$C$788,MATCH(A290,Linha!$A$5:$A$788,0)),"-")</f>
      </c>
      <c r="J290" s="35">
        <v>81</v>
      </c>
      <c r="K290" s="36">
        <f>IFERROR(INDEX(Linha!$D$5:$D$788,MATCH(A290,Linha!$A$5:$A$788,0))*1,0)</f>
      </c>
      <c r="L290" s="36">
        <f>SUMIFS(Reservas!$K$5:$K$3669,Reservas!$A$5:$A$3669,A290)</f>
      </c>
      <c r="M290" s="37">
        <f>J290-L290</f>
      </c>
      <c r="N290" s="38">
        <v>58.5</v>
      </c>
      <c r="O290" s="37">
        <f>J290*N290</f>
      </c>
      <c r="P290" s="37">
        <f>L290*N290</f>
      </c>
      <c r="Q290" s="39">
        <v>305.66135344</v>
      </c>
      <c r="R290" s="40">
        <f>J290*Q290</f>
      </c>
      <c r="S290" s="40">
        <f>L290*Q290</f>
      </c>
      <c r="T290" s="41">
        <f>IF(J290=0,0,L290/J290)</f>
      </c>
      <c r="U290" s="42">
        <f>IFERROR(INDEX(Paletes!$C$5:$C$393,MATCH(B290,Paletes!$A$5:$A$393,0)),"SEM CADASTRO")</f>
      </c>
      <c r="V290" s="36">
        <f>IFERROR(INDEX(Paletes!$D$5:$D$393,MATCH(B290,Paletes!$A$5:$A$393,0)),0)</f>
      </c>
      <c r="W290" s="43">
        <f>IF(V290=0,0,J290/V290)</f>
      </c>
      <c r="X290" s="43">
        <f>IF(V290=0,0,MAX(M290,0)/V290)</f>
      </c>
    </row>
    <row r="291" spans="1:24" x14ac:dyDescent="0.25">
      <c r="A291" s="20" t="str">
        <f>B291&amp;"."&amp;IFERROR(MID(D291,FIND("(",D291)+1,FIND(")",D291)-FIND("(",D291)-1),"")</f>
        <v>187.15488</v>
      </c>
      <c r="B291" s="21">
        <v>187</v>
      </c>
      <c r="C291" s="20" t="s">
        <v>376</v>
      </c>
      <c r="D291" s="20" t="s">
        <v>536</v>
      </c>
      <c r="E291" s="20">
        <v>590</v>
      </c>
      <c r="F291" s="20" t="s">
        <v>23</v>
      </c>
      <c r="G291" s="20" t="s">
        <v>51</v>
      </c>
      <c r="H291" s="22">
        <f>IFERROR(INDEX(Linha!$B$5:$B$788,MATCH(A291,Linha!$A$5:$A$788,0)),"NÃO CADASTRADO")</f>
      </c>
      <c r="I291" s="22">
        <f>IFERROR(INDEX(Linha!$C$5:$C$788,MATCH(A291,Linha!$A$5:$A$788,0)),"-")</f>
      </c>
      <c r="J291" s="23">
        <v>624</v>
      </c>
      <c r="K291" s="24">
        <f>IFERROR(INDEX(Linha!$D$5:$D$788,MATCH(A291,Linha!$A$5:$A$788,0))*1,0)</f>
      </c>
      <c r="L291" s="24">
        <f>SUMIFS(Reservas!$K$5:$K$3669,Reservas!$A$5:$A$3669,A291)</f>
      </c>
      <c r="M291" s="25">
        <f>J291-L291</f>
      </c>
      <c r="N291" s="26">
        <v>0.546</v>
      </c>
      <c r="O291" s="25">
        <f>J291*N291</f>
      </c>
      <c r="P291" s="25">
        <f>L291*N291</f>
      </c>
      <c r="Q291" s="27">
        <v>4.94961859</v>
      </c>
      <c r="R291" s="28">
        <f>J291*Q291</f>
      </c>
      <c r="S291" s="28">
        <f>L291*Q291</f>
      </c>
      <c r="T291" s="29">
        <f>IF(J291=0,0,L291/J291)</f>
      </c>
      <c r="U291" s="30">
        <f>IFERROR(INDEX(Paletes!$C$5:$C$393,MATCH(B291,Paletes!$A$5:$A$393,0)),"SEM CADASTRO")</f>
      </c>
      <c r="V291" s="24">
        <f>IFERROR(INDEX(Paletes!$D$5:$D$393,MATCH(B291,Paletes!$A$5:$A$393,0)),0)</f>
      </c>
      <c r="W291" s="31">
        <f>IF(V291=0,0,J291/V291)</f>
      </c>
      <c r="X291" s="31">
        <f>IF(V291=0,0,MAX(M291,0)/V291)</f>
      </c>
    </row>
    <row r="292" spans="1:24" x14ac:dyDescent="0.25">
      <c r="A292" s="32" t="str">
        <f>B292&amp;"."&amp;IFERROR(MID(D292,FIND("(",D292)+1,FIND(")",D292)-FIND("(",D292)-1),"")</f>
        <v>2194.16652</v>
      </c>
      <c r="B292" s="33">
        <v>2194</v>
      </c>
      <c r="C292" s="32" t="s">
        <v>378</v>
      </c>
      <c r="D292" s="32" t="s">
        <v>537</v>
      </c>
      <c r="E292" s="32">
        <v>7558</v>
      </c>
      <c r="F292" s="32" t="s">
        <v>23</v>
      </c>
      <c r="G292" s="32" t="s">
        <v>51</v>
      </c>
      <c r="H292" s="34">
        <f>IFERROR(INDEX(Linha!$B$5:$B$788,MATCH(A292,Linha!$A$5:$A$788,0)),"NÃO CADASTRADO")</f>
      </c>
      <c r="I292" s="34">
        <f>IFERROR(INDEX(Linha!$C$5:$C$788,MATCH(A292,Linha!$A$5:$A$788,0)),"-")</f>
      </c>
      <c r="J292" s="35">
        <v>3805</v>
      </c>
      <c r="K292" s="36">
        <f>IFERROR(INDEX(Linha!$D$5:$D$788,MATCH(A292,Linha!$A$5:$A$788,0))*1,0)</f>
      </c>
      <c r="L292" s="36">
        <f>SUMIFS(Reservas!$K$5:$K$3669,Reservas!$A$5:$A$3669,A292)</f>
      </c>
      <c r="M292" s="37">
        <f>J292-L292</f>
      </c>
      <c r="N292" s="38">
        <v>1.092</v>
      </c>
      <c r="O292" s="37">
        <f>J292*N292</f>
      </c>
      <c r="P292" s="37">
        <f>L292*N292</f>
      </c>
      <c r="Q292" s="39">
        <v>7.95439135</v>
      </c>
      <c r="R292" s="40">
        <f>J292*Q292</f>
      </c>
      <c r="S292" s="40">
        <f>L292*Q292</f>
      </c>
      <c r="T292" s="41">
        <f>IF(J292=0,0,L292/J292)</f>
      </c>
      <c r="U292" s="42">
        <f>IFERROR(INDEX(Paletes!$C$5:$C$393,MATCH(B292,Paletes!$A$5:$A$393,0)),"SEM CADASTRO")</f>
      </c>
      <c r="V292" s="36">
        <f>IFERROR(INDEX(Paletes!$D$5:$D$393,MATCH(B292,Paletes!$A$5:$A$393,0)),0)</f>
      </c>
      <c r="W292" s="43">
        <f>IF(V292=0,0,J292/V292)</f>
      </c>
      <c r="X292" s="43">
        <f>IF(V292=0,0,MAX(M292,0)/V292)</f>
      </c>
    </row>
    <row r="293" spans="1:24" x14ac:dyDescent="0.25">
      <c r="A293" s="20" t="str">
        <f>B293&amp;"."&amp;IFERROR(MID(D293,FIND("(",D293)+1,FIND(")",D293)-FIND("(",D293)-1),"")</f>
        <v>73279.15758</v>
      </c>
      <c r="B293" s="21">
        <v>73279</v>
      </c>
      <c r="C293" s="20" t="s">
        <v>381</v>
      </c>
      <c r="D293" s="20" t="s">
        <v>538</v>
      </c>
      <c r="E293" s="20">
        <v>24205</v>
      </c>
      <c r="F293" s="20" t="s">
        <v>24</v>
      </c>
      <c r="G293" s="20" t="s">
        <v>51</v>
      </c>
      <c r="H293" s="22">
        <f>IFERROR(INDEX(Linha!$B$5:$B$788,MATCH(A293,Linha!$A$5:$A$788,0)),"NÃO CADASTRADO")</f>
      </c>
      <c r="I293" s="22">
        <f>IFERROR(INDEX(Linha!$C$5:$C$788,MATCH(A293,Linha!$A$5:$A$788,0)),"-")</f>
      </c>
      <c r="J293" s="23">
        <v>305</v>
      </c>
      <c r="K293" s="24">
        <f>IFERROR(INDEX(Linha!$D$5:$D$788,MATCH(A293,Linha!$A$5:$A$788,0))*1,0)</f>
      </c>
      <c r="L293" s="24">
        <f>SUMIFS(Reservas!$K$5:$K$3669,Reservas!$A$5:$A$3669,A293)</f>
      </c>
      <c r="M293" s="25">
        <f>J293-L293</f>
      </c>
      <c r="N293" s="26">
        <v>27.3</v>
      </c>
      <c r="O293" s="25">
        <f>J293*N293</f>
      </c>
      <c r="P293" s="25">
        <f>L293*N293</f>
      </c>
      <c r="Q293" s="27">
        <v>92.62390132</v>
      </c>
      <c r="R293" s="28">
        <f>J293*Q293</f>
      </c>
      <c r="S293" s="28">
        <f>L293*Q293</f>
      </c>
      <c r="T293" s="29">
        <f>IF(J293=0,0,L293/J293)</f>
      </c>
      <c r="U293" s="30">
        <f>IFERROR(INDEX(Paletes!$C$5:$C$393,MATCH(B293,Paletes!$A$5:$A$393,0)),"SEM CADASTRO")</f>
      </c>
      <c r="V293" s="24">
        <f>IFERROR(INDEX(Paletes!$D$5:$D$393,MATCH(B293,Paletes!$A$5:$A$393,0)),0)</f>
      </c>
      <c r="W293" s="31">
        <f>IF(V293=0,0,J293/V293)</f>
      </c>
      <c r="X293" s="31">
        <f>IF(V293=0,0,MAX(M293,0)/V293)</f>
      </c>
    </row>
    <row r="294" spans="1:24" x14ac:dyDescent="0.25">
      <c r="A294" s="32" t="str">
        <f>B294&amp;"."&amp;IFERROR(MID(D294,FIND("(",D294)+1,FIND(")",D294)-FIND("(",D294)-1),"")</f>
        <v>2111.</v>
      </c>
      <c r="B294" s="33">
        <v>2111</v>
      </c>
      <c r="C294" s="32" t="s">
        <v>539</v>
      </c>
      <c r="D294" s="32" t="s">
        <v>89</v>
      </c>
      <c r="E294" s="32">
        <v>30558</v>
      </c>
      <c r="F294" s="32" t="s">
        <v>26</v>
      </c>
      <c r="G294" s="32" t="s">
        <v>51</v>
      </c>
      <c r="H294" s="34">
        <f>IFERROR(INDEX(Linha!$B$5:$B$788,MATCH(A294,Linha!$A$5:$A$788,0)),"NÃO CADASTRADO")</f>
      </c>
      <c r="I294" s="34">
        <f>IFERROR(INDEX(Linha!$C$5:$C$788,MATCH(A294,Linha!$A$5:$A$788,0)),"-")</f>
      </c>
      <c r="J294" s="35">
        <v>436</v>
      </c>
      <c r="K294" s="36">
        <f>IFERROR(INDEX(Linha!$D$5:$D$788,MATCH(A294,Linha!$A$5:$A$788,0))*1,0)</f>
      </c>
      <c r="L294" s="36">
        <f>SUMIFS(Reservas!$K$5:$K$3669,Reservas!$A$5:$A$3669,A294)</f>
      </c>
      <c r="M294" s="37">
        <f>J294-L294</f>
      </c>
      <c r="N294" s="38">
        <v>8.921</v>
      </c>
      <c r="O294" s="37">
        <f>J294*N294</f>
      </c>
      <c r="P294" s="37">
        <f>L294*N294</f>
      </c>
      <c r="Q294" s="39">
        <v>67.80328525</v>
      </c>
      <c r="R294" s="40">
        <f>J294*Q294</f>
      </c>
      <c r="S294" s="40">
        <f>L294*Q294</f>
      </c>
      <c r="T294" s="41">
        <f>IF(J294=0,0,L294/J294)</f>
      </c>
      <c r="U294" s="42">
        <f>IFERROR(INDEX(Paletes!$C$5:$C$393,MATCH(B294,Paletes!$A$5:$A$393,0)),"SEM CADASTRO")</f>
      </c>
      <c r="V294" s="36">
        <f>IFERROR(INDEX(Paletes!$D$5:$D$393,MATCH(B294,Paletes!$A$5:$A$393,0)),0)</f>
      </c>
      <c r="W294" s="43">
        <f>IF(V294=0,0,J294/V294)</f>
      </c>
      <c r="X294" s="43">
        <f>IF(V294=0,0,MAX(M294,0)/V294)</f>
      </c>
    </row>
    <row r="295" spans="1:24" x14ac:dyDescent="0.25">
      <c r="A295" s="20" t="str">
        <f>B295&amp;"."&amp;IFERROR(MID(D295,FIND("(",D295)+1,FIND(")",D295)-FIND("(",D295)-1),"")</f>
        <v>73083.16419</v>
      </c>
      <c r="B295" s="21">
        <v>73083</v>
      </c>
      <c r="C295" s="20" t="s">
        <v>388</v>
      </c>
      <c r="D295" s="20" t="s">
        <v>540</v>
      </c>
      <c r="E295" s="20">
        <v>40558</v>
      </c>
      <c r="F295" s="20" t="s">
        <v>24</v>
      </c>
      <c r="G295" s="20" t="s">
        <v>51</v>
      </c>
      <c r="H295" s="22">
        <f>IFERROR(INDEX(Linha!$B$5:$B$788,MATCH(A295,Linha!$A$5:$A$788,0)),"NÃO CADASTRADO")</f>
      </c>
      <c r="I295" s="22">
        <f>IFERROR(INDEX(Linha!$C$5:$C$788,MATCH(A295,Linha!$A$5:$A$788,0)),"-")</f>
      </c>
      <c r="J295" s="23">
        <v>54</v>
      </c>
      <c r="K295" s="24">
        <f>IFERROR(INDEX(Linha!$D$5:$D$788,MATCH(A295,Linha!$A$5:$A$788,0))*1,0)</f>
      </c>
      <c r="L295" s="24">
        <f>SUMIFS(Reservas!$K$5:$K$3669,Reservas!$A$5:$A$3669,A295)</f>
      </c>
      <c r="M295" s="25">
        <f>J295-L295</f>
      </c>
      <c r="N295" s="26">
        <v>11.33</v>
      </c>
      <c r="O295" s="25">
        <f>J295*N295</f>
      </c>
      <c r="P295" s="25">
        <f>L295*N295</f>
      </c>
      <c r="Q295" s="27">
        <v>40.63503087</v>
      </c>
      <c r="R295" s="28">
        <f>J295*Q295</f>
      </c>
      <c r="S295" s="28">
        <f>L295*Q295</f>
      </c>
      <c r="T295" s="29">
        <f>IF(J295=0,0,L295/J295)</f>
      </c>
      <c r="U295" s="30">
        <f>IFERROR(INDEX(Paletes!$C$5:$C$393,MATCH(B295,Paletes!$A$5:$A$393,0)),"SEM CADASTRO")</f>
      </c>
      <c r="V295" s="24">
        <f>IFERROR(INDEX(Paletes!$D$5:$D$393,MATCH(B295,Paletes!$A$5:$A$393,0)),0)</f>
      </c>
      <c r="W295" s="31">
        <f>IF(V295=0,0,J295/V295)</f>
      </c>
      <c r="X295" s="31">
        <f>IF(V295=0,0,MAX(M295,0)/V295)</f>
      </c>
    </row>
    <row r="296" spans="1:24" x14ac:dyDescent="0.25">
      <c r="A296" s="32" t="str">
        <f>B296&amp;"."&amp;IFERROR(MID(D296,FIND("(",D296)+1,FIND(")",D296)-FIND("(",D296)-1),"")</f>
        <v>73175.15746</v>
      </c>
      <c r="B296" s="33">
        <v>73175</v>
      </c>
      <c r="C296" s="32" t="s">
        <v>232</v>
      </c>
      <c r="D296" s="32" t="s">
        <v>541</v>
      </c>
      <c r="E296" s="32">
        <v>40568</v>
      </c>
      <c r="F296" s="32" t="s">
        <v>24</v>
      </c>
      <c r="G296" s="32" t="s">
        <v>51</v>
      </c>
      <c r="H296" s="34">
        <f>IFERROR(INDEX(Linha!$B$5:$B$788,MATCH(A296,Linha!$A$5:$A$788,0)),"NÃO CADASTRADO")</f>
      </c>
      <c r="I296" s="34">
        <f>IFERROR(INDEX(Linha!$C$5:$C$788,MATCH(A296,Linha!$A$5:$A$788,0)),"-")</f>
      </c>
      <c r="J296" s="35">
        <v>256</v>
      </c>
      <c r="K296" s="36">
        <f>IFERROR(INDEX(Linha!$D$5:$D$788,MATCH(A296,Linha!$A$5:$A$788,0))*1,0)</f>
      </c>
      <c r="L296" s="36">
        <f>SUMIFS(Reservas!$K$5:$K$3669,Reservas!$A$5:$A$3669,A296)</f>
      </c>
      <c r="M296" s="37">
        <f>J296-L296</f>
      </c>
      <c r="N296" s="38">
        <v>16.09</v>
      </c>
      <c r="O296" s="37">
        <f>J296*N296</f>
      </c>
      <c r="P296" s="37">
        <f>L296*N296</f>
      </c>
      <c r="Q296" s="39">
        <v>124.0820258</v>
      </c>
      <c r="R296" s="40">
        <f>J296*Q296</f>
      </c>
      <c r="S296" s="40">
        <f>L296*Q296</f>
      </c>
      <c r="T296" s="41">
        <f>IF(J296=0,0,L296/J296)</f>
      </c>
      <c r="U296" s="42">
        <f>IFERROR(INDEX(Paletes!$C$5:$C$393,MATCH(B296,Paletes!$A$5:$A$393,0)),"SEM CADASTRO")</f>
      </c>
      <c r="V296" s="36">
        <f>IFERROR(INDEX(Paletes!$D$5:$D$393,MATCH(B296,Paletes!$A$5:$A$393,0)),0)</f>
      </c>
      <c r="W296" s="43">
        <f>IF(V296=0,0,J296/V296)</f>
      </c>
      <c r="X296" s="43">
        <f>IF(V296=0,0,MAX(M296,0)/V296)</f>
      </c>
    </row>
    <row r="297" spans="1:24" x14ac:dyDescent="0.25">
      <c r="A297" s="20" t="str">
        <f>B297&amp;"."&amp;IFERROR(MID(D297,FIND("(",D297)+1,FIND(")",D297)-FIND("(",D297)-1),"")</f>
        <v>73157.16507</v>
      </c>
      <c r="B297" s="21">
        <v>73157</v>
      </c>
      <c r="C297" s="20" t="s">
        <v>542</v>
      </c>
      <c r="D297" s="20" t="s">
        <v>543</v>
      </c>
      <c r="E297" s="20">
        <v>40599</v>
      </c>
      <c r="F297" s="20" t="s">
        <v>24</v>
      </c>
      <c r="G297" s="20" t="s">
        <v>51</v>
      </c>
      <c r="H297" s="22">
        <f>IFERROR(INDEX(Linha!$B$5:$B$788,MATCH(A297,Linha!$A$5:$A$788,0)),"NÃO CADASTRADO")</f>
      </c>
      <c r="I297" s="22">
        <f>IFERROR(INDEX(Linha!$C$5:$C$788,MATCH(A297,Linha!$A$5:$A$788,0)),"-")</f>
      </c>
      <c r="J297" s="23">
        <v>37</v>
      </c>
      <c r="K297" s="24">
        <f>IFERROR(INDEX(Linha!$D$5:$D$788,MATCH(A297,Linha!$A$5:$A$788,0))*1,0)</f>
      </c>
      <c r="L297" s="24">
        <f>SUMIFS(Reservas!$K$5:$K$3669,Reservas!$A$5:$A$3669,A297)</f>
      </c>
      <c r="M297" s="25">
        <f>J297-L297</f>
      </c>
      <c r="N297" s="26">
        <v>35.19</v>
      </c>
      <c r="O297" s="25">
        <f>J297*N297</f>
      </c>
      <c r="P297" s="25">
        <f>L297*N297</f>
      </c>
      <c r="Q297" s="27">
        <v>131.84138061</v>
      </c>
      <c r="R297" s="28">
        <f>J297*Q297</f>
      </c>
      <c r="S297" s="28">
        <f>L297*Q297</f>
      </c>
      <c r="T297" s="29">
        <f>IF(J297=0,0,L297/J297)</f>
      </c>
      <c r="U297" s="30">
        <f>IFERROR(INDEX(Paletes!$C$5:$C$393,MATCH(B297,Paletes!$A$5:$A$393,0)),"SEM CADASTRO")</f>
      </c>
      <c r="V297" s="24">
        <f>IFERROR(INDEX(Paletes!$D$5:$D$393,MATCH(B297,Paletes!$A$5:$A$393,0)),0)</f>
      </c>
      <c r="W297" s="31">
        <f>IF(V297=0,0,J297/V297)</f>
      </c>
      <c r="X297" s="31">
        <f>IF(V297=0,0,MAX(M297,0)/V297)</f>
      </c>
    </row>
    <row r="298" spans="1:24" x14ac:dyDescent="0.25">
      <c r="A298" s="32" t="str">
        <f>B298&amp;"."&amp;IFERROR(MID(D298,FIND("(",D298)+1,FIND(")",D298)-FIND("(",D298)-1),"")</f>
        <v>156.15499</v>
      </c>
      <c r="B298" s="33">
        <v>156</v>
      </c>
      <c r="C298" s="32" t="s">
        <v>65</v>
      </c>
      <c r="D298" s="32" t="s">
        <v>544</v>
      </c>
      <c r="E298" s="32">
        <v>41606</v>
      </c>
      <c r="F298" s="32" t="s">
        <v>24</v>
      </c>
      <c r="G298" s="32" t="s">
        <v>51</v>
      </c>
      <c r="H298" s="34">
        <f>IFERROR(INDEX(Linha!$B$5:$B$788,MATCH(A298,Linha!$A$5:$A$788,0)),"NÃO CADASTRADO")</f>
      </c>
      <c r="I298" s="34">
        <f>IFERROR(INDEX(Linha!$C$5:$C$788,MATCH(A298,Linha!$A$5:$A$788,0)),"-")</f>
      </c>
      <c r="J298" s="35">
        <v>19</v>
      </c>
      <c r="K298" s="36">
        <f>IFERROR(INDEX(Linha!$D$5:$D$788,MATCH(A298,Linha!$A$5:$A$788,0))*1,0)</f>
      </c>
      <c r="L298" s="36">
        <f>SUMIFS(Reservas!$K$5:$K$3669,Reservas!$A$5:$A$3669,A298)</f>
      </c>
      <c r="M298" s="37">
        <f>J298-L298</f>
      </c>
      <c r="N298" s="38">
        <v>17.843</v>
      </c>
      <c r="O298" s="37">
        <f>J298*N298</f>
      </c>
      <c r="P298" s="37">
        <f>L298*N298</f>
      </c>
      <c r="Q298" s="39">
        <v>87.14151661</v>
      </c>
      <c r="R298" s="40">
        <f>J298*Q298</f>
      </c>
      <c r="S298" s="40">
        <f>L298*Q298</f>
      </c>
      <c r="T298" s="41">
        <f>IF(J298=0,0,L298/J298)</f>
      </c>
      <c r="U298" s="42">
        <f>IFERROR(INDEX(Paletes!$C$5:$C$393,MATCH(B298,Paletes!$A$5:$A$393,0)),"SEM CADASTRO")</f>
      </c>
      <c r="V298" s="36">
        <f>IFERROR(INDEX(Paletes!$D$5:$D$393,MATCH(B298,Paletes!$A$5:$A$393,0)),0)</f>
      </c>
      <c r="W298" s="43">
        <f>IF(V298=0,0,J298/V298)</f>
      </c>
      <c r="X298" s="43">
        <f>IF(V298=0,0,MAX(M298,0)/V298)</f>
      </c>
    </row>
    <row r="299" spans="1:24" x14ac:dyDescent="0.25">
      <c r="A299" s="20" t="str">
        <f>B299&amp;"."&amp;IFERROR(MID(D299,FIND("(",D299)+1,FIND(")",D299)-FIND("(",D299)-1),"")</f>
        <v>2404.12396</v>
      </c>
      <c r="B299" s="21">
        <v>2404</v>
      </c>
      <c r="C299" s="20" t="s">
        <v>545</v>
      </c>
      <c r="D299" s="20" t="s">
        <v>546</v>
      </c>
      <c r="E299" s="20">
        <v>42513</v>
      </c>
      <c r="F299" s="20" t="s">
        <v>26</v>
      </c>
      <c r="G299" s="20" t="s">
        <v>51</v>
      </c>
      <c r="H299" s="22">
        <f>IFERROR(INDEX(Linha!$B$5:$B$788,MATCH(A299,Linha!$A$5:$A$788,0)),"NÃO CADASTRADO")</f>
      </c>
      <c r="I299" s="22">
        <f>IFERROR(INDEX(Linha!$C$5:$C$788,MATCH(A299,Linha!$A$5:$A$788,0)),"-")</f>
      </c>
      <c r="J299" s="23">
        <v>72</v>
      </c>
      <c r="K299" s="24">
        <f>IFERROR(INDEX(Linha!$D$5:$D$788,MATCH(A299,Linha!$A$5:$A$788,0))*1,0)</f>
      </c>
      <c r="L299" s="24">
        <f>SUMIFS(Reservas!$K$5:$K$3669,Reservas!$A$5:$A$3669,A299)</f>
      </c>
      <c r="M299" s="25">
        <f>J299-L299</f>
      </c>
      <c r="N299" s="26">
        <v>44.85</v>
      </c>
      <c r="O299" s="25">
        <f>J299*N299</f>
      </c>
      <c r="P299" s="25">
        <f>L299*N299</f>
      </c>
      <c r="Q299" s="27">
        <v>194.18037024</v>
      </c>
      <c r="R299" s="28">
        <f>J299*Q299</f>
      </c>
      <c r="S299" s="28">
        <f>L299*Q299</f>
      </c>
      <c r="T299" s="29">
        <f>IF(J299=0,0,L299/J299)</f>
      </c>
      <c r="U299" s="30">
        <f>IFERROR(INDEX(Paletes!$C$5:$C$393,MATCH(B299,Paletes!$A$5:$A$393,0)),"SEM CADASTRO")</f>
      </c>
      <c r="V299" s="24">
        <f>IFERROR(INDEX(Paletes!$D$5:$D$393,MATCH(B299,Paletes!$A$5:$A$393,0)),0)</f>
      </c>
      <c r="W299" s="31">
        <f>IF(V299=0,0,J299/V299)</f>
      </c>
      <c r="X299" s="31">
        <f>IF(V299=0,0,MAX(M299,0)/V299)</f>
      </c>
    </row>
    <row r="300" spans="1:24" x14ac:dyDescent="0.25">
      <c r="A300" s="32" t="str">
        <f>B300&amp;"."&amp;IFERROR(MID(D300,FIND("(",D300)+1,FIND(")",D300)-FIND("(",D300)-1),"")</f>
        <v>73356.</v>
      </c>
      <c r="B300" s="33">
        <v>73356</v>
      </c>
      <c r="C300" s="32" t="s">
        <v>547</v>
      </c>
      <c r="D300" s="32" t="s">
        <v>89</v>
      </c>
      <c r="E300" s="32">
        <v>45642</v>
      </c>
      <c r="F300" s="32" t="s">
        <v>25</v>
      </c>
      <c r="G300" s="32" t="s">
        <v>51</v>
      </c>
      <c r="H300" s="34">
        <f>IFERROR(INDEX(Linha!$B$5:$B$788,MATCH(A300,Linha!$A$5:$A$788,0)),"NÃO CADASTRADO")</f>
      </c>
      <c r="I300" s="34">
        <f>IFERROR(INDEX(Linha!$C$5:$C$788,MATCH(A300,Linha!$A$5:$A$788,0)),"-")</f>
      </c>
      <c r="J300" s="35">
        <v>134</v>
      </c>
      <c r="K300" s="36">
        <f>IFERROR(INDEX(Linha!$D$5:$D$788,MATCH(A300,Linha!$A$5:$A$788,0))*1,0)</f>
      </c>
      <c r="L300" s="36">
        <f>SUMIFS(Reservas!$K$5:$K$3669,Reservas!$A$5:$A$3669,A300)</f>
      </c>
      <c r="M300" s="37">
        <f>J300-L300</f>
      </c>
      <c r="N300" s="38">
        <v>22.756</v>
      </c>
      <c r="O300" s="37">
        <f>J300*N300</f>
      </c>
      <c r="P300" s="37">
        <f>L300*N300</f>
      </c>
      <c r="Q300" s="39">
        <v>121.4600999</v>
      </c>
      <c r="R300" s="40">
        <f>J300*Q300</f>
      </c>
      <c r="S300" s="40">
        <f>L300*Q300</f>
      </c>
      <c r="T300" s="41">
        <f>IF(J300=0,0,L300/J300)</f>
      </c>
      <c r="U300" s="42">
        <f>IFERROR(INDEX(Paletes!$C$5:$C$393,MATCH(B300,Paletes!$A$5:$A$393,0)),"SEM CADASTRO")</f>
      </c>
      <c r="V300" s="36">
        <f>IFERROR(INDEX(Paletes!$D$5:$D$393,MATCH(B300,Paletes!$A$5:$A$393,0)),0)</f>
      </c>
      <c r="W300" s="43">
        <f>IF(V300=0,0,J300/V300)</f>
      </c>
      <c r="X300" s="43">
        <f>IF(V300=0,0,MAX(M300,0)/V300)</f>
      </c>
    </row>
    <row r="301" spans="1:24" x14ac:dyDescent="0.25">
      <c r="A301" s="20" t="str">
        <f>B301&amp;"."&amp;IFERROR(MID(D301,FIND("(",D301)+1,FIND(")",D301)-FIND("(",D301)-1),"")</f>
        <v>264.16049</v>
      </c>
      <c r="B301" s="21">
        <v>264</v>
      </c>
      <c r="C301" s="20" t="s">
        <v>548</v>
      </c>
      <c r="D301" s="20" t="s">
        <v>549</v>
      </c>
      <c r="E301" s="20">
        <v>74152</v>
      </c>
      <c r="F301" s="20" t="s">
        <v>25</v>
      </c>
      <c r="G301" s="20" t="s">
        <v>51</v>
      </c>
      <c r="H301" s="22">
        <f>IFERROR(INDEX(Linha!$B$5:$B$788,MATCH(A301,Linha!$A$5:$A$788,0)),"NÃO CADASTRADO")</f>
      </c>
      <c r="I301" s="22">
        <f>IFERROR(INDEX(Linha!$C$5:$C$788,MATCH(A301,Linha!$A$5:$A$788,0)),"-")</f>
      </c>
      <c r="J301" s="23">
        <v>438</v>
      </c>
      <c r="K301" s="24">
        <f>IFERROR(INDEX(Linha!$D$5:$D$788,MATCH(A301,Linha!$A$5:$A$788,0))*1,0)</f>
      </c>
      <c r="L301" s="24">
        <f>SUMIFS(Reservas!$K$5:$K$3669,Reservas!$A$5:$A$3669,A301)</f>
      </c>
      <c r="M301" s="25">
        <f>J301-L301</f>
      </c>
      <c r="N301" s="26">
        <v>27.982</v>
      </c>
      <c r="O301" s="25">
        <f>J301*N301</f>
      </c>
      <c r="P301" s="25">
        <f>L301*N301</f>
      </c>
      <c r="Q301" s="27">
        <v>119.62483919</v>
      </c>
      <c r="R301" s="28">
        <f>J301*Q301</f>
      </c>
      <c r="S301" s="28">
        <f>L301*Q301</f>
      </c>
      <c r="T301" s="29">
        <f>IF(J301=0,0,L301/J301)</f>
      </c>
      <c r="U301" s="30">
        <f>IFERROR(INDEX(Paletes!$C$5:$C$393,MATCH(B301,Paletes!$A$5:$A$393,0)),"SEM CADASTRO")</f>
      </c>
      <c r="V301" s="24">
        <f>IFERROR(INDEX(Paletes!$D$5:$D$393,MATCH(B301,Paletes!$A$5:$A$393,0)),0)</f>
      </c>
      <c r="W301" s="31">
        <f>IF(V301=0,0,J301/V301)</f>
      </c>
      <c r="X301" s="31">
        <f>IF(V301=0,0,MAX(M301,0)/V301)</f>
      </c>
    </row>
    <row r="302" spans="1:24" x14ac:dyDescent="0.25">
      <c r="A302" s="32" t="str">
        <f>B302&amp;"."&amp;IFERROR(MID(D302,FIND("(",D302)+1,FIND(")",D302)-FIND("(",D302)-1),"")</f>
        <v>73550.16660</v>
      </c>
      <c r="B302" s="33">
        <v>73550</v>
      </c>
      <c r="C302" s="32" t="s">
        <v>85</v>
      </c>
      <c r="D302" s="32" t="s">
        <v>550</v>
      </c>
      <c r="E302" s="32">
        <v>66401</v>
      </c>
      <c r="F302" s="32" t="s">
        <v>25</v>
      </c>
      <c r="G302" s="32" t="s">
        <v>51</v>
      </c>
      <c r="H302" s="34">
        <f>IFERROR(INDEX(Linha!$B$5:$B$788,MATCH(A302,Linha!$A$5:$A$788,0)),"NÃO CADASTRADO")</f>
      </c>
      <c r="I302" s="34">
        <f>IFERROR(INDEX(Linha!$C$5:$C$788,MATCH(A302,Linha!$A$5:$A$788,0)),"-")</f>
      </c>
      <c r="J302" s="35">
        <v>2</v>
      </c>
      <c r="K302" s="36">
        <f>IFERROR(INDEX(Linha!$D$5:$D$788,MATCH(A302,Linha!$A$5:$A$788,0))*1,0)</f>
      </c>
      <c r="L302" s="36">
        <f>SUMIFS(Reservas!$K$5:$K$3669,Reservas!$A$5:$A$3669,A302)</f>
      </c>
      <c r="M302" s="37">
        <f>J302-L302</f>
      </c>
      <c r="N302" s="38">
        <v>11.358</v>
      </c>
      <c r="O302" s="37">
        <f>J302*N302</f>
      </c>
      <c r="P302" s="37">
        <f>L302*N302</f>
      </c>
      <c r="Q302" s="39">
        <v>104.40530468</v>
      </c>
      <c r="R302" s="40">
        <f>J302*Q302</f>
      </c>
      <c r="S302" s="40">
        <f>L302*Q302</f>
      </c>
      <c r="T302" s="41">
        <f>IF(J302=0,0,L302/J302)</f>
      </c>
      <c r="U302" s="42">
        <f>IFERROR(INDEX(Paletes!$C$5:$C$393,MATCH(B302,Paletes!$A$5:$A$393,0)),"SEM CADASTRO")</f>
      </c>
      <c r="V302" s="36">
        <f>IFERROR(INDEX(Paletes!$D$5:$D$393,MATCH(B302,Paletes!$A$5:$A$393,0)),0)</f>
      </c>
      <c r="W302" s="43">
        <f>IF(V302=0,0,J302/V302)</f>
      </c>
      <c r="X302" s="43">
        <f>IF(V302=0,0,MAX(M302,0)/V302)</f>
      </c>
    </row>
    <row r="303" spans="1:24" x14ac:dyDescent="0.25">
      <c r="A303" s="20" t="str">
        <f>B303&amp;"."&amp;IFERROR(MID(D303,FIND("(",D303)+1,FIND(")",D303)-FIND("(",D303)-1),"")</f>
        <v>73550.16666</v>
      </c>
      <c r="B303" s="21">
        <v>73550</v>
      </c>
      <c r="C303" s="20" t="s">
        <v>85</v>
      </c>
      <c r="D303" s="20" t="s">
        <v>551</v>
      </c>
      <c r="E303" s="20">
        <v>66401</v>
      </c>
      <c r="F303" s="20" t="s">
        <v>25</v>
      </c>
      <c r="G303" s="20" t="s">
        <v>51</v>
      </c>
      <c r="H303" s="22">
        <f>IFERROR(INDEX(Linha!$B$5:$B$788,MATCH(A303,Linha!$A$5:$A$788,0)),"NÃO CADASTRADO")</f>
      </c>
      <c r="I303" s="22">
        <f>IFERROR(INDEX(Linha!$C$5:$C$788,MATCH(A303,Linha!$A$5:$A$788,0)),"-")</f>
      </c>
      <c r="J303" s="23">
        <v>1</v>
      </c>
      <c r="K303" s="24">
        <f>IFERROR(INDEX(Linha!$D$5:$D$788,MATCH(A303,Linha!$A$5:$A$788,0))*1,0)</f>
      </c>
      <c r="L303" s="24">
        <f>SUMIFS(Reservas!$K$5:$K$3669,Reservas!$A$5:$A$3669,A303)</f>
      </c>
      <c r="M303" s="25">
        <f>J303-L303</f>
      </c>
      <c r="N303" s="26">
        <v>11.358</v>
      </c>
      <c r="O303" s="25">
        <f>J303*N303</f>
      </c>
      <c r="P303" s="25">
        <f>L303*N303</f>
      </c>
      <c r="Q303" s="27">
        <v>86.34530468</v>
      </c>
      <c r="R303" s="28">
        <f>J303*Q303</f>
      </c>
      <c r="S303" s="28">
        <f>L303*Q303</f>
      </c>
      <c r="T303" s="29">
        <f>IF(J303=0,0,L303/J303)</f>
      </c>
      <c r="U303" s="30">
        <f>IFERROR(INDEX(Paletes!$C$5:$C$393,MATCH(B303,Paletes!$A$5:$A$393,0)),"SEM CADASTRO")</f>
      </c>
      <c r="V303" s="24">
        <f>IFERROR(INDEX(Paletes!$D$5:$D$393,MATCH(B303,Paletes!$A$5:$A$393,0)),0)</f>
      </c>
      <c r="W303" s="31">
        <f>IF(V303=0,0,J303/V303)</f>
      </c>
      <c r="X303" s="31">
        <f>IF(V303=0,0,MAX(M303,0)/V303)</f>
      </c>
    </row>
    <row r="304" spans="1:24" x14ac:dyDescent="0.25">
      <c r="A304" s="32" t="str">
        <f>B304&amp;"."&amp;IFERROR(MID(D304,FIND("(",D304)+1,FIND(")",D304)-FIND("(",D304)-1),"")</f>
        <v>73550.16664</v>
      </c>
      <c r="B304" s="33">
        <v>73550</v>
      </c>
      <c r="C304" s="32" t="s">
        <v>85</v>
      </c>
      <c r="D304" s="32" t="s">
        <v>552</v>
      </c>
      <c r="E304" s="32">
        <v>66401</v>
      </c>
      <c r="F304" s="32" t="s">
        <v>25</v>
      </c>
      <c r="G304" s="32" t="s">
        <v>51</v>
      </c>
      <c r="H304" s="34">
        <f>IFERROR(INDEX(Linha!$B$5:$B$788,MATCH(A304,Linha!$A$5:$A$788,0)),"NÃO CADASTRADO")</f>
      </c>
      <c r="I304" s="34">
        <f>IFERROR(INDEX(Linha!$C$5:$C$788,MATCH(A304,Linha!$A$5:$A$788,0)),"-")</f>
      </c>
      <c r="J304" s="35">
        <v>0</v>
      </c>
      <c r="K304" s="36">
        <f>IFERROR(INDEX(Linha!$D$5:$D$788,MATCH(A304,Linha!$A$5:$A$788,0))*1,0)</f>
      </c>
      <c r="L304" s="36">
        <f>SUMIFS(Reservas!$K$5:$K$3669,Reservas!$A$5:$A$3669,A304)</f>
      </c>
      <c r="M304" s="37">
        <f>J304-L304</f>
      </c>
      <c r="N304" s="38">
        <v>11.358</v>
      </c>
      <c r="O304" s="37">
        <f>J304*N304</f>
      </c>
      <c r="P304" s="37">
        <f>L304*N304</f>
      </c>
      <c r="Q304" s="39">
        <v>92.95530468</v>
      </c>
      <c r="R304" s="40">
        <f>J304*Q304</f>
      </c>
      <c r="S304" s="40">
        <f>L304*Q304</f>
      </c>
      <c r="T304" s="41">
        <f>IF(J304=0,0,L304/J304)</f>
      </c>
      <c r="U304" s="42">
        <f>IFERROR(INDEX(Paletes!$C$5:$C$393,MATCH(B304,Paletes!$A$5:$A$393,0)),"SEM CADASTRO")</f>
      </c>
      <c r="V304" s="36">
        <f>IFERROR(INDEX(Paletes!$D$5:$D$393,MATCH(B304,Paletes!$A$5:$A$393,0)),0)</f>
      </c>
      <c r="W304" s="43">
        <f>IF(V304=0,0,J304/V304)</f>
      </c>
      <c r="X304" s="43">
        <f>IF(V304=0,0,MAX(M304,0)/V304)</f>
      </c>
    </row>
    <row r="305" spans="1:24" x14ac:dyDescent="0.25">
      <c r="A305" s="20" t="str">
        <f>B305&amp;"."&amp;IFERROR(MID(D305,FIND("(",D305)+1,FIND(")",D305)-FIND("(",D305)-1),"")</f>
        <v>87563.93212</v>
      </c>
      <c r="B305" s="21">
        <v>87563</v>
      </c>
      <c r="C305" s="20" t="s">
        <v>553</v>
      </c>
      <c r="D305" s="20" t="s">
        <v>554</v>
      </c>
      <c r="E305" s="20">
        <v>105324</v>
      </c>
      <c r="F305" s="20" t="s">
        <v>26</v>
      </c>
      <c r="G305" s="20" t="s">
        <v>51</v>
      </c>
      <c r="H305" s="22">
        <f>IFERROR(INDEX(Linha!$B$5:$B$788,MATCH(A305,Linha!$A$5:$A$788,0)),"NÃO CADASTRADO")</f>
      </c>
      <c r="I305" s="22">
        <f>IFERROR(INDEX(Linha!$C$5:$C$788,MATCH(A305,Linha!$A$5:$A$788,0)),"-")</f>
      </c>
      <c r="J305" s="23">
        <v>1</v>
      </c>
      <c r="K305" s="24">
        <f>IFERROR(INDEX(Linha!$D$5:$D$788,MATCH(A305,Linha!$A$5:$A$788,0))*1,0)</f>
      </c>
      <c r="L305" s="24">
        <f>SUMIFS(Reservas!$K$5:$K$3669,Reservas!$A$5:$A$3669,A305)</f>
      </c>
      <c r="M305" s="25">
        <f>J305-L305</f>
      </c>
      <c r="N305" s="26">
        <v>1.41</v>
      </c>
      <c r="O305" s="25">
        <f>J305*N305</f>
      </c>
      <c r="P305" s="25">
        <f>L305*N305</f>
      </c>
      <c r="Q305" s="27">
        <v>1.10800104</v>
      </c>
      <c r="R305" s="28">
        <f>J305*Q305</f>
      </c>
      <c r="S305" s="28">
        <f>L305*Q305</f>
      </c>
      <c r="T305" s="29">
        <f>IF(J305=0,0,L305/J305)</f>
      </c>
      <c r="U305" s="30">
        <f>IFERROR(INDEX(Paletes!$C$5:$C$393,MATCH(B305,Paletes!$A$5:$A$393,0)),"SEM CADASTRO")</f>
      </c>
      <c r="V305" s="24">
        <f>IFERROR(INDEX(Paletes!$D$5:$D$393,MATCH(B305,Paletes!$A$5:$A$393,0)),0)</f>
      </c>
      <c r="W305" s="31">
        <f>IF(V305=0,0,J305/V305)</f>
      </c>
      <c r="X305" s="31">
        <f>IF(V305=0,0,MAX(M305,0)/V305)</f>
      </c>
    </row>
    <row r="306" spans="1:24" x14ac:dyDescent="0.25">
      <c r="A306" s="32" t="str">
        <f>B306&amp;"."&amp;IFERROR(MID(D306,FIND("(",D306)+1,FIND(")",D306)-FIND("(",D306)-1),"")</f>
        <v>2096.</v>
      </c>
      <c r="B306" s="33">
        <v>2096</v>
      </c>
      <c r="C306" s="32" t="s">
        <v>555</v>
      </c>
      <c r="D306" s="32" t="s">
        <v>89</v>
      </c>
      <c r="E306" s="32">
        <v>59967</v>
      </c>
      <c r="F306" s="32" t="s">
        <v>26</v>
      </c>
      <c r="G306" s="32" t="s">
        <v>51</v>
      </c>
      <c r="H306" s="34">
        <f>IFERROR(INDEX(Linha!$B$5:$B$788,MATCH(A306,Linha!$A$5:$A$788,0)),"NÃO CADASTRADO")</f>
      </c>
      <c r="I306" s="34">
        <f>IFERROR(INDEX(Linha!$C$5:$C$788,MATCH(A306,Linha!$A$5:$A$788,0)),"-")</f>
      </c>
      <c r="J306" s="35">
        <v>0</v>
      </c>
      <c r="K306" s="36">
        <f>IFERROR(INDEX(Linha!$D$5:$D$788,MATCH(A306,Linha!$A$5:$A$788,0))*1,0)</f>
      </c>
      <c r="L306" s="36">
        <f>SUMIFS(Reservas!$K$5:$K$3669,Reservas!$A$5:$A$3669,A306)</f>
      </c>
      <c r="M306" s="37">
        <f>J306-L306</f>
      </c>
      <c r="N306" s="38">
        <v>3.803</v>
      </c>
      <c r="O306" s="37">
        <f>J306*N306</f>
      </c>
      <c r="P306" s="37">
        <f>L306*N306</f>
      </c>
      <c r="Q306" s="39">
        <v>32.51390526</v>
      </c>
      <c r="R306" s="40">
        <f>J306*Q306</f>
      </c>
      <c r="S306" s="40">
        <f>L306*Q306</f>
      </c>
      <c r="T306" s="41">
        <f>IF(J306=0,0,L306/J306)</f>
      </c>
      <c r="U306" s="42">
        <f>IFERROR(INDEX(Paletes!$C$5:$C$393,MATCH(B306,Paletes!$A$5:$A$393,0)),"SEM CADASTRO")</f>
      </c>
      <c r="V306" s="36">
        <f>IFERROR(INDEX(Paletes!$D$5:$D$393,MATCH(B306,Paletes!$A$5:$A$393,0)),0)</f>
      </c>
      <c r="W306" s="43">
        <f>IF(V306=0,0,J306/V306)</f>
      </c>
      <c r="X306" s="43">
        <f>IF(V306=0,0,MAX(M306,0)/V306)</f>
      </c>
    </row>
    <row r="307" spans="1:24" x14ac:dyDescent="0.25">
      <c r="A307" s="20" t="str">
        <f>B307&amp;"."&amp;IFERROR(MID(D307,FIND("(",D307)+1,FIND(")",D307)-FIND("(",D307)-1),"")</f>
        <v>87103.90675</v>
      </c>
      <c r="B307" s="21">
        <v>87103</v>
      </c>
      <c r="C307" s="20" t="s">
        <v>416</v>
      </c>
      <c r="D307" s="20" t="s">
        <v>556</v>
      </c>
      <c r="E307" s="20">
        <v>104349</v>
      </c>
      <c r="F307" s="20" t="s">
        <v>26</v>
      </c>
      <c r="G307" s="20" t="s">
        <v>51</v>
      </c>
      <c r="H307" s="22">
        <f>IFERROR(INDEX(Linha!$B$5:$B$788,MATCH(A307,Linha!$A$5:$A$788,0)),"NÃO CADASTRADO")</f>
      </c>
      <c r="I307" s="22">
        <f>IFERROR(INDEX(Linha!$C$5:$C$788,MATCH(A307,Linha!$A$5:$A$788,0)),"-")</f>
      </c>
      <c r="J307" s="23">
        <v>590</v>
      </c>
      <c r="K307" s="24">
        <f>IFERROR(INDEX(Linha!$D$5:$D$788,MATCH(A307,Linha!$A$5:$A$788,0))*1,0)</f>
      </c>
      <c r="L307" s="24">
        <f>SUMIFS(Reservas!$K$5:$K$3669,Reservas!$A$5:$A$3669,A307)</f>
      </c>
      <c r="M307" s="25">
        <f>J307-L307</f>
      </c>
      <c r="N307" s="26">
        <v>37.537</v>
      </c>
      <c r="O307" s="25">
        <f>J307*N307</f>
      </c>
      <c r="P307" s="25">
        <f>L307*N307</f>
      </c>
      <c r="Q307" s="27">
        <v>181.86104528</v>
      </c>
      <c r="R307" s="28">
        <f>J307*Q307</f>
      </c>
      <c r="S307" s="28">
        <f>L307*Q307</f>
      </c>
      <c r="T307" s="29">
        <f>IF(J307=0,0,L307/J307)</f>
      </c>
      <c r="U307" s="30">
        <f>IFERROR(INDEX(Paletes!$C$5:$C$393,MATCH(B307,Paletes!$A$5:$A$393,0)),"SEM CADASTRO")</f>
      </c>
      <c r="V307" s="24">
        <f>IFERROR(INDEX(Paletes!$D$5:$D$393,MATCH(B307,Paletes!$A$5:$A$393,0)),0)</f>
      </c>
      <c r="W307" s="31">
        <f>IF(V307=0,0,J307/V307)</f>
      </c>
      <c r="X307" s="31">
        <f>IF(V307=0,0,MAX(M307,0)/V307)</f>
      </c>
    </row>
    <row r="308" spans="1:24" x14ac:dyDescent="0.25">
      <c r="A308" s="32" t="str">
        <f>B308&amp;"."&amp;IFERROR(MID(D308,FIND("(",D308)+1,FIND(")",D308)-FIND("(",D308)-1),"")</f>
        <v>97305.99891</v>
      </c>
      <c r="B308" s="33">
        <v>97305</v>
      </c>
      <c r="C308" s="32" t="s">
        <v>557</v>
      </c>
      <c r="D308" s="32" t="s">
        <v>558</v>
      </c>
      <c r="E308" s="32">
        <v>98348</v>
      </c>
      <c r="F308" s="32" t="s">
        <v>24</v>
      </c>
      <c r="G308" s="32" t="s">
        <v>51</v>
      </c>
      <c r="H308" s="34">
        <f>IFERROR(INDEX(Linha!$B$5:$B$788,MATCH(A308,Linha!$A$5:$A$788,0)),"NÃO CADASTRADO")</f>
      </c>
      <c r="I308" s="34">
        <f>IFERROR(INDEX(Linha!$C$5:$C$788,MATCH(A308,Linha!$A$5:$A$788,0)),"-")</f>
      </c>
      <c r="J308" s="35">
        <v>2</v>
      </c>
      <c r="K308" s="36">
        <f>IFERROR(INDEX(Linha!$D$5:$D$788,MATCH(A308,Linha!$A$5:$A$788,0))*1,0)</f>
      </c>
      <c r="L308" s="36">
        <f>SUMIFS(Reservas!$K$5:$K$3669,Reservas!$A$5:$A$3669,A308)</f>
      </c>
      <c r="M308" s="37">
        <f>J308-L308</f>
      </c>
      <c r="N308" s="38">
        <v>19.5</v>
      </c>
      <c r="O308" s="37">
        <f>J308*N308</f>
      </c>
      <c r="P308" s="37">
        <f>L308*N308</f>
      </c>
      <c r="Q308" s="39">
        <v>44.27012974</v>
      </c>
      <c r="R308" s="40">
        <f>J308*Q308</f>
      </c>
      <c r="S308" s="40">
        <f>L308*Q308</f>
      </c>
      <c r="T308" s="41">
        <f>IF(J308=0,0,L308/J308)</f>
      </c>
      <c r="U308" s="42">
        <f>IFERROR(INDEX(Paletes!$C$5:$C$393,MATCH(B308,Paletes!$A$5:$A$393,0)),"SEM CADASTRO")</f>
      </c>
      <c r="V308" s="36">
        <f>IFERROR(INDEX(Paletes!$D$5:$D$393,MATCH(B308,Paletes!$A$5:$A$393,0)),0)</f>
      </c>
      <c r="W308" s="43">
        <f>IF(V308=0,0,J308/V308)</f>
      </c>
      <c r="X308" s="43">
        <f>IF(V308=0,0,MAX(M308,0)/V308)</f>
      </c>
    </row>
    <row r="309" spans="1:24" x14ac:dyDescent="0.25">
      <c r="A309" s="20" t="str">
        <f>B309&amp;"."&amp;IFERROR(MID(D309,FIND("(",D309)+1,FIND(")",D309)-FIND("(",D309)-1),"")</f>
        <v>84921.36176</v>
      </c>
      <c r="B309" s="21">
        <v>84921</v>
      </c>
      <c r="C309" s="20" t="s">
        <v>99</v>
      </c>
      <c r="D309" s="20" t="s">
        <v>559</v>
      </c>
      <c r="E309" s="20">
        <v>96440</v>
      </c>
      <c r="F309" s="20" t="s">
        <v>24</v>
      </c>
      <c r="G309" s="20" t="s">
        <v>51</v>
      </c>
      <c r="H309" s="22">
        <f>IFERROR(INDEX(Linha!$B$5:$B$788,MATCH(A309,Linha!$A$5:$A$788,0)),"NÃO CADASTRADO")</f>
      </c>
      <c r="I309" s="22">
        <f>IFERROR(INDEX(Linha!$C$5:$C$788,MATCH(A309,Linha!$A$5:$A$788,0)),"-")</f>
      </c>
      <c r="J309" s="23">
        <v>27</v>
      </c>
      <c r="K309" s="24">
        <f>IFERROR(INDEX(Linha!$D$5:$D$788,MATCH(A309,Linha!$A$5:$A$788,0))*1,0)</f>
      </c>
      <c r="L309" s="24">
        <f>SUMIFS(Reservas!$K$5:$K$3669,Reservas!$A$5:$A$3669,A309)</f>
      </c>
      <c r="M309" s="25">
        <f>J309-L309</f>
      </c>
      <c r="N309" s="26">
        <v>41.73</v>
      </c>
      <c r="O309" s="25">
        <f>J309*N309</f>
      </c>
      <c r="P309" s="25">
        <f>L309*N309</f>
      </c>
      <c r="Q309" s="27">
        <v>212.6687201</v>
      </c>
      <c r="R309" s="28">
        <f>J309*Q309</f>
      </c>
      <c r="S309" s="28">
        <f>L309*Q309</f>
      </c>
      <c r="T309" s="29">
        <f>IF(J309=0,0,L309/J309)</f>
      </c>
      <c r="U309" s="30">
        <f>IFERROR(INDEX(Paletes!$C$5:$C$393,MATCH(B309,Paletes!$A$5:$A$393,0)),"SEM CADASTRO")</f>
      </c>
      <c r="V309" s="24">
        <f>IFERROR(INDEX(Paletes!$D$5:$D$393,MATCH(B309,Paletes!$A$5:$A$393,0)),0)</f>
      </c>
      <c r="W309" s="31">
        <f>IF(V309=0,0,J309/V309)</f>
      </c>
      <c r="X309" s="31">
        <f>IF(V309=0,0,MAX(M309,0)/V309)</f>
      </c>
    </row>
    <row r="310" spans="1:24" x14ac:dyDescent="0.25">
      <c r="A310" s="32" t="str">
        <f>B310&amp;"."&amp;IFERROR(MID(D310,FIND("(",D310)+1,FIND(")",D310)-FIND("(",D310)-1),"")</f>
        <v>74516.32089</v>
      </c>
      <c r="B310" s="33">
        <v>74516</v>
      </c>
      <c r="C310" s="32" t="s">
        <v>560</v>
      </c>
      <c r="D310" s="32" t="s">
        <v>561</v>
      </c>
      <c r="E310" s="32">
        <v>76421</v>
      </c>
      <c r="F310" s="32" t="s">
        <v>24</v>
      </c>
      <c r="G310" s="32" t="s">
        <v>51</v>
      </c>
      <c r="H310" s="34">
        <f>IFERROR(INDEX(Linha!$B$5:$B$788,MATCH(A310,Linha!$A$5:$A$788,0)),"NÃO CADASTRADO")</f>
      </c>
      <c r="I310" s="34">
        <f>IFERROR(INDEX(Linha!$C$5:$C$788,MATCH(A310,Linha!$A$5:$A$788,0)),"-")</f>
      </c>
      <c r="J310" s="35">
        <v>0</v>
      </c>
      <c r="K310" s="36">
        <f>IFERROR(INDEX(Linha!$D$5:$D$788,MATCH(A310,Linha!$A$5:$A$788,0))*1,0)</f>
      </c>
      <c r="L310" s="36">
        <f>SUMIFS(Reservas!$K$5:$K$3669,Reservas!$A$5:$A$3669,A310)</f>
      </c>
      <c r="M310" s="37">
        <f>J310-L310</f>
      </c>
      <c r="N310" s="38">
        <v>37.537</v>
      </c>
      <c r="O310" s="37">
        <f>J310*N310</f>
      </c>
      <c r="P310" s="37">
        <f>L310*N310</f>
      </c>
      <c r="Q310" s="39">
        <v>192.81869943</v>
      </c>
      <c r="R310" s="40">
        <f>J310*Q310</f>
      </c>
      <c r="S310" s="40">
        <f>L310*Q310</f>
      </c>
      <c r="T310" s="41">
        <f>IF(J310=0,0,L310/J310)</f>
      </c>
      <c r="U310" s="42">
        <f>IFERROR(INDEX(Paletes!$C$5:$C$393,MATCH(B310,Paletes!$A$5:$A$393,0)),"SEM CADASTRO")</f>
      </c>
      <c r="V310" s="36">
        <f>IFERROR(INDEX(Paletes!$D$5:$D$393,MATCH(B310,Paletes!$A$5:$A$393,0)),0)</f>
      </c>
      <c r="W310" s="43">
        <f>IF(V310=0,0,J310/V310)</f>
      </c>
      <c r="X310" s="43">
        <f>IF(V310=0,0,MAX(M310,0)/V310)</f>
      </c>
    </row>
    <row r="311" spans="1:24" x14ac:dyDescent="0.25">
      <c r="A311" s="20" t="str">
        <f>B311&amp;"."&amp;IFERROR(MID(D311,FIND("(",D311)+1,FIND(")",D311)-FIND("(",D311)-1),"")</f>
        <v>2253.15566</v>
      </c>
      <c r="B311" s="21">
        <v>2253</v>
      </c>
      <c r="C311" s="20" t="s">
        <v>426</v>
      </c>
      <c r="D311" s="20" t="s">
        <v>562</v>
      </c>
      <c r="E311" s="20">
        <v>86810</v>
      </c>
      <c r="F311" s="20" t="s">
        <v>26</v>
      </c>
      <c r="G311" s="20" t="s">
        <v>51</v>
      </c>
      <c r="H311" s="22">
        <f>IFERROR(INDEX(Linha!$B$5:$B$788,MATCH(A311,Linha!$A$5:$A$788,0)),"NÃO CADASTRADO")</f>
      </c>
      <c r="I311" s="22">
        <f>IFERROR(INDEX(Linha!$C$5:$C$788,MATCH(A311,Linha!$A$5:$A$788,0)),"-")</f>
      </c>
      <c r="J311" s="23">
        <v>0</v>
      </c>
      <c r="K311" s="24">
        <f>IFERROR(INDEX(Linha!$D$5:$D$788,MATCH(A311,Linha!$A$5:$A$788,0))*1,0)</f>
      </c>
      <c r="L311" s="24">
        <f>SUMIFS(Reservas!$K$5:$K$3669,Reservas!$A$5:$A$3669,A311)</f>
      </c>
      <c r="M311" s="25">
        <f>J311-L311</f>
      </c>
      <c r="N311" s="26">
        <v>55.672</v>
      </c>
      <c r="O311" s="25">
        <f>J311*N311</f>
      </c>
      <c r="P311" s="25">
        <f>L311*N311</f>
      </c>
      <c r="Q311" s="27">
        <v>274.94165506</v>
      </c>
      <c r="R311" s="28">
        <f>J311*Q311</f>
      </c>
      <c r="S311" s="28">
        <f>L311*Q311</f>
      </c>
      <c r="T311" s="29">
        <f>IF(J311=0,0,L311/J311)</f>
      </c>
      <c r="U311" s="30">
        <f>IFERROR(INDEX(Paletes!$C$5:$C$393,MATCH(B311,Paletes!$A$5:$A$393,0)),"SEM CADASTRO")</f>
      </c>
      <c r="V311" s="24">
        <f>IFERROR(INDEX(Paletes!$D$5:$D$393,MATCH(B311,Paletes!$A$5:$A$393,0)),0)</f>
      </c>
      <c r="W311" s="31">
        <f>IF(V311=0,0,J311/V311)</f>
      </c>
      <c r="X311" s="31">
        <f>IF(V311=0,0,MAX(M311,0)/V311)</f>
      </c>
    </row>
    <row r="312" spans="1:24" x14ac:dyDescent="0.25">
      <c r="A312" s="32" t="str">
        <f>B312&amp;"."&amp;IFERROR(MID(D312,FIND("(",D312)+1,FIND(")",D312)-FIND("(",D312)-1),"")</f>
        <v>76348.13615</v>
      </c>
      <c r="B312" s="33">
        <v>76348</v>
      </c>
      <c r="C312" s="32" t="s">
        <v>563</v>
      </c>
      <c r="D312" s="32" t="s">
        <v>564</v>
      </c>
      <c r="E312" s="32">
        <v>91883</v>
      </c>
      <c r="F312" s="32" t="s">
        <v>26</v>
      </c>
      <c r="G312" s="32" t="s">
        <v>51</v>
      </c>
      <c r="H312" s="34">
        <f>IFERROR(INDEX(Linha!$B$5:$B$788,MATCH(A312,Linha!$A$5:$A$788,0)),"NÃO CADASTRADO")</f>
      </c>
      <c r="I312" s="34">
        <f>IFERROR(INDEX(Linha!$C$5:$C$788,MATCH(A312,Linha!$A$5:$A$788,0)),"-")</f>
      </c>
      <c r="J312" s="35">
        <v>0</v>
      </c>
      <c r="K312" s="36">
        <f>IFERROR(INDEX(Linha!$D$5:$D$788,MATCH(A312,Linha!$A$5:$A$788,0))*1,0)</f>
      </c>
      <c r="L312" s="36">
        <f>SUMIFS(Reservas!$K$5:$K$3669,Reservas!$A$5:$A$3669,A312)</f>
      </c>
      <c r="M312" s="37">
        <f>J312-L312</f>
      </c>
      <c r="N312" s="38">
        <v>52.162</v>
      </c>
      <c r="O312" s="37">
        <f>J312*N312</f>
      </c>
      <c r="P312" s="37">
        <f>L312*N312</f>
      </c>
      <c r="Q312" s="39">
        <v>171.8461917</v>
      </c>
      <c r="R312" s="40">
        <f>J312*Q312</f>
      </c>
      <c r="S312" s="40">
        <f>L312*Q312</f>
      </c>
      <c r="T312" s="41">
        <f>IF(J312=0,0,L312/J312)</f>
      </c>
      <c r="U312" s="42">
        <f>IFERROR(INDEX(Paletes!$C$5:$C$393,MATCH(B312,Paletes!$A$5:$A$393,0)),"SEM CADASTRO")</f>
      </c>
      <c r="V312" s="36">
        <f>IFERROR(INDEX(Paletes!$D$5:$D$393,MATCH(B312,Paletes!$A$5:$A$393,0)),0)</f>
      </c>
      <c r="W312" s="43">
        <f>IF(V312=0,0,J312/V312)</f>
      </c>
      <c r="X312" s="43">
        <f>IF(V312=0,0,MAX(M312,0)/V312)</f>
      </c>
    </row>
    <row r="313" spans="1:24" x14ac:dyDescent="0.25">
      <c r="A313" s="20" t="str">
        <f>B313&amp;"."&amp;IFERROR(MID(D313,FIND("(",D313)+1,FIND(")",D313)-FIND("(",D313)-1),"")</f>
        <v>2188.</v>
      </c>
      <c r="B313" s="21">
        <v>2188</v>
      </c>
      <c r="C313" s="20" t="s">
        <v>565</v>
      </c>
      <c r="D313" s="20" t="s">
        <v>89</v>
      </c>
      <c r="E313" s="20">
        <v>55443</v>
      </c>
      <c r="F313" s="20" t="s">
        <v>26</v>
      </c>
      <c r="G313" s="20" t="s">
        <v>51</v>
      </c>
      <c r="H313" s="22">
        <f>IFERROR(INDEX(Linha!$B$5:$B$788,MATCH(A313,Linha!$A$5:$A$788,0)),"NÃO CADASTRADO")</f>
      </c>
      <c r="I313" s="22">
        <f>IFERROR(INDEX(Linha!$C$5:$C$788,MATCH(A313,Linha!$A$5:$A$788,0)),"-")</f>
      </c>
      <c r="J313" s="23">
        <v>59</v>
      </c>
      <c r="K313" s="24">
        <f>IFERROR(INDEX(Linha!$D$5:$D$788,MATCH(A313,Linha!$A$5:$A$788,0))*1,0)</f>
      </c>
      <c r="L313" s="24">
        <f>SUMIFS(Reservas!$K$5:$K$3669,Reservas!$A$5:$A$3669,A313)</f>
      </c>
      <c r="M313" s="25">
        <f>J313-L313</f>
      </c>
      <c r="N313" s="26">
        <v>14.917</v>
      </c>
      <c r="O313" s="25">
        <f>J313*N313</f>
      </c>
      <c r="P313" s="25">
        <f>L313*N313</f>
      </c>
      <c r="Q313" s="27">
        <v>103.59383896</v>
      </c>
      <c r="R313" s="28">
        <f>J313*Q313</f>
      </c>
      <c r="S313" s="28">
        <f>L313*Q313</f>
      </c>
      <c r="T313" s="29">
        <f>IF(J313=0,0,L313/J313)</f>
      </c>
      <c r="U313" s="30">
        <f>IFERROR(INDEX(Paletes!$C$5:$C$393,MATCH(B313,Paletes!$A$5:$A$393,0)),"SEM CADASTRO")</f>
      </c>
      <c r="V313" s="24">
        <f>IFERROR(INDEX(Paletes!$D$5:$D$393,MATCH(B313,Paletes!$A$5:$A$393,0)),0)</f>
      </c>
      <c r="W313" s="31">
        <f>IF(V313=0,0,J313/V313)</f>
      </c>
      <c r="X313" s="31">
        <f>IF(V313=0,0,MAX(M313,0)/V313)</f>
      </c>
    </row>
    <row r="314" spans="1:24" x14ac:dyDescent="0.25">
      <c r="A314" s="32" t="str">
        <f>B314&amp;"."&amp;IFERROR(MID(D314,FIND("(",D314)+1,FIND(")",D314)-FIND("(",D314)-1),"")</f>
        <v>74198.31905</v>
      </c>
      <c r="B314" s="33">
        <v>74198</v>
      </c>
      <c r="C314" s="32" t="s">
        <v>566</v>
      </c>
      <c r="D314" s="32" t="s">
        <v>567</v>
      </c>
      <c r="E314" s="32">
        <v>59225</v>
      </c>
      <c r="F314" s="32" t="s">
        <v>24</v>
      </c>
      <c r="G314" s="32" t="s">
        <v>51</v>
      </c>
      <c r="H314" s="34">
        <f>IFERROR(INDEX(Linha!$B$5:$B$788,MATCH(A314,Linha!$A$5:$A$788,0)),"NÃO CADASTRADO")</f>
      </c>
      <c r="I314" s="34">
        <f>IFERROR(INDEX(Linha!$C$5:$C$788,MATCH(A314,Linha!$A$5:$A$788,0)),"-")</f>
      </c>
      <c r="J314" s="35">
        <v>164</v>
      </c>
      <c r="K314" s="36">
        <f>IFERROR(INDEX(Linha!$D$5:$D$788,MATCH(A314,Linha!$A$5:$A$788,0))*1,0)</f>
      </c>
      <c r="L314" s="36">
        <f>SUMIFS(Reservas!$K$5:$K$3669,Reservas!$A$5:$A$3669,A314)</f>
      </c>
      <c r="M314" s="37">
        <f>J314-L314</f>
      </c>
      <c r="N314" s="38">
        <v>14.87</v>
      </c>
      <c r="O314" s="37">
        <f>J314*N314</f>
      </c>
      <c r="P314" s="37">
        <f>L314*N314</f>
      </c>
      <c r="Q314" s="39">
        <v>107.77998163</v>
      </c>
      <c r="R314" s="40">
        <f>J314*Q314</f>
      </c>
      <c r="S314" s="40">
        <f>L314*Q314</f>
      </c>
      <c r="T314" s="41">
        <f>IF(J314=0,0,L314/J314)</f>
      </c>
      <c r="U314" s="42">
        <f>IFERROR(INDEX(Paletes!$C$5:$C$393,MATCH(B314,Paletes!$A$5:$A$393,0)),"SEM CADASTRO")</f>
      </c>
      <c r="V314" s="36">
        <f>IFERROR(INDEX(Paletes!$D$5:$D$393,MATCH(B314,Paletes!$A$5:$A$393,0)),0)</f>
      </c>
      <c r="W314" s="43">
        <f>IF(V314=0,0,J314/V314)</f>
      </c>
      <c r="X314" s="43">
        <f>IF(V314=0,0,MAX(M314,0)/V314)</f>
      </c>
    </row>
    <row r="315" spans="1:24" x14ac:dyDescent="0.25">
      <c r="A315" s="20" t="str">
        <f>B315&amp;"."&amp;IFERROR(MID(D315,FIND("(",D315)+1,FIND(")",D315)-FIND("(",D315)-1),"")</f>
        <v>84024.56716</v>
      </c>
      <c r="B315" s="21">
        <v>84024</v>
      </c>
      <c r="C315" s="20" t="s">
        <v>568</v>
      </c>
      <c r="D315" s="20" t="s">
        <v>569</v>
      </c>
      <c r="E315" s="20">
        <v>95631</v>
      </c>
      <c r="F315" s="20" t="s">
        <v>26</v>
      </c>
      <c r="G315" s="20" t="s">
        <v>51</v>
      </c>
      <c r="H315" s="22">
        <f>IFERROR(INDEX(Linha!$B$5:$B$788,MATCH(A315,Linha!$A$5:$A$788,0)),"NÃO CADASTRADO")</f>
      </c>
      <c r="I315" s="22">
        <f>IFERROR(INDEX(Linha!$C$5:$C$788,MATCH(A315,Linha!$A$5:$A$788,0)),"-")</f>
      </c>
      <c r="J315" s="23">
        <v>5</v>
      </c>
      <c r="K315" s="24">
        <f>IFERROR(INDEX(Linha!$D$5:$D$788,MATCH(A315,Linha!$A$5:$A$788,0))*1,0)</f>
      </c>
      <c r="L315" s="24">
        <f>SUMIFS(Reservas!$K$5:$K$3669,Reservas!$A$5:$A$3669,A315)</f>
      </c>
      <c r="M315" s="25">
        <f>J315-L315</f>
      </c>
      <c r="N315" s="26">
        <v>34.125</v>
      </c>
      <c r="O315" s="25">
        <f>J315*N315</f>
      </c>
      <c r="P315" s="25">
        <f>L315*N315</f>
      </c>
      <c r="Q315" s="27">
        <v>96.35245403</v>
      </c>
      <c r="R315" s="28">
        <f>J315*Q315</f>
      </c>
      <c r="S315" s="28">
        <f>L315*Q315</f>
      </c>
      <c r="T315" s="29">
        <f>IF(J315=0,0,L315/J315)</f>
      </c>
      <c r="U315" s="30">
        <f>IFERROR(INDEX(Paletes!$C$5:$C$393,MATCH(B315,Paletes!$A$5:$A$393,0)),"SEM CADASTRO")</f>
      </c>
      <c r="V315" s="24">
        <f>IFERROR(INDEX(Paletes!$D$5:$D$393,MATCH(B315,Paletes!$A$5:$A$393,0)),0)</f>
      </c>
      <c r="W315" s="31">
        <f>IF(V315=0,0,J315/V315)</f>
      </c>
      <c r="X315" s="31">
        <f>IF(V315=0,0,MAX(M315,0)/V315)</f>
      </c>
    </row>
    <row r="316" spans="1:24" x14ac:dyDescent="0.25">
      <c r="A316" s="32" t="str">
        <f>B316&amp;"."&amp;IFERROR(MID(D316,FIND("(",D316)+1,FIND(")",D316)-FIND("(",D316)-1),"")</f>
        <v>84891.31009</v>
      </c>
      <c r="B316" s="33">
        <v>84891</v>
      </c>
      <c r="C316" s="32" t="s">
        <v>570</v>
      </c>
      <c r="D316" s="32" t="s">
        <v>571</v>
      </c>
      <c r="E316" s="32">
        <v>98607</v>
      </c>
      <c r="F316" s="32" t="s">
        <v>26</v>
      </c>
      <c r="G316" s="32" t="s">
        <v>51</v>
      </c>
      <c r="H316" s="34">
        <f>IFERROR(INDEX(Linha!$B$5:$B$788,MATCH(A316,Linha!$A$5:$A$788,0)),"NÃO CADASTRADO")</f>
      </c>
      <c r="I316" s="34">
        <f>IFERROR(INDEX(Linha!$C$5:$C$788,MATCH(A316,Linha!$A$5:$A$788,0)),"-")</f>
      </c>
      <c r="J316" s="35">
        <v>0</v>
      </c>
      <c r="K316" s="36">
        <f>IFERROR(INDEX(Linha!$D$5:$D$788,MATCH(A316,Linha!$A$5:$A$788,0))*1,0)</f>
      </c>
      <c r="L316" s="36">
        <f>SUMIFS(Reservas!$K$5:$K$3669,Reservas!$A$5:$A$3669,A316)</f>
      </c>
      <c r="M316" s="37">
        <f>J316-L316</f>
      </c>
      <c r="N316" s="38">
        <v>71.175</v>
      </c>
      <c r="O316" s="37">
        <f>J316*N316</f>
      </c>
      <c r="P316" s="37">
        <f>L316*N316</f>
      </c>
      <c r="Q316" s="39">
        <v>230.51078493</v>
      </c>
      <c r="R316" s="40">
        <f>J316*Q316</f>
      </c>
      <c r="S316" s="40">
        <f>L316*Q316</f>
      </c>
      <c r="T316" s="41">
        <f>IF(J316=0,0,L316/J316)</f>
      </c>
      <c r="U316" s="42">
        <f>IFERROR(INDEX(Paletes!$C$5:$C$393,MATCH(B316,Paletes!$A$5:$A$393,0)),"SEM CADASTRO")</f>
      </c>
      <c r="V316" s="36">
        <f>IFERROR(INDEX(Paletes!$D$5:$D$393,MATCH(B316,Paletes!$A$5:$A$393,0)),0)</f>
      </c>
      <c r="W316" s="43">
        <f>IF(V316=0,0,J316/V316)</f>
      </c>
      <c r="X316" s="43">
        <f>IF(V316=0,0,MAX(M316,0)/V316)</f>
      </c>
    </row>
    <row r="317" spans="1:24" x14ac:dyDescent="0.25">
      <c r="A317" s="20" t="str">
        <f>B317&amp;"."&amp;IFERROR(MID(D317,FIND("(",D317)+1,FIND(")",D317)-FIND("(",D317)-1),"")</f>
        <v>84891.31010</v>
      </c>
      <c r="B317" s="21">
        <v>84891</v>
      </c>
      <c r="C317" s="20" t="s">
        <v>570</v>
      </c>
      <c r="D317" s="20" t="s">
        <v>572</v>
      </c>
      <c r="E317" s="20">
        <v>98607</v>
      </c>
      <c r="F317" s="20" t="s">
        <v>26</v>
      </c>
      <c r="G317" s="20" t="s">
        <v>51</v>
      </c>
      <c r="H317" s="22">
        <f>IFERROR(INDEX(Linha!$B$5:$B$788,MATCH(A317,Linha!$A$5:$A$788,0)),"NÃO CADASTRADO")</f>
      </c>
      <c r="I317" s="22">
        <f>IFERROR(INDEX(Linha!$C$5:$C$788,MATCH(A317,Linha!$A$5:$A$788,0)),"-")</f>
      </c>
      <c r="J317" s="23">
        <v>0</v>
      </c>
      <c r="K317" s="24">
        <f>IFERROR(INDEX(Linha!$D$5:$D$788,MATCH(A317,Linha!$A$5:$A$788,0))*1,0)</f>
      </c>
      <c r="L317" s="24">
        <f>SUMIFS(Reservas!$K$5:$K$3669,Reservas!$A$5:$A$3669,A317)</f>
      </c>
      <c r="M317" s="25">
        <f>J317-L317</f>
      </c>
      <c r="N317" s="26">
        <v>71.175</v>
      </c>
      <c r="O317" s="25">
        <f>J317*N317</f>
      </c>
      <c r="P317" s="25">
        <f>L317*N317</f>
      </c>
      <c r="Q317" s="27">
        <v>229.21078493</v>
      </c>
      <c r="R317" s="28">
        <f>J317*Q317</f>
      </c>
      <c r="S317" s="28">
        <f>L317*Q317</f>
      </c>
      <c r="T317" s="29">
        <f>IF(J317=0,0,L317/J317)</f>
      </c>
      <c r="U317" s="30">
        <f>IFERROR(INDEX(Paletes!$C$5:$C$393,MATCH(B317,Paletes!$A$5:$A$393,0)),"SEM CADASTRO")</f>
      </c>
      <c r="V317" s="24">
        <f>IFERROR(INDEX(Paletes!$D$5:$D$393,MATCH(B317,Paletes!$A$5:$A$393,0)),0)</f>
      </c>
      <c r="W317" s="31">
        <f>IF(V317=0,0,J317/V317)</f>
      </c>
      <c r="X317" s="31">
        <f>IF(V317=0,0,MAX(M317,0)/V317)</f>
      </c>
    </row>
    <row r="318" spans="1:24" x14ac:dyDescent="0.25">
      <c r="A318" s="32" t="str">
        <f>B318&amp;"."&amp;IFERROR(MID(D318,FIND("(",D318)+1,FIND(")",D318)-FIND("(",D318)-1),"")</f>
        <v>84891.31011</v>
      </c>
      <c r="B318" s="33">
        <v>84891</v>
      </c>
      <c r="C318" s="32" t="s">
        <v>570</v>
      </c>
      <c r="D318" s="32" t="s">
        <v>573</v>
      </c>
      <c r="E318" s="32">
        <v>98607</v>
      </c>
      <c r="F318" s="32" t="s">
        <v>26</v>
      </c>
      <c r="G318" s="32" t="s">
        <v>51</v>
      </c>
      <c r="H318" s="34">
        <f>IFERROR(INDEX(Linha!$B$5:$B$788,MATCH(A318,Linha!$A$5:$A$788,0)),"NÃO CADASTRADO")</f>
      </c>
      <c r="I318" s="34">
        <f>IFERROR(INDEX(Linha!$C$5:$C$788,MATCH(A318,Linha!$A$5:$A$788,0)),"-")</f>
      </c>
      <c r="J318" s="35">
        <v>0</v>
      </c>
      <c r="K318" s="36">
        <f>IFERROR(INDEX(Linha!$D$5:$D$788,MATCH(A318,Linha!$A$5:$A$788,0))*1,0)</f>
      </c>
      <c r="L318" s="36">
        <f>SUMIFS(Reservas!$K$5:$K$3669,Reservas!$A$5:$A$3669,A318)</f>
      </c>
      <c r="M318" s="37">
        <f>J318-L318</f>
      </c>
      <c r="N318" s="38">
        <v>71.175</v>
      </c>
      <c r="O318" s="37">
        <f>J318*N318</f>
      </c>
      <c r="P318" s="37">
        <f>L318*N318</f>
      </c>
      <c r="Q318" s="39">
        <v>231.00078493</v>
      </c>
      <c r="R318" s="40">
        <f>J318*Q318</f>
      </c>
      <c r="S318" s="40">
        <f>L318*Q318</f>
      </c>
      <c r="T318" s="41">
        <f>IF(J318=0,0,L318/J318)</f>
      </c>
      <c r="U318" s="42">
        <f>IFERROR(INDEX(Paletes!$C$5:$C$393,MATCH(B318,Paletes!$A$5:$A$393,0)),"SEM CADASTRO")</f>
      </c>
      <c r="V318" s="36">
        <f>IFERROR(INDEX(Paletes!$D$5:$D$393,MATCH(B318,Paletes!$A$5:$A$393,0)),0)</f>
      </c>
      <c r="W318" s="43">
        <f>IF(V318=0,0,J318/V318)</f>
      </c>
      <c r="X318" s="43">
        <f>IF(V318=0,0,MAX(M318,0)/V318)</f>
      </c>
    </row>
    <row r="319" spans="1:24" x14ac:dyDescent="0.25">
      <c r="A319" s="20" t="str">
        <f>B319&amp;"."&amp;IFERROR(MID(D319,FIND("(",D319)+1,FIND(")",D319)-FIND("(",D319)-1),"")</f>
        <v>72765.16010</v>
      </c>
      <c r="B319" s="21">
        <v>72765</v>
      </c>
      <c r="C319" s="20" t="s">
        <v>574</v>
      </c>
      <c r="D319" s="20" t="s">
        <v>575</v>
      </c>
      <c r="E319" s="20">
        <v>87850</v>
      </c>
      <c r="F319" s="20" t="s">
        <v>26</v>
      </c>
      <c r="G319" s="20" t="s">
        <v>51</v>
      </c>
      <c r="H319" s="22">
        <f>IFERROR(INDEX(Linha!$B$5:$B$788,MATCH(A319,Linha!$A$5:$A$788,0)),"NÃO CADASTRADO")</f>
      </c>
      <c r="I319" s="22">
        <f>IFERROR(INDEX(Linha!$C$5:$C$788,MATCH(A319,Linha!$A$5:$A$788,0)),"-")</f>
      </c>
      <c r="J319" s="23">
        <v>0</v>
      </c>
      <c r="K319" s="24">
        <f>IFERROR(INDEX(Linha!$D$5:$D$788,MATCH(A319,Linha!$A$5:$A$788,0))*1,0)</f>
      </c>
      <c r="L319" s="24">
        <f>SUMIFS(Reservas!$K$5:$K$3669,Reservas!$A$5:$A$3669,A319)</f>
      </c>
      <c r="M319" s="25">
        <f>J319-L319</f>
      </c>
      <c r="N319" s="26">
        <v>26.637</v>
      </c>
      <c r="O319" s="25">
        <f>J319*N319</f>
      </c>
      <c r="P319" s="25">
        <f>L319*N319</f>
      </c>
      <c r="Q319" s="27">
        <v>154.94746088</v>
      </c>
      <c r="R319" s="28">
        <f>J319*Q319</f>
      </c>
      <c r="S319" s="28">
        <f>L319*Q319</f>
      </c>
      <c r="T319" s="29">
        <f>IF(J319=0,0,L319/J319)</f>
      </c>
      <c r="U319" s="30">
        <f>IFERROR(INDEX(Paletes!$C$5:$C$393,MATCH(B319,Paletes!$A$5:$A$393,0)),"SEM CADASTRO")</f>
      </c>
      <c r="V319" s="24">
        <f>IFERROR(INDEX(Paletes!$D$5:$D$393,MATCH(B319,Paletes!$A$5:$A$393,0)),0)</f>
      </c>
      <c r="W319" s="31">
        <f>IF(V319=0,0,J319/V319)</f>
      </c>
      <c r="X319" s="31">
        <f>IF(V319=0,0,MAX(M319,0)/V319)</f>
      </c>
    </row>
    <row r="320" spans="1:24" x14ac:dyDescent="0.25">
      <c r="A320" s="32" t="str">
        <f>B320&amp;"."&amp;IFERROR(MID(D320,FIND("(",D320)+1,FIND(")",D320)-FIND("(",D320)-1),"")</f>
        <v>73533.16555</v>
      </c>
      <c r="B320" s="33">
        <v>73533</v>
      </c>
      <c r="C320" s="32" t="s">
        <v>438</v>
      </c>
      <c r="D320" s="32" t="s">
        <v>576</v>
      </c>
      <c r="E320" s="32">
        <v>74813</v>
      </c>
      <c r="F320" s="32" t="s">
        <v>25</v>
      </c>
      <c r="G320" s="32" t="s">
        <v>51</v>
      </c>
      <c r="H320" s="34">
        <f>IFERROR(INDEX(Linha!$B$5:$B$788,MATCH(A320,Linha!$A$5:$A$788,0)),"NÃO CADASTRADO")</f>
      </c>
      <c r="I320" s="34">
        <f>IFERROR(INDEX(Linha!$C$5:$C$788,MATCH(A320,Linha!$A$5:$A$788,0)),"-")</f>
      </c>
      <c r="J320" s="35">
        <v>14</v>
      </c>
      <c r="K320" s="36">
        <f>IFERROR(INDEX(Linha!$D$5:$D$788,MATCH(A320,Linha!$A$5:$A$788,0))*1,0)</f>
      </c>
      <c r="L320" s="36">
        <f>SUMIFS(Reservas!$K$5:$K$3669,Reservas!$A$5:$A$3669,A320)</f>
      </c>
      <c r="M320" s="37">
        <f>J320-L320</f>
      </c>
      <c r="N320" s="38">
        <v>6.678</v>
      </c>
      <c r="O320" s="37">
        <f>J320*N320</f>
      </c>
      <c r="P320" s="37">
        <f>L320*N320</f>
      </c>
      <c r="Q320" s="39">
        <v>45.94032936</v>
      </c>
      <c r="R320" s="40">
        <f>J320*Q320</f>
      </c>
      <c r="S320" s="40">
        <f>L320*Q320</f>
      </c>
      <c r="T320" s="41">
        <f>IF(J320=0,0,L320/J320)</f>
      </c>
      <c r="U320" s="42">
        <f>IFERROR(INDEX(Paletes!$C$5:$C$393,MATCH(B320,Paletes!$A$5:$A$393,0)),"SEM CADASTRO")</f>
      </c>
      <c r="V320" s="36">
        <f>IFERROR(INDEX(Paletes!$D$5:$D$393,MATCH(B320,Paletes!$A$5:$A$393,0)),0)</f>
      </c>
      <c r="W320" s="43">
        <f>IF(V320=0,0,J320/V320)</f>
      </c>
      <c r="X320" s="43">
        <f>IF(V320=0,0,MAX(M320,0)/V320)</f>
      </c>
    </row>
    <row r="321" spans="1:24" x14ac:dyDescent="0.25">
      <c r="A321" s="20" t="str">
        <f>B321&amp;"."&amp;IFERROR(MID(D321,FIND("(",D321)+1,FIND(")",D321)-FIND("(",D321)-1),"")</f>
        <v>85297.46171</v>
      </c>
      <c r="B321" s="21">
        <v>85297</v>
      </c>
      <c r="C321" s="20" t="s">
        <v>577</v>
      </c>
      <c r="D321" s="20" t="s">
        <v>578</v>
      </c>
      <c r="E321" s="20">
        <v>97850</v>
      </c>
      <c r="F321" s="20" t="s">
        <v>25</v>
      </c>
      <c r="G321" s="20" t="s">
        <v>51</v>
      </c>
      <c r="H321" s="22">
        <f>IFERROR(INDEX(Linha!$B$5:$B$788,MATCH(A321,Linha!$A$5:$A$788,0)),"NÃO CADASTRADO")</f>
      </c>
      <c r="I321" s="22">
        <f>IFERROR(INDEX(Linha!$C$5:$C$788,MATCH(A321,Linha!$A$5:$A$788,0)),"-")</f>
      </c>
      <c r="J321" s="23">
        <v>113</v>
      </c>
      <c r="K321" s="24">
        <f>IFERROR(INDEX(Linha!$D$5:$D$788,MATCH(A321,Linha!$A$5:$A$788,0))*1,0)</f>
      </c>
      <c r="L321" s="24">
        <f>SUMIFS(Reservas!$K$5:$K$3669,Reservas!$A$5:$A$3669,A321)</f>
      </c>
      <c r="M321" s="25">
        <f>J321-L321</f>
      </c>
      <c r="N321" s="26">
        <v>13.162</v>
      </c>
      <c r="O321" s="25">
        <f>J321*N321</f>
      </c>
      <c r="P321" s="25">
        <f>L321*N321</f>
      </c>
      <c r="Q321" s="27">
        <v>79.20086808</v>
      </c>
      <c r="R321" s="28">
        <f>J321*Q321</f>
      </c>
      <c r="S321" s="28">
        <f>L321*Q321</f>
      </c>
      <c r="T321" s="29">
        <f>IF(J321=0,0,L321/J321)</f>
      </c>
      <c r="U321" s="30">
        <f>IFERROR(INDEX(Paletes!$C$5:$C$393,MATCH(B321,Paletes!$A$5:$A$393,0)),"SEM CADASTRO")</f>
      </c>
      <c r="V321" s="24">
        <f>IFERROR(INDEX(Paletes!$D$5:$D$393,MATCH(B321,Paletes!$A$5:$A$393,0)),0)</f>
      </c>
      <c r="W321" s="31">
        <f>IF(V321=0,0,J321/V321)</f>
      </c>
      <c r="X321" s="31">
        <f>IF(V321=0,0,MAX(M321,0)/V321)</f>
      </c>
    </row>
    <row r="322" spans="1:24" x14ac:dyDescent="0.25">
      <c r="A322" s="32" t="str">
        <f>B322&amp;"."&amp;IFERROR(MID(D322,FIND("(",D322)+1,FIND(")",D322)-FIND("(",D322)-1),"")</f>
        <v>84715.31339</v>
      </c>
      <c r="B322" s="33">
        <v>84715</v>
      </c>
      <c r="C322" s="32" t="s">
        <v>280</v>
      </c>
      <c r="D322" s="32" t="s">
        <v>579</v>
      </c>
      <c r="E322" s="32">
        <v>96485</v>
      </c>
      <c r="F322" s="32" t="s">
        <v>26</v>
      </c>
      <c r="G322" s="32" t="s">
        <v>51</v>
      </c>
      <c r="H322" s="34">
        <f>IFERROR(INDEX(Linha!$B$5:$B$788,MATCH(A322,Linha!$A$5:$A$788,0)),"NÃO CADASTRADO")</f>
      </c>
      <c r="I322" s="34">
        <f>IFERROR(INDEX(Linha!$C$5:$C$788,MATCH(A322,Linha!$A$5:$A$788,0)),"-")</f>
      </c>
      <c r="J322" s="35">
        <v>0</v>
      </c>
      <c r="K322" s="36">
        <f>IFERROR(INDEX(Linha!$D$5:$D$788,MATCH(A322,Linha!$A$5:$A$788,0))*1,0)</f>
      </c>
      <c r="L322" s="36">
        <f>SUMIFS(Reservas!$K$5:$K$3669,Reservas!$A$5:$A$3669,A322)</f>
      </c>
      <c r="M322" s="37">
        <f>J322-L322</f>
      </c>
      <c r="N322" s="38">
        <v>53.625</v>
      </c>
      <c r="O322" s="37">
        <f>J322*N322</f>
      </c>
      <c r="P322" s="37">
        <f>L322*N322</f>
      </c>
      <c r="Q322" s="39">
        <v>168.83187756</v>
      </c>
      <c r="R322" s="40">
        <f>J322*Q322</f>
      </c>
      <c r="S322" s="40">
        <f>L322*Q322</f>
      </c>
      <c r="T322" s="41">
        <f>IF(J322=0,0,L322/J322)</f>
      </c>
      <c r="U322" s="42">
        <f>IFERROR(INDEX(Paletes!$C$5:$C$393,MATCH(B322,Paletes!$A$5:$A$393,0)),"SEM CADASTRO")</f>
      </c>
      <c r="V322" s="36">
        <f>IFERROR(INDEX(Paletes!$D$5:$D$393,MATCH(B322,Paletes!$A$5:$A$393,0)),0)</f>
      </c>
      <c r="W322" s="43">
        <f>IF(V322=0,0,J322/V322)</f>
      </c>
      <c r="X322" s="43">
        <f>IF(V322=0,0,MAX(M322,0)/V322)</f>
      </c>
    </row>
    <row r="323" spans="1:24" x14ac:dyDescent="0.25">
      <c r="A323" s="20" t="str">
        <f>B323&amp;"."&amp;IFERROR(MID(D323,FIND("(",D323)+1,FIND(")",D323)-FIND("(",D323)-1),"")</f>
        <v>84924.34870</v>
      </c>
      <c r="B323" s="21">
        <v>84924</v>
      </c>
      <c r="C323" s="20" t="s">
        <v>580</v>
      </c>
      <c r="D323" s="20" t="s">
        <v>581</v>
      </c>
      <c r="E323" s="20">
        <v>96441</v>
      </c>
      <c r="F323" s="20" t="s">
        <v>24</v>
      </c>
      <c r="G323" s="20" t="s">
        <v>51</v>
      </c>
      <c r="H323" s="22">
        <f>IFERROR(INDEX(Linha!$B$5:$B$788,MATCH(A323,Linha!$A$5:$A$788,0)),"NÃO CADASTRADO")</f>
      </c>
      <c r="I323" s="22">
        <f>IFERROR(INDEX(Linha!$C$5:$C$788,MATCH(A323,Linha!$A$5:$A$788,0)),"-")</f>
      </c>
      <c r="J323" s="23">
        <v>8</v>
      </c>
      <c r="K323" s="24">
        <f>IFERROR(INDEX(Linha!$D$5:$D$788,MATCH(A323,Linha!$A$5:$A$788,0))*1,0)</f>
      </c>
      <c r="L323" s="24">
        <f>SUMIFS(Reservas!$K$5:$K$3669,Reservas!$A$5:$A$3669,A323)</f>
      </c>
      <c r="M323" s="25">
        <f>J323-L323</f>
      </c>
      <c r="N323" s="26">
        <v>32.175</v>
      </c>
      <c r="O323" s="25">
        <f>J323*N323</f>
      </c>
      <c r="P323" s="25">
        <f>L323*N323</f>
      </c>
      <c r="Q323" s="27">
        <v>156.97745665</v>
      </c>
      <c r="R323" s="28">
        <f>J323*Q323</f>
      </c>
      <c r="S323" s="28">
        <f>L323*Q323</f>
      </c>
      <c r="T323" s="29">
        <f>IF(J323=0,0,L323/J323)</f>
      </c>
      <c r="U323" s="30">
        <f>IFERROR(INDEX(Paletes!$C$5:$C$393,MATCH(B323,Paletes!$A$5:$A$393,0)),"SEM CADASTRO")</f>
      </c>
      <c r="V323" s="24">
        <f>IFERROR(INDEX(Paletes!$D$5:$D$393,MATCH(B323,Paletes!$A$5:$A$393,0)),0)</f>
      </c>
      <c r="W323" s="31">
        <f>IF(V323=0,0,J323/V323)</f>
      </c>
      <c r="X323" s="31">
        <f>IF(V323=0,0,MAX(M323,0)/V323)</f>
      </c>
    </row>
    <row r="324" spans="1:24" x14ac:dyDescent="0.25">
      <c r="A324" s="32" t="str">
        <f>B324&amp;"."&amp;IFERROR(MID(D324,FIND("(",D324)+1,FIND(")",D324)-FIND("(",D324)-1),"")</f>
        <v>84924.34891</v>
      </c>
      <c r="B324" s="33">
        <v>84924</v>
      </c>
      <c r="C324" s="32" t="s">
        <v>580</v>
      </c>
      <c r="D324" s="32" t="s">
        <v>582</v>
      </c>
      <c r="E324" s="32">
        <v>96441</v>
      </c>
      <c r="F324" s="32" t="s">
        <v>24</v>
      </c>
      <c r="G324" s="32" t="s">
        <v>51</v>
      </c>
      <c r="H324" s="34">
        <f>IFERROR(INDEX(Linha!$B$5:$B$788,MATCH(A324,Linha!$A$5:$A$788,0)),"NÃO CADASTRADO")</f>
      </c>
      <c r="I324" s="34">
        <f>IFERROR(INDEX(Linha!$C$5:$C$788,MATCH(A324,Linha!$A$5:$A$788,0)),"-")</f>
      </c>
      <c r="J324" s="35">
        <v>0</v>
      </c>
      <c r="K324" s="36">
        <f>IFERROR(INDEX(Linha!$D$5:$D$788,MATCH(A324,Linha!$A$5:$A$788,0))*1,0)</f>
      </c>
      <c r="L324" s="36">
        <f>SUMIFS(Reservas!$K$5:$K$3669,Reservas!$A$5:$A$3669,A324)</f>
      </c>
      <c r="M324" s="37">
        <f>J324-L324</f>
      </c>
      <c r="N324" s="38">
        <v>32.175</v>
      </c>
      <c r="O324" s="37">
        <f>J324*N324</f>
      </c>
      <c r="P324" s="37">
        <f>L324*N324</f>
      </c>
      <c r="Q324" s="39">
        <v>159.94745666</v>
      </c>
      <c r="R324" s="40">
        <f>J324*Q324</f>
      </c>
      <c r="S324" s="40">
        <f>L324*Q324</f>
      </c>
      <c r="T324" s="41">
        <f>IF(J324=0,0,L324/J324)</f>
      </c>
      <c r="U324" s="42">
        <f>IFERROR(INDEX(Paletes!$C$5:$C$393,MATCH(B324,Paletes!$A$5:$A$393,0)),"SEM CADASTRO")</f>
      </c>
      <c r="V324" s="36">
        <f>IFERROR(INDEX(Paletes!$D$5:$D$393,MATCH(B324,Paletes!$A$5:$A$393,0)),0)</f>
      </c>
      <c r="W324" s="43">
        <f>IF(V324=0,0,J324/V324)</f>
      </c>
      <c r="X324" s="43">
        <f>IF(V324=0,0,MAX(M324,0)/V324)</f>
      </c>
    </row>
    <row r="325" spans="1:24" x14ac:dyDescent="0.25">
      <c r="A325" s="20" t="str">
        <f>B325&amp;"."&amp;IFERROR(MID(D325,FIND("(",D325)+1,FIND(")",D325)-FIND("(",D325)-1),"")</f>
        <v>84885.30943</v>
      </c>
      <c r="B325" s="21">
        <v>84885</v>
      </c>
      <c r="C325" s="20" t="s">
        <v>284</v>
      </c>
      <c r="D325" s="20" t="s">
        <v>583</v>
      </c>
      <c r="E325" s="20">
        <v>96635</v>
      </c>
      <c r="F325" s="20" t="s">
        <v>26</v>
      </c>
      <c r="G325" s="20" t="s">
        <v>51</v>
      </c>
      <c r="H325" s="22">
        <f>IFERROR(INDEX(Linha!$B$5:$B$788,MATCH(A325,Linha!$A$5:$A$788,0)),"NÃO CADASTRADO")</f>
      </c>
      <c r="I325" s="22">
        <f>IFERROR(INDEX(Linha!$C$5:$C$788,MATCH(A325,Linha!$A$5:$A$788,0)),"-")</f>
      </c>
      <c r="J325" s="23">
        <v>0</v>
      </c>
      <c r="K325" s="24">
        <f>IFERROR(INDEX(Linha!$D$5:$D$788,MATCH(A325,Linha!$A$5:$A$788,0))*1,0)</f>
      </c>
      <c r="L325" s="24">
        <f>SUMIFS(Reservas!$K$5:$K$3669,Reservas!$A$5:$A$3669,A325)</f>
      </c>
      <c r="M325" s="25">
        <f>J325-L325</f>
      </c>
      <c r="N325" s="26">
        <v>66.748</v>
      </c>
      <c r="O325" s="25">
        <f>J325*N325</f>
      </c>
      <c r="P325" s="25">
        <f>L325*N325</f>
      </c>
      <c r="Q325" s="27">
        <v>255.28689502</v>
      </c>
      <c r="R325" s="28">
        <f>J325*Q325</f>
      </c>
      <c r="S325" s="28">
        <f>L325*Q325</f>
      </c>
      <c r="T325" s="29">
        <f>IF(J325=0,0,L325/J325)</f>
      </c>
      <c r="U325" s="30">
        <f>IFERROR(INDEX(Paletes!$C$5:$C$393,MATCH(B325,Paletes!$A$5:$A$393,0)),"SEM CADASTRO")</f>
      </c>
      <c r="V325" s="24">
        <f>IFERROR(INDEX(Paletes!$D$5:$D$393,MATCH(B325,Paletes!$A$5:$A$393,0)),0)</f>
      </c>
      <c r="W325" s="31">
        <f>IF(V325=0,0,J325/V325)</f>
      </c>
      <c r="X325" s="31">
        <f>IF(V325=0,0,MAX(M325,0)/V325)</f>
      </c>
    </row>
    <row r="326" spans="1:24" x14ac:dyDescent="0.25">
      <c r="A326" s="32" t="str">
        <f>B326&amp;"."&amp;IFERROR(MID(D326,FIND("(",D326)+1,FIND(")",D326)-FIND("(",D326)-1),"")</f>
        <v>217.16135</v>
      </c>
      <c r="B326" s="33">
        <v>217</v>
      </c>
      <c r="C326" s="32" t="s">
        <v>132</v>
      </c>
      <c r="D326" s="32" t="s">
        <v>584</v>
      </c>
      <c r="E326" s="32">
        <v>32317</v>
      </c>
      <c r="F326" s="32" t="s">
        <v>25</v>
      </c>
      <c r="G326" s="32" t="s">
        <v>51</v>
      </c>
      <c r="H326" s="34">
        <f>IFERROR(INDEX(Linha!$B$5:$B$788,MATCH(A326,Linha!$A$5:$A$788,0)),"NÃO CADASTRADO")</f>
      </c>
      <c r="I326" s="34">
        <f>IFERROR(INDEX(Linha!$C$5:$C$788,MATCH(A326,Linha!$A$5:$A$788,0)),"-")</f>
      </c>
      <c r="J326" s="35">
        <v>236</v>
      </c>
      <c r="K326" s="36">
        <f>IFERROR(INDEX(Linha!$D$5:$D$788,MATCH(A326,Linha!$A$5:$A$788,0))*1,0)</f>
      </c>
      <c r="L326" s="36">
        <f>SUMIFS(Reservas!$K$5:$K$3669,Reservas!$A$5:$A$3669,A326)</f>
      </c>
      <c r="M326" s="37">
        <f>J326-L326</f>
      </c>
      <c r="N326" s="38">
        <v>11.51</v>
      </c>
      <c r="O326" s="37">
        <f>J326*N326</f>
      </c>
      <c r="P326" s="37">
        <f>L326*N326</f>
      </c>
      <c r="Q326" s="39">
        <v>69.02670215</v>
      </c>
      <c r="R326" s="40">
        <f>J326*Q326</f>
      </c>
      <c r="S326" s="40">
        <f>L326*Q326</f>
      </c>
      <c r="T326" s="41">
        <f>IF(J326=0,0,L326/J326)</f>
      </c>
      <c r="U326" s="42">
        <f>IFERROR(INDEX(Paletes!$C$5:$C$393,MATCH(B326,Paletes!$A$5:$A$393,0)),"SEM CADASTRO")</f>
      </c>
      <c r="V326" s="36">
        <f>IFERROR(INDEX(Paletes!$D$5:$D$393,MATCH(B326,Paletes!$A$5:$A$393,0)),0)</f>
      </c>
      <c r="W326" s="43">
        <f>IF(V326=0,0,J326/V326)</f>
      </c>
      <c r="X326" s="43">
        <f>IF(V326=0,0,MAX(M326,0)/V326)</f>
      </c>
    </row>
    <row r="327" spans="1:24" x14ac:dyDescent="0.25">
      <c r="A327" s="20" t="str">
        <f>B327&amp;"."&amp;IFERROR(MID(D327,FIND("(",D327)+1,FIND(")",D327)-FIND("(",D327)-1),"")</f>
        <v>217.16145</v>
      </c>
      <c r="B327" s="21">
        <v>217</v>
      </c>
      <c r="C327" s="20" t="s">
        <v>132</v>
      </c>
      <c r="D327" s="20" t="s">
        <v>585</v>
      </c>
      <c r="E327" s="20">
        <v>32317</v>
      </c>
      <c r="F327" s="20" t="s">
        <v>25</v>
      </c>
      <c r="G327" s="20" t="s">
        <v>51</v>
      </c>
      <c r="H327" s="22">
        <f>IFERROR(INDEX(Linha!$B$5:$B$788,MATCH(A327,Linha!$A$5:$A$788,0)),"NÃO CADASTRADO")</f>
      </c>
      <c r="I327" s="22">
        <f>IFERROR(INDEX(Linha!$C$5:$C$788,MATCH(A327,Linha!$A$5:$A$788,0)),"-")</f>
      </c>
      <c r="J327" s="23">
        <v>727</v>
      </c>
      <c r="K327" s="24">
        <f>IFERROR(INDEX(Linha!$D$5:$D$788,MATCH(A327,Linha!$A$5:$A$788,0))*1,0)</f>
      </c>
      <c r="L327" s="24">
        <f>SUMIFS(Reservas!$K$5:$K$3669,Reservas!$A$5:$A$3669,A327)</f>
      </c>
      <c r="M327" s="25">
        <f>J327-L327</f>
      </c>
      <c r="N327" s="26">
        <v>11.51</v>
      </c>
      <c r="O327" s="25">
        <f>J327*N327</f>
      </c>
      <c r="P327" s="25">
        <f>L327*N327</f>
      </c>
      <c r="Q327" s="27">
        <v>63.38366582</v>
      </c>
      <c r="R327" s="28">
        <f>J327*Q327</f>
      </c>
      <c r="S327" s="28">
        <f>L327*Q327</f>
      </c>
      <c r="T327" s="29">
        <f>IF(J327=0,0,L327/J327)</f>
      </c>
      <c r="U327" s="30">
        <f>IFERROR(INDEX(Paletes!$C$5:$C$393,MATCH(B327,Paletes!$A$5:$A$393,0)),"SEM CADASTRO")</f>
      </c>
      <c r="V327" s="24">
        <f>IFERROR(INDEX(Paletes!$D$5:$D$393,MATCH(B327,Paletes!$A$5:$A$393,0)),0)</f>
      </c>
      <c r="W327" s="31">
        <f>IF(V327=0,0,J327/V327)</f>
      </c>
      <c r="X327" s="31">
        <f>IF(V327=0,0,MAX(M327,0)/V327)</f>
      </c>
    </row>
    <row r="328" spans="1:24" x14ac:dyDescent="0.25">
      <c r="A328" s="32" t="str">
        <f>B328&amp;"."&amp;IFERROR(MID(D328,FIND("(",D328)+1,FIND(")",D328)-FIND("(",D328)-1),"")</f>
        <v>87626.93316</v>
      </c>
      <c r="B328" s="33">
        <v>87626</v>
      </c>
      <c r="C328" s="32" t="s">
        <v>135</v>
      </c>
      <c r="D328" s="32" t="s">
        <v>586</v>
      </c>
      <c r="E328" s="32" t="s">
        <v>89</v>
      </c>
      <c r="F328" s="32" t="s">
        <v>25</v>
      </c>
      <c r="G328" s="32" t="s">
        <v>51</v>
      </c>
      <c r="H328" s="34">
        <f>IFERROR(INDEX(Linha!$B$5:$B$788,MATCH(A328,Linha!$A$5:$A$788,0)),"NÃO CADASTRADO")</f>
      </c>
      <c r="I328" s="34">
        <f>IFERROR(INDEX(Linha!$C$5:$C$788,MATCH(A328,Linha!$A$5:$A$788,0)),"-")</f>
      </c>
      <c r="J328" s="35">
        <v>70</v>
      </c>
      <c r="K328" s="36">
        <f>IFERROR(INDEX(Linha!$D$5:$D$788,MATCH(A328,Linha!$A$5:$A$788,0))*1,0)</f>
      </c>
      <c r="L328" s="36">
        <f>SUMIFS(Reservas!$K$5:$K$3669,Reservas!$A$5:$A$3669,A328)</f>
      </c>
      <c r="M328" s="37">
        <f>J328-L328</f>
      </c>
      <c r="N328" s="38">
        <v>11.51</v>
      </c>
      <c r="O328" s="37">
        <f>J328*N328</f>
      </c>
      <c r="P328" s="37">
        <f>L328*N328</f>
      </c>
      <c r="Q328" s="39">
        <v>61.25729498</v>
      </c>
      <c r="R328" s="40">
        <f>J328*Q328</f>
      </c>
      <c r="S328" s="40">
        <f>L328*Q328</f>
      </c>
      <c r="T328" s="41">
        <f>IF(J328=0,0,L328/J328)</f>
      </c>
      <c r="U328" s="42">
        <f>IFERROR(INDEX(Paletes!$C$5:$C$393,MATCH(B328,Paletes!$A$5:$A$393,0)),"SEM CADASTRO")</f>
      </c>
      <c r="V328" s="36">
        <f>IFERROR(INDEX(Paletes!$D$5:$D$393,MATCH(B328,Paletes!$A$5:$A$393,0)),0)</f>
      </c>
      <c r="W328" s="43">
        <f>IF(V328=0,0,J328/V328)</f>
      </c>
      <c r="X328" s="43">
        <f>IF(V328=0,0,MAX(M328,0)/V328)</f>
      </c>
    </row>
    <row r="329" spans="1:24" x14ac:dyDescent="0.25">
      <c r="A329" s="20" t="str">
        <f>B329&amp;"."&amp;IFERROR(MID(D329,FIND("(",D329)+1,FIND(")",D329)-FIND("(",D329)-1),"")</f>
        <v>87142.90821</v>
      </c>
      <c r="B329" s="21">
        <v>87142</v>
      </c>
      <c r="C329" s="20" t="s">
        <v>587</v>
      </c>
      <c r="D329" s="20" t="s">
        <v>588</v>
      </c>
      <c r="E329" s="20">
        <v>104883</v>
      </c>
      <c r="F329" s="20" t="s">
        <v>24</v>
      </c>
      <c r="G329" s="20" t="s">
        <v>51</v>
      </c>
      <c r="H329" s="22">
        <f>IFERROR(INDEX(Linha!$B$5:$B$788,MATCH(A329,Linha!$A$5:$A$788,0)),"NÃO CADASTRADO")</f>
      </c>
      <c r="I329" s="22">
        <f>IFERROR(INDEX(Linha!$C$5:$C$788,MATCH(A329,Linha!$A$5:$A$788,0)),"-")</f>
      </c>
      <c r="J329" s="23">
        <v>464</v>
      </c>
      <c r="K329" s="24">
        <f>IFERROR(INDEX(Linha!$D$5:$D$788,MATCH(A329,Linha!$A$5:$A$788,0))*1,0)</f>
      </c>
      <c r="L329" s="24">
        <f>SUMIFS(Reservas!$K$5:$K$3669,Reservas!$A$5:$A$3669,A329)</f>
      </c>
      <c r="M329" s="25">
        <f>J329-L329</f>
      </c>
      <c r="N329" s="26">
        <v>38.025</v>
      </c>
      <c r="O329" s="25">
        <f>J329*N329</f>
      </c>
      <c r="P329" s="25">
        <f>L329*N329</f>
      </c>
      <c r="Q329" s="27">
        <v>232.18972672</v>
      </c>
      <c r="R329" s="28">
        <f>J329*Q329</f>
      </c>
      <c r="S329" s="28">
        <f>L329*Q329</f>
      </c>
      <c r="T329" s="29">
        <f>IF(J329=0,0,L329/J329)</f>
      </c>
      <c r="U329" s="30">
        <f>IFERROR(INDEX(Paletes!$C$5:$C$393,MATCH(B329,Paletes!$A$5:$A$393,0)),"SEM CADASTRO")</f>
      </c>
      <c r="V329" s="24">
        <f>IFERROR(INDEX(Paletes!$D$5:$D$393,MATCH(B329,Paletes!$A$5:$A$393,0)),0)</f>
      </c>
      <c r="W329" s="31">
        <f>IF(V329=0,0,J329/V329)</f>
      </c>
      <c r="X329" s="31">
        <f>IF(V329=0,0,MAX(M329,0)/V329)</f>
      </c>
    </row>
    <row r="330" spans="1:24" x14ac:dyDescent="0.25">
      <c r="A330" s="32" t="str">
        <f>B330&amp;"."&amp;IFERROR(MID(D330,FIND("(",D330)+1,FIND(")",D330)-FIND("(",D330)-1),"")</f>
        <v>81844.13798</v>
      </c>
      <c r="B330" s="33">
        <v>81844</v>
      </c>
      <c r="C330" s="32" t="s">
        <v>454</v>
      </c>
      <c r="D330" s="32" t="s">
        <v>589</v>
      </c>
      <c r="E330" s="32">
        <v>93641</v>
      </c>
      <c r="F330" s="32" t="s">
        <v>26</v>
      </c>
      <c r="G330" s="32" t="s">
        <v>51</v>
      </c>
      <c r="H330" s="34">
        <f>IFERROR(INDEX(Linha!$B$5:$B$788,MATCH(A330,Linha!$A$5:$A$788,0)),"NÃO CADASTRADO")</f>
      </c>
      <c r="I330" s="34">
        <f>IFERROR(INDEX(Linha!$C$5:$C$788,MATCH(A330,Linha!$A$5:$A$788,0)),"-")</f>
      </c>
      <c r="J330" s="35">
        <v>0</v>
      </c>
      <c r="K330" s="36">
        <f>IFERROR(INDEX(Linha!$D$5:$D$788,MATCH(A330,Linha!$A$5:$A$788,0))*1,0)</f>
      </c>
      <c r="L330" s="36">
        <f>SUMIFS(Reservas!$K$5:$K$3669,Reservas!$A$5:$A$3669,A330)</f>
      </c>
      <c r="M330" s="37">
        <f>J330-L330</f>
      </c>
      <c r="N330" s="38">
        <v>47.024</v>
      </c>
      <c r="O330" s="37">
        <f>J330*N330</f>
      </c>
      <c r="P330" s="37">
        <f>L330*N330</f>
      </c>
      <c r="Q330" s="39">
        <v>148.36969394</v>
      </c>
      <c r="R330" s="40">
        <f>J330*Q330</f>
      </c>
      <c r="S330" s="40">
        <f>L330*Q330</f>
      </c>
      <c r="T330" s="41">
        <f>IF(J330=0,0,L330/J330)</f>
      </c>
      <c r="U330" s="42">
        <f>IFERROR(INDEX(Paletes!$C$5:$C$393,MATCH(B330,Paletes!$A$5:$A$393,0)),"SEM CADASTRO")</f>
      </c>
      <c r="V330" s="36">
        <f>IFERROR(INDEX(Paletes!$D$5:$D$393,MATCH(B330,Paletes!$A$5:$A$393,0)),0)</f>
      </c>
      <c r="W330" s="43">
        <f>IF(V330=0,0,J330/V330)</f>
      </c>
      <c r="X330" s="43">
        <f>IF(V330=0,0,MAX(M330,0)/V330)</f>
      </c>
    </row>
    <row r="331" spans="1:24" x14ac:dyDescent="0.25">
      <c r="A331" s="20" t="str">
        <f>B331&amp;"."&amp;IFERROR(MID(D331,FIND("(",D331)+1,FIND(")",D331)-FIND("(",D331)-1),"")</f>
        <v>85553.46147</v>
      </c>
      <c r="B331" s="21">
        <v>85553</v>
      </c>
      <c r="C331" s="20" t="s">
        <v>590</v>
      </c>
      <c r="D331" s="20" t="s">
        <v>591</v>
      </c>
      <c r="E331" s="20">
        <v>98502</v>
      </c>
      <c r="F331" s="20" t="s">
        <v>25</v>
      </c>
      <c r="G331" s="20" t="s">
        <v>51</v>
      </c>
      <c r="H331" s="22">
        <f>IFERROR(INDEX(Linha!$B$5:$B$788,MATCH(A331,Linha!$A$5:$A$788,0)),"NÃO CADASTRADO")</f>
      </c>
      <c r="I331" s="22">
        <f>IFERROR(INDEX(Linha!$C$5:$C$788,MATCH(A331,Linha!$A$5:$A$788,0)),"-")</f>
      </c>
      <c r="J331" s="23">
        <v>91</v>
      </c>
      <c r="K331" s="24">
        <f>IFERROR(INDEX(Linha!$D$5:$D$788,MATCH(A331,Linha!$A$5:$A$788,0))*1,0)</f>
      </c>
      <c r="L331" s="24">
        <f>SUMIFS(Reservas!$K$5:$K$3669,Reservas!$A$5:$A$3669,A331)</f>
      </c>
      <c r="M331" s="25">
        <f>J331-L331</f>
      </c>
      <c r="N331" s="26">
        <v>37.196</v>
      </c>
      <c r="O331" s="25">
        <f>J331*N331</f>
      </c>
      <c r="P331" s="25">
        <f>L331*N331</f>
      </c>
      <c r="Q331" s="27">
        <v>279.10465625</v>
      </c>
      <c r="R331" s="28">
        <f>J331*Q331</f>
      </c>
      <c r="S331" s="28">
        <f>L331*Q331</f>
      </c>
      <c r="T331" s="29">
        <f>IF(J331=0,0,L331/J331)</f>
      </c>
      <c r="U331" s="30">
        <f>IFERROR(INDEX(Paletes!$C$5:$C$393,MATCH(B331,Paletes!$A$5:$A$393,0)),"SEM CADASTRO")</f>
      </c>
      <c r="V331" s="24">
        <f>IFERROR(INDEX(Paletes!$D$5:$D$393,MATCH(B331,Paletes!$A$5:$A$393,0)),0)</f>
      </c>
      <c r="W331" s="31">
        <f>IF(V331=0,0,J331/V331)</f>
      </c>
      <c r="X331" s="31">
        <f>IF(V331=0,0,MAX(M331,0)/V331)</f>
      </c>
    </row>
    <row r="332" spans="1:24" x14ac:dyDescent="0.25">
      <c r="A332" s="32" t="str">
        <f>B332&amp;"."&amp;IFERROR(MID(D332,FIND("(",D332)+1,FIND(")",D332)-FIND("(",D332)-1),"")</f>
        <v>85594.48662</v>
      </c>
      <c r="B332" s="33">
        <v>85594</v>
      </c>
      <c r="C332" s="32" t="s">
        <v>592</v>
      </c>
      <c r="D332" s="32" t="s">
        <v>593</v>
      </c>
      <c r="E332" s="32">
        <v>99610</v>
      </c>
      <c r="F332" s="32" t="s">
        <v>25</v>
      </c>
      <c r="G332" s="32" t="s">
        <v>51</v>
      </c>
      <c r="H332" s="34">
        <f>IFERROR(INDEX(Linha!$B$5:$B$788,MATCH(A332,Linha!$A$5:$A$788,0)),"NÃO CADASTRADO")</f>
      </c>
      <c r="I332" s="34">
        <f>IFERROR(INDEX(Linha!$C$5:$C$788,MATCH(A332,Linha!$A$5:$A$788,0)),"-")</f>
      </c>
      <c r="J332" s="35">
        <v>71</v>
      </c>
      <c r="K332" s="36">
        <f>IFERROR(INDEX(Linha!$D$5:$D$788,MATCH(A332,Linha!$A$5:$A$788,0))*1,0)</f>
      </c>
      <c r="L332" s="36">
        <f>SUMIFS(Reservas!$K$5:$K$3669,Reservas!$A$5:$A$3669,A332)</f>
      </c>
      <c r="M332" s="37">
        <f>J332-L332</f>
      </c>
      <c r="N332" s="38">
        <v>24.375</v>
      </c>
      <c r="O332" s="37">
        <f>J332*N332</f>
      </c>
      <c r="P332" s="37">
        <f>L332*N332</f>
      </c>
      <c r="Q332" s="39">
        <v>165.94952455</v>
      </c>
      <c r="R332" s="40">
        <f>J332*Q332</f>
      </c>
      <c r="S332" s="40">
        <f>L332*Q332</f>
      </c>
      <c r="T332" s="41">
        <f>IF(J332=0,0,L332/J332)</f>
      </c>
      <c r="U332" s="42">
        <f>IFERROR(INDEX(Paletes!$C$5:$C$393,MATCH(B332,Paletes!$A$5:$A$393,0)),"SEM CADASTRO")</f>
      </c>
      <c r="V332" s="36">
        <f>IFERROR(INDEX(Paletes!$D$5:$D$393,MATCH(B332,Paletes!$A$5:$A$393,0)),0)</f>
      </c>
      <c r="W332" s="43">
        <f>IF(V332=0,0,J332/V332)</f>
      </c>
      <c r="X332" s="43">
        <f>IF(V332=0,0,MAX(M332,0)/V332)</f>
      </c>
    </row>
    <row r="333" spans="1:24" x14ac:dyDescent="0.25">
      <c r="A333" s="20" t="str">
        <f>B333&amp;"."&amp;IFERROR(MID(D333,FIND("(",D333)+1,FIND(")",D333)-FIND("(",D333)-1),"")</f>
        <v>87023.90072</v>
      </c>
      <c r="B333" s="21">
        <v>87023</v>
      </c>
      <c r="C333" s="20" t="s">
        <v>594</v>
      </c>
      <c r="D333" s="20" t="s">
        <v>595</v>
      </c>
      <c r="E333" s="20">
        <v>102956</v>
      </c>
      <c r="F333" s="20" t="s">
        <v>24</v>
      </c>
      <c r="G333" s="20" t="s">
        <v>51</v>
      </c>
      <c r="H333" s="22">
        <f>IFERROR(INDEX(Linha!$B$5:$B$788,MATCH(A333,Linha!$A$5:$A$788,0)),"NÃO CADASTRADO")</f>
      </c>
      <c r="I333" s="22">
        <f>IFERROR(INDEX(Linha!$C$5:$C$788,MATCH(A333,Linha!$A$5:$A$788,0)),"-")</f>
      </c>
      <c r="J333" s="23">
        <v>2</v>
      </c>
      <c r="K333" s="24">
        <f>IFERROR(INDEX(Linha!$D$5:$D$788,MATCH(A333,Linha!$A$5:$A$788,0))*1,0)</f>
      </c>
      <c r="L333" s="24">
        <f>SUMIFS(Reservas!$K$5:$K$3669,Reservas!$A$5:$A$3669,A333)</f>
      </c>
      <c r="M333" s="25">
        <f>J333-L333</f>
      </c>
      <c r="N333" s="26">
        <v>34.125</v>
      </c>
      <c r="O333" s="25">
        <f>J333*N333</f>
      </c>
      <c r="P333" s="25">
        <f>L333*N333</f>
      </c>
      <c r="Q333" s="27">
        <v>192.56198366</v>
      </c>
      <c r="R333" s="28">
        <f>J333*Q333</f>
      </c>
      <c r="S333" s="28">
        <f>L333*Q333</f>
      </c>
      <c r="T333" s="29">
        <f>IF(J333=0,0,L333/J333)</f>
      </c>
      <c r="U333" s="30">
        <f>IFERROR(INDEX(Paletes!$C$5:$C$393,MATCH(B333,Paletes!$A$5:$A$393,0)),"SEM CADASTRO")</f>
      </c>
      <c r="V333" s="24">
        <f>IFERROR(INDEX(Paletes!$D$5:$D$393,MATCH(B333,Paletes!$A$5:$A$393,0)),0)</f>
      </c>
      <c r="W333" s="31">
        <f>IF(V333=0,0,J333/V333)</f>
      </c>
      <c r="X333" s="31">
        <f>IF(V333=0,0,MAX(M333,0)/V333)</f>
      </c>
    </row>
    <row r="334" spans="1:24" x14ac:dyDescent="0.25">
      <c r="A334" s="32" t="str">
        <f>B334&amp;"."&amp;IFERROR(MID(D334,FIND("(",D334)+1,FIND(")",D334)-FIND("(",D334)-1),"")</f>
        <v>87469.91612</v>
      </c>
      <c r="B334" s="33">
        <v>87469</v>
      </c>
      <c r="C334" s="32" t="s">
        <v>146</v>
      </c>
      <c r="D334" s="32" t="s">
        <v>596</v>
      </c>
      <c r="E334" s="32">
        <v>104712</v>
      </c>
      <c r="F334" s="32" t="s">
        <v>26</v>
      </c>
      <c r="G334" s="32" t="s">
        <v>51</v>
      </c>
      <c r="H334" s="34">
        <f>IFERROR(INDEX(Linha!$B$5:$B$788,MATCH(A334,Linha!$A$5:$A$788,0)),"NÃO CADASTRADO")</f>
      </c>
      <c r="I334" s="34">
        <f>IFERROR(INDEX(Linha!$C$5:$C$788,MATCH(A334,Linha!$A$5:$A$788,0)),"-")</f>
      </c>
      <c r="J334" s="35">
        <v>173</v>
      </c>
      <c r="K334" s="36">
        <f>IFERROR(INDEX(Linha!$D$5:$D$788,MATCH(A334,Linha!$A$5:$A$788,0))*1,0)</f>
      </c>
      <c r="L334" s="36">
        <f>SUMIFS(Reservas!$K$5:$K$3669,Reservas!$A$5:$A$3669,A334)</f>
      </c>
      <c r="M334" s="37">
        <f>J334-L334</f>
      </c>
      <c r="N334" s="38">
        <v>46.848</v>
      </c>
      <c r="O334" s="37">
        <f>J334*N334</f>
      </c>
      <c r="P334" s="37">
        <f>L334*N334</f>
      </c>
      <c r="Q334" s="39">
        <v>153.49995128</v>
      </c>
      <c r="R334" s="40">
        <f>J334*Q334</f>
      </c>
      <c r="S334" s="40">
        <f>L334*Q334</f>
      </c>
      <c r="T334" s="41">
        <f>IF(J334=0,0,L334/J334)</f>
      </c>
      <c r="U334" s="42">
        <f>IFERROR(INDEX(Paletes!$C$5:$C$393,MATCH(B334,Paletes!$A$5:$A$393,0)),"SEM CADASTRO")</f>
      </c>
      <c r="V334" s="36">
        <f>IFERROR(INDEX(Paletes!$D$5:$D$393,MATCH(B334,Paletes!$A$5:$A$393,0)),0)</f>
      </c>
      <c r="W334" s="43">
        <f>IF(V334=0,0,J334/V334)</f>
      </c>
      <c r="X334" s="43">
        <f>IF(V334=0,0,MAX(M334,0)/V334)</f>
      </c>
    </row>
    <row r="335" spans="1:24" x14ac:dyDescent="0.25">
      <c r="A335" s="20" t="str">
        <f>B335&amp;"."&amp;IFERROR(MID(D335,FIND("(",D335)+1,FIND(")",D335)-FIND("(",D335)-1),"")</f>
        <v>87566.</v>
      </c>
      <c r="B335" s="21">
        <v>87566</v>
      </c>
      <c r="C335" s="20" t="s">
        <v>597</v>
      </c>
      <c r="D335" s="20" t="s">
        <v>89</v>
      </c>
      <c r="E335" s="20">
        <v>105094</v>
      </c>
      <c r="F335" s="20" t="s">
        <v>26</v>
      </c>
      <c r="G335" s="20" t="s">
        <v>51</v>
      </c>
      <c r="H335" s="22">
        <f>IFERROR(INDEX(Linha!$B$5:$B$788,MATCH(A335,Linha!$A$5:$A$788,0)),"NÃO CADASTRADO")</f>
      </c>
      <c r="I335" s="22">
        <f>IFERROR(INDEX(Linha!$C$5:$C$788,MATCH(A335,Linha!$A$5:$A$788,0)),"-")</f>
      </c>
      <c r="J335" s="23">
        <v>335</v>
      </c>
      <c r="K335" s="24">
        <f>IFERROR(INDEX(Linha!$D$5:$D$788,MATCH(A335,Linha!$A$5:$A$788,0))*1,0)</f>
      </c>
      <c r="L335" s="24">
        <f>SUMIFS(Reservas!$K$5:$K$3669,Reservas!$A$5:$A$3669,A335)</f>
      </c>
      <c r="M335" s="25">
        <f>J335-L335</f>
      </c>
      <c r="N335" s="26">
        <v>11.7</v>
      </c>
      <c r="O335" s="25">
        <f>J335*N335</f>
      </c>
      <c r="P335" s="25">
        <f>L335*N335</f>
      </c>
      <c r="Q335" s="27">
        <v>89.7194873</v>
      </c>
      <c r="R335" s="28">
        <f>J335*Q335</f>
      </c>
      <c r="S335" s="28">
        <f>L335*Q335</f>
      </c>
      <c r="T335" s="29">
        <f>IF(J335=0,0,L335/J335)</f>
      </c>
      <c r="U335" s="30">
        <f>IFERROR(INDEX(Paletes!$C$5:$C$393,MATCH(B335,Paletes!$A$5:$A$393,0)),"SEM CADASTRO")</f>
      </c>
      <c r="V335" s="24">
        <f>IFERROR(INDEX(Paletes!$D$5:$D$393,MATCH(B335,Paletes!$A$5:$A$393,0)),0)</f>
      </c>
      <c r="W335" s="31">
        <f>IF(V335=0,0,J335/V335)</f>
      </c>
      <c r="X335" s="31">
        <f>IF(V335=0,0,MAX(M335,0)/V335)</f>
      </c>
    </row>
    <row r="336" spans="1:24" x14ac:dyDescent="0.25">
      <c r="A336" s="32" t="str">
        <f>B336&amp;"."&amp;IFERROR(MID(D336,FIND("(",D336)+1,FIND(")",D336)-FIND("(",D336)-1),"")</f>
        <v>87107.90683</v>
      </c>
      <c r="B336" s="33">
        <v>87107</v>
      </c>
      <c r="C336" s="32" t="s">
        <v>598</v>
      </c>
      <c r="D336" s="32" t="s">
        <v>599</v>
      </c>
      <c r="E336" s="32">
        <v>104351</v>
      </c>
      <c r="F336" s="32" t="s">
        <v>26</v>
      </c>
      <c r="G336" s="32" t="s">
        <v>51</v>
      </c>
      <c r="H336" s="34">
        <f>IFERROR(INDEX(Linha!$B$5:$B$788,MATCH(A336,Linha!$A$5:$A$788,0)),"NÃO CADASTRADO")</f>
      </c>
      <c r="I336" s="34">
        <f>IFERROR(INDEX(Linha!$C$5:$C$788,MATCH(A336,Linha!$A$5:$A$788,0)),"-")</f>
      </c>
      <c r="J336" s="35">
        <v>225</v>
      </c>
      <c r="K336" s="36">
        <f>IFERROR(INDEX(Linha!$D$5:$D$788,MATCH(A336,Linha!$A$5:$A$788,0))*1,0)</f>
      </c>
      <c r="L336" s="36">
        <f>SUMIFS(Reservas!$K$5:$K$3669,Reservas!$A$5:$A$3669,A336)</f>
      </c>
      <c r="M336" s="37">
        <f>J336-L336</f>
      </c>
      <c r="N336" s="38">
        <v>23.4</v>
      </c>
      <c r="O336" s="37">
        <f>J336*N336</f>
      </c>
      <c r="P336" s="37">
        <f>L336*N336</f>
      </c>
      <c r="Q336" s="39">
        <v>113.65888021</v>
      </c>
      <c r="R336" s="40">
        <f>J336*Q336</f>
      </c>
      <c r="S336" s="40">
        <f>L336*Q336</f>
      </c>
      <c r="T336" s="41">
        <f>IF(J336=0,0,L336/J336)</f>
      </c>
      <c r="U336" s="42">
        <f>IFERROR(INDEX(Paletes!$C$5:$C$393,MATCH(B336,Paletes!$A$5:$A$393,0)),"SEM CADASTRO")</f>
      </c>
      <c r="V336" s="36">
        <f>IFERROR(INDEX(Paletes!$D$5:$D$393,MATCH(B336,Paletes!$A$5:$A$393,0)),0)</f>
      </c>
      <c r="W336" s="43">
        <f>IF(V336=0,0,J336/V336)</f>
      </c>
      <c r="X336" s="43">
        <f>IF(V336=0,0,MAX(M336,0)/V336)</f>
      </c>
    </row>
    <row r="337" spans="1:24" x14ac:dyDescent="0.25">
      <c r="A337" s="20" t="str">
        <f>B337&amp;"."&amp;IFERROR(MID(D337,FIND("(",D337)+1,FIND(")",D337)-FIND("(",D337)-1),"")</f>
        <v>74614.55695</v>
      </c>
      <c r="B337" s="21">
        <v>74614</v>
      </c>
      <c r="C337" s="20" t="s">
        <v>600</v>
      </c>
      <c r="D337" s="20" t="s">
        <v>601</v>
      </c>
      <c r="E337" s="20">
        <v>80751</v>
      </c>
      <c r="F337" s="20" t="s">
        <v>26</v>
      </c>
      <c r="G337" s="20" t="s">
        <v>51</v>
      </c>
      <c r="H337" s="22">
        <f>IFERROR(INDEX(Linha!$B$5:$B$788,MATCH(A337,Linha!$A$5:$A$788,0)),"NÃO CADASTRADO")</f>
      </c>
      <c r="I337" s="22">
        <f>IFERROR(INDEX(Linha!$C$5:$C$788,MATCH(A337,Linha!$A$5:$A$788,0)),"-")</f>
      </c>
      <c r="J337" s="23">
        <v>1</v>
      </c>
      <c r="K337" s="24">
        <f>IFERROR(INDEX(Linha!$D$5:$D$788,MATCH(A337,Linha!$A$5:$A$788,0))*1,0)</f>
      </c>
      <c r="L337" s="24">
        <f>SUMIFS(Reservas!$K$5:$K$3669,Reservas!$A$5:$A$3669,A337)</f>
      </c>
      <c r="M337" s="25">
        <f>J337-L337</f>
      </c>
      <c r="N337" s="26">
        <v>36.318</v>
      </c>
      <c r="O337" s="25">
        <f>J337*N337</f>
      </c>
      <c r="P337" s="25">
        <f>L337*N337</f>
      </c>
      <c r="Q337" s="27">
        <v>105.77403067</v>
      </c>
      <c r="R337" s="28">
        <f>J337*Q337</f>
      </c>
      <c r="S337" s="28">
        <f>L337*Q337</f>
      </c>
      <c r="T337" s="29">
        <f>IF(J337=0,0,L337/J337)</f>
      </c>
      <c r="U337" s="30">
        <f>IFERROR(INDEX(Paletes!$C$5:$C$393,MATCH(B337,Paletes!$A$5:$A$393,0)),"SEM CADASTRO")</f>
      </c>
      <c r="V337" s="24">
        <f>IFERROR(INDEX(Paletes!$D$5:$D$393,MATCH(B337,Paletes!$A$5:$A$393,0)),0)</f>
      </c>
      <c r="W337" s="31">
        <f>IF(V337=0,0,J337/V337)</f>
      </c>
      <c r="X337" s="31">
        <f>IF(V337=0,0,MAX(M337,0)/V337)</f>
      </c>
    </row>
    <row r="338" spans="1:24" x14ac:dyDescent="0.25">
      <c r="A338" s="32" t="str">
        <f>B338&amp;"."&amp;IFERROR(MID(D338,FIND("(",D338)+1,FIND(")",D338)-FIND("(",D338)-1),"")</f>
        <v>74614.55696</v>
      </c>
      <c r="B338" s="33">
        <v>74614</v>
      </c>
      <c r="C338" s="32" t="s">
        <v>600</v>
      </c>
      <c r="D338" s="32" t="s">
        <v>602</v>
      </c>
      <c r="E338" s="32">
        <v>80751</v>
      </c>
      <c r="F338" s="32" t="s">
        <v>26</v>
      </c>
      <c r="G338" s="32" t="s">
        <v>51</v>
      </c>
      <c r="H338" s="34">
        <f>IFERROR(INDEX(Linha!$B$5:$B$788,MATCH(A338,Linha!$A$5:$A$788,0)),"NÃO CADASTRADO")</f>
      </c>
      <c r="I338" s="34">
        <f>IFERROR(INDEX(Linha!$C$5:$C$788,MATCH(A338,Linha!$A$5:$A$788,0)),"-")</f>
      </c>
      <c r="J338" s="35">
        <v>0</v>
      </c>
      <c r="K338" s="36">
        <f>IFERROR(INDEX(Linha!$D$5:$D$788,MATCH(A338,Linha!$A$5:$A$788,0))*1,0)</f>
      </c>
      <c r="L338" s="36">
        <f>SUMIFS(Reservas!$K$5:$K$3669,Reservas!$A$5:$A$3669,A338)</f>
      </c>
      <c r="M338" s="37">
        <f>J338-L338</f>
      </c>
      <c r="N338" s="38">
        <v>36.318</v>
      </c>
      <c r="O338" s="37">
        <f>J338*N338</f>
      </c>
      <c r="P338" s="37">
        <f>L338*N338</f>
      </c>
      <c r="Q338" s="39">
        <v>106.38403067</v>
      </c>
      <c r="R338" s="40">
        <f>J338*Q338</f>
      </c>
      <c r="S338" s="40">
        <f>L338*Q338</f>
      </c>
      <c r="T338" s="41">
        <f>IF(J338=0,0,L338/J338)</f>
      </c>
      <c r="U338" s="42">
        <f>IFERROR(INDEX(Paletes!$C$5:$C$393,MATCH(B338,Paletes!$A$5:$A$393,0)),"SEM CADASTRO")</f>
      </c>
      <c r="V338" s="36">
        <f>IFERROR(INDEX(Paletes!$D$5:$D$393,MATCH(B338,Paletes!$A$5:$A$393,0)),0)</f>
      </c>
      <c r="W338" s="43">
        <f>IF(V338=0,0,J338/V338)</f>
      </c>
      <c r="X338" s="43">
        <f>IF(V338=0,0,MAX(M338,0)/V338)</f>
      </c>
    </row>
    <row r="339" spans="1:24" x14ac:dyDescent="0.25">
      <c r="A339" s="20" t="str">
        <f>B339&amp;"."&amp;IFERROR(MID(D339,FIND("(",D339)+1,FIND(")",D339)-FIND("(",D339)-1),"")</f>
        <v>73280.16329</v>
      </c>
      <c r="B339" s="21">
        <v>73280</v>
      </c>
      <c r="C339" s="20" t="s">
        <v>152</v>
      </c>
      <c r="D339" s="20" t="s">
        <v>603</v>
      </c>
      <c r="E339" s="20">
        <v>59518</v>
      </c>
      <c r="F339" s="20" t="s">
        <v>24</v>
      </c>
      <c r="G339" s="20" t="s">
        <v>51</v>
      </c>
      <c r="H339" s="22">
        <f>IFERROR(INDEX(Linha!$B$5:$B$788,MATCH(A339,Linha!$A$5:$A$788,0)),"NÃO CADASTRADO")</f>
      </c>
      <c r="I339" s="22">
        <f>IFERROR(INDEX(Linha!$C$5:$C$788,MATCH(A339,Linha!$A$5:$A$788,0)),"-")</f>
      </c>
      <c r="J339" s="23">
        <v>305</v>
      </c>
      <c r="K339" s="24">
        <f>IFERROR(INDEX(Linha!$D$5:$D$788,MATCH(A339,Linha!$A$5:$A$788,0))*1,0)</f>
      </c>
      <c r="L339" s="24">
        <f>SUMIFS(Reservas!$K$5:$K$3669,Reservas!$A$5:$A$3669,A339)</f>
      </c>
      <c r="M339" s="25">
        <f>J339-L339</f>
      </c>
      <c r="N339" s="26">
        <v>44.85</v>
      </c>
      <c r="O339" s="25">
        <f>J339*N339</f>
      </c>
      <c r="P339" s="25">
        <f>L339*N339</f>
      </c>
      <c r="Q339" s="27">
        <v>199.69564943</v>
      </c>
      <c r="R339" s="28">
        <f>J339*Q339</f>
      </c>
      <c r="S339" s="28">
        <f>L339*Q339</f>
      </c>
      <c r="T339" s="29">
        <f>IF(J339=0,0,L339/J339)</f>
      </c>
      <c r="U339" s="30">
        <f>IFERROR(INDEX(Paletes!$C$5:$C$393,MATCH(B339,Paletes!$A$5:$A$393,0)),"SEM CADASTRO")</f>
      </c>
      <c r="V339" s="24">
        <f>IFERROR(INDEX(Paletes!$D$5:$D$393,MATCH(B339,Paletes!$A$5:$A$393,0)),0)</f>
      </c>
      <c r="W339" s="31">
        <f>IF(V339=0,0,J339/V339)</f>
      </c>
      <c r="X339" s="31">
        <f>IF(V339=0,0,MAX(M339,0)/V339)</f>
      </c>
    </row>
    <row r="340" spans="1:24" x14ac:dyDescent="0.25">
      <c r="A340" s="32" t="str">
        <f>B340&amp;"."&amp;IFERROR(MID(D340,FIND("(",D340)+1,FIND(")",D340)-FIND("(",D340)-1),"")</f>
        <v>101.10338</v>
      </c>
      <c r="B340" s="33">
        <v>101</v>
      </c>
      <c r="C340" s="32" t="s">
        <v>305</v>
      </c>
      <c r="D340" s="32" t="s">
        <v>604</v>
      </c>
      <c r="E340" s="32">
        <v>59618</v>
      </c>
      <c r="F340" s="32" t="s">
        <v>26</v>
      </c>
      <c r="G340" s="32" t="s">
        <v>51</v>
      </c>
      <c r="H340" s="34">
        <f>IFERROR(INDEX(Linha!$B$5:$B$788,MATCH(A340,Linha!$A$5:$A$788,0)),"NÃO CADASTRADO")</f>
      </c>
      <c r="I340" s="34">
        <f>IFERROR(INDEX(Linha!$C$5:$C$788,MATCH(A340,Linha!$A$5:$A$788,0)),"-")</f>
      </c>
      <c r="J340" s="35">
        <v>106</v>
      </c>
      <c r="K340" s="36">
        <f>IFERROR(INDEX(Linha!$D$5:$D$788,MATCH(A340,Linha!$A$5:$A$788,0))*1,0)</f>
      </c>
      <c r="L340" s="36">
        <f>SUMIFS(Reservas!$K$5:$K$3669,Reservas!$A$5:$A$3669,A340)</f>
      </c>
      <c r="M340" s="37">
        <f>J340-L340</f>
      </c>
      <c r="N340" s="38">
        <v>66.787</v>
      </c>
      <c r="O340" s="37">
        <f>J340*N340</f>
      </c>
      <c r="P340" s="37">
        <f>L340*N340</f>
      </c>
      <c r="Q340" s="39">
        <v>201.23674552</v>
      </c>
      <c r="R340" s="40">
        <f>J340*Q340</f>
      </c>
      <c r="S340" s="40">
        <f>L340*Q340</f>
      </c>
      <c r="T340" s="41">
        <f>IF(J340=0,0,L340/J340)</f>
      </c>
      <c r="U340" s="42">
        <f>IFERROR(INDEX(Paletes!$C$5:$C$393,MATCH(B340,Paletes!$A$5:$A$393,0)),"SEM CADASTRO")</f>
      </c>
      <c r="V340" s="36">
        <f>IFERROR(INDEX(Paletes!$D$5:$D$393,MATCH(B340,Paletes!$A$5:$A$393,0)),0)</f>
      </c>
      <c r="W340" s="43">
        <f>IF(V340=0,0,J340/V340)</f>
      </c>
      <c r="X340" s="43">
        <f>IF(V340=0,0,MAX(M340,0)/V340)</f>
      </c>
    </row>
    <row r="341" spans="1:24" x14ac:dyDescent="0.25">
      <c r="A341" s="20" t="str">
        <f>B341&amp;"."&amp;IFERROR(MID(D341,FIND("(",D341)+1,FIND(")",D341)-FIND("(",D341)-1),"")</f>
        <v>2086.12871</v>
      </c>
      <c r="B341" s="21">
        <v>2086</v>
      </c>
      <c r="C341" s="20" t="s">
        <v>307</v>
      </c>
      <c r="D341" s="20" t="s">
        <v>605</v>
      </c>
      <c r="E341" s="20">
        <v>59959</v>
      </c>
      <c r="F341" s="20" t="s">
        <v>26</v>
      </c>
      <c r="G341" s="20" t="s">
        <v>51</v>
      </c>
      <c r="H341" s="22">
        <f>IFERROR(INDEX(Linha!$B$5:$B$788,MATCH(A341,Linha!$A$5:$A$788,0)),"NÃO CADASTRADO")</f>
      </c>
      <c r="I341" s="22">
        <f>IFERROR(INDEX(Linha!$C$5:$C$788,MATCH(A341,Linha!$A$5:$A$788,0)),"-")</f>
      </c>
      <c r="J341" s="23">
        <v>167</v>
      </c>
      <c r="K341" s="24">
        <f>IFERROR(INDEX(Linha!$D$5:$D$788,MATCH(A341,Linha!$A$5:$A$788,0))*1,0)</f>
      </c>
      <c r="L341" s="24">
        <f>SUMIFS(Reservas!$K$5:$K$3669,Reservas!$A$5:$A$3669,A341)</f>
      </c>
      <c r="M341" s="25">
        <f>J341-L341</f>
      </c>
      <c r="N341" s="26">
        <v>35.587</v>
      </c>
      <c r="O341" s="25">
        <f>J341*N341</f>
      </c>
      <c r="P341" s="25">
        <f>L341*N341</f>
      </c>
      <c r="Q341" s="27">
        <v>115.03804238</v>
      </c>
      <c r="R341" s="28">
        <f>J341*Q341</f>
      </c>
      <c r="S341" s="28">
        <f>L341*Q341</f>
      </c>
      <c r="T341" s="29">
        <f>IF(J341=0,0,L341/J341)</f>
      </c>
      <c r="U341" s="30">
        <f>IFERROR(INDEX(Paletes!$C$5:$C$393,MATCH(B341,Paletes!$A$5:$A$393,0)),"SEM CADASTRO")</f>
      </c>
      <c r="V341" s="24">
        <f>IFERROR(INDEX(Paletes!$D$5:$D$393,MATCH(B341,Paletes!$A$5:$A$393,0)),0)</f>
      </c>
      <c r="W341" s="31">
        <f>IF(V341=0,0,J341/V341)</f>
      </c>
      <c r="X341" s="31">
        <f>IF(V341=0,0,MAX(M341,0)/V341)</f>
      </c>
    </row>
    <row r="342" spans="1:24" x14ac:dyDescent="0.25">
      <c r="A342" s="32" t="str">
        <f>B342&amp;"."&amp;IFERROR(MID(D342,FIND("(",D342)+1,FIND(")",D342)-FIND("(",D342)-1),"")</f>
        <v>2086.12908</v>
      </c>
      <c r="B342" s="33">
        <v>2086</v>
      </c>
      <c r="C342" s="32" t="s">
        <v>307</v>
      </c>
      <c r="D342" s="32" t="s">
        <v>606</v>
      </c>
      <c r="E342" s="32">
        <v>59959</v>
      </c>
      <c r="F342" s="32" t="s">
        <v>26</v>
      </c>
      <c r="G342" s="32" t="s">
        <v>51</v>
      </c>
      <c r="H342" s="34">
        <f>IFERROR(INDEX(Linha!$B$5:$B$788,MATCH(A342,Linha!$A$5:$A$788,0)),"NÃO CADASTRADO")</f>
      </c>
      <c r="I342" s="34">
        <f>IFERROR(INDEX(Linha!$C$5:$C$788,MATCH(A342,Linha!$A$5:$A$788,0)),"-")</f>
      </c>
      <c r="J342" s="35">
        <v>259</v>
      </c>
      <c r="K342" s="36">
        <f>IFERROR(INDEX(Linha!$D$5:$D$788,MATCH(A342,Linha!$A$5:$A$788,0))*1,0)</f>
      </c>
      <c r="L342" s="36">
        <f>SUMIFS(Reservas!$K$5:$K$3669,Reservas!$A$5:$A$3669,A342)</f>
      </c>
      <c r="M342" s="37">
        <f>J342-L342</f>
      </c>
      <c r="N342" s="38">
        <v>35.587</v>
      </c>
      <c r="O342" s="37">
        <f>J342*N342</f>
      </c>
      <c r="P342" s="37">
        <f>L342*N342</f>
      </c>
      <c r="Q342" s="39">
        <v>114.83636132</v>
      </c>
      <c r="R342" s="40">
        <f>J342*Q342</f>
      </c>
      <c r="S342" s="40">
        <f>L342*Q342</f>
      </c>
      <c r="T342" s="41">
        <f>IF(J342=0,0,L342/J342)</f>
      </c>
      <c r="U342" s="42">
        <f>IFERROR(INDEX(Paletes!$C$5:$C$393,MATCH(B342,Paletes!$A$5:$A$393,0)),"SEM CADASTRO")</f>
      </c>
      <c r="V342" s="36">
        <f>IFERROR(INDEX(Paletes!$D$5:$D$393,MATCH(B342,Paletes!$A$5:$A$393,0)),0)</f>
      </c>
      <c r="W342" s="43">
        <f>IF(V342=0,0,J342/V342)</f>
      </c>
      <c r="X342" s="43">
        <f>IF(V342=0,0,MAX(M342,0)/V342)</f>
      </c>
    </row>
    <row r="343" spans="1:24" x14ac:dyDescent="0.25">
      <c r="A343" s="20" t="str">
        <f>B343&amp;"."&amp;IFERROR(MID(D343,FIND("(",D343)+1,FIND(")",D343)-FIND("(",D343)-1),"")</f>
        <v>2086.12940</v>
      </c>
      <c r="B343" s="21">
        <v>2086</v>
      </c>
      <c r="C343" s="20" t="s">
        <v>307</v>
      </c>
      <c r="D343" s="20" t="s">
        <v>607</v>
      </c>
      <c r="E343" s="20">
        <v>59959</v>
      </c>
      <c r="F343" s="20" t="s">
        <v>26</v>
      </c>
      <c r="G343" s="20" t="s">
        <v>51</v>
      </c>
      <c r="H343" s="22">
        <f>IFERROR(INDEX(Linha!$B$5:$B$788,MATCH(A343,Linha!$A$5:$A$788,0)),"NÃO CADASTRADO")</f>
      </c>
      <c r="I343" s="22">
        <f>IFERROR(INDEX(Linha!$C$5:$C$788,MATCH(A343,Linha!$A$5:$A$788,0)),"-")</f>
      </c>
      <c r="J343" s="23">
        <v>338</v>
      </c>
      <c r="K343" s="24">
        <f>IFERROR(INDEX(Linha!$D$5:$D$788,MATCH(A343,Linha!$A$5:$A$788,0))*1,0)</f>
      </c>
      <c r="L343" s="24">
        <f>SUMIFS(Reservas!$K$5:$K$3669,Reservas!$A$5:$A$3669,A343)</f>
      </c>
      <c r="M343" s="25">
        <f>J343-L343</f>
      </c>
      <c r="N343" s="26">
        <v>35.587</v>
      </c>
      <c r="O343" s="25">
        <f>J343*N343</f>
      </c>
      <c r="P343" s="25">
        <f>L343*N343</f>
      </c>
      <c r="Q343" s="27">
        <v>125.00223287</v>
      </c>
      <c r="R343" s="28">
        <f>J343*Q343</f>
      </c>
      <c r="S343" s="28">
        <f>L343*Q343</f>
      </c>
      <c r="T343" s="29">
        <f>IF(J343=0,0,L343/J343)</f>
      </c>
      <c r="U343" s="30">
        <f>IFERROR(INDEX(Paletes!$C$5:$C$393,MATCH(B343,Paletes!$A$5:$A$393,0)),"SEM CADASTRO")</f>
      </c>
      <c r="V343" s="24">
        <f>IFERROR(INDEX(Paletes!$D$5:$D$393,MATCH(B343,Paletes!$A$5:$A$393,0)),0)</f>
      </c>
      <c r="W343" s="31">
        <f>IF(V343=0,0,J343/V343)</f>
      </c>
      <c r="X343" s="31">
        <f>IF(V343=0,0,MAX(M343,0)/V343)</f>
      </c>
    </row>
    <row r="344" spans="1:24" x14ac:dyDescent="0.25">
      <c r="A344" s="32" t="str">
        <f>B344&amp;"."&amp;IFERROR(MID(D344,FIND("(",D344)+1,FIND(")",D344)-FIND("(",D344)-1),"")</f>
        <v>73534.16700</v>
      </c>
      <c r="B344" s="33">
        <v>73534</v>
      </c>
      <c r="C344" s="32" t="s">
        <v>311</v>
      </c>
      <c r="D344" s="32" t="s">
        <v>608</v>
      </c>
      <c r="E344" s="32">
        <v>65348</v>
      </c>
      <c r="F344" s="32" t="s">
        <v>25</v>
      </c>
      <c r="G344" s="32" t="s">
        <v>51</v>
      </c>
      <c r="H344" s="34">
        <f>IFERROR(INDEX(Linha!$B$5:$B$788,MATCH(A344,Linha!$A$5:$A$788,0)),"NÃO CADASTRADO")</f>
      </c>
      <c r="I344" s="34">
        <f>IFERROR(INDEX(Linha!$C$5:$C$788,MATCH(A344,Linha!$A$5:$A$788,0)),"-")</f>
      </c>
      <c r="J344" s="35">
        <v>0</v>
      </c>
      <c r="K344" s="36">
        <f>IFERROR(INDEX(Linha!$D$5:$D$788,MATCH(A344,Linha!$A$5:$A$788,0))*1,0)</f>
      </c>
      <c r="L344" s="36">
        <f>SUMIFS(Reservas!$K$5:$K$3669,Reservas!$A$5:$A$3669,A344)</f>
      </c>
      <c r="M344" s="37">
        <f>J344-L344</f>
      </c>
      <c r="N344" s="38">
        <v>11.358</v>
      </c>
      <c r="O344" s="37">
        <f>J344*N344</f>
      </c>
      <c r="P344" s="37">
        <f>L344*N344</f>
      </c>
      <c r="Q344" s="39">
        <v>90.13884232</v>
      </c>
      <c r="R344" s="40">
        <f>J344*Q344</f>
      </c>
      <c r="S344" s="40">
        <f>L344*Q344</f>
      </c>
      <c r="T344" s="41">
        <f>IF(J344=0,0,L344/J344)</f>
      </c>
      <c r="U344" s="42">
        <f>IFERROR(INDEX(Paletes!$C$5:$C$393,MATCH(B344,Paletes!$A$5:$A$393,0)),"SEM CADASTRO")</f>
      </c>
      <c r="V344" s="36">
        <f>IFERROR(INDEX(Paletes!$D$5:$D$393,MATCH(B344,Paletes!$A$5:$A$393,0)),0)</f>
      </c>
      <c r="W344" s="43">
        <f>IF(V344=0,0,J344/V344)</f>
      </c>
      <c r="X344" s="43">
        <f>IF(V344=0,0,MAX(M344,0)/V344)</f>
      </c>
    </row>
    <row r="345" spans="1:24" x14ac:dyDescent="0.25">
      <c r="A345" s="20" t="str">
        <f>B345&amp;"."&amp;IFERROR(MID(D345,FIND("(",D345)+1,FIND(")",D345)-FIND("(",D345)-1),"")</f>
        <v>73534.82243</v>
      </c>
      <c r="B345" s="21">
        <v>73534</v>
      </c>
      <c r="C345" s="20" t="s">
        <v>311</v>
      </c>
      <c r="D345" s="20" t="s">
        <v>609</v>
      </c>
      <c r="E345" s="20">
        <v>65348</v>
      </c>
      <c r="F345" s="20" t="s">
        <v>25</v>
      </c>
      <c r="G345" s="20" t="s">
        <v>51</v>
      </c>
      <c r="H345" s="22">
        <f>IFERROR(INDEX(Linha!$B$5:$B$788,MATCH(A345,Linha!$A$5:$A$788,0)),"NÃO CADASTRADO")</f>
      </c>
      <c r="I345" s="22">
        <f>IFERROR(INDEX(Linha!$C$5:$C$788,MATCH(A345,Linha!$A$5:$A$788,0)),"-")</f>
      </c>
      <c r="J345" s="23">
        <v>0</v>
      </c>
      <c r="K345" s="24">
        <f>IFERROR(INDEX(Linha!$D$5:$D$788,MATCH(A345,Linha!$A$5:$A$788,0))*1,0)</f>
      </c>
      <c r="L345" s="24">
        <f>SUMIFS(Reservas!$K$5:$K$3669,Reservas!$A$5:$A$3669,A345)</f>
      </c>
      <c r="M345" s="25">
        <f>J345-L345</f>
      </c>
      <c r="N345" s="26">
        <v>11.358</v>
      </c>
      <c r="O345" s="25">
        <f>J345*N345</f>
      </c>
      <c r="P345" s="25">
        <f>L345*N345</f>
      </c>
      <c r="Q345" s="27">
        <v>87.30530468</v>
      </c>
      <c r="R345" s="28">
        <f>J345*Q345</f>
      </c>
      <c r="S345" s="28">
        <f>L345*Q345</f>
      </c>
      <c r="T345" s="29">
        <f>IF(J345=0,0,L345/J345)</f>
      </c>
      <c r="U345" s="30">
        <f>IFERROR(INDEX(Paletes!$C$5:$C$393,MATCH(B345,Paletes!$A$5:$A$393,0)),"SEM CADASTRO")</f>
      </c>
      <c r="V345" s="24">
        <f>IFERROR(INDEX(Paletes!$D$5:$D$393,MATCH(B345,Paletes!$A$5:$A$393,0)),0)</f>
      </c>
      <c r="W345" s="31">
        <f>IF(V345=0,0,J345/V345)</f>
      </c>
      <c r="X345" s="31">
        <f>IF(V345=0,0,MAX(M345,0)/V345)</f>
      </c>
    </row>
    <row r="346" spans="1:24" x14ac:dyDescent="0.25">
      <c r="A346" s="32" t="str">
        <f>B346&amp;"."&amp;IFERROR(MID(D346,FIND("(",D346)+1,FIND(")",D346)-FIND("(",D346)-1),"")</f>
        <v>73141.15984</v>
      </c>
      <c r="B346" s="33">
        <v>73141</v>
      </c>
      <c r="C346" s="32" t="s">
        <v>610</v>
      </c>
      <c r="D346" s="32" t="s">
        <v>611</v>
      </c>
      <c r="E346" s="32">
        <v>67917</v>
      </c>
      <c r="F346" s="32" t="s">
        <v>24</v>
      </c>
      <c r="G346" s="32" t="s">
        <v>51</v>
      </c>
      <c r="H346" s="34">
        <f>IFERROR(INDEX(Linha!$B$5:$B$788,MATCH(A346,Linha!$A$5:$A$788,0)),"NÃO CADASTRADO")</f>
      </c>
      <c r="I346" s="34">
        <f>IFERROR(INDEX(Linha!$C$5:$C$788,MATCH(A346,Linha!$A$5:$A$788,0)),"-")</f>
      </c>
      <c r="J346" s="35">
        <v>18</v>
      </c>
      <c r="K346" s="36">
        <f>IFERROR(INDEX(Linha!$D$5:$D$788,MATCH(A346,Linha!$A$5:$A$788,0))*1,0)</f>
      </c>
      <c r="L346" s="36">
        <f>SUMIFS(Reservas!$K$5:$K$3669,Reservas!$A$5:$A$3669,A346)</f>
      </c>
      <c r="M346" s="37">
        <f>J346-L346</f>
      </c>
      <c r="N346" s="38">
        <v>19.5</v>
      </c>
      <c r="O346" s="37">
        <f>J346*N346</f>
      </c>
      <c r="P346" s="37">
        <f>L346*N346</f>
      </c>
      <c r="Q346" s="39">
        <v>57.81547853</v>
      </c>
      <c r="R346" s="40">
        <f>J346*Q346</f>
      </c>
      <c r="S346" s="40">
        <f>L346*Q346</f>
      </c>
      <c r="T346" s="41">
        <f>IF(J346=0,0,L346/J346)</f>
      </c>
      <c r="U346" s="42">
        <f>IFERROR(INDEX(Paletes!$C$5:$C$393,MATCH(B346,Paletes!$A$5:$A$393,0)),"SEM CADASTRO")</f>
      </c>
      <c r="V346" s="36">
        <f>IFERROR(INDEX(Paletes!$D$5:$D$393,MATCH(B346,Paletes!$A$5:$A$393,0)),0)</f>
      </c>
      <c r="W346" s="43">
        <f>IF(V346=0,0,J346/V346)</f>
      </c>
      <c r="X346" s="43">
        <f>IF(V346=0,0,MAX(M346,0)/V346)</f>
      </c>
    </row>
    <row r="347" spans="1:24" x14ac:dyDescent="0.25">
      <c r="A347" s="20" t="str">
        <f>B347&amp;"."&amp;IFERROR(MID(D347,FIND("(",D347)+1,FIND(")",D347)-FIND("(",D347)-1),"")</f>
        <v>73364.16036</v>
      </c>
      <c r="B347" s="21">
        <v>73364</v>
      </c>
      <c r="C347" s="20" t="s">
        <v>612</v>
      </c>
      <c r="D347" s="20" t="s">
        <v>613</v>
      </c>
      <c r="E347" s="20">
        <v>72681</v>
      </c>
      <c r="F347" s="20" t="s">
        <v>25</v>
      </c>
      <c r="G347" s="20" t="s">
        <v>51</v>
      </c>
      <c r="H347" s="22">
        <f>IFERROR(INDEX(Linha!$B$5:$B$788,MATCH(A347,Linha!$A$5:$A$788,0)),"NÃO CADASTRADO")</f>
      </c>
      <c r="I347" s="22">
        <f>IFERROR(INDEX(Linha!$C$5:$C$788,MATCH(A347,Linha!$A$5:$A$788,0)),"-")</f>
      </c>
      <c r="J347" s="23">
        <v>339</v>
      </c>
      <c r="K347" s="24">
        <f>IFERROR(INDEX(Linha!$D$5:$D$788,MATCH(A347,Linha!$A$5:$A$788,0))*1,0)</f>
      </c>
      <c r="L347" s="24">
        <f>SUMIFS(Reservas!$K$5:$K$3669,Reservas!$A$5:$A$3669,A347)</f>
      </c>
      <c r="M347" s="25">
        <f>J347-L347</f>
      </c>
      <c r="N347" s="26">
        <v>15.307</v>
      </c>
      <c r="O347" s="25">
        <f>J347*N347</f>
      </c>
      <c r="P347" s="25">
        <f>L347*N347</f>
      </c>
      <c r="Q347" s="27">
        <v>71.78124925</v>
      </c>
      <c r="R347" s="28">
        <f>J347*Q347</f>
      </c>
      <c r="S347" s="28">
        <f>L347*Q347</f>
      </c>
      <c r="T347" s="29">
        <f>IF(J347=0,0,L347/J347)</f>
      </c>
      <c r="U347" s="30">
        <f>IFERROR(INDEX(Paletes!$C$5:$C$393,MATCH(B347,Paletes!$A$5:$A$393,0)),"SEM CADASTRO")</f>
      </c>
      <c r="V347" s="24">
        <f>IFERROR(INDEX(Paletes!$D$5:$D$393,MATCH(B347,Paletes!$A$5:$A$393,0)),0)</f>
      </c>
      <c r="W347" s="31">
        <f>IF(V347=0,0,J347/V347)</f>
      </c>
      <c r="X347" s="31">
        <f>IF(V347=0,0,MAX(M347,0)/V347)</f>
      </c>
    </row>
    <row r="348" spans="1:24" x14ac:dyDescent="0.25">
      <c r="A348" s="32" t="str">
        <f>B348&amp;"."&amp;IFERROR(MID(D348,FIND("(",D348)+1,FIND(")",D348)-FIND("(",D348)-1),"")</f>
        <v>2109.13737</v>
      </c>
      <c r="B348" s="33">
        <v>2109</v>
      </c>
      <c r="C348" s="32" t="s">
        <v>160</v>
      </c>
      <c r="D348" s="32" t="s">
        <v>614</v>
      </c>
      <c r="E348" s="32">
        <v>72915</v>
      </c>
      <c r="F348" s="32" t="s">
        <v>26</v>
      </c>
      <c r="G348" s="32" t="s">
        <v>51</v>
      </c>
      <c r="H348" s="34">
        <f>IFERROR(INDEX(Linha!$B$5:$B$788,MATCH(A348,Linha!$A$5:$A$788,0)),"NÃO CADASTRADO")</f>
      </c>
      <c r="I348" s="34">
        <f>IFERROR(INDEX(Linha!$C$5:$C$788,MATCH(A348,Linha!$A$5:$A$788,0)),"-")</f>
      </c>
      <c r="J348" s="35">
        <v>1</v>
      </c>
      <c r="K348" s="36">
        <f>IFERROR(INDEX(Linha!$D$5:$D$788,MATCH(A348,Linha!$A$5:$A$788,0))*1,0)</f>
      </c>
      <c r="L348" s="36">
        <f>SUMIFS(Reservas!$K$5:$K$3669,Reservas!$A$5:$A$3669,A348)</f>
      </c>
      <c r="M348" s="37">
        <f>J348-L348</f>
      </c>
      <c r="N348" s="38">
        <v>44.167</v>
      </c>
      <c r="O348" s="37">
        <f>J348*N348</f>
      </c>
      <c r="P348" s="37">
        <f>L348*N348</f>
      </c>
      <c r="Q348" s="39">
        <v>160.50374736</v>
      </c>
      <c r="R348" s="40">
        <f>J348*Q348</f>
      </c>
      <c r="S348" s="40">
        <f>L348*Q348</f>
      </c>
      <c r="T348" s="41">
        <f>IF(J348=0,0,L348/J348)</f>
      </c>
      <c r="U348" s="42">
        <f>IFERROR(INDEX(Paletes!$C$5:$C$393,MATCH(B348,Paletes!$A$5:$A$393,0)),"SEM CADASTRO")</f>
      </c>
      <c r="V348" s="36">
        <f>IFERROR(INDEX(Paletes!$D$5:$D$393,MATCH(B348,Paletes!$A$5:$A$393,0)),0)</f>
      </c>
      <c r="W348" s="43">
        <f>IF(V348=0,0,J348/V348)</f>
      </c>
      <c r="X348" s="43">
        <f>IF(V348=0,0,MAX(M348,0)/V348)</f>
      </c>
    </row>
    <row r="349" spans="1:24" x14ac:dyDescent="0.25">
      <c r="A349" s="20" t="str">
        <f>B349&amp;"."&amp;IFERROR(MID(D349,FIND("(",D349)+1,FIND(")",D349)-FIND("(",D349)-1),"")</f>
        <v>73540.16031</v>
      </c>
      <c r="B349" s="21">
        <v>73540</v>
      </c>
      <c r="C349" s="20" t="s">
        <v>163</v>
      </c>
      <c r="D349" s="20" t="s">
        <v>615</v>
      </c>
      <c r="E349" s="20">
        <v>73512</v>
      </c>
      <c r="F349" s="20" t="s">
        <v>25</v>
      </c>
      <c r="G349" s="20" t="s">
        <v>51</v>
      </c>
      <c r="H349" s="22">
        <f>IFERROR(INDEX(Linha!$B$5:$B$788,MATCH(A349,Linha!$A$5:$A$788,0)),"NÃO CADASTRADO")</f>
      </c>
      <c r="I349" s="22">
        <f>IFERROR(INDEX(Linha!$C$5:$C$788,MATCH(A349,Linha!$A$5:$A$788,0)),"-")</f>
      </c>
      <c r="J349" s="23">
        <v>1</v>
      </c>
      <c r="K349" s="24">
        <f>IFERROR(INDEX(Linha!$D$5:$D$788,MATCH(A349,Linha!$A$5:$A$788,0))*1,0)</f>
      </c>
      <c r="L349" s="24">
        <f>SUMIFS(Reservas!$K$5:$K$3669,Reservas!$A$5:$A$3669,A349)</f>
      </c>
      <c r="M349" s="25">
        <f>J349-L349</f>
      </c>
      <c r="N349" s="26">
        <v>3.9</v>
      </c>
      <c r="O349" s="25">
        <f>J349*N349</f>
      </c>
      <c r="P349" s="25">
        <f>L349*N349</f>
      </c>
      <c r="Q349" s="27">
        <v>25.07581276</v>
      </c>
      <c r="R349" s="28">
        <f>J349*Q349</f>
      </c>
      <c r="S349" s="28">
        <f>L349*Q349</f>
      </c>
      <c r="T349" s="29">
        <f>IF(J349=0,0,L349/J349)</f>
      </c>
      <c r="U349" s="30">
        <f>IFERROR(INDEX(Paletes!$C$5:$C$393,MATCH(B349,Paletes!$A$5:$A$393,0)),"SEM CADASTRO")</f>
      </c>
      <c r="V349" s="24">
        <f>IFERROR(INDEX(Paletes!$D$5:$D$393,MATCH(B349,Paletes!$A$5:$A$393,0)),0)</f>
      </c>
      <c r="W349" s="31">
        <f>IF(V349=0,0,J349/V349)</f>
      </c>
      <c r="X349" s="31">
        <f>IF(V349=0,0,MAX(M349,0)/V349)</f>
      </c>
    </row>
    <row r="350" spans="1:24" x14ac:dyDescent="0.25">
      <c r="A350" s="32" t="str">
        <f>B350&amp;"."&amp;IFERROR(MID(D350,FIND("(",D350)+1,FIND(")",D350)-FIND("(",D350)-1),"")</f>
        <v>73285.16002</v>
      </c>
      <c r="B350" s="33">
        <v>73285</v>
      </c>
      <c r="C350" s="32" t="s">
        <v>171</v>
      </c>
      <c r="D350" s="32" t="s">
        <v>616</v>
      </c>
      <c r="E350" s="32">
        <v>76416</v>
      </c>
      <c r="F350" s="32" t="s">
        <v>24</v>
      </c>
      <c r="G350" s="32" t="s">
        <v>51</v>
      </c>
      <c r="H350" s="34">
        <f>IFERROR(INDEX(Linha!$B$5:$B$788,MATCH(A350,Linha!$A$5:$A$788,0)),"NÃO CADASTRADO")</f>
      </c>
      <c r="I350" s="34">
        <f>IFERROR(INDEX(Linha!$C$5:$C$788,MATCH(A350,Linha!$A$5:$A$788,0)),"-")</f>
      </c>
      <c r="J350" s="35">
        <v>140</v>
      </c>
      <c r="K350" s="36">
        <f>IFERROR(INDEX(Linha!$D$5:$D$788,MATCH(A350,Linha!$A$5:$A$788,0))*1,0)</f>
      </c>
      <c r="L350" s="36">
        <f>SUMIFS(Reservas!$K$5:$K$3669,Reservas!$A$5:$A$3669,A350)</f>
      </c>
      <c r="M350" s="37">
        <f>J350-L350</f>
      </c>
      <c r="N350" s="38">
        <v>43.241</v>
      </c>
      <c r="O350" s="37">
        <f>J350*N350</f>
      </c>
      <c r="P350" s="37">
        <f>L350*N350</f>
      </c>
      <c r="Q350" s="39">
        <v>180.19777997</v>
      </c>
      <c r="R350" s="40">
        <f>J350*Q350</f>
      </c>
      <c r="S350" s="40">
        <f>L350*Q350</f>
      </c>
      <c r="T350" s="41">
        <f>IF(J350=0,0,L350/J350)</f>
      </c>
      <c r="U350" s="42">
        <f>IFERROR(INDEX(Paletes!$C$5:$C$393,MATCH(B350,Paletes!$A$5:$A$393,0)),"SEM CADASTRO")</f>
      </c>
      <c r="V350" s="36">
        <f>IFERROR(INDEX(Paletes!$D$5:$D$393,MATCH(B350,Paletes!$A$5:$A$393,0)),0)</f>
      </c>
      <c r="W350" s="43">
        <f>IF(V350=0,0,J350/V350)</f>
      </c>
      <c r="X350" s="43">
        <f>IF(V350=0,0,MAX(M350,0)/V350)</f>
      </c>
    </row>
    <row r="351" spans="1:24" x14ac:dyDescent="0.25">
      <c r="A351" s="20" t="str">
        <f>B351&amp;"."&amp;IFERROR(MID(D351,FIND("(",D351)+1,FIND(")",D351)-FIND("(",D351)-1),"")</f>
        <v>73286.16527</v>
      </c>
      <c r="B351" s="21">
        <v>73286</v>
      </c>
      <c r="C351" s="20" t="s">
        <v>173</v>
      </c>
      <c r="D351" s="20" t="s">
        <v>617</v>
      </c>
      <c r="E351" s="20">
        <v>76418</v>
      </c>
      <c r="F351" s="20" t="s">
        <v>24</v>
      </c>
      <c r="G351" s="20" t="s">
        <v>51</v>
      </c>
      <c r="H351" s="22">
        <f>IFERROR(INDEX(Linha!$B$5:$B$788,MATCH(A351,Linha!$A$5:$A$788,0)),"NÃO CADASTRADO")</f>
      </c>
      <c r="I351" s="22">
        <f>IFERROR(INDEX(Linha!$C$5:$C$788,MATCH(A351,Linha!$A$5:$A$788,0)),"-")</f>
      </c>
      <c r="J351" s="23">
        <v>21</v>
      </c>
      <c r="K351" s="24">
        <f>IFERROR(INDEX(Linha!$D$5:$D$788,MATCH(A351,Linha!$A$5:$A$788,0))*1,0)</f>
      </c>
      <c r="L351" s="24">
        <f>SUMIFS(Reservas!$K$5:$K$3669,Reservas!$A$5:$A$3669,A351)</f>
      </c>
      <c r="M351" s="25">
        <f>J351-L351</f>
      </c>
      <c r="N351" s="26">
        <v>41.047</v>
      </c>
      <c r="O351" s="25">
        <f>J351*N351</f>
      </c>
      <c r="P351" s="25">
        <f>L351*N351</f>
      </c>
      <c r="Q351" s="27">
        <v>147.65987486</v>
      </c>
      <c r="R351" s="28">
        <f>J351*Q351</f>
      </c>
      <c r="S351" s="28">
        <f>L351*Q351</f>
      </c>
      <c r="T351" s="29">
        <f>IF(J351=0,0,L351/J351)</f>
      </c>
      <c r="U351" s="30">
        <f>IFERROR(INDEX(Paletes!$C$5:$C$393,MATCH(B351,Paletes!$A$5:$A$393,0)),"SEM CADASTRO")</f>
      </c>
      <c r="V351" s="24">
        <f>IFERROR(INDEX(Paletes!$D$5:$D$393,MATCH(B351,Paletes!$A$5:$A$393,0)),0)</f>
      </c>
      <c r="W351" s="31">
        <f>IF(V351=0,0,J351/V351)</f>
      </c>
      <c r="X351" s="31">
        <f>IF(V351=0,0,MAX(M351,0)/V351)</f>
      </c>
    </row>
    <row r="352" spans="1:24" x14ac:dyDescent="0.25">
      <c r="A352" s="32" t="str">
        <f>B352&amp;"."&amp;IFERROR(MID(D352,FIND("(",D352)+1,FIND(")",D352)-FIND("(",D352)-1),"")</f>
        <v>73350.16677</v>
      </c>
      <c r="B352" s="33">
        <v>73350</v>
      </c>
      <c r="C352" s="32" t="s">
        <v>618</v>
      </c>
      <c r="D352" s="32" t="s">
        <v>619</v>
      </c>
      <c r="E352" s="32">
        <v>76877</v>
      </c>
      <c r="F352" s="32" t="s">
        <v>25</v>
      </c>
      <c r="G352" s="32" t="s">
        <v>51</v>
      </c>
      <c r="H352" s="34">
        <f>IFERROR(INDEX(Linha!$B$5:$B$788,MATCH(A352,Linha!$A$5:$A$788,0)),"NÃO CADASTRADO")</f>
      </c>
      <c r="I352" s="34">
        <f>IFERROR(INDEX(Linha!$C$5:$C$788,MATCH(A352,Linha!$A$5:$A$788,0)),"-")</f>
      </c>
      <c r="J352" s="35">
        <v>53</v>
      </c>
      <c r="K352" s="36">
        <f>IFERROR(INDEX(Linha!$D$5:$D$788,MATCH(A352,Linha!$A$5:$A$788,0))*1,0)</f>
      </c>
      <c r="L352" s="36">
        <f>SUMIFS(Reservas!$K$5:$K$3669,Reservas!$A$5:$A$3669,A352)</f>
      </c>
      <c r="M352" s="37">
        <f>J352-L352</f>
      </c>
      <c r="N352" s="38">
        <v>33.267</v>
      </c>
      <c r="O352" s="37">
        <f>J352*N352</f>
      </c>
      <c r="P352" s="37">
        <f>L352*N352</f>
      </c>
      <c r="Q352" s="39">
        <v>175.92886027</v>
      </c>
      <c r="R352" s="40">
        <f>J352*Q352</f>
      </c>
      <c r="S352" s="40">
        <f>L352*Q352</f>
      </c>
      <c r="T352" s="41">
        <f>IF(J352=0,0,L352/J352)</f>
      </c>
      <c r="U352" s="42">
        <f>IFERROR(INDEX(Paletes!$C$5:$C$393,MATCH(B352,Paletes!$A$5:$A$393,0)),"SEM CADASTRO")</f>
      </c>
      <c r="V352" s="36">
        <f>IFERROR(INDEX(Paletes!$D$5:$D$393,MATCH(B352,Paletes!$A$5:$A$393,0)),0)</f>
      </c>
      <c r="W352" s="43">
        <f>IF(V352=0,0,J352/V352)</f>
      </c>
      <c r="X352" s="43">
        <f>IF(V352=0,0,MAX(M352,0)/V352)</f>
      </c>
    </row>
    <row r="353" spans="1:24" x14ac:dyDescent="0.25">
      <c r="A353" s="20" t="str">
        <f>B353&amp;"."&amp;IFERROR(MID(D353,FIND("(",D353)+1,FIND(")",D353)-FIND("(",D353)-1),"")</f>
        <v>73123.55618</v>
      </c>
      <c r="B353" s="21">
        <v>73123</v>
      </c>
      <c r="C353" s="20" t="s">
        <v>182</v>
      </c>
      <c r="D353" s="20" t="s">
        <v>620</v>
      </c>
      <c r="E353" s="20">
        <v>81580</v>
      </c>
      <c r="F353" s="20" t="s">
        <v>24</v>
      </c>
      <c r="G353" s="20" t="s">
        <v>51</v>
      </c>
      <c r="H353" s="22">
        <f>IFERROR(INDEX(Linha!$B$5:$B$788,MATCH(A353,Linha!$A$5:$A$788,0)),"NÃO CADASTRADO")</f>
      </c>
      <c r="I353" s="22">
        <f>IFERROR(INDEX(Linha!$C$5:$C$788,MATCH(A353,Linha!$A$5:$A$788,0)),"-")</f>
      </c>
      <c r="J353" s="23">
        <v>0</v>
      </c>
      <c r="K353" s="24">
        <f>IFERROR(INDEX(Linha!$D$5:$D$788,MATCH(A353,Linha!$A$5:$A$788,0))*1,0)</f>
      </c>
      <c r="L353" s="24">
        <f>SUMIFS(Reservas!$K$5:$K$3669,Reservas!$A$5:$A$3669,A353)</f>
      </c>
      <c r="M353" s="25">
        <f>J353-L353</f>
      </c>
      <c r="N353" s="26">
        <v>51.675</v>
      </c>
      <c r="O353" s="25">
        <f>J353*N353</f>
      </c>
      <c r="P353" s="25">
        <f>L353*N353</f>
      </c>
      <c r="Q353" s="27">
        <v>278.56524523</v>
      </c>
      <c r="R353" s="28">
        <f>J353*Q353</f>
      </c>
      <c r="S353" s="28">
        <f>L353*Q353</f>
      </c>
      <c r="T353" s="29">
        <f>IF(J353=0,0,L353/J353)</f>
      </c>
      <c r="U353" s="30">
        <f>IFERROR(INDEX(Paletes!$C$5:$C$393,MATCH(B353,Paletes!$A$5:$A$393,0)),"SEM CADASTRO")</f>
      </c>
      <c r="V353" s="24">
        <f>IFERROR(INDEX(Paletes!$D$5:$D$393,MATCH(B353,Paletes!$A$5:$A$393,0)),0)</f>
      </c>
      <c r="W353" s="31">
        <f>IF(V353=0,0,J353/V353)</f>
      </c>
      <c r="X353" s="31">
        <f>IF(V353=0,0,MAX(M353,0)/V353)</f>
      </c>
    </row>
    <row r="354" spans="1:24" x14ac:dyDescent="0.25">
      <c r="A354" s="32" t="str">
        <f>B354&amp;"."&amp;IFERROR(MID(D354,FIND("(",D354)+1,FIND(")",D354)-FIND("(",D354)-1),"")</f>
        <v>73123.55619</v>
      </c>
      <c r="B354" s="33">
        <v>73123</v>
      </c>
      <c r="C354" s="32" t="s">
        <v>182</v>
      </c>
      <c r="D354" s="32" t="s">
        <v>621</v>
      </c>
      <c r="E354" s="32">
        <v>81580</v>
      </c>
      <c r="F354" s="32" t="s">
        <v>24</v>
      </c>
      <c r="G354" s="32" t="s">
        <v>51</v>
      </c>
      <c r="H354" s="34">
        <f>IFERROR(INDEX(Linha!$B$5:$B$788,MATCH(A354,Linha!$A$5:$A$788,0)),"NÃO CADASTRADO")</f>
      </c>
      <c r="I354" s="34">
        <f>IFERROR(INDEX(Linha!$C$5:$C$788,MATCH(A354,Linha!$A$5:$A$788,0)),"-")</f>
      </c>
      <c r="J354" s="35">
        <v>0</v>
      </c>
      <c r="K354" s="36">
        <f>IFERROR(INDEX(Linha!$D$5:$D$788,MATCH(A354,Linha!$A$5:$A$788,0))*1,0)</f>
      </c>
      <c r="L354" s="36">
        <f>SUMIFS(Reservas!$K$5:$K$3669,Reservas!$A$5:$A$3669,A354)</f>
      </c>
      <c r="M354" s="37">
        <f>J354-L354</f>
      </c>
      <c r="N354" s="38">
        <v>51.675</v>
      </c>
      <c r="O354" s="37">
        <f>J354*N354</f>
      </c>
      <c r="P354" s="37">
        <f>L354*N354</f>
      </c>
      <c r="Q354" s="39">
        <v>219.98743038</v>
      </c>
      <c r="R354" s="40">
        <f>J354*Q354</f>
      </c>
      <c r="S354" s="40">
        <f>L354*Q354</f>
      </c>
      <c r="T354" s="41">
        <f>IF(J354=0,0,L354/J354)</f>
      </c>
      <c r="U354" s="42">
        <f>IFERROR(INDEX(Paletes!$C$5:$C$393,MATCH(B354,Paletes!$A$5:$A$393,0)),"SEM CADASTRO")</f>
      </c>
      <c r="V354" s="36">
        <f>IFERROR(INDEX(Paletes!$D$5:$D$393,MATCH(B354,Paletes!$A$5:$A$393,0)),0)</f>
      </c>
      <c r="W354" s="43">
        <f>IF(V354=0,0,J354/V354)</f>
      </c>
      <c r="X354" s="43">
        <f>IF(V354=0,0,MAX(M354,0)/V354)</f>
      </c>
    </row>
    <row r="355" spans="1:24" x14ac:dyDescent="0.25">
      <c r="A355" s="20" t="str">
        <f>B355&amp;"."&amp;IFERROR(MID(D355,FIND("(",D355)+1,FIND(")",D355)-FIND("(",D355)-1),"")</f>
        <v>2185.13739</v>
      </c>
      <c r="B355" s="21">
        <v>2185</v>
      </c>
      <c r="C355" s="20" t="s">
        <v>188</v>
      </c>
      <c r="D355" s="20" t="s">
        <v>622</v>
      </c>
      <c r="E355" s="20">
        <v>81673</v>
      </c>
      <c r="F355" s="20" t="s">
        <v>26</v>
      </c>
      <c r="G355" s="20" t="s">
        <v>51</v>
      </c>
      <c r="H355" s="22">
        <f>IFERROR(INDEX(Linha!$B$5:$B$788,MATCH(A355,Linha!$A$5:$A$788,0)),"NÃO CADASTRADO")</f>
      </c>
      <c r="I355" s="22">
        <f>IFERROR(INDEX(Linha!$C$5:$C$788,MATCH(A355,Linha!$A$5:$A$788,0)),"-")</f>
      </c>
      <c r="J355" s="23">
        <v>44</v>
      </c>
      <c r="K355" s="24">
        <f>IFERROR(INDEX(Linha!$D$5:$D$788,MATCH(A355,Linha!$A$5:$A$788,0))*1,0)</f>
      </c>
      <c r="L355" s="24">
        <f>SUMIFS(Reservas!$K$5:$K$3669,Reservas!$A$5:$A$3669,A355)</f>
      </c>
      <c r="M355" s="25">
        <f>J355-L355</f>
      </c>
      <c r="N355" s="26">
        <v>63.375</v>
      </c>
      <c r="O355" s="25">
        <f>J355*N355</f>
      </c>
      <c r="P355" s="25">
        <f>L355*N355</f>
      </c>
      <c r="Q355" s="27">
        <v>201.93811591</v>
      </c>
      <c r="R355" s="28">
        <f>J355*Q355</f>
      </c>
      <c r="S355" s="28">
        <f>L355*Q355</f>
      </c>
      <c r="T355" s="29">
        <f>IF(J355=0,0,L355/J355)</f>
      </c>
      <c r="U355" s="30">
        <f>IFERROR(INDEX(Paletes!$C$5:$C$393,MATCH(B355,Paletes!$A$5:$A$393,0)),"SEM CADASTRO")</f>
      </c>
      <c r="V355" s="24">
        <f>IFERROR(INDEX(Paletes!$D$5:$D$393,MATCH(B355,Paletes!$A$5:$A$393,0)),0)</f>
      </c>
      <c r="W355" s="31">
        <f>IF(V355=0,0,J355/V355)</f>
      </c>
      <c r="X355" s="31">
        <f>IF(V355=0,0,MAX(M355,0)/V355)</f>
      </c>
    </row>
    <row r="356" spans="1:24" x14ac:dyDescent="0.25">
      <c r="A356" s="32" t="str">
        <f>B356&amp;"."&amp;IFERROR(MID(D356,FIND("(",D356)+1,FIND(")",D356)-FIND("(",D356)-1),"")</f>
        <v>2344.13517</v>
      </c>
      <c r="B356" s="33">
        <v>2344</v>
      </c>
      <c r="C356" s="32" t="s">
        <v>623</v>
      </c>
      <c r="D356" s="32" t="s">
        <v>624</v>
      </c>
      <c r="E356" s="32">
        <v>81974</v>
      </c>
      <c r="F356" s="32" t="s">
        <v>26</v>
      </c>
      <c r="G356" s="32" t="s">
        <v>51</v>
      </c>
      <c r="H356" s="34">
        <f>IFERROR(INDEX(Linha!$B$5:$B$788,MATCH(A356,Linha!$A$5:$A$788,0)),"NÃO CADASTRADO")</f>
      </c>
      <c r="I356" s="34">
        <f>IFERROR(INDEX(Linha!$C$5:$C$788,MATCH(A356,Linha!$A$5:$A$788,0)),"-")</f>
      </c>
      <c r="J356" s="35">
        <v>53</v>
      </c>
      <c r="K356" s="36">
        <f>IFERROR(INDEX(Linha!$D$5:$D$788,MATCH(A356,Linha!$A$5:$A$788,0))*1,0)</f>
      </c>
      <c r="L356" s="36">
        <f>SUMIFS(Reservas!$K$5:$K$3669,Reservas!$A$5:$A$3669,A356)</f>
      </c>
      <c r="M356" s="37">
        <f>J356-L356</f>
      </c>
      <c r="N356" s="38">
        <v>50.21</v>
      </c>
      <c r="O356" s="37">
        <f>J356*N356</f>
      </c>
      <c r="P356" s="37">
        <f>L356*N356</f>
      </c>
      <c r="Q356" s="39">
        <v>205.90942247</v>
      </c>
      <c r="R356" s="40">
        <f>J356*Q356</f>
      </c>
      <c r="S356" s="40">
        <f>L356*Q356</f>
      </c>
      <c r="T356" s="41">
        <f>IF(J356=0,0,L356/J356)</f>
      </c>
      <c r="U356" s="42">
        <f>IFERROR(INDEX(Paletes!$C$5:$C$393,MATCH(B356,Paletes!$A$5:$A$393,0)),"SEM CADASTRO")</f>
      </c>
      <c r="V356" s="36">
        <f>IFERROR(INDEX(Paletes!$D$5:$D$393,MATCH(B356,Paletes!$A$5:$A$393,0)),0)</f>
      </c>
      <c r="W356" s="43">
        <f>IF(V356=0,0,J356/V356)</f>
      </c>
      <c r="X356" s="43">
        <f>IF(V356=0,0,MAX(M356,0)/V356)</f>
      </c>
    </row>
    <row r="357" spans="1:24" x14ac:dyDescent="0.25">
      <c r="A357" s="20" t="str">
        <f>B357&amp;"."&amp;IFERROR(MID(D357,FIND("(",D357)+1,FIND(")",D357)-FIND("(",D357)-1),"")</f>
        <v>2190.13806</v>
      </c>
      <c r="B357" s="21">
        <v>2190</v>
      </c>
      <c r="C357" s="20" t="s">
        <v>497</v>
      </c>
      <c r="D357" s="20" t="s">
        <v>625</v>
      </c>
      <c r="E357" s="20">
        <v>82388</v>
      </c>
      <c r="F357" s="20" t="s">
        <v>26</v>
      </c>
      <c r="G357" s="20" t="s">
        <v>51</v>
      </c>
      <c r="H357" s="22">
        <f>IFERROR(INDEX(Linha!$B$5:$B$788,MATCH(A357,Linha!$A$5:$A$788,0)),"NÃO CADASTRADO")</f>
      </c>
      <c r="I357" s="22">
        <f>IFERROR(INDEX(Linha!$C$5:$C$788,MATCH(A357,Linha!$A$5:$A$788,0)),"-")</f>
      </c>
      <c r="J357" s="23">
        <v>16</v>
      </c>
      <c r="K357" s="24">
        <f>IFERROR(INDEX(Linha!$D$5:$D$788,MATCH(A357,Linha!$A$5:$A$788,0))*1,0)</f>
      </c>
      <c r="L357" s="24">
        <f>SUMIFS(Reservas!$K$5:$K$3669,Reservas!$A$5:$A$3669,A357)</f>
      </c>
      <c r="M357" s="25">
        <f>J357-L357</f>
      </c>
      <c r="N357" s="26">
        <v>10.725</v>
      </c>
      <c r="O357" s="25">
        <f>J357*N357</f>
      </c>
      <c r="P357" s="25">
        <f>L357*N357</f>
      </c>
      <c r="Q357" s="27">
        <v>72.00313387</v>
      </c>
      <c r="R357" s="28">
        <f>J357*Q357</f>
      </c>
      <c r="S357" s="28">
        <f>L357*Q357</f>
      </c>
      <c r="T357" s="29">
        <f>IF(J357=0,0,L357/J357)</f>
      </c>
      <c r="U357" s="30">
        <f>IFERROR(INDEX(Paletes!$C$5:$C$393,MATCH(B357,Paletes!$A$5:$A$393,0)),"SEM CADASTRO")</f>
      </c>
      <c r="V357" s="24">
        <f>IFERROR(INDEX(Paletes!$D$5:$D$393,MATCH(B357,Paletes!$A$5:$A$393,0)),0)</f>
      </c>
      <c r="W357" s="31">
        <f>IF(V357=0,0,J357/V357)</f>
      </c>
      <c r="X357" s="31">
        <f>IF(V357=0,0,MAX(M357,0)/V357)</f>
      </c>
    </row>
    <row r="358" spans="1:24" x14ac:dyDescent="0.25">
      <c r="A358" s="32" t="str">
        <f>B358&amp;"."&amp;IFERROR(MID(D358,FIND("(",D358)+1,FIND(")",D358)-FIND("(",D358)-1),"")</f>
        <v>73547.68373</v>
      </c>
      <c r="B358" s="33">
        <v>73547</v>
      </c>
      <c r="C358" s="32" t="s">
        <v>202</v>
      </c>
      <c r="D358" s="32" t="s">
        <v>626</v>
      </c>
      <c r="E358" s="32">
        <v>88033</v>
      </c>
      <c r="F358" s="32" t="s">
        <v>25</v>
      </c>
      <c r="G358" s="32" t="s">
        <v>51</v>
      </c>
      <c r="H358" s="34">
        <f>IFERROR(INDEX(Linha!$B$5:$B$788,MATCH(A358,Linha!$A$5:$A$788,0)),"NÃO CADASTRADO")</f>
      </c>
      <c r="I358" s="34">
        <f>IFERROR(INDEX(Linha!$C$5:$C$788,MATCH(A358,Linha!$A$5:$A$788,0)),"-")</f>
      </c>
      <c r="J358" s="35">
        <v>0</v>
      </c>
      <c r="K358" s="36">
        <f>IFERROR(INDEX(Linha!$D$5:$D$788,MATCH(A358,Linha!$A$5:$A$788,0))*1,0)</f>
      </c>
      <c r="L358" s="36">
        <f>SUMIFS(Reservas!$K$5:$K$3669,Reservas!$A$5:$A$3669,A358)</f>
      </c>
      <c r="M358" s="37">
        <f>J358-L358</f>
      </c>
      <c r="N358" s="38">
        <v>11.115</v>
      </c>
      <c r="O358" s="37">
        <f>J358*N358</f>
      </c>
      <c r="P358" s="37">
        <f>L358*N358</f>
      </c>
      <c r="Q358" s="39">
        <v>65.72806638</v>
      </c>
      <c r="R358" s="40">
        <f>J358*Q358</f>
      </c>
      <c r="S358" s="40">
        <f>L358*Q358</f>
      </c>
      <c r="T358" s="41">
        <f>IF(J358=0,0,L358/J358)</f>
      </c>
      <c r="U358" s="42">
        <f>IFERROR(INDEX(Paletes!$C$5:$C$393,MATCH(B358,Paletes!$A$5:$A$393,0)),"SEM CADASTRO")</f>
      </c>
      <c r="V358" s="36">
        <f>IFERROR(INDEX(Paletes!$D$5:$D$393,MATCH(B358,Paletes!$A$5:$A$393,0)),0)</f>
      </c>
      <c r="W358" s="43">
        <f>IF(V358=0,0,J358/V358)</f>
      </c>
      <c r="X358" s="43">
        <f>IF(V358=0,0,MAX(M358,0)/V358)</f>
      </c>
    </row>
    <row r="359" spans="1:24" x14ac:dyDescent="0.25">
      <c r="A359" s="20" t="str">
        <f>B359&amp;"."&amp;IFERROR(MID(D359,FIND("(",D359)+1,FIND(")",D359)-FIND("(",D359)-1),"")</f>
        <v>73547.15893</v>
      </c>
      <c r="B359" s="21">
        <v>73547</v>
      </c>
      <c r="C359" s="20" t="s">
        <v>202</v>
      </c>
      <c r="D359" s="20" t="s">
        <v>627</v>
      </c>
      <c r="E359" s="20">
        <v>88033</v>
      </c>
      <c r="F359" s="20" t="s">
        <v>25</v>
      </c>
      <c r="G359" s="20" t="s">
        <v>51</v>
      </c>
      <c r="H359" s="22">
        <f>IFERROR(INDEX(Linha!$B$5:$B$788,MATCH(A359,Linha!$A$5:$A$788,0)),"NÃO CADASTRADO")</f>
      </c>
      <c r="I359" s="22">
        <f>IFERROR(INDEX(Linha!$C$5:$C$788,MATCH(A359,Linha!$A$5:$A$788,0)),"-")</f>
      </c>
      <c r="J359" s="23">
        <v>107</v>
      </c>
      <c r="K359" s="24">
        <f>IFERROR(INDEX(Linha!$D$5:$D$788,MATCH(A359,Linha!$A$5:$A$788,0))*1,0)</f>
      </c>
      <c r="L359" s="24">
        <f>SUMIFS(Reservas!$K$5:$K$3669,Reservas!$A$5:$A$3669,A359)</f>
      </c>
      <c r="M359" s="25">
        <f>J359-L359</f>
      </c>
      <c r="N359" s="26">
        <v>11.115</v>
      </c>
      <c r="O359" s="25">
        <f>J359*N359</f>
      </c>
      <c r="P359" s="25">
        <f>L359*N359</f>
      </c>
      <c r="Q359" s="27">
        <v>64.46846067</v>
      </c>
      <c r="R359" s="28">
        <f>J359*Q359</f>
      </c>
      <c r="S359" s="28">
        <f>L359*Q359</f>
      </c>
      <c r="T359" s="29">
        <f>IF(J359=0,0,L359/J359)</f>
      </c>
      <c r="U359" s="30">
        <f>IFERROR(INDEX(Paletes!$C$5:$C$393,MATCH(B359,Paletes!$A$5:$A$393,0)),"SEM CADASTRO")</f>
      </c>
      <c r="V359" s="24">
        <f>IFERROR(INDEX(Paletes!$D$5:$D$393,MATCH(B359,Paletes!$A$5:$A$393,0)),0)</f>
      </c>
      <c r="W359" s="31">
        <f>IF(V359=0,0,J359/V359)</f>
      </c>
      <c r="X359" s="31">
        <f>IF(V359=0,0,MAX(M359,0)/V359)</f>
      </c>
    </row>
    <row r="360" spans="1:24" x14ac:dyDescent="0.25">
      <c r="A360" s="32" t="str">
        <f>B360&amp;"."&amp;IFERROR(MID(D360,FIND("(",D360)+1,FIND(")",D360)-FIND("(",D360)-1),"")</f>
        <v>73547.49157</v>
      </c>
      <c r="B360" s="33">
        <v>73547</v>
      </c>
      <c r="C360" s="32" t="s">
        <v>202</v>
      </c>
      <c r="D360" s="32" t="s">
        <v>628</v>
      </c>
      <c r="E360" s="32">
        <v>88033</v>
      </c>
      <c r="F360" s="32" t="s">
        <v>25</v>
      </c>
      <c r="G360" s="32" t="s">
        <v>51</v>
      </c>
      <c r="H360" s="34">
        <f>IFERROR(INDEX(Linha!$B$5:$B$788,MATCH(A360,Linha!$A$5:$A$788,0)),"NÃO CADASTRADO")</f>
      </c>
      <c r="I360" s="34">
        <f>IFERROR(INDEX(Linha!$C$5:$C$788,MATCH(A360,Linha!$A$5:$A$788,0)),"-")</f>
      </c>
      <c r="J360" s="35">
        <v>612</v>
      </c>
      <c r="K360" s="36">
        <f>IFERROR(INDEX(Linha!$D$5:$D$788,MATCH(A360,Linha!$A$5:$A$788,0))*1,0)</f>
      </c>
      <c r="L360" s="36">
        <f>SUMIFS(Reservas!$K$5:$K$3669,Reservas!$A$5:$A$3669,A360)</f>
      </c>
      <c r="M360" s="37">
        <f>J360-L360</f>
      </c>
      <c r="N360" s="38">
        <v>11.115</v>
      </c>
      <c r="O360" s="37">
        <f>J360*N360</f>
      </c>
      <c r="P360" s="37">
        <f>L360*N360</f>
      </c>
      <c r="Q360" s="39">
        <v>74.36326237</v>
      </c>
      <c r="R360" s="40">
        <f>J360*Q360</f>
      </c>
      <c r="S360" s="40">
        <f>L360*Q360</f>
      </c>
      <c r="T360" s="41">
        <f>IF(J360=0,0,L360/J360)</f>
      </c>
      <c r="U360" s="42">
        <f>IFERROR(INDEX(Paletes!$C$5:$C$393,MATCH(B360,Paletes!$A$5:$A$393,0)),"SEM CADASTRO")</f>
      </c>
      <c r="V360" s="36">
        <f>IFERROR(INDEX(Paletes!$D$5:$D$393,MATCH(B360,Paletes!$A$5:$A$393,0)),0)</f>
      </c>
      <c r="W360" s="43">
        <f>IF(V360=0,0,J360/V360)</f>
      </c>
      <c r="X360" s="43">
        <f>IF(V360=0,0,MAX(M360,0)/V360)</f>
      </c>
    </row>
    <row r="361" spans="1:24" x14ac:dyDescent="0.25">
      <c r="A361" s="20" t="str">
        <f>B361&amp;"."&amp;IFERROR(MID(D361,FIND("(",D361)+1,FIND(")",D361)-FIND("(",D361)-1),"")</f>
        <v>72566.13850</v>
      </c>
      <c r="B361" s="21">
        <v>72566</v>
      </c>
      <c r="C361" s="20" t="s">
        <v>629</v>
      </c>
      <c r="D361" s="20" t="s">
        <v>630</v>
      </c>
      <c r="E361" s="20">
        <v>88119</v>
      </c>
      <c r="F361" s="20" t="s">
        <v>26</v>
      </c>
      <c r="G361" s="20" t="s">
        <v>51</v>
      </c>
      <c r="H361" s="22">
        <f>IFERROR(INDEX(Linha!$B$5:$B$788,MATCH(A361,Linha!$A$5:$A$788,0)),"NÃO CADASTRADO")</f>
      </c>
      <c r="I361" s="22">
        <f>IFERROR(INDEX(Linha!$C$5:$C$788,MATCH(A361,Linha!$A$5:$A$788,0)),"-")</f>
      </c>
      <c r="J361" s="23">
        <v>256</v>
      </c>
      <c r="K361" s="24">
        <f>IFERROR(INDEX(Linha!$D$5:$D$788,MATCH(A361,Linha!$A$5:$A$788,0))*1,0)</f>
      </c>
      <c r="L361" s="24">
        <f>SUMIFS(Reservas!$K$5:$K$3669,Reservas!$A$5:$A$3669,A361)</f>
      </c>
      <c r="M361" s="25">
        <f>J361-L361</f>
      </c>
      <c r="N361" s="26">
        <v>45.82</v>
      </c>
      <c r="O361" s="25">
        <f>J361*N361</f>
      </c>
      <c r="P361" s="25">
        <f>L361*N361</f>
      </c>
      <c r="Q361" s="27">
        <v>125.70484736</v>
      </c>
      <c r="R361" s="28">
        <f>J361*Q361</f>
      </c>
      <c r="S361" s="28">
        <f>L361*Q361</f>
      </c>
      <c r="T361" s="29">
        <f>IF(J361=0,0,L361/J361)</f>
      </c>
      <c r="U361" s="30">
        <f>IFERROR(INDEX(Paletes!$C$5:$C$393,MATCH(B361,Paletes!$A$5:$A$393,0)),"SEM CADASTRO")</f>
      </c>
      <c r="V361" s="24">
        <f>IFERROR(INDEX(Paletes!$D$5:$D$393,MATCH(B361,Paletes!$A$5:$A$393,0)),0)</f>
      </c>
      <c r="W361" s="31">
        <f>IF(V361=0,0,J361/V361)</f>
      </c>
      <c r="X361" s="31">
        <f>IF(V361=0,0,MAX(M361,0)/V361)</f>
      </c>
    </row>
    <row r="362" spans="1:24" x14ac:dyDescent="0.25">
      <c r="A362" s="32" t="str">
        <f>B362&amp;"."&amp;IFERROR(MID(D362,FIND("(",D362)+1,FIND(")",D362)-FIND("(",D362)-1),"")</f>
        <v>72572.13651</v>
      </c>
      <c r="B362" s="33">
        <v>72572</v>
      </c>
      <c r="C362" s="32" t="s">
        <v>503</v>
      </c>
      <c r="D362" s="32" t="s">
        <v>631</v>
      </c>
      <c r="E362" s="32">
        <v>88123</v>
      </c>
      <c r="F362" s="32" t="s">
        <v>26</v>
      </c>
      <c r="G362" s="32" t="s">
        <v>51</v>
      </c>
      <c r="H362" s="34">
        <f>IFERROR(INDEX(Linha!$B$5:$B$788,MATCH(A362,Linha!$A$5:$A$788,0)),"NÃO CADASTRADO")</f>
      </c>
      <c r="I362" s="34">
        <f>IFERROR(INDEX(Linha!$C$5:$C$788,MATCH(A362,Linha!$A$5:$A$788,0)),"-")</f>
      </c>
      <c r="J362" s="35">
        <v>744</v>
      </c>
      <c r="K362" s="36">
        <f>IFERROR(INDEX(Linha!$D$5:$D$788,MATCH(A362,Linha!$A$5:$A$788,0))*1,0)</f>
      </c>
      <c r="L362" s="36">
        <f>SUMIFS(Reservas!$K$5:$K$3669,Reservas!$A$5:$A$3669,A362)</f>
      </c>
      <c r="M362" s="37">
        <f>J362-L362</f>
      </c>
      <c r="N362" s="38">
        <v>17.121</v>
      </c>
      <c r="O362" s="37">
        <f>J362*N362</f>
      </c>
      <c r="P362" s="37">
        <f>L362*N362</f>
      </c>
      <c r="Q362" s="39">
        <v>154.85643097</v>
      </c>
      <c r="R362" s="40">
        <f>J362*Q362</f>
      </c>
      <c r="S362" s="40">
        <f>L362*Q362</f>
      </c>
      <c r="T362" s="41">
        <f>IF(J362=0,0,L362/J362)</f>
      </c>
      <c r="U362" s="42">
        <f>IFERROR(INDEX(Paletes!$C$5:$C$393,MATCH(B362,Paletes!$A$5:$A$393,0)),"SEM CADASTRO")</f>
      </c>
      <c r="V362" s="36">
        <f>IFERROR(INDEX(Paletes!$D$5:$D$393,MATCH(B362,Paletes!$A$5:$A$393,0)),0)</f>
      </c>
      <c r="W362" s="43">
        <f>IF(V362=0,0,J362/V362)</f>
      </c>
      <c r="X362" s="43">
        <f>IF(V362=0,0,MAX(M362,0)/V362)</f>
      </c>
    </row>
    <row r="363" spans="1:24" x14ac:dyDescent="0.25">
      <c r="A363" s="20" t="str">
        <f>B363&amp;"."&amp;IFERROR(MID(D363,FIND("(",D363)+1,FIND(")",D363)-FIND("(",D363)-1),"")</f>
        <v>2308.52050</v>
      </c>
      <c r="B363" s="21">
        <v>2308</v>
      </c>
      <c r="C363" s="20" t="s">
        <v>207</v>
      </c>
      <c r="D363" s="20" t="s">
        <v>632</v>
      </c>
      <c r="E363" s="20">
        <v>89001</v>
      </c>
      <c r="F363" s="20" t="s">
        <v>23</v>
      </c>
      <c r="G363" s="20" t="s">
        <v>51</v>
      </c>
      <c r="H363" s="22">
        <f>IFERROR(INDEX(Linha!$B$5:$B$788,MATCH(A363,Linha!$A$5:$A$788,0)),"NÃO CADASTRADO")</f>
      </c>
      <c r="I363" s="22">
        <f>IFERROR(INDEX(Linha!$C$5:$C$788,MATCH(A363,Linha!$A$5:$A$788,0)),"-")</f>
      </c>
      <c r="J363" s="23">
        <v>37</v>
      </c>
      <c r="K363" s="24">
        <f>IFERROR(INDEX(Linha!$D$5:$D$788,MATCH(A363,Linha!$A$5:$A$788,0))*1,0)</f>
      </c>
      <c r="L363" s="24">
        <f>SUMIFS(Reservas!$K$5:$K$3669,Reservas!$A$5:$A$3669,A363)</f>
      </c>
      <c r="M363" s="25">
        <f>J363-L363</f>
      </c>
      <c r="N363" s="26">
        <v>0.702</v>
      </c>
      <c r="O363" s="25">
        <f>J363*N363</f>
      </c>
      <c r="P363" s="25">
        <f>L363*N363</f>
      </c>
      <c r="Q363" s="27">
        <v>7.43396966</v>
      </c>
      <c r="R363" s="28">
        <f>J363*Q363</f>
      </c>
      <c r="S363" s="28">
        <f>L363*Q363</f>
      </c>
      <c r="T363" s="29">
        <f>IF(J363=0,0,L363/J363)</f>
      </c>
      <c r="U363" s="30">
        <f>IFERROR(INDEX(Paletes!$C$5:$C$393,MATCH(B363,Paletes!$A$5:$A$393,0)),"SEM CADASTRO")</f>
      </c>
      <c r="V363" s="24">
        <f>IFERROR(INDEX(Paletes!$D$5:$D$393,MATCH(B363,Paletes!$A$5:$A$393,0)),0)</f>
      </c>
      <c r="W363" s="31">
        <f>IF(V363=0,0,J363/V363)</f>
      </c>
      <c r="X363" s="31">
        <f>IF(V363=0,0,MAX(M363,0)/V363)</f>
      </c>
    </row>
    <row r="364" spans="1:24" x14ac:dyDescent="0.25">
      <c r="A364" s="32" t="str">
        <f>B364&amp;"."&amp;IFERROR(MID(D364,FIND("(",D364)+1,FIND(")",D364)-FIND("(",D364)-1),"")</f>
        <v>87139.90809</v>
      </c>
      <c r="B364" s="33">
        <v>87139</v>
      </c>
      <c r="C364" s="32" t="s">
        <v>505</v>
      </c>
      <c r="D364" s="32" t="s">
        <v>633</v>
      </c>
      <c r="E364" s="32">
        <v>104504</v>
      </c>
      <c r="F364" s="32" t="s">
        <v>26</v>
      </c>
      <c r="G364" s="32" t="s">
        <v>51</v>
      </c>
      <c r="H364" s="34">
        <f>IFERROR(INDEX(Linha!$B$5:$B$788,MATCH(A364,Linha!$A$5:$A$788,0)),"NÃO CADASTRADO")</f>
      </c>
      <c r="I364" s="34">
        <f>IFERROR(INDEX(Linha!$C$5:$C$788,MATCH(A364,Linha!$A$5:$A$788,0)),"-")</f>
      </c>
      <c r="J364" s="35">
        <v>259</v>
      </c>
      <c r="K364" s="36">
        <f>IFERROR(INDEX(Linha!$D$5:$D$788,MATCH(A364,Linha!$A$5:$A$788,0))*1,0)</f>
      </c>
      <c r="L364" s="36">
        <f>SUMIFS(Reservas!$K$5:$K$3669,Reservas!$A$5:$A$3669,A364)</f>
      </c>
      <c r="M364" s="37">
        <f>J364-L364</f>
      </c>
      <c r="N364" s="38">
        <v>41.925</v>
      </c>
      <c r="O364" s="37">
        <f>J364*N364</f>
      </c>
      <c r="P364" s="37">
        <f>L364*N364</f>
      </c>
      <c r="Q364" s="39">
        <v>137.03859752</v>
      </c>
      <c r="R364" s="40">
        <f>J364*Q364</f>
      </c>
      <c r="S364" s="40">
        <f>L364*Q364</f>
      </c>
      <c r="T364" s="41">
        <f>IF(J364=0,0,L364/J364)</f>
      </c>
      <c r="U364" s="42">
        <f>IFERROR(INDEX(Paletes!$C$5:$C$393,MATCH(B364,Paletes!$A$5:$A$393,0)),"SEM CADASTRO")</f>
      </c>
      <c r="V364" s="36">
        <f>IFERROR(INDEX(Paletes!$D$5:$D$393,MATCH(B364,Paletes!$A$5:$A$393,0)),0)</f>
      </c>
      <c r="W364" s="43">
        <f>IF(V364=0,0,J364/V364)</f>
      </c>
      <c r="X364" s="43">
        <f>IF(V364=0,0,MAX(M364,0)/V364)</f>
      </c>
    </row>
    <row r="365" spans="1:24" x14ac:dyDescent="0.25">
      <c r="A365" s="20" t="str">
        <f>B365&amp;"."&amp;IFERROR(MID(D365,FIND("(",D365)+1,FIND(")",D365)-FIND("(",D365)-1),"")</f>
        <v>97189.99485</v>
      </c>
      <c r="B365" s="21">
        <v>97189</v>
      </c>
      <c r="C365" s="20" t="s">
        <v>634</v>
      </c>
      <c r="D365" s="20" t="s">
        <v>635</v>
      </c>
      <c r="E365" s="20" t="s">
        <v>89</v>
      </c>
      <c r="F365" s="20" t="s">
        <v>26</v>
      </c>
      <c r="G365" s="20" t="s">
        <v>51</v>
      </c>
      <c r="H365" s="22">
        <f>IFERROR(INDEX(Linha!$B$5:$B$788,MATCH(A365,Linha!$A$5:$A$788,0)),"NÃO CADASTRADO")</f>
      </c>
      <c r="I365" s="22">
        <f>IFERROR(INDEX(Linha!$C$5:$C$788,MATCH(A365,Linha!$A$5:$A$788,0)),"-")</f>
      </c>
      <c r="J365" s="23">
        <v>253</v>
      </c>
      <c r="K365" s="24">
        <f>IFERROR(INDEX(Linha!$D$5:$D$788,MATCH(A365,Linha!$A$5:$A$788,0))*1,0)</f>
      </c>
      <c r="L365" s="24">
        <f>SUMIFS(Reservas!$K$5:$K$3669,Reservas!$A$5:$A$3669,A365)</f>
      </c>
      <c r="M365" s="25">
        <f>J365-L365</f>
      </c>
      <c r="N365" s="26">
        <v>15.6</v>
      </c>
      <c r="O365" s="25">
        <f>J365*N365</f>
      </c>
      <c r="P365" s="25">
        <f>L365*N365</f>
      </c>
      <c r="Q365" s="27">
        <v>48.33174851</v>
      </c>
      <c r="R365" s="28">
        <f>J365*Q365</f>
      </c>
      <c r="S365" s="28">
        <f>L365*Q365</f>
      </c>
      <c r="T365" s="29">
        <f>IF(J365=0,0,L365/J365)</f>
      </c>
      <c r="U365" s="30">
        <f>IFERROR(INDEX(Paletes!$C$5:$C$393,MATCH(B365,Paletes!$A$5:$A$393,0)),"SEM CADASTRO")</f>
      </c>
      <c r="V365" s="24">
        <f>IFERROR(INDEX(Paletes!$D$5:$D$393,MATCH(B365,Paletes!$A$5:$A$393,0)),0)</f>
      </c>
      <c r="W365" s="31">
        <f>IF(V365=0,0,J365/V365)</f>
      </c>
      <c r="X365" s="31">
        <f>IF(V365=0,0,MAX(M365,0)/V365)</f>
      </c>
    </row>
    <row r="366" spans="1:24" x14ac:dyDescent="0.25">
      <c r="A366" s="32" t="str">
        <f>B366&amp;"."&amp;IFERROR(MID(D366,FIND("(",D366)+1,FIND(")",D366)-FIND("(",D366)-1),"")</f>
        <v>97299.112328</v>
      </c>
      <c r="B366" s="33">
        <v>97299</v>
      </c>
      <c r="C366" s="32" t="s">
        <v>211</v>
      </c>
      <c r="D366" s="32" t="s">
        <v>636</v>
      </c>
      <c r="E366" s="32" t="s">
        <v>89</v>
      </c>
      <c r="F366" s="32" t="s">
        <v>24</v>
      </c>
      <c r="G366" s="32" t="s">
        <v>51</v>
      </c>
      <c r="H366" s="34">
        <f>IFERROR(INDEX(Linha!$B$5:$B$788,MATCH(A366,Linha!$A$5:$A$788,0)),"NÃO CADASTRADO")</f>
      </c>
      <c r="I366" s="34">
        <f>IFERROR(INDEX(Linha!$C$5:$C$788,MATCH(A366,Linha!$A$5:$A$788,0)),"-")</f>
      </c>
      <c r="J366" s="35">
        <v>2</v>
      </c>
      <c r="K366" s="36">
        <f>IFERROR(INDEX(Linha!$D$5:$D$788,MATCH(A366,Linha!$A$5:$A$788,0))*1,0)</f>
      </c>
      <c r="L366" s="36">
        <f>SUMIFS(Reservas!$K$5:$K$3669,Reservas!$A$5:$A$3669,A366)</f>
      </c>
      <c r="M366" s="37">
        <f>J366-L366</f>
      </c>
      <c r="N366" s="38">
        <v>25.35</v>
      </c>
      <c r="O366" s="37">
        <f>J366*N366</f>
      </c>
      <c r="P366" s="37">
        <f>L366*N366</f>
      </c>
      <c r="Q366" s="39">
        <v>82.50422651</v>
      </c>
      <c r="R366" s="40">
        <f>J366*Q366</f>
      </c>
      <c r="S366" s="40">
        <f>L366*Q366</f>
      </c>
      <c r="T366" s="41">
        <f>IF(J366=0,0,L366/J366)</f>
      </c>
      <c r="U366" s="42">
        <f>IFERROR(INDEX(Paletes!$C$5:$C$393,MATCH(B366,Paletes!$A$5:$A$393,0)),"SEM CADASTRO")</f>
      </c>
      <c r="V366" s="36">
        <f>IFERROR(INDEX(Paletes!$D$5:$D$393,MATCH(B366,Paletes!$A$5:$A$393,0)),0)</f>
      </c>
      <c r="W366" s="43">
        <f>IF(V366=0,0,J366/V366)</f>
      </c>
      <c r="X366" s="43">
        <f>IF(V366=0,0,MAX(M366,0)/V366)</f>
      </c>
    </row>
    <row r="367" spans="1:24" x14ac:dyDescent="0.25">
      <c r="A367" s="20" t="str">
        <f>B367&amp;"."&amp;IFERROR(MID(D367,FIND("(",D367)+1,FIND(")",D367)-FIND("(",D367)-1),"")</f>
        <v>97308.99992</v>
      </c>
      <c r="B367" s="21">
        <v>97308</v>
      </c>
      <c r="C367" s="20" t="s">
        <v>514</v>
      </c>
      <c r="D367" s="20" t="s">
        <v>637</v>
      </c>
      <c r="E367" s="20">
        <v>79071</v>
      </c>
      <c r="F367" s="20" t="s">
        <v>24</v>
      </c>
      <c r="G367" s="20" t="s">
        <v>51</v>
      </c>
      <c r="H367" s="22">
        <f>IFERROR(INDEX(Linha!$B$5:$B$788,MATCH(A367,Linha!$A$5:$A$788,0)),"NÃO CADASTRADO")</f>
      </c>
      <c r="I367" s="22">
        <f>IFERROR(INDEX(Linha!$C$5:$C$788,MATCH(A367,Linha!$A$5:$A$788,0)),"-")</f>
      </c>
      <c r="J367" s="23">
        <v>2</v>
      </c>
      <c r="K367" s="24">
        <f>IFERROR(INDEX(Linha!$D$5:$D$788,MATCH(A367,Linha!$A$5:$A$788,0))*1,0)</f>
      </c>
      <c r="L367" s="24">
        <f>SUMIFS(Reservas!$K$5:$K$3669,Reservas!$A$5:$A$3669,A367)</f>
      </c>
      <c r="M367" s="25">
        <f>J367-L367</f>
      </c>
      <c r="N367" s="26">
        <v>14.87</v>
      </c>
      <c r="O367" s="25">
        <f>J367*N367</f>
      </c>
      <c r="P367" s="25">
        <f>L367*N367</f>
      </c>
      <c r="Q367" s="27">
        <v>60.49985376</v>
      </c>
      <c r="R367" s="28">
        <f>J367*Q367</f>
      </c>
      <c r="S367" s="28">
        <f>L367*Q367</f>
      </c>
      <c r="T367" s="29">
        <f>IF(J367=0,0,L367/J367)</f>
      </c>
      <c r="U367" s="30">
        <f>IFERROR(INDEX(Paletes!$C$5:$C$393,MATCH(B367,Paletes!$A$5:$A$393,0)),"SEM CADASTRO")</f>
      </c>
      <c r="V367" s="24">
        <f>IFERROR(INDEX(Paletes!$D$5:$D$393,MATCH(B367,Paletes!$A$5:$A$393,0)),0)</f>
      </c>
      <c r="W367" s="31">
        <f>IF(V367=0,0,J367/V367)</f>
      </c>
      <c r="X367" s="31">
        <f>IF(V367=0,0,MAX(M367,0)/V367)</f>
      </c>
    </row>
    <row r="368" spans="1:24" x14ac:dyDescent="0.25">
      <c r="A368" s="32" t="str">
        <f>B368&amp;"."&amp;IFERROR(MID(D368,FIND("(",D368)+1,FIND(")",D368)-FIND("(",D368)-1),"")</f>
        <v>97308.99993</v>
      </c>
      <c r="B368" s="33">
        <v>97308</v>
      </c>
      <c r="C368" s="32" t="s">
        <v>514</v>
      </c>
      <c r="D368" s="32" t="s">
        <v>638</v>
      </c>
      <c r="E368" s="32">
        <v>79071</v>
      </c>
      <c r="F368" s="32" t="s">
        <v>24</v>
      </c>
      <c r="G368" s="32" t="s">
        <v>51</v>
      </c>
      <c r="H368" s="34">
        <f>IFERROR(INDEX(Linha!$B$5:$B$788,MATCH(A368,Linha!$A$5:$A$788,0)),"NÃO CADASTRADO")</f>
      </c>
      <c r="I368" s="34">
        <f>IFERROR(INDEX(Linha!$C$5:$C$788,MATCH(A368,Linha!$A$5:$A$788,0)),"-")</f>
      </c>
      <c r="J368" s="35">
        <v>2</v>
      </c>
      <c r="K368" s="36">
        <f>IFERROR(INDEX(Linha!$D$5:$D$788,MATCH(A368,Linha!$A$5:$A$788,0))*1,0)</f>
      </c>
      <c r="L368" s="36">
        <f>SUMIFS(Reservas!$K$5:$K$3669,Reservas!$A$5:$A$3669,A368)</f>
      </c>
      <c r="M368" s="37">
        <f>J368-L368</f>
      </c>
      <c r="N368" s="38">
        <v>14.87</v>
      </c>
      <c r="O368" s="37">
        <f>J368*N368</f>
      </c>
      <c r="P368" s="37">
        <f>L368*N368</f>
      </c>
      <c r="Q368" s="39">
        <v>63.94230034</v>
      </c>
      <c r="R368" s="40">
        <f>J368*Q368</f>
      </c>
      <c r="S368" s="40">
        <f>L368*Q368</f>
      </c>
      <c r="T368" s="41">
        <f>IF(J368=0,0,L368/J368)</f>
      </c>
      <c r="U368" s="42">
        <f>IFERROR(INDEX(Paletes!$C$5:$C$393,MATCH(B368,Paletes!$A$5:$A$393,0)),"SEM CADASTRO")</f>
      </c>
      <c r="V368" s="36">
        <f>IFERROR(INDEX(Paletes!$D$5:$D$393,MATCH(B368,Paletes!$A$5:$A$393,0)),0)</f>
      </c>
      <c r="W368" s="43">
        <f>IF(V368=0,0,J368/V368)</f>
      </c>
      <c r="X368" s="43">
        <f>IF(V368=0,0,MAX(M368,0)/V368)</f>
      </c>
    </row>
    <row r="369" spans="1:24" x14ac:dyDescent="0.25">
      <c r="A369" s="20" t="str">
        <f>B369&amp;"."&amp;IFERROR(MID(D369,FIND("(",D369)+1,FIND(")",D369)-FIND("(",D369)-1),"")</f>
        <v>73126.15979</v>
      </c>
      <c r="B369" s="21">
        <v>73126</v>
      </c>
      <c r="C369" s="20" t="s">
        <v>352</v>
      </c>
      <c r="D369" s="20" t="s">
        <v>639</v>
      </c>
      <c r="E369" s="20">
        <v>90752</v>
      </c>
      <c r="F369" s="20" t="s">
        <v>24</v>
      </c>
      <c r="G369" s="20" t="s">
        <v>51</v>
      </c>
      <c r="H369" s="22">
        <f>IFERROR(INDEX(Linha!$B$5:$B$788,MATCH(A369,Linha!$A$5:$A$788,0)),"NÃO CADASTRADO")</f>
      </c>
      <c r="I369" s="22">
        <f>IFERROR(INDEX(Linha!$C$5:$C$788,MATCH(A369,Linha!$A$5:$A$788,0)),"-")</f>
      </c>
      <c r="J369" s="23">
        <v>256</v>
      </c>
      <c r="K369" s="24">
        <f>IFERROR(INDEX(Linha!$D$5:$D$788,MATCH(A369,Linha!$A$5:$A$788,0))*1,0)</f>
      </c>
      <c r="L369" s="24">
        <f>SUMIFS(Reservas!$K$5:$K$3669,Reservas!$A$5:$A$3669,A369)</f>
      </c>
      <c r="M369" s="25">
        <f>J369-L369</f>
      </c>
      <c r="N369" s="26">
        <v>43.875</v>
      </c>
      <c r="O369" s="25">
        <f>J369*N369</f>
      </c>
      <c r="P369" s="25">
        <f>L369*N369</f>
      </c>
      <c r="Q369" s="27">
        <v>193.32420417</v>
      </c>
      <c r="R369" s="28">
        <f>J369*Q369</f>
      </c>
      <c r="S369" s="28">
        <f>L369*Q369</f>
      </c>
      <c r="T369" s="29">
        <f>IF(J369=0,0,L369/J369)</f>
      </c>
      <c r="U369" s="30">
        <f>IFERROR(INDEX(Paletes!$C$5:$C$393,MATCH(B369,Paletes!$A$5:$A$393,0)),"SEM CADASTRO")</f>
      </c>
      <c r="V369" s="24">
        <f>IFERROR(INDEX(Paletes!$D$5:$D$393,MATCH(B369,Paletes!$A$5:$A$393,0)),0)</f>
      </c>
      <c r="W369" s="31">
        <f>IF(V369=0,0,J369/V369)</f>
      </c>
      <c r="X369" s="31">
        <f>IF(V369=0,0,MAX(M369,0)/V369)</f>
      </c>
    </row>
    <row r="370" spans="1:24" x14ac:dyDescent="0.25">
      <c r="A370" s="32" t="str">
        <f>B370&amp;"."&amp;IFERROR(MID(D370,FIND("(",D370)+1,FIND(")",D370)-FIND("(",D370)-1),"")</f>
        <v>73126.15981</v>
      </c>
      <c r="B370" s="33">
        <v>73126</v>
      </c>
      <c r="C370" s="32" t="s">
        <v>352</v>
      </c>
      <c r="D370" s="32" t="s">
        <v>640</v>
      </c>
      <c r="E370" s="32">
        <v>90752</v>
      </c>
      <c r="F370" s="32" t="s">
        <v>24</v>
      </c>
      <c r="G370" s="32" t="s">
        <v>51</v>
      </c>
      <c r="H370" s="34">
        <f>IFERROR(INDEX(Linha!$B$5:$B$788,MATCH(A370,Linha!$A$5:$A$788,0)),"NÃO CADASTRADO")</f>
      </c>
      <c r="I370" s="34">
        <f>IFERROR(INDEX(Linha!$C$5:$C$788,MATCH(A370,Linha!$A$5:$A$788,0)),"-")</f>
      </c>
      <c r="J370" s="35">
        <v>29</v>
      </c>
      <c r="K370" s="36">
        <f>IFERROR(INDEX(Linha!$D$5:$D$788,MATCH(A370,Linha!$A$5:$A$788,0))*1,0)</f>
      </c>
      <c r="L370" s="36">
        <f>SUMIFS(Reservas!$K$5:$K$3669,Reservas!$A$5:$A$3669,A370)</f>
      </c>
      <c r="M370" s="37">
        <f>J370-L370</f>
      </c>
      <c r="N370" s="38">
        <v>43.875</v>
      </c>
      <c r="O370" s="37">
        <f>J370*N370</f>
      </c>
      <c r="P370" s="37">
        <f>L370*N370</f>
      </c>
      <c r="Q370" s="39">
        <v>211.22486208</v>
      </c>
      <c r="R370" s="40">
        <f>J370*Q370</f>
      </c>
      <c r="S370" s="40">
        <f>L370*Q370</f>
      </c>
      <c r="T370" s="41">
        <f>IF(J370=0,0,L370/J370)</f>
      </c>
      <c r="U370" s="42">
        <f>IFERROR(INDEX(Paletes!$C$5:$C$393,MATCH(B370,Paletes!$A$5:$A$393,0)),"SEM CADASTRO")</f>
      </c>
      <c r="V370" s="36">
        <f>IFERROR(INDEX(Paletes!$D$5:$D$393,MATCH(B370,Paletes!$A$5:$A$393,0)),0)</f>
      </c>
      <c r="W370" s="43">
        <f>IF(V370=0,0,J370/V370)</f>
      </c>
      <c r="X370" s="43">
        <f>IF(V370=0,0,MAX(M370,0)/V370)</f>
      </c>
    </row>
    <row r="371" spans="1:24" x14ac:dyDescent="0.25">
      <c r="A371" s="20" t="str">
        <f>B371&amp;"."&amp;IFERROR(MID(D371,FIND("(",D371)+1,FIND(")",D371)-FIND("(",D371)-1),"")</f>
        <v>77197.13228</v>
      </c>
      <c r="B371" s="21">
        <v>77197</v>
      </c>
      <c r="C371" s="20" t="s">
        <v>217</v>
      </c>
      <c r="D371" s="20" t="s">
        <v>641</v>
      </c>
      <c r="E371" s="20">
        <v>91522</v>
      </c>
      <c r="F371" s="20" t="s">
        <v>26</v>
      </c>
      <c r="G371" s="20" t="s">
        <v>51</v>
      </c>
      <c r="H371" s="22">
        <f>IFERROR(INDEX(Linha!$B$5:$B$788,MATCH(A371,Linha!$A$5:$A$788,0)),"NÃO CADASTRADO")</f>
      </c>
      <c r="I371" s="22">
        <f>IFERROR(INDEX(Linha!$C$5:$C$788,MATCH(A371,Linha!$A$5:$A$788,0)),"-")</f>
      </c>
      <c r="J371" s="23">
        <v>0</v>
      </c>
      <c r="K371" s="24">
        <f>IFERROR(INDEX(Linha!$D$5:$D$788,MATCH(A371,Linha!$A$5:$A$788,0))*1,0)</f>
      </c>
      <c r="L371" s="24">
        <f>SUMIFS(Reservas!$K$5:$K$3669,Reservas!$A$5:$A$3669,A371)</f>
      </c>
      <c r="M371" s="25">
        <f>J371-L371</f>
      </c>
      <c r="N371" s="26">
        <v>28.27</v>
      </c>
      <c r="O371" s="25">
        <f>J371*N371</f>
      </c>
      <c r="P371" s="25">
        <f>L371*N371</f>
      </c>
      <c r="Q371" s="27">
        <v>154.05401045</v>
      </c>
      <c r="R371" s="28">
        <f>J371*Q371</f>
      </c>
      <c r="S371" s="28">
        <f>L371*Q371</f>
      </c>
      <c r="T371" s="29">
        <f>IF(J371=0,0,L371/J371)</f>
      </c>
      <c r="U371" s="30">
        <f>IFERROR(INDEX(Paletes!$C$5:$C$393,MATCH(B371,Paletes!$A$5:$A$393,0)),"SEM CADASTRO")</f>
      </c>
      <c r="V371" s="24">
        <f>IFERROR(INDEX(Paletes!$D$5:$D$393,MATCH(B371,Paletes!$A$5:$A$393,0)),0)</f>
      </c>
      <c r="W371" s="31">
        <f>IF(V371=0,0,J371/V371)</f>
      </c>
      <c r="X371" s="31">
        <f>IF(V371=0,0,MAX(M371,0)/V371)</f>
      </c>
    </row>
    <row r="372" spans="1:24" x14ac:dyDescent="0.25">
      <c r="A372" s="32" t="str">
        <f>B372&amp;"."&amp;IFERROR(MID(D372,FIND("(",D372)+1,FIND(")",D372)-FIND("(",D372)-1),"")</f>
        <v>75868.52117</v>
      </c>
      <c r="B372" s="33">
        <v>75868</v>
      </c>
      <c r="C372" s="32" t="s">
        <v>357</v>
      </c>
      <c r="D372" s="32" t="s">
        <v>642</v>
      </c>
      <c r="E372" s="32">
        <v>91884</v>
      </c>
      <c r="F372" s="32" t="s">
        <v>26</v>
      </c>
      <c r="G372" s="32" t="s">
        <v>51</v>
      </c>
      <c r="H372" s="34">
        <f>IFERROR(INDEX(Linha!$B$5:$B$788,MATCH(A372,Linha!$A$5:$A$788,0)),"NÃO CADASTRADO")</f>
      </c>
      <c r="I372" s="34">
        <f>IFERROR(INDEX(Linha!$C$5:$C$788,MATCH(A372,Linha!$A$5:$A$788,0)),"-")</f>
      </c>
      <c r="J372" s="35">
        <v>76</v>
      </c>
      <c r="K372" s="36">
        <f>IFERROR(INDEX(Linha!$D$5:$D$788,MATCH(A372,Linha!$A$5:$A$788,0))*1,0)</f>
      </c>
      <c r="L372" s="36">
        <f>SUMIFS(Reservas!$K$5:$K$3669,Reservas!$A$5:$A$3669,A372)</f>
      </c>
      <c r="M372" s="37">
        <f>J372-L372</f>
      </c>
      <c r="N372" s="38">
        <v>59.943</v>
      </c>
      <c r="O372" s="37">
        <f>J372*N372</f>
      </c>
      <c r="P372" s="37">
        <f>L372*N372</f>
      </c>
      <c r="Q372" s="39">
        <v>235.81853315</v>
      </c>
      <c r="R372" s="40">
        <f>J372*Q372</f>
      </c>
      <c r="S372" s="40">
        <f>L372*Q372</f>
      </c>
      <c r="T372" s="41">
        <f>IF(J372=0,0,L372/J372)</f>
      </c>
      <c r="U372" s="42">
        <f>IFERROR(INDEX(Paletes!$C$5:$C$393,MATCH(B372,Paletes!$A$5:$A$393,0)),"SEM CADASTRO")</f>
      </c>
      <c r="V372" s="36">
        <f>IFERROR(INDEX(Paletes!$D$5:$D$393,MATCH(B372,Paletes!$A$5:$A$393,0)),0)</f>
      </c>
      <c r="W372" s="43">
        <f>IF(V372=0,0,J372/V372)</f>
      </c>
      <c r="X372" s="43">
        <f>IF(V372=0,0,MAX(M372,0)/V372)</f>
      </c>
    </row>
    <row r="373" spans="1:24" x14ac:dyDescent="0.25">
      <c r="A373" s="20" t="str">
        <f>B373&amp;"."&amp;IFERROR(MID(D373,FIND("(",D373)+1,FIND(")",D373)-FIND("(",D373)-1),"")</f>
        <v>81935.32031</v>
      </c>
      <c r="B373" s="21">
        <v>81935</v>
      </c>
      <c r="C373" s="20" t="s">
        <v>219</v>
      </c>
      <c r="D373" s="20" t="s">
        <v>643</v>
      </c>
      <c r="E373" s="20">
        <v>93682</v>
      </c>
      <c r="F373" s="20" t="s">
        <v>24</v>
      </c>
      <c r="G373" s="20" t="s">
        <v>51</v>
      </c>
      <c r="H373" s="22">
        <f>IFERROR(INDEX(Linha!$B$5:$B$788,MATCH(A373,Linha!$A$5:$A$788,0)),"NÃO CADASTRADO")</f>
      </c>
      <c r="I373" s="22">
        <f>IFERROR(INDEX(Linha!$C$5:$C$788,MATCH(A373,Linha!$A$5:$A$788,0)),"-")</f>
      </c>
      <c r="J373" s="23">
        <v>0</v>
      </c>
      <c r="K373" s="24">
        <f>IFERROR(INDEX(Linha!$D$5:$D$788,MATCH(A373,Linha!$A$5:$A$788,0))*1,0)</f>
      </c>
      <c r="L373" s="24">
        <f>SUMIFS(Reservas!$K$5:$K$3669,Reservas!$A$5:$A$3669,A373)</f>
      </c>
      <c r="M373" s="25">
        <f>J373-L373</f>
      </c>
      <c r="N373" s="26">
        <v>36.562</v>
      </c>
      <c r="O373" s="25">
        <f>J373*N373</f>
      </c>
      <c r="P373" s="25">
        <f>L373*N373</f>
      </c>
      <c r="Q373" s="27">
        <v>161.30120074</v>
      </c>
      <c r="R373" s="28">
        <f>J373*Q373</f>
      </c>
      <c r="S373" s="28">
        <f>L373*Q373</f>
      </c>
      <c r="T373" s="29">
        <f>IF(J373=0,0,L373/J373)</f>
      </c>
      <c r="U373" s="30">
        <f>IFERROR(INDEX(Paletes!$C$5:$C$393,MATCH(B373,Paletes!$A$5:$A$393,0)),"SEM CADASTRO")</f>
      </c>
      <c r="V373" s="24">
        <f>IFERROR(INDEX(Paletes!$D$5:$D$393,MATCH(B373,Paletes!$A$5:$A$393,0)),0)</f>
      </c>
      <c r="W373" s="31">
        <f>IF(V373=0,0,J373/V373)</f>
      </c>
      <c r="X373" s="31">
        <f>IF(V373=0,0,MAX(M373,0)/V373)</f>
      </c>
    </row>
    <row r="374" spans="1:24" x14ac:dyDescent="0.25">
      <c r="A374" s="32" t="str">
        <f>B374&amp;"."&amp;IFERROR(MID(D374,FIND("(",D374)+1,FIND(")",D374)-FIND("(",D374)-1),"")</f>
        <v>81938.31503</v>
      </c>
      <c r="B374" s="33">
        <v>81938</v>
      </c>
      <c r="C374" s="32" t="s">
        <v>362</v>
      </c>
      <c r="D374" s="32" t="s">
        <v>644</v>
      </c>
      <c r="E374" s="32">
        <v>93683</v>
      </c>
      <c r="F374" s="32" t="s">
        <v>24</v>
      </c>
      <c r="G374" s="32" t="s">
        <v>51</v>
      </c>
      <c r="H374" s="34">
        <f>IFERROR(INDEX(Linha!$B$5:$B$788,MATCH(A374,Linha!$A$5:$A$788,0)),"NÃO CADASTRADO")</f>
      </c>
      <c r="I374" s="34">
        <f>IFERROR(INDEX(Linha!$C$5:$C$788,MATCH(A374,Linha!$A$5:$A$788,0)),"-")</f>
      </c>
      <c r="J374" s="35">
        <v>22</v>
      </c>
      <c r="K374" s="36">
        <f>IFERROR(INDEX(Linha!$D$5:$D$788,MATCH(A374,Linha!$A$5:$A$788,0))*1,0)</f>
      </c>
      <c r="L374" s="36">
        <f>SUMIFS(Reservas!$K$5:$K$3669,Reservas!$A$5:$A$3669,A374)</f>
      </c>
      <c r="M374" s="37">
        <f>J374-L374</f>
      </c>
      <c r="N374" s="38">
        <v>38.512</v>
      </c>
      <c r="O374" s="37">
        <f>J374*N374</f>
      </c>
      <c r="P374" s="37">
        <f>L374*N374</f>
      </c>
      <c r="Q374" s="39">
        <v>169.47619812</v>
      </c>
      <c r="R374" s="40">
        <f>J374*Q374</f>
      </c>
      <c r="S374" s="40">
        <f>L374*Q374</f>
      </c>
      <c r="T374" s="41">
        <f>IF(J374=0,0,L374/J374)</f>
      </c>
      <c r="U374" s="42">
        <f>IFERROR(INDEX(Paletes!$C$5:$C$393,MATCH(B374,Paletes!$A$5:$A$393,0)),"SEM CADASTRO")</f>
      </c>
      <c r="V374" s="36">
        <f>IFERROR(INDEX(Paletes!$D$5:$D$393,MATCH(B374,Paletes!$A$5:$A$393,0)),0)</f>
      </c>
      <c r="W374" s="43">
        <f>IF(V374=0,0,J374/V374)</f>
      </c>
      <c r="X374" s="43">
        <f>IF(V374=0,0,MAX(M374,0)/V374)</f>
      </c>
    </row>
    <row r="375" spans="1:24" x14ac:dyDescent="0.25">
      <c r="A375" s="20" t="str">
        <f>B375&amp;"."&amp;IFERROR(MID(D375,FIND("(",D375)+1,FIND(")",D375)-FIND("(",D375)-1),"")</f>
        <v>85124.46118</v>
      </c>
      <c r="B375" s="21">
        <v>85124</v>
      </c>
      <c r="C375" s="20" t="s">
        <v>645</v>
      </c>
      <c r="D375" s="20" t="s">
        <v>646</v>
      </c>
      <c r="E375" s="20">
        <v>96238</v>
      </c>
      <c r="F375" s="20" t="s">
        <v>25</v>
      </c>
      <c r="G375" s="20" t="s">
        <v>51</v>
      </c>
      <c r="H375" s="22">
        <f>IFERROR(INDEX(Linha!$B$5:$B$788,MATCH(A375,Linha!$A$5:$A$788,0)),"NÃO CADASTRADO")</f>
      </c>
      <c r="I375" s="22">
        <f>IFERROR(INDEX(Linha!$C$5:$C$788,MATCH(A375,Linha!$A$5:$A$788,0)),"-")</f>
      </c>
      <c r="J375" s="23">
        <v>573</v>
      </c>
      <c r="K375" s="24">
        <f>IFERROR(INDEX(Linha!$D$5:$D$788,MATCH(A375,Linha!$A$5:$A$788,0))*1,0)</f>
      </c>
      <c r="L375" s="24">
        <f>SUMIFS(Reservas!$K$5:$K$3669,Reservas!$A$5:$A$3669,A375)</f>
      </c>
      <c r="M375" s="25">
        <f>J375-L375</f>
      </c>
      <c r="N375" s="26">
        <v>13.64</v>
      </c>
      <c r="O375" s="25">
        <f>J375*N375</f>
      </c>
      <c r="P375" s="25">
        <f>L375*N375</f>
      </c>
      <c r="Q375" s="27">
        <v>104.90448575</v>
      </c>
      <c r="R375" s="28">
        <f>J375*Q375</f>
      </c>
      <c r="S375" s="28">
        <f>L375*Q375</f>
      </c>
      <c r="T375" s="29">
        <f>IF(J375=0,0,L375/J375)</f>
      </c>
      <c r="U375" s="30">
        <f>IFERROR(INDEX(Paletes!$C$5:$C$393,MATCH(B375,Paletes!$A$5:$A$393,0)),"SEM CADASTRO")</f>
      </c>
      <c r="V375" s="24">
        <f>IFERROR(INDEX(Paletes!$D$5:$D$393,MATCH(B375,Paletes!$A$5:$A$393,0)),0)</f>
      </c>
      <c r="W375" s="31">
        <f>IF(V375=0,0,J375/V375)</f>
      </c>
      <c r="X375" s="31">
        <f>IF(V375=0,0,MAX(M375,0)/V375)</f>
      </c>
    </row>
    <row r="376" spans="1:24" x14ac:dyDescent="0.25">
      <c r="A376" s="32" t="str">
        <f>B376&amp;"."&amp;IFERROR(MID(D376,FIND("(",D376)+1,FIND(")",D376)-FIND("(",D376)-1),"")</f>
        <v>85124.46119</v>
      </c>
      <c r="B376" s="33">
        <v>85124</v>
      </c>
      <c r="C376" s="32" t="s">
        <v>645</v>
      </c>
      <c r="D376" s="32" t="s">
        <v>647</v>
      </c>
      <c r="E376" s="32">
        <v>96238</v>
      </c>
      <c r="F376" s="32" t="s">
        <v>25</v>
      </c>
      <c r="G376" s="32" t="s">
        <v>51</v>
      </c>
      <c r="H376" s="34">
        <f>IFERROR(INDEX(Linha!$B$5:$B$788,MATCH(A376,Linha!$A$5:$A$788,0)),"NÃO CADASTRADO")</f>
      </c>
      <c r="I376" s="34">
        <f>IFERROR(INDEX(Linha!$C$5:$C$788,MATCH(A376,Linha!$A$5:$A$788,0)),"-")</f>
      </c>
      <c r="J376" s="35">
        <v>2</v>
      </c>
      <c r="K376" s="36">
        <f>IFERROR(INDEX(Linha!$D$5:$D$788,MATCH(A376,Linha!$A$5:$A$788,0))*1,0)</f>
      </c>
      <c r="L376" s="36">
        <f>SUMIFS(Reservas!$K$5:$K$3669,Reservas!$A$5:$A$3669,A376)</f>
      </c>
      <c r="M376" s="37">
        <f>J376-L376</f>
      </c>
      <c r="N376" s="38">
        <v>13.64</v>
      </c>
      <c r="O376" s="37">
        <f>J376*N376</f>
      </c>
      <c r="P376" s="37">
        <f>L376*N376</f>
      </c>
      <c r="Q376" s="39">
        <v>89.32959477</v>
      </c>
      <c r="R376" s="40">
        <f>J376*Q376</f>
      </c>
      <c r="S376" s="40">
        <f>L376*Q376</f>
      </c>
      <c r="T376" s="41">
        <f>IF(J376=0,0,L376/J376)</f>
      </c>
      <c r="U376" s="42">
        <f>IFERROR(INDEX(Paletes!$C$5:$C$393,MATCH(B376,Paletes!$A$5:$A$393,0)),"SEM CADASTRO")</f>
      </c>
      <c r="V376" s="36">
        <f>IFERROR(INDEX(Paletes!$D$5:$D$393,MATCH(B376,Paletes!$A$5:$A$393,0)),0)</f>
      </c>
      <c r="W376" s="43">
        <f>IF(V376=0,0,J376/V376)</f>
      </c>
      <c r="X376" s="43">
        <f>IF(V376=0,0,MAX(M376,0)/V376)</f>
      </c>
    </row>
    <row r="377" spans="1:24" x14ac:dyDescent="0.25">
      <c r="A377" s="20" t="str">
        <f>B377&amp;"."&amp;IFERROR(MID(D377,FIND("(",D377)+1,FIND(")",D377)-FIND("(",D377)-1),"")</f>
        <v>85366.46060</v>
      </c>
      <c r="B377" s="21">
        <v>85366</v>
      </c>
      <c r="C377" s="20" t="s">
        <v>364</v>
      </c>
      <c r="D377" s="20" t="s">
        <v>648</v>
      </c>
      <c r="E377" s="20">
        <v>96295</v>
      </c>
      <c r="F377" s="20" t="s">
        <v>25</v>
      </c>
      <c r="G377" s="20" t="s">
        <v>51</v>
      </c>
      <c r="H377" s="22">
        <f>IFERROR(INDEX(Linha!$B$5:$B$788,MATCH(A377,Linha!$A$5:$A$788,0)),"NÃO CADASTRADO")</f>
      </c>
      <c r="I377" s="22">
        <f>IFERROR(INDEX(Linha!$C$5:$C$788,MATCH(A377,Linha!$A$5:$A$788,0)),"-")</f>
      </c>
      <c r="J377" s="23">
        <v>134</v>
      </c>
      <c r="K377" s="24">
        <f>IFERROR(INDEX(Linha!$D$5:$D$788,MATCH(A377,Linha!$A$5:$A$788,0))*1,0)</f>
      </c>
      <c r="L377" s="24">
        <f>SUMIFS(Reservas!$K$5:$K$3669,Reservas!$A$5:$A$3669,A377)</f>
      </c>
      <c r="M377" s="25">
        <f>J377-L377</f>
      </c>
      <c r="N377" s="26">
        <v>12.577</v>
      </c>
      <c r="O377" s="25">
        <f>J377*N377</f>
      </c>
      <c r="P377" s="25">
        <f>L377*N377</f>
      </c>
      <c r="Q377" s="27">
        <v>115.9640819</v>
      </c>
      <c r="R377" s="28">
        <f>J377*Q377</f>
      </c>
      <c r="S377" s="28">
        <f>L377*Q377</f>
      </c>
      <c r="T377" s="29">
        <f>IF(J377=0,0,L377/J377)</f>
      </c>
      <c r="U377" s="30">
        <f>IFERROR(INDEX(Paletes!$C$5:$C$393,MATCH(B377,Paletes!$A$5:$A$393,0)),"SEM CADASTRO")</f>
      </c>
      <c r="V377" s="24">
        <f>IFERROR(INDEX(Paletes!$D$5:$D$393,MATCH(B377,Paletes!$A$5:$A$393,0)),0)</f>
      </c>
      <c r="W377" s="31">
        <f>IF(V377=0,0,J377/V377)</f>
      </c>
      <c r="X377" s="31">
        <f>IF(V377=0,0,MAX(M377,0)/V377)</f>
      </c>
    </row>
    <row r="378" spans="1:24" x14ac:dyDescent="0.25">
      <c r="A378" s="32" t="str">
        <f>B378&amp;"."&amp;IFERROR(MID(D378,FIND("(",D378)+1,FIND(")",D378)-FIND("(",D378)-1),"")</f>
        <v>84836.30749</v>
      </c>
      <c r="B378" s="33">
        <v>84836</v>
      </c>
      <c r="C378" s="32" t="s">
        <v>649</v>
      </c>
      <c r="D378" s="32" t="s">
        <v>650</v>
      </c>
      <c r="E378" s="32">
        <v>96576</v>
      </c>
      <c r="F378" s="32" t="s">
        <v>26</v>
      </c>
      <c r="G378" s="32" t="s">
        <v>51</v>
      </c>
      <c r="H378" s="34">
        <f>IFERROR(INDEX(Linha!$B$5:$B$788,MATCH(A378,Linha!$A$5:$A$788,0)),"NÃO CADASTRADO")</f>
      </c>
      <c r="I378" s="34">
        <f>IFERROR(INDEX(Linha!$C$5:$C$788,MATCH(A378,Linha!$A$5:$A$788,0)),"-")</f>
      </c>
      <c r="J378" s="35">
        <v>457</v>
      </c>
      <c r="K378" s="36">
        <f>IFERROR(INDEX(Linha!$D$5:$D$788,MATCH(A378,Linha!$A$5:$A$788,0))*1,0)</f>
      </c>
      <c r="L378" s="36">
        <f>SUMIFS(Reservas!$K$5:$K$3669,Reservas!$A$5:$A$3669,A378)</f>
      </c>
      <c r="M378" s="37">
        <f>J378-L378</f>
      </c>
      <c r="N378" s="38">
        <v>51.675</v>
      </c>
      <c r="O378" s="37">
        <f>J378*N378</f>
      </c>
      <c r="P378" s="37">
        <f>L378*N378</f>
      </c>
      <c r="Q378" s="39">
        <v>174.06988456</v>
      </c>
      <c r="R378" s="40">
        <f>J378*Q378</f>
      </c>
      <c r="S378" s="40">
        <f>L378*Q378</f>
      </c>
      <c r="T378" s="41">
        <f>IF(J378=0,0,L378/J378)</f>
      </c>
      <c r="U378" s="42">
        <f>IFERROR(INDEX(Paletes!$C$5:$C$393,MATCH(B378,Paletes!$A$5:$A$393,0)),"SEM CADASTRO")</f>
      </c>
      <c r="V378" s="36">
        <f>IFERROR(INDEX(Paletes!$D$5:$D$393,MATCH(B378,Paletes!$A$5:$A$393,0)),0)</f>
      </c>
      <c r="W378" s="43">
        <f>IF(V378=0,0,J378/V378)</f>
      </c>
      <c r="X378" s="43">
        <f>IF(V378=0,0,MAX(M378,0)/V378)</f>
      </c>
    </row>
    <row r="379" spans="1:24" x14ac:dyDescent="0.25">
      <c r="A379" s="20" t="str">
        <f>B379&amp;"."&amp;IFERROR(MID(D379,FIND("(",D379)+1,FIND(")",D379)-FIND("(",D379)-1),"")</f>
        <v>84847.30752</v>
      </c>
      <c r="B379" s="21">
        <v>84847</v>
      </c>
      <c r="C379" s="20" t="s">
        <v>651</v>
      </c>
      <c r="D379" s="20" t="s">
        <v>652</v>
      </c>
      <c r="E379" s="20">
        <v>96577</v>
      </c>
      <c r="F379" s="20" t="s">
        <v>26</v>
      </c>
      <c r="G379" s="20" t="s">
        <v>51</v>
      </c>
      <c r="H379" s="22">
        <f>IFERROR(INDEX(Linha!$B$5:$B$788,MATCH(A379,Linha!$A$5:$A$788,0)),"NÃO CADASTRADO")</f>
      </c>
      <c r="I379" s="22">
        <f>IFERROR(INDEX(Linha!$C$5:$C$788,MATCH(A379,Linha!$A$5:$A$788,0)),"-")</f>
      </c>
      <c r="J379" s="23">
        <v>272</v>
      </c>
      <c r="K379" s="24">
        <f>IFERROR(INDEX(Linha!$D$5:$D$788,MATCH(A379,Linha!$A$5:$A$788,0))*1,0)</f>
      </c>
      <c r="L379" s="24">
        <f>SUMIFS(Reservas!$K$5:$K$3669,Reservas!$A$5:$A$3669,A379)</f>
      </c>
      <c r="M379" s="25">
        <f>J379-L379</f>
      </c>
      <c r="N379" s="26">
        <v>44.85</v>
      </c>
      <c r="O379" s="25">
        <f>J379*N379</f>
      </c>
      <c r="P379" s="25">
        <f>L379*N379</f>
      </c>
      <c r="Q379" s="27">
        <v>165.34338265</v>
      </c>
      <c r="R379" s="28">
        <f>J379*Q379</f>
      </c>
      <c r="S379" s="28">
        <f>L379*Q379</f>
      </c>
      <c r="T379" s="29">
        <f>IF(J379=0,0,L379/J379)</f>
      </c>
      <c r="U379" s="30">
        <f>IFERROR(INDEX(Paletes!$C$5:$C$393,MATCH(B379,Paletes!$A$5:$A$393,0)),"SEM CADASTRO")</f>
      </c>
      <c r="V379" s="24">
        <f>IFERROR(INDEX(Paletes!$D$5:$D$393,MATCH(B379,Paletes!$A$5:$A$393,0)),0)</f>
      </c>
      <c r="W379" s="31">
        <f>IF(V379=0,0,J379/V379)</f>
      </c>
      <c r="X379" s="31">
        <f>IF(V379=0,0,MAX(M379,0)/V379)</f>
      </c>
    </row>
    <row r="380" spans="1:24" x14ac:dyDescent="0.25">
      <c r="A380" s="32" t="str">
        <f>B380&amp;"."&amp;IFERROR(MID(D380,FIND("(",D380)+1,FIND(")",D380)-FIND("(",D380)-1),"")</f>
        <v>84911.31288</v>
      </c>
      <c r="B380" s="33">
        <v>84911</v>
      </c>
      <c r="C380" s="32" t="s">
        <v>49</v>
      </c>
      <c r="D380" s="32" t="s">
        <v>653</v>
      </c>
      <c r="E380" s="32">
        <v>96437</v>
      </c>
      <c r="F380" s="32" t="s">
        <v>24</v>
      </c>
      <c r="G380" s="32" t="s">
        <v>51</v>
      </c>
      <c r="H380" s="34">
        <f>IFERROR(INDEX(Linha!$B$5:$B$788,MATCH(A380,Linha!$A$5:$A$788,0)),"NÃO CADASTRADO")</f>
      </c>
      <c r="I380" s="34">
        <f>IFERROR(INDEX(Linha!$C$5:$C$788,MATCH(A380,Linha!$A$5:$A$788,0)),"-")</f>
      </c>
      <c r="J380" s="35">
        <v>341</v>
      </c>
      <c r="K380" s="36">
        <f>IFERROR(INDEX(Linha!$D$5:$D$788,MATCH(A380,Linha!$A$5:$A$788,0))*1,0)</f>
      </c>
      <c r="L380" s="36">
        <f>SUMIFS(Reservas!$K$5:$K$3669,Reservas!$A$5:$A$3669,A380)</f>
      </c>
      <c r="M380" s="37">
        <f>J380-L380</f>
      </c>
      <c r="N380" s="38">
        <v>34.222</v>
      </c>
      <c r="O380" s="37">
        <f>J380*N380</f>
      </c>
      <c r="P380" s="37">
        <f>L380*N380</f>
      </c>
      <c r="Q380" s="39">
        <v>142.40264044</v>
      </c>
      <c r="R380" s="40">
        <f>J380*Q380</f>
      </c>
      <c r="S380" s="40">
        <f>L380*Q380</f>
      </c>
      <c r="T380" s="41">
        <f>IF(J380=0,0,L380/J380)</f>
      </c>
      <c r="U380" s="42">
        <f>IFERROR(INDEX(Paletes!$C$5:$C$393,MATCH(B380,Paletes!$A$5:$A$393,0)),"SEM CADASTRO")</f>
      </c>
      <c r="V380" s="36">
        <f>IFERROR(INDEX(Paletes!$D$5:$D$393,MATCH(B380,Paletes!$A$5:$A$393,0)),0)</f>
      </c>
      <c r="W380" s="43">
        <f>IF(V380=0,0,J380/V380)</f>
      </c>
      <c r="X380" s="43">
        <f>IF(V380=0,0,MAX(M380,0)/V380)</f>
      </c>
    </row>
    <row r="381" spans="1:24" x14ac:dyDescent="0.25">
      <c r="A381" s="20" t="str">
        <f>B381&amp;"."&amp;IFERROR(MID(D381,FIND("(",D381)+1,FIND(")",D381)-FIND("(",D381)-1),"")</f>
        <v>84938.36960</v>
      </c>
      <c r="B381" s="21">
        <v>84938</v>
      </c>
      <c r="C381" s="20" t="s">
        <v>654</v>
      </c>
      <c r="D381" s="20" t="s">
        <v>655</v>
      </c>
      <c r="E381" s="20">
        <v>96461</v>
      </c>
      <c r="F381" s="20" t="s">
        <v>24</v>
      </c>
      <c r="G381" s="20" t="s">
        <v>51</v>
      </c>
      <c r="H381" s="22">
        <f>IFERROR(INDEX(Linha!$B$5:$B$788,MATCH(A381,Linha!$A$5:$A$788,0)),"NÃO CADASTRADO")</f>
      </c>
      <c r="I381" s="22">
        <f>IFERROR(INDEX(Linha!$C$5:$C$788,MATCH(A381,Linha!$A$5:$A$788,0)),"-")</f>
      </c>
      <c r="J381" s="23">
        <v>30</v>
      </c>
      <c r="K381" s="24">
        <f>IFERROR(INDEX(Linha!$D$5:$D$788,MATCH(A381,Linha!$A$5:$A$788,0))*1,0)</f>
      </c>
      <c r="L381" s="24">
        <f>SUMIFS(Reservas!$K$5:$K$3669,Reservas!$A$5:$A$3669,A381)</f>
      </c>
      <c r="M381" s="25">
        <f>J381-L381</f>
      </c>
      <c r="N381" s="26">
        <v>30.127</v>
      </c>
      <c r="O381" s="25">
        <f>J381*N381</f>
      </c>
      <c r="P381" s="25">
        <f>L381*N381</f>
      </c>
      <c r="Q381" s="27">
        <v>135.55170941</v>
      </c>
      <c r="R381" s="28">
        <f>J381*Q381</f>
      </c>
      <c r="S381" s="28">
        <f>L381*Q381</f>
      </c>
      <c r="T381" s="29">
        <f>IF(J381=0,0,L381/J381)</f>
      </c>
      <c r="U381" s="30">
        <f>IFERROR(INDEX(Paletes!$C$5:$C$393,MATCH(B381,Paletes!$A$5:$A$393,0)),"SEM CADASTRO")</f>
      </c>
      <c r="V381" s="24">
        <f>IFERROR(INDEX(Paletes!$D$5:$D$393,MATCH(B381,Paletes!$A$5:$A$393,0)),0)</f>
      </c>
      <c r="W381" s="31">
        <f>IF(V381=0,0,J381/V381)</f>
      </c>
      <c r="X381" s="31">
        <f>IF(V381=0,0,MAX(M381,0)/V381)</f>
      </c>
    </row>
    <row r="382" spans="1:24" x14ac:dyDescent="0.25">
      <c r="A382" s="32" t="str">
        <f>B382&amp;"."&amp;IFERROR(MID(D382,FIND("(",D382)+1,FIND(")",D382)-FIND("(",D382)-1),"")</f>
        <v>84745.30611</v>
      </c>
      <c r="B382" s="33">
        <v>84745</v>
      </c>
      <c r="C382" s="32" t="s">
        <v>656</v>
      </c>
      <c r="D382" s="32" t="s">
        <v>657</v>
      </c>
      <c r="E382" s="32">
        <v>96501</v>
      </c>
      <c r="F382" s="32" t="s">
        <v>26</v>
      </c>
      <c r="G382" s="32" t="s">
        <v>51</v>
      </c>
      <c r="H382" s="34">
        <f>IFERROR(INDEX(Linha!$B$5:$B$788,MATCH(A382,Linha!$A$5:$A$788,0)),"NÃO CADASTRADO")</f>
      </c>
      <c r="I382" s="34">
        <f>IFERROR(INDEX(Linha!$C$5:$C$788,MATCH(A382,Linha!$A$5:$A$788,0)),"-")</f>
      </c>
      <c r="J382" s="35">
        <v>67</v>
      </c>
      <c r="K382" s="36">
        <f>IFERROR(INDEX(Linha!$D$5:$D$788,MATCH(A382,Linha!$A$5:$A$788,0))*1,0)</f>
      </c>
      <c r="L382" s="36">
        <f>SUMIFS(Reservas!$K$5:$K$3669,Reservas!$A$5:$A$3669,A382)</f>
      </c>
      <c r="M382" s="37">
        <f>J382-L382</f>
      </c>
      <c r="N382" s="38">
        <v>58.5</v>
      </c>
      <c r="O382" s="37">
        <f>J382*N382</f>
      </c>
      <c r="P382" s="37">
        <f>L382*N382</f>
      </c>
      <c r="Q382" s="39">
        <v>208.01001549</v>
      </c>
      <c r="R382" s="40">
        <f>J382*Q382</f>
      </c>
      <c r="S382" s="40">
        <f>L382*Q382</f>
      </c>
      <c r="T382" s="41">
        <f>IF(J382=0,0,L382/J382)</f>
      </c>
      <c r="U382" s="42">
        <f>IFERROR(INDEX(Paletes!$C$5:$C$393,MATCH(B382,Paletes!$A$5:$A$393,0)),"SEM CADASTRO")</f>
      </c>
      <c r="V382" s="36">
        <f>IFERROR(INDEX(Paletes!$D$5:$D$393,MATCH(B382,Paletes!$A$5:$A$393,0)),0)</f>
      </c>
      <c r="W382" s="43">
        <f>IF(V382=0,0,J382/V382)</f>
      </c>
      <c r="X382" s="43">
        <f>IF(V382=0,0,MAX(M382,0)/V382)</f>
      </c>
    </row>
    <row r="383" spans="1:24" x14ac:dyDescent="0.25">
      <c r="A383" s="20" t="str">
        <f>B383&amp;"."&amp;IFERROR(MID(D383,FIND("(",D383)+1,FIND(")",D383)-FIND("(",D383)-1),"")</f>
        <v>84795.40351</v>
      </c>
      <c r="B383" s="21">
        <v>84795</v>
      </c>
      <c r="C383" s="20" t="s">
        <v>368</v>
      </c>
      <c r="D383" s="20" t="s">
        <v>658</v>
      </c>
      <c r="E383" s="20">
        <v>96518</v>
      </c>
      <c r="F383" s="20" t="s">
        <v>26</v>
      </c>
      <c r="G383" s="20" t="s">
        <v>51</v>
      </c>
      <c r="H383" s="22">
        <f>IFERROR(INDEX(Linha!$B$5:$B$788,MATCH(A383,Linha!$A$5:$A$788,0)),"NÃO CADASTRADO")</f>
      </c>
      <c r="I383" s="22">
        <f>IFERROR(INDEX(Linha!$C$5:$C$788,MATCH(A383,Linha!$A$5:$A$788,0)),"-")</f>
      </c>
      <c r="J383" s="23">
        <v>0</v>
      </c>
      <c r="K383" s="24">
        <f>IFERROR(INDEX(Linha!$D$5:$D$788,MATCH(A383,Linha!$A$5:$A$788,0))*1,0)</f>
      </c>
      <c r="L383" s="24">
        <f>SUMIFS(Reservas!$K$5:$K$3669,Reservas!$A$5:$A$3669,A383)</f>
      </c>
      <c r="M383" s="25">
        <f>J383-L383</f>
      </c>
      <c r="N383" s="26">
        <v>58.792</v>
      </c>
      <c r="O383" s="25">
        <f>J383*N383</f>
      </c>
      <c r="P383" s="25">
        <f>L383*N383</f>
      </c>
      <c r="Q383" s="27">
        <v>289.48651139</v>
      </c>
      <c r="R383" s="28">
        <f>J383*Q383</f>
      </c>
      <c r="S383" s="28">
        <f>L383*Q383</f>
      </c>
      <c r="T383" s="29">
        <f>IF(J383=0,0,L383/J383)</f>
      </c>
      <c r="U383" s="30">
        <f>IFERROR(INDEX(Paletes!$C$5:$C$393,MATCH(B383,Paletes!$A$5:$A$393,0)),"SEM CADASTRO")</f>
      </c>
      <c r="V383" s="24">
        <f>IFERROR(INDEX(Paletes!$D$5:$D$393,MATCH(B383,Paletes!$A$5:$A$393,0)),0)</f>
      </c>
      <c r="W383" s="31">
        <f>IF(V383=0,0,J383/V383)</f>
      </c>
      <c r="X383" s="31">
        <f>IF(V383=0,0,MAX(M383,0)/V383)</f>
      </c>
    </row>
    <row r="384" spans="1:24" x14ac:dyDescent="0.25">
      <c r="A384" s="32" t="str">
        <f>B384&amp;"."&amp;IFERROR(MID(D384,FIND("(",D384)+1,FIND(")",D384)-FIND("(",D384)-1),"")</f>
        <v>84809.52032</v>
      </c>
      <c r="B384" s="33">
        <v>84809</v>
      </c>
      <c r="C384" s="32" t="s">
        <v>532</v>
      </c>
      <c r="D384" s="32" t="s">
        <v>659</v>
      </c>
      <c r="E384" s="32">
        <v>96520</v>
      </c>
      <c r="F384" s="32" t="s">
        <v>26</v>
      </c>
      <c r="G384" s="32" t="s">
        <v>51</v>
      </c>
      <c r="H384" s="34">
        <f>IFERROR(INDEX(Linha!$B$5:$B$788,MATCH(A384,Linha!$A$5:$A$788,0)),"NÃO CADASTRADO")</f>
      </c>
      <c r="I384" s="34">
        <f>IFERROR(INDEX(Linha!$C$5:$C$788,MATCH(A384,Linha!$A$5:$A$788,0)),"-")</f>
      </c>
      <c r="J384" s="35">
        <v>75</v>
      </c>
      <c r="K384" s="36">
        <f>IFERROR(INDEX(Linha!$D$5:$D$788,MATCH(A384,Linha!$A$5:$A$788,0))*1,0)</f>
      </c>
      <c r="L384" s="36">
        <f>SUMIFS(Reservas!$K$5:$K$3669,Reservas!$A$5:$A$3669,A384)</f>
      </c>
      <c r="M384" s="37">
        <f>J384-L384</f>
      </c>
      <c r="N384" s="38">
        <v>67.665</v>
      </c>
      <c r="O384" s="37">
        <f>J384*N384</f>
      </c>
      <c r="P384" s="37">
        <f>L384*N384</f>
      </c>
      <c r="Q384" s="39">
        <v>190.51880003</v>
      </c>
      <c r="R384" s="40">
        <f>J384*Q384</f>
      </c>
      <c r="S384" s="40">
        <f>L384*Q384</f>
      </c>
      <c r="T384" s="41">
        <f>IF(J384=0,0,L384/J384)</f>
      </c>
      <c r="U384" s="42">
        <f>IFERROR(INDEX(Paletes!$C$5:$C$393,MATCH(B384,Paletes!$A$5:$A$393,0)),"SEM CADASTRO")</f>
      </c>
      <c r="V384" s="36">
        <f>IFERROR(INDEX(Paletes!$D$5:$D$393,MATCH(B384,Paletes!$A$5:$A$393,0)),0)</f>
      </c>
      <c r="W384" s="43">
        <f>IF(V384=0,0,J384/V384)</f>
      </c>
      <c r="X384" s="43">
        <f>IF(V384=0,0,MAX(M384,0)/V384)</f>
      </c>
    </row>
    <row r="385" spans="1:24" x14ac:dyDescent="0.25">
      <c r="A385" s="20" t="str">
        <f>B385&amp;"."&amp;IFERROR(MID(D385,FIND("(",D385)+1,FIND(")",D385)-FIND("(",D385)-1),"")</f>
        <v>84958.37035</v>
      </c>
      <c r="B385" s="21">
        <v>84958</v>
      </c>
      <c r="C385" s="20" t="s">
        <v>660</v>
      </c>
      <c r="D385" s="20" t="s">
        <v>661</v>
      </c>
      <c r="E385" s="20">
        <v>97474</v>
      </c>
      <c r="F385" s="20" t="s">
        <v>24</v>
      </c>
      <c r="G385" s="20" t="s">
        <v>51</v>
      </c>
      <c r="H385" s="22">
        <f>IFERROR(INDEX(Linha!$B$5:$B$788,MATCH(A385,Linha!$A$5:$A$788,0)),"NÃO CADASTRADO")</f>
      </c>
      <c r="I385" s="22">
        <f>IFERROR(INDEX(Linha!$C$5:$C$788,MATCH(A385,Linha!$A$5:$A$788,0)),"-")</f>
      </c>
      <c r="J385" s="23">
        <v>3</v>
      </c>
      <c r="K385" s="24">
        <f>IFERROR(INDEX(Linha!$D$5:$D$788,MATCH(A385,Linha!$A$5:$A$788,0))*1,0)</f>
      </c>
      <c r="L385" s="24">
        <f>SUMIFS(Reservas!$K$5:$K$3669,Reservas!$A$5:$A$3669,A385)</f>
      </c>
      <c r="M385" s="25">
        <f>J385-L385</f>
      </c>
      <c r="N385" s="26">
        <v>37.05</v>
      </c>
      <c r="O385" s="25">
        <f>J385*N385</f>
      </c>
      <c r="P385" s="25">
        <f>L385*N385</f>
      </c>
      <c r="Q385" s="27">
        <v>137.11983342</v>
      </c>
      <c r="R385" s="28">
        <f>J385*Q385</f>
      </c>
      <c r="S385" s="28">
        <f>L385*Q385</f>
      </c>
      <c r="T385" s="29">
        <f>IF(J385=0,0,L385/J385)</f>
      </c>
      <c r="U385" s="30">
        <f>IFERROR(INDEX(Paletes!$C$5:$C$393,MATCH(B385,Paletes!$A$5:$A$393,0)),"SEM CADASTRO")</f>
      </c>
      <c r="V385" s="24">
        <f>IFERROR(INDEX(Paletes!$D$5:$D$393,MATCH(B385,Paletes!$A$5:$A$393,0)),0)</f>
      </c>
      <c r="W385" s="31">
        <f>IF(V385=0,0,J385/V385)</f>
      </c>
      <c r="X385" s="31">
        <f>IF(V385=0,0,MAX(M385,0)/V385)</f>
      </c>
    </row>
    <row r="386" spans="1:24" x14ac:dyDescent="0.25">
      <c r="A386" s="32" t="str">
        <f>B386&amp;"."&amp;IFERROR(MID(D386,FIND("(",D386)+1,FIND(")",D386)-FIND("(",D386)-1),"")</f>
        <v>85344.46422</v>
      </c>
      <c r="B386" s="33">
        <v>85344</v>
      </c>
      <c r="C386" s="32" t="s">
        <v>662</v>
      </c>
      <c r="D386" s="32" t="s">
        <v>663</v>
      </c>
      <c r="E386" s="32">
        <v>97775</v>
      </c>
      <c r="F386" s="32" t="s">
        <v>25</v>
      </c>
      <c r="G386" s="32" t="s">
        <v>51</v>
      </c>
      <c r="H386" s="34">
        <f>IFERROR(INDEX(Linha!$B$5:$B$788,MATCH(A386,Linha!$A$5:$A$788,0)),"NÃO CADASTRADO")</f>
      </c>
      <c r="I386" s="34">
        <f>IFERROR(INDEX(Linha!$C$5:$C$788,MATCH(A386,Linha!$A$5:$A$788,0)),"-")</f>
      </c>
      <c r="J386" s="35">
        <v>184</v>
      </c>
      <c r="K386" s="36">
        <f>IFERROR(INDEX(Linha!$D$5:$D$788,MATCH(A386,Linha!$A$5:$A$788,0))*1,0)</f>
      </c>
      <c r="L386" s="36">
        <f>SUMIFS(Reservas!$K$5:$K$3669,Reservas!$A$5:$A$3669,A386)</f>
      </c>
      <c r="M386" s="37">
        <f>J386-L386</f>
      </c>
      <c r="N386" s="38">
        <v>12.138</v>
      </c>
      <c r="O386" s="37">
        <f>J386*N386</f>
      </c>
      <c r="P386" s="37">
        <f>L386*N386</f>
      </c>
      <c r="Q386" s="39">
        <v>85.60954913</v>
      </c>
      <c r="R386" s="40">
        <f>J386*Q386</f>
      </c>
      <c r="S386" s="40">
        <f>L386*Q386</f>
      </c>
      <c r="T386" s="41">
        <f>IF(J386=0,0,L386/J386)</f>
      </c>
      <c r="U386" s="42">
        <f>IFERROR(INDEX(Paletes!$C$5:$C$393,MATCH(B386,Paletes!$A$5:$A$393,0)),"SEM CADASTRO")</f>
      </c>
      <c r="V386" s="36">
        <f>IFERROR(INDEX(Paletes!$D$5:$D$393,MATCH(B386,Paletes!$A$5:$A$393,0)),0)</f>
      </c>
      <c r="W386" s="43">
        <f>IF(V386=0,0,J386/V386)</f>
      </c>
      <c r="X386" s="43">
        <f>IF(V386=0,0,MAX(M386,0)/V386)</f>
      </c>
    </row>
    <row r="387" spans="1:24" x14ac:dyDescent="0.25">
      <c r="A387" s="20" t="str">
        <f>B387&amp;"."&amp;IFERROR(MID(D387,FIND("(",D387)+1,FIND(")",D387)-FIND("(",D387)-1),"")</f>
        <v>85344.46423</v>
      </c>
      <c r="B387" s="21">
        <v>85344</v>
      </c>
      <c r="C387" s="20" t="s">
        <v>662</v>
      </c>
      <c r="D387" s="20" t="s">
        <v>664</v>
      </c>
      <c r="E387" s="20">
        <v>97775</v>
      </c>
      <c r="F387" s="20" t="s">
        <v>25</v>
      </c>
      <c r="G387" s="20" t="s">
        <v>51</v>
      </c>
      <c r="H387" s="22">
        <f>IFERROR(INDEX(Linha!$B$5:$B$788,MATCH(A387,Linha!$A$5:$A$788,0)),"NÃO CADASTRADO")</f>
      </c>
      <c r="I387" s="22">
        <f>IFERROR(INDEX(Linha!$C$5:$C$788,MATCH(A387,Linha!$A$5:$A$788,0)),"-")</f>
      </c>
      <c r="J387" s="23">
        <v>9</v>
      </c>
      <c r="K387" s="24">
        <f>IFERROR(INDEX(Linha!$D$5:$D$788,MATCH(A387,Linha!$A$5:$A$788,0))*1,0)</f>
      </c>
      <c r="L387" s="24">
        <f>SUMIFS(Reservas!$K$5:$K$3669,Reservas!$A$5:$A$3669,A387)</f>
      </c>
      <c r="M387" s="25">
        <f>J387-L387</f>
      </c>
      <c r="N387" s="26">
        <v>12.138</v>
      </c>
      <c r="O387" s="25">
        <f>J387*N387</f>
      </c>
      <c r="P387" s="25">
        <f>L387*N387</f>
      </c>
      <c r="Q387" s="27">
        <v>81.08446723</v>
      </c>
      <c r="R387" s="28">
        <f>J387*Q387</f>
      </c>
      <c r="S387" s="28">
        <f>L387*Q387</f>
      </c>
      <c r="T387" s="29">
        <f>IF(J387=0,0,L387/J387)</f>
      </c>
      <c r="U387" s="30">
        <f>IFERROR(INDEX(Paletes!$C$5:$C$393,MATCH(B387,Paletes!$A$5:$A$393,0)),"SEM CADASTRO")</f>
      </c>
      <c r="V387" s="24">
        <f>IFERROR(INDEX(Paletes!$D$5:$D$393,MATCH(B387,Paletes!$A$5:$A$393,0)),0)</f>
      </c>
      <c r="W387" s="31">
        <f>IF(V387=0,0,J387/V387)</f>
      </c>
      <c r="X387" s="31">
        <f>IF(V387=0,0,MAX(M387,0)/V387)</f>
      </c>
    </row>
    <row r="388" spans="1:24" x14ac:dyDescent="0.25">
      <c r="A388" s="32" t="str">
        <f>B388&amp;"."&amp;IFERROR(MID(D388,FIND("(",D388)+1,FIND(")",D388)-FIND("(",D388)-1),"")</f>
        <v>85462.46365</v>
      </c>
      <c r="B388" s="33">
        <v>85462</v>
      </c>
      <c r="C388" s="32" t="s">
        <v>665</v>
      </c>
      <c r="D388" s="32" t="s">
        <v>666</v>
      </c>
      <c r="E388" s="32">
        <v>97813</v>
      </c>
      <c r="F388" s="32" t="s">
        <v>25</v>
      </c>
      <c r="G388" s="32" t="s">
        <v>51</v>
      </c>
      <c r="H388" s="34">
        <f>IFERROR(INDEX(Linha!$B$5:$B$788,MATCH(A388,Linha!$A$5:$A$788,0)),"NÃO CADASTRADO")</f>
      </c>
      <c r="I388" s="34">
        <f>IFERROR(INDEX(Linha!$C$5:$C$788,MATCH(A388,Linha!$A$5:$A$788,0)),"-")</f>
      </c>
      <c r="J388" s="35">
        <v>1173</v>
      </c>
      <c r="K388" s="36">
        <f>IFERROR(INDEX(Linha!$D$5:$D$788,MATCH(A388,Linha!$A$5:$A$788,0))*1,0)</f>
      </c>
      <c r="L388" s="36">
        <f>SUMIFS(Reservas!$K$5:$K$3669,Reservas!$A$5:$A$3669,A388)</f>
      </c>
      <c r="M388" s="37">
        <f>J388-L388</f>
      </c>
      <c r="N388" s="38">
        <v>20.962</v>
      </c>
      <c r="O388" s="37">
        <f>J388*N388</f>
      </c>
      <c r="P388" s="37">
        <f>L388*N388</f>
      </c>
      <c r="Q388" s="39">
        <v>173.87557052</v>
      </c>
      <c r="R388" s="40">
        <f>J388*Q388</f>
      </c>
      <c r="S388" s="40">
        <f>L388*Q388</f>
      </c>
      <c r="T388" s="41">
        <f>IF(J388=0,0,L388/J388)</f>
      </c>
      <c r="U388" s="42">
        <f>IFERROR(INDEX(Paletes!$C$5:$C$393,MATCH(B388,Paletes!$A$5:$A$393,0)),"SEM CADASTRO")</f>
      </c>
      <c r="V388" s="36">
        <f>IFERROR(INDEX(Paletes!$D$5:$D$393,MATCH(B388,Paletes!$A$5:$A$393,0)),0)</f>
      </c>
      <c r="W388" s="43">
        <f>IF(V388=0,0,J388/V388)</f>
      </c>
      <c r="X388" s="43">
        <f>IF(V388=0,0,MAX(M388,0)/V388)</f>
      </c>
    </row>
    <row r="389" spans="1:24" x14ac:dyDescent="0.25">
      <c r="A389" s="20" t="str">
        <f>B389&amp;"."&amp;IFERROR(MID(D389,FIND("(",D389)+1,FIND(")",D389)-FIND("(",D389)-1),"")</f>
        <v>85462.46366</v>
      </c>
      <c r="B389" s="21">
        <v>85462</v>
      </c>
      <c r="C389" s="20" t="s">
        <v>665</v>
      </c>
      <c r="D389" s="20" t="s">
        <v>667</v>
      </c>
      <c r="E389" s="20">
        <v>97813</v>
      </c>
      <c r="F389" s="20" t="s">
        <v>25</v>
      </c>
      <c r="G389" s="20" t="s">
        <v>51</v>
      </c>
      <c r="H389" s="22">
        <f>IFERROR(INDEX(Linha!$B$5:$B$788,MATCH(A389,Linha!$A$5:$A$788,0)),"NÃO CADASTRADO")</f>
      </c>
      <c r="I389" s="22">
        <f>IFERROR(INDEX(Linha!$C$5:$C$788,MATCH(A389,Linha!$A$5:$A$788,0)),"-")</f>
      </c>
      <c r="J389" s="23">
        <v>0</v>
      </c>
      <c r="K389" s="24">
        <f>IFERROR(INDEX(Linha!$D$5:$D$788,MATCH(A389,Linha!$A$5:$A$788,0))*1,0)</f>
      </c>
      <c r="L389" s="24">
        <f>SUMIFS(Reservas!$K$5:$K$3669,Reservas!$A$5:$A$3669,A389)</f>
      </c>
      <c r="M389" s="25">
        <f>J389-L389</f>
      </c>
      <c r="N389" s="26">
        <v>20.962</v>
      </c>
      <c r="O389" s="25">
        <f>J389*N389</f>
      </c>
      <c r="P389" s="25">
        <f>L389*N389</f>
      </c>
      <c r="Q389" s="27">
        <v>135.51249361</v>
      </c>
      <c r="R389" s="28">
        <f>J389*Q389</f>
      </c>
      <c r="S389" s="28">
        <f>L389*Q389</f>
      </c>
      <c r="T389" s="29">
        <f>IF(J389=0,0,L389/J389)</f>
      </c>
      <c r="U389" s="30">
        <f>IFERROR(INDEX(Paletes!$C$5:$C$393,MATCH(B389,Paletes!$A$5:$A$393,0)),"SEM CADASTRO")</f>
      </c>
      <c r="V389" s="24">
        <f>IFERROR(INDEX(Paletes!$D$5:$D$393,MATCH(B389,Paletes!$A$5:$A$393,0)),0)</f>
      </c>
      <c r="W389" s="31">
        <f>IF(V389=0,0,J389/V389)</f>
      </c>
      <c r="X389" s="31">
        <f>IF(V389=0,0,MAX(M389,0)/V389)</f>
      </c>
    </row>
    <row r="390" spans="1:24" x14ac:dyDescent="0.25">
      <c r="A390" s="32" t="str">
        <f>B390&amp;"."&amp;IFERROR(MID(D390,FIND("(",D390)+1,FIND(")",D390)-FIND("(",D390)-1),"")</f>
        <v>86265.69401</v>
      </c>
      <c r="B390" s="33">
        <v>86265</v>
      </c>
      <c r="C390" s="32" t="s">
        <v>374</v>
      </c>
      <c r="D390" s="32" t="s">
        <v>668</v>
      </c>
      <c r="E390" s="32">
        <v>100433</v>
      </c>
      <c r="F390" s="32" t="s">
        <v>26</v>
      </c>
      <c r="G390" s="32" t="s">
        <v>51</v>
      </c>
      <c r="H390" s="34">
        <f>IFERROR(INDEX(Linha!$B$5:$B$788,MATCH(A390,Linha!$A$5:$A$788,0)),"NÃO CADASTRADO")</f>
      </c>
      <c r="I390" s="34">
        <f>IFERROR(INDEX(Linha!$C$5:$C$788,MATCH(A390,Linha!$A$5:$A$788,0)),"-")</f>
      </c>
      <c r="J390" s="35">
        <v>24</v>
      </c>
      <c r="K390" s="36">
        <f>IFERROR(INDEX(Linha!$D$5:$D$788,MATCH(A390,Linha!$A$5:$A$788,0))*1,0)</f>
      </c>
      <c r="L390" s="36">
        <f>SUMIFS(Reservas!$K$5:$K$3669,Reservas!$A$5:$A$3669,A390)</f>
      </c>
      <c r="M390" s="37">
        <f>J390-L390</f>
      </c>
      <c r="N390" s="38">
        <v>47.726</v>
      </c>
      <c r="O390" s="37">
        <f>J390*N390</f>
      </c>
      <c r="P390" s="37">
        <f>L390*N390</f>
      </c>
      <c r="Q390" s="39">
        <v>158.98678661</v>
      </c>
      <c r="R390" s="40">
        <f>J390*Q390</f>
      </c>
      <c r="S390" s="40">
        <f>L390*Q390</f>
      </c>
      <c r="T390" s="41">
        <f>IF(J390=0,0,L390/J390)</f>
      </c>
      <c r="U390" s="42">
        <f>IFERROR(INDEX(Paletes!$C$5:$C$393,MATCH(B390,Paletes!$A$5:$A$393,0)),"SEM CADASTRO")</f>
      </c>
      <c r="V390" s="36">
        <f>IFERROR(INDEX(Paletes!$D$5:$D$393,MATCH(B390,Paletes!$A$5:$A$393,0)),0)</f>
      </c>
      <c r="W390" s="43">
        <f>IF(V390=0,0,J390/V390)</f>
      </c>
      <c r="X390" s="43">
        <f>IF(V390=0,0,MAX(M390,0)/V390)</f>
      </c>
    </row>
    <row r="391" spans="1:24" x14ac:dyDescent="0.25">
      <c r="A391" s="20" t="str">
        <f>B391&amp;"."&amp;IFERROR(MID(D391,FIND("(",D391)+1,FIND(")",D391)-FIND("(",D391)-1),"")</f>
        <v>187.15487</v>
      </c>
      <c r="B391" s="21">
        <v>187</v>
      </c>
      <c r="C391" s="20" t="s">
        <v>376</v>
      </c>
      <c r="D391" s="20" t="s">
        <v>669</v>
      </c>
      <c r="E391" s="20">
        <v>590</v>
      </c>
      <c r="F391" s="20" t="s">
        <v>23</v>
      </c>
      <c r="G391" s="20" t="s">
        <v>51</v>
      </c>
      <c r="H391" s="22">
        <f>IFERROR(INDEX(Linha!$B$5:$B$788,MATCH(A391,Linha!$A$5:$A$788,0)),"NÃO CADASTRADO")</f>
      </c>
      <c r="I391" s="22">
        <f>IFERROR(INDEX(Linha!$C$5:$C$788,MATCH(A391,Linha!$A$5:$A$788,0)),"-")</f>
      </c>
      <c r="J391" s="23">
        <v>1891</v>
      </c>
      <c r="K391" s="24">
        <f>IFERROR(INDEX(Linha!$D$5:$D$788,MATCH(A391,Linha!$A$5:$A$788,0))*1,0)</f>
      </c>
      <c r="L391" s="24">
        <f>SUMIFS(Reservas!$K$5:$K$3669,Reservas!$A$5:$A$3669,A391)</f>
      </c>
      <c r="M391" s="25">
        <f>J391-L391</f>
      </c>
      <c r="N391" s="26">
        <v>0.546</v>
      </c>
      <c r="O391" s="25">
        <f>J391*N391</f>
      </c>
      <c r="P391" s="25">
        <f>L391*N391</f>
      </c>
      <c r="Q391" s="27">
        <v>4.71362979</v>
      </c>
      <c r="R391" s="28">
        <f>J391*Q391</f>
      </c>
      <c r="S391" s="28">
        <f>L391*Q391</f>
      </c>
      <c r="T391" s="29">
        <f>IF(J391=0,0,L391/J391)</f>
      </c>
      <c r="U391" s="30">
        <f>IFERROR(INDEX(Paletes!$C$5:$C$393,MATCH(B391,Paletes!$A$5:$A$393,0)),"SEM CADASTRO")</f>
      </c>
      <c r="V391" s="24">
        <f>IFERROR(INDEX(Paletes!$D$5:$D$393,MATCH(B391,Paletes!$A$5:$A$393,0)),0)</f>
      </c>
      <c r="W391" s="31">
        <f>IF(V391=0,0,J391/V391)</f>
      </c>
      <c r="X391" s="31">
        <f>IF(V391=0,0,MAX(M391,0)/V391)</f>
      </c>
    </row>
    <row r="392" spans="1:24" x14ac:dyDescent="0.25">
      <c r="A392" s="32" t="str">
        <f>B392&amp;"."&amp;IFERROR(MID(D392,FIND("(",D392)+1,FIND(")",D392)-FIND("(",D392)-1),"")</f>
        <v>154.16634</v>
      </c>
      <c r="B392" s="33">
        <v>154</v>
      </c>
      <c r="C392" s="32" t="s">
        <v>670</v>
      </c>
      <c r="D392" s="32" t="s">
        <v>671</v>
      </c>
      <c r="E392" s="32">
        <v>591</v>
      </c>
      <c r="F392" s="32" t="s">
        <v>23</v>
      </c>
      <c r="G392" s="32" t="s">
        <v>51</v>
      </c>
      <c r="H392" s="34">
        <f>IFERROR(INDEX(Linha!$B$5:$B$788,MATCH(A392,Linha!$A$5:$A$788,0)),"NÃO CADASTRADO")</f>
      </c>
      <c r="I392" s="34">
        <f>IFERROR(INDEX(Linha!$C$5:$C$788,MATCH(A392,Linha!$A$5:$A$788,0)),"-")</f>
      </c>
      <c r="J392" s="35">
        <v>4549</v>
      </c>
      <c r="K392" s="36">
        <f>IFERROR(INDEX(Linha!$D$5:$D$788,MATCH(A392,Linha!$A$5:$A$788,0))*1,0)</f>
      </c>
      <c r="L392" s="36">
        <f>SUMIFS(Reservas!$K$5:$K$3669,Reservas!$A$5:$A$3669,A392)</f>
      </c>
      <c r="M392" s="37">
        <f>J392-L392</f>
      </c>
      <c r="N392" s="38">
        <v>0.702</v>
      </c>
      <c r="O392" s="37">
        <f>J392*N392</f>
      </c>
      <c r="P392" s="37">
        <f>L392*N392</f>
      </c>
      <c r="Q392" s="39">
        <v>6.29636</v>
      </c>
      <c r="R392" s="40">
        <f>J392*Q392</f>
      </c>
      <c r="S392" s="40">
        <f>L392*Q392</f>
      </c>
      <c r="T392" s="41">
        <f>IF(J392=0,0,L392/J392)</f>
      </c>
      <c r="U392" s="42">
        <f>IFERROR(INDEX(Paletes!$C$5:$C$393,MATCH(B392,Paletes!$A$5:$A$393,0)),"SEM CADASTRO")</f>
      </c>
      <c r="V392" s="36">
        <f>IFERROR(INDEX(Paletes!$D$5:$D$393,MATCH(B392,Paletes!$A$5:$A$393,0)),0)</f>
      </c>
      <c r="W392" s="43">
        <f>IF(V392=0,0,J392/V392)</f>
      </c>
      <c r="X392" s="43">
        <f>IF(V392=0,0,MAX(M392,0)/V392)</f>
      </c>
    </row>
    <row r="393" spans="1:24" x14ac:dyDescent="0.25">
      <c r="A393" s="20" t="str">
        <f>B393&amp;"."&amp;IFERROR(MID(D393,FIND("(",D393)+1,FIND(")",D393)-FIND("(",D393)-1),"")</f>
        <v>275.12672</v>
      </c>
      <c r="B393" s="21">
        <v>275</v>
      </c>
      <c r="C393" s="20" t="s">
        <v>384</v>
      </c>
      <c r="D393" s="20" t="s">
        <v>672</v>
      </c>
      <c r="E393" s="20">
        <v>38643</v>
      </c>
      <c r="F393" s="20" t="s">
        <v>26</v>
      </c>
      <c r="G393" s="20" t="s">
        <v>51</v>
      </c>
      <c r="H393" s="22">
        <f>IFERROR(INDEX(Linha!$B$5:$B$788,MATCH(A393,Linha!$A$5:$A$788,0)),"NÃO CADASTRADO")</f>
      </c>
      <c r="I393" s="22">
        <f>IFERROR(INDEX(Linha!$C$5:$C$788,MATCH(A393,Linha!$A$5:$A$788,0)),"-")</f>
      </c>
      <c r="J393" s="23">
        <v>1094</v>
      </c>
      <c r="K393" s="24">
        <f>IFERROR(INDEX(Linha!$D$5:$D$788,MATCH(A393,Linha!$A$5:$A$788,0))*1,0)</f>
      </c>
      <c r="L393" s="24">
        <f>SUMIFS(Reservas!$K$5:$K$3669,Reservas!$A$5:$A$3669,A393)</f>
      </c>
      <c r="M393" s="25">
        <f>J393-L393</f>
      </c>
      <c r="N393" s="26">
        <v>59.67</v>
      </c>
      <c r="O393" s="25">
        <f>J393*N393</f>
      </c>
      <c r="P393" s="25">
        <f>L393*N393</f>
      </c>
      <c r="Q393" s="27">
        <v>207.54298726</v>
      </c>
      <c r="R393" s="28">
        <f>J393*Q393</f>
      </c>
      <c r="S393" s="28">
        <f>L393*Q393</f>
      </c>
      <c r="T393" s="29">
        <f>IF(J393=0,0,L393/J393)</f>
      </c>
      <c r="U393" s="30">
        <f>IFERROR(INDEX(Paletes!$C$5:$C$393,MATCH(B393,Paletes!$A$5:$A$393,0)),"SEM CADASTRO")</f>
      </c>
      <c r="V393" s="24">
        <f>IFERROR(INDEX(Paletes!$D$5:$D$393,MATCH(B393,Paletes!$A$5:$A$393,0)),0)</f>
      </c>
      <c r="W393" s="31">
        <f>IF(V393=0,0,J393/V393)</f>
      </c>
      <c r="X393" s="31">
        <f>IF(V393=0,0,MAX(M393,0)/V393)</f>
      </c>
    </row>
    <row r="394" spans="1:24" x14ac:dyDescent="0.25">
      <c r="A394" s="32" t="str">
        <f>B394&amp;"."&amp;IFERROR(MID(D394,FIND("(",D394)+1,FIND(")",D394)-FIND("(",D394)-1),"")</f>
        <v>73152.15542</v>
      </c>
      <c r="B394" s="33">
        <v>73152</v>
      </c>
      <c r="C394" s="32" t="s">
        <v>673</v>
      </c>
      <c r="D394" s="32" t="s">
        <v>674</v>
      </c>
      <c r="E394" s="32">
        <v>40597</v>
      </c>
      <c r="F394" s="32" t="s">
        <v>24</v>
      </c>
      <c r="G394" s="32" t="s">
        <v>51</v>
      </c>
      <c r="H394" s="34">
        <f>IFERROR(INDEX(Linha!$B$5:$B$788,MATCH(A394,Linha!$A$5:$A$788,0)),"NÃO CADASTRADO")</f>
      </c>
      <c r="I394" s="34">
        <f>IFERROR(INDEX(Linha!$C$5:$C$788,MATCH(A394,Linha!$A$5:$A$788,0)),"-")</f>
      </c>
      <c r="J394" s="35">
        <v>324</v>
      </c>
      <c r="K394" s="36">
        <f>IFERROR(INDEX(Linha!$D$5:$D$788,MATCH(A394,Linha!$A$5:$A$788,0))*1,0)</f>
      </c>
      <c r="L394" s="36">
        <f>SUMIFS(Reservas!$K$5:$K$3669,Reservas!$A$5:$A$3669,A394)</f>
      </c>
      <c r="M394" s="37">
        <f>J394-L394</f>
      </c>
      <c r="N394" s="38">
        <v>8.677</v>
      </c>
      <c r="O394" s="37">
        <f>J394*N394</f>
      </c>
      <c r="P394" s="37">
        <f>L394*N394</f>
      </c>
      <c r="Q394" s="39">
        <v>33.04017952</v>
      </c>
      <c r="R394" s="40">
        <f>J394*Q394</f>
      </c>
      <c r="S394" s="40">
        <f>L394*Q394</f>
      </c>
      <c r="T394" s="41">
        <f>IF(J394=0,0,L394/J394)</f>
      </c>
      <c r="U394" s="42">
        <f>IFERROR(INDEX(Paletes!$C$5:$C$393,MATCH(B394,Paletes!$A$5:$A$393,0)),"SEM CADASTRO")</f>
      </c>
      <c r="V394" s="36">
        <f>IFERROR(INDEX(Paletes!$D$5:$D$393,MATCH(B394,Paletes!$A$5:$A$393,0)),0)</f>
      </c>
      <c r="W394" s="43">
        <f>IF(V394=0,0,J394/V394)</f>
      </c>
      <c r="X394" s="43">
        <f>IF(V394=0,0,MAX(M394,0)/V394)</f>
      </c>
    </row>
    <row r="395" spans="1:24" x14ac:dyDescent="0.25">
      <c r="A395" s="20" t="str">
        <f>B395&amp;"."&amp;IFERROR(MID(D395,FIND("(",D395)+1,FIND(")",D395)-FIND("(",D395)-1),"")</f>
        <v>73276.15753</v>
      </c>
      <c r="B395" s="21">
        <v>73276</v>
      </c>
      <c r="C395" s="20" t="s">
        <v>235</v>
      </c>
      <c r="D395" s="20" t="s">
        <v>675</v>
      </c>
      <c r="E395" s="20">
        <v>41596</v>
      </c>
      <c r="F395" s="20" t="s">
        <v>24</v>
      </c>
      <c r="G395" s="20" t="s">
        <v>51</v>
      </c>
      <c r="H395" s="22">
        <f>IFERROR(INDEX(Linha!$B$5:$B$788,MATCH(A395,Linha!$A$5:$A$788,0)),"NÃO CADASTRADO")</f>
      </c>
      <c r="I395" s="22">
        <f>IFERROR(INDEX(Linha!$C$5:$C$788,MATCH(A395,Linha!$A$5:$A$788,0)),"-")</f>
      </c>
      <c r="J395" s="23">
        <v>284</v>
      </c>
      <c r="K395" s="24">
        <f>IFERROR(INDEX(Linha!$D$5:$D$788,MATCH(A395,Linha!$A$5:$A$788,0))*1,0)</f>
      </c>
      <c r="L395" s="24">
        <f>SUMIFS(Reservas!$K$5:$K$3669,Reservas!$A$5:$A$3669,A395)</f>
      </c>
      <c r="M395" s="25">
        <f>J395-L395</f>
      </c>
      <c r="N395" s="26">
        <v>29.767</v>
      </c>
      <c r="O395" s="25">
        <f>J395*N395</f>
      </c>
      <c r="P395" s="25">
        <f>L395*N395</f>
      </c>
      <c r="Q395" s="27">
        <v>108.81813294</v>
      </c>
      <c r="R395" s="28">
        <f>J395*Q395</f>
      </c>
      <c r="S395" s="28">
        <f>L395*Q395</f>
      </c>
      <c r="T395" s="29">
        <f>IF(J395=0,0,L395/J395)</f>
      </c>
      <c r="U395" s="30">
        <f>IFERROR(INDEX(Paletes!$C$5:$C$393,MATCH(B395,Paletes!$A$5:$A$393,0)),"SEM CADASTRO")</f>
      </c>
      <c r="V395" s="24">
        <f>IFERROR(INDEX(Paletes!$D$5:$D$393,MATCH(B395,Paletes!$A$5:$A$393,0)),0)</f>
      </c>
      <c r="W395" s="31">
        <f>IF(V395=0,0,J395/V395)</f>
      </c>
      <c r="X395" s="31">
        <f>IF(V395=0,0,MAX(M395,0)/V395)</f>
      </c>
    </row>
    <row r="396" spans="1:24" x14ac:dyDescent="0.25">
      <c r="A396" s="32" t="str">
        <f>B396&amp;"."&amp;IFERROR(MID(D396,FIND("(",D396)+1,FIND(")",D396)-FIND("(",D396)-1),"")</f>
        <v>73277.16324</v>
      </c>
      <c r="B396" s="33">
        <v>73277</v>
      </c>
      <c r="C396" s="32" t="s">
        <v>394</v>
      </c>
      <c r="D396" s="32" t="s">
        <v>676</v>
      </c>
      <c r="E396" s="32">
        <v>41597</v>
      </c>
      <c r="F396" s="32" t="s">
        <v>24</v>
      </c>
      <c r="G396" s="32" t="s">
        <v>51</v>
      </c>
      <c r="H396" s="34">
        <f>IFERROR(INDEX(Linha!$B$5:$B$788,MATCH(A396,Linha!$A$5:$A$788,0)),"NÃO CADASTRADO")</f>
      </c>
      <c r="I396" s="34">
        <f>IFERROR(INDEX(Linha!$C$5:$C$788,MATCH(A396,Linha!$A$5:$A$788,0)),"-")</f>
      </c>
      <c r="J396" s="35">
        <v>15</v>
      </c>
      <c r="K396" s="36">
        <f>IFERROR(INDEX(Linha!$D$5:$D$788,MATCH(A396,Linha!$A$5:$A$788,0))*1,0)</f>
      </c>
      <c r="L396" s="36">
        <f>SUMIFS(Reservas!$K$5:$K$3669,Reservas!$A$5:$A$3669,A396)</f>
      </c>
      <c r="M396" s="37">
        <f>J396-L396</f>
      </c>
      <c r="N396" s="38">
        <v>41.711</v>
      </c>
      <c r="O396" s="37">
        <f>J396*N396</f>
      </c>
      <c r="P396" s="37">
        <f>L396*N396</f>
      </c>
      <c r="Q396" s="39">
        <v>173.82900708</v>
      </c>
      <c r="R396" s="40">
        <f>J396*Q396</f>
      </c>
      <c r="S396" s="40">
        <f>L396*Q396</f>
      </c>
      <c r="T396" s="41">
        <f>IF(J396=0,0,L396/J396)</f>
      </c>
      <c r="U396" s="42">
        <f>IFERROR(INDEX(Paletes!$C$5:$C$393,MATCH(B396,Paletes!$A$5:$A$393,0)),"SEM CADASTRO")</f>
      </c>
      <c r="V396" s="36">
        <f>IFERROR(INDEX(Paletes!$D$5:$D$393,MATCH(B396,Paletes!$A$5:$A$393,0)),0)</f>
      </c>
      <c r="W396" s="43">
        <f>IF(V396=0,0,J396/V396)</f>
      </c>
      <c r="X396" s="43">
        <f>IF(V396=0,0,MAX(M396,0)/V396)</f>
      </c>
    </row>
    <row r="397" spans="1:24" x14ac:dyDescent="0.25">
      <c r="A397" s="20" t="str">
        <f>B397&amp;"."&amp;IFERROR(MID(D397,FIND("(",D397)+1,FIND(")",D397)-FIND("(",D397)-1),"")</f>
        <v>73282.15765</v>
      </c>
      <c r="B397" s="21">
        <v>73282</v>
      </c>
      <c r="C397" s="20" t="s">
        <v>68</v>
      </c>
      <c r="D397" s="20" t="s">
        <v>677</v>
      </c>
      <c r="E397" s="20">
        <v>45137</v>
      </c>
      <c r="F397" s="20" t="s">
        <v>24</v>
      </c>
      <c r="G397" s="20" t="s">
        <v>51</v>
      </c>
      <c r="H397" s="22">
        <f>IFERROR(INDEX(Linha!$B$5:$B$788,MATCH(A397,Linha!$A$5:$A$788,0)),"NÃO CADASTRADO")</f>
      </c>
      <c r="I397" s="22">
        <f>IFERROR(INDEX(Linha!$C$5:$C$788,MATCH(A397,Linha!$A$5:$A$788,0)),"-")</f>
      </c>
      <c r="J397" s="23">
        <v>304</v>
      </c>
      <c r="K397" s="24">
        <f>IFERROR(INDEX(Linha!$D$5:$D$788,MATCH(A397,Linha!$A$5:$A$788,0))*1,0)</f>
      </c>
      <c r="L397" s="24">
        <f>SUMIFS(Reservas!$K$5:$K$3669,Reservas!$A$5:$A$3669,A397)</f>
      </c>
      <c r="M397" s="25">
        <f>J397-L397</f>
      </c>
      <c r="N397" s="26">
        <v>41.05</v>
      </c>
      <c r="O397" s="25">
        <f>J397*N397</f>
      </c>
      <c r="P397" s="25">
        <f>L397*N397</f>
      </c>
      <c r="Q397" s="27">
        <v>195.34257125</v>
      </c>
      <c r="R397" s="28">
        <f>J397*Q397</f>
      </c>
      <c r="S397" s="28">
        <f>L397*Q397</f>
      </c>
      <c r="T397" s="29">
        <f>IF(J397=0,0,L397/J397)</f>
      </c>
      <c r="U397" s="30">
        <f>IFERROR(INDEX(Paletes!$C$5:$C$393,MATCH(B397,Paletes!$A$5:$A$393,0)),"SEM CADASTRO")</f>
      </c>
      <c r="V397" s="24">
        <f>IFERROR(INDEX(Paletes!$D$5:$D$393,MATCH(B397,Paletes!$A$5:$A$393,0)),0)</f>
      </c>
      <c r="W397" s="31">
        <f>IF(V397=0,0,J397/V397)</f>
      </c>
      <c r="X397" s="31">
        <f>IF(V397=0,0,MAX(M397,0)/V397)</f>
      </c>
    </row>
    <row r="398" spans="1:24" x14ac:dyDescent="0.25">
      <c r="A398" s="32" t="str">
        <f>B398&amp;"."&amp;IFERROR(MID(D398,FIND("(",D398)+1,FIND(")",D398)-FIND("(",D398)-1),"")</f>
        <v>2406.12362</v>
      </c>
      <c r="B398" s="33">
        <v>2406</v>
      </c>
      <c r="C398" s="32" t="s">
        <v>678</v>
      </c>
      <c r="D398" s="32" t="s">
        <v>679</v>
      </c>
      <c r="E398" s="32">
        <v>45889</v>
      </c>
      <c r="F398" s="32" t="s">
        <v>26</v>
      </c>
      <c r="G398" s="32" t="s">
        <v>51</v>
      </c>
      <c r="H398" s="34">
        <f>IFERROR(INDEX(Linha!$B$5:$B$788,MATCH(A398,Linha!$A$5:$A$788,0)),"NÃO CADASTRADO")</f>
      </c>
      <c r="I398" s="34">
        <f>IFERROR(INDEX(Linha!$C$5:$C$788,MATCH(A398,Linha!$A$5:$A$788,0)),"-")</f>
      </c>
      <c r="J398" s="35">
        <v>66</v>
      </c>
      <c r="K398" s="36">
        <f>IFERROR(INDEX(Linha!$D$5:$D$788,MATCH(A398,Linha!$A$5:$A$788,0))*1,0)</f>
      </c>
      <c r="L398" s="36">
        <f>SUMIFS(Reservas!$K$5:$K$3669,Reservas!$A$5:$A$3669,A398)</f>
      </c>
      <c r="M398" s="37">
        <f>J398-L398</f>
      </c>
      <c r="N398" s="38">
        <v>64.35</v>
      </c>
      <c r="O398" s="37">
        <f>J398*N398</f>
      </c>
      <c r="P398" s="37">
        <f>L398*N398</f>
      </c>
      <c r="Q398" s="39">
        <v>328.0848703</v>
      </c>
      <c r="R398" s="40">
        <f>J398*Q398</f>
      </c>
      <c r="S398" s="40">
        <f>L398*Q398</f>
      </c>
      <c r="T398" s="41">
        <f>IF(J398=0,0,L398/J398)</f>
      </c>
      <c r="U398" s="42">
        <f>IFERROR(INDEX(Paletes!$C$5:$C$393,MATCH(B398,Paletes!$A$5:$A$393,0)),"SEM CADASTRO")</f>
      </c>
      <c r="V398" s="36">
        <f>IFERROR(INDEX(Paletes!$D$5:$D$393,MATCH(B398,Paletes!$A$5:$A$393,0)),0)</f>
      </c>
      <c r="W398" s="43">
        <f>IF(V398=0,0,J398/V398)</f>
      </c>
      <c r="X398" s="43">
        <f>IF(V398=0,0,MAX(M398,0)/V398)</f>
      </c>
    </row>
    <row r="399" spans="1:24" x14ac:dyDescent="0.25">
      <c r="A399" s="20" t="str">
        <f>B399&amp;"."&amp;IFERROR(MID(D399,FIND("(",D399)+1,FIND(")",D399)-FIND("(",D399)-1),"")</f>
        <v>73543.16393</v>
      </c>
      <c r="B399" s="21">
        <v>73543</v>
      </c>
      <c r="C399" s="20" t="s">
        <v>74</v>
      </c>
      <c r="D399" s="20" t="s">
        <v>680</v>
      </c>
      <c r="E399" s="20">
        <v>87486</v>
      </c>
      <c r="F399" s="20" t="s">
        <v>25</v>
      </c>
      <c r="G399" s="20" t="s">
        <v>51</v>
      </c>
      <c r="H399" s="22">
        <f>IFERROR(INDEX(Linha!$B$5:$B$788,MATCH(A399,Linha!$A$5:$A$788,0)),"NÃO CADASTRADO")</f>
      </c>
      <c r="I399" s="22">
        <f>IFERROR(INDEX(Linha!$C$5:$C$788,MATCH(A399,Linha!$A$5:$A$788,0)),"-")</f>
      </c>
      <c r="J399" s="23">
        <v>41</v>
      </c>
      <c r="K399" s="24">
        <f>IFERROR(INDEX(Linha!$D$5:$D$788,MATCH(A399,Linha!$A$5:$A$788,0))*1,0)</f>
      </c>
      <c r="L399" s="24">
        <f>SUMIFS(Reservas!$K$5:$K$3669,Reservas!$A$5:$A$3669,A399)</f>
      </c>
      <c r="M399" s="25">
        <f>J399-L399</f>
      </c>
      <c r="N399" s="26">
        <v>14.644</v>
      </c>
      <c r="O399" s="25">
        <f>J399*N399</f>
      </c>
      <c r="P399" s="25">
        <f>L399*N399</f>
      </c>
      <c r="Q399" s="27">
        <v>116.30527693</v>
      </c>
      <c r="R399" s="28">
        <f>J399*Q399</f>
      </c>
      <c r="S399" s="28">
        <f>L399*Q399</f>
      </c>
      <c r="T399" s="29">
        <f>IF(J399=0,0,L399/J399)</f>
      </c>
      <c r="U399" s="30">
        <f>IFERROR(INDEX(Paletes!$C$5:$C$393,MATCH(B399,Paletes!$A$5:$A$393,0)),"SEM CADASTRO")</f>
      </c>
      <c r="V399" s="24">
        <f>IFERROR(INDEX(Paletes!$D$5:$D$393,MATCH(B399,Paletes!$A$5:$A$393,0)),0)</f>
      </c>
      <c r="W399" s="31">
        <f>IF(V399=0,0,J399/V399)</f>
      </c>
      <c r="X399" s="31">
        <f>IF(V399=0,0,MAX(M399,0)/V399)</f>
      </c>
    </row>
    <row r="400" spans="1:24" x14ac:dyDescent="0.25">
      <c r="A400" s="32" t="str">
        <f>B400&amp;"."&amp;IFERROR(MID(D400,FIND("(",D400)+1,FIND(")",D400)-FIND("(",D400)-1),"")</f>
        <v>74127.99890</v>
      </c>
      <c r="B400" s="33">
        <v>74127</v>
      </c>
      <c r="C400" s="32" t="s">
        <v>681</v>
      </c>
      <c r="D400" s="32" t="s">
        <v>682</v>
      </c>
      <c r="E400" s="32">
        <v>57201</v>
      </c>
      <c r="F400" s="32" t="s">
        <v>24</v>
      </c>
      <c r="G400" s="32" t="s">
        <v>51</v>
      </c>
      <c r="H400" s="34">
        <f>IFERROR(INDEX(Linha!$B$5:$B$788,MATCH(A400,Linha!$A$5:$A$788,0)),"NÃO CADASTRADO")</f>
      </c>
      <c r="I400" s="34">
        <f>IFERROR(INDEX(Linha!$C$5:$C$788,MATCH(A400,Linha!$A$5:$A$788,0)),"-")</f>
      </c>
      <c r="J400" s="35">
        <v>0</v>
      </c>
      <c r="K400" s="36">
        <f>IFERROR(INDEX(Linha!$D$5:$D$788,MATCH(A400,Linha!$A$5:$A$788,0))*1,0)</f>
      </c>
      <c r="L400" s="36">
        <f>SUMIFS(Reservas!$K$5:$K$3669,Reservas!$A$5:$A$3669,A400)</f>
      </c>
      <c r="M400" s="37">
        <f>J400-L400</f>
      </c>
      <c r="N400" s="38">
        <v>17.16</v>
      </c>
      <c r="O400" s="37">
        <f>J400*N400</f>
      </c>
      <c r="P400" s="37">
        <f>L400*N400</f>
      </c>
      <c r="Q400" s="39">
        <v>96.70486859</v>
      </c>
      <c r="R400" s="40">
        <f>J400*Q400</f>
      </c>
      <c r="S400" s="40">
        <f>L400*Q400</f>
      </c>
      <c r="T400" s="41">
        <f>IF(J400=0,0,L400/J400)</f>
      </c>
      <c r="U400" s="42">
        <f>IFERROR(INDEX(Paletes!$C$5:$C$393,MATCH(B400,Paletes!$A$5:$A$393,0)),"SEM CADASTRO")</f>
      </c>
      <c r="V400" s="36">
        <f>IFERROR(INDEX(Paletes!$D$5:$D$393,MATCH(B400,Paletes!$A$5:$A$393,0)),0)</f>
      </c>
      <c r="W400" s="43">
        <f>IF(V400=0,0,J400/V400)</f>
      </c>
      <c r="X400" s="43">
        <f>IF(V400=0,0,MAX(M400,0)/V400)</f>
      </c>
    </row>
    <row r="401" spans="1:24" x14ac:dyDescent="0.25">
      <c r="A401" s="20" t="str">
        <f>B401&amp;"."&amp;IFERROR(MID(D401,FIND("(",D401)+1,FIND(")",D401)-FIND("(",D401)-1),"")</f>
        <v>84779.30618</v>
      </c>
      <c r="B401" s="21">
        <v>84779</v>
      </c>
      <c r="C401" s="20" t="s">
        <v>683</v>
      </c>
      <c r="D401" s="20" t="s">
        <v>684</v>
      </c>
      <c r="E401" s="20">
        <v>96504</v>
      </c>
      <c r="F401" s="20" t="s">
        <v>26</v>
      </c>
      <c r="G401" s="20" t="s">
        <v>51</v>
      </c>
      <c r="H401" s="22">
        <f>IFERROR(INDEX(Linha!$B$5:$B$788,MATCH(A401,Linha!$A$5:$A$788,0)),"NÃO CADASTRADO")</f>
      </c>
      <c r="I401" s="22">
        <f>IFERROR(INDEX(Linha!$C$5:$C$788,MATCH(A401,Linha!$A$5:$A$788,0)),"-")</f>
      </c>
      <c r="J401" s="23">
        <v>73</v>
      </c>
      <c r="K401" s="24">
        <f>IFERROR(INDEX(Linha!$D$5:$D$788,MATCH(A401,Linha!$A$5:$A$788,0))*1,0)</f>
      </c>
      <c r="L401" s="24">
        <f>SUMIFS(Reservas!$K$5:$K$3669,Reservas!$A$5:$A$3669,A401)</f>
      </c>
      <c r="M401" s="25">
        <f>J401-L401</f>
      </c>
      <c r="N401" s="26">
        <v>61.99</v>
      </c>
      <c r="O401" s="25">
        <f>J401*N401</f>
      </c>
      <c r="P401" s="25">
        <f>L401*N401</f>
      </c>
      <c r="Q401" s="27">
        <v>183.74544965</v>
      </c>
      <c r="R401" s="28">
        <f>J401*Q401</f>
      </c>
      <c r="S401" s="28">
        <f>L401*Q401</f>
      </c>
      <c r="T401" s="29">
        <f>IF(J401=0,0,L401/J401)</f>
      </c>
      <c r="U401" s="30">
        <f>IFERROR(INDEX(Paletes!$C$5:$C$393,MATCH(B401,Paletes!$A$5:$A$393,0)),"SEM CADASTRO")</f>
      </c>
      <c r="V401" s="24">
        <f>IFERROR(INDEX(Paletes!$D$5:$D$393,MATCH(B401,Paletes!$A$5:$A$393,0)),0)</f>
      </c>
      <c r="W401" s="31">
        <f>IF(V401=0,0,J401/V401)</f>
      </c>
      <c r="X401" s="31">
        <f>IF(V401=0,0,MAX(M401,0)/V401)</f>
      </c>
    </row>
    <row r="402" spans="1:24" x14ac:dyDescent="0.25">
      <c r="A402" s="32" t="str">
        <f>B402&amp;"."&amp;IFERROR(MID(D402,FIND("(",D402)+1,FIND(")",D402)-FIND("(",D402)-1),"")</f>
        <v>73077.16284</v>
      </c>
      <c r="B402" s="33">
        <v>73077</v>
      </c>
      <c r="C402" s="32" t="s">
        <v>79</v>
      </c>
      <c r="D402" s="32" t="s">
        <v>685</v>
      </c>
      <c r="E402" s="32">
        <v>67933</v>
      </c>
      <c r="F402" s="32" t="s">
        <v>24</v>
      </c>
      <c r="G402" s="32" t="s">
        <v>51</v>
      </c>
      <c r="H402" s="34">
        <f>IFERROR(INDEX(Linha!$B$5:$B$788,MATCH(A402,Linha!$A$5:$A$788,0)),"NÃO CADASTRADO")</f>
      </c>
      <c r="I402" s="34">
        <f>IFERROR(INDEX(Linha!$C$5:$C$788,MATCH(A402,Linha!$A$5:$A$788,0)),"-")</f>
      </c>
      <c r="J402" s="35">
        <v>180</v>
      </c>
      <c r="K402" s="36">
        <f>IFERROR(INDEX(Linha!$D$5:$D$788,MATCH(A402,Linha!$A$5:$A$788,0))*1,0)</f>
      </c>
      <c r="L402" s="36">
        <f>SUMIFS(Reservas!$K$5:$K$3669,Reservas!$A$5:$A$3669,A402)</f>
      </c>
      <c r="M402" s="37">
        <f>J402-L402</f>
      </c>
      <c r="N402" s="38">
        <v>25.35</v>
      </c>
      <c r="O402" s="37">
        <f>J402*N402</f>
      </c>
      <c r="P402" s="37">
        <f>L402*N402</f>
      </c>
      <c r="Q402" s="39">
        <v>68.61109578</v>
      </c>
      <c r="R402" s="40">
        <f>J402*Q402</f>
      </c>
      <c r="S402" s="40">
        <f>L402*Q402</f>
      </c>
      <c r="T402" s="41">
        <f>IF(J402=0,0,L402/J402)</f>
      </c>
      <c r="U402" s="42">
        <f>IFERROR(INDEX(Paletes!$C$5:$C$393,MATCH(B402,Paletes!$A$5:$A$393,0)),"SEM CADASTRO")</f>
      </c>
      <c r="V402" s="36">
        <f>IFERROR(INDEX(Paletes!$D$5:$D$393,MATCH(B402,Paletes!$A$5:$A$393,0)),0)</f>
      </c>
      <c r="W402" s="43">
        <f>IF(V402=0,0,J402/V402)</f>
      </c>
      <c r="X402" s="43">
        <f>IF(V402=0,0,MAX(M402,0)/V402)</f>
      </c>
    </row>
    <row r="403" spans="1:24" x14ac:dyDescent="0.25">
      <c r="A403" s="20" t="str">
        <f>B403&amp;"."&amp;IFERROR(MID(D403,FIND("(",D403)+1,FIND(")",D403)-FIND("(",D403)-1),"")</f>
        <v>73077.16285</v>
      </c>
      <c r="B403" s="21">
        <v>73077</v>
      </c>
      <c r="C403" s="20" t="s">
        <v>79</v>
      </c>
      <c r="D403" s="20" t="s">
        <v>686</v>
      </c>
      <c r="E403" s="20">
        <v>67933</v>
      </c>
      <c r="F403" s="20" t="s">
        <v>24</v>
      </c>
      <c r="G403" s="20" t="s">
        <v>51</v>
      </c>
      <c r="H403" s="22">
        <f>IFERROR(INDEX(Linha!$B$5:$B$788,MATCH(A403,Linha!$A$5:$A$788,0)),"NÃO CADASTRADO")</f>
      </c>
      <c r="I403" s="22">
        <f>IFERROR(INDEX(Linha!$C$5:$C$788,MATCH(A403,Linha!$A$5:$A$788,0)),"-")</f>
      </c>
      <c r="J403" s="23">
        <v>56</v>
      </c>
      <c r="K403" s="24">
        <f>IFERROR(INDEX(Linha!$D$5:$D$788,MATCH(A403,Linha!$A$5:$A$788,0))*1,0)</f>
      </c>
      <c r="L403" s="24">
        <f>SUMIFS(Reservas!$K$5:$K$3669,Reservas!$A$5:$A$3669,A403)</f>
      </c>
      <c r="M403" s="25">
        <f>J403-L403</f>
      </c>
      <c r="N403" s="26">
        <v>25.35</v>
      </c>
      <c r="O403" s="25">
        <f>J403*N403</f>
      </c>
      <c r="P403" s="25">
        <f>L403*N403</f>
      </c>
      <c r="Q403" s="27">
        <v>77.5514807</v>
      </c>
      <c r="R403" s="28">
        <f>J403*Q403</f>
      </c>
      <c r="S403" s="28">
        <f>L403*Q403</f>
      </c>
      <c r="T403" s="29">
        <f>IF(J403=0,0,L403/J403)</f>
      </c>
      <c r="U403" s="30">
        <f>IFERROR(INDEX(Paletes!$C$5:$C$393,MATCH(B403,Paletes!$A$5:$A$393,0)),"SEM CADASTRO")</f>
      </c>
      <c r="V403" s="24">
        <f>IFERROR(INDEX(Paletes!$D$5:$D$393,MATCH(B403,Paletes!$A$5:$A$393,0)),0)</f>
      </c>
      <c r="W403" s="31">
        <f>IF(V403=0,0,J403/V403)</f>
      </c>
      <c r="X403" s="31">
        <f>IF(V403=0,0,MAX(M403,0)/V403)</f>
      </c>
    </row>
    <row r="404" spans="1:24" x14ac:dyDescent="0.25">
      <c r="A404" s="32" t="str">
        <f>B404&amp;"."&amp;IFERROR(MID(D404,FIND("(",D404)+1,FIND(")",D404)-FIND("(",D404)-1),"")</f>
        <v>84946.37107</v>
      </c>
      <c r="B404" s="33">
        <v>84946</v>
      </c>
      <c r="C404" s="32" t="s">
        <v>83</v>
      </c>
      <c r="D404" s="32" t="s">
        <v>687</v>
      </c>
      <c r="E404" s="32">
        <v>96465</v>
      </c>
      <c r="F404" s="32" t="s">
        <v>24</v>
      </c>
      <c r="G404" s="32" t="s">
        <v>51</v>
      </c>
      <c r="H404" s="34">
        <f>IFERROR(INDEX(Linha!$B$5:$B$788,MATCH(A404,Linha!$A$5:$A$788,0)),"NÃO CADASTRADO")</f>
      </c>
      <c r="I404" s="34">
        <f>IFERROR(INDEX(Linha!$C$5:$C$788,MATCH(A404,Linha!$A$5:$A$788,0)),"-")</f>
      </c>
      <c r="J404" s="35">
        <v>6</v>
      </c>
      <c r="K404" s="36">
        <f>IFERROR(INDEX(Linha!$D$5:$D$788,MATCH(A404,Linha!$A$5:$A$788,0))*1,0)</f>
      </c>
      <c r="L404" s="36">
        <f>SUMIFS(Reservas!$K$5:$K$3669,Reservas!$A$5:$A$3669,A404)</f>
      </c>
      <c r="M404" s="37">
        <f>J404-L404</f>
      </c>
      <c r="N404" s="38">
        <v>39.955</v>
      </c>
      <c r="O404" s="37">
        <f>J404*N404</f>
      </c>
      <c r="P404" s="37">
        <f>L404*N404</f>
      </c>
      <c r="Q404" s="39">
        <v>157.02329617</v>
      </c>
      <c r="R404" s="40">
        <f>J404*Q404</f>
      </c>
      <c r="S404" s="40">
        <f>L404*Q404</f>
      </c>
      <c r="T404" s="41">
        <f>IF(J404=0,0,L404/J404)</f>
      </c>
      <c r="U404" s="42">
        <f>IFERROR(INDEX(Paletes!$C$5:$C$393,MATCH(B404,Paletes!$A$5:$A$393,0)),"SEM CADASTRO")</f>
      </c>
      <c r="V404" s="36">
        <f>IFERROR(INDEX(Paletes!$D$5:$D$393,MATCH(B404,Paletes!$A$5:$A$393,0)),0)</f>
      </c>
      <c r="W404" s="43">
        <f>IF(V404=0,0,J404/V404)</f>
      </c>
      <c r="X404" s="43">
        <f>IF(V404=0,0,MAX(M404,0)/V404)</f>
      </c>
    </row>
    <row r="405" spans="1:24" x14ac:dyDescent="0.25">
      <c r="A405" s="20" t="str">
        <f>B405&amp;"."&amp;IFERROR(MID(D405,FIND("(",D405)+1,FIND(")",D405)-FIND("(",D405)-1),"")</f>
        <v>73345.16675</v>
      </c>
      <c r="B405" s="21">
        <v>73345</v>
      </c>
      <c r="C405" s="20" t="s">
        <v>688</v>
      </c>
      <c r="D405" s="20" t="s">
        <v>689</v>
      </c>
      <c r="E405" s="20">
        <v>72611</v>
      </c>
      <c r="F405" s="20" t="s">
        <v>25</v>
      </c>
      <c r="G405" s="20" t="s">
        <v>51</v>
      </c>
      <c r="H405" s="22">
        <f>IFERROR(INDEX(Linha!$B$5:$B$788,MATCH(A405,Linha!$A$5:$A$788,0)),"NÃO CADASTRADO")</f>
      </c>
      <c r="I405" s="22">
        <f>IFERROR(INDEX(Linha!$C$5:$C$788,MATCH(A405,Linha!$A$5:$A$788,0)),"-")</f>
      </c>
      <c r="J405" s="23">
        <v>8</v>
      </c>
      <c r="K405" s="24">
        <f>IFERROR(INDEX(Linha!$D$5:$D$788,MATCH(A405,Linha!$A$5:$A$788,0))*1,0)</f>
      </c>
      <c r="L405" s="24">
        <f>SUMIFS(Reservas!$K$5:$K$3669,Reservas!$A$5:$A$3669,A405)</f>
      </c>
      <c r="M405" s="25">
        <f>J405-L405</f>
      </c>
      <c r="N405" s="26">
        <v>11.846</v>
      </c>
      <c r="O405" s="25">
        <f>J405*N405</f>
      </c>
      <c r="P405" s="25">
        <f>L405*N405</f>
      </c>
      <c r="Q405" s="27">
        <v>97.4046714</v>
      </c>
      <c r="R405" s="28">
        <f>J405*Q405</f>
      </c>
      <c r="S405" s="28">
        <f>L405*Q405</f>
      </c>
      <c r="T405" s="29">
        <f>IF(J405=0,0,L405/J405)</f>
      </c>
      <c r="U405" s="30">
        <f>IFERROR(INDEX(Paletes!$C$5:$C$393,MATCH(B405,Paletes!$A$5:$A$393,0)),"SEM CADASTRO")</f>
      </c>
      <c r="V405" s="24">
        <f>IFERROR(INDEX(Paletes!$D$5:$D$393,MATCH(B405,Paletes!$A$5:$A$393,0)),0)</f>
      </c>
      <c r="W405" s="31">
        <f>IF(V405=0,0,J405/V405)</f>
      </c>
      <c r="X405" s="31">
        <f>IF(V405=0,0,MAX(M405,0)/V405)</f>
      </c>
    </row>
    <row r="406" spans="1:24" x14ac:dyDescent="0.25">
      <c r="A406" s="32" t="str">
        <f>B406&amp;"."&amp;IFERROR(MID(D406,FIND("(",D406)+1,FIND(")",D406)-FIND("(",D406)-1),"")</f>
        <v>84588.31333</v>
      </c>
      <c r="B406" s="33">
        <v>84588</v>
      </c>
      <c r="C406" s="32" t="s">
        <v>690</v>
      </c>
      <c r="D406" s="32" t="s">
        <v>691</v>
      </c>
      <c r="E406" s="32">
        <v>96480</v>
      </c>
      <c r="F406" s="32" t="s">
        <v>26</v>
      </c>
      <c r="G406" s="32" t="s">
        <v>51</v>
      </c>
      <c r="H406" s="34">
        <f>IFERROR(INDEX(Linha!$B$5:$B$788,MATCH(A406,Linha!$A$5:$A$788,0)),"NÃO CADASTRADO")</f>
      </c>
      <c r="I406" s="34">
        <f>IFERROR(INDEX(Linha!$C$5:$C$788,MATCH(A406,Linha!$A$5:$A$788,0)),"-")</f>
      </c>
      <c r="J406" s="35">
        <v>3</v>
      </c>
      <c r="K406" s="36">
        <f>IFERROR(INDEX(Linha!$D$5:$D$788,MATCH(A406,Linha!$A$5:$A$788,0))*1,0)</f>
      </c>
      <c r="L406" s="36">
        <f>SUMIFS(Reservas!$K$5:$K$3669,Reservas!$A$5:$A$3669,A406)</f>
      </c>
      <c r="M406" s="37">
        <f>J406-L406</f>
      </c>
      <c r="N406" s="38">
        <v>17.15</v>
      </c>
      <c r="O406" s="37">
        <f>J406*N406</f>
      </c>
      <c r="P406" s="37">
        <f>L406*N406</f>
      </c>
      <c r="Q406" s="39">
        <v>53.16671264</v>
      </c>
      <c r="R406" s="40">
        <f>J406*Q406</f>
      </c>
      <c r="S406" s="40">
        <f>L406*Q406</f>
      </c>
      <c r="T406" s="41">
        <f>IF(J406=0,0,L406/J406)</f>
      </c>
      <c r="U406" s="42">
        <f>IFERROR(INDEX(Paletes!$C$5:$C$393,MATCH(B406,Paletes!$A$5:$A$393,0)),"SEM CADASTRO")</f>
      </c>
      <c r="V406" s="36">
        <f>IFERROR(INDEX(Paletes!$D$5:$D$393,MATCH(B406,Paletes!$A$5:$A$393,0)),0)</f>
      </c>
      <c r="W406" s="43">
        <f>IF(V406=0,0,J406/V406)</f>
      </c>
      <c r="X406" s="43">
        <f>IF(V406=0,0,MAX(M406,0)/V406)</f>
      </c>
    </row>
    <row r="407" spans="1:24" x14ac:dyDescent="0.25">
      <c r="A407" s="20" t="str">
        <f>B407&amp;"."&amp;IFERROR(MID(D407,FIND("(",D407)+1,FIND(")",D407)-FIND("(",D407)-1),"")</f>
        <v>72879.16178</v>
      </c>
      <c r="B407" s="21">
        <v>72879</v>
      </c>
      <c r="C407" s="20" t="s">
        <v>407</v>
      </c>
      <c r="D407" s="20" t="s">
        <v>692</v>
      </c>
      <c r="E407" s="20">
        <v>89019</v>
      </c>
      <c r="F407" s="20" t="s">
        <v>24</v>
      </c>
      <c r="G407" s="20" t="s">
        <v>51</v>
      </c>
      <c r="H407" s="22">
        <f>IFERROR(INDEX(Linha!$B$5:$B$788,MATCH(A407,Linha!$A$5:$A$788,0)),"NÃO CADASTRADO")</f>
      </c>
      <c r="I407" s="22">
        <f>IFERROR(INDEX(Linha!$C$5:$C$788,MATCH(A407,Linha!$A$5:$A$788,0)),"-")</f>
      </c>
      <c r="J407" s="23">
        <v>1</v>
      </c>
      <c r="K407" s="24">
        <f>IFERROR(INDEX(Linha!$D$5:$D$788,MATCH(A407,Linha!$A$5:$A$788,0))*1,0)</f>
      </c>
      <c r="L407" s="24">
        <f>SUMIFS(Reservas!$K$5:$K$3669,Reservas!$A$5:$A$3669,A407)</f>
      </c>
      <c r="M407" s="25">
        <f>J407-L407</f>
      </c>
      <c r="N407" s="26">
        <v>32.175</v>
      </c>
      <c r="O407" s="25">
        <f>J407*N407</f>
      </c>
      <c r="P407" s="25">
        <f>L407*N407</f>
      </c>
      <c r="Q407" s="27">
        <v>139.34745665</v>
      </c>
      <c r="R407" s="28">
        <f>J407*Q407</f>
      </c>
      <c r="S407" s="28">
        <f>L407*Q407</f>
      </c>
      <c r="T407" s="29">
        <f>IF(J407=0,0,L407/J407)</f>
      </c>
      <c r="U407" s="30">
        <f>IFERROR(INDEX(Paletes!$C$5:$C$393,MATCH(B407,Paletes!$A$5:$A$393,0)),"SEM CADASTRO")</f>
      </c>
      <c r="V407" s="24">
        <f>IFERROR(INDEX(Paletes!$D$5:$D$393,MATCH(B407,Paletes!$A$5:$A$393,0)),0)</f>
      </c>
      <c r="W407" s="31">
        <f>IF(V407=0,0,J407/V407)</f>
      </c>
      <c r="X407" s="31">
        <f>IF(V407=0,0,MAX(M407,0)/V407)</f>
      </c>
    </row>
    <row r="408" spans="1:24" x14ac:dyDescent="0.25">
      <c r="A408" s="32" t="str">
        <f>B408&amp;"."&amp;IFERROR(MID(D408,FIND("(",D408)+1,FIND(")",D408)-FIND("(",D408)-1),"")</f>
        <v>72761.12564</v>
      </c>
      <c r="B408" s="33">
        <v>72761</v>
      </c>
      <c r="C408" s="32" t="s">
        <v>693</v>
      </c>
      <c r="D408" s="32" t="s">
        <v>694</v>
      </c>
      <c r="E408" s="32">
        <v>75047</v>
      </c>
      <c r="F408" s="32" t="s">
        <v>26</v>
      </c>
      <c r="G408" s="32" t="s">
        <v>51</v>
      </c>
      <c r="H408" s="34">
        <f>IFERROR(INDEX(Linha!$B$5:$B$788,MATCH(A408,Linha!$A$5:$A$788,0)),"NÃO CADASTRADO")</f>
      </c>
      <c r="I408" s="34">
        <f>IFERROR(INDEX(Linha!$C$5:$C$788,MATCH(A408,Linha!$A$5:$A$788,0)),"-")</f>
      </c>
      <c r="J408" s="35">
        <v>1036</v>
      </c>
      <c r="K408" s="36">
        <f>IFERROR(INDEX(Linha!$D$5:$D$788,MATCH(A408,Linha!$A$5:$A$788,0))*1,0)</f>
      </c>
      <c r="L408" s="36">
        <f>SUMIFS(Reservas!$K$5:$K$3669,Reservas!$A$5:$A$3669,A408)</f>
      </c>
      <c r="M408" s="37">
        <f>J408-L408</f>
      </c>
      <c r="N408" s="38">
        <v>9.457</v>
      </c>
      <c r="O408" s="37">
        <f>J408*N408</f>
      </c>
      <c r="P408" s="37">
        <f>L408*N408</f>
      </c>
      <c r="Q408" s="39">
        <v>44.42950803</v>
      </c>
      <c r="R408" s="40">
        <f>J408*Q408</f>
      </c>
      <c r="S408" s="40">
        <f>L408*Q408</f>
      </c>
      <c r="T408" s="41">
        <f>IF(J408=0,0,L408/J408)</f>
      </c>
      <c r="U408" s="42">
        <f>IFERROR(INDEX(Paletes!$C$5:$C$393,MATCH(B408,Paletes!$A$5:$A$393,0)),"SEM CADASTRO")</f>
      </c>
      <c r="V408" s="36">
        <f>IFERROR(INDEX(Paletes!$D$5:$D$393,MATCH(B408,Paletes!$A$5:$A$393,0)),0)</f>
      </c>
      <c r="W408" s="43">
        <f>IF(V408=0,0,J408/V408)</f>
      </c>
      <c r="X408" s="43">
        <f>IF(V408=0,0,MAX(M408,0)/V408)</f>
      </c>
    </row>
    <row r="409" spans="1:24" x14ac:dyDescent="0.25">
      <c r="A409" s="20" t="str">
        <f>B409&amp;"."&amp;IFERROR(MID(D409,FIND("(",D409)+1,FIND(")",D409)-FIND("(",D409)-1),"")</f>
        <v>73550.16668</v>
      </c>
      <c r="B409" s="21">
        <v>73550</v>
      </c>
      <c r="C409" s="20" t="s">
        <v>85</v>
      </c>
      <c r="D409" s="20" t="s">
        <v>695</v>
      </c>
      <c r="E409" s="20">
        <v>66401</v>
      </c>
      <c r="F409" s="20" t="s">
        <v>25</v>
      </c>
      <c r="G409" s="20" t="s">
        <v>51</v>
      </c>
      <c r="H409" s="22">
        <f>IFERROR(INDEX(Linha!$B$5:$B$788,MATCH(A409,Linha!$A$5:$A$788,0)),"NÃO CADASTRADO")</f>
      </c>
      <c r="I409" s="22">
        <f>IFERROR(INDEX(Linha!$C$5:$C$788,MATCH(A409,Linha!$A$5:$A$788,0)),"-")</f>
      </c>
      <c r="J409" s="23">
        <v>3</v>
      </c>
      <c r="K409" s="24">
        <f>IFERROR(INDEX(Linha!$D$5:$D$788,MATCH(A409,Linha!$A$5:$A$788,0))*1,0)</f>
      </c>
      <c r="L409" s="24">
        <f>SUMIFS(Reservas!$K$5:$K$3669,Reservas!$A$5:$A$3669,A409)</f>
      </c>
      <c r="M409" s="25">
        <f>J409-L409</f>
      </c>
      <c r="N409" s="26">
        <v>11.358</v>
      </c>
      <c r="O409" s="25">
        <f>J409*N409</f>
      </c>
      <c r="P409" s="25">
        <f>L409*N409</f>
      </c>
      <c r="Q409" s="27">
        <v>83.18530468</v>
      </c>
      <c r="R409" s="28">
        <f>J409*Q409</f>
      </c>
      <c r="S409" s="28">
        <f>L409*Q409</f>
      </c>
      <c r="T409" s="29">
        <f>IF(J409=0,0,L409/J409)</f>
      </c>
      <c r="U409" s="30">
        <f>IFERROR(INDEX(Paletes!$C$5:$C$393,MATCH(B409,Paletes!$A$5:$A$393,0)),"SEM CADASTRO")</f>
      </c>
      <c r="V409" s="24">
        <f>IFERROR(INDEX(Paletes!$D$5:$D$393,MATCH(B409,Paletes!$A$5:$A$393,0)),0)</f>
      </c>
      <c r="W409" s="31">
        <f>IF(V409=0,0,J409/V409)</f>
      </c>
      <c r="X409" s="31">
        <f>IF(V409=0,0,MAX(M409,0)/V409)</f>
      </c>
    </row>
    <row r="410" spans="1:24" x14ac:dyDescent="0.25">
      <c r="A410" s="32" t="str">
        <f>B410&amp;"."&amp;IFERROR(MID(D410,FIND("(",D410)+1,FIND(")",D410)-FIND("(",D410)-1),"")</f>
        <v>86837.88834</v>
      </c>
      <c r="B410" s="33">
        <v>86837</v>
      </c>
      <c r="C410" s="32" t="s">
        <v>696</v>
      </c>
      <c r="D410" s="32" t="s">
        <v>697</v>
      </c>
      <c r="E410" s="32">
        <v>97969</v>
      </c>
      <c r="F410" s="32" t="s">
        <v>25</v>
      </c>
      <c r="G410" s="32" t="s">
        <v>51</v>
      </c>
      <c r="H410" s="34">
        <f>IFERROR(INDEX(Linha!$B$5:$B$788,MATCH(A410,Linha!$A$5:$A$788,0)),"NÃO CADASTRADO")</f>
      </c>
      <c r="I410" s="34">
        <f>IFERROR(INDEX(Linha!$C$5:$C$788,MATCH(A410,Linha!$A$5:$A$788,0)),"-")</f>
      </c>
      <c r="J410" s="35">
        <v>5</v>
      </c>
      <c r="K410" s="36">
        <f>IFERROR(INDEX(Linha!$D$5:$D$788,MATCH(A410,Linha!$A$5:$A$788,0))*1,0)</f>
      </c>
      <c r="L410" s="36">
        <f>SUMIFS(Reservas!$K$5:$K$3669,Reservas!$A$5:$A$3669,A410)</f>
      </c>
      <c r="M410" s="37">
        <f>J410-L410</f>
      </c>
      <c r="N410" s="38">
        <v>15.6</v>
      </c>
      <c r="O410" s="37">
        <f>J410*N410</f>
      </c>
      <c r="P410" s="37">
        <f>L410*N410</f>
      </c>
      <c r="Q410" s="39">
        <v>76.98325106</v>
      </c>
      <c r="R410" s="40">
        <f>J410*Q410</f>
      </c>
      <c r="S410" s="40">
        <f>L410*Q410</f>
      </c>
      <c r="T410" s="41">
        <f>IF(J410=0,0,L410/J410)</f>
      </c>
      <c r="U410" s="42">
        <f>IFERROR(INDEX(Paletes!$C$5:$C$393,MATCH(B410,Paletes!$A$5:$A$393,0)),"SEM CADASTRO")</f>
      </c>
      <c r="V410" s="36">
        <f>IFERROR(INDEX(Paletes!$D$5:$D$393,MATCH(B410,Paletes!$A$5:$A$393,0)),0)</f>
      </c>
      <c r="W410" s="43">
        <f>IF(V410=0,0,J410/V410)</f>
      </c>
      <c r="X410" s="43">
        <f>IF(V410=0,0,MAX(M410,0)/V410)</f>
      </c>
    </row>
    <row r="411" spans="1:24" x14ac:dyDescent="0.25">
      <c r="A411" s="20" t="str">
        <f>B411&amp;"."&amp;IFERROR(MID(D411,FIND("(",D411)+1,FIND(")",D411)-FIND("(",D411)-1),"")</f>
        <v>86204.69433</v>
      </c>
      <c r="B411" s="21">
        <v>86204</v>
      </c>
      <c r="C411" s="20" t="s">
        <v>90</v>
      </c>
      <c r="D411" s="20" t="s">
        <v>698</v>
      </c>
      <c r="E411" s="20">
        <v>99703</v>
      </c>
      <c r="F411" s="20" t="s">
        <v>26</v>
      </c>
      <c r="G411" s="20" t="s">
        <v>51</v>
      </c>
      <c r="H411" s="22">
        <f>IFERROR(INDEX(Linha!$B$5:$B$788,MATCH(A411,Linha!$A$5:$A$788,0)),"NÃO CADASTRADO")</f>
      </c>
      <c r="I411" s="22">
        <f>IFERROR(INDEX(Linha!$C$5:$C$788,MATCH(A411,Linha!$A$5:$A$788,0)),"-")</f>
      </c>
      <c r="J411" s="23">
        <v>23</v>
      </c>
      <c r="K411" s="24">
        <f>IFERROR(INDEX(Linha!$D$5:$D$788,MATCH(A411,Linha!$A$5:$A$788,0))*1,0)</f>
      </c>
      <c r="L411" s="24">
        <f>SUMIFS(Reservas!$K$5:$K$3669,Reservas!$A$5:$A$3669,A411)</f>
      </c>
      <c r="M411" s="25">
        <f>J411-L411</f>
      </c>
      <c r="N411" s="26">
        <v>30.663</v>
      </c>
      <c r="O411" s="25">
        <f>J411*N411</f>
      </c>
      <c r="P411" s="25">
        <f>L411*N411</f>
      </c>
      <c r="Q411" s="27">
        <v>185.30161593</v>
      </c>
      <c r="R411" s="28">
        <f>J411*Q411</f>
      </c>
      <c r="S411" s="28">
        <f>L411*Q411</f>
      </c>
      <c r="T411" s="29">
        <f>IF(J411=0,0,L411/J411)</f>
      </c>
      <c r="U411" s="30">
        <f>IFERROR(INDEX(Paletes!$C$5:$C$393,MATCH(B411,Paletes!$A$5:$A$393,0)),"SEM CADASTRO")</f>
      </c>
      <c r="V411" s="24">
        <f>IFERROR(INDEX(Paletes!$D$5:$D$393,MATCH(B411,Paletes!$A$5:$A$393,0)),0)</f>
      </c>
      <c r="W411" s="31">
        <f>IF(V411=0,0,J411/V411)</f>
      </c>
      <c r="X411" s="31">
        <f>IF(V411=0,0,MAX(M411,0)/V411)</f>
      </c>
    </row>
    <row r="412" spans="1:24" x14ac:dyDescent="0.25">
      <c r="A412" s="32" t="str">
        <f>B412&amp;"."&amp;IFERROR(MID(D412,FIND("(",D412)+1,FIND(")",D412)-FIND("(",D412)-1),"")</f>
        <v>73164.23996</v>
      </c>
      <c r="B412" s="33">
        <v>73164</v>
      </c>
      <c r="C412" s="32" t="s">
        <v>699</v>
      </c>
      <c r="D412" s="32" t="s">
        <v>700</v>
      </c>
      <c r="E412" s="32">
        <v>87576</v>
      </c>
      <c r="F412" s="32" t="s">
        <v>24</v>
      </c>
      <c r="G412" s="32" t="s">
        <v>51</v>
      </c>
      <c r="H412" s="34">
        <f>IFERROR(INDEX(Linha!$B$5:$B$788,MATCH(A412,Linha!$A$5:$A$788,0)),"NÃO CADASTRADO")</f>
      </c>
      <c r="I412" s="34">
        <f>IFERROR(INDEX(Linha!$C$5:$C$788,MATCH(A412,Linha!$A$5:$A$788,0)),"-")</f>
      </c>
      <c r="J412" s="35">
        <v>0</v>
      </c>
      <c r="K412" s="36">
        <f>IFERROR(INDEX(Linha!$D$5:$D$788,MATCH(A412,Linha!$A$5:$A$788,0))*1,0)</f>
      </c>
      <c r="L412" s="36">
        <f>SUMIFS(Reservas!$K$5:$K$3669,Reservas!$A$5:$A$3669,A412)</f>
      </c>
      <c r="M412" s="37">
        <f>J412-L412</f>
      </c>
      <c r="N412" s="38">
        <v>22.171</v>
      </c>
      <c r="O412" s="37">
        <f>J412*N412</f>
      </c>
      <c r="P412" s="37">
        <f>L412*N412</f>
      </c>
      <c r="Q412" s="39">
        <v>89.77852013</v>
      </c>
      <c r="R412" s="40">
        <f>J412*Q412</f>
      </c>
      <c r="S412" s="40">
        <f>L412*Q412</f>
      </c>
      <c r="T412" s="41">
        <f>IF(J412=0,0,L412/J412)</f>
      </c>
      <c r="U412" s="42">
        <f>IFERROR(INDEX(Paletes!$C$5:$C$393,MATCH(B412,Paletes!$A$5:$A$393,0)),"SEM CADASTRO")</f>
      </c>
      <c r="V412" s="36">
        <f>IFERROR(INDEX(Paletes!$D$5:$D$393,MATCH(B412,Paletes!$A$5:$A$393,0)),0)</f>
      </c>
      <c r="W412" s="43">
        <f>IF(V412=0,0,J412/V412)</f>
      </c>
      <c r="X412" s="43">
        <f>IF(V412=0,0,MAX(M412,0)/V412)</f>
      </c>
    </row>
    <row r="413" spans="1:24" x14ac:dyDescent="0.25">
      <c r="A413" s="20" t="str">
        <f>B413&amp;"."&amp;IFERROR(MID(D413,FIND("(",D413)+1,FIND(")",D413)-FIND("(",D413)-1),"")</f>
        <v>2415.</v>
      </c>
      <c r="B413" s="21">
        <v>2415</v>
      </c>
      <c r="C413" s="20" t="s">
        <v>701</v>
      </c>
      <c r="D413" s="20" t="s">
        <v>89</v>
      </c>
      <c r="E413" s="20">
        <v>65942</v>
      </c>
      <c r="F413" s="20" t="s">
        <v>26</v>
      </c>
      <c r="G413" s="20" t="s">
        <v>51</v>
      </c>
      <c r="H413" s="22">
        <f>IFERROR(INDEX(Linha!$B$5:$B$788,MATCH(A413,Linha!$A$5:$A$788,0)),"NÃO CADASTRADO")</f>
      </c>
      <c r="I413" s="22">
        <f>IFERROR(INDEX(Linha!$C$5:$C$788,MATCH(A413,Linha!$A$5:$A$788,0)),"-")</f>
      </c>
      <c r="J413" s="23">
        <v>0</v>
      </c>
      <c r="K413" s="24">
        <f>IFERROR(INDEX(Linha!$D$5:$D$788,MATCH(A413,Linha!$A$5:$A$788,0))*1,0)</f>
      </c>
      <c r="L413" s="24">
        <f>SUMIFS(Reservas!$K$5:$K$3669,Reservas!$A$5:$A$3669,A413)</f>
      </c>
      <c r="M413" s="25">
        <f>J413-L413</f>
      </c>
      <c r="N413" s="26">
        <v>2.281</v>
      </c>
      <c r="O413" s="25">
        <f>J413*N413</f>
      </c>
      <c r="P413" s="25">
        <f>L413*N413</f>
      </c>
      <c r="Q413" s="27">
        <v>20.35634315</v>
      </c>
      <c r="R413" s="28">
        <f>J413*Q413</f>
      </c>
      <c r="S413" s="28">
        <f>L413*Q413</f>
      </c>
      <c r="T413" s="29">
        <f>IF(J413=0,0,L413/J413)</f>
      </c>
      <c r="U413" s="30">
        <f>IFERROR(INDEX(Paletes!$C$5:$C$393,MATCH(B413,Paletes!$A$5:$A$393,0)),"SEM CADASTRO")</f>
      </c>
      <c r="V413" s="24">
        <f>IFERROR(INDEX(Paletes!$D$5:$D$393,MATCH(B413,Paletes!$A$5:$A$393,0)),0)</f>
      </c>
      <c r="W413" s="31">
        <f>IF(V413=0,0,J413/V413)</f>
      </c>
      <c r="X413" s="31">
        <f>IF(V413=0,0,MAX(M413,0)/V413)</f>
      </c>
    </row>
    <row r="414" spans="1:24" x14ac:dyDescent="0.25">
      <c r="A414" s="32" t="str">
        <f>B414&amp;"."&amp;IFERROR(MID(D414,FIND("(",D414)+1,FIND(")",D414)-FIND("(",D414)-1),"")</f>
        <v>73233.15555</v>
      </c>
      <c r="B414" s="33">
        <v>73233</v>
      </c>
      <c r="C414" s="32" t="s">
        <v>702</v>
      </c>
      <c r="D414" s="32" t="s">
        <v>703</v>
      </c>
      <c r="E414" s="32">
        <v>87247</v>
      </c>
      <c r="F414" s="32" t="s">
        <v>25</v>
      </c>
      <c r="G414" s="32" t="s">
        <v>51</v>
      </c>
      <c r="H414" s="34">
        <f>IFERROR(INDEX(Linha!$B$5:$B$788,MATCH(A414,Linha!$A$5:$A$788,0)),"NÃO CADASTRADO")</f>
      </c>
      <c r="I414" s="34">
        <f>IFERROR(INDEX(Linha!$C$5:$C$788,MATCH(A414,Linha!$A$5:$A$788,0)),"-")</f>
      </c>
      <c r="J414" s="35">
        <v>0</v>
      </c>
      <c r="K414" s="36">
        <f>IFERROR(INDEX(Linha!$D$5:$D$788,MATCH(A414,Linha!$A$5:$A$788,0))*1,0)</f>
      </c>
      <c r="L414" s="36">
        <f>SUMIFS(Reservas!$K$5:$K$3669,Reservas!$A$5:$A$3669,A414)</f>
      </c>
      <c r="M414" s="37">
        <f>J414-L414</f>
      </c>
      <c r="N414" s="38">
        <v>15.327</v>
      </c>
      <c r="O414" s="37">
        <f>J414*N414</f>
      </c>
      <c r="P414" s="37">
        <f>L414*N414</f>
      </c>
      <c r="Q414" s="39">
        <v>60.71187935</v>
      </c>
      <c r="R414" s="40">
        <f>J414*Q414</f>
      </c>
      <c r="S414" s="40">
        <f>L414*Q414</f>
      </c>
      <c r="T414" s="41">
        <f>IF(J414=0,0,L414/J414)</f>
      </c>
      <c r="U414" s="42">
        <f>IFERROR(INDEX(Paletes!$C$5:$C$393,MATCH(B414,Paletes!$A$5:$A$393,0)),"SEM CADASTRO")</f>
      </c>
      <c r="V414" s="36">
        <f>IFERROR(INDEX(Paletes!$D$5:$D$393,MATCH(B414,Paletes!$A$5:$A$393,0)),0)</f>
      </c>
      <c r="W414" s="43">
        <f>IF(V414=0,0,J414/V414)</f>
      </c>
      <c r="X414" s="43">
        <f>IF(V414=0,0,MAX(M414,0)/V414)</f>
      </c>
    </row>
    <row r="415" spans="1:24" x14ac:dyDescent="0.25">
      <c r="A415" s="20" t="str">
        <f>B415&amp;"."&amp;IFERROR(MID(D415,FIND("(",D415)+1,FIND(")",D415)-FIND("(",D415)-1),"")</f>
        <v>73255.15557</v>
      </c>
      <c r="B415" s="21">
        <v>73255</v>
      </c>
      <c r="C415" s="20" t="s">
        <v>704</v>
      </c>
      <c r="D415" s="20" t="s">
        <v>705</v>
      </c>
      <c r="E415" s="20">
        <v>87326</v>
      </c>
      <c r="F415" s="20" t="s">
        <v>25</v>
      </c>
      <c r="G415" s="20" t="s">
        <v>51</v>
      </c>
      <c r="H415" s="22">
        <f>IFERROR(INDEX(Linha!$B$5:$B$788,MATCH(A415,Linha!$A$5:$A$788,0)),"NÃO CADASTRADO")</f>
      </c>
      <c r="I415" s="22">
        <f>IFERROR(INDEX(Linha!$C$5:$C$788,MATCH(A415,Linha!$A$5:$A$788,0)),"-")</f>
      </c>
      <c r="J415" s="23">
        <v>0</v>
      </c>
      <c r="K415" s="24">
        <f>IFERROR(INDEX(Linha!$D$5:$D$788,MATCH(A415,Linha!$A$5:$A$788,0))*1,0)</f>
      </c>
      <c r="L415" s="24">
        <f>SUMIFS(Reservas!$K$5:$K$3669,Reservas!$A$5:$A$3669,A415)</f>
      </c>
      <c r="M415" s="25">
        <f>J415-L415</f>
      </c>
      <c r="N415" s="26">
        <v>15.834</v>
      </c>
      <c r="O415" s="25">
        <f>J415*N415</f>
      </c>
      <c r="P415" s="25">
        <f>L415*N415</f>
      </c>
      <c r="Q415" s="27">
        <v>98.90977867</v>
      </c>
      <c r="R415" s="28">
        <f>J415*Q415</f>
      </c>
      <c r="S415" s="28">
        <f>L415*Q415</f>
      </c>
      <c r="T415" s="29">
        <f>IF(J415=0,0,L415/J415)</f>
      </c>
      <c r="U415" s="30">
        <f>IFERROR(INDEX(Paletes!$C$5:$C$393,MATCH(B415,Paletes!$A$5:$A$393,0)),"SEM CADASTRO")</f>
      </c>
      <c r="V415" s="24">
        <f>IFERROR(INDEX(Paletes!$D$5:$D$393,MATCH(B415,Paletes!$A$5:$A$393,0)),0)</f>
      </c>
      <c r="W415" s="31">
        <f>IF(V415=0,0,J415/V415)</f>
      </c>
      <c r="X415" s="31">
        <f>IF(V415=0,0,MAX(M415,0)/V415)</f>
      </c>
    </row>
    <row r="416" spans="1:24" x14ac:dyDescent="0.25">
      <c r="A416" s="32" t="str">
        <f>B416&amp;"."&amp;IFERROR(MID(D416,FIND("(",D416)+1,FIND(")",D416)-FIND("(",D416)-1),"")</f>
        <v>75871.13619</v>
      </c>
      <c r="B416" s="33">
        <v>75871</v>
      </c>
      <c r="C416" s="32" t="s">
        <v>95</v>
      </c>
      <c r="D416" s="32" t="s">
        <v>706</v>
      </c>
      <c r="E416" s="32">
        <v>91885</v>
      </c>
      <c r="F416" s="32" t="s">
        <v>26</v>
      </c>
      <c r="G416" s="32" t="s">
        <v>51</v>
      </c>
      <c r="H416" s="34">
        <f>IFERROR(INDEX(Linha!$B$5:$B$788,MATCH(A416,Linha!$A$5:$A$788,0)),"NÃO CADASTRADO")</f>
      </c>
      <c r="I416" s="34">
        <f>IFERROR(INDEX(Linha!$C$5:$C$788,MATCH(A416,Linha!$A$5:$A$788,0)),"-")</f>
      </c>
      <c r="J416" s="35">
        <v>171</v>
      </c>
      <c r="K416" s="36">
        <f>IFERROR(INDEX(Linha!$D$5:$D$788,MATCH(A416,Linha!$A$5:$A$788,0))*1,0)</f>
      </c>
      <c r="L416" s="36">
        <f>SUMIFS(Reservas!$K$5:$K$3669,Reservas!$A$5:$A$3669,A416)</f>
      </c>
      <c r="M416" s="37">
        <f>J416-L416</f>
      </c>
      <c r="N416" s="38">
        <v>17.062</v>
      </c>
      <c r="O416" s="37">
        <f>J416*N416</f>
      </c>
      <c r="P416" s="37">
        <f>L416*N416</f>
      </c>
      <c r="Q416" s="39">
        <v>34.47029991</v>
      </c>
      <c r="R416" s="40">
        <f>J416*Q416</f>
      </c>
      <c r="S416" s="40">
        <f>L416*Q416</f>
      </c>
      <c r="T416" s="41">
        <f>IF(J416=0,0,L416/J416)</f>
      </c>
      <c r="U416" s="42">
        <f>IFERROR(INDEX(Paletes!$C$5:$C$393,MATCH(B416,Paletes!$A$5:$A$393,0)),"SEM CADASTRO")</f>
      </c>
      <c r="V416" s="36">
        <f>IFERROR(INDEX(Paletes!$D$5:$D$393,MATCH(B416,Paletes!$A$5:$A$393,0)),0)</f>
      </c>
      <c r="W416" s="43">
        <f>IF(V416=0,0,J416/V416)</f>
      </c>
      <c r="X416" s="43">
        <f>IF(V416=0,0,MAX(M416,0)/V416)</f>
      </c>
    </row>
    <row r="417" spans="1:24" x14ac:dyDescent="0.25">
      <c r="A417" s="20" t="str">
        <f>B417&amp;"."&amp;IFERROR(MID(D417,FIND("(",D417)+1,FIND(")",D417)-FIND("(",D417)-1),"")</f>
        <v>74632.32093</v>
      </c>
      <c r="B417" s="21">
        <v>74632</v>
      </c>
      <c r="C417" s="20" t="s">
        <v>97</v>
      </c>
      <c r="D417" s="20" t="s">
        <v>707</v>
      </c>
      <c r="E417" s="20">
        <v>81398</v>
      </c>
      <c r="F417" s="20" t="s">
        <v>24</v>
      </c>
      <c r="G417" s="20" t="s">
        <v>51</v>
      </c>
      <c r="H417" s="22">
        <f>IFERROR(INDEX(Linha!$B$5:$B$788,MATCH(A417,Linha!$A$5:$A$788,0)),"NÃO CADASTRADO")</f>
      </c>
      <c r="I417" s="22">
        <f>IFERROR(INDEX(Linha!$C$5:$C$788,MATCH(A417,Linha!$A$5:$A$788,0)),"-")</f>
      </c>
      <c r="J417" s="23">
        <v>0</v>
      </c>
      <c r="K417" s="24">
        <f>IFERROR(INDEX(Linha!$D$5:$D$788,MATCH(A417,Linha!$A$5:$A$788,0))*1,0)</f>
      </c>
      <c r="L417" s="24">
        <f>SUMIFS(Reservas!$K$5:$K$3669,Reservas!$A$5:$A$3669,A417)</f>
      </c>
      <c r="M417" s="25">
        <f>J417-L417</f>
      </c>
      <c r="N417" s="26">
        <v>18.78</v>
      </c>
      <c r="O417" s="25">
        <f>J417*N417</f>
      </c>
      <c r="P417" s="25">
        <f>L417*N417</f>
      </c>
      <c r="Q417" s="27">
        <v>121.66146467</v>
      </c>
      <c r="R417" s="28">
        <f>J417*Q417</f>
      </c>
      <c r="S417" s="28">
        <f>L417*Q417</f>
      </c>
      <c r="T417" s="29">
        <f>IF(J417=0,0,L417/J417)</f>
      </c>
      <c r="U417" s="30">
        <f>IFERROR(INDEX(Paletes!$C$5:$C$393,MATCH(B417,Paletes!$A$5:$A$393,0)),"SEM CADASTRO")</f>
      </c>
      <c r="V417" s="24">
        <f>IFERROR(INDEX(Paletes!$D$5:$D$393,MATCH(B417,Paletes!$A$5:$A$393,0)),0)</f>
      </c>
      <c r="W417" s="31">
        <f>IF(V417=0,0,J417/V417)</f>
      </c>
      <c r="X417" s="31">
        <f>IF(V417=0,0,MAX(M417,0)/V417)</f>
      </c>
    </row>
    <row r="418" spans="1:24" x14ac:dyDescent="0.25">
      <c r="A418" s="32" t="str">
        <f>B418&amp;"."&amp;IFERROR(MID(D418,FIND("(",D418)+1,FIND(")",D418)-FIND("(",D418)-1),"")</f>
        <v>2253.15568</v>
      </c>
      <c r="B418" s="33">
        <v>2253</v>
      </c>
      <c r="C418" s="32" t="s">
        <v>426</v>
      </c>
      <c r="D418" s="32" t="s">
        <v>708</v>
      </c>
      <c r="E418" s="32">
        <v>86810</v>
      </c>
      <c r="F418" s="32" t="s">
        <v>26</v>
      </c>
      <c r="G418" s="32" t="s">
        <v>51</v>
      </c>
      <c r="H418" s="34">
        <f>IFERROR(INDEX(Linha!$B$5:$B$788,MATCH(A418,Linha!$A$5:$A$788,0)),"NÃO CADASTRADO")</f>
      </c>
      <c r="I418" s="34">
        <f>IFERROR(INDEX(Linha!$C$5:$C$788,MATCH(A418,Linha!$A$5:$A$788,0)),"-")</f>
      </c>
      <c r="J418" s="35">
        <v>0</v>
      </c>
      <c r="K418" s="36">
        <f>IFERROR(INDEX(Linha!$D$5:$D$788,MATCH(A418,Linha!$A$5:$A$788,0))*1,0)</f>
      </c>
      <c r="L418" s="36">
        <f>SUMIFS(Reservas!$K$5:$K$3669,Reservas!$A$5:$A$3669,A418)</f>
      </c>
      <c r="M418" s="37">
        <f>J418-L418</f>
      </c>
      <c r="N418" s="38">
        <v>55.672</v>
      </c>
      <c r="O418" s="37">
        <f>J418*N418</f>
      </c>
      <c r="P418" s="37">
        <f>L418*N418</f>
      </c>
      <c r="Q418" s="39">
        <v>272.46165506</v>
      </c>
      <c r="R418" s="40">
        <f>J418*Q418</f>
      </c>
      <c r="S418" s="40">
        <f>L418*Q418</f>
      </c>
      <c r="T418" s="41">
        <f>IF(J418=0,0,L418/J418)</f>
      </c>
      <c r="U418" s="42">
        <f>IFERROR(INDEX(Paletes!$C$5:$C$393,MATCH(B418,Paletes!$A$5:$A$393,0)),"SEM CADASTRO")</f>
      </c>
      <c r="V418" s="36">
        <f>IFERROR(INDEX(Paletes!$D$5:$D$393,MATCH(B418,Paletes!$A$5:$A$393,0)),0)</f>
      </c>
      <c r="W418" s="43">
        <f>IF(V418=0,0,J418/V418)</f>
      </c>
      <c r="X418" s="43">
        <f>IF(V418=0,0,MAX(M418,0)/V418)</f>
      </c>
    </row>
    <row r="419" spans="1:24" x14ac:dyDescent="0.25">
      <c r="A419" s="20" t="str">
        <f>B419&amp;"."&amp;IFERROR(MID(D419,FIND("(",D419)+1,FIND(")",D419)-FIND("(",D419)-1),"")</f>
        <v>73994.15619</v>
      </c>
      <c r="B419" s="21">
        <v>73994</v>
      </c>
      <c r="C419" s="20" t="s">
        <v>264</v>
      </c>
      <c r="D419" s="20" t="s">
        <v>709</v>
      </c>
      <c r="E419" s="20">
        <v>53932</v>
      </c>
      <c r="F419" s="20" t="s">
        <v>26</v>
      </c>
      <c r="G419" s="20" t="s">
        <v>51</v>
      </c>
      <c r="H419" s="22">
        <f>IFERROR(INDEX(Linha!$B$5:$B$788,MATCH(A419,Linha!$A$5:$A$788,0)),"NÃO CADASTRADO")</f>
      </c>
      <c r="I419" s="22">
        <f>IFERROR(INDEX(Linha!$C$5:$C$788,MATCH(A419,Linha!$A$5:$A$788,0)),"-")</f>
      </c>
      <c r="J419" s="23">
        <v>5</v>
      </c>
      <c r="K419" s="24">
        <f>IFERROR(INDEX(Linha!$D$5:$D$788,MATCH(A419,Linha!$A$5:$A$788,0))*1,0)</f>
      </c>
      <c r="L419" s="24">
        <f>SUMIFS(Reservas!$K$5:$K$3669,Reservas!$A$5:$A$3669,A419)</f>
      </c>
      <c r="M419" s="25">
        <f>J419-L419</f>
      </c>
      <c r="N419" s="26">
        <v>28.08</v>
      </c>
      <c r="O419" s="25">
        <f>J419*N419</f>
      </c>
      <c r="P419" s="25">
        <f>L419*N419</f>
      </c>
      <c r="Q419" s="27">
        <v>103.6531438</v>
      </c>
      <c r="R419" s="28">
        <f>J419*Q419</f>
      </c>
      <c r="S419" s="28">
        <f>L419*Q419</f>
      </c>
      <c r="T419" s="29">
        <f>IF(J419=0,0,L419/J419)</f>
      </c>
      <c r="U419" s="30">
        <f>IFERROR(INDEX(Paletes!$C$5:$C$393,MATCH(B419,Paletes!$A$5:$A$393,0)),"SEM CADASTRO")</f>
      </c>
      <c r="V419" s="24">
        <f>IFERROR(INDEX(Paletes!$D$5:$D$393,MATCH(B419,Paletes!$A$5:$A$393,0)),0)</f>
      </c>
      <c r="W419" s="31">
        <f>IF(V419=0,0,J419/V419)</f>
      </c>
      <c r="X419" s="31">
        <f>IF(V419=0,0,MAX(M419,0)/V419)</f>
      </c>
    </row>
    <row r="420" spans="1:24" x14ac:dyDescent="0.25">
      <c r="A420" s="32" t="str">
        <f>B420&amp;"."&amp;IFERROR(MID(D420,FIND("(",D420)+1,FIND(")",D420)-FIND("(",D420)-1),"")</f>
        <v>74198.31907</v>
      </c>
      <c r="B420" s="33">
        <v>74198</v>
      </c>
      <c r="C420" s="32" t="s">
        <v>566</v>
      </c>
      <c r="D420" s="32" t="s">
        <v>710</v>
      </c>
      <c r="E420" s="32">
        <v>59225</v>
      </c>
      <c r="F420" s="32" t="s">
        <v>24</v>
      </c>
      <c r="G420" s="32" t="s">
        <v>51</v>
      </c>
      <c r="H420" s="34">
        <f>IFERROR(INDEX(Linha!$B$5:$B$788,MATCH(A420,Linha!$A$5:$A$788,0)),"NÃO CADASTRADO")</f>
      </c>
      <c r="I420" s="34">
        <f>IFERROR(INDEX(Linha!$C$5:$C$788,MATCH(A420,Linha!$A$5:$A$788,0)),"-")</f>
      </c>
      <c r="J420" s="35">
        <v>160</v>
      </c>
      <c r="K420" s="36">
        <f>IFERROR(INDEX(Linha!$D$5:$D$788,MATCH(A420,Linha!$A$5:$A$788,0))*1,0)</f>
      </c>
      <c r="L420" s="36">
        <f>SUMIFS(Reservas!$K$5:$K$3669,Reservas!$A$5:$A$3669,A420)</f>
      </c>
      <c r="M420" s="37">
        <f>J420-L420</f>
      </c>
      <c r="N420" s="38">
        <v>14.87</v>
      </c>
      <c r="O420" s="37">
        <f>J420*N420</f>
      </c>
      <c r="P420" s="37">
        <f>L420*N420</f>
      </c>
      <c r="Q420" s="39">
        <v>80.65443079</v>
      </c>
      <c r="R420" s="40">
        <f>J420*Q420</f>
      </c>
      <c r="S420" s="40">
        <f>L420*Q420</f>
      </c>
      <c r="T420" s="41">
        <f>IF(J420=0,0,L420/J420)</f>
      </c>
      <c r="U420" s="42">
        <f>IFERROR(INDEX(Paletes!$C$5:$C$393,MATCH(B420,Paletes!$A$5:$A$393,0)),"SEM CADASTRO")</f>
      </c>
      <c r="V420" s="36">
        <f>IFERROR(INDEX(Paletes!$D$5:$D$393,MATCH(B420,Paletes!$A$5:$A$393,0)),0)</f>
      </c>
      <c r="W420" s="43">
        <f>IF(V420=0,0,J420/V420)</f>
      </c>
      <c r="X420" s="43">
        <f>IF(V420=0,0,MAX(M420,0)/V420)</f>
      </c>
    </row>
    <row r="421" spans="1:24" x14ac:dyDescent="0.25">
      <c r="A421" s="20" t="str">
        <f>B421&amp;"."&amp;IFERROR(MID(D421,FIND("(",D421)+1,FIND(")",D421)-FIND("(",D421)-1),"")</f>
        <v>2379.16432</v>
      </c>
      <c r="B421" s="21">
        <v>2379</v>
      </c>
      <c r="C421" s="20" t="s">
        <v>711</v>
      </c>
      <c r="D421" s="20" t="s">
        <v>712</v>
      </c>
      <c r="E421" s="20">
        <v>76420</v>
      </c>
      <c r="F421" s="20" t="s">
        <v>24</v>
      </c>
      <c r="G421" s="20" t="s">
        <v>51</v>
      </c>
      <c r="H421" s="22">
        <f>IFERROR(INDEX(Linha!$B$5:$B$788,MATCH(A421,Linha!$A$5:$A$788,0)),"NÃO CADASTRADO")</f>
      </c>
      <c r="I421" s="22">
        <f>IFERROR(INDEX(Linha!$C$5:$C$788,MATCH(A421,Linha!$A$5:$A$788,0)),"-")</f>
      </c>
      <c r="J421" s="23">
        <v>18</v>
      </c>
      <c r="K421" s="24">
        <f>IFERROR(INDEX(Linha!$D$5:$D$788,MATCH(A421,Linha!$A$5:$A$788,0))*1,0)</f>
      </c>
      <c r="L421" s="24">
        <f>SUMIFS(Reservas!$K$5:$K$3669,Reservas!$A$5:$A$3669,A421)</f>
      </c>
      <c r="M421" s="25">
        <f>J421-L421</f>
      </c>
      <c r="N421" s="26">
        <v>34.612</v>
      </c>
      <c r="O421" s="25">
        <f>J421*N421</f>
      </c>
      <c r="P421" s="25">
        <f>L421*N421</f>
      </c>
      <c r="Q421" s="27">
        <v>133.12620337</v>
      </c>
      <c r="R421" s="28">
        <f>J421*Q421</f>
      </c>
      <c r="S421" s="28">
        <f>L421*Q421</f>
      </c>
      <c r="T421" s="29">
        <f>IF(J421=0,0,L421/J421)</f>
      </c>
      <c r="U421" s="30">
        <f>IFERROR(INDEX(Paletes!$C$5:$C$393,MATCH(B421,Paletes!$A$5:$A$393,0)),"SEM CADASTRO")</f>
      </c>
      <c r="V421" s="24">
        <f>IFERROR(INDEX(Paletes!$D$5:$D$393,MATCH(B421,Paletes!$A$5:$A$393,0)),0)</f>
      </c>
      <c r="W421" s="31">
        <f>IF(V421=0,0,J421/V421)</f>
      </c>
      <c r="X421" s="31">
        <f>IF(V421=0,0,MAX(M421,0)/V421)</f>
      </c>
    </row>
    <row r="422" spans="1:24" x14ac:dyDescent="0.25">
      <c r="A422" s="32" t="str">
        <f>B422&amp;"."&amp;IFERROR(MID(D422,FIND("(",D422)+1,FIND(")",D422)-FIND("(",D422)-1),"")</f>
        <v>72659.16289</v>
      </c>
      <c r="B422" s="33">
        <v>72659</v>
      </c>
      <c r="C422" s="32" t="s">
        <v>713</v>
      </c>
      <c r="D422" s="32" t="s">
        <v>714</v>
      </c>
      <c r="E422" s="32">
        <v>87139</v>
      </c>
      <c r="F422" s="32" t="s">
        <v>25</v>
      </c>
      <c r="G422" s="32" t="s">
        <v>51</v>
      </c>
      <c r="H422" s="34">
        <f>IFERROR(INDEX(Linha!$B$5:$B$788,MATCH(A422,Linha!$A$5:$A$788,0)),"NÃO CADASTRADO")</f>
      </c>
      <c r="I422" s="34">
        <f>IFERROR(INDEX(Linha!$C$5:$C$788,MATCH(A422,Linha!$A$5:$A$788,0)),"-")</f>
      </c>
      <c r="J422" s="35">
        <v>0</v>
      </c>
      <c r="K422" s="36">
        <f>IFERROR(INDEX(Linha!$D$5:$D$788,MATCH(A422,Linha!$A$5:$A$788,0))*1,0)</f>
      </c>
      <c r="L422" s="36">
        <f>SUMIFS(Reservas!$K$5:$K$3669,Reservas!$A$5:$A$3669,A422)</f>
      </c>
      <c r="M422" s="37">
        <f>J422-L422</f>
      </c>
      <c r="N422" s="38">
        <v>9.301</v>
      </c>
      <c r="O422" s="37">
        <f>J422*N422</f>
      </c>
      <c r="P422" s="37">
        <f>L422*N422</f>
      </c>
      <c r="Q422" s="39">
        <v>35.10147792</v>
      </c>
      <c r="R422" s="40">
        <f>J422*Q422</f>
      </c>
      <c r="S422" s="40">
        <f>L422*Q422</f>
      </c>
      <c r="T422" s="41">
        <f>IF(J422=0,0,L422/J422)</f>
      </c>
      <c r="U422" s="42">
        <f>IFERROR(INDEX(Paletes!$C$5:$C$393,MATCH(B422,Paletes!$A$5:$A$393,0)),"SEM CADASTRO")</f>
      </c>
      <c r="V422" s="36">
        <f>IFERROR(INDEX(Paletes!$D$5:$D$393,MATCH(B422,Paletes!$A$5:$A$393,0)),0)</f>
      </c>
      <c r="W422" s="43">
        <f>IF(V422=0,0,J422/V422)</f>
      </c>
      <c r="X422" s="43">
        <f>IF(V422=0,0,MAX(M422,0)/V422)</f>
      </c>
    </row>
    <row r="423" spans="1:24" x14ac:dyDescent="0.25">
      <c r="A423" s="20" t="str">
        <f>B423&amp;"."&amp;IFERROR(MID(D423,FIND("(",D423)+1,FIND(")",D423)-FIND("(",D423)-1),"")</f>
        <v>84498.31393</v>
      </c>
      <c r="B423" s="21">
        <v>84498</v>
      </c>
      <c r="C423" s="20" t="s">
        <v>715</v>
      </c>
      <c r="D423" s="20" t="s">
        <v>716</v>
      </c>
      <c r="E423" s="20">
        <v>96469</v>
      </c>
      <c r="F423" s="20" t="s">
        <v>26</v>
      </c>
      <c r="G423" s="20" t="s">
        <v>51</v>
      </c>
      <c r="H423" s="22">
        <f>IFERROR(INDEX(Linha!$B$5:$B$788,MATCH(A423,Linha!$A$5:$A$788,0)),"NÃO CADASTRADO")</f>
      </c>
      <c r="I423" s="22">
        <f>IFERROR(INDEX(Linha!$C$5:$C$788,MATCH(A423,Linha!$A$5:$A$788,0)),"-")</f>
      </c>
      <c r="J423" s="23">
        <v>0</v>
      </c>
      <c r="K423" s="24">
        <f>IFERROR(INDEX(Linha!$D$5:$D$788,MATCH(A423,Linha!$A$5:$A$788,0))*1,0)</f>
      </c>
      <c r="L423" s="24">
        <f>SUMIFS(Reservas!$K$5:$K$3669,Reservas!$A$5:$A$3669,A423)</f>
      </c>
      <c r="M423" s="25">
        <f>J423-L423</f>
      </c>
      <c r="N423" s="26">
        <v>45.22</v>
      </c>
      <c r="O423" s="25">
        <f>J423*N423</f>
      </c>
      <c r="P423" s="25">
        <f>L423*N423</f>
      </c>
      <c r="Q423" s="27">
        <v>219.17938637</v>
      </c>
      <c r="R423" s="28">
        <f>J423*Q423</f>
      </c>
      <c r="S423" s="28">
        <f>L423*Q423</f>
      </c>
      <c r="T423" s="29">
        <f>IF(J423=0,0,L423/J423)</f>
      </c>
      <c r="U423" s="30">
        <f>IFERROR(INDEX(Paletes!$C$5:$C$393,MATCH(B423,Paletes!$A$5:$A$393,0)),"SEM CADASTRO")</f>
      </c>
      <c r="V423" s="24">
        <f>IFERROR(INDEX(Paletes!$D$5:$D$393,MATCH(B423,Paletes!$A$5:$A$393,0)),0)</f>
      </c>
      <c r="W423" s="31">
        <f>IF(V423=0,0,J423/V423)</f>
      </c>
      <c r="X423" s="31">
        <f>IF(V423=0,0,MAX(M423,0)/V423)</f>
      </c>
    </row>
    <row r="424" spans="1:24" x14ac:dyDescent="0.25">
      <c r="A424" s="32" t="str">
        <f>B424&amp;"."&amp;IFERROR(MID(D424,FIND("(",D424)+1,FIND(")",D424)-FIND("(",D424)-1),"")</f>
        <v>81942.32035</v>
      </c>
      <c r="B424" s="33">
        <v>81942</v>
      </c>
      <c r="C424" s="32" t="s">
        <v>433</v>
      </c>
      <c r="D424" s="32" t="s">
        <v>717</v>
      </c>
      <c r="E424" s="32">
        <v>93692</v>
      </c>
      <c r="F424" s="32" t="s">
        <v>24</v>
      </c>
      <c r="G424" s="32" t="s">
        <v>51</v>
      </c>
      <c r="H424" s="34">
        <f>IFERROR(INDEX(Linha!$B$5:$B$788,MATCH(A424,Linha!$A$5:$A$788,0)),"NÃO CADASTRADO")</f>
      </c>
      <c r="I424" s="34">
        <f>IFERROR(INDEX(Linha!$C$5:$C$788,MATCH(A424,Linha!$A$5:$A$788,0)),"-")</f>
      </c>
      <c r="J424" s="35">
        <v>0</v>
      </c>
      <c r="K424" s="36">
        <f>IFERROR(INDEX(Linha!$D$5:$D$788,MATCH(A424,Linha!$A$5:$A$788,0))*1,0)</f>
      </c>
      <c r="L424" s="36">
        <f>SUMIFS(Reservas!$K$5:$K$3669,Reservas!$A$5:$A$3669,A424)</f>
      </c>
      <c r="M424" s="37">
        <f>J424-L424</f>
      </c>
      <c r="N424" s="38">
        <v>24.862</v>
      </c>
      <c r="O424" s="37">
        <f>J424*N424</f>
      </c>
      <c r="P424" s="37">
        <f>L424*N424</f>
      </c>
      <c r="Q424" s="39">
        <v>87.42121651</v>
      </c>
      <c r="R424" s="40">
        <f>J424*Q424</f>
      </c>
      <c r="S424" s="40">
        <f>L424*Q424</f>
      </c>
      <c r="T424" s="41">
        <f>IF(J424=0,0,L424/J424)</f>
      </c>
      <c r="U424" s="42">
        <f>IFERROR(INDEX(Paletes!$C$5:$C$393,MATCH(B424,Paletes!$A$5:$A$393,0)),"SEM CADASTRO")</f>
      </c>
      <c r="V424" s="36">
        <f>IFERROR(INDEX(Paletes!$D$5:$D$393,MATCH(B424,Paletes!$A$5:$A$393,0)),0)</f>
      </c>
      <c r="W424" s="43">
        <f>IF(V424=0,0,J424/V424)</f>
      </c>
      <c r="X424" s="43">
        <f>IF(V424=0,0,MAX(M424,0)/V424)</f>
      </c>
    </row>
    <row r="425" spans="1:24" x14ac:dyDescent="0.25">
      <c r="A425" s="20" t="str">
        <f>B425&amp;"."&amp;IFERROR(MID(D425,FIND("(",D425)+1,FIND(")",D425)-FIND("(",D425)-1),"")</f>
        <v>81941.31365</v>
      </c>
      <c r="B425" s="21">
        <v>81941</v>
      </c>
      <c r="C425" s="20" t="s">
        <v>271</v>
      </c>
      <c r="D425" s="20" t="s">
        <v>718</v>
      </c>
      <c r="E425" s="20">
        <v>93691</v>
      </c>
      <c r="F425" s="20" t="s">
        <v>24</v>
      </c>
      <c r="G425" s="20" t="s">
        <v>51</v>
      </c>
      <c r="H425" s="22">
        <f>IFERROR(INDEX(Linha!$B$5:$B$788,MATCH(A425,Linha!$A$5:$A$788,0)),"NÃO CADASTRADO")</f>
      </c>
      <c r="I425" s="22">
        <f>IFERROR(INDEX(Linha!$C$5:$C$788,MATCH(A425,Linha!$A$5:$A$788,0)),"-")</f>
      </c>
      <c r="J425" s="23">
        <v>1</v>
      </c>
      <c r="K425" s="24">
        <f>IFERROR(INDEX(Linha!$D$5:$D$788,MATCH(A425,Linha!$A$5:$A$788,0))*1,0)</f>
      </c>
      <c r="L425" s="24">
        <f>SUMIFS(Reservas!$K$5:$K$3669,Reservas!$A$5:$A$3669,A425)</f>
      </c>
      <c r="M425" s="25">
        <f>J425-L425</f>
      </c>
      <c r="N425" s="26">
        <v>44.85</v>
      </c>
      <c r="O425" s="25">
        <f>J425*N425</f>
      </c>
      <c r="P425" s="25">
        <f>L425*N425</f>
      </c>
      <c r="Q425" s="27">
        <v>181.94493958</v>
      </c>
      <c r="R425" s="28">
        <f>J425*Q425</f>
      </c>
      <c r="S425" s="28">
        <f>L425*Q425</f>
      </c>
      <c r="T425" s="29">
        <f>IF(J425=0,0,L425/J425)</f>
      </c>
      <c r="U425" s="30">
        <f>IFERROR(INDEX(Paletes!$C$5:$C$393,MATCH(B425,Paletes!$A$5:$A$393,0)),"SEM CADASTRO")</f>
      </c>
      <c r="V425" s="24">
        <f>IFERROR(INDEX(Paletes!$D$5:$D$393,MATCH(B425,Paletes!$A$5:$A$393,0)),0)</f>
      </c>
      <c r="W425" s="31">
        <f>IF(V425=0,0,J425/V425)</f>
      </c>
      <c r="X425" s="31">
        <f>IF(V425=0,0,MAX(M425,0)/V425)</f>
      </c>
    </row>
    <row r="426" spans="1:24" x14ac:dyDescent="0.25">
      <c r="A426" s="32" t="str">
        <f>B426&amp;"."&amp;IFERROR(MID(D426,FIND("(",D426)+1,FIND(")",D426)-FIND("(",D426)-1),"")</f>
        <v>72765.16014</v>
      </c>
      <c r="B426" s="33">
        <v>72765</v>
      </c>
      <c r="C426" s="32" t="s">
        <v>574</v>
      </c>
      <c r="D426" s="32" t="s">
        <v>719</v>
      </c>
      <c r="E426" s="32">
        <v>87850</v>
      </c>
      <c r="F426" s="32" t="s">
        <v>26</v>
      </c>
      <c r="G426" s="32" t="s">
        <v>51</v>
      </c>
      <c r="H426" s="34">
        <f>IFERROR(INDEX(Linha!$B$5:$B$788,MATCH(A426,Linha!$A$5:$A$788,0)),"NÃO CADASTRADO")</f>
      </c>
      <c r="I426" s="34">
        <f>IFERROR(INDEX(Linha!$C$5:$C$788,MATCH(A426,Linha!$A$5:$A$788,0)),"-")</f>
      </c>
      <c r="J426" s="35">
        <v>0</v>
      </c>
      <c r="K426" s="36">
        <f>IFERROR(INDEX(Linha!$D$5:$D$788,MATCH(A426,Linha!$A$5:$A$788,0))*1,0)</f>
      </c>
      <c r="L426" s="36">
        <f>SUMIFS(Reservas!$K$5:$K$3669,Reservas!$A$5:$A$3669,A426)</f>
      </c>
      <c r="M426" s="37">
        <f>J426-L426</f>
      </c>
      <c r="N426" s="38">
        <v>26.637</v>
      </c>
      <c r="O426" s="37">
        <f>J426*N426</f>
      </c>
      <c r="P426" s="37">
        <f>L426*N426</f>
      </c>
      <c r="Q426" s="39">
        <v>153.47746088</v>
      </c>
      <c r="R426" s="40">
        <f>J426*Q426</f>
      </c>
      <c r="S426" s="40">
        <f>L426*Q426</f>
      </c>
      <c r="T426" s="41">
        <f>IF(J426=0,0,L426/J426)</f>
      </c>
      <c r="U426" s="42">
        <f>IFERROR(INDEX(Paletes!$C$5:$C$393,MATCH(B426,Paletes!$A$5:$A$393,0)),"SEM CADASTRO")</f>
      </c>
      <c r="V426" s="36">
        <f>IFERROR(INDEX(Paletes!$D$5:$D$393,MATCH(B426,Paletes!$A$5:$A$393,0)),0)</f>
      </c>
      <c r="W426" s="43">
        <f>IF(V426=0,0,J426/V426)</f>
      </c>
      <c r="X426" s="43">
        <f>IF(V426=0,0,MAX(M426,0)/V426)</f>
      </c>
    </row>
    <row r="427" spans="1:24" x14ac:dyDescent="0.25">
      <c r="A427" s="20" t="str">
        <f>B427&amp;"."&amp;IFERROR(MID(D427,FIND("(",D427)+1,FIND(")",D427)-FIND("(",D427)-1),"")</f>
        <v>72645.15779</v>
      </c>
      <c r="B427" s="21">
        <v>72645</v>
      </c>
      <c r="C427" s="20" t="s">
        <v>273</v>
      </c>
      <c r="D427" s="20" t="s">
        <v>720</v>
      </c>
      <c r="E427" s="20">
        <v>87845</v>
      </c>
      <c r="F427" s="20" t="s">
        <v>26</v>
      </c>
      <c r="G427" s="20" t="s">
        <v>51</v>
      </c>
      <c r="H427" s="22">
        <f>IFERROR(INDEX(Linha!$B$5:$B$788,MATCH(A427,Linha!$A$5:$A$788,0)),"NÃO CADASTRADO")</f>
      </c>
      <c r="I427" s="22">
        <f>IFERROR(INDEX(Linha!$C$5:$C$788,MATCH(A427,Linha!$A$5:$A$788,0)),"-")</f>
      </c>
      <c r="J427" s="23">
        <v>0</v>
      </c>
      <c r="K427" s="24">
        <f>IFERROR(INDEX(Linha!$D$5:$D$788,MATCH(A427,Linha!$A$5:$A$788,0))*1,0)</f>
      </c>
      <c r="L427" s="24">
        <f>SUMIFS(Reservas!$K$5:$K$3669,Reservas!$A$5:$A$3669,A427)</f>
      </c>
      <c r="M427" s="25">
        <f>J427-L427</f>
      </c>
      <c r="N427" s="26">
        <v>45.805</v>
      </c>
      <c r="O427" s="25">
        <f>J427*N427</f>
      </c>
      <c r="P427" s="25">
        <f>L427*N427</f>
      </c>
      <c r="Q427" s="27">
        <v>132.06029693</v>
      </c>
      <c r="R427" s="28">
        <f>J427*Q427</f>
      </c>
      <c r="S427" s="28">
        <f>L427*Q427</f>
      </c>
      <c r="T427" s="29">
        <f>IF(J427=0,0,L427/J427)</f>
      </c>
      <c r="U427" s="30">
        <f>IFERROR(INDEX(Paletes!$C$5:$C$393,MATCH(B427,Paletes!$A$5:$A$393,0)),"SEM CADASTRO")</f>
      </c>
      <c r="V427" s="24">
        <f>IFERROR(INDEX(Paletes!$D$5:$D$393,MATCH(B427,Paletes!$A$5:$A$393,0)),0)</f>
      </c>
      <c r="W427" s="31">
        <f>IF(V427=0,0,J427/V427)</f>
      </c>
      <c r="X427" s="31">
        <f>IF(V427=0,0,MAX(M427,0)/V427)</f>
      </c>
    </row>
    <row r="428" spans="1:24" x14ac:dyDescent="0.25">
      <c r="A428" s="32" t="str">
        <f>B428&amp;"."&amp;IFERROR(MID(D428,FIND("(",D428)+1,FIND(")",D428)-FIND("(",D428)-1),"")</f>
        <v>73549.15584</v>
      </c>
      <c r="B428" s="33">
        <v>73549</v>
      </c>
      <c r="C428" s="32" t="s">
        <v>721</v>
      </c>
      <c r="D428" s="32" t="s">
        <v>722</v>
      </c>
      <c r="E428" s="32">
        <v>74779</v>
      </c>
      <c r="F428" s="32" t="s">
        <v>25</v>
      </c>
      <c r="G428" s="32" t="s">
        <v>51</v>
      </c>
      <c r="H428" s="34">
        <f>IFERROR(INDEX(Linha!$B$5:$B$788,MATCH(A428,Linha!$A$5:$A$788,0)),"NÃO CADASTRADO")</f>
      </c>
      <c r="I428" s="34">
        <f>IFERROR(INDEX(Linha!$C$5:$C$788,MATCH(A428,Linha!$A$5:$A$788,0)),"-")</f>
      </c>
      <c r="J428" s="35">
        <v>37</v>
      </c>
      <c r="K428" s="36">
        <f>IFERROR(INDEX(Linha!$D$5:$D$788,MATCH(A428,Linha!$A$5:$A$788,0))*1,0)</f>
      </c>
      <c r="L428" s="36">
        <f>SUMIFS(Reservas!$K$5:$K$3669,Reservas!$A$5:$A$3669,A428)</f>
      </c>
      <c r="M428" s="37">
        <f>J428-L428</f>
      </c>
      <c r="N428" s="38">
        <v>6.678</v>
      </c>
      <c r="O428" s="37">
        <f>J428*N428</f>
      </c>
      <c r="P428" s="37">
        <f>L428*N428</f>
      </c>
      <c r="Q428" s="39">
        <v>45.36032936</v>
      </c>
      <c r="R428" s="40">
        <f>J428*Q428</f>
      </c>
      <c r="S428" s="40">
        <f>L428*Q428</f>
      </c>
      <c r="T428" s="41">
        <f>IF(J428=0,0,L428/J428)</f>
      </c>
      <c r="U428" s="42">
        <f>IFERROR(INDEX(Paletes!$C$5:$C$393,MATCH(B428,Paletes!$A$5:$A$393,0)),"SEM CADASTRO")</f>
      </c>
      <c r="V428" s="36">
        <f>IFERROR(INDEX(Paletes!$D$5:$D$393,MATCH(B428,Paletes!$A$5:$A$393,0)),0)</f>
      </c>
      <c r="W428" s="43">
        <f>IF(V428=0,0,J428/V428)</f>
      </c>
      <c r="X428" s="43">
        <f>IF(V428=0,0,MAX(M428,0)/V428)</f>
      </c>
    </row>
    <row r="429" spans="1:24" x14ac:dyDescent="0.25">
      <c r="A429" s="20" t="str">
        <f>B429&amp;"."&amp;IFERROR(MID(D429,FIND("(",D429)+1,FIND(")",D429)-FIND("(",D429)-1),"")</f>
        <v>85507.46194</v>
      </c>
      <c r="B429" s="21">
        <v>85507</v>
      </c>
      <c r="C429" s="20" t="s">
        <v>444</v>
      </c>
      <c r="D429" s="20" t="s">
        <v>723</v>
      </c>
      <c r="E429" s="20">
        <v>97866</v>
      </c>
      <c r="F429" s="20" t="s">
        <v>25</v>
      </c>
      <c r="G429" s="20" t="s">
        <v>51</v>
      </c>
      <c r="H429" s="22">
        <f>IFERROR(INDEX(Linha!$B$5:$B$788,MATCH(A429,Linha!$A$5:$A$788,0)),"NÃO CADASTRADO")</f>
      </c>
      <c r="I429" s="22">
        <f>IFERROR(INDEX(Linha!$C$5:$C$788,MATCH(A429,Linha!$A$5:$A$788,0)),"-")</f>
      </c>
      <c r="J429" s="23">
        <v>27</v>
      </c>
      <c r="K429" s="24">
        <f>IFERROR(INDEX(Linha!$D$5:$D$788,MATCH(A429,Linha!$A$5:$A$788,0))*1,0)</f>
      </c>
      <c r="L429" s="24">
        <f>SUMIFS(Reservas!$K$5:$K$3669,Reservas!$A$5:$A$3669,A429)</f>
      </c>
      <c r="M429" s="25">
        <f>J429-L429</f>
      </c>
      <c r="N429" s="26">
        <v>20.377</v>
      </c>
      <c r="O429" s="25">
        <f>J429*N429</f>
      </c>
      <c r="P429" s="25">
        <f>L429*N429</f>
      </c>
      <c r="Q429" s="27">
        <v>131.22312169</v>
      </c>
      <c r="R429" s="28">
        <f>J429*Q429</f>
      </c>
      <c r="S429" s="28">
        <f>L429*Q429</f>
      </c>
      <c r="T429" s="29">
        <f>IF(J429=0,0,L429/J429)</f>
      </c>
      <c r="U429" s="30">
        <f>IFERROR(INDEX(Paletes!$C$5:$C$393,MATCH(B429,Paletes!$A$5:$A$393,0)),"SEM CADASTRO")</f>
      </c>
      <c r="V429" s="24">
        <f>IFERROR(INDEX(Paletes!$D$5:$D$393,MATCH(B429,Paletes!$A$5:$A$393,0)),0)</f>
      </c>
      <c r="W429" s="31">
        <f>IF(V429=0,0,J429/V429)</f>
      </c>
      <c r="X429" s="31">
        <f>IF(V429=0,0,MAX(M429,0)/V429)</f>
      </c>
    </row>
    <row r="430" spans="1:24" x14ac:dyDescent="0.25">
      <c r="A430" s="32" t="str">
        <f>B430&amp;"."&amp;IFERROR(MID(D430,FIND("(",D430)+1,FIND(")",D430)-FIND("(",D430)-1),"")</f>
        <v>84550.31853</v>
      </c>
      <c r="B430" s="33">
        <v>84550</v>
      </c>
      <c r="C430" s="32" t="s">
        <v>724</v>
      </c>
      <c r="D430" s="32" t="s">
        <v>725</v>
      </c>
      <c r="E430" s="32">
        <v>96488</v>
      </c>
      <c r="F430" s="32" t="s">
        <v>26</v>
      </c>
      <c r="G430" s="32" t="s">
        <v>51</v>
      </c>
      <c r="H430" s="34">
        <f>IFERROR(INDEX(Linha!$B$5:$B$788,MATCH(A430,Linha!$A$5:$A$788,0)),"NÃO CADASTRADO")</f>
      </c>
      <c r="I430" s="34">
        <f>IFERROR(INDEX(Linha!$C$5:$C$788,MATCH(A430,Linha!$A$5:$A$788,0)),"-")</f>
      </c>
      <c r="J430" s="35">
        <v>0</v>
      </c>
      <c r="K430" s="36">
        <f>IFERROR(INDEX(Linha!$D$5:$D$788,MATCH(A430,Linha!$A$5:$A$788,0))*1,0)</f>
      </c>
      <c r="L430" s="36">
        <f>SUMIFS(Reservas!$K$5:$K$3669,Reservas!$A$5:$A$3669,A430)</f>
      </c>
      <c r="M430" s="37">
        <f>J430-L430</f>
      </c>
      <c r="N430" s="38">
        <v>39.097</v>
      </c>
      <c r="O430" s="37">
        <f>J430*N430</f>
      </c>
      <c r="P430" s="37">
        <f>L430*N430</f>
      </c>
      <c r="Q430" s="39">
        <v>130.02585583</v>
      </c>
      <c r="R430" s="40">
        <f>J430*Q430</f>
      </c>
      <c r="S430" s="40">
        <f>L430*Q430</f>
      </c>
      <c r="T430" s="41">
        <f>IF(J430=0,0,L430/J430)</f>
      </c>
      <c r="U430" s="42">
        <f>IFERROR(INDEX(Paletes!$C$5:$C$393,MATCH(B430,Paletes!$A$5:$A$393,0)),"SEM CADASTRO")</f>
      </c>
      <c r="V430" s="36">
        <f>IFERROR(INDEX(Paletes!$D$5:$D$393,MATCH(B430,Paletes!$A$5:$A$393,0)),0)</f>
      </c>
      <c r="W430" s="43">
        <f>IF(V430=0,0,J430/V430)</f>
      </c>
      <c r="X430" s="43">
        <f>IF(V430=0,0,MAX(M430,0)/V430)</f>
      </c>
    </row>
    <row r="431" spans="1:24" x14ac:dyDescent="0.25">
      <c r="A431" s="20" t="str">
        <f>B431&amp;"."&amp;IFERROR(MID(D431,FIND("(",D431)+1,FIND(")",D431)-FIND("(",D431)-1),"")</f>
        <v>72734.15722</v>
      </c>
      <c r="B431" s="21">
        <v>72734</v>
      </c>
      <c r="C431" s="20" t="s">
        <v>726</v>
      </c>
      <c r="D431" s="20" t="s">
        <v>727</v>
      </c>
      <c r="E431" s="20">
        <v>88261</v>
      </c>
      <c r="F431" s="20" t="s">
        <v>26</v>
      </c>
      <c r="G431" s="20" t="s">
        <v>51</v>
      </c>
      <c r="H431" s="22">
        <f>IFERROR(INDEX(Linha!$B$5:$B$788,MATCH(A431,Linha!$A$5:$A$788,0)),"NÃO CADASTRADO")</f>
      </c>
      <c r="I431" s="22">
        <f>IFERROR(INDEX(Linha!$C$5:$C$788,MATCH(A431,Linha!$A$5:$A$788,0)),"-")</f>
      </c>
      <c r="J431" s="23">
        <v>0</v>
      </c>
      <c r="K431" s="24">
        <f>IFERROR(INDEX(Linha!$D$5:$D$788,MATCH(A431,Linha!$A$5:$A$788,0))*1,0)</f>
      </c>
      <c r="L431" s="24">
        <f>SUMIFS(Reservas!$K$5:$K$3669,Reservas!$A$5:$A$3669,A431)</f>
      </c>
      <c r="M431" s="25">
        <f>J431-L431</f>
      </c>
      <c r="N431" s="26">
        <v>9.028</v>
      </c>
      <c r="O431" s="25">
        <f>J431*N431</f>
      </c>
      <c r="P431" s="25">
        <f>L431*N431</f>
      </c>
      <c r="Q431" s="27">
        <v>74.43705299</v>
      </c>
      <c r="R431" s="28">
        <f>J431*Q431</f>
      </c>
      <c r="S431" s="28">
        <f>L431*Q431</f>
      </c>
      <c r="T431" s="29">
        <f>IF(J431=0,0,L431/J431)</f>
      </c>
      <c r="U431" s="30">
        <f>IFERROR(INDEX(Paletes!$C$5:$C$393,MATCH(B431,Paletes!$A$5:$A$393,0)),"SEM CADASTRO")</f>
      </c>
      <c r="V431" s="24">
        <f>IFERROR(INDEX(Paletes!$D$5:$D$393,MATCH(B431,Paletes!$A$5:$A$393,0)),0)</f>
      </c>
      <c r="W431" s="31">
        <f>IF(V431=0,0,J431/V431)</f>
      </c>
      <c r="X431" s="31">
        <f>IF(V431=0,0,MAX(M431,0)/V431)</f>
      </c>
    </row>
    <row r="432" spans="1:24" x14ac:dyDescent="0.25">
      <c r="A432" s="32" t="str">
        <f>B432&amp;"."&amp;IFERROR(MID(D432,FIND("(",D432)+1,FIND(")",D432)-FIND("(",D432)-1),"")</f>
        <v>84924.34895</v>
      </c>
      <c r="B432" s="33">
        <v>84924</v>
      </c>
      <c r="C432" s="32" t="s">
        <v>580</v>
      </c>
      <c r="D432" s="32" t="s">
        <v>728</v>
      </c>
      <c r="E432" s="32">
        <v>96441</v>
      </c>
      <c r="F432" s="32" t="s">
        <v>24</v>
      </c>
      <c r="G432" s="32" t="s">
        <v>51</v>
      </c>
      <c r="H432" s="34">
        <f>IFERROR(INDEX(Linha!$B$5:$B$788,MATCH(A432,Linha!$A$5:$A$788,0)),"NÃO CADASTRADO")</f>
      </c>
      <c r="I432" s="34">
        <f>IFERROR(INDEX(Linha!$C$5:$C$788,MATCH(A432,Linha!$A$5:$A$788,0)),"-")</f>
      </c>
      <c r="J432" s="35">
        <v>7</v>
      </c>
      <c r="K432" s="36">
        <f>IFERROR(INDEX(Linha!$D$5:$D$788,MATCH(A432,Linha!$A$5:$A$788,0))*1,0)</f>
      </c>
      <c r="L432" s="36">
        <f>SUMIFS(Reservas!$K$5:$K$3669,Reservas!$A$5:$A$3669,A432)</f>
      </c>
      <c r="M432" s="37">
        <f>J432-L432</f>
      </c>
      <c r="N432" s="38">
        <v>32.175</v>
      </c>
      <c r="O432" s="37">
        <f>J432*N432</f>
      </c>
      <c r="P432" s="37">
        <f>L432*N432</f>
      </c>
      <c r="Q432" s="39">
        <v>161.75745665</v>
      </c>
      <c r="R432" s="40">
        <f>J432*Q432</f>
      </c>
      <c r="S432" s="40">
        <f>L432*Q432</f>
      </c>
      <c r="T432" s="41">
        <f>IF(J432=0,0,L432/J432)</f>
      </c>
      <c r="U432" s="42">
        <f>IFERROR(INDEX(Paletes!$C$5:$C$393,MATCH(B432,Paletes!$A$5:$A$393,0)),"SEM CADASTRO")</f>
      </c>
      <c r="V432" s="36">
        <f>IFERROR(INDEX(Paletes!$D$5:$D$393,MATCH(B432,Paletes!$A$5:$A$393,0)),0)</f>
      </c>
      <c r="W432" s="43">
        <f>IF(V432=0,0,J432/V432)</f>
      </c>
      <c r="X432" s="43">
        <f>IF(V432=0,0,MAX(M432,0)/V432)</f>
      </c>
    </row>
    <row r="433" spans="1:24" x14ac:dyDescent="0.25">
      <c r="A433" s="20" t="str">
        <f>B433&amp;"."&amp;IFERROR(MID(D433,FIND("(",D433)+1,FIND(")",D433)-FIND("(",D433)-1),"")</f>
        <v>84924.34883</v>
      </c>
      <c r="B433" s="21">
        <v>84924</v>
      </c>
      <c r="C433" s="20" t="s">
        <v>580</v>
      </c>
      <c r="D433" s="20" t="s">
        <v>729</v>
      </c>
      <c r="E433" s="20">
        <v>96441</v>
      </c>
      <c r="F433" s="20" t="s">
        <v>24</v>
      </c>
      <c r="G433" s="20" t="s">
        <v>51</v>
      </c>
      <c r="H433" s="22">
        <f>IFERROR(INDEX(Linha!$B$5:$B$788,MATCH(A433,Linha!$A$5:$A$788,0)),"NÃO CADASTRADO")</f>
      </c>
      <c r="I433" s="22">
        <f>IFERROR(INDEX(Linha!$C$5:$C$788,MATCH(A433,Linha!$A$5:$A$788,0)),"-")</f>
      </c>
      <c r="J433" s="23">
        <v>15</v>
      </c>
      <c r="K433" s="24">
        <f>IFERROR(INDEX(Linha!$D$5:$D$788,MATCH(A433,Linha!$A$5:$A$788,0))*1,0)</f>
      </c>
      <c r="L433" s="24">
        <f>SUMIFS(Reservas!$K$5:$K$3669,Reservas!$A$5:$A$3669,A433)</f>
      </c>
      <c r="M433" s="25">
        <f>J433-L433</f>
      </c>
      <c r="N433" s="26">
        <v>32.175</v>
      </c>
      <c r="O433" s="25">
        <f>J433*N433</f>
      </c>
      <c r="P433" s="25">
        <f>L433*N433</f>
      </c>
      <c r="Q433" s="27">
        <v>176.25810019</v>
      </c>
      <c r="R433" s="28">
        <f>J433*Q433</f>
      </c>
      <c r="S433" s="28">
        <f>L433*Q433</f>
      </c>
      <c r="T433" s="29">
        <f>IF(J433=0,0,L433/J433)</f>
      </c>
      <c r="U433" s="30">
        <f>IFERROR(INDEX(Paletes!$C$5:$C$393,MATCH(B433,Paletes!$A$5:$A$393,0)),"SEM CADASTRO")</f>
      </c>
      <c r="V433" s="24">
        <f>IFERROR(INDEX(Paletes!$D$5:$D$393,MATCH(B433,Paletes!$A$5:$A$393,0)),0)</f>
      </c>
      <c r="W433" s="31">
        <f>IF(V433=0,0,J433/V433)</f>
      </c>
      <c r="X433" s="31">
        <f>IF(V433=0,0,MAX(M433,0)/V433)</f>
      </c>
    </row>
    <row r="434" spans="1:24" x14ac:dyDescent="0.25">
      <c r="A434" s="32" t="str">
        <f>B434&amp;"."&amp;IFERROR(MID(D434,FIND("(",D434)+1,FIND(")",D434)-FIND("(",D434)-1),"")</f>
        <v>84562.31459</v>
      </c>
      <c r="B434" s="33">
        <v>84562</v>
      </c>
      <c r="C434" s="32" t="s">
        <v>730</v>
      </c>
      <c r="D434" s="32" t="s">
        <v>731</v>
      </c>
      <c r="E434" s="32">
        <v>96965</v>
      </c>
      <c r="F434" s="32" t="s">
        <v>26</v>
      </c>
      <c r="G434" s="32" t="s">
        <v>51</v>
      </c>
      <c r="H434" s="34">
        <f>IFERROR(INDEX(Linha!$B$5:$B$788,MATCH(A434,Linha!$A$5:$A$788,0)),"NÃO CADASTRADO")</f>
      </c>
      <c r="I434" s="34">
        <f>IFERROR(INDEX(Linha!$C$5:$C$788,MATCH(A434,Linha!$A$5:$A$788,0)),"-")</f>
      </c>
      <c r="J434" s="35">
        <v>0</v>
      </c>
      <c r="K434" s="36">
        <f>IFERROR(INDEX(Linha!$D$5:$D$788,MATCH(A434,Linha!$A$5:$A$788,0))*1,0)</f>
      </c>
      <c r="L434" s="36">
        <f>SUMIFS(Reservas!$K$5:$K$3669,Reservas!$A$5:$A$3669,A434)</f>
      </c>
      <c r="M434" s="37">
        <f>J434-L434</f>
      </c>
      <c r="N434" s="38">
        <v>63.55</v>
      </c>
      <c r="O434" s="37">
        <f>J434*N434</f>
      </c>
      <c r="P434" s="37">
        <f>L434*N434</f>
      </c>
      <c r="Q434" s="39">
        <v>242.50791729</v>
      </c>
      <c r="R434" s="40">
        <f>J434*Q434</f>
      </c>
      <c r="S434" s="40">
        <f>L434*Q434</f>
      </c>
      <c r="T434" s="41">
        <f>IF(J434=0,0,L434/J434)</f>
      </c>
      <c r="U434" s="42">
        <f>IFERROR(INDEX(Paletes!$C$5:$C$393,MATCH(B434,Paletes!$A$5:$A$393,0)),"SEM CADASTRO")</f>
      </c>
      <c r="V434" s="36">
        <f>IFERROR(INDEX(Paletes!$D$5:$D$393,MATCH(B434,Paletes!$A$5:$A$393,0)),0)</f>
      </c>
      <c r="W434" s="43">
        <f>IF(V434=0,0,J434/V434)</f>
      </c>
      <c r="X434" s="43">
        <f>IF(V434=0,0,MAX(M434,0)/V434)</f>
      </c>
    </row>
    <row r="435" spans="1:24" x14ac:dyDescent="0.25">
      <c r="A435" s="20" t="str">
        <f>B435&amp;"."&amp;IFERROR(MID(D435,FIND("(",D435)+1,FIND(")",D435)-FIND("(",D435)-1),"")</f>
        <v>74201.67869</v>
      </c>
      <c r="B435" s="21">
        <v>74201</v>
      </c>
      <c r="C435" s="20" t="s">
        <v>287</v>
      </c>
      <c r="D435" s="20" t="s">
        <v>732</v>
      </c>
      <c r="E435" s="20">
        <v>59249</v>
      </c>
      <c r="F435" s="20" t="s">
        <v>25</v>
      </c>
      <c r="G435" s="20" t="s">
        <v>51</v>
      </c>
      <c r="H435" s="22">
        <f>IFERROR(INDEX(Linha!$B$5:$B$788,MATCH(A435,Linha!$A$5:$A$788,0)),"NÃO CADASTRADO")</f>
      </c>
      <c r="I435" s="22">
        <f>IFERROR(INDEX(Linha!$C$5:$C$788,MATCH(A435,Linha!$A$5:$A$788,0)),"-")</f>
      </c>
      <c r="J435" s="23">
        <v>109</v>
      </c>
      <c r="K435" s="24">
        <f>IFERROR(INDEX(Linha!$D$5:$D$788,MATCH(A435,Linha!$A$5:$A$788,0))*1,0)</f>
      </c>
      <c r="L435" s="24">
        <f>SUMIFS(Reservas!$K$5:$K$3669,Reservas!$A$5:$A$3669,A435)</f>
      </c>
      <c r="M435" s="25">
        <f>J435-L435</f>
      </c>
      <c r="N435" s="26">
        <v>38.42</v>
      </c>
      <c r="O435" s="25">
        <f>J435*N435</f>
      </c>
      <c r="P435" s="25">
        <f>L435*N435</f>
      </c>
      <c r="Q435" s="27">
        <v>149.69233865</v>
      </c>
      <c r="R435" s="28">
        <f>J435*Q435</f>
      </c>
      <c r="S435" s="28">
        <f>L435*Q435</f>
      </c>
      <c r="T435" s="29">
        <f>IF(J435=0,0,L435/J435)</f>
      </c>
      <c r="U435" s="30">
        <f>IFERROR(INDEX(Paletes!$C$5:$C$393,MATCH(B435,Paletes!$A$5:$A$393,0)),"SEM CADASTRO")</f>
      </c>
      <c r="V435" s="24">
        <f>IFERROR(INDEX(Paletes!$D$5:$D$393,MATCH(B435,Paletes!$A$5:$A$393,0)),0)</f>
      </c>
      <c r="W435" s="31">
        <f>IF(V435=0,0,J435/V435)</f>
      </c>
      <c r="X435" s="31">
        <f>IF(V435=0,0,MAX(M435,0)/V435)</f>
      </c>
    </row>
    <row r="436" spans="1:24" x14ac:dyDescent="0.25">
      <c r="A436" s="32" t="str">
        <f>B436&amp;"."&amp;IFERROR(MID(D436,FIND("(",D436)+1,FIND(")",D436)-FIND("(",D436)-1),"")</f>
        <v>85009.94964</v>
      </c>
      <c r="B436" s="33">
        <v>85009</v>
      </c>
      <c r="C436" s="32" t="s">
        <v>733</v>
      </c>
      <c r="D436" s="32" t="s">
        <v>734</v>
      </c>
      <c r="E436" s="32">
        <v>91400</v>
      </c>
      <c r="F436" s="32" t="s">
        <v>25</v>
      </c>
      <c r="G436" s="32" t="s">
        <v>51</v>
      </c>
      <c r="H436" s="34">
        <f>IFERROR(INDEX(Linha!$B$5:$B$788,MATCH(A436,Linha!$A$5:$A$788,0)),"NÃO CADASTRADO")</f>
      </c>
      <c r="I436" s="34">
        <f>IFERROR(INDEX(Linha!$C$5:$C$788,MATCH(A436,Linha!$A$5:$A$788,0)),"-")</f>
      </c>
      <c r="J436" s="35">
        <v>0</v>
      </c>
      <c r="K436" s="36">
        <f>IFERROR(INDEX(Linha!$D$5:$D$788,MATCH(A436,Linha!$A$5:$A$788,0))*1,0)</f>
      </c>
      <c r="L436" s="36">
        <f>SUMIFS(Reservas!$K$5:$K$3669,Reservas!$A$5:$A$3669,A436)</f>
      </c>
      <c r="M436" s="37">
        <f>J436-L436</f>
      </c>
      <c r="N436" s="38">
        <v>15.834</v>
      </c>
      <c r="O436" s="37">
        <f>J436*N436</f>
      </c>
      <c r="P436" s="37">
        <f>L436*N436</f>
      </c>
      <c r="Q436" s="39">
        <v>116.79481052</v>
      </c>
      <c r="R436" s="40">
        <f>J436*Q436</f>
      </c>
      <c r="S436" s="40">
        <f>L436*Q436</f>
      </c>
      <c r="T436" s="41">
        <f>IF(J436=0,0,L436/J436)</f>
      </c>
      <c r="U436" s="42">
        <f>IFERROR(INDEX(Paletes!$C$5:$C$393,MATCH(B436,Paletes!$A$5:$A$393,0)),"SEM CADASTRO")</f>
      </c>
      <c r="V436" s="36">
        <f>IFERROR(INDEX(Paletes!$D$5:$D$393,MATCH(B436,Paletes!$A$5:$A$393,0)),0)</f>
      </c>
      <c r="W436" s="43">
        <f>IF(V436=0,0,J436/V436)</f>
      </c>
      <c r="X436" s="43">
        <f>IF(V436=0,0,MAX(M436,0)/V436)</f>
      </c>
    </row>
    <row r="437" spans="1:24" x14ac:dyDescent="0.25">
      <c r="A437" s="20" t="str">
        <f>B437&amp;"."&amp;IFERROR(MID(D437,FIND("(",D437)+1,FIND(")",D437)-FIND("(",D437)-1),"")</f>
        <v>85009.94965</v>
      </c>
      <c r="B437" s="21">
        <v>85009</v>
      </c>
      <c r="C437" s="20" t="s">
        <v>733</v>
      </c>
      <c r="D437" s="20" t="s">
        <v>735</v>
      </c>
      <c r="E437" s="20">
        <v>91400</v>
      </c>
      <c r="F437" s="20" t="s">
        <v>25</v>
      </c>
      <c r="G437" s="20" t="s">
        <v>51</v>
      </c>
      <c r="H437" s="22">
        <f>IFERROR(INDEX(Linha!$B$5:$B$788,MATCH(A437,Linha!$A$5:$A$788,0)),"NÃO CADASTRADO")</f>
      </c>
      <c r="I437" s="22">
        <f>IFERROR(INDEX(Linha!$C$5:$C$788,MATCH(A437,Linha!$A$5:$A$788,0)),"-")</f>
      </c>
      <c r="J437" s="23">
        <v>0</v>
      </c>
      <c r="K437" s="24">
        <f>IFERROR(INDEX(Linha!$D$5:$D$788,MATCH(A437,Linha!$A$5:$A$788,0))*1,0)</f>
      </c>
      <c r="L437" s="24">
        <f>SUMIFS(Reservas!$K$5:$K$3669,Reservas!$A$5:$A$3669,A437)</f>
      </c>
      <c r="M437" s="25">
        <f>J437-L437</f>
      </c>
      <c r="N437" s="26">
        <v>15.834</v>
      </c>
      <c r="O437" s="25">
        <f>J437*N437</f>
      </c>
      <c r="P437" s="25">
        <f>L437*N437</f>
      </c>
      <c r="Q437" s="27">
        <v>118.64939574</v>
      </c>
      <c r="R437" s="28">
        <f>J437*Q437</f>
      </c>
      <c r="S437" s="28">
        <f>L437*Q437</f>
      </c>
      <c r="T437" s="29">
        <f>IF(J437=0,0,L437/J437)</f>
      </c>
      <c r="U437" s="30">
        <f>IFERROR(INDEX(Paletes!$C$5:$C$393,MATCH(B437,Paletes!$A$5:$A$393,0)),"SEM CADASTRO")</f>
      </c>
      <c r="V437" s="24">
        <f>IFERROR(INDEX(Paletes!$D$5:$D$393,MATCH(B437,Paletes!$A$5:$A$393,0)),0)</f>
      </c>
      <c r="W437" s="31">
        <f>IF(V437=0,0,J437/V437)</f>
      </c>
      <c r="X437" s="31">
        <f>IF(V437=0,0,MAX(M437,0)/V437)</f>
      </c>
    </row>
    <row r="438" spans="1:24" x14ac:dyDescent="0.25">
      <c r="A438" s="32" t="str">
        <f>B438&amp;"."&amp;IFERROR(MID(D438,FIND("(",D438)+1,FIND(")",D438)-FIND("(",D438)-1),"")</f>
        <v>87460.91599</v>
      </c>
      <c r="B438" s="33">
        <v>87460</v>
      </c>
      <c r="C438" s="32" t="s">
        <v>736</v>
      </c>
      <c r="D438" s="32" t="s">
        <v>737</v>
      </c>
      <c r="E438" s="32">
        <v>99440</v>
      </c>
      <c r="F438" s="32" t="s">
        <v>26</v>
      </c>
      <c r="G438" s="32" t="s">
        <v>51</v>
      </c>
      <c r="H438" s="34">
        <f>IFERROR(INDEX(Linha!$B$5:$B$788,MATCH(A438,Linha!$A$5:$A$788,0)),"NÃO CADASTRADO")</f>
      </c>
      <c r="I438" s="34">
        <f>IFERROR(INDEX(Linha!$C$5:$C$788,MATCH(A438,Linha!$A$5:$A$788,0)),"-")</f>
      </c>
      <c r="J438" s="35">
        <v>182</v>
      </c>
      <c r="K438" s="36">
        <f>IFERROR(INDEX(Linha!$D$5:$D$788,MATCH(A438,Linha!$A$5:$A$788,0))*1,0)</f>
      </c>
      <c r="L438" s="36">
        <f>SUMIFS(Reservas!$K$5:$K$3669,Reservas!$A$5:$A$3669,A438)</f>
      </c>
      <c r="M438" s="37">
        <f>J438-L438</f>
      </c>
      <c r="N438" s="38">
        <v>50.7</v>
      </c>
      <c r="O438" s="37">
        <f>J438*N438</f>
      </c>
      <c r="P438" s="37">
        <f>L438*N438</f>
      </c>
      <c r="Q438" s="39">
        <v>237.50586644</v>
      </c>
      <c r="R438" s="40">
        <f>J438*Q438</f>
      </c>
      <c r="S438" s="40">
        <f>L438*Q438</f>
      </c>
      <c r="T438" s="41">
        <f>IF(J438=0,0,L438/J438)</f>
      </c>
      <c r="U438" s="42">
        <f>IFERROR(INDEX(Paletes!$C$5:$C$393,MATCH(B438,Paletes!$A$5:$A$393,0)),"SEM CADASTRO")</f>
      </c>
      <c r="V438" s="36">
        <f>IFERROR(INDEX(Paletes!$D$5:$D$393,MATCH(B438,Paletes!$A$5:$A$393,0)),0)</f>
      </c>
      <c r="W438" s="43">
        <f>IF(V438=0,0,J438/V438)</f>
      </c>
      <c r="X438" s="43">
        <f>IF(V438=0,0,MAX(M438,0)/V438)</f>
      </c>
    </row>
    <row r="439" spans="1:24" x14ac:dyDescent="0.25">
      <c r="A439" s="20" t="str">
        <f>B439&amp;"."&amp;IFERROR(MID(D439,FIND("(",D439)+1,FIND(")",D439)-FIND("(",D439)-1),"")</f>
        <v>87462.91604</v>
      </c>
      <c r="B439" s="21">
        <v>87462</v>
      </c>
      <c r="C439" s="20" t="s">
        <v>293</v>
      </c>
      <c r="D439" s="20" t="s">
        <v>738</v>
      </c>
      <c r="E439" s="20">
        <v>99469</v>
      </c>
      <c r="F439" s="20" t="s">
        <v>26</v>
      </c>
      <c r="G439" s="20" t="s">
        <v>51</v>
      </c>
      <c r="H439" s="22">
        <f>IFERROR(INDEX(Linha!$B$5:$B$788,MATCH(A439,Linha!$A$5:$A$788,0)),"NÃO CADASTRADO")</f>
      </c>
      <c r="I439" s="22">
        <f>IFERROR(INDEX(Linha!$C$5:$C$788,MATCH(A439,Linha!$A$5:$A$788,0)),"-")</f>
      </c>
      <c r="J439" s="23">
        <v>50</v>
      </c>
      <c r="K439" s="24">
        <f>IFERROR(INDEX(Linha!$D$5:$D$788,MATCH(A439,Linha!$A$5:$A$788,0))*1,0)</f>
      </c>
      <c r="L439" s="24">
        <f>SUMIFS(Reservas!$K$5:$K$3669,Reservas!$A$5:$A$3669,A439)</f>
      </c>
      <c r="M439" s="25">
        <f>J439-L439</f>
      </c>
      <c r="N439" s="26">
        <v>48.262</v>
      </c>
      <c r="O439" s="25">
        <f>J439*N439</f>
      </c>
      <c r="P439" s="25">
        <f>L439*N439</f>
      </c>
      <c r="Q439" s="27">
        <v>152.86327438</v>
      </c>
      <c r="R439" s="28">
        <f>J439*Q439</f>
      </c>
      <c r="S439" s="28">
        <f>L439*Q439</f>
      </c>
      <c r="T439" s="29">
        <f>IF(J439=0,0,L439/J439)</f>
      </c>
      <c r="U439" s="30">
        <f>IFERROR(INDEX(Paletes!$C$5:$C$393,MATCH(B439,Paletes!$A$5:$A$393,0)),"SEM CADASTRO")</f>
      </c>
      <c r="V439" s="24">
        <f>IFERROR(INDEX(Paletes!$D$5:$D$393,MATCH(B439,Paletes!$A$5:$A$393,0)),0)</f>
      </c>
      <c r="W439" s="31">
        <f>IF(V439=0,0,J439/V439)</f>
      </c>
      <c r="X439" s="31">
        <f>IF(V439=0,0,MAX(M439,0)/V439)</f>
      </c>
    </row>
    <row r="440" spans="1:24" x14ac:dyDescent="0.25">
      <c r="A440" s="32" t="str">
        <f>B440&amp;"."&amp;IFERROR(MID(D440,FIND("(",D440)+1,FIND(")",D440)-FIND("(",D440)-1),"")</f>
        <v>86318.69507</v>
      </c>
      <c r="B440" s="33">
        <v>86318</v>
      </c>
      <c r="C440" s="32" t="s">
        <v>456</v>
      </c>
      <c r="D440" s="32" t="s">
        <v>739</v>
      </c>
      <c r="E440" s="32">
        <v>99705</v>
      </c>
      <c r="F440" s="32" t="s">
        <v>26</v>
      </c>
      <c r="G440" s="32" t="s">
        <v>51</v>
      </c>
      <c r="H440" s="34">
        <f>IFERROR(INDEX(Linha!$B$5:$B$788,MATCH(A440,Linha!$A$5:$A$788,0)),"NÃO CADASTRADO")</f>
      </c>
      <c r="I440" s="34">
        <f>IFERROR(INDEX(Linha!$C$5:$C$788,MATCH(A440,Linha!$A$5:$A$788,0)),"-")</f>
      </c>
      <c r="J440" s="35">
        <v>229</v>
      </c>
      <c r="K440" s="36">
        <f>IFERROR(INDEX(Linha!$D$5:$D$788,MATCH(A440,Linha!$A$5:$A$788,0))*1,0)</f>
      </c>
      <c r="L440" s="36">
        <f>SUMIFS(Reservas!$K$5:$K$3669,Reservas!$A$5:$A$3669,A440)</f>
      </c>
      <c r="M440" s="37">
        <f>J440-L440</f>
      </c>
      <c r="N440" s="38">
        <v>28.908</v>
      </c>
      <c r="O440" s="37">
        <f>J440*N440</f>
      </c>
      <c r="P440" s="37">
        <f>L440*N440</f>
      </c>
      <c r="Q440" s="39">
        <v>145.22150239</v>
      </c>
      <c r="R440" s="40">
        <f>J440*Q440</f>
      </c>
      <c r="S440" s="40">
        <f>L440*Q440</f>
      </c>
      <c r="T440" s="41">
        <f>IF(J440=0,0,L440/J440)</f>
      </c>
      <c r="U440" s="42">
        <f>IFERROR(INDEX(Paletes!$C$5:$C$393,MATCH(B440,Paletes!$A$5:$A$393,0)),"SEM CADASTRO")</f>
      </c>
      <c r="V440" s="36">
        <f>IFERROR(INDEX(Paletes!$D$5:$D$393,MATCH(B440,Paletes!$A$5:$A$393,0)),0)</f>
      </c>
      <c r="W440" s="43">
        <f>IF(V440=0,0,J440/V440)</f>
      </c>
      <c r="X440" s="43">
        <f>IF(V440=0,0,MAX(M440,0)/V440)</f>
      </c>
    </row>
    <row r="441" spans="1:24" x14ac:dyDescent="0.25">
      <c r="A441" s="20" t="str">
        <f>B441&amp;"."&amp;IFERROR(MID(D441,FIND("(",D441)+1,FIND(")",D441)-FIND("(",D441)-1),"")</f>
        <v>86383.70245</v>
      </c>
      <c r="B441" s="21">
        <v>86383</v>
      </c>
      <c r="C441" s="20" t="s">
        <v>458</v>
      </c>
      <c r="D441" s="20" t="s">
        <v>740</v>
      </c>
      <c r="E441" s="20">
        <v>99780</v>
      </c>
      <c r="F441" s="20" t="s">
        <v>26</v>
      </c>
      <c r="G441" s="20" t="s">
        <v>51</v>
      </c>
      <c r="H441" s="22">
        <f>IFERROR(INDEX(Linha!$B$5:$B$788,MATCH(A441,Linha!$A$5:$A$788,0)),"NÃO CADASTRADO")</f>
      </c>
      <c r="I441" s="22">
        <f>IFERROR(INDEX(Linha!$C$5:$C$788,MATCH(A441,Linha!$A$5:$A$788,0)),"-")</f>
      </c>
      <c r="J441" s="23">
        <v>0</v>
      </c>
      <c r="K441" s="24">
        <f>IFERROR(INDEX(Linha!$D$5:$D$788,MATCH(A441,Linha!$A$5:$A$788,0))*1,0)</f>
      </c>
      <c r="L441" s="24">
        <f>SUMIFS(Reservas!$K$5:$K$3669,Reservas!$A$5:$A$3669,A441)</f>
      </c>
      <c r="M441" s="25">
        <f>J441-L441</f>
      </c>
      <c r="N441" s="26">
        <v>42.412</v>
      </c>
      <c r="O441" s="25">
        <f>J441*N441</f>
      </c>
      <c r="P441" s="25">
        <f>L441*N441</f>
      </c>
      <c r="Q441" s="27">
        <v>191.07101568</v>
      </c>
      <c r="R441" s="28">
        <f>J441*Q441</f>
      </c>
      <c r="S441" s="28">
        <f>L441*Q441</f>
      </c>
      <c r="T441" s="29">
        <f>IF(J441=0,0,L441/J441)</f>
      </c>
      <c r="U441" s="30">
        <f>IFERROR(INDEX(Paletes!$C$5:$C$393,MATCH(B441,Paletes!$A$5:$A$393,0)),"SEM CADASTRO")</f>
      </c>
      <c r="V441" s="24">
        <f>IFERROR(INDEX(Paletes!$D$5:$D$393,MATCH(B441,Paletes!$A$5:$A$393,0)),0)</f>
      </c>
      <c r="W441" s="31">
        <f>IF(V441=0,0,J441/V441)</f>
      </c>
      <c r="X441" s="31">
        <f>IF(V441=0,0,MAX(M441,0)/V441)</f>
      </c>
    </row>
    <row r="442" spans="1:24" x14ac:dyDescent="0.25">
      <c r="A442" s="32" t="str">
        <f>B442&amp;"."&amp;IFERROR(MID(D442,FIND("(",D442)+1,FIND(")",D442)-FIND("(",D442)-1),"")</f>
        <v>216.16128</v>
      </c>
      <c r="B442" s="33">
        <v>216</v>
      </c>
      <c r="C442" s="32" t="s">
        <v>741</v>
      </c>
      <c r="D442" s="32" t="s">
        <v>742</v>
      </c>
      <c r="E442" s="32">
        <v>32316</v>
      </c>
      <c r="F442" s="32" t="s">
        <v>25</v>
      </c>
      <c r="G442" s="32" t="s">
        <v>51</v>
      </c>
      <c r="H442" s="34">
        <f>IFERROR(INDEX(Linha!$B$5:$B$788,MATCH(A442,Linha!$A$5:$A$788,0)),"NÃO CADASTRADO")</f>
      </c>
      <c r="I442" s="34">
        <f>IFERROR(INDEX(Linha!$C$5:$C$788,MATCH(A442,Linha!$A$5:$A$788,0)),"-")</f>
      </c>
      <c r="J442" s="35">
        <v>155</v>
      </c>
      <c r="K442" s="36">
        <f>IFERROR(INDEX(Linha!$D$5:$D$788,MATCH(A442,Linha!$A$5:$A$788,0))*1,0)</f>
      </c>
      <c r="L442" s="36">
        <f>SUMIFS(Reservas!$K$5:$K$3669,Reservas!$A$5:$A$3669,A442)</f>
      </c>
      <c r="M442" s="37">
        <f>J442-L442</f>
      </c>
      <c r="N442" s="38">
        <v>6.63</v>
      </c>
      <c r="O442" s="37">
        <f>J442*N442</f>
      </c>
      <c r="P442" s="37">
        <f>L442*N442</f>
      </c>
      <c r="Q442" s="39">
        <v>45.3328817</v>
      </c>
      <c r="R442" s="40">
        <f>J442*Q442</f>
      </c>
      <c r="S442" s="40">
        <f>L442*Q442</f>
      </c>
      <c r="T442" s="41">
        <f>IF(J442=0,0,L442/J442)</f>
      </c>
      <c r="U442" s="42">
        <f>IFERROR(INDEX(Paletes!$C$5:$C$393,MATCH(B442,Paletes!$A$5:$A$393,0)),"SEM CADASTRO")</f>
      </c>
      <c r="V442" s="36">
        <f>IFERROR(INDEX(Paletes!$D$5:$D$393,MATCH(B442,Paletes!$A$5:$A$393,0)),0)</f>
      </c>
      <c r="W442" s="43">
        <f>IF(V442=0,0,J442/V442)</f>
      </c>
      <c r="X442" s="43">
        <f>IF(V442=0,0,MAX(M442,0)/V442)</f>
      </c>
    </row>
    <row r="443" spans="1:24" x14ac:dyDescent="0.25">
      <c r="A443" s="20" t="str">
        <f>B443&amp;"."&amp;IFERROR(MID(D443,FIND("(",D443)+1,FIND(")",D443)-FIND("(",D443)-1),"")</f>
        <v>216.16129</v>
      </c>
      <c r="B443" s="21">
        <v>216</v>
      </c>
      <c r="C443" s="20" t="s">
        <v>741</v>
      </c>
      <c r="D443" s="20" t="s">
        <v>743</v>
      </c>
      <c r="E443" s="20">
        <v>32316</v>
      </c>
      <c r="F443" s="20" t="s">
        <v>25</v>
      </c>
      <c r="G443" s="20" t="s">
        <v>51</v>
      </c>
      <c r="H443" s="22">
        <f>IFERROR(INDEX(Linha!$B$5:$B$788,MATCH(A443,Linha!$A$5:$A$788,0)),"NÃO CADASTRADO")</f>
      </c>
      <c r="I443" s="22">
        <f>IFERROR(INDEX(Linha!$C$5:$C$788,MATCH(A443,Linha!$A$5:$A$788,0)),"-")</f>
      </c>
      <c r="J443" s="23">
        <v>114</v>
      </c>
      <c r="K443" s="24">
        <f>IFERROR(INDEX(Linha!$D$5:$D$788,MATCH(A443,Linha!$A$5:$A$788,0))*1,0)</f>
      </c>
      <c r="L443" s="24">
        <f>SUMIFS(Reservas!$K$5:$K$3669,Reservas!$A$5:$A$3669,A443)</f>
      </c>
      <c r="M443" s="25">
        <f>J443-L443</f>
      </c>
      <c r="N443" s="26">
        <v>6.63</v>
      </c>
      <c r="O443" s="25">
        <f>J443*N443</f>
      </c>
      <c r="P443" s="25">
        <f>L443*N443</f>
      </c>
      <c r="Q443" s="27">
        <v>45.5928817</v>
      </c>
      <c r="R443" s="28">
        <f>J443*Q443</f>
      </c>
      <c r="S443" s="28">
        <f>L443*Q443</f>
      </c>
      <c r="T443" s="29">
        <f>IF(J443=0,0,L443/J443)</f>
      </c>
      <c r="U443" s="30">
        <f>IFERROR(INDEX(Paletes!$C$5:$C$393,MATCH(B443,Paletes!$A$5:$A$393,0)),"SEM CADASTRO")</f>
      </c>
      <c r="V443" s="24">
        <f>IFERROR(INDEX(Paletes!$D$5:$D$393,MATCH(B443,Paletes!$A$5:$A$393,0)),0)</f>
      </c>
      <c r="W443" s="31">
        <f>IF(V443=0,0,J443/V443)</f>
      </c>
      <c r="X443" s="31">
        <f>IF(V443=0,0,MAX(M443,0)/V443)</f>
      </c>
    </row>
    <row r="444" spans="1:24" x14ac:dyDescent="0.25">
      <c r="A444" s="32" t="str">
        <f>B444&amp;"."&amp;IFERROR(MID(D444,FIND("(",D444)+1,FIND(")",D444)-FIND("(",D444)-1),"")</f>
        <v>86514.79217</v>
      </c>
      <c r="B444" s="33">
        <v>86514</v>
      </c>
      <c r="C444" s="32" t="s">
        <v>744</v>
      </c>
      <c r="D444" s="32" t="s">
        <v>745</v>
      </c>
      <c r="E444" s="32">
        <v>99968</v>
      </c>
      <c r="F444" s="32" t="s">
        <v>24</v>
      </c>
      <c r="G444" s="32" t="s">
        <v>51</v>
      </c>
      <c r="H444" s="34">
        <f>IFERROR(INDEX(Linha!$B$5:$B$788,MATCH(A444,Linha!$A$5:$A$788,0)),"NÃO CADASTRADO")</f>
      </c>
      <c r="I444" s="34">
        <f>IFERROR(INDEX(Linha!$C$5:$C$788,MATCH(A444,Linha!$A$5:$A$788,0)),"-")</f>
      </c>
      <c r="J444" s="35">
        <v>92</v>
      </c>
      <c r="K444" s="36">
        <f>IFERROR(INDEX(Linha!$D$5:$D$788,MATCH(A444,Linha!$A$5:$A$788,0))*1,0)</f>
      </c>
      <c r="L444" s="36">
        <f>SUMIFS(Reservas!$K$5:$K$3669,Reservas!$A$5:$A$3669,A444)</f>
      </c>
      <c r="M444" s="37">
        <f>J444-L444</f>
      </c>
      <c r="N444" s="38">
        <v>44.85</v>
      </c>
      <c r="O444" s="37">
        <f>J444*N444</f>
      </c>
      <c r="P444" s="37">
        <f>L444*N444</f>
      </c>
      <c r="Q444" s="39">
        <v>222.16598369</v>
      </c>
      <c r="R444" s="40">
        <f>J444*Q444</f>
      </c>
      <c r="S444" s="40">
        <f>L444*Q444</f>
      </c>
      <c r="T444" s="41">
        <f>IF(J444=0,0,L444/J444)</f>
      </c>
      <c r="U444" s="42">
        <f>IFERROR(INDEX(Paletes!$C$5:$C$393,MATCH(B444,Paletes!$A$5:$A$393,0)),"SEM CADASTRO")</f>
      </c>
      <c r="V444" s="36">
        <f>IFERROR(INDEX(Paletes!$D$5:$D$393,MATCH(B444,Paletes!$A$5:$A$393,0)),0)</f>
      </c>
      <c r="W444" s="43">
        <f>IF(V444=0,0,J444/V444)</f>
      </c>
      <c r="X444" s="43">
        <f>IF(V444=0,0,MAX(M444,0)/V444)</f>
      </c>
    </row>
    <row r="445" spans="1:24" x14ac:dyDescent="0.25">
      <c r="A445" s="20" t="str">
        <f>B445&amp;"."&amp;IFERROR(MID(D445,FIND("(",D445)+1,FIND(")",D445)-FIND("(",D445)-1),"")</f>
        <v>87023.90073</v>
      </c>
      <c r="B445" s="21">
        <v>87023</v>
      </c>
      <c r="C445" s="20" t="s">
        <v>594</v>
      </c>
      <c r="D445" s="20" t="s">
        <v>746</v>
      </c>
      <c r="E445" s="20">
        <v>102956</v>
      </c>
      <c r="F445" s="20" t="s">
        <v>24</v>
      </c>
      <c r="G445" s="20" t="s">
        <v>51</v>
      </c>
      <c r="H445" s="22">
        <f>IFERROR(INDEX(Linha!$B$5:$B$788,MATCH(A445,Linha!$A$5:$A$788,0)),"NÃO CADASTRADO")</f>
      </c>
      <c r="I445" s="22">
        <f>IFERROR(INDEX(Linha!$C$5:$C$788,MATCH(A445,Linha!$A$5:$A$788,0)),"-")</f>
      </c>
      <c r="J445" s="23">
        <v>2</v>
      </c>
      <c r="K445" s="24">
        <f>IFERROR(INDEX(Linha!$D$5:$D$788,MATCH(A445,Linha!$A$5:$A$788,0))*1,0)</f>
      </c>
      <c r="L445" s="24">
        <f>SUMIFS(Reservas!$K$5:$K$3669,Reservas!$A$5:$A$3669,A445)</f>
      </c>
      <c r="M445" s="25">
        <f>J445-L445</f>
      </c>
      <c r="N445" s="26">
        <v>34.125</v>
      </c>
      <c r="O445" s="25">
        <f>J445*N445</f>
      </c>
      <c r="P445" s="25">
        <f>L445*N445</f>
      </c>
      <c r="Q445" s="27">
        <v>188.88345733</v>
      </c>
      <c r="R445" s="28">
        <f>J445*Q445</f>
      </c>
      <c r="S445" s="28">
        <f>L445*Q445</f>
      </c>
      <c r="T445" s="29">
        <f>IF(J445=0,0,L445/J445)</f>
      </c>
      <c r="U445" s="30">
        <f>IFERROR(INDEX(Paletes!$C$5:$C$393,MATCH(B445,Paletes!$A$5:$A$393,0)),"SEM CADASTRO")</f>
      </c>
      <c r="V445" s="24">
        <f>IFERROR(INDEX(Paletes!$D$5:$D$393,MATCH(B445,Paletes!$A$5:$A$393,0)),0)</f>
      </c>
      <c r="W445" s="31">
        <f>IF(V445=0,0,J445/V445)</f>
      </c>
      <c r="X445" s="31">
        <f>IF(V445=0,0,MAX(M445,0)/V445)</f>
      </c>
    </row>
    <row r="446" spans="1:24" x14ac:dyDescent="0.25">
      <c r="A446" s="32" t="str">
        <f>B446&amp;"."&amp;IFERROR(MID(D446,FIND("(",D446)+1,FIND(")",D446)-FIND("(",D446)-1),"")</f>
        <v>87128.90730</v>
      </c>
      <c r="B446" s="33">
        <v>87128</v>
      </c>
      <c r="C446" s="32" t="s">
        <v>747</v>
      </c>
      <c r="D446" s="32" t="s">
        <v>748</v>
      </c>
      <c r="E446" s="32">
        <v>104477</v>
      </c>
      <c r="F446" s="32" t="s">
        <v>26</v>
      </c>
      <c r="G446" s="32" t="s">
        <v>51</v>
      </c>
      <c r="H446" s="34">
        <f>IFERROR(INDEX(Linha!$B$5:$B$788,MATCH(A446,Linha!$A$5:$A$788,0)),"NÃO CADASTRADO")</f>
      </c>
      <c r="I446" s="34">
        <f>IFERROR(INDEX(Linha!$C$5:$C$788,MATCH(A446,Linha!$A$5:$A$788,0)),"-")</f>
      </c>
      <c r="J446" s="35">
        <v>308</v>
      </c>
      <c r="K446" s="36">
        <f>IFERROR(INDEX(Linha!$D$5:$D$788,MATCH(A446,Linha!$A$5:$A$788,0))*1,0)</f>
      </c>
      <c r="L446" s="36">
        <f>SUMIFS(Reservas!$K$5:$K$3669,Reservas!$A$5:$A$3669,A446)</f>
      </c>
      <c r="M446" s="37">
        <f>J446-L446</f>
      </c>
      <c r="N446" s="38">
        <v>8.775</v>
      </c>
      <c r="O446" s="37">
        <f>J446*N446</f>
      </c>
      <c r="P446" s="37">
        <f>L446*N446</f>
      </c>
      <c r="Q446" s="39">
        <v>23.69060323</v>
      </c>
      <c r="R446" s="40">
        <f>J446*Q446</f>
      </c>
      <c r="S446" s="40">
        <f>L446*Q446</f>
      </c>
      <c r="T446" s="41">
        <f>IF(J446=0,0,L446/J446)</f>
      </c>
      <c r="U446" s="42">
        <f>IFERROR(INDEX(Paletes!$C$5:$C$393,MATCH(B446,Paletes!$A$5:$A$393,0)),"SEM CADASTRO")</f>
      </c>
      <c r="V446" s="36">
        <f>IFERROR(INDEX(Paletes!$D$5:$D$393,MATCH(B446,Paletes!$A$5:$A$393,0)),0)</f>
      </c>
      <c r="W446" s="43">
        <f>IF(V446=0,0,J446/V446)</f>
      </c>
      <c r="X446" s="43">
        <f>IF(V446=0,0,MAX(M446,0)/V446)</f>
      </c>
    </row>
    <row r="447" spans="1:24" x14ac:dyDescent="0.25">
      <c r="A447" s="20" t="str">
        <f>B447&amp;"."&amp;IFERROR(MID(D447,FIND("(",D447)+1,FIND(")",D447)-FIND("(",D447)-1),"")</f>
        <v>87140.102458</v>
      </c>
      <c r="B447" s="21">
        <v>87140</v>
      </c>
      <c r="C447" s="20" t="s">
        <v>143</v>
      </c>
      <c r="D447" s="20" t="s">
        <v>749</v>
      </c>
      <c r="E447" s="20" t="s">
        <v>89</v>
      </c>
      <c r="F447" s="20" t="s">
        <v>26</v>
      </c>
      <c r="G447" s="20" t="s">
        <v>51</v>
      </c>
      <c r="H447" s="22">
        <f>IFERROR(INDEX(Linha!$B$5:$B$788,MATCH(A447,Linha!$A$5:$A$788,0)),"NÃO CADASTRADO")</f>
      </c>
      <c r="I447" s="22">
        <f>IFERROR(INDEX(Linha!$C$5:$C$788,MATCH(A447,Linha!$A$5:$A$788,0)),"-")</f>
      </c>
      <c r="J447" s="23">
        <v>234</v>
      </c>
      <c r="K447" s="24">
        <f>IFERROR(INDEX(Linha!$D$5:$D$788,MATCH(A447,Linha!$A$5:$A$788,0))*1,0)</f>
      </c>
      <c r="L447" s="24">
        <f>SUMIFS(Reservas!$K$5:$K$3669,Reservas!$A$5:$A$3669,A447)</f>
      </c>
      <c r="M447" s="25">
        <f>J447-L447</f>
      </c>
      <c r="N447" s="26">
        <v>46.312</v>
      </c>
      <c r="O447" s="25">
        <f>J447*N447</f>
      </c>
      <c r="P447" s="25">
        <f>L447*N447</f>
      </c>
      <c r="Q447" s="27">
        <v>166.230057</v>
      </c>
      <c r="R447" s="28">
        <f>J447*Q447</f>
      </c>
      <c r="S447" s="28">
        <f>L447*Q447</f>
      </c>
      <c r="T447" s="29">
        <f>IF(J447=0,0,L447/J447)</f>
      </c>
      <c r="U447" s="30">
        <f>IFERROR(INDEX(Paletes!$C$5:$C$393,MATCH(B447,Paletes!$A$5:$A$393,0)),"SEM CADASTRO")</f>
      </c>
      <c r="V447" s="24">
        <f>IFERROR(INDEX(Paletes!$D$5:$D$393,MATCH(B447,Paletes!$A$5:$A$393,0)),0)</f>
      </c>
      <c r="W447" s="31">
        <f>IF(V447=0,0,J447/V447)</f>
      </c>
      <c r="X447" s="31">
        <f>IF(V447=0,0,MAX(M447,0)/V447)</f>
      </c>
    </row>
    <row r="448" spans="1:24" x14ac:dyDescent="0.25">
      <c r="A448" s="32" t="str">
        <f>B448&amp;"."&amp;IFERROR(MID(D448,FIND("(",D448)+1,FIND(")",D448)-FIND("(",D448)-1),"")</f>
        <v>87469.91613</v>
      </c>
      <c r="B448" s="33">
        <v>87469</v>
      </c>
      <c r="C448" s="32" t="s">
        <v>146</v>
      </c>
      <c r="D448" s="32" t="s">
        <v>750</v>
      </c>
      <c r="E448" s="32">
        <v>104712</v>
      </c>
      <c r="F448" s="32" t="s">
        <v>26</v>
      </c>
      <c r="G448" s="32" t="s">
        <v>51</v>
      </c>
      <c r="H448" s="34">
        <f>IFERROR(INDEX(Linha!$B$5:$B$788,MATCH(A448,Linha!$A$5:$A$788,0)),"NÃO CADASTRADO")</f>
      </c>
      <c r="I448" s="34">
        <f>IFERROR(INDEX(Linha!$C$5:$C$788,MATCH(A448,Linha!$A$5:$A$788,0)),"-")</f>
      </c>
      <c r="J448" s="35">
        <v>439</v>
      </c>
      <c r="K448" s="36">
        <f>IFERROR(INDEX(Linha!$D$5:$D$788,MATCH(A448,Linha!$A$5:$A$788,0))*1,0)</f>
      </c>
      <c r="L448" s="36">
        <f>SUMIFS(Reservas!$K$5:$K$3669,Reservas!$A$5:$A$3669,A448)</f>
      </c>
      <c r="M448" s="37">
        <f>J448-L448</f>
      </c>
      <c r="N448" s="38">
        <v>46.848</v>
      </c>
      <c r="O448" s="37">
        <f>J448*N448</f>
      </c>
      <c r="P448" s="37">
        <f>L448*N448</f>
      </c>
      <c r="Q448" s="39">
        <v>169.31219983</v>
      </c>
      <c r="R448" s="40">
        <f>J448*Q448</f>
      </c>
      <c r="S448" s="40">
        <f>L448*Q448</f>
      </c>
      <c r="T448" s="41">
        <f>IF(J448=0,0,L448/J448)</f>
      </c>
      <c r="U448" s="42">
        <f>IFERROR(INDEX(Paletes!$C$5:$C$393,MATCH(B448,Paletes!$A$5:$A$393,0)),"SEM CADASTRO")</f>
      </c>
      <c r="V448" s="36">
        <f>IFERROR(INDEX(Paletes!$D$5:$D$393,MATCH(B448,Paletes!$A$5:$A$393,0)),0)</f>
      </c>
      <c r="W448" s="43">
        <f>IF(V448=0,0,J448/V448)</f>
      </c>
      <c r="X448" s="43">
        <f>IF(V448=0,0,MAX(M448,0)/V448)</f>
      </c>
    </row>
    <row r="449" spans="1:24" x14ac:dyDescent="0.25">
      <c r="A449" s="20" t="str">
        <f>B449&amp;"."&amp;IFERROR(MID(D449,FIND("(",D449)+1,FIND(")",D449)-FIND("(",D449)-1),"")</f>
        <v>87168.90918</v>
      </c>
      <c r="B449" s="21">
        <v>87168</v>
      </c>
      <c r="C449" s="20" t="s">
        <v>462</v>
      </c>
      <c r="D449" s="20" t="s">
        <v>751</v>
      </c>
      <c r="E449" s="20">
        <v>104830</v>
      </c>
      <c r="F449" s="20" t="s">
        <v>24</v>
      </c>
      <c r="G449" s="20" t="s">
        <v>51</v>
      </c>
      <c r="H449" s="22">
        <f>IFERROR(INDEX(Linha!$B$5:$B$788,MATCH(A449,Linha!$A$5:$A$788,0)),"NÃO CADASTRADO")</f>
      </c>
      <c r="I449" s="22">
        <f>IFERROR(INDEX(Linha!$C$5:$C$788,MATCH(A449,Linha!$A$5:$A$788,0)),"-")</f>
      </c>
      <c r="J449" s="23">
        <v>197</v>
      </c>
      <c r="K449" s="24">
        <f>IFERROR(INDEX(Linha!$D$5:$D$788,MATCH(A449,Linha!$A$5:$A$788,0))*1,0)</f>
      </c>
      <c r="L449" s="24">
        <f>SUMIFS(Reservas!$K$5:$K$3669,Reservas!$A$5:$A$3669,A449)</f>
      </c>
      <c r="M449" s="25">
        <f>J449-L449</f>
      </c>
      <c r="N449" s="26">
        <v>36.367</v>
      </c>
      <c r="O449" s="25">
        <f>J449*N449</f>
      </c>
      <c r="P449" s="25">
        <f>L449*N449</f>
      </c>
      <c r="Q449" s="27">
        <v>153.13529101</v>
      </c>
      <c r="R449" s="28">
        <f>J449*Q449</f>
      </c>
      <c r="S449" s="28">
        <f>L449*Q449</f>
      </c>
      <c r="T449" s="29">
        <f>IF(J449=0,0,L449/J449)</f>
      </c>
      <c r="U449" s="30">
        <f>IFERROR(INDEX(Paletes!$C$5:$C$393,MATCH(B449,Paletes!$A$5:$A$393,0)),"SEM CADASTRO")</f>
      </c>
      <c r="V449" s="24">
        <f>IFERROR(INDEX(Paletes!$D$5:$D$393,MATCH(B449,Paletes!$A$5:$A$393,0)),0)</f>
      </c>
      <c r="W449" s="31">
        <f>IF(V449=0,0,J449/V449)</f>
      </c>
      <c r="X449" s="31">
        <f>IF(V449=0,0,MAX(M449,0)/V449)</f>
      </c>
    </row>
    <row r="450" spans="1:24" x14ac:dyDescent="0.25">
      <c r="A450" s="32" t="str">
        <f>B450&amp;"."&amp;IFERROR(MID(D450,FIND("(",D450)+1,FIND(")",D450)-FIND("(",D450)-1),"")</f>
        <v>87164.90907</v>
      </c>
      <c r="B450" s="33">
        <v>87164</v>
      </c>
      <c r="C450" s="32" t="s">
        <v>752</v>
      </c>
      <c r="D450" s="32" t="s">
        <v>753</v>
      </c>
      <c r="E450" s="32">
        <v>104989</v>
      </c>
      <c r="F450" s="32" t="s">
        <v>24</v>
      </c>
      <c r="G450" s="32" t="s">
        <v>51</v>
      </c>
      <c r="H450" s="34">
        <f>IFERROR(INDEX(Linha!$B$5:$B$788,MATCH(A450,Linha!$A$5:$A$788,0)),"NÃO CADASTRADO")</f>
      </c>
      <c r="I450" s="34">
        <f>IFERROR(INDEX(Linha!$C$5:$C$788,MATCH(A450,Linha!$A$5:$A$788,0)),"-")</f>
      </c>
      <c r="J450" s="35">
        <v>397</v>
      </c>
      <c r="K450" s="36">
        <f>IFERROR(INDEX(Linha!$D$5:$D$788,MATCH(A450,Linha!$A$5:$A$788,0))*1,0)</f>
      </c>
      <c r="L450" s="36">
        <f>SUMIFS(Reservas!$K$5:$K$3669,Reservas!$A$5:$A$3669,A450)</f>
      </c>
      <c r="M450" s="37">
        <f>J450-L450</f>
      </c>
      <c r="N450" s="38">
        <v>27.348</v>
      </c>
      <c r="O450" s="37">
        <f>J450*N450</f>
      </c>
      <c r="P450" s="37">
        <f>L450*N450</f>
      </c>
      <c r="Q450" s="39">
        <v>111.14280339</v>
      </c>
      <c r="R450" s="40">
        <f>J450*Q450</f>
      </c>
      <c r="S450" s="40">
        <f>L450*Q450</f>
      </c>
      <c r="T450" s="41">
        <f>IF(J450=0,0,L450/J450)</f>
      </c>
      <c r="U450" s="42">
        <f>IFERROR(INDEX(Paletes!$C$5:$C$393,MATCH(B450,Paletes!$A$5:$A$393,0)),"SEM CADASTRO")</f>
      </c>
      <c r="V450" s="36">
        <f>IFERROR(INDEX(Paletes!$D$5:$D$393,MATCH(B450,Paletes!$A$5:$A$393,0)),0)</f>
      </c>
      <c r="W450" s="43">
        <f>IF(V450=0,0,J450/V450)</f>
      </c>
      <c r="X450" s="43">
        <f>IF(V450=0,0,MAX(M450,0)/V450)</f>
      </c>
    </row>
    <row r="451" spans="1:24" x14ac:dyDescent="0.25">
      <c r="A451" s="20" t="str">
        <f>B451&amp;"."&amp;IFERROR(MID(D451,FIND("(",D451)+1,FIND(")",D451)-FIND("(",D451)-1),"")</f>
        <v>87164.90908</v>
      </c>
      <c r="B451" s="21">
        <v>87164</v>
      </c>
      <c r="C451" s="20" t="s">
        <v>752</v>
      </c>
      <c r="D451" s="20" t="s">
        <v>754</v>
      </c>
      <c r="E451" s="20">
        <v>104989</v>
      </c>
      <c r="F451" s="20" t="s">
        <v>24</v>
      </c>
      <c r="G451" s="20" t="s">
        <v>51</v>
      </c>
      <c r="H451" s="22">
        <f>IFERROR(INDEX(Linha!$B$5:$B$788,MATCH(A451,Linha!$A$5:$A$788,0)),"NÃO CADASTRADO")</f>
      </c>
      <c r="I451" s="22">
        <f>IFERROR(INDEX(Linha!$C$5:$C$788,MATCH(A451,Linha!$A$5:$A$788,0)),"-")</f>
      </c>
      <c r="J451" s="23">
        <v>286</v>
      </c>
      <c r="K451" s="24">
        <f>IFERROR(INDEX(Linha!$D$5:$D$788,MATCH(A451,Linha!$A$5:$A$788,0))*1,0)</f>
      </c>
      <c r="L451" s="24">
        <f>SUMIFS(Reservas!$K$5:$K$3669,Reservas!$A$5:$A$3669,A451)</f>
      </c>
      <c r="M451" s="25">
        <f>J451-L451</f>
      </c>
      <c r="N451" s="26">
        <v>27.348</v>
      </c>
      <c r="O451" s="25">
        <f>J451*N451</f>
      </c>
      <c r="P451" s="25">
        <f>L451*N451</f>
      </c>
      <c r="Q451" s="27">
        <v>114.54352563</v>
      </c>
      <c r="R451" s="28">
        <f>J451*Q451</f>
      </c>
      <c r="S451" s="28">
        <f>L451*Q451</f>
      </c>
      <c r="T451" s="29">
        <f>IF(J451=0,0,L451/J451)</f>
      </c>
      <c r="U451" s="30">
        <f>IFERROR(INDEX(Paletes!$C$5:$C$393,MATCH(B451,Paletes!$A$5:$A$393,0)),"SEM CADASTRO")</f>
      </c>
      <c r="V451" s="24">
        <f>IFERROR(INDEX(Paletes!$D$5:$D$393,MATCH(B451,Paletes!$A$5:$A$393,0)),0)</f>
      </c>
      <c r="W451" s="31">
        <f>IF(V451=0,0,J451/V451)</f>
      </c>
      <c r="X451" s="31">
        <f>IF(V451=0,0,MAX(M451,0)/V451)</f>
      </c>
    </row>
    <row r="452" spans="1:24" x14ac:dyDescent="0.25">
      <c r="A452" s="32" t="str">
        <f>B452&amp;"."&amp;IFERROR(MID(D452,FIND("(",D452)+1,FIND(")",D452)-FIND("(",D452)-1),"")</f>
        <v>87559.93189</v>
      </c>
      <c r="B452" s="33">
        <v>87559</v>
      </c>
      <c r="C452" s="32" t="s">
        <v>755</v>
      </c>
      <c r="D452" s="32" t="s">
        <v>756</v>
      </c>
      <c r="E452" s="32">
        <v>105090</v>
      </c>
      <c r="F452" s="32" t="s">
        <v>26</v>
      </c>
      <c r="G452" s="32" t="s">
        <v>51</v>
      </c>
      <c r="H452" s="34">
        <f>IFERROR(INDEX(Linha!$B$5:$B$788,MATCH(A452,Linha!$A$5:$A$788,0)),"NÃO CADASTRADO")</f>
      </c>
      <c r="I452" s="34">
        <f>IFERROR(INDEX(Linha!$C$5:$C$788,MATCH(A452,Linha!$A$5:$A$788,0)),"-")</f>
      </c>
      <c r="J452" s="35">
        <v>285</v>
      </c>
      <c r="K452" s="36">
        <f>IFERROR(INDEX(Linha!$D$5:$D$788,MATCH(A452,Linha!$A$5:$A$788,0))*1,0)</f>
      </c>
      <c r="L452" s="36">
        <f>SUMIFS(Reservas!$K$5:$K$3669,Reservas!$A$5:$A$3669,A452)</f>
      </c>
      <c r="M452" s="37">
        <f>J452-L452</f>
      </c>
      <c r="N452" s="38">
        <v>44.85</v>
      </c>
      <c r="O452" s="37">
        <f>J452*N452</f>
      </c>
      <c r="P452" s="37">
        <f>L452*N452</f>
      </c>
      <c r="Q452" s="39">
        <v>148.80010471</v>
      </c>
      <c r="R452" s="40">
        <f>J452*Q452</f>
      </c>
      <c r="S452" s="40">
        <f>L452*Q452</f>
      </c>
      <c r="T452" s="41">
        <f>IF(J452=0,0,L452/J452)</f>
      </c>
      <c r="U452" s="42">
        <f>IFERROR(INDEX(Paletes!$C$5:$C$393,MATCH(B452,Paletes!$A$5:$A$393,0)),"SEM CADASTRO")</f>
      </c>
      <c r="V452" s="36">
        <f>IFERROR(INDEX(Paletes!$D$5:$D$393,MATCH(B452,Paletes!$A$5:$A$393,0)),0)</f>
      </c>
      <c r="W452" s="43">
        <f>IF(V452=0,0,J452/V452)</f>
      </c>
      <c r="X452" s="43">
        <f>IF(V452=0,0,MAX(M452,0)/V452)</f>
      </c>
    </row>
    <row r="453" spans="1:24" x14ac:dyDescent="0.25">
      <c r="A453" s="20" t="str">
        <f>B453&amp;"."&amp;IFERROR(MID(D453,FIND("(",D453)+1,FIND(")",D453)-FIND("(",D453)-1),"")</f>
        <v>87126.90724</v>
      </c>
      <c r="B453" s="21">
        <v>87126</v>
      </c>
      <c r="C453" s="20" t="s">
        <v>757</v>
      </c>
      <c r="D453" s="20" t="s">
        <v>758</v>
      </c>
      <c r="E453" s="20">
        <v>104476</v>
      </c>
      <c r="F453" s="20" t="s">
        <v>26</v>
      </c>
      <c r="G453" s="20" t="s">
        <v>51</v>
      </c>
      <c r="H453" s="22">
        <f>IFERROR(INDEX(Linha!$B$5:$B$788,MATCH(A453,Linha!$A$5:$A$788,0)),"NÃO CADASTRADO")</f>
      </c>
      <c r="I453" s="22">
        <f>IFERROR(INDEX(Linha!$C$5:$C$788,MATCH(A453,Linha!$A$5:$A$788,0)),"-")</f>
      </c>
      <c r="J453" s="23">
        <v>115</v>
      </c>
      <c r="K453" s="24">
        <f>IFERROR(INDEX(Linha!$D$5:$D$788,MATCH(A453,Linha!$A$5:$A$788,0))*1,0)</f>
      </c>
      <c r="L453" s="24">
        <f>SUMIFS(Reservas!$K$5:$K$3669,Reservas!$A$5:$A$3669,A453)</f>
      </c>
      <c r="M453" s="25">
        <f>J453-L453</f>
      </c>
      <c r="N453" s="26">
        <v>47.775</v>
      </c>
      <c r="O453" s="25">
        <f>J453*N453</f>
      </c>
      <c r="P453" s="25">
        <f>L453*N453</f>
      </c>
      <c r="Q453" s="27">
        <v>226.3864626</v>
      </c>
      <c r="R453" s="28">
        <f>J453*Q453</f>
      </c>
      <c r="S453" s="28">
        <f>L453*Q453</f>
      </c>
      <c r="T453" s="29">
        <f>IF(J453=0,0,L453/J453)</f>
      </c>
      <c r="U453" s="30">
        <f>IFERROR(INDEX(Paletes!$C$5:$C$393,MATCH(B453,Paletes!$A$5:$A$393,0)),"SEM CADASTRO")</f>
      </c>
      <c r="V453" s="24">
        <f>IFERROR(INDEX(Paletes!$D$5:$D$393,MATCH(B453,Paletes!$A$5:$A$393,0)),0)</f>
      </c>
      <c r="W453" s="31">
        <f>IF(V453=0,0,J453/V453)</f>
      </c>
      <c r="X453" s="31">
        <f>IF(V453=0,0,MAX(M453,0)/V453)</f>
      </c>
    </row>
    <row r="454" spans="1:24" x14ac:dyDescent="0.25">
      <c r="A454" s="32" t="str">
        <f>B454&amp;"."&amp;IFERROR(MID(D454,FIND("(",D454)+1,FIND(")",D454)-FIND("(",D454)-1),"")</f>
        <v>74671.56698</v>
      </c>
      <c r="B454" s="33">
        <v>74671</v>
      </c>
      <c r="C454" s="32" t="s">
        <v>301</v>
      </c>
      <c r="D454" s="32" t="s">
        <v>759</v>
      </c>
      <c r="E454" s="32">
        <v>80735</v>
      </c>
      <c r="F454" s="32" t="s">
        <v>26</v>
      </c>
      <c r="G454" s="32" t="s">
        <v>51</v>
      </c>
      <c r="H454" s="34">
        <f>IFERROR(INDEX(Linha!$B$5:$B$788,MATCH(A454,Linha!$A$5:$A$788,0)),"NÃO CADASTRADO")</f>
      </c>
      <c r="I454" s="34">
        <f>IFERROR(INDEX(Linha!$C$5:$C$788,MATCH(A454,Linha!$A$5:$A$788,0)),"-")</f>
      </c>
      <c r="J454" s="35">
        <v>0</v>
      </c>
      <c r="K454" s="36">
        <f>IFERROR(INDEX(Linha!$D$5:$D$788,MATCH(A454,Linha!$A$5:$A$788,0))*1,0)</f>
      </c>
      <c r="L454" s="36">
        <f>SUMIFS(Reservas!$K$5:$K$3669,Reservas!$A$5:$A$3669,A454)</f>
      </c>
      <c r="M454" s="37">
        <f>J454-L454</f>
      </c>
      <c r="N454" s="38">
        <v>42.607</v>
      </c>
      <c r="O454" s="37">
        <f>J454*N454</f>
      </c>
      <c r="P454" s="37">
        <f>L454*N454</f>
      </c>
      <c r="Q454" s="39">
        <v>148.1013192</v>
      </c>
      <c r="R454" s="40">
        <f>J454*Q454</f>
      </c>
      <c r="S454" s="40">
        <f>L454*Q454</f>
      </c>
      <c r="T454" s="41">
        <f>IF(J454=0,0,L454/J454)</f>
      </c>
      <c r="U454" s="42">
        <f>IFERROR(INDEX(Paletes!$C$5:$C$393,MATCH(B454,Paletes!$A$5:$A$393,0)),"SEM CADASTRO")</f>
      </c>
      <c r="V454" s="36">
        <f>IFERROR(INDEX(Paletes!$D$5:$D$393,MATCH(B454,Paletes!$A$5:$A$393,0)),0)</f>
      </c>
      <c r="W454" s="43">
        <f>IF(V454=0,0,J454/V454)</f>
      </c>
      <c r="X454" s="43">
        <f>IF(V454=0,0,MAX(M454,0)/V454)</f>
      </c>
    </row>
    <row r="455" spans="1:24" x14ac:dyDescent="0.25">
      <c r="A455" s="20" t="str">
        <f>B455&amp;"."&amp;IFERROR(MID(D455,FIND("(",D455)+1,FIND(")",D455)-FIND("(",D455)-1),"")</f>
        <v>73259.16522</v>
      </c>
      <c r="B455" s="21">
        <v>73259</v>
      </c>
      <c r="C455" s="20" t="s">
        <v>303</v>
      </c>
      <c r="D455" s="20" t="s">
        <v>760</v>
      </c>
      <c r="E455" s="20">
        <v>59350</v>
      </c>
      <c r="F455" s="20" t="s">
        <v>24</v>
      </c>
      <c r="G455" s="20" t="s">
        <v>51</v>
      </c>
      <c r="H455" s="22">
        <f>IFERROR(INDEX(Linha!$B$5:$B$788,MATCH(A455,Linha!$A$5:$A$788,0)),"NÃO CADASTRADO")</f>
      </c>
      <c r="I455" s="22">
        <f>IFERROR(INDEX(Linha!$C$5:$C$788,MATCH(A455,Linha!$A$5:$A$788,0)),"-")</f>
      </c>
      <c r="J455" s="23">
        <v>266</v>
      </c>
      <c r="K455" s="24">
        <f>IFERROR(INDEX(Linha!$D$5:$D$788,MATCH(A455,Linha!$A$5:$A$788,0))*1,0)</f>
      </c>
      <c r="L455" s="24">
        <f>SUMIFS(Reservas!$K$5:$K$3669,Reservas!$A$5:$A$3669,A455)</f>
      </c>
      <c r="M455" s="25">
        <f>J455-L455</f>
      </c>
      <c r="N455" s="26">
        <v>56.55</v>
      </c>
      <c r="O455" s="25">
        <f>J455*N455</f>
      </c>
      <c r="P455" s="25">
        <f>L455*N455</f>
      </c>
      <c r="Q455" s="27">
        <v>224.52352835</v>
      </c>
      <c r="R455" s="28">
        <f>J455*Q455</f>
      </c>
      <c r="S455" s="28">
        <f>L455*Q455</f>
      </c>
      <c r="T455" s="29">
        <f>IF(J455=0,0,L455/J455)</f>
      </c>
      <c r="U455" s="30">
        <f>IFERROR(INDEX(Paletes!$C$5:$C$393,MATCH(B455,Paletes!$A$5:$A$393,0)),"SEM CADASTRO")</f>
      </c>
      <c r="V455" s="24">
        <f>IFERROR(INDEX(Paletes!$D$5:$D$393,MATCH(B455,Paletes!$A$5:$A$393,0)),0)</f>
      </c>
      <c r="W455" s="31">
        <f>IF(V455=0,0,J455/V455)</f>
      </c>
      <c r="X455" s="31">
        <f>IF(V455=0,0,MAX(M455,0)/V455)</f>
      </c>
    </row>
    <row r="456" spans="1:24" x14ac:dyDescent="0.25">
      <c r="A456" s="32" t="str">
        <f>B456&amp;"."&amp;IFERROR(MID(D456,FIND("(",D456)+1,FIND(")",D456)-FIND("(",D456)-1),"")</f>
        <v>73280.16331</v>
      </c>
      <c r="B456" s="33">
        <v>73280</v>
      </c>
      <c r="C456" s="32" t="s">
        <v>152</v>
      </c>
      <c r="D456" s="32" t="s">
        <v>761</v>
      </c>
      <c r="E456" s="32">
        <v>59518</v>
      </c>
      <c r="F456" s="32" t="s">
        <v>24</v>
      </c>
      <c r="G456" s="32" t="s">
        <v>51</v>
      </c>
      <c r="H456" s="34">
        <f>IFERROR(INDEX(Linha!$B$5:$B$788,MATCH(A456,Linha!$A$5:$A$788,0)),"NÃO CADASTRADO")</f>
      </c>
      <c r="I456" s="34">
        <f>IFERROR(INDEX(Linha!$C$5:$C$788,MATCH(A456,Linha!$A$5:$A$788,0)),"-")</f>
      </c>
      <c r="J456" s="35">
        <v>20</v>
      </c>
      <c r="K456" s="36">
        <f>IFERROR(INDEX(Linha!$D$5:$D$788,MATCH(A456,Linha!$A$5:$A$788,0))*1,0)</f>
      </c>
      <c r="L456" s="36">
        <f>SUMIFS(Reservas!$K$5:$K$3669,Reservas!$A$5:$A$3669,A456)</f>
      </c>
      <c r="M456" s="37">
        <f>J456-L456</f>
      </c>
      <c r="N456" s="38">
        <v>44.85</v>
      </c>
      <c r="O456" s="37">
        <f>J456*N456</f>
      </c>
      <c r="P456" s="37">
        <f>L456*N456</f>
      </c>
      <c r="Q456" s="39">
        <v>214.73919153</v>
      </c>
      <c r="R456" s="40">
        <f>J456*Q456</f>
      </c>
      <c r="S456" s="40">
        <f>L456*Q456</f>
      </c>
      <c r="T456" s="41">
        <f>IF(J456=0,0,L456/J456)</f>
      </c>
      <c r="U456" s="42">
        <f>IFERROR(INDEX(Paletes!$C$5:$C$393,MATCH(B456,Paletes!$A$5:$A$393,0)),"SEM CADASTRO")</f>
      </c>
      <c r="V456" s="36">
        <f>IFERROR(INDEX(Paletes!$D$5:$D$393,MATCH(B456,Paletes!$A$5:$A$393,0)),0)</f>
      </c>
      <c r="W456" s="43">
        <f>IF(V456=0,0,J456/V456)</f>
      </c>
      <c r="X456" s="43">
        <f>IF(V456=0,0,MAX(M456,0)/V456)</f>
      </c>
    </row>
    <row r="457" spans="1:24" x14ac:dyDescent="0.25">
      <c r="A457" s="20" t="str">
        <f>B457&amp;"."&amp;IFERROR(MID(D457,FIND("(",D457)+1,FIND(")",D457)-FIND("(",D457)-1),"")</f>
        <v>73534.20168</v>
      </c>
      <c r="B457" s="21">
        <v>73534</v>
      </c>
      <c r="C457" s="20" t="s">
        <v>311</v>
      </c>
      <c r="D457" s="20" t="s">
        <v>762</v>
      </c>
      <c r="E457" s="20">
        <v>65348</v>
      </c>
      <c r="F457" s="20" t="s">
        <v>25</v>
      </c>
      <c r="G457" s="20" t="s">
        <v>51</v>
      </c>
      <c r="H457" s="22">
        <f>IFERROR(INDEX(Linha!$B$5:$B$788,MATCH(A457,Linha!$A$5:$A$788,0)),"NÃO CADASTRADO")</f>
      </c>
      <c r="I457" s="22">
        <f>IFERROR(INDEX(Linha!$C$5:$C$788,MATCH(A457,Linha!$A$5:$A$788,0)),"-")</f>
      </c>
      <c r="J457" s="23">
        <v>5</v>
      </c>
      <c r="K457" s="24">
        <f>IFERROR(INDEX(Linha!$D$5:$D$788,MATCH(A457,Linha!$A$5:$A$788,0))*1,0)</f>
      </c>
      <c r="L457" s="24">
        <f>SUMIFS(Reservas!$K$5:$K$3669,Reservas!$A$5:$A$3669,A457)</f>
      </c>
      <c r="M457" s="25">
        <f>J457-L457</f>
      </c>
      <c r="N457" s="26">
        <v>11.358</v>
      </c>
      <c r="O457" s="25">
        <f>J457*N457</f>
      </c>
      <c r="P457" s="25">
        <f>L457*N457</f>
      </c>
      <c r="Q457" s="27">
        <v>98.06530468</v>
      </c>
      <c r="R457" s="28">
        <f>J457*Q457</f>
      </c>
      <c r="S457" s="28">
        <f>L457*Q457</f>
      </c>
      <c r="T457" s="29">
        <f>IF(J457=0,0,L457/J457)</f>
      </c>
      <c r="U457" s="30">
        <f>IFERROR(INDEX(Paletes!$C$5:$C$393,MATCH(B457,Paletes!$A$5:$A$393,0)),"SEM CADASTRO")</f>
      </c>
      <c r="V457" s="24">
        <f>IFERROR(INDEX(Paletes!$D$5:$D$393,MATCH(B457,Paletes!$A$5:$A$393,0)),0)</f>
      </c>
      <c r="W457" s="31">
        <f>IF(V457=0,0,J457/V457)</f>
      </c>
      <c r="X457" s="31">
        <f>IF(V457=0,0,MAX(M457,0)/V457)</f>
      </c>
    </row>
    <row r="458" spans="1:24" x14ac:dyDescent="0.25">
      <c r="A458" s="32" t="str">
        <f>B458&amp;"."&amp;IFERROR(MID(D458,FIND("(",D458)+1,FIND(")",D458)-FIND("(",D458)-1),"")</f>
        <v>73534.16698</v>
      </c>
      <c r="B458" s="33">
        <v>73534</v>
      </c>
      <c r="C458" s="32" t="s">
        <v>311</v>
      </c>
      <c r="D458" s="32" t="s">
        <v>763</v>
      </c>
      <c r="E458" s="32">
        <v>65348</v>
      </c>
      <c r="F458" s="32" t="s">
        <v>25</v>
      </c>
      <c r="G458" s="32" t="s">
        <v>51</v>
      </c>
      <c r="H458" s="34">
        <f>IFERROR(INDEX(Linha!$B$5:$B$788,MATCH(A458,Linha!$A$5:$A$788,0)),"NÃO CADASTRADO")</f>
      </c>
      <c r="I458" s="34">
        <f>IFERROR(INDEX(Linha!$C$5:$C$788,MATCH(A458,Linha!$A$5:$A$788,0)),"-")</f>
      </c>
      <c r="J458" s="35">
        <v>1</v>
      </c>
      <c r="K458" s="36">
        <f>IFERROR(INDEX(Linha!$D$5:$D$788,MATCH(A458,Linha!$A$5:$A$788,0))*1,0)</f>
      </c>
      <c r="L458" s="36">
        <f>SUMIFS(Reservas!$K$5:$K$3669,Reservas!$A$5:$A$3669,A458)</f>
      </c>
      <c r="M458" s="37">
        <f>J458-L458</f>
      </c>
      <c r="N458" s="38">
        <v>11.358</v>
      </c>
      <c r="O458" s="37">
        <f>J458*N458</f>
      </c>
      <c r="P458" s="37">
        <f>L458*N458</f>
      </c>
      <c r="Q458" s="39">
        <v>94.38697218</v>
      </c>
      <c r="R458" s="40">
        <f>J458*Q458</f>
      </c>
      <c r="S458" s="40">
        <f>L458*Q458</f>
      </c>
      <c r="T458" s="41">
        <f>IF(J458=0,0,L458/J458)</f>
      </c>
      <c r="U458" s="42">
        <f>IFERROR(INDEX(Paletes!$C$5:$C$393,MATCH(B458,Paletes!$A$5:$A$393,0)),"SEM CADASTRO")</f>
      </c>
      <c r="V458" s="36">
        <f>IFERROR(INDEX(Paletes!$D$5:$D$393,MATCH(B458,Paletes!$A$5:$A$393,0)),0)</f>
      </c>
      <c r="W458" s="43">
        <f>IF(V458=0,0,J458/V458)</f>
      </c>
      <c r="X458" s="43">
        <f>IF(V458=0,0,MAX(M458,0)/V458)</f>
      </c>
    </row>
    <row r="459" spans="1:24" x14ac:dyDescent="0.25">
      <c r="A459" s="20" t="str">
        <f>B459&amp;"."&amp;IFERROR(MID(D459,FIND("(",D459)+1,FIND(")",D459)-FIND("(",D459)-1),"")</f>
        <v>73534.16699</v>
      </c>
      <c r="B459" s="21">
        <v>73534</v>
      </c>
      <c r="C459" s="20" t="s">
        <v>311</v>
      </c>
      <c r="D459" s="20" t="s">
        <v>764</v>
      </c>
      <c r="E459" s="20">
        <v>65348</v>
      </c>
      <c r="F459" s="20" t="s">
        <v>25</v>
      </c>
      <c r="G459" s="20" t="s">
        <v>51</v>
      </c>
      <c r="H459" s="22">
        <f>IFERROR(INDEX(Linha!$B$5:$B$788,MATCH(A459,Linha!$A$5:$A$788,0)),"NÃO CADASTRADO")</f>
      </c>
      <c r="I459" s="22">
        <f>IFERROR(INDEX(Linha!$C$5:$C$788,MATCH(A459,Linha!$A$5:$A$788,0)),"-")</f>
      </c>
      <c r="J459" s="23">
        <v>0</v>
      </c>
      <c r="K459" s="24">
        <f>IFERROR(INDEX(Linha!$D$5:$D$788,MATCH(A459,Linha!$A$5:$A$788,0))*1,0)</f>
      </c>
      <c r="L459" s="24">
        <f>SUMIFS(Reservas!$K$5:$K$3669,Reservas!$A$5:$A$3669,A459)</f>
      </c>
      <c r="M459" s="25">
        <f>J459-L459</f>
      </c>
      <c r="N459" s="26">
        <v>11.358</v>
      </c>
      <c r="O459" s="25">
        <f>J459*N459</f>
      </c>
      <c r="P459" s="25">
        <f>L459*N459</f>
      </c>
      <c r="Q459" s="27">
        <v>82.70530468</v>
      </c>
      <c r="R459" s="28">
        <f>J459*Q459</f>
      </c>
      <c r="S459" s="28">
        <f>L459*Q459</f>
      </c>
      <c r="T459" s="29">
        <f>IF(J459=0,0,L459/J459)</f>
      </c>
      <c r="U459" s="30">
        <f>IFERROR(INDEX(Paletes!$C$5:$C$393,MATCH(B459,Paletes!$A$5:$A$393,0)),"SEM CADASTRO")</f>
      </c>
      <c r="V459" s="24">
        <f>IFERROR(INDEX(Paletes!$D$5:$D$393,MATCH(B459,Paletes!$A$5:$A$393,0)),0)</f>
      </c>
      <c r="W459" s="31">
        <f>IF(V459=0,0,J459/V459)</f>
      </c>
      <c r="X459" s="31">
        <f>IF(V459=0,0,MAX(M459,0)/V459)</f>
      </c>
    </row>
    <row r="460" spans="1:24" x14ac:dyDescent="0.25">
      <c r="A460" s="32" t="str">
        <f>B460&amp;"."&amp;IFERROR(MID(D460,FIND("(",D460)+1,FIND(")",D460)-FIND("(",D460)-1),"")</f>
        <v>73141.15982</v>
      </c>
      <c r="B460" s="33">
        <v>73141</v>
      </c>
      <c r="C460" s="32" t="s">
        <v>610</v>
      </c>
      <c r="D460" s="32" t="s">
        <v>765</v>
      </c>
      <c r="E460" s="32">
        <v>67917</v>
      </c>
      <c r="F460" s="32" t="s">
        <v>24</v>
      </c>
      <c r="G460" s="32" t="s">
        <v>51</v>
      </c>
      <c r="H460" s="34">
        <f>IFERROR(INDEX(Linha!$B$5:$B$788,MATCH(A460,Linha!$A$5:$A$788,0)),"NÃO CADASTRADO")</f>
      </c>
      <c r="I460" s="34">
        <f>IFERROR(INDEX(Linha!$C$5:$C$788,MATCH(A460,Linha!$A$5:$A$788,0)),"-")</f>
      </c>
      <c r="J460" s="35">
        <v>689</v>
      </c>
      <c r="K460" s="36">
        <f>IFERROR(INDEX(Linha!$D$5:$D$788,MATCH(A460,Linha!$A$5:$A$788,0))*1,0)</f>
      </c>
      <c r="L460" s="36">
        <f>SUMIFS(Reservas!$K$5:$K$3669,Reservas!$A$5:$A$3669,A460)</f>
      </c>
      <c r="M460" s="37">
        <f>J460-L460</f>
      </c>
      <c r="N460" s="38">
        <v>19.5</v>
      </c>
      <c r="O460" s="37">
        <f>J460*N460</f>
      </c>
      <c r="P460" s="37">
        <f>L460*N460</f>
      </c>
      <c r="Q460" s="39">
        <v>65.81133586</v>
      </c>
      <c r="R460" s="40">
        <f>J460*Q460</f>
      </c>
      <c r="S460" s="40">
        <f>L460*Q460</f>
      </c>
      <c r="T460" s="41">
        <f>IF(J460=0,0,L460/J460)</f>
      </c>
      <c r="U460" s="42">
        <f>IFERROR(INDEX(Paletes!$C$5:$C$393,MATCH(B460,Paletes!$A$5:$A$393,0)),"SEM CADASTRO")</f>
      </c>
      <c r="V460" s="36">
        <f>IFERROR(INDEX(Paletes!$D$5:$D$393,MATCH(B460,Paletes!$A$5:$A$393,0)),0)</f>
      </c>
      <c r="W460" s="43">
        <f>IF(V460=0,0,J460/V460)</f>
      </c>
      <c r="X460" s="43">
        <f>IF(V460=0,0,MAX(M460,0)/V460)</f>
      </c>
    </row>
    <row r="461" spans="1:24" x14ac:dyDescent="0.25">
      <c r="A461" s="20" t="str">
        <f>B461&amp;"."&amp;IFERROR(MID(D461,FIND("(",D461)+1,FIND(")",D461)-FIND("(",D461)-1),"")</f>
        <v>73141.15983</v>
      </c>
      <c r="B461" s="21">
        <v>73141</v>
      </c>
      <c r="C461" s="20" t="s">
        <v>610</v>
      </c>
      <c r="D461" s="20" t="s">
        <v>766</v>
      </c>
      <c r="E461" s="20">
        <v>67917</v>
      </c>
      <c r="F461" s="20" t="s">
        <v>24</v>
      </c>
      <c r="G461" s="20" t="s">
        <v>51</v>
      </c>
      <c r="H461" s="22">
        <f>IFERROR(INDEX(Linha!$B$5:$B$788,MATCH(A461,Linha!$A$5:$A$788,0)),"NÃO CADASTRADO")</f>
      </c>
      <c r="I461" s="22">
        <f>IFERROR(INDEX(Linha!$C$5:$C$788,MATCH(A461,Linha!$A$5:$A$788,0)),"-")</f>
      </c>
      <c r="J461" s="23">
        <v>324</v>
      </c>
      <c r="K461" s="24">
        <f>IFERROR(INDEX(Linha!$D$5:$D$788,MATCH(A461,Linha!$A$5:$A$788,0))*1,0)</f>
      </c>
      <c r="L461" s="24">
        <f>SUMIFS(Reservas!$K$5:$K$3669,Reservas!$A$5:$A$3669,A461)</f>
      </c>
      <c r="M461" s="25">
        <f>J461-L461</f>
      </c>
      <c r="N461" s="26">
        <v>19.5</v>
      </c>
      <c r="O461" s="25">
        <f>J461*N461</f>
      </c>
      <c r="P461" s="25">
        <f>L461*N461</f>
      </c>
      <c r="Q461" s="27">
        <v>60.87135427</v>
      </c>
      <c r="R461" s="28">
        <f>J461*Q461</f>
      </c>
      <c r="S461" s="28">
        <f>L461*Q461</f>
      </c>
      <c r="T461" s="29">
        <f>IF(J461=0,0,L461/J461)</f>
      </c>
      <c r="U461" s="30">
        <f>IFERROR(INDEX(Paletes!$C$5:$C$393,MATCH(B461,Paletes!$A$5:$A$393,0)),"SEM CADASTRO")</f>
      </c>
      <c r="V461" s="24">
        <f>IFERROR(INDEX(Paletes!$D$5:$D$393,MATCH(B461,Paletes!$A$5:$A$393,0)),0)</f>
      </c>
      <c r="W461" s="31">
        <f>IF(V461=0,0,J461/V461)</f>
      </c>
      <c r="X461" s="31">
        <f>IF(V461=0,0,MAX(M461,0)/V461)</f>
      </c>
    </row>
    <row r="462" spans="1:24" x14ac:dyDescent="0.25">
      <c r="A462" s="32" t="str">
        <f>B462&amp;"."&amp;IFERROR(MID(D462,FIND("(",D462)+1,FIND(")",D462)-FIND("(",D462)-1),"")</f>
        <v>73174.15550</v>
      </c>
      <c r="B462" s="33">
        <v>73174</v>
      </c>
      <c r="C462" s="32" t="s">
        <v>767</v>
      </c>
      <c r="D462" s="32" t="s">
        <v>768</v>
      </c>
      <c r="E462" s="32">
        <v>67924</v>
      </c>
      <c r="F462" s="32" t="s">
        <v>24</v>
      </c>
      <c r="G462" s="32" t="s">
        <v>51</v>
      </c>
      <c r="H462" s="34">
        <f>IFERROR(INDEX(Linha!$B$5:$B$788,MATCH(A462,Linha!$A$5:$A$788,0)),"NÃO CADASTRADO")</f>
      </c>
      <c r="I462" s="34">
        <f>IFERROR(INDEX(Linha!$C$5:$C$788,MATCH(A462,Linha!$A$5:$A$788,0)),"-")</f>
      </c>
      <c r="J462" s="35">
        <v>192</v>
      </c>
      <c r="K462" s="36">
        <f>IFERROR(INDEX(Linha!$D$5:$D$788,MATCH(A462,Linha!$A$5:$A$788,0))*1,0)</f>
      </c>
      <c r="L462" s="36">
        <f>SUMIFS(Reservas!$K$5:$K$3669,Reservas!$A$5:$A$3669,A462)</f>
      </c>
      <c r="M462" s="37">
        <f>J462-L462</f>
      </c>
      <c r="N462" s="38">
        <v>18.52</v>
      </c>
      <c r="O462" s="37">
        <f>J462*N462</f>
      </c>
      <c r="P462" s="37">
        <f>L462*N462</f>
      </c>
      <c r="Q462" s="39">
        <v>51.26311027</v>
      </c>
      <c r="R462" s="40">
        <f>J462*Q462</f>
      </c>
      <c r="S462" s="40">
        <f>L462*Q462</f>
      </c>
      <c r="T462" s="41">
        <f>IF(J462=0,0,L462/J462)</f>
      </c>
      <c r="U462" s="42">
        <f>IFERROR(INDEX(Paletes!$C$5:$C$393,MATCH(B462,Paletes!$A$5:$A$393,0)),"SEM CADASTRO")</f>
      </c>
      <c r="V462" s="36">
        <f>IFERROR(INDEX(Paletes!$D$5:$D$393,MATCH(B462,Paletes!$A$5:$A$393,0)),0)</f>
      </c>
      <c r="W462" s="43">
        <f>IF(V462=0,0,J462/V462)</f>
      </c>
      <c r="X462" s="43">
        <f>IF(V462=0,0,MAX(M462,0)/V462)</f>
      </c>
    </row>
    <row r="463" spans="1:24" x14ac:dyDescent="0.25">
      <c r="A463" s="20" t="str">
        <f>B463&amp;"."&amp;IFERROR(MID(D463,FIND("(",D463)+1,FIND(")",D463)-FIND("(",D463)-1),"")</f>
        <v>2317.12306</v>
      </c>
      <c r="B463" s="21">
        <v>2317</v>
      </c>
      <c r="C463" s="20" t="s">
        <v>769</v>
      </c>
      <c r="D463" s="20" t="s">
        <v>770</v>
      </c>
      <c r="E463" s="20">
        <v>73369</v>
      </c>
      <c r="F463" s="20" t="s">
        <v>26</v>
      </c>
      <c r="G463" s="20" t="s">
        <v>51</v>
      </c>
      <c r="H463" s="22">
        <f>IFERROR(INDEX(Linha!$B$5:$B$788,MATCH(A463,Linha!$A$5:$A$788,0)),"NÃO CADASTRADO")</f>
      </c>
      <c r="I463" s="22">
        <f>IFERROR(INDEX(Linha!$C$5:$C$788,MATCH(A463,Linha!$A$5:$A$788,0)),"-")</f>
      </c>
      <c r="J463" s="23">
        <v>544</v>
      </c>
      <c r="K463" s="24">
        <f>IFERROR(INDEX(Linha!$D$5:$D$788,MATCH(A463,Linha!$A$5:$A$788,0))*1,0)</f>
      </c>
      <c r="L463" s="24">
        <f>SUMIFS(Reservas!$K$5:$K$3669,Reservas!$A$5:$A$3669,A463)</f>
      </c>
      <c r="M463" s="25">
        <f>J463-L463</f>
      </c>
      <c r="N463" s="26">
        <v>59.377</v>
      </c>
      <c r="O463" s="25">
        <f>J463*N463</f>
      </c>
      <c r="P463" s="25">
        <f>L463*N463</f>
      </c>
      <c r="Q463" s="27">
        <v>295.76370346</v>
      </c>
      <c r="R463" s="28">
        <f>J463*Q463</f>
      </c>
      <c r="S463" s="28">
        <f>L463*Q463</f>
      </c>
      <c r="T463" s="29">
        <f>IF(J463=0,0,L463/J463)</f>
      </c>
      <c r="U463" s="30">
        <f>IFERROR(INDEX(Paletes!$C$5:$C$393,MATCH(B463,Paletes!$A$5:$A$393,0)),"SEM CADASTRO")</f>
      </c>
      <c r="V463" s="24">
        <f>IFERROR(INDEX(Paletes!$D$5:$D$393,MATCH(B463,Paletes!$A$5:$A$393,0)),0)</f>
      </c>
      <c r="W463" s="31">
        <f>IF(V463=0,0,J463/V463)</f>
      </c>
      <c r="X463" s="31">
        <f>IF(V463=0,0,MAX(M463,0)/V463)</f>
      </c>
    </row>
    <row r="464" spans="1:24" x14ac:dyDescent="0.25">
      <c r="A464" s="32" t="str">
        <f>B464&amp;"."&amp;IFERROR(MID(D464,FIND("(",D464)+1,FIND(")",D464)-FIND("(",D464)-1),"")</f>
        <v>2318.12318</v>
      </c>
      <c r="B464" s="33">
        <v>2318</v>
      </c>
      <c r="C464" s="32" t="s">
        <v>771</v>
      </c>
      <c r="D464" s="32" t="s">
        <v>772</v>
      </c>
      <c r="E464" s="32">
        <v>73371</v>
      </c>
      <c r="F464" s="32" t="s">
        <v>26</v>
      </c>
      <c r="G464" s="32" t="s">
        <v>51</v>
      </c>
      <c r="H464" s="34">
        <f>IFERROR(INDEX(Linha!$B$5:$B$788,MATCH(A464,Linha!$A$5:$A$788,0)),"NÃO CADASTRADO")</f>
      </c>
      <c r="I464" s="34">
        <f>IFERROR(INDEX(Linha!$C$5:$C$788,MATCH(A464,Linha!$A$5:$A$788,0)),"-")</f>
      </c>
      <c r="J464" s="35">
        <v>5</v>
      </c>
      <c r="K464" s="36">
        <f>IFERROR(INDEX(Linha!$D$5:$D$788,MATCH(A464,Linha!$A$5:$A$788,0))*1,0)</f>
      </c>
      <c r="L464" s="36">
        <f>SUMIFS(Reservas!$K$5:$K$3669,Reservas!$A$5:$A$3669,A464)</f>
      </c>
      <c r="M464" s="37">
        <f>J464-L464</f>
      </c>
      <c r="N464" s="38">
        <v>38.171</v>
      </c>
      <c r="O464" s="37">
        <f>J464*N464</f>
      </c>
      <c r="P464" s="37">
        <f>L464*N464</f>
      </c>
      <c r="Q464" s="39">
        <v>119.41141994</v>
      </c>
      <c r="R464" s="40">
        <f>J464*Q464</f>
      </c>
      <c r="S464" s="40">
        <f>L464*Q464</f>
      </c>
      <c r="T464" s="41">
        <f>IF(J464=0,0,L464/J464)</f>
      </c>
      <c r="U464" s="42">
        <f>IFERROR(INDEX(Paletes!$C$5:$C$393,MATCH(B464,Paletes!$A$5:$A$393,0)),"SEM CADASTRO")</f>
      </c>
      <c r="V464" s="36">
        <f>IFERROR(INDEX(Paletes!$D$5:$D$393,MATCH(B464,Paletes!$A$5:$A$393,0)),0)</f>
      </c>
      <c r="W464" s="43">
        <f>IF(V464=0,0,J464/V464)</f>
      </c>
      <c r="X464" s="43">
        <f>IF(V464=0,0,MAX(M464,0)/V464)</f>
      </c>
    </row>
    <row r="465" spans="1:24" x14ac:dyDescent="0.25">
      <c r="A465" s="20" t="str">
        <f>B465&amp;"."&amp;IFERROR(MID(D465,FIND("(",D465)+1,FIND(")",D465)-FIND("(",D465)-1),"")</f>
        <v>2320.13076</v>
      </c>
      <c r="B465" s="21">
        <v>2320</v>
      </c>
      <c r="C465" s="20" t="s">
        <v>325</v>
      </c>
      <c r="D465" s="20" t="s">
        <v>773</v>
      </c>
      <c r="E465" s="20">
        <v>73373</v>
      </c>
      <c r="F465" s="20" t="s">
        <v>26</v>
      </c>
      <c r="G465" s="20" t="s">
        <v>51</v>
      </c>
      <c r="H465" s="22">
        <f>IFERROR(INDEX(Linha!$B$5:$B$788,MATCH(A465,Linha!$A$5:$A$788,0)),"NÃO CADASTRADO")</f>
      </c>
      <c r="I465" s="22">
        <f>IFERROR(INDEX(Linha!$C$5:$C$788,MATCH(A465,Linha!$A$5:$A$788,0)),"-")</f>
      </c>
      <c r="J465" s="23">
        <v>10</v>
      </c>
      <c r="K465" s="24">
        <f>IFERROR(INDEX(Linha!$D$5:$D$788,MATCH(A465,Linha!$A$5:$A$788,0))*1,0)</f>
      </c>
      <c r="L465" s="24">
        <f>SUMIFS(Reservas!$K$5:$K$3669,Reservas!$A$5:$A$3669,A465)</f>
      </c>
      <c r="M465" s="25">
        <f>J465-L465</f>
      </c>
      <c r="N465" s="26">
        <v>57.622</v>
      </c>
      <c r="O465" s="25">
        <f>J465*N465</f>
      </c>
      <c r="P465" s="25">
        <f>L465*N465</f>
      </c>
      <c r="Q465" s="27">
        <v>184.12453921</v>
      </c>
      <c r="R465" s="28">
        <f>J465*Q465</f>
      </c>
      <c r="S465" s="28">
        <f>L465*Q465</f>
      </c>
      <c r="T465" s="29">
        <f>IF(J465=0,0,L465/J465)</f>
      </c>
      <c r="U465" s="30">
        <f>IFERROR(INDEX(Paletes!$C$5:$C$393,MATCH(B465,Paletes!$A$5:$A$393,0)),"SEM CADASTRO")</f>
      </c>
      <c r="V465" s="24">
        <f>IFERROR(INDEX(Paletes!$D$5:$D$393,MATCH(B465,Paletes!$A$5:$A$393,0)),0)</f>
      </c>
      <c r="W465" s="31">
        <f>IF(V465=0,0,J465/V465)</f>
      </c>
      <c r="X465" s="31">
        <f>IF(V465=0,0,MAX(M465,0)/V465)</f>
      </c>
    </row>
    <row r="466" spans="1:24" x14ac:dyDescent="0.25">
      <c r="A466" s="32" t="str">
        <f>B466&amp;"."&amp;IFERROR(MID(D466,FIND("(",D466)+1,FIND(")",D466)-FIND("(",D466)-1),"")</f>
        <v>73540.16032</v>
      </c>
      <c r="B466" s="33">
        <v>73540</v>
      </c>
      <c r="C466" s="32" t="s">
        <v>163</v>
      </c>
      <c r="D466" s="32" t="s">
        <v>774</v>
      </c>
      <c r="E466" s="32">
        <v>73512</v>
      </c>
      <c r="F466" s="32" t="s">
        <v>25</v>
      </c>
      <c r="G466" s="32" t="s">
        <v>51</v>
      </c>
      <c r="H466" s="34">
        <f>IFERROR(INDEX(Linha!$B$5:$B$788,MATCH(A466,Linha!$A$5:$A$788,0)),"NÃO CADASTRADO")</f>
      </c>
      <c r="I466" s="34">
        <f>IFERROR(INDEX(Linha!$C$5:$C$788,MATCH(A466,Linha!$A$5:$A$788,0)),"-")</f>
      </c>
      <c r="J466" s="35">
        <v>211</v>
      </c>
      <c r="K466" s="36">
        <f>IFERROR(INDEX(Linha!$D$5:$D$788,MATCH(A466,Linha!$A$5:$A$788,0))*1,0)</f>
      </c>
      <c r="L466" s="36">
        <f>SUMIFS(Reservas!$K$5:$K$3669,Reservas!$A$5:$A$3669,A466)</f>
      </c>
      <c r="M466" s="37">
        <f>J466-L466</f>
      </c>
      <c r="N466" s="38">
        <v>3.9</v>
      </c>
      <c r="O466" s="37">
        <f>J466*N466</f>
      </c>
      <c r="P466" s="37">
        <f>L466*N466</f>
      </c>
      <c r="Q466" s="39">
        <v>26.09998431</v>
      </c>
      <c r="R466" s="40">
        <f>J466*Q466</f>
      </c>
      <c r="S466" s="40">
        <f>L466*Q466</f>
      </c>
      <c r="T466" s="41">
        <f>IF(J466=0,0,L466/J466)</f>
      </c>
      <c r="U466" s="42">
        <f>IFERROR(INDEX(Paletes!$C$5:$C$393,MATCH(B466,Paletes!$A$5:$A$393,0)),"SEM CADASTRO")</f>
      </c>
      <c r="V466" s="36">
        <f>IFERROR(INDEX(Paletes!$D$5:$D$393,MATCH(B466,Paletes!$A$5:$A$393,0)),0)</f>
      </c>
      <c r="W466" s="43">
        <f>IF(V466=0,0,J466/V466)</f>
      </c>
      <c r="X466" s="43">
        <f>IF(V466=0,0,MAX(M466,0)/V466)</f>
      </c>
    </row>
    <row r="467" spans="1:24" x14ac:dyDescent="0.25">
      <c r="A467" s="20" t="str">
        <f>B467&amp;"."&amp;IFERROR(MID(D467,FIND("(",D467)+1,FIND(")",D467)-FIND("(",D467)-1),"")</f>
        <v>73540.16033</v>
      </c>
      <c r="B467" s="21">
        <v>73540</v>
      </c>
      <c r="C467" s="20" t="s">
        <v>163</v>
      </c>
      <c r="D467" s="20" t="s">
        <v>775</v>
      </c>
      <c r="E467" s="20">
        <v>73512</v>
      </c>
      <c r="F467" s="20" t="s">
        <v>25</v>
      </c>
      <c r="G467" s="20" t="s">
        <v>51</v>
      </c>
      <c r="H467" s="22">
        <f>IFERROR(INDEX(Linha!$B$5:$B$788,MATCH(A467,Linha!$A$5:$A$788,0)),"NÃO CADASTRADO")</f>
      </c>
      <c r="I467" s="22">
        <f>IFERROR(INDEX(Linha!$C$5:$C$788,MATCH(A467,Linha!$A$5:$A$788,0)),"-")</f>
      </c>
      <c r="J467" s="23">
        <v>87</v>
      </c>
      <c r="K467" s="24">
        <f>IFERROR(INDEX(Linha!$D$5:$D$788,MATCH(A467,Linha!$A$5:$A$788,0))*1,0)</f>
      </c>
      <c r="L467" s="24">
        <f>SUMIFS(Reservas!$K$5:$K$3669,Reservas!$A$5:$A$3669,A467)</f>
      </c>
      <c r="M467" s="25">
        <f>J467-L467</f>
      </c>
      <c r="N467" s="26">
        <v>3.9</v>
      </c>
      <c r="O467" s="25">
        <f>J467*N467</f>
      </c>
      <c r="P467" s="25">
        <f>L467*N467</f>
      </c>
      <c r="Q467" s="27">
        <v>24.7751341</v>
      </c>
      <c r="R467" s="28">
        <f>J467*Q467</f>
      </c>
      <c r="S467" s="28">
        <f>L467*Q467</f>
      </c>
      <c r="T467" s="29">
        <f>IF(J467=0,0,L467/J467)</f>
      </c>
      <c r="U467" s="30">
        <f>IFERROR(INDEX(Paletes!$C$5:$C$393,MATCH(B467,Paletes!$A$5:$A$393,0)),"SEM CADASTRO")</f>
      </c>
      <c r="V467" s="24">
        <f>IFERROR(INDEX(Paletes!$D$5:$D$393,MATCH(B467,Paletes!$A$5:$A$393,0)),0)</f>
      </c>
      <c r="W467" s="31">
        <f>IF(V467=0,0,J467/V467)</f>
      </c>
      <c r="X467" s="31">
        <f>IF(V467=0,0,MAX(M467,0)/V467)</f>
      </c>
    </row>
    <row r="468" spans="1:24" x14ac:dyDescent="0.25">
      <c r="A468" s="32" t="str">
        <f>B468&amp;"."&amp;IFERROR(MID(D468,FIND("(",D468)+1,FIND(")",D468)-FIND("(",D468)-1),"")</f>
        <v>73540.55584</v>
      </c>
      <c r="B468" s="33">
        <v>73540</v>
      </c>
      <c r="C468" s="32" t="s">
        <v>163</v>
      </c>
      <c r="D468" s="32" t="s">
        <v>776</v>
      </c>
      <c r="E468" s="32">
        <v>73512</v>
      </c>
      <c r="F468" s="32" t="s">
        <v>25</v>
      </c>
      <c r="G468" s="32" t="s">
        <v>51</v>
      </c>
      <c r="H468" s="34">
        <f>IFERROR(INDEX(Linha!$B$5:$B$788,MATCH(A468,Linha!$A$5:$A$788,0)),"NÃO CADASTRADO")</f>
      </c>
      <c r="I468" s="34">
        <f>IFERROR(INDEX(Linha!$C$5:$C$788,MATCH(A468,Linha!$A$5:$A$788,0)),"-")</f>
      </c>
      <c r="J468" s="35">
        <v>145</v>
      </c>
      <c r="K468" s="36">
        <f>IFERROR(INDEX(Linha!$D$5:$D$788,MATCH(A468,Linha!$A$5:$A$788,0))*1,0)</f>
      </c>
      <c r="L468" s="36">
        <f>SUMIFS(Reservas!$K$5:$K$3669,Reservas!$A$5:$A$3669,A468)</f>
      </c>
      <c r="M468" s="37">
        <f>J468-L468</f>
      </c>
      <c r="N468" s="38">
        <v>3.9</v>
      </c>
      <c r="O468" s="37">
        <f>J468*N468</f>
      </c>
      <c r="P468" s="37">
        <f>L468*N468</f>
      </c>
      <c r="Q468" s="39">
        <v>28.52818821</v>
      </c>
      <c r="R468" s="40">
        <f>J468*Q468</f>
      </c>
      <c r="S468" s="40">
        <f>L468*Q468</f>
      </c>
      <c r="T468" s="41">
        <f>IF(J468=0,0,L468/J468)</f>
      </c>
      <c r="U468" s="42">
        <f>IFERROR(INDEX(Paletes!$C$5:$C$393,MATCH(B468,Paletes!$A$5:$A$393,0)),"SEM CADASTRO")</f>
      </c>
      <c r="V468" s="36">
        <f>IFERROR(INDEX(Paletes!$D$5:$D$393,MATCH(B468,Paletes!$A$5:$A$393,0)),0)</f>
      </c>
      <c r="W468" s="43">
        <f>IF(V468=0,0,J468/V468)</f>
      </c>
      <c r="X468" s="43">
        <f>IF(V468=0,0,MAX(M468,0)/V468)</f>
      </c>
    </row>
    <row r="469" spans="1:24" x14ac:dyDescent="0.25">
      <c r="A469" s="20" t="str">
        <f>B469&amp;"."&amp;IFERROR(MID(D469,FIND("(",D469)+1,FIND(")",D469)-FIND("(",D469)-1),"")</f>
        <v>2239.13884</v>
      </c>
      <c r="B469" s="21">
        <v>2239</v>
      </c>
      <c r="C469" s="20" t="s">
        <v>167</v>
      </c>
      <c r="D469" s="20" t="s">
        <v>777</v>
      </c>
      <c r="E469" s="20">
        <v>73943</v>
      </c>
      <c r="F469" s="20" t="s">
        <v>26</v>
      </c>
      <c r="G469" s="20" t="s">
        <v>51</v>
      </c>
      <c r="H469" s="22">
        <f>IFERROR(INDEX(Linha!$B$5:$B$788,MATCH(A469,Linha!$A$5:$A$788,0)),"NÃO CADASTRADO")</f>
      </c>
      <c r="I469" s="22">
        <f>IFERROR(INDEX(Linha!$C$5:$C$788,MATCH(A469,Linha!$A$5:$A$788,0)),"-")</f>
      </c>
      <c r="J469" s="23">
        <v>126</v>
      </c>
      <c r="K469" s="24">
        <f>IFERROR(INDEX(Linha!$D$5:$D$788,MATCH(A469,Linha!$A$5:$A$788,0))*1,0)</f>
      </c>
      <c r="L469" s="24">
        <f>SUMIFS(Reservas!$K$5:$K$3669,Reservas!$A$5:$A$3669,A469)</f>
      </c>
      <c r="M469" s="25">
        <f>J469-L469</f>
      </c>
      <c r="N469" s="26">
        <v>39.49</v>
      </c>
      <c r="O469" s="25">
        <f>J469*N469</f>
      </c>
      <c r="P469" s="25">
        <f>L469*N469</f>
      </c>
      <c r="Q469" s="27">
        <v>117.48269347</v>
      </c>
      <c r="R469" s="28">
        <f>J469*Q469</f>
      </c>
      <c r="S469" s="28">
        <f>L469*Q469</f>
      </c>
      <c r="T469" s="29">
        <f>IF(J469=0,0,L469/J469)</f>
      </c>
      <c r="U469" s="30">
        <f>IFERROR(INDEX(Paletes!$C$5:$C$393,MATCH(B469,Paletes!$A$5:$A$393,0)),"SEM CADASTRO")</f>
      </c>
      <c r="V469" s="24">
        <f>IFERROR(INDEX(Paletes!$D$5:$D$393,MATCH(B469,Paletes!$A$5:$A$393,0)),0)</f>
      </c>
      <c r="W469" s="31">
        <f>IF(V469=0,0,J469/V469)</f>
      </c>
      <c r="X469" s="31">
        <f>IF(V469=0,0,MAX(M469,0)/V469)</f>
      </c>
    </row>
    <row r="470" spans="1:24" x14ac:dyDescent="0.25">
      <c r="A470" s="32" t="str">
        <f>B470&amp;"."&amp;IFERROR(MID(D470,FIND("(",D470)+1,FIND(")",D470)-FIND("(",D470)-1),"")</f>
        <v>2239.13886</v>
      </c>
      <c r="B470" s="33">
        <v>2239</v>
      </c>
      <c r="C470" s="32" t="s">
        <v>167</v>
      </c>
      <c r="D470" s="32" t="s">
        <v>778</v>
      </c>
      <c r="E470" s="32">
        <v>73943</v>
      </c>
      <c r="F470" s="32" t="s">
        <v>26</v>
      </c>
      <c r="G470" s="32" t="s">
        <v>51</v>
      </c>
      <c r="H470" s="34">
        <f>IFERROR(INDEX(Linha!$B$5:$B$788,MATCH(A470,Linha!$A$5:$A$788,0)),"NÃO CADASTRADO")</f>
      </c>
      <c r="I470" s="34">
        <f>IFERROR(INDEX(Linha!$C$5:$C$788,MATCH(A470,Linha!$A$5:$A$788,0)),"-")</f>
      </c>
      <c r="J470" s="35">
        <v>60</v>
      </c>
      <c r="K470" s="36">
        <f>IFERROR(INDEX(Linha!$D$5:$D$788,MATCH(A470,Linha!$A$5:$A$788,0))*1,0)</f>
      </c>
      <c r="L470" s="36">
        <f>SUMIFS(Reservas!$K$5:$K$3669,Reservas!$A$5:$A$3669,A470)</f>
      </c>
      <c r="M470" s="37">
        <f>J470-L470</f>
      </c>
      <c r="N470" s="38">
        <v>39.49</v>
      </c>
      <c r="O470" s="37">
        <f>J470*N470</f>
      </c>
      <c r="P470" s="37">
        <f>L470*N470</f>
      </c>
      <c r="Q470" s="39">
        <v>118.95261654</v>
      </c>
      <c r="R470" s="40">
        <f>J470*Q470</f>
      </c>
      <c r="S470" s="40">
        <f>L470*Q470</f>
      </c>
      <c r="T470" s="41">
        <f>IF(J470=0,0,L470/J470)</f>
      </c>
      <c r="U470" s="42">
        <f>IFERROR(INDEX(Paletes!$C$5:$C$393,MATCH(B470,Paletes!$A$5:$A$393,0)),"SEM CADASTRO")</f>
      </c>
      <c r="V470" s="36">
        <f>IFERROR(INDEX(Paletes!$D$5:$D$393,MATCH(B470,Paletes!$A$5:$A$393,0)),0)</f>
      </c>
      <c r="W470" s="43">
        <f>IF(V470=0,0,J470/V470)</f>
      </c>
      <c r="X470" s="43">
        <f>IF(V470=0,0,MAX(M470,0)/V470)</f>
      </c>
    </row>
    <row r="471" spans="1:24" x14ac:dyDescent="0.25">
      <c r="A471" s="20" t="str">
        <f>B471&amp;"."&amp;IFERROR(MID(D471,FIND("(",D471)+1,FIND(")",D471)-FIND("(",D471)-1),"")</f>
        <v>73348.16676</v>
      </c>
      <c r="B471" s="21">
        <v>73348</v>
      </c>
      <c r="C471" s="20" t="s">
        <v>779</v>
      </c>
      <c r="D471" s="20" t="s">
        <v>780</v>
      </c>
      <c r="E471" s="20">
        <v>76878</v>
      </c>
      <c r="F471" s="20" t="s">
        <v>25</v>
      </c>
      <c r="G471" s="20" t="s">
        <v>51</v>
      </c>
      <c r="H471" s="22">
        <f>IFERROR(INDEX(Linha!$B$5:$B$788,MATCH(A471,Linha!$A$5:$A$788,0)),"NÃO CADASTRADO")</f>
      </c>
      <c r="I471" s="22">
        <f>IFERROR(INDEX(Linha!$C$5:$C$788,MATCH(A471,Linha!$A$5:$A$788,0)),"-")</f>
      </c>
      <c r="J471" s="23">
        <v>442</v>
      </c>
      <c r="K471" s="24">
        <f>IFERROR(INDEX(Linha!$D$5:$D$788,MATCH(A471,Linha!$A$5:$A$788,0))*1,0)</f>
      </c>
      <c r="L471" s="24">
        <f>SUMIFS(Reservas!$K$5:$K$3669,Reservas!$A$5:$A$3669,A471)</f>
      </c>
      <c r="M471" s="25">
        <f>J471-L471</f>
      </c>
      <c r="N471" s="26">
        <v>21.937</v>
      </c>
      <c r="O471" s="25">
        <f>J471*N471</f>
      </c>
      <c r="P471" s="25">
        <f>L471*N471</f>
      </c>
      <c r="Q471" s="27">
        <v>129.5064022</v>
      </c>
      <c r="R471" s="28">
        <f>J471*Q471</f>
      </c>
      <c r="S471" s="28">
        <f>L471*Q471</f>
      </c>
      <c r="T471" s="29">
        <f>IF(J471=0,0,L471/J471)</f>
      </c>
      <c r="U471" s="30">
        <f>IFERROR(INDEX(Paletes!$C$5:$C$393,MATCH(B471,Paletes!$A$5:$A$393,0)),"SEM CADASTRO")</f>
      </c>
      <c r="V471" s="24">
        <f>IFERROR(INDEX(Paletes!$D$5:$D$393,MATCH(B471,Paletes!$A$5:$A$393,0)),0)</f>
      </c>
      <c r="W471" s="31">
        <f>IF(V471=0,0,J471/V471)</f>
      </c>
      <c r="X471" s="31">
        <f>IF(V471=0,0,MAX(M471,0)/V471)</f>
      </c>
    </row>
    <row r="472" spans="1:24" x14ac:dyDescent="0.25">
      <c r="A472" s="32" t="str">
        <f>B472&amp;"."&amp;IFERROR(MID(D472,FIND("(",D472)+1,FIND(")",D472)-FIND("(",D472)-1),"")</f>
        <v>74493.55291</v>
      </c>
      <c r="B472" s="33">
        <v>74493</v>
      </c>
      <c r="C472" s="32" t="s">
        <v>336</v>
      </c>
      <c r="D472" s="32" t="s">
        <v>781</v>
      </c>
      <c r="E472" s="32">
        <v>77212</v>
      </c>
      <c r="F472" s="32" t="s">
        <v>24</v>
      </c>
      <c r="G472" s="32" t="s">
        <v>51</v>
      </c>
      <c r="H472" s="34">
        <f>IFERROR(INDEX(Linha!$B$5:$B$788,MATCH(A472,Linha!$A$5:$A$788,0)),"NÃO CADASTRADO")</f>
      </c>
      <c r="I472" s="34">
        <f>IFERROR(INDEX(Linha!$C$5:$C$788,MATCH(A472,Linha!$A$5:$A$788,0)),"-")</f>
      </c>
      <c r="J472" s="35">
        <v>2</v>
      </c>
      <c r="K472" s="36">
        <f>IFERROR(INDEX(Linha!$D$5:$D$788,MATCH(A472,Linha!$A$5:$A$788,0))*1,0)</f>
      </c>
      <c r="L472" s="36">
        <f>SUMIFS(Reservas!$K$5:$K$3669,Reservas!$A$5:$A$3669,A472)</f>
      </c>
      <c r="M472" s="37">
        <f>J472-L472</f>
      </c>
      <c r="N472" s="38">
        <v>6.83</v>
      </c>
      <c r="O472" s="37">
        <f>J472*N472</f>
      </c>
      <c r="P472" s="37">
        <f>L472*N472</f>
      </c>
      <c r="Q472" s="39">
        <v>21.60104219</v>
      </c>
      <c r="R472" s="40">
        <f>J472*Q472</f>
      </c>
      <c r="S472" s="40">
        <f>L472*Q472</f>
      </c>
      <c r="T472" s="41">
        <f>IF(J472=0,0,L472/J472)</f>
      </c>
      <c r="U472" s="42">
        <f>IFERROR(INDEX(Paletes!$C$5:$C$393,MATCH(B472,Paletes!$A$5:$A$393,0)),"SEM CADASTRO")</f>
      </c>
      <c r="V472" s="36">
        <f>IFERROR(INDEX(Paletes!$D$5:$D$393,MATCH(B472,Paletes!$A$5:$A$393,0)),0)</f>
      </c>
      <c r="W472" s="43">
        <f>IF(V472=0,0,J472/V472)</f>
      </c>
      <c r="X472" s="43">
        <f>IF(V472=0,0,MAX(M472,0)/V472)</f>
      </c>
    </row>
    <row r="473" spans="1:24" x14ac:dyDescent="0.25">
      <c r="A473" s="20" t="str">
        <f>B473&amp;"."&amp;IFERROR(MID(D473,FIND("(",D473)+1,FIND(")",D473)-FIND("(",D473)-1),"")</f>
        <v>2181.12948</v>
      </c>
      <c r="B473" s="21">
        <v>2181</v>
      </c>
      <c r="C473" s="20" t="s">
        <v>186</v>
      </c>
      <c r="D473" s="20" t="s">
        <v>782</v>
      </c>
      <c r="E473" s="20">
        <v>81672</v>
      </c>
      <c r="F473" s="20" t="s">
        <v>26</v>
      </c>
      <c r="G473" s="20" t="s">
        <v>51</v>
      </c>
      <c r="H473" s="22">
        <f>IFERROR(INDEX(Linha!$B$5:$B$788,MATCH(A473,Linha!$A$5:$A$788,0)),"NÃO CADASTRADO")</f>
      </c>
      <c r="I473" s="22">
        <f>IFERROR(INDEX(Linha!$C$5:$C$788,MATCH(A473,Linha!$A$5:$A$788,0)),"-")</f>
      </c>
      <c r="J473" s="23">
        <v>35</v>
      </c>
      <c r="K473" s="24">
        <f>IFERROR(INDEX(Linha!$D$5:$D$788,MATCH(A473,Linha!$A$5:$A$788,0))*1,0)</f>
      </c>
      <c r="L473" s="24">
        <f>SUMIFS(Reservas!$K$5:$K$3669,Reservas!$A$5:$A$3669,A473)</f>
      </c>
      <c r="M473" s="25">
        <f>J473-L473</f>
      </c>
      <c r="N473" s="26">
        <v>49.387</v>
      </c>
      <c r="O473" s="25">
        <f>J473*N473</f>
      </c>
      <c r="P473" s="25">
        <f>L473*N473</f>
      </c>
      <c r="Q473" s="27">
        <v>188.82146781</v>
      </c>
      <c r="R473" s="28">
        <f>J473*Q473</f>
      </c>
      <c r="S473" s="28">
        <f>L473*Q473</f>
      </c>
      <c r="T473" s="29">
        <f>IF(J473=0,0,L473/J473)</f>
      </c>
      <c r="U473" s="30">
        <f>IFERROR(INDEX(Paletes!$C$5:$C$393,MATCH(B473,Paletes!$A$5:$A$393,0)),"SEM CADASTRO")</f>
      </c>
      <c r="V473" s="24">
        <f>IFERROR(INDEX(Paletes!$D$5:$D$393,MATCH(B473,Paletes!$A$5:$A$393,0)),0)</f>
      </c>
      <c r="W473" s="31">
        <f>IF(V473=0,0,J473/V473)</f>
      </c>
      <c r="X473" s="31">
        <f>IF(V473=0,0,MAX(M473,0)/V473)</f>
      </c>
    </row>
    <row r="474" spans="1:24" x14ac:dyDescent="0.25">
      <c r="A474" s="32" t="str">
        <f>B474&amp;"."&amp;IFERROR(MID(D474,FIND("(",D474)+1,FIND(")",D474)-FIND("(",D474)-1),"")</f>
        <v>2185.13741</v>
      </c>
      <c r="B474" s="33">
        <v>2185</v>
      </c>
      <c r="C474" s="32" t="s">
        <v>188</v>
      </c>
      <c r="D474" s="32" t="s">
        <v>783</v>
      </c>
      <c r="E474" s="32">
        <v>81673</v>
      </c>
      <c r="F474" s="32" t="s">
        <v>26</v>
      </c>
      <c r="G474" s="32" t="s">
        <v>51</v>
      </c>
      <c r="H474" s="34">
        <f>IFERROR(INDEX(Linha!$B$5:$B$788,MATCH(A474,Linha!$A$5:$A$788,0)),"NÃO CADASTRADO")</f>
      </c>
      <c r="I474" s="34">
        <f>IFERROR(INDEX(Linha!$C$5:$C$788,MATCH(A474,Linha!$A$5:$A$788,0)),"-")</f>
      </c>
      <c r="J474" s="35">
        <v>23</v>
      </c>
      <c r="K474" s="36">
        <f>IFERROR(INDEX(Linha!$D$5:$D$788,MATCH(A474,Linha!$A$5:$A$788,0))*1,0)</f>
      </c>
      <c r="L474" s="36">
        <f>SUMIFS(Reservas!$K$5:$K$3669,Reservas!$A$5:$A$3669,A474)</f>
      </c>
      <c r="M474" s="37">
        <f>J474-L474</f>
      </c>
      <c r="N474" s="38">
        <v>63.375</v>
      </c>
      <c r="O474" s="37">
        <f>J474*N474</f>
      </c>
      <c r="P474" s="37">
        <f>L474*N474</f>
      </c>
      <c r="Q474" s="39">
        <v>206.36225022</v>
      </c>
      <c r="R474" s="40">
        <f>J474*Q474</f>
      </c>
      <c r="S474" s="40">
        <f>L474*Q474</f>
      </c>
      <c r="T474" s="41">
        <f>IF(J474=0,0,L474/J474)</f>
      </c>
      <c r="U474" s="42">
        <f>IFERROR(INDEX(Paletes!$C$5:$C$393,MATCH(B474,Paletes!$A$5:$A$393,0)),"SEM CADASTRO")</f>
      </c>
      <c r="V474" s="36">
        <f>IFERROR(INDEX(Paletes!$D$5:$D$393,MATCH(B474,Paletes!$A$5:$A$393,0)),0)</f>
      </c>
      <c r="W474" s="43">
        <f>IF(V474=0,0,J474/V474)</f>
      </c>
      <c r="X474" s="43">
        <f>IF(V474=0,0,MAX(M474,0)/V474)</f>
      </c>
    </row>
    <row r="475" spans="1:24" x14ac:dyDescent="0.25">
      <c r="A475" s="20" t="str">
        <f>B475&amp;"."&amp;IFERROR(MID(D475,FIND("(",D475)+1,FIND(")",D475)-FIND("(",D475)-1),"")</f>
        <v>2185.13747</v>
      </c>
      <c r="B475" s="21">
        <v>2185</v>
      </c>
      <c r="C475" s="20" t="s">
        <v>188</v>
      </c>
      <c r="D475" s="20" t="s">
        <v>784</v>
      </c>
      <c r="E475" s="20">
        <v>81673</v>
      </c>
      <c r="F475" s="20" t="s">
        <v>26</v>
      </c>
      <c r="G475" s="20" t="s">
        <v>51</v>
      </c>
      <c r="H475" s="22">
        <f>IFERROR(INDEX(Linha!$B$5:$B$788,MATCH(A475,Linha!$A$5:$A$788,0)),"NÃO CADASTRADO")</f>
      </c>
      <c r="I475" s="22">
        <f>IFERROR(INDEX(Linha!$C$5:$C$788,MATCH(A475,Linha!$A$5:$A$788,0)),"-")</f>
      </c>
      <c r="J475" s="23">
        <v>28</v>
      </c>
      <c r="K475" s="24">
        <f>IFERROR(INDEX(Linha!$D$5:$D$788,MATCH(A475,Linha!$A$5:$A$788,0))*1,0)</f>
      </c>
      <c r="L475" s="24">
        <f>SUMIFS(Reservas!$K$5:$K$3669,Reservas!$A$5:$A$3669,A475)</f>
      </c>
      <c r="M475" s="25">
        <f>J475-L475</f>
      </c>
      <c r="N475" s="26">
        <v>63.375</v>
      </c>
      <c r="O475" s="25">
        <f>J475*N475</f>
      </c>
      <c r="P475" s="25">
        <f>L475*N475</f>
      </c>
      <c r="Q475" s="27">
        <v>217.61116612</v>
      </c>
      <c r="R475" s="28">
        <f>J475*Q475</f>
      </c>
      <c r="S475" s="28">
        <f>L475*Q475</f>
      </c>
      <c r="T475" s="29">
        <f>IF(J475=0,0,L475/J475)</f>
      </c>
      <c r="U475" s="30">
        <f>IFERROR(INDEX(Paletes!$C$5:$C$393,MATCH(B475,Paletes!$A$5:$A$393,0)),"SEM CADASTRO")</f>
      </c>
      <c r="V475" s="24">
        <f>IFERROR(INDEX(Paletes!$D$5:$D$393,MATCH(B475,Paletes!$A$5:$A$393,0)),0)</f>
      </c>
      <c r="W475" s="31">
        <f>IF(V475=0,0,J475/V475)</f>
      </c>
      <c r="X475" s="31">
        <f>IF(V475=0,0,MAX(M475,0)/V475)</f>
      </c>
    </row>
    <row r="476" spans="1:24" x14ac:dyDescent="0.25">
      <c r="A476" s="32" t="str">
        <f>B476&amp;"."&amp;IFERROR(MID(D476,FIND("(",D476)+1,FIND(")",D476)-FIND("(",D476)-1),"")</f>
        <v>2183.13601</v>
      </c>
      <c r="B476" s="33">
        <v>2183</v>
      </c>
      <c r="C476" s="32" t="s">
        <v>190</v>
      </c>
      <c r="D476" s="32" t="s">
        <v>785</v>
      </c>
      <c r="E476" s="32">
        <v>81873</v>
      </c>
      <c r="F476" s="32" t="s">
        <v>26</v>
      </c>
      <c r="G476" s="32" t="s">
        <v>51</v>
      </c>
      <c r="H476" s="34">
        <f>IFERROR(INDEX(Linha!$B$5:$B$788,MATCH(A476,Linha!$A$5:$A$788,0)),"NÃO CADASTRADO")</f>
      </c>
      <c r="I476" s="34">
        <f>IFERROR(INDEX(Linha!$C$5:$C$788,MATCH(A476,Linha!$A$5:$A$788,0)),"-")</f>
      </c>
      <c r="J476" s="35">
        <v>36</v>
      </c>
      <c r="K476" s="36">
        <f>IFERROR(INDEX(Linha!$D$5:$D$788,MATCH(A476,Linha!$A$5:$A$788,0))*1,0)</f>
      </c>
      <c r="L476" s="36">
        <f>SUMIFS(Reservas!$K$5:$K$3669,Reservas!$A$5:$A$3669,A476)</f>
      </c>
      <c r="M476" s="37">
        <f>J476-L476</f>
      </c>
      <c r="N476" s="38">
        <v>62.4</v>
      </c>
      <c r="O476" s="37">
        <f>J476*N476</f>
      </c>
      <c r="P476" s="37">
        <f>L476*N476</f>
      </c>
      <c r="Q476" s="39">
        <v>260.58556618</v>
      </c>
      <c r="R476" s="40">
        <f>J476*Q476</f>
      </c>
      <c r="S476" s="40">
        <f>L476*Q476</f>
      </c>
      <c r="T476" s="41">
        <f>IF(J476=0,0,L476/J476)</f>
      </c>
      <c r="U476" s="42">
        <f>IFERROR(INDEX(Paletes!$C$5:$C$393,MATCH(B476,Paletes!$A$5:$A$393,0)),"SEM CADASTRO")</f>
      </c>
      <c r="V476" s="36">
        <f>IFERROR(INDEX(Paletes!$D$5:$D$393,MATCH(B476,Paletes!$A$5:$A$393,0)),0)</f>
      </c>
      <c r="W476" s="43">
        <f>IF(V476=0,0,J476/V476)</f>
      </c>
      <c r="X476" s="43">
        <f>IF(V476=0,0,MAX(M476,0)/V476)</f>
      </c>
    </row>
    <row r="477" spans="1:24" x14ac:dyDescent="0.25">
      <c r="A477" s="20" t="str">
        <f>B477&amp;"."&amp;IFERROR(MID(D477,FIND("(",D477)+1,FIND(")",D477)-FIND("(",D477)-1),"")</f>
        <v>2350.12746</v>
      </c>
      <c r="B477" s="21">
        <v>2350</v>
      </c>
      <c r="C477" s="20" t="s">
        <v>192</v>
      </c>
      <c r="D477" s="20" t="s">
        <v>786</v>
      </c>
      <c r="E477" s="20">
        <v>81985</v>
      </c>
      <c r="F477" s="20" t="s">
        <v>26</v>
      </c>
      <c r="G477" s="20" t="s">
        <v>51</v>
      </c>
      <c r="H477" s="22">
        <f>IFERROR(INDEX(Linha!$B$5:$B$788,MATCH(A477,Linha!$A$5:$A$788,0)),"NÃO CADASTRADO")</f>
      </c>
      <c r="I477" s="22">
        <f>IFERROR(INDEX(Linha!$C$5:$C$788,MATCH(A477,Linha!$A$5:$A$788,0)),"-")</f>
      </c>
      <c r="J477" s="23">
        <v>46</v>
      </c>
      <c r="K477" s="24">
        <f>IFERROR(INDEX(Linha!$D$5:$D$788,MATCH(A477,Linha!$A$5:$A$788,0))*1,0)</f>
      </c>
      <c r="L477" s="24">
        <f>SUMIFS(Reservas!$K$5:$K$3669,Reservas!$A$5:$A$3669,A477)</f>
      </c>
      <c r="M477" s="25">
        <f>J477-L477</f>
      </c>
      <c r="N477" s="26">
        <v>28.323</v>
      </c>
      <c r="O477" s="25">
        <f>J477*N477</f>
      </c>
      <c r="P477" s="25">
        <f>L477*N477</f>
      </c>
      <c r="Q477" s="27">
        <v>105.77752383</v>
      </c>
      <c r="R477" s="28">
        <f>J477*Q477</f>
      </c>
      <c r="S477" s="28">
        <f>L477*Q477</f>
      </c>
      <c r="T477" s="29">
        <f>IF(J477=0,0,L477/J477)</f>
      </c>
      <c r="U477" s="30">
        <f>IFERROR(INDEX(Paletes!$C$5:$C$393,MATCH(B477,Paletes!$A$5:$A$393,0)),"SEM CADASTRO")</f>
      </c>
      <c r="V477" s="24">
        <f>IFERROR(INDEX(Paletes!$D$5:$D$393,MATCH(B477,Paletes!$A$5:$A$393,0)),0)</f>
      </c>
      <c r="W477" s="31">
        <f>IF(V477=0,0,J477/V477)</f>
      </c>
      <c r="X477" s="31">
        <f>IF(V477=0,0,MAX(M477,0)/V477)</f>
      </c>
    </row>
    <row r="478" spans="1:24" x14ac:dyDescent="0.25">
      <c r="A478" s="32" t="str">
        <f>B478&amp;"."&amp;IFERROR(MID(D478,FIND("(",D478)+1,FIND(")",D478)-FIND("(",D478)-1),"")</f>
        <v>2350.12748</v>
      </c>
      <c r="B478" s="33">
        <v>2350</v>
      </c>
      <c r="C478" s="32" t="s">
        <v>192</v>
      </c>
      <c r="D478" s="32" t="s">
        <v>787</v>
      </c>
      <c r="E478" s="32">
        <v>81985</v>
      </c>
      <c r="F478" s="32" t="s">
        <v>26</v>
      </c>
      <c r="G478" s="32" t="s">
        <v>51</v>
      </c>
      <c r="H478" s="34">
        <f>IFERROR(INDEX(Linha!$B$5:$B$788,MATCH(A478,Linha!$A$5:$A$788,0)),"NÃO CADASTRADO")</f>
      </c>
      <c r="I478" s="34">
        <f>IFERROR(INDEX(Linha!$C$5:$C$788,MATCH(A478,Linha!$A$5:$A$788,0)),"-")</f>
      </c>
      <c r="J478" s="35">
        <v>0</v>
      </c>
      <c r="K478" s="36">
        <f>IFERROR(INDEX(Linha!$D$5:$D$788,MATCH(A478,Linha!$A$5:$A$788,0))*1,0)</f>
      </c>
      <c r="L478" s="36">
        <f>SUMIFS(Reservas!$K$5:$K$3669,Reservas!$A$5:$A$3669,A478)</f>
      </c>
      <c r="M478" s="37">
        <f>J478-L478</f>
      </c>
      <c r="N478" s="38">
        <v>28.323</v>
      </c>
      <c r="O478" s="37">
        <f>J478*N478</f>
      </c>
      <c r="P478" s="37">
        <f>L478*N478</f>
      </c>
      <c r="Q478" s="39">
        <v>104.64158633</v>
      </c>
      <c r="R478" s="40">
        <f>J478*Q478</f>
      </c>
      <c r="S478" s="40">
        <f>L478*Q478</f>
      </c>
      <c r="T478" s="41">
        <f>IF(J478=0,0,L478/J478)</f>
      </c>
      <c r="U478" s="42">
        <f>IFERROR(INDEX(Paletes!$C$5:$C$393,MATCH(B478,Paletes!$A$5:$A$393,0)),"SEM CADASTRO")</f>
      </c>
      <c r="V478" s="36">
        <f>IFERROR(INDEX(Paletes!$D$5:$D$393,MATCH(B478,Paletes!$A$5:$A$393,0)),0)</f>
      </c>
      <c r="W478" s="43">
        <f>IF(V478=0,0,J478/V478)</f>
      </c>
      <c r="X478" s="43">
        <f>IF(V478=0,0,MAX(M478,0)/V478)</f>
      </c>
    </row>
    <row r="479" spans="1:24" x14ac:dyDescent="0.25">
      <c r="A479" s="20" t="str">
        <f>B479&amp;"."&amp;IFERROR(MID(D479,FIND("(",D479)+1,FIND(")",D479)-FIND("(",D479)-1),"")</f>
        <v>2348.12322</v>
      </c>
      <c r="B479" s="21">
        <v>2348</v>
      </c>
      <c r="C479" s="20" t="s">
        <v>493</v>
      </c>
      <c r="D479" s="20" t="s">
        <v>788</v>
      </c>
      <c r="E479" s="20">
        <v>81992</v>
      </c>
      <c r="F479" s="20" t="s">
        <v>26</v>
      </c>
      <c r="G479" s="20" t="s">
        <v>51</v>
      </c>
      <c r="H479" s="22">
        <f>IFERROR(INDEX(Linha!$B$5:$B$788,MATCH(A479,Linha!$A$5:$A$788,0)),"NÃO CADASTRADO")</f>
      </c>
      <c r="I479" s="22">
        <f>IFERROR(INDEX(Linha!$C$5:$C$788,MATCH(A479,Linha!$A$5:$A$788,0)),"-")</f>
      </c>
      <c r="J479" s="23">
        <v>465</v>
      </c>
      <c r="K479" s="24">
        <f>IFERROR(INDEX(Linha!$D$5:$D$788,MATCH(A479,Linha!$A$5:$A$788,0))*1,0)</f>
      </c>
      <c r="L479" s="24">
        <f>SUMIFS(Reservas!$K$5:$K$3669,Reservas!$A$5:$A$3669,A479)</f>
      </c>
      <c r="M479" s="25">
        <f>J479-L479</f>
      </c>
      <c r="N479" s="26">
        <v>13.162</v>
      </c>
      <c r="O479" s="25">
        <f>J479*N479</f>
      </c>
      <c r="P479" s="25">
        <f>L479*N479</f>
      </c>
      <c r="Q479" s="27">
        <v>125.87393926</v>
      </c>
      <c r="R479" s="28">
        <f>J479*Q479</f>
      </c>
      <c r="S479" s="28">
        <f>L479*Q479</f>
      </c>
      <c r="T479" s="29">
        <f>IF(J479=0,0,L479/J479)</f>
      </c>
      <c r="U479" s="30">
        <f>IFERROR(INDEX(Paletes!$C$5:$C$393,MATCH(B479,Paletes!$A$5:$A$393,0)),"SEM CADASTRO")</f>
      </c>
      <c r="V479" s="24">
        <f>IFERROR(INDEX(Paletes!$D$5:$D$393,MATCH(B479,Paletes!$A$5:$A$393,0)),0)</f>
      </c>
      <c r="W479" s="31">
        <f>IF(V479=0,0,J479/V479)</f>
      </c>
      <c r="X479" s="31">
        <f>IF(V479=0,0,MAX(M479,0)/V479)</f>
      </c>
    </row>
    <row r="480" spans="1:24" x14ac:dyDescent="0.25">
      <c r="A480" s="32" t="str">
        <f>B480&amp;"."&amp;IFERROR(MID(D480,FIND("(",D480)+1,FIND(")",D480)-FIND("(",D480)-1),"")</f>
        <v>74551.31307</v>
      </c>
      <c r="B480" s="33">
        <v>74551</v>
      </c>
      <c r="C480" s="32" t="s">
        <v>495</v>
      </c>
      <c r="D480" s="32" t="s">
        <v>789</v>
      </c>
      <c r="E480" s="32">
        <v>82383</v>
      </c>
      <c r="F480" s="32" t="s">
        <v>25</v>
      </c>
      <c r="G480" s="32" t="s">
        <v>51</v>
      </c>
      <c r="H480" s="34">
        <f>IFERROR(INDEX(Linha!$B$5:$B$788,MATCH(A480,Linha!$A$5:$A$788,0)),"NÃO CADASTRADO")</f>
      </c>
      <c r="I480" s="34">
        <f>IFERROR(INDEX(Linha!$C$5:$C$788,MATCH(A480,Linha!$A$5:$A$788,0)),"-")</f>
      </c>
      <c r="J480" s="35">
        <v>337</v>
      </c>
      <c r="K480" s="36">
        <f>IFERROR(INDEX(Linha!$D$5:$D$788,MATCH(A480,Linha!$A$5:$A$788,0))*1,0)</f>
      </c>
      <c r="L480" s="36">
        <f>SUMIFS(Reservas!$K$5:$K$3669,Reservas!$A$5:$A$3669,A480)</f>
      </c>
      <c r="M480" s="37">
        <f>J480-L480</f>
      </c>
      <c r="N480" s="38">
        <v>53.274</v>
      </c>
      <c r="O480" s="37">
        <f>J480*N480</f>
      </c>
      <c r="P480" s="37">
        <f>L480*N480</f>
      </c>
      <c r="Q480" s="39">
        <v>302.61617606</v>
      </c>
      <c r="R480" s="40">
        <f>J480*Q480</f>
      </c>
      <c r="S480" s="40">
        <f>L480*Q480</f>
      </c>
      <c r="T480" s="41">
        <f>IF(J480=0,0,L480/J480)</f>
      </c>
      <c r="U480" s="42">
        <f>IFERROR(INDEX(Paletes!$C$5:$C$393,MATCH(B480,Paletes!$A$5:$A$393,0)),"SEM CADASTRO")</f>
      </c>
      <c r="V480" s="36">
        <f>IFERROR(INDEX(Paletes!$D$5:$D$393,MATCH(B480,Paletes!$A$5:$A$393,0)),0)</f>
      </c>
      <c r="W480" s="43">
        <f>IF(V480=0,0,J480/V480)</f>
      </c>
      <c r="X480" s="43">
        <f>IF(V480=0,0,MAX(M480,0)/V480)</f>
      </c>
    </row>
    <row r="481" spans="1:24" x14ac:dyDescent="0.25">
      <c r="A481" s="20" t="str">
        <f>B481&amp;"."&amp;IFERROR(MID(D481,FIND("(",D481)+1,FIND(")",D481)-FIND("(",D481)-1),"")</f>
        <v>72594.12814</v>
      </c>
      <c r="B481" s="21">
        <v>72594</v>
      </c>
      <c r="C481" s="20" t="s">
        <v>790</v>
      </c>
      <c r="D481" s="20" t="s">
        <v>791</v>
      </c>
      <c r="E481" s="20">
        <v>85420</v>
      </c>
      <c r="F481" s="20" t="s">
        <v>26</v>
      </c>
      <c r="G481" s="20" t="s">
        <v>51</v>
      </c>
      <c r="H481" s="22">
        <f>IFERROR(INDEX(Linha!$B$5:$B$788,MATCH(A481,Linha!$A$5:$A$788,0)),"NÃO CADASTRADO")</f>
      </c>
      <c r="I481" s="22">
        <f>IFERROR(INDEX(Linha!$C$5:$C$788,MATCH(A481,Linha!$A$5:$A$788,0)),"-")</f>
      </c>
      <c r="J481" s="23">
        <v>1218</v>
      </c>
      <c r="K481" s="24">
        <f>IFERROR(INDEX(Linha!$D$5:$D$788,MATCH(A481,Linha!$A$5:$A$788,0))*1,0)</f>
      </c>
      <c r="L481" s="24">
        <f>SUMIFS(Reservas!$K$5:$K$3669,Reservas!$A$5:$A$3669,A481)</f>
      </c>
      <c r="M481" s="25">
        <f>J481-L481</f>
      </c>
      <c r="N481" s="26">
        <v>70.98</v>
      </c>
      <c r="O481" s="25">
        <f>J481*N481</f>
      </c>
      <c r="P481" s="25">
        <f>L481*N481</f>
      </c>
      <c r="Q481" s="27">
        <v>255.1358115</v>
      </c>
      <c r="R481" s="28">
        <f>J481*Q481</f>
      </c>
      <c r="S481" s="28">
        <f>L481*Q481</f>
      </c>
      <c r="T481" s="29">
        <f>IF(J481=0,0,L481/J481)</f>
      </c>
      <c r="U481" s="30">
        <f>IFERROR(INDEX(Paletes!$C$5:$C$393,MATCH(B481,Paletes!$A$5:$A$393,0)),"SEM CADASTRO")</f>
      </c>
      <c r="V481" s="24">
        <f>IFERROR(INDEX(Paletes!$D$5:$D$393,MATCH(B481,Paletes!$A$5:$A$393,0)),0)</f>
      </c>
      <c r="W481" s="31">
        <f>IF(V481=0,0,J481/V481)</f>
      </c>
      <c r="X481" s="31">
        <f>IF(V481=0,0,MAX(M481,0)/V481)</f>
      </c>
    </row>
    <row r="482" spans="1:24" x14ac:dyDescent="0.25">
      <c r="A482" s="32" t="str">
        <f>B482&amp;"."&amp;IFERROR(MID(D482,FIND("(",D482)+1,FIND(")",D482)-FIND("(",D482)-1),"")</f>
        <v>2246.12516</v>
      </c>
      <c r="B482" s="33">
        <v>2246</v>
      </c>
      <c r="C482" s="32" t="s">
        <v>196</v>
      </c>
      <c r="D482" s="32" t="s">
        <v>792</v>
      </c>
      <c r="E482" s="32">
        <v>87025</v>
      </c>
      <c r="F482" s="32" t="s">
        <v>26</v>
      </c>
      <c r="G482" s="32" t="s">
        <v>51</v>
      </c>
      <c r="H482" s="34">
        <f>IFERROR(INDEX(Linha!$B$5:$B$788,MATCH(A482,Linha!$A$5:$A$788,0)),"NÃO CADASTRADO")</f>
      </c>
      <c r="I482" s="34">
        <f>IFERROR(INDEX(Linha!$C$5:$C$788,MATCH(A482,Linha!$A$5:$A$788,0)),"-")</f>
      </c>
      <c r="J482" s="35">
        <v>404</v>
      </c>
      <c r="K482" s="36">
        <f>IFERROR(INDEX(Linha!$D$5:$D$788,MATCH(A482,Linha!$A$5:$A$788,0))*1,0)</f>
      </c>
      <c r="L482" s="36">
        <f>SUMIFS(Reservas!$K$5:$K$3669,Reservas!$A$5:$A$3669,A482)</f>
      </c>
      <c r="M482" s="37">
        <f>J482-L482</f>
      </c>
      <c r="N482" s="38">
        <v>15.307</v>
      </c>
      <c r="O482" s="37">
        <f>J482*N482</f>
      </c>
      <c r="P482" s="37">
        <f>L482*N482</f>
      </c>
      <c r="Q482" s="39">
        <v>34.1953268</v>
      </c>
      <c r="R482" s="40">
        <f>J482*Q482</f>
      </c>
      <c r="S482" s="40">
        <f>L482*Q482</f>
      </c>
      <c r="T482" s="41">
        <f>IF(J482=0,0,L482/J482)</f>
      </c>
      <c r="U482" s="42">
        <f>IFERROR(INDEX(Paletes!$C$5:$C$393,MATCH(B482,Paletes!$A$5:$A$393,0)),"SEM CADASTRO")</f>
      </c>
      <c r="V482" s="36">
        <f>IFERROR(INDEX(Paletes!$D$5:$D$393,MATCH(B482,Paletes!$A$5:$A$393,0)),0)</f>
      </c>
      <c r="W482" s="43">
        <f>IF(V482=0,0,J482/V482)</f>
      </c>
      <c r="X482" s="43">
        <f>IF(V482=0,0,MAX(M482,0)/V482)</f>
      </c>
    </row>
    <row r="483" spans="1:24" x14ac:dyDescent="0.25">
      <c r="A483" s="20" t="str">
        <f>B483&amp;"."&amp;IFERROR(MID(D483,FIND("(",D483)+1,FIND(")",D483)-FIND("(",D483)-1),"")</f>
        <v>72777.13609</v>
      </c>
      <c r="B483" s="21">
        <v>72777</v>
      </c>
      <c r="C483" s="20" t="s">
        <v>198</v>
      </c>
      <c r="D483" s="20" t="s">
        <v>793</v>
      </c>
      <c r="E483" s="20">
        <v>87556</v>
      </c>
      <c r="F483" s="20" t="s">
        <v>26</v>
      </c>
      <c r="G483" s="20" t="s">
        <v>51</v>
      </c>
      <c r="H483" s="22">
        <f>IFERROR(INDEX(Linha!$B$5:$B$788,MATCH(A483,Linha!$A$5:$A$788,0)),"NÃO CADASTRADO")</f>
      </c>
      <c r="I483" s="22">
        <f>IFERROR(INDEX(Linha!$C$5:$C$788,MATCH(A483,Linha!$A$5:$A$788,0)),"-")</f>
      </c>
      <c r="J483" s="23">
        <v>0</v>
      </c>
      <c r="K483" s="24">
        <f>IFERROR(INDEX(Linha!$D$5:$D$788,MATCH(A483,Linha!$A$5:$A$788,0))*1,0)</f>
      </c>
      <c r="L483" s="24">
        <f>SUMIFS(Reservas!$K$5:$K$3669,Reservas!$A$5:$A$3669,A483)</f>
      </c>
      <c r="M483" s="25">
        <f>J483-L483</f>
      </c>
      <c r="N483" s="26">
        <v>39</v>
      </c>
      <c r="O483" s="25">
        <f>J483*N483</f>
      </c>
      <c r="P483" s="25">
        <f>L483*N483</f>
      </c>
      <c r="Q483" s="27">
        <v>139.23070407</v>
      </c>
      <c r="R483" s="28">
        <f>J483*Q483</f>
      </c>
      <c r="S483" s="28">
        <f>L483*Q483</f>
      </c>
      <c r="T483" s="29">
        <f>IF(J483=0,0,L483/J483)</f>
      </c>
      <c r="U483" s="30">
        <f>IFERROR(INDEX(Paletes!$C$5:$C$393,MATCH(B483,Paletes!$A$5:$A$393,0)),"SEM CADASTRO")</f>
      </c>
      <c r="V483" s="24">
        <f>IFERROR(INDEX(Paletes!$D$5:$D$393,MATCH(B483,Paletes!$A$5:$A$393,0)),0)</f>
      </c>
      <c r="W483" s="31">
        <f>IF(V483=0,0,J483/V483)</f>
      </c>
      <c r="X483" s="31">
        <f>IF(V483=0,0,MAX(M483,0)/V483)</f>
      </c>
    </row>
    <row r="484" spans="1:24" x14ac:dyDescent="0.25">
      <c r="A484" s="32" t="str">
        <f>B484&amp;"."&amp;IFERROR(MID(D484,FIND("(",D484)+1,FIND(")",D484)-FIND("(",D484)-1),"")</f>
        <v>72661.13088</v>
      </c>
      <c r="B484" s="33">
        <v>72661</v>
      </c>
      <c r="C484" s="32" t="s">
        <v>794</v>
      </c>
      <c r="D484" s="32" t="s">
        <v>795</v>
      </c>
      <c r="E484" s="32">
        <v>87914</v>
      </c>
      <c r="F484" s="32" t="s">
        <v>26</v>
      </c>
      <c r="G484" s="32" t="s">
        <v>51</v>
      </c>
      <c r="H484" s="34">
        <f>IFERROR(INDEX(Linha!$B$5:$B$788,MATCH(A484,Linha!$A$5:$A$788,0)),"NÃO CADASTRADO")</f>
      </c>
      <c r="I484" s="34">
        <f>IFERROR(INDEX(Linha!$C$5:$C$788,MATCH(A484,Linha!$A$5:$A$788,0)),"-")</f>
      </c>
      <c r="J484" s="35">
        <v>683</v>
      </c>
      <c r="K484" s="36">
        <f>IFERROR(INDEX(Linha!$D$5:$D$788,MATCH(A484,Linha!$A$5:$A$788,0))*1,0)</f>
      </c>
      <c r="L484" s="36">
        <f>SUMIFS(Reservas!$K$5:$K$3669,Reservas!$A$5:$A$3669,A484)</f>
      </c>
      <c r="M484" s="37">
        <f>J484-L484</f>
      </c>
      <c r="N484" s="38">
        <v>19.987</v>
      </c>
      <c r="O484" s="37">
        <f>J484*N484</f>
      </c>
      <c r="P484" s="37">
        <f>L484*N484</f>
      </c>
      <c r="Q484" s="39">
        <v>164.41245046</v>
      </c>
      <c r="R484" s="40">
        <f>J484*Q484</f>
      </c>
      <c r="S484" s="40">
        <f>L484*Q484</f>
      </c>
      <c r="T484" s="41">
        <f>IF(J484=0,0,L484/J484)</f>
      </c>
      <c r="U484" s="42">
        <f>IFERROR(INDEX(Paletes!$C$5:$C$393,MATCH(B484,Paletes!$A$5:$A$393,0)),"SEM CADASTRO")</f>
      </c>
      <c r="V484" s="36">
        <f>IFERROR(INDEX(Paletes!$D$5:$D$393,MATCH(B484,Paletes!$A$5:$A$393,0)),0)</f>
      </c>
      <c r="W484" s="43">
        <f>IF(V484=0,0,J484/V484)</f>
      </c>
      <c r="X484" s="43">
        <f>IF(V484=0,0,MAX(M484,0)/V484)</f>
      </c>
    </row>
    <row r="485" spans="1:24" x14ac:dyDescent="0.25">
      <c r="A485" s="20" t="str">
        <f>B485&amp;"."&amp;IFERROR(MID(D485,FIND("(",D485)+1,FIND(")",D485)-FIND("(",D485)-1),"")</f>
        <v>72569.13647</v>
      </c>
      <c r="B485" s="21">
        <v>72569</v>
      </c>
      <c r="C485" s="20" t="s">
        <v>501</v>
      </c>
      <c r="D485" s="20" t="s">
        <v>796</v>
      </c>
      <c r="E485" s="20">
        <v>88122</v>
      </c>
      <c r="F485" s="20" t="s">
        <v>26</v>
      </c>
      <c r="G485" s="20" t="s">
        <v>51</v>
      </c>
      <c r="H485" s="22">
        <f>IFERROR(INDEX(Linha!$B$5:$B$788,MATCH(A485,Linha!$A$5:$A$788,0)),"NÃO CADASTRADO")</f>
      </c>
      <c r="I485" s="22">
        <f>IFERROR(INDEX(Linha!$C$5:$C$788,MATCH(A485,Linha!$A$5:$A$788,0)),"-")</f>
      </c>
      <c r="J485" s="23">
        <v>262</v>
      </c>
      <c r="K485" s="24">
        <f>IFERROR(INDEX(Linha!$D$5:$D$788,MATCH(A485,Linha!$A$5:$A$788,0))*1,0)</f>
      </c>
      <c r="L485" s="24">
        <f>SUMIFS(Reservas!$K$5:$K$3669,Reservas!$A$5:$A$3669,A485)</f>
      </c>
      <c r="M485" s="25">
        <f>J485-L485</f>
      </c>
      <c r="N485" s="26">
        <v>27.78</v>
      </c>
      <c r="O485" s="25">
        <f>J485*N485</f>
      </c>
      <c r="P485" s="25">
        <f>L485*N485</f>
      </c>
      <c r="Q485" s="27">
        <v>115.21432135</v>
      </c>
      <c r="R485" s="28">
        <f>J485*Q485</f>
      </c>
      <c r="S485" s="28">
        <f>L485*Q485</f>
      </c>
      <c r="T485" s="29">
        <f>IF(J485=0,0,L485/J485)</f>
      </c>
      <c r="U485" s="30">
        <f>IFERROR(INDEX(Paletes!$C$5:$C$393,MATCH(B485,Paletes!$A$5:$A$393,0)),"SEM CADASTRO")</f>
      </c>
      <c r="V485" s="24">
        <f>IFERROR(INDEX(Paletes!$D$5:$D$393,MATCH(B485,Paletes!$A$5:$A$393,0)),0)</f>
      </c>
      <c r="W485" s="31">
        <f>IF(V485=0,0,J485/V485)</f>
      </c>
      <c r="X485" s="31">
        <f>IF(V485=0,0,MAX(M485,0)/V485)</f>
      </c>
    </row>
    <row r="486" spans="1:24" x14ac:dyDescent="0.25">
      <c r="A486" s="32" t="str">
        <f>B486&amp;"."&amp;IFERROR(MID(D486,FIND("(",D486)+1,FIND(")",D486)-FIND("(",D486)-1),"")</f>
        <v>72568.12530</v>
      </c>
      <c r="B486" s="33">
        <v>72568</v>
      </c>
      <c r="C486" s="32" t="s">
        <v>797</v>
      </c>
      <c r="D486" s="32" t="s">
        <v>798</v>
      </c>
      <c r="E486" s="32">
        <v>88966</v>
      </c>
      <c r="F486" s="32" t="s">
        <v>26</v>
      </c>
      <c r="G486" s="32" t="s">
        <v>51</v>
      </c>
      <c r="H486" s="34">
        <f>IFERROR(INDEX(Linha!$B$5:$B$788,MATCH(A486,Linha!$A$5:$A$788,0)),"NÃO CADASTRADO")</f>
      </c>
      <c r="I486" s="34">
        <f>IFERROR(INDEX(Linha!$C$5:$C$788,MATCH(A486,Linha!$A$5:$A$788,0)),"-")</f>
      </c>
      <c r="J486" s="35">
        <v>63</v>
      </c>
      <c r="K486" s="36">
        <f>IFERROR(INDEX(Linha!$D$5:$D$788,MATCH(A486,Linha!$A$5:$A$788,0))*1,0)</f>
      </c>
      <c r="L486" s="36">
        <f>SUMIFS(Reservas!$K$5:$K$3669,Reservas!$A$5:$A$3669,A486)</f>
      </c>
      <c r="M486" s="37">
        <f>J486-L486</f>
      </c>
      <c r="N486" s="38">
        <v>38.02</v>
      </c>
      <c r="O486" s="37">
        <f>J486*N486</f>
      </c>
      <c r="P486" s="37">
        <f>L486*N486</f>
      </c>
      <c r="Q486" s="39">
        <v>179.80563428</v>
      </c>
      <c r="R486" s="40">
        <f>J486*Q486</f>
      </c>
      <c r="S486" s="40">
        <f>L486*Q486</f>
      </c>
      <c r="T486" s="41">
        <f>IF(J486=0,0,L486/J486)</f>
      </c>
      <c r="U486" s="42">
        <f>IFERROR(INDEX(Paletes!$C$5:$C$393,MATCH(B486,Paletes!$A$5:$A$393,0)),"SEM CADASTRO")</f>
      </c>
      <c r="V486" s="36">
        <f>IFERROR(INDEX(Paletes!$D$5:$D$393,MATCH(B486,Paletes!$A$5:$A$393,0)),0)</f>
      </c>
      <c r="W486" s="43">
        <f>IF(V486=0,0,J486/V486)</f>
      </c>
      <c r="X486" s="43">
        <f>IF(V486=0,0,MAX(M486,0)/V486)</f>
      </c>
    </row>
    <row r="487" spans="1:24" x14ac:dyDescent="0.25">
      <c r="A487" s="20" t="str">
        <f>B487&amp;"."&amp;IFERROR(MID(D487,FIND("(",D487)+1,FIND(")",D487)-FIND("(",D487)-1),"")</f>
        <v>2308.15699</v>
      </c>
      <c r="B487" s="21">
        <v>2308</v>
      </c>
      <c r="C487" s="20" t="s">
        <v>207</v>
      </c>
      <c r="D487" s="20" t="s">
        <v>799</v>
      </c>
      <c r="E487" s="20">
        <v>89001</v>
      </c>
      <c r="F487" s="20" t="s">
        <v>23</v>
      </c>
      <c r="G487" s="20" t="s">
        <v>51</v>
      </c>
      <c r="H487" s="22">
        <f>IFERROR(INDEX(Linha!$B$5:$B$788,MATCH(A487,Linha!$A$5:$A$788,0)),"NÃO CADASTRADO")</f>
      </c>
      <c r="I487" s="22">
        <f>IFERROR(INDEX(Linha!$C$5:$C$788,MATCH(A487,Linha!$A$5:$A$788,0)),"-")</f>
      </c>
      <c r="J487" s="23">
        <v>191</v>
      </c>
      <c r="K487" s="24">
        <f>IFERROR(INDEX(Linha!$D$5:$D$788,MATCH(A487,Linha!$A$5:$A$788,0))*1,0)</f>
      </c>
      <c r="L487" s="24">
        <f>SUMIFS(Reservas!$K$5:$K$3669,Reservas!$A$5:$A$3669,A487)</f>
      </c>
      <c r="M487" s="25">
        <f>J487-L487</f>
      </c>
      <c r="N487" s="26">
        <v>0.702</v>
      </c>
      <c r="O487" s="25">
        <f>J487*N487</f>
      </c>
      <c r="P487" s="25">
        <f>L487*N487</f>
      </c>
      <c r="Q487" s="27">
        <v>8.3229025</v>
      </c>
      <c r="R487" s="28">
        <f>J487*Q487</f>
      </c>
      <c r="S487" s="28">
        <f>L487*Q487</f>
      </c>
      <c r="T487" s="29">
        <f>IF(J487=0,0,L487/J487)</f>
      </c>
      <c r="U487" s="30">
        <f>IFERROR(INDEX(Paletes!$C$5:$C$393,MATCH(B487,Paletes!$A$5:$A$393,0)),"SEM CADASTRO")</f>
      </c>
      <c r="V487" s="24">
        <f>IFERROR(INDEX(Paletes!$D$5:$D$393,MATCH(B487,Paletes!$A$5:$A$393,0)),0)</f>
      </c>
      <c r="W487" s="31">
        <f>IF(V487=0,0,J487/V487)</f>
      </c>
      <c r="X487" s="31">
        <f>IF(V487=0,0,MAX(M487,0)/V487)</f>
      </c>
    </row>
    <row r="488" spans="1:24" x14ac:dyDescent="0.25">
      <c r="A488" s="32" t="str">
        <f>B488&amp;"."&amp;IFERROR(MID(D488,FIND("(",D488)+1,FIND(")",D488)-FIND("(",D488)-1),"")</f>
        <v>87564.93215</v>
      </c>
      <c r="B488" s="33">
        <v>87564</v>
      </c>
      <c r="C488" s="32" t="s">
        <v>800</v>
      </c>
      <c r="D488" s="32" t="s">
        <v>801</v>
      </c>
      <c r="E488" s="32">
        <v>105093</v>
      </c>
      <c r="F488" s="32" t="s">
        <v>25</v>
      </c>
      <c r="G488" s="32" t="s">
        <v>51</v>
      </c>
      <c r="H488" s="34">
        <f>IFERROR(INDEX(Linha!$B$5:$B$788,MATCH(A488,Linha!$A$5:$A$788,0)),"NÃO CADASTRADO")</f>
      </c>
      <c r="I488" s="34">
        <f>IFERROR(INDEX(Linha!$C$5:$C$788,MATCH(A488,Linha!$A$5:$A$788,0)),"-")</f>
      </c>
      <c r="J488" s="35">
        <v>113</v>
      </c>
      <c r="K488" s="36">
        <f>IFERROR(INDEX(Linha!$D$5:$D$788,MATCH(A488,Linha!$A$5:$A$788,0))*1,0)</f>
      </c>
      <c r="L488" s="36">
        <f>SUMIFS(Reservas!$K$5:$K$3669,Reservas!$A$5:$A$3669,A488)</f>
      </c>
      <c r="M488" s="37">
        <f>J488-L488</f>
      </c>
      <c r="N488" s="38">
        <v>34.125</v>
      </c>
      <c r="O488" s="37">
        <f>J488*N488</f>
      </c>
      <c r="P488" s="37">
        <f>L488*N488</f>
      </c>
      <c r="Q488" s="39">
        <v>373.23604598</v>
      </c>
      <c r="R488" s="40">
        <f>J488*Q488</f>
      </c>
      <c r="S488" s="40">
        <f>L488*Q488</f>
      </c>
      <c r="T488" s="41">
        <f>IF(J488=0,0,L488/J488)</f>
      </c>
      <c r="U488" s="42">
        <f>IFERROR(INDEX(Paletes!$C$5:$C$393,MATCH(B488,Paletes!$A$5:$A$393,0)),"SEM CADASTRO")</f>
      </c>
      <c r="V488" s="36">
        <f>IFERROR(INDEX(Paletes!$D$5:$D$393,MATCH(B488,Paletes!$A$5:$A$393,0)),0)</f>
      </c>
      <c r="W488" s="43">
        <f>IF(V488=0,0,J488/V488)</f>
      </c>
      <c r="X488" s="43">
        <f>IF(V488=0,0,MAX(M488,0)/V488)</f>
      </c>
    </row>
    <row r="489" spans="1:24" x14ac:dyDescent="0.25">
      <c r="A489" s="20" t="str">
        <f>B489&amp;"."&amp;IFERROR(MID(D489,FIND("(",D489)+1,FIND(")",D489)-FIND("(",D489)-1),"")</f>
        <v>85024.55815</v>
      </c>
      <c r="B489" s="21">
        <v>85024</v>
      </c>
      <c r="C489" s="20" t="s">
        <v>348</v>
      </c>
      <c r="D489" s="20" t="s">
        <v>802</v>
      </c>
      <c r="E489" s="20">
        <v>91789</v>
      </c>
      <c r="F489" s="20" t="s">
        <v>24</v>
      </c>
      <c r="G489" s="20" t="s">
        <v>51</v>
      </c>
      <c r="H489" s="22">
        <f>IFERROR(INDEX(Linha!$B$5:$B$788,MATCH(A489,Linha!$A$5:$A$788,0)),"NÃO CADASTRADO")</f>
      </c>
      <c r="I489" s="22">
        <f>IFERROR(INDEX(Linha!$C$5:$C$788,MATCH(A489,Linha!$A$5:$A$788,0)),"-")</f>
      </c>
      <c r="J489" s="23">
        <v>9</v>
      </c>
      <c r="K489" s="24">
        <f>IFERROR(INDEX(Linha!$D$5:$D$788,MATCH(A489,Linha!$A$5:$A$788,0))*1,0)</f>
      </c>
      <c r="L489" s="24">
        <f>SUMIFS(Reservas!$K$5:$K$3669,Reservas!$A$5:$A$3669,A489)</f>
      </c>
      <c r="M489" s="25">
        <f>J489-L489</f>
      </c>
      <c r="N489" s="26">
        <v>0.546</v>
      </c>
      <c r="O489" s="25">
        <f>J489*N489</f>
      </c>
      <c r="P489" s="25">
        <f>L489*N489</f>
      </c>
      <c r="Q489" s="27">
        <v>2.62884986</v>
      </c>
      <c r="R489" s="28">
        <f>J489*Q489</f>
      </c>
      <c r="S489" s="28">
        <f>L489*Q489</f>
      </c>
      <c r="T489" s="29">
        <f>IF(J489=0,0,L489/J489)</f>
      </c>
      <c r="U489" s="30">
        <f>IFERROR(INDEX(Paletes!$C$5:$C$393,MATCH(B489,Paletes!$A$5:$A$393,0)),"SEM CADASTRO")</f>
      </c>
      <c r="V489" s="24">
        <f>IFERROR(INDEX(Paletes!$D$5:$D$393,MATCH(B489,Paletes!$A$5:$A$393,0)),0)</f>
      </c>
      <c r="W489" s="31">
        <f>IF(V489=0,0,J489/V489)</f>
      </c>
      <c r="X489" s="31">
        <f>IF(V489=0,0,MAX(M489,0)/V489)</f>
      </c>
    </row>
    <row r="490" spans="1:24" x14ac:dyDescent="0.25">
      <c r="A490" s="32" t="str">
        <f>B490&amp;"."&amp;IFERROR(MID(D490,FIND("(",D490)+1,FIND(")",D490)-FIND("(",D490)-1),"")</f>
        <v>97300.112330</v>
      </c>
      <c r="B490" s="33">
        <v>97300</v>
      </c>
      <c r="C490" s="32" t="s">
        <v>213</v>
      </c>
      <c r="D490" s="32" t="s">
        <v>803</v>
      </c>
      <c r="E490" s="32" t="s">
        <v>89</v>
      </c>
      <c r="F490" s="32" t="s">
        <v>24</v>
      </c>
      <c r="G490" s="32" t="s">
        <v>51</v>
      </c>
      <c r="H490" s="34">
        <f>IFERROR(INDEX(Linha!$B$5:$B$788,MATCH(A490,Linha!$A$5:$A$788,0)),"NÃO CADASTRADO")</f>
      </c>
      <c r="I490" s="34">
        <f>IFERROR(INDEX(Linha!$C$5:$C$788,MATCH(A490,Linha!$A$5:$A$788,0)),"-")</f>
      </c>
      <c r="J490" s="35">
        <v>2</v>
      </c>
      <c r="K490" s="36">
        <f>IFERROR(INDEX(Linha!$D$5:$D$788,MATCH(A490,Linha!$A$5:$A$788,0))*1,0)</f>
      </c>
      <c r="L490" s="36">
        <f>SUMIFS(Reservas!$K$5:$K$3669,Reservas!$A$5:$A$3669,A490)</f>
      </c>
      <c r="M490" s="37">
        <f>J490-L490</f>
      </c>
      <c r="N490" s="38">
        <v>12.96</v>
      </c>
      <c r="O490" s="37">
        <f>J490*N490</f>
      </c>
      <c r="P490" s="37">
        <f>L490*N490</f>
      </c>
      <c r="Q490" s="39">
        <v>45.45554497</v>
      </c>
      <c r="R490" s="40">
        <f>J490*Q490</f>
      </c>
      <c r="S490" s="40">
        <f>L490*Q490</f>
      </c>
      <c r="T490" s="41">
        <f>IF(J490=0,0,L490/J490)</f>
      </c>
      <c r="U490" s="42">
        <f>IFERROR(INDEX(Paletes!$C$5:$C$393,MATCH(B490,Paletes!$A$5:$A$393,0)),"SEM CADASTRO")</f>
      </c>
      <c r="V490" s="36">
        <f>IFERROR(INDEX(Paletes!$D$5:$D$393,MATCH(B490,Paletes!$A$5:$A$393,0)),0)</f>
      </c>
      <c r="W490" s="43">
        <f>IF(V490=0,0,J490/V490)</f>
      </c>
      <c r="X490" s="43">
        <f>IF(V490=0,0,MAX(M490,0)/V490)</f>
      </c>
    </row>
    <row r="491" spans="1:24" x14ac:dyDescent="0.25">
      <c r="A491" s="20" t="str">
        <f>B491&amp;"."&amp;IFERROR(MID(D491,FIND("(",D491)+1,FIND(")",D491)-FIND("(",D491)-1),"")</f>
        <v>72623.</v>
      </c>
      <c r="B491" s="21">
        <v>72623</v>
      </c>
      <c r="C491" s="20" t="s">
        <v>804</v>
      </c>
      <c r="D491" s="20" t="s">
        <v>89</v>
      </c>
      <c r="E491" s="20">
        <v>90636</v>
      </c>
      <c r="F491" s="20" t="s">
        <v>27</v>
      </c>
      <c r="G491" s="20" t="s">
        <v>51</v>
      </c>
      <c r="H491" s="22">
        <f>IFERROR(INDEX(Linha!$B$5:$B$788,MATCH(A491,Linha!$A$5:$A$788,0)),"NÃO CADASTRADO")</f>
      </c>
      <c r="I491" s="22">
        <f>IFERROR(INDEX(Linha!$C$5:$C$788,MATCH(A491,Linha!$A$5:$A$788,0)),"-")</f>
      </c>
      <c r="J491" s="23">
        <v>0</v>
      </c>
      <c r="K491" s="24">
        <f>IFERROR(INDEX(Linha!$D$5:$D$788,MATCH(A491,Linha!$A$5:$A$788,0))*1,0)</f>
      </c>
      <c r="L491" s="24">
        <f>SUMIFS(Reservas!$K$5:$K$3669,Reservas!$A$5:$A$3669,A491)</f>
      </c>
      <c r="M491" s="25">
        <f>J491-L491</f>
      </c>
      <c r="N491" s="26">
        <v>5.85</v>
      </c>
      <c r="O491" s="25">
        <f>J491*N491</f>
      </c>
      <c r="P491" s="25">
        <f>L491*N491</f>
      </c>
      <c r="Q491" s="27">
        <v>35.3336999</v>
      </c>
      <c r="R491" s="28">
        <f>J491*Q491</f>
      </c>
      <c r="S491" s="28">
        <f>L491*Q491</f>
      </c>
      <c r="T491" s="29">
        <f>IF(J491=0,0,L491/J491)</f>
      </c>
      <c r="U491" s="30">
        <f>IFERROR(INDEX(Paletes!$C$5:$C$393,MATCH(B491,Paletes!$A$5:$A$393,0)),"SEM CADASTRO")</f>
      </c>
      <c r="V491" s="24">
        <f>IFERROR(INDEX(Paletes!$D$5:$D$393,MATCH(B491,Paletes!$A$5:$A$393,0)),0)</f>
      </c>
      <c r="W491" s="31">
        <f>IF(V491=0,0,J491/V491)</f>
      </c>
      <c r="X491" s="31">
        <f>IF(V491=0,0,MAX(M491,0)/V491)</f>
      </c>
    </row>
    <row r="492" spans="1:24" x14ac:dyDescent="0.25">
      <c r="A492" s="32" t="str">
        <f>B492&amp;"."&amp;IFERROR(MID(D492,FIND("(",D492)+1,FIND(")",D492)-FIND("(",D492)-1),"")</f>
        <v>73189.16641</v>
      </c>
      <c r="B492" s="33">
        <v>73189</v>
      </c>
      <c r="C492" s="32" t="s">
        <v>215</v>
      </c>
      <c r="D492" s="32" t="s">
        <v>805</v>
      </c>
      <c r="E492" s="32">
        <v>91018</v>
      </c>
      <c r="F492" s="32" t="s">
        <v>24</v>
      </c>
      <c r="G492" s="32" t="s">
        <v>51</v>
      </c>
      <c r="H492" s="34">
        <f>IFERROR(INDEX(Linha!$B$5:$B$788,MATCH(A492,Linha!$A$5:$A$788,0)),"NÃO CADASTRADO")</f>
      </c>
      <c r="I492" s="34">
        <f>IFERROR(INDEX(Linha!$C$5:$C$788,MATCH(A492,Linha!$A$5:$A$788,0)),"-")</f>
      </c>
      <c r="J492" s="35">
        <v>652</v>
      </c>
      <c r="K492" s="36">
        <f>IFERROR(INDEX(Linha!$D$5:$D$788,MATCH(A492,Linha!$A$5:$A$788,0))*1,0)</f>
      </c>
      <c r="L492" s="36">
        <f>SUMIFS(Reservas!$K$5:$K$3669,Reservas!$A$5:$A$3669,A492)</f>
      </c>
      <c r="M492" s="37">
        <f>J492-L492</f>
      </c>
      <c r="N492" s="38">
        <v>32.175</v>
      </c>
      <c r="O492" s="37">
        <f>J492*N492</f>
      </c>
      <c r="P492" s="37">
        <f>L492*N492</f>
      </c>
      <c r="Q492" s="39">
        <v>154.55996759</v>
      </c>
      <c r="R492" s="40">
        <f>J492*Q492</f>
      </c>
      <c r="S492" s="40">
        <f>L492*Q492</f>
      </c>
      <c r="T492" s="41">
        <f>IF(J492=0,0,L492/J492)</f>
      </c>
      <c r="U492" s="42">
        <f>IFERROR(INDEX(Paletes!$C$5:$C$393,MATCH(B492,Paletes!$A$5:$A$393,0)),"SEM CADASTRO")</f>
      </c>
      <c r="V492" s="36">
        <f>IFERROR(INDEX(Paletes!$D$5:$D$393,MATCH(B492,Paletes!$A$5:$A$393,0)),0)</f>
      </c>
      <c r="W492" s="43">
        <f>IF(V492=0,0,J492/V492)</f>
      </c>
      <c r="X492" s="43">
        <f>IF(V492=0,0,MAX(M492,0)/V492)</f>
      </c>
    </row>
    <row r="493" spans="1:24" x14ac:dyDescent="0.25">
      <c r="A493" s="20" t="str">
        <f>B493&amp;"."&amp;IFERROR(MID(D493,FIND("(",D493)+1,FIND(")",D493)-FIND("(",D493)-1),"")</f>
        <v>85025.79504</v>
      </c>
      <c r="B493" s="21">
        <v>85025</v>
      </c>
      <c r="C493" s="20" t="s">
        <v>355</v>
      </c>
      <c r="D493" s="20" t="s">
        <v>806</v>
      </c>
      <c r="E493" s="20">
        <v>91794</v>
      </c>
      <c r="F493" s="20" t="s">
        <v>24</v>
      </c>
      <c r="G493" s="20" t="s">
        <v>51</v>
      </c>
      <c r="H493" s="22">
        <f>IFERROR(INDEX(Linha!$B$5:$B$788,MATCH(A493,Linha!$A$5:$A$788,0)),"NÃO CADASTRADO")</f>
      </c>
      <c r="I493" s="22">
        <f>IFERROR(INDEX(Linha!$C$5:$C$788,MATCH(A493,Linha!$A$5:$A$788,0)),"-")</f>
      </c>
      <c r="J493" s="23">
        <v>71</v>
      </c>
      <c r="K493" s="24">
        <f>IFERROR(INDEX(Linha!$D$5:$D$788,MATCH(A493,Linha!$A$5:$A$788,0))*1,0)</f>
      </c>
      <c r="L493" s="24">
        <f>SUMIFS(Reservas!$K$5:$K$3669,Reservas!$A$5:$A$3669,A493)</f>
      </c>
      <c r="M493" s="25">
        <f>J493-L493</f>
      </c>
      <c r="N493" s="26">
        <v>0.39</v>
      </c>
      <c r="O493" s="25">
        <f>J493*N493</f>
      </c>
      <c r="P493" s="25">
        <f>L493*N493</f>
      </c>
      <c r="Q493" s="27">
        <v>3.4745164</v>
      </c>
      <c r="R493" s="28">
        <f>J493*Q493</f>
      </c>
      <c r="S493" s="28">
        <f>L493*Q493</f>
      </c>
      <c r="T493" s="29">
        <f>IF(J493=0,0,L493/J493)</f>
      </c>
      <c r="U493" s="30">
        <f>IFERROR(INDEX(Paletes!$C$5:$C$393,MATCH(B493,Paletes!$A$5:$A$393,0)),"SEM CADASTRO")</f>
      </c>
      <c r="V493" s="24">
        <f>IFERROR(INDEX(Paletes!$D$5:$D$393,MATCH(B493,Paletes!$A$5:$A$393,0)),0)</f>
      </c>
      <c r="W493" s="31">
        <f>IF(V493=0,0,J493/V493)</f>
      </c>
      <c r="X493" s="31">
        <f>IF(V493=0,0,MAX(M493,0)/V493)</f>
      </c>
    </row>
    <row r="494" spans="1:24" x14ac:dyDescent="0.25">
      <c r="A494" s="32" t="str">
        <f>B494&amp;"."&amp;IFERROR(MID(D494,FIND("(",D494)+1,FIND(")",D494)-FIND("(",D494)-1),"")</f>
        <v>75868.52047</v>
      </c>
      <c r="B494" s="33">
        <v>75868</v>
      </c>
      <c r="C494" s="32" t="s">
        <v>357</v>
      </c>
      <c r="D494" s="32" t="s">
        <v>807</v>
      </c>
      <c r="E494" s="32">
        <v>91884</v>
      </c>
      <c r="F494" s="32" t="s">
        <v>26</v>
      </c>
      <c r="G494" s="32" t="s">
        <v>51</v>
      </c>
      <c r="H494" s="34">
        <f>IFERROR(INDEX(Linha!$B$5:$B$788,MATCH(A494,Linha!$A$5:$A$788,0)),"NÃO CADASTRADO")</f>
      </c>
      <c r="I494" s="34">
        <f>IFERROR(INDEX(Linha!$C$5:$C$788,MATCH(A494,Linha!$A$5:$A$788,0)),"-")</f>
      </c>
      <c r="J494" s="35">
        <v>91</v>
      </c>
      <c r="K494" s="36">
        <f>IFERROR(INDEX(Linha!$D$5:$D$788,MATCH(A494,Linha!$A$5:$A$788,0))*1,0)</f>
      </c>
      <c r="L494" s="36">
        <f>SUMIFS(Reservas!$K$5:$K$3669,Reservas!$A$5:$A$3669,A494)</f>
      </c>
      <c r="M494" s="37">
        <f>J494-L494</f>
      </c>
      <c r="N494" s="38">
        <v>59.943</v>
      </c>
      <c r="O494" s="37">
        <f>J494*N494</f>
      </c>
      <c r="P494" s="37">
        <f>L494*N494</f>
      </c>
      <c r="Q494" s="39">
        <v>228.45804235</v>
      </c>
      <c r="R494" s="40">
        <f>J494*Q494</f>
      </c>
      <c r="S494" s="40">
        <f>L494*Q494</f>
      </c>
      <c r="T494" s="41">
        <f>IF(J494=0,0,L494/J494)</f>
      </c>
      <c r="U494" s="42">
        <f>IFERROR(INDEX(Paletes!$C$5:$C$393,MATCH(B494,Paletes!$A$5:$A$393,0)),"SEM CADASTRO")</f>
      </c>
      <c r="V494" s="36">
        <f>IFERROR(INDEX(Paletes!$D$5:$D$393,MATCH(B494,Paletes!$A$5:$A$393,0)),0)</f>
      </c>
      <c r="W494" s="43">
        <f>IF(V494=0,0,J494/V494)</f>
      </c>
      <c r="X494" s="43">
        <f>IF(V494=0,0,MAX(M494,0)/V494)</f>
      </c>
    </row>
    <row r="495" spans="1:24" x14ac:dyDescent="0.25">
      <c r="A495" s="20" t="str">
        <f>B495&amp;"."&amp;IFERROR(MID(D495,FIND("(",D495)+1,FIND(")",D495)-FIND("(",D495)-1),"")</f>
        <v>83251.67186</v>
      </c>
      <c r="B495" s="21">
        <v>83251</v>
      </c>
      <c r="C495" s="20" t="s">
        <v>359</v>
      </c>
      <c r="D495" s="20" t="s">
        <v>808</v>
      </c>
      <c r="E495" s="20">
        <v>92251</v>
      </c>
      <c r="F495" s="20" t="s">
        <v>25</v>
      </c>
      <c r="G495" s="20" t="s">
        <v>51</v>
      </c>
      <c r="H495" s="22">
        <f>IFERROR(INDEX(Linha!$B$5:$B$788,MATCH(A495,Linha!$A$5:$A$788,0)),"NÃO CADASTRADO")</f>
      </c>
      <c r="I495" s="22">
        <f>IFERROR(INDEX(Linha!$C$5:$C$788,MATCH(A495,Linha!$A$5:$A$788,0)),"-")</f>
      </c>
      <c r="J495" s="23">
        <v>163</v>
      </c>
      <c r="K495" s="24">
        <f>IFERROR(INDEX(Linha!$D$5:$D$788,MATCH(A495,Linha!$A$5:$A$788,0))*1,0)</f>
      </c>
      <c r="L495" s="24">
        <f>SUMIFS(Reservas!$K$5:$K$3669,Reservas!$A$5:$A$3669,A495)</f>
      </c>
      <c r="M495" s="25">
        <f>J495-L495</f>
      </c>
      <c r="N495" s="26">
        <v>15.834</v>
      </c>
      <c r="O495" s="25">
        <f>J495*N495</f>
      </c>
      <c r="P495" s="25">
        <f>L495*N495</f>
      </c>
      <c r="Q495" s="27">
        <v>118.78948184</v>
      </c>
      <c r="R495" s="28">
        <f>J495*Q495</f>
      </c>
      <c r="S495" s="28">
        <f>L495*Q495</f>
      </c>
      <c r="T495" s="29">
        <f>IF(J495=0,0,L495/J495)</f>
      </c>
      <c r="U495" s="30">
        <f>IFERROR(INDEX(Paletes!$C$5:$C$393,MATCH(B495,Paletes!$A$5:$A$393,0)),"SEM CADASTRO")</f>
      </c>
      <c r="V495" s="24">
        <f>IFERROR(INDEX(Paletes!$D$5:$D$393,MATCH(B495,Paletes!$A$5:$A$393,0)),0)</f>
      </c>
      <c r="W495" s="31">
        <f>IF(V495=0,0,J495/V495)</f>
      </c>
      <c r="X495" s="31">
        <f>IF(V495=0,0,MAX(M495,0)/V495)</f>
      </c>
    </row>
    <row r="496" spans="1:24" x14ac:dyDescent="0.25">
      <c r="A496" s="32" t="str">
        <f>B496&amp;"."&amp;IFERROR(MID(D496,FIND("(",D496)+1,FIND(")",D496)-FIND("(",D496)-1),"")</f>
        <v>83251.31593</v>
      </c>
      <c r="B496" s="33">
        <v>83251</v>
      </c>
      <c r="C496" s="32" t="s">
        <v>359</v>
      </c>
      <c r="D496" s="32" t="s">
        <v>809</v>
      </c>
      <c r="E496" s="32">
        <v>92251</v>
      </c>
      <c r="F496" s="32" t="s">
        <v>25</v>
      </c>
      <c r="G496" s="32" t="s">
        <v>51</v>
      </c>
      <c r="H496" s="34">
        <f>IFERROR(INDEX(Linha!$B$5:$B$788,MATCH(A496,Linha!$A$5:$A$788,0)),"NÃO CADASTRADO")</f>
      </c>
      <c r="I496" s="34">
        <f>IFERROR(INDEX(Linha!$C$5:$C$788,MATCH(A496,Linha!$A$5:$A$788,0)),"-")</f>
      </c>
      <c r="J496" s="35">
        <v>485</v>
      </c>
      <c r="K496" s="36">
        <f>IFERROR(INDEX(Linha!$D$5:$D$788,MATCH(A496,Linha!$A$5:$A$788,0))*1,0)</f>
      </c>
      <c r="L496" s="36">
        <f>SUMIFS(Reservas!$K$5:$K$3669,Reservas!$A$5:$A$3669,A496)</f>
      </c>
      <c r="M496" s="37">
        <f>J496-L496</f>
      </c>
      <c r="N496" s="38">
        <v>15.834</v>
      </c>
      <c r="O496" s="37">
        <f>J496*N496</f>
      </c>
      <c r="P496" s="37">
        <f>L496*N496</f>
      </c>
      <c r="Q496" s="39">
        <v>104.50426467</v>
      </c>
      <c r="R496" s="40">
        <f>J496*Q496</f>
      </c>
      <c r="S496" s="40">
        <f>L496*Q496</f>
      </c>
      <c r="T496" s="41">
        <f>IF(J496=0,0,L496/J496)</f>
      </c>
      <c r="U496" s="42">
        <f>IFERROR(INDEX(Paletes!$C$5:$C$393,MATCH(B496,Paletes!$A$5:$A$393,0)),"SEM CADASTRO")</f>
      </c>
      <c r="V496" s="36">
        <f>IFERROR(INDEX(Paletes!$D$5:$D$393,MATCH(B496,Paletes!$A$5:$A$393,0)),0)</f>
      </c>
      <c r="W496" s="43">
        <f>IF(V496=0,0,J496/V496)</f>
      </c>
      <c r="X496" s="43">
        <f>IF(V496=0,0,MAX(M496,0)/V496)</f>
      </c>
    </row>
    <row r="497" spans="1:24" x14ac:dyDescent="0.25">
      <c r="A497" s="20" t="str">
        <f>B497&amp;"."&amp;IFERROR(MID(D497,FIND("(",D497)+1,FIND(")",D497)-FIND("(",D497)-1),"")</f>
        <v>81713.23873</v>
      </c>
      <c r="B497" s="21">
        <v>81713</v>
      </c>
      <c r="C497" s="20" t="s">
        <v>810</v>
      </c>
      <c r="D497" s="20" t="s">
        <v>811</v>
      </c>
      <c r="E497" s="20">
        <v>92835</v>
      </c>
      <c r="F497" s="20" t="s">
        <v>25</v>
      </c>
      <c r="G497" s="20" t="s">
        <v>51</v>
      </c>
      <c r="H497" s="22">
        <f>IFERROR(INDEX(Linha!$B$5:$B$788,MATCH(A497,Linha!$A$5:$A$788,0)),"NÃO CADASTRADO")</f>
      </c>
      <c r="I497" s="22">
        <f>IFERROR(INDEX(Linha!$C$5:$C$788,MATCH(A497,Linha!$A$5:$A$788,0)),"-")</f>
      </c>
      <c r="J497" s="23">
        <v>561</v>
      </c>
      <c r="K497" s="24">
        <f>IFERROR(INDEX(Linha!$D$5:$D$788,MATCH(A497,Linha!$A$5:$A$788,0))*1,0)</f>
      </c>
      <c r="L497" s="24">
        <f>SUMIFS(Reservas!$K$5:$K$3669,Reservas!$A$5:$A$3669,A497)</f>
      </c>
      <c r="M497" s="25">
        <f>J497-L497</f>
      </c>
      <c r="N497" s="26">
        <v>44.85</v>
      </c>
      <c r="O497" s="25">
        <f>J497*N497</f>
      </c>
      <c r="P497" s="25">
        <f>L497*N497</f>
      </c>
      <c r="Q497" s="27">
        <v>231.52224338</v>
      </c>
      <c r="R497" s="28">
        <f>J497*Q497</f>
      </c>
      <c r="S497" s="28">
        <f>L497*Q497</f>
      </c>
      <c r="T497" s="29">
        <f>IF(J497=0,0,L497/J497)</f>
      </c>
      <c r="U497" s="30">
        <f>IFERROR(INDEX(Paletes!$C$5:$C$393,MATCH(B497,Paletes!$A$5:$A$393,0)),"SEM CADASTRO")</f>
      </c>
      <c r="V497" s="24">
        <f>IFERROR(INDEX(Paletes!$D$5:$D$393,MATCH(B497,Paletes!$A$5:$A$393,0)),0)</f>
      </c>
      <c r="W497" s="31">
        <f>IF(V497=0,0,J497/V497)</f>
      </c>
      <c r="X497" s="31">
        <f>IF(V497=0,0,MAX(M497,0)/V497)</f>
      </c>
    </row>
    <row r="498" spans="1:24" x14ac:dyDescent="0.25">
      <c r="A498" s="32" t="str">
        <f>B498&amp;"."&amp;IFERROR(MID(D498,FIND("(",D498)+1,FIND(")",D498)-FIND("(",D498)-1),"")</f>
        <v>87812.94547</v>
      </c>
      <c r="B498" s="33">
        <v>87812</v>
      </c>
      <c r="C498" s="32" t="s">
        <v>812</v>
      </c>
      <c r="D498" s="32" t="s">
        <v>813</v>
      </c>
      <c r="E498" s="32" t="s">
        <v>89</v>
      </c>
      <c r="F498" s="32" t="s">
        <v>25</v>
      </c>
      <c r="G498" s="32" t="s">
        <v>51</v>
      </c>
      <c r="H498" s="34">
        <f>IFERROR(INDEX(Linha!$B$5:$B$788,MATCH(A498,Linha!$A$5:$A$788,0)),"NÃO CADASTRADO")</f>
      </c>
      <c r="I498" s="34">
        <f>IFERROR(INDEX(Linha!$C$5:$C$788,MATCH(A498,Linha!$A$5:$A$788,0)),"-")</f>
      </c>
      <c r="J498" s="35">
        <v>54</v>
      </c>
      <c r="K498" s="36">
        <f>IFERROR(INDEX(Linha!$D$5:$D$788,MATCH(A498,Linha!$A$5:$A$788,0))*1,0)</f>
      </c>
      <c r="L498" s="36">
        <f>SUMIFS(Reservas!$K$5:$K$3669,Reservas!$A$5:$A$3669,A498)</f>
      </c>
      <c r="M498" s="37">
        <f>J498-L498</f>
      </c>
      <c r="N498" s="38">
        <v>13.65</v>
      </c>
      <c r="O498" s="37">
        <f>J498*N498</f>
      </c>
      <c r="P498" s="37">
        <f>L498*N498</f>
      </c>
      <c r="Q498" s="39">
        <v>82.97643616</v>
      </c>
      <c r="R498" s="40">
        <f>J498*Q498</f>
      </c>
      <c r="S498" s="40">
        <f>L498*Q498</f>
      </c>
      <c r="T498" s="41">
        <f>IF(J498=0,0,L498/J498)</f>
      </c>
      <c r="U498" s="42">
        <f>IFERROR(INDEX(Paletes!$C$5:$C$393,MATCH(B498,Paletes!$A$5:$A$393,0)),"SEM CADASTRO")</f>
      </c>
      <c r="V498" s="36">
        <f>IFERROR(INDEX(Paletes!$D$5:$D$393,MATCH(B498,Paletes!$A$5:$A$393,0)),0)</f>
      </c>
      <c r="W498" s="43">
        <f>IF(V498=0,0,J498/V498)</f>
      </c>
      <c r="X498" s="43">
        <f>IF(V498=0,0,MAX(M498,0)/V498)</f>
      </c>
    </row>
    <row r="499" spans="1:24" x14ac:dyDescent="0.25">
      <c r="A499" s="20" t="str">
        <f>B499&amp;"."&amp;IFERROR(MID(D499,FIND("(",D499)+1,FIND(")",D499)-FIND("(",D499)-1),"")</f>
        <v>100262.</v>
      </c>
      <c r="B499" s="21">
        <v>100262</v>
      </c>
      <c r="C499" s="20" t="s">
        <v>814</v>
      </c>
      <c r="D499" s="20" t="s">
        <v>89</v>
      </c>
      <c r="E499" s="20" t="s">
        <v>89</v>
      </c>
      <c r="F499" s="20" t="s">
        <v>26</v>
      </c>
      <c r="G499" s="20" t="s">
        <v>51</v>
      </c>
      <c r="H499" s="22">
        <f>IFERROR(INDEX(Linha!$B$5:$B$788,MATCH(A499,Linha!$A$5:$A$788,0)),"NÃO CADASTRADO")</f>
      </c>
      <c r="I499" s="22">
        <f>IFERROR(INDEX(Linha!$C$5:$C$788,MATCH(A499,Linha!$A$5:$A$788,0)),"-")</f>
      </c>
      <c r="J499" s="23">
        <v>10</v>
      </c>
      <c r="K499" s="24">
        <f>IFERROR(INDEX(Linha!$D$5:$D$788,MATCH(A499,Linha!$A$5:$A$788,0))*1,0)</f>
      </c>
      <c r="L499" s="24">
        <f>SUMIFS(Reservas!$K$5:$K$3669,Reservas!$A$5:$A$3669,A499)</f>
      </c>
      <c r="M499" s="25">
        <f>J499-L499</f>
      </c>
      <c r="N499" s="26">
        <v>0</v>
      </c>
      <c r="O499" s="25">
        <f>J499*N499</f>
      </c>
      <c r="P499" s="25">
        <f>L499*N499</f>
      </c>
      <c r="Q499" s="27">
        <v>94.67755837</v>
      </c>
      <c r="R499" s="28">
        <f>J499*Q499</f>
      </c>
      <c r="S499" s="28">
        <f>L499*Q499</f>
      </c>
      <c r="T499" s="29">
        <f>IF(J499=0,0,L499/J499)</f>
      </c>
      <c r="U499" s="30">
        <f>IFERROR(INDEX(Paletes!$C$5:$C$393,MATCH(B499,Paletes!$A$5:$A$393,0)),"SEM CADASTRO")</f>
      </c>
      <c r="V499" s="24">
        <f>IFERROR(INDEX(Paletes!$D$5:$D$393,MATCH(B499,Paletes!$A$5:$A$393,0)),0)</f>
      </c>
      <c r="W499" s="31">
        <f>IF(V499=0,0,J499/V499)</f>
      </c>
      <c r="X499" s="31">
        <f>IF(V499=0,0,MAX(M499,0)/V499)</f>
      </c>
    </row>
    <row r="500" spans="1:24" x14ac:dyDescent="0.25">
      <c r="A500" s="32" t="str">
        <f>B500&amp;"."&amp;IFERROR(MID(D500,FIND("(",D500)+1,FIND(")",D500)-FIND("(",D500)-1),"")</f>
        <v>84310.39410</v>
      </c>
      <c r="B500" s="33">
        <v>84310</v>
      </c>
      <c r="C500" s="32" t="s">
        <v>815</v>
      </c>
      <c r="D500" s="32" t="s">
        <v>816</v>
      </c>
      <c r="E500" s="32">
        <v>96220</v>
      </c>
      <c r="F500" s="32" t="s">
        <v>25</v>
      </c>
      <c r="G500" s="32" t="s">
        <v>51</v>
      </c>
      <c r="H500" s="34">
        <f>IFERROR(INDEX(Linha!$B$5:$B$788,MATCH(A500,Linha!$A$5:$A$788,0)),"NÃO CADASTRADO")</f>
      </c>
      <c r="I500" s="34">
        <f>IFERROR(INDEX(Linha!$C$5:$C$788,MATCH(A500,Linha!$A$5:$A$788,0)),"-")</f>
      </c>
      <c r="J500" s="35">
        <v>0</v>
      </c>
      <c r="K500" s="36">
        <f>IFERROR(INDEX(Linha!$D$5:$D$788,MATCH(A500,Linha!$A$5:$A$788,0))*1,0)</f>
      </c>
      <c r="L500" s="36">
        <f>SUMIFS(Reservas!$K$5:$K$3669,Reservas!$A$5:$A$3669,A500)</f>
      </c>
      <c r="M500" s="37">
        <f>J500-L500</f>
      </c>
      <c r="N500" s="38">
        <v>14.527</v>
      </c>
      <c r="O500" s="37">
        <f>J500*N500</f>
      </c>
      <c r="P500" s="37">
        <f>L500*N500</f>
      </c>
      <c r="Q500" s="39">
        <v>93.94940255</v>
      </c>
      <c r="R500" s="40">
        <f>J500*Q500</f>
      </c>
      <c r="S500" s="40">
        <f>L500*Q500</f>
      </c>
      <c r="T500" s="41">
        <f>IF(J500=0,0,L500/J500)</f>
      </c>
      <c r="U500" s="42">
        <f>IFERROR(INDEX(Paletes!$C$5:$C$393,MATCH(B500,Paletes!$A$5:$A$393,0)),"SEM CADASTRO")</f>
      </c>
      <c r="V500" s="36">
        <f>IFERROR(INDEX(Paletes!$D$5:$D$393,MATCH(B500,Paletes!$A$5:$A$393,0)),0)</f>
      </c>
      <c r="W500" s="43">
        <f>IF(V500=0,0,J500/V500)</f>
      </c>
      <c r="X500" s="43">
        <f>IF(V500=0,0,MAX(M500,0)/V500)</f>
      </c>
    </row>
    <row r="501" spans="1:24" x14ac:dyDescent="0.25">
      <c r="A501" s="20" t="str">
        <f>B501&amp;"."&amp;IFERROR(MID(D501,FIND("(",D501)+1,FIND(")",D501)-FIND("(",D501)-1),"")</f>
        <v>85366.46059</v>
      </c>
      <c r="B501" s="21">
        <v>85366</v>
      </c>
      <c r="C501" s="20" t="s">
        <v>364</v>
      </c>
      <c r="D501" s="20" t="s">
        <v>817</v>
      </c>
      <c r="E501" s="20">
        <v>96295</v>
      </c>
      <c r="F501" s="20" t="s">
        <v>25</v>
      </c>
      <c r="G501" s="20" t="s">
        <v>51</v>
      </c>
      <c r="H501" s="22">
        <f>IFERROR(INDEX(Linha!$B$5:$B$788,MATCH(A501,Linha!$A$5:$A$788,0)),"NÃO CADASTRADO")</f>
      </c>
      <c r="I501" s="22">
        <f>IFERROR(INDEX(Linha!$C$5:$C$788,MATCH(A501,Linha!$A$5:$A$788,0)),"-")</f>
      </c>
      <c r="J501" s="23">
        <v>49</v>
      </c>
      <c r="K501" s="24">
        <f>IFERROR(INDEX(Linha!$D$5:$D$788,MATCH(A501,Linha!$A$5:$A$788,0))*1,0)</f>
      </c>
      <c r="L501" s="24">
        <f>SUMIFS(Reservas!$K$5:$K$3669,Reservas!$A$5:$A$3669,A501)</f>
      </c>
      <c r="M501" s="25">
        <f>J501-L501</f>
      </c>
      <c r="N501" s="26">
        <v>12.577</v>
      </c>
      <c r="O501" s="25">
        <f>J501*N501</f>
      </c>
      <c r="P501" s="25">
        <f>L501*N501</f>
      </c>
      <c r="Q501" s="27">
        <v>99.35688635</v>
      </c>
      <c r="R501" s="28">
        <f>J501*Q501</f>
      </c>
      <c r="S501" s="28">
        <f>L501*Q501</f>
      </c>
      <c r="T501" s="29">
        <f>IF(J501=0,0,L501/J501)</f>
      </c>
      <c r="U501" s="30">
        <f>IFERROR(INDEX(Paletes!$C$5:$C$393,MATCH(B501,Paletes!$A$5:$A$393,0)),"SEM CADASTRO")</f>
      </c>
      <c r="V501" s="24">
        <f>IFERROR(INDEX(Paletes!$D$5:$D$393,MATCH(B501,Paletes!$A$5:$A$393,0)),0)</f>
      </c>
      <c r="W501" s="31">
        <f>IF(V501=0,0,J501/V501)</f>
      </c>
      <c r="X501" s="31">
        <f>IF(V501=0,0,MAX(M501,0)/V501)</f>
      </c>
    </row>
    <row r="502" spans="1:24" x14ac:dyDescent="0.25">
      <c r="A502" s="32" t="str">
        <f>B502&amp;"."&amp;IFERROR(MID(D502,FIND("(",D502)+1,FIND(")",D502)-FIND("(",D502)-1),"")</f>
        <v>85366.46062</v>
      </c>
      <c r="B502" s="33">
        <v>85366</v>
      </c>
      <c r="C502" s="32" t="s">
        <v>364</v>
      </c>
      <c r="D502" s="32" t="s">
        <v>818</v>
      </c>
      <c r="E502" s="32">
        <v>96295</v>
      </c>
      <c r="F502" s="32" t="s">
        <v>25</v>
      </c>
      <c r="G502" s="32" t="s">
        <v>51</v>
      </c>
      <c r="H502" s="34">
        <f>IFERROR(INDEX(Linha!$B$5:$B$788,MATCH(A502,Linha!$A$5:$A$788,0)),"NÃO CADASTRADO")</f>
      </c>
      <c r="I502" s="34">
        <f>IFERROR(INDEX(Linha!$C$5:$C$788,MATCH(A502,Linha!$A$5:$A$788,0)),"-")</f>
      </c>
      <c r="J502" s="35">
        <v>144</v>
      </c>
      <c r="K502" s="36">
        <f>IFERROR(INDEX(Linha!$D$5:$D$788,MATCH(A502,Linha!$A$5:$A$788,0))*1,0)</f>
      </c>
      <c r="L502" s="36">
        <f>SUMIFS(Reservas!$K$5:$K$3669,Reservas!$A$5:$A$3669,A502)</f>
      </c>
      <c r="M502" s="37">
        <f>J502-L502</f>
      </c>
      <c r="N502" s="38">
        <v>12.577</v>
      </c>
      <c r="O502" s="37">
        <f>J502*N502</f>
      </c>
      <c r="P502" s="37">
        <f>L502*N502</f>
      </c>
      <c r="Q502" s="39">
        <v>94.32385507</v>
      </c>
      <c r="R502" s="40">
        <f>J502*Q502</f>
      </c>
      <c r="S502" s="40">
        <f>L502*Q502</f>
      </c>
      <c r="T502" s="41">
        <f>IF(J502=0,0,L502/J502)</f>
      </c>
      <c r="U502" s="42">
        <f>IFERROR(INDEX(Paletes!$C$5:$C$393,MATCH(B502,Paletes!$A$5:$A$393,0)),"SEM CADASTRO")</f>
      </c>
      <c r="V502" s="36">
        <f>IFERROR(INDEX(Paletes!$D$5:$D$393,MATCH(B502,Paletes!$A$5:$A$393,0)),0)</f>
      </c>
      <c r="W502" s="43">
        <f>IF(V502=0,0,J502/V502)</f>
      </c>
      <c r="X502" s="43">
        <f>IF(V502=0,0,MAX(M502,0)/V502)</f>
      </c>
    </row>
    <row r="503" spans="1:24" x14ac:dyDescent="0.25">
      <c r="A503" s="20" t="str">
        <f>B503&amp;"."&amp;IFERROR(MID(D503,FIND("(",D503)+1,FIND(")",D503)-FIND("(",D503)-1),"")</f>
        <v>85366.46063</v>
      </c>
      <c r="B503" s="21">
        <v>85366</v>
      </c>
      <c r="C503" s="20" t="s">
        <v>364</v>
      </c>
      <c r="D503" s="20" t="s">
        <v>819</v>
      </c>
      <c r="E503" s="20">
        <v>96295</v>
      </c>
      <c r="F503" s="20" t="s">
        <v>25</v>
      </c>
      <c r="G503" s="20" t="s">
        <v>51</v>
      </c>
      <c r="H503" s="22">
        <f>IFERROR(INDEX(Linha!$B$5:$B$788,MATCH(A503,Linha!$A$5:$A$788,0)),"NÃO CADASTRADO")</f>
      </c>
      <c r="I503" s="22">
        <f>IFERROR(INDEX(Linha!$C$5:$C$788,MATCH(A503,Linha!$A$5:$A$788,0)),"-")</f>
      </c>
      <c r="J503" s="23">
        <v>108</v>
      </c>
      <c r="K503" s="24">
        <f>IFERROR(INDEX(Linha!$D$5:$D$788,MATCH(A503,Linha!$A$5:$A$788,0))*1,0)</f>
      </c>
      <c r="L503" s="24">
        <f>SUMIFS(Reservas!$K$5:$K$3669,Reservas!$A$5:$A$3669,A503)</f>
      </c>
      <c r="M503" s="25">
        <f>J503-L503</f>
      </c>
      <c r="N503" s="26">
        <v>12.577</v>
      </c>
      <c r="O503" s="25">
        <f>J503*N503</f>
      </c>
      <c r="P503" s="25">
        <f>L503*N503</f>
      </c>
      <c r="Q503" s="27">
        <v>93.12996099</v>
      </c>
      <c r="R503" s="28">
        <f>J503*Q503</f>
      </c>
      <c r="S503" s="28">
        <f>L503*Q503</f>
      </c>
      <c r="T503" s="29">
        <f>IF(J503=0,0,L503/J503)</f>
      </c>
      <c r="U503" s="30">
        <f>IFERROR(INDEX(Paletes!$C$5:$C$393,MATCH(B503,Paletes!$A$5:$A$393,0)),"SEM CADASTRO")</f>
      </c>
      <c r="V503" s="24">
        <f>IFERROR(INDEX(Paletes!$D$5:$D$393,MATCH(B503,Paletes!$A$5:$A$393,0)),0)</f>
      </c>
      <c r="W503" s="31">
        <f>IF(V503=0,0,J503/V503)</f>
      </c>
      <c r="X503" s="31">
        <f>IF(V503=0,0,MAX(M503,0)/V503)</f>
      </c>
    </row>
    <row r="504" spans="1:24" x14ac:dyDescent="0.25">
      <c r="A504" s="32" t="str">
        <f>B504&amp;"."&amp;IFERROR(MID(D504,FIND("(",D504)+1,FIND(")",D504)-FIND("(",D504)-1),"")</f>
        <v>85027.45302</v>
      </c>
      <c r="B504" s="33">
        <v>85027</v>
      </c>
      <c r="C504" s="32" t="s">
        <v>820</v>
      </c>
      <c r="D504" s="32" t="s">
        <v>821</v>
      </c>
      <c r="E504" s="32">
        <v>96398</v>
      </c>
      <c r="F504" s="32" t="s">
        <v>25</v>
      </c>
      <c r="G504" s="32" t="s">
        <v>51</v>
      </c>
      <c r="H504" s="34">
        <f>IFERROR(INDEX(Linha!$B$5:$B$788,MATCH(A504,Linha!$A$5:$A$788,0)),"NÃO CADASTRADO")</f>
      </c>
      <c r="I504" s="34">
        <f>IFERROR(INDEX(Linha!$C$5:$C$788,MATCH(A504,Linha!$A$5:$A$788,0)),"-")</f>
      </c>
      <c r="J504" s="35">
        <v>408</v>
      </c>
      <c r="K504" s="36">
        <f>IFERROR(INDEX(Linha!$D$5:$D$788,MATCH(A504,Linha!$A$5:$A$788,0))*1,0)</f>
      </c>
      <c r="L504" s="36">
        <f>SUMIFS(Reservas!$K$5:$K$3669,Reservas!$A$5:$A$3669,A504)</f>
      </c>
      <c r="M504" s="37">
        <f>J504-L504</f>
      </c>
      <c r="N504" s="38">
        <v>39.633</v>
      </c>
      <c r="O504" s="37">
        <f>J504*N504</f>
      </c>
      <c r="P504" s="37">
        <f>L504*N504</f>
      </c>
      <c r="Q504" s="39">
        <v>221.68610734</v>
      </c>
      <c r="R504" s="40">
        <f>J504*Q504</f>
      </c>
      <c r="S504" s="40">
        <f>L504*Q504</f>
      </c>
      <c r="T504" s="41">
        <f>IF(J504=0,0,L504/J504)</f>
      </c>
      <c r="U504" s="42">
        <f>IFERROR(INDEX(Paletes!$C$5:$C$393,MATCH(B504,Paletes!$A$5:$A$393,0)),"SEM CADASTRO")</f>
      </c>
      <c r="V504" s="36">
        <f>IFERROR(INDEX(Paletes!$D$5:$D$393,MATCH(B504,Paletes!$A$5:$A$393,0)),0)</f>
      </c>
      <c r="W504" s="43">
        <f>IF(V504=0,0,J504/V504)</f>
      </c>
      <c r="X504" s="43">
        <f>IF(V504=0,0,MAX(M504,0)/V504)</f>
      </c>
    </row>
    <row r="505" spans="1:24" x14ac:dyDescent="0.25">
      <c r="A505" s="20" t="str">
        <f>B505&amp;"."&amp;IFERROR(MID(D505,FIND("(",D505)+1,FIND(")",D505)-FIND("(",D505)-1),"")</f>
        <v>84836.30750</v>
      </c>
      <c r="B505" s="21">
        <v>84836</v>
      </c>
      <c r="C505" s="20" t="s">
        <v>649</v>
      </c>
      <c r="D505" s="20" t="s">
        <v>822</v>
      </c>
      <c r="E505" s="20">
        <v>96576</v>
      </c>
      <c r="F505" s="20" t="s">
        <v>26</v>
      </c>
      <c r="G505" s="20" t="s">
        <v>51</v>
      </c>
      <c r="H505" s="22">
        <f>IFERROR(INDEX(Linha!$B$5:$B$788,MATCH(A505,Linha!$A$5:$A$788,0)),"NÃO CADASTRADO")</f>
      </c>
      <c r="I505" s="22">
        <f>IFERROR(INDEX(Linha!$C$5:$C$788,MATCH(A505,Linha!$A$5:$A$788,0)),"-")</f>
      </c>
      <c r="J505" s="23">
        <v>267</v>
      </c>
      <c r="K505" s="24">
        <f>IFERROR(INDEX(Linha!$D$5:$D$788,MATCH(A505,Linha!$A$5:$A$788,0))*1,0)</f>
      </c>
      <c r="L505" s="24">
        <f>SUMIFS(Reservas!$K$5:$K$3669,Reservas!$A$5:$A$3669,A505)</f>
      </c>
      <c r="M505" s="25">
        <f>J505-L505</f>
      </c>
      <c r="N505" s="26">
        <v>51.675</v>
      </c>
      <c r="O505" s="25">
        <f>J505*N505</f>
      </c>
      <c r="P505" s="25">
        <f>L505*N505</f>
      </c>
      <c r="Q505" s="27">
        <v>178.43766067</v>
      </c>
      <c r="R505" s="28">
        <f>J505*Q505</f>
      </c>
      <c r="S505" s="28">
        <f>L505*Q505</f>
      </c>
      <c r="T505" s="29">
        <f>IF(J505=0,0,L505/J505)</f>
      </c>
      <c r="U505" s="30">
        <f>IFERROR(INDEX(Paletes!$C$5:$C$393,MATCH(B505,Paletes!$A$5:$A$393,0)),"SEM CADASTRO")</f>
      </c>
      <c r="V505" s="24">
        <f>IFERROR(INDEX(Paletes!$D$5:$D$393,MATCH(B505,Paletes!$A$5:$A$393,0)),0)</f>
      </c>
      <c r="W505" s="31">
        <f>IF(V505=0,0,J505/V505)</f>
      </c>
      <c r="X505" s="31">
        <f>IF(V505=0,0,MAX(M505,0)/V505)</f>
      </c>
    </row>
    <row r="506" spans="1:24" x14ac:dyDescent="0.25">
      <c r="A506" s="32" t="str">
        <f>B506&amp;"."&amp;IFERROR(MID(D506,FIND("(",D506)+1,FIND(")",D506)-FIND("(",D506)-1),"")</f>
        <v>84938.36958</v>
      </c>
      <c r="B506" s="33">
        <v>84938</v>
      </c>
      <c r="C506" s="32" t="s">
        <v>654</v>
      </c>
      <c r="D506" s="32" t="s">
        <v>823</v>
      </c>
      <c r="E506" s="32">
        <v>96461</v>
      </c>
      <c r="F506" s="32" t="s">
        <v>24</v>
      </c>
      <c r="G506" s="32" t="s">
        <v>51</v>
      </c>
      <c r="H506" s="34">
        <f>IFERROR(INDEX(Linha!$B$5:$B$788,MATCH(A506,Linha!$A$5:$A$788,0)),"NÃO CADASTRADO")</f>
      </c>
      <c r="I506" s="34">
        <f>IFERROR(INDEX(Linha!$C$5:$C$788,MATCH(A506,Linha!$A$5:$A$788,0)),"-")</f>
      </c>
      <c r="J506" s="35">
        <v>170</v>
      </c>
      <c r="K506" s="36">
        <f>IFERROR(INDEX(Linha!$D$5:$D$788,MATCH(A506,Linha!$A$5:$A$788,0))*1,0)</f>
      </c>
      <c r="L506" s="36">
        <f>SUMIFS(Reservas!$K$5:$K$3669,Reservas!$A$5:$A$3669,A506)</f>
      </c>
      <c r="M506" s="37">
        <f>J506-L506</f>
      </c>
      <c r="N506" s="38">
        <v>30.127</v>
      </c>
      <c r="O506" s="37">
        <f>J506*N506</f>
      </c>
      <c r="P506" s="37">
        <f>L506*N506</f>
      </c>
      <c r="Q506" s="39">
        <v>165.35386171</v>
      </c>
      <c r="R506" s="40">
        <f>J506*Q506</f>
      </c>
      <c r="S506" s="40">
        <f>L506*Q506</f>
      </c>
      <c r="T506" s="41">
        <f>IF(J506=0,0,L506/J506)</f>
      </c>
      <c r="U506" s="42">
        <f>IFERROR(INDEX(Paletes!$C$5:$C$393,MATCH(B506,Paletes!$A$5:$A$393,0)),"SEM CADASTRO")</f>
      </c>
      <c r="V506" s="36">
        <f>IFERROR(INDEX(Paletes!$D$5:$D$393,MATCH(B506,Paletes!$A$5:$A$393,0)),0)</f>
      </c>
      <c r="W506" s="43">
        <f>IF(V506=0,0,J506/V506)</f>
      </c>
      <c r="X506" s="43">
        <f>IF(V506=0,0,MAX(M506,0)/V506)</f>
      </c>
    </row>
    <row r="507" spans="1:24" x14ac:dyDescent="0.25">
      <c r="A507" s="20" t="str">
        <f>B507&amp;"."&amp;IFERROR(MID(D507,FIND("(",D507)+1,FIND(")",D507)-FIND("(",D507)-1),"")</f>
        <v>84941.36965</v>
      </c>
      <c r="B507" s="21">
        <v>84941</v>
      </c>
      <c r="C507" s="20" t="s">
        <v>824</v>
      </c>
      <c r="D507" s="20" t="s">
        <v>825</v>
      </c>
      <c r="E507" s="20">
        <v>96462</v>
      </c>
      <c r="F507" s="20" t="s">
        <v>24</v>
      </c>
      <c r="G507" s="20" t="s">
        <v>51</v>
      </c>
      <c r="H507" s="22">
        <f>IFERROR(INDEX(Linha!$B$5:$B$788,MATCH(A507,Linha!$A$5:$A$788,0)),"NÃO CADASTRADO")</f>
      </c>
      <c r="I507" s="22">
        <f>IFERROR(INDEX(Linha!$C$5:$C$788,MATCH(A507,Linha!$A$5:$A$788,0)),"-")</f>
      </c>
      <c r="J507" s="23">
        <v>30</v>
      </c>
      <c r="K507" s="24">
        <f>IFERROR(INDEX(Linha!$D$5:$D$788,MATCH(A507,Linha!$A$5:$A$788,0))*1,0)</f>
      </c>
      <c r="L507" s="24">
        <f>SUMIFS(Reservas!$K$5:$K$3669,Reservas!$A$5:$A$3669,A507)</f>
      </c>
      <c r="M507" s="25">
        <f>J507-L507</f>
      </c>
      <c r="N507" s="26">
        <v>22.425</v>
      </c>
      <c r="O507" s="25">
        <f>J507*N507</f>
      </c>
      <c r="P507" s="25">
        <f>L507*N507</f>
      </c>
      <c r="Q507" s="27">
        <v>92.52246979</v>
      </c>
      <c r="R507" s="28">
        <f>J507*Q507</f>
      </c>
      <c r="S507" s="28">
        <f>L507*Q507</f>
      </c>
      <c r="T507" s="29">
        <f>IF(J507=0,0,L507/J507)</f>
      </c>
      <c r="U507" s="30">
        <f>IFERROR(INDEX(Paletes!$C$5:$C$393,MATCH(B507,Paletes!$A$5:$A$393,0)),"SEM CADASTRO")</f>
      </c>
      <c r="V507" s="24">
        <f>IFERROR(INDEX(Paletes!$D$5:$D$393,MATCH(B507,Paletes!$A$5:$A$393,0)),0)</f>
      </c>
      <c r="W507" s="31">
        <f>IF(V507=0,0,J507/V507)</f>
      </c>
      <c r="X507" s="31">
        <f>IF(V507=0,0,MAX(M507,0)/V507)</f>
      </c>
    </row>
    <row r="508" spans="1:24" x14ac:dyDescent="0.25">
      <c r="A508" s="32" t="str">
        <f>B508&amp;"."&amp;IFERROR(MID(D508,FIND("(",D508)+1,FIND(")",D508)-FIND("(",D508)-1),"")</f>
        <v>84724.30608</v>
      </c>
      <c r="B508" s="33">
        <v>84724</v>
      </c>
      <c r="C508" s="32" t="s">
        <v>826</v>
      </c>
      <c r="D508" s="32" t="s">
        <v>827</v>
      </c>
      <c r="E508" s="32">
        <v>96500</v>
      </c>
      <c r="F508" s="32" t="s">
        <v>26</v>
      </c>
      <c r="G508" s="32" t="s">
        <v>51</v>
      </c>
      <c r="H508" s="34">
        <f>IFERROR(INDEX(Linha!$B$5:$B$788,MATCH(A508,Linha!$A$5:$A$788,0)),"NÃO CADASTRADO")</f>
      </c>
      <c r="I508" s="34">
        <f>IFERROR(INDEX(Linha!$C$5:$C$788,MATCH(A508,Linha!$A$5:$A$788,0)),"-")</f>
      </c>
      <c r="J508" s="35">
        <v>41</v>
      </c>
      <c r="K508" s="36">
        <f>IFERROR(INDEX(Linha!$D$5:$D$788,MATCH(A508,Linha!$A$5:$A$788,0))*1,0)</f>
      </c>
      <c r="L508" s="36">
        <f>SUMIFS(Reservas!$K$5:$K$3669,Reservas!$A$5:$A$3669,A508)</f>
      </c>
      <c r="M508" s="37">
        <f>J508-L508</f>
      </c>
      <c r="N508" s="38">
        <v>61.27</v>
      </c>
      <c r="O508" s="37">
        <f>J508*N508</f>
      </c>
      <c r="P508" s="37">
        <f>L508*N508</f>
      </c>
      <c r="Q508" s="39">
        <v>315.07717364</v>
      </c>
      <c r="R508" s="40">
        <f>J508*Q508</f>
      </c>
      <c r="S508" s="40">
        <f>L508*Q508</f>
      </c>
      <c r="T508" s="41">
        <f>IF(J508=0,0,L508/J508)</f>
      </c>
      <c r="U508" s="42">
        <f>IFERROR(INDEX(Paletes!$C$5:$C$393,MATCH(B508,Paletes!$A$5:$A$393,0)),"SEM CADASTRO")</f>
      </c>
      <c r="V508" s="36">
        <f>IFERROR(INDEX(Paletes!$D$5:$D$393,MATCH(B508,Paletes!$A$5:$A$393,0)),0)</f>
      </c>
      <c r="W508" s="43">
        <f>IF(V508=0,0,J508/V508)</f>
      </c>
      <c r="X508" s="43">
        <f>IF(V508=0,0,MAX(M508,0)/V508)</f>
      </c>
    </row>
    <row r="509" spans="1:24" x14ac:dyDescent="0.25">
      <c r="A509" s="20" t="str">
        <f>B509&amp;"."&amp;IFERROR(MID(D509,FIND("(",D509)+1,FIND(")",D509)-FIND("(",D509)-1),"")</f>
        <v>84724.30609</v>
      </c>
      <c r="B509" s="21">
        <v>84724</v>
      </c>
      <c r="C509" s="20" t="s">
        <v>826</v>
      </c>
      <c r="D509" s="20" t="s">
        <v>828</v>
      </c>
      <c r="E509" s="20">
        <v>96500</v>
      </c>
      <c r="F509" s="20" t="s">
        <v>26</v>
      </c>
      <c r="G509" s="20" t="s">
        <v>51</v>
      </c>
      <c r="H509" s="22">
        <f>IFERROR(INDEX(Linha!$B$5:$B$788,MATCH(A509,Linha!$A$5:$A$788,0)),"NÃO CADASTRADO")</f>
      </c>
      <c r="I509" s="22">
        <f>IFERROR(INDEX(Linha!$C$5:$C$788,MATCH(A509,Linha!$A$5:$A$788,0)),"-")</f>
      </c>
      <c r="J509" s="23">
        <v>67</v>
      </c>
      <c r="K509" s="24">
        <f>IFERROR(INDEX(Linha!$D$5:$D$788,MATCH(A509,Linha!$A$5:$A$788,0))*1,0)</f>
      </c>
      <c r="L509" s="24">
        <f>SUMIFS(Reservas!$K$5:$K$3669,Reservas!$A$5:$A$3669,A509)</f>
      </c>
      <c r="M509" s="25">
        <f>J509-L509</f>
      </c>
      <c r="N509" s="26">
        <v>61.27</v>
      </c>
      <c r="O509" s="25">
        <f>J509*N509</f>
      </c>
      <c r="P509" s="25">
        <f>L509*N509</f>
      </c>
      <c r="Q509" s="27">
        <v>316.03190561</v>
      </c>
      <c r="R509" s="28">
        <f>J509*Q509</f>
      </c>
      <c r="S509" s="28">
        <f>L509*Q509</f>
      </c>
      <c r="T509" s="29">
        <f>IF(J509=0,0,L509/J509)</f>
      </c>
      <c r="U509" s="30">
        <f>IFERROR(INDEX(Paletes!$C$5:$C$393,MATCH(B509,Paletes!$A$5:$A$393,0)),"SEM CADASTRO")</f>
      </c>
      <c r="V509" s="24">
        <f>IFERROR(INDEX(Paletes!$D$5:$D$393,MATCH(B509,Paletes!$A$5:$A$393,0)),0)</f>
      </c>
      <c r="W509" s="31">
        <f>IF(V509=0,0,J509/V509)</f>
      </c>
      <c r="X509" s="31">
        <f>IF(V509=0,0,MAX(M509,0)/V509)</f>
      </c>
    </row>
    <row r="510" spans="1:24" x14ac:dyDescent="0.25">
      <c r="A510" s="32" t="str">
        <f>B510&amp;"."&amp;IFERROR(MID(D510,FIND("(",D510)+1,FIND(")",D510)-FIND("(",D510)-1),"")</f>
        <v>84795.52112</v>
      </c>
      <c r="B510" s="33">
        <v>84795</v>
      </c>
      <c r="C510" s="32" t="s">
        <v>368</v>
      </c>
      <c r="D510" s="32" t="s">
        <v>829</v>
      </c>
      <c r="E510" s="32">
        <v>96518</v>
      </c>
      <c r="F510" s="32" t="s">
        <v>26</v>
      </c>
      <c r="G510" s="32" t="s">
        <v>51</v>
      </c>
      <c r="H510" s="34">
        <f>IFERROR(INDEX(Linha!$B$5:$B$788,MATCH(A510,Linha!$A$5:$A$788,0)),"NÃO CADASTRADO")</f>
      </c>
      <c r="I510" s="34">
        <f>IFERROR(INDEX(Linha!$C$5:$C$788,MATCH(A510,Linha!$A$5:$A$788,0)),"-")</f>
      </c>
      <c r="J510" s="35">
        <v>75</v>
      </c>
      <c r="K510" s="36">
        <f>IFERROR(INDEX(Linha!$D$5:$D$788,MATCH(A510,Linha!$A$5:$A$788,0))*1,0)</f>
      </c>
      <c r="L510" s="36">
        <f>SUMIFS(Reservas!$K$5:$K$3669,Reservas!$A$5:$A$3669,A510)</f>
      </c>
      <c r="M510" s="37">
        <f>J510-L510</f>
      </c>
      <c r="N510" s="38">
        <v>58.792</v>
      </c>
      <c r="O510" s="37">
        <f>J510*N510</f>
      </c>
      <c r="P510" s="37">
        <f>L510*N510</f>
      </c>
      <c r="Q510" s="39">
        <v>332.63567789</v>
      </c>
      <c r="R510" s="40">
        <f>J510*Q510</f>
      </c>
      <c r="S510" s="40">
        <f>L510*Q510</f>
      </c>
      <c r="T510" s="41">
        <f>IF(J510=0,0,L510/J510)</f>
      </c>
      <c r="U510" s="42">
        <f>IFERROR(INDEX(Paletes!$C$5:$C$393,MATCH(B510,Paletes!$A$5:$A$393,0)),"SEM CADASTRO")</f>
      </c>
      <c r="V510" s="36">
        <f>IFERROR(INDEX(Paletes!$D$5:$D$393,MATCH(B510,Paletes!$A$5:$A$393,0)),0)</f>
      </c>
      <c r="W510" s="43">
        <f>IF(V510=0,0,J510/V510)</f>
      </c>
      <c r="X510" s="43">
        <f>IF(V510=0,0,MAX(M510,0)/V510)</f>
      </c>
    </row>
    <row r="511" spans="1:24" x14ac:dyDescent="0.25">
      <c r="A511" s="20" t="str">
        <f>B511&amp;"."&amp;IFERROR(MID(D511,FIND("(",D511)+1,FIND(")",D511)-FIND("(",D511)-1),"")</f>
        <v>84809.42186</v>
      </c>
      <c r="B511" s="21">
        <v>84809</v>
      </c>
      <c r="C511" s="20" t="s">
        <v>532</v>
      </c>
      <c r="D511" s="20" t="s">
        <v>830</v>
      </c>
      <c r="E511" s="20">
        <v>96520</v>
      </c>
      <c r="F511" s="20" t="s">
        <v>26</v>
      </c>
      <c r="G511" s="20" t="s">
        <v>51</v>
      </c>
      <c r="H511" s="22">
        <f>IFERROR(INDEX(Linha!$B$5:$B$788,MATCH(A511,Linha!$A$5:$A$788,0)),"NÃO CADASTRADO")</f>
      </c>
      <c r="I511" s="22">
        <f>IFERROR(INDEX(Linha!$C$5:$C$788,MATCH(A511,Linha!$A$5:$A$788,0)),"-")</f>
      </c>
      <c r="J511" s="23">
        <v>0</v>
      </c>
      <c r="K511" s="24">
        <f>IFERROR(INDEX(Linha!$D$5:$D$788,MATCH(A511,Linha!$A$5:$A$788,0))*1,0)</f>
      </c>
      <c r="L511" s="24">
        <f>SUMIFS(Reservas!$K$5:$K$3669,Reservas!$A$5:$A$3669,A511)</f>
      </c>
      <c r="M511" s="25">
        <f>J511-L511</f>
      </c>
      <c r="N511" s="26">
        <v>67.665</v>
      </c>
      <c r="O511" s="25">
        <f>J511*N511</f>
      </c>
      <c r="P511" s="25">
        <f>L511*N511</f>
      </c>
      <c r="Q511" s="27">
        <v>210.88532157</v>
      </c>
      <c r="R511" s="28">
        <f>J511*Q511</f>
      </c>
      <c r="S511" s="28">
        <f>L511*Q511</f>
      </c>
      <c r="T511" s="29">
        <f>IF(J511=0,0,L511/J511)</f>
      </c>
      <c r="U511" s="30">
        <f>IFERROR(INDEX(Paletes!$C$5:$C$393,MATCH(B511,Paletes!$A$5:$A$393,0)),"SEM CADASTRO")</f>
      </c>
      <c r="V511" s="24">
        <f>IFERROR(INDEX(Paletes!$D$5:$D$393,MATCH(B511,Paletes!$A$5:$A$393,0)),0)</f>
      </c>
      <c r="W511" s="31">
        <f>IF(V511=0,0,J511/V511)</f>
      </c>
      <c r="X511" s="31">
        <f>IF(V511=0,0,MAX(M511,0)/V511)</f>
      </c>
    </row>
    <row r="512" spans="1:24" x14ac:dyDescent="0.25">
      <c r="A512" s="32" t="str">
        <f>B512&amp;"."&amp;IFERROR(MID(D512,FIND("(",D512)+1,FIND(")",D512)-FIND("(",D512)-1),"")</f>
        <v>84893.31012</v>
      </c>
      <c r="B512" s="33">
        <v>84893</v>
      </c>
      <c r="C512" s="32" t="s">
        <v>831</v>
      </c>
      <c r="D512" s="32" t="s">
        <v>832</v>
      </c>
      <c r="E512" s="32">
        <v>98608</v>
      </c>
      <c r="F512" s="32" t="s">
        <v>26</v>
      </c>
      <c r="G512" s="32" t="s">
        <v>51</v>
      </c>
      <c r="H512" s="34">
        <f>IFERROR(INDEX(Linha!$B$5:$B$788,MATCH(A512,Linha!$A$5:$A$788,0)),"NÃO CADASTRADO")</f>
      </c>
      <c r="I512" s="34">
        <f>IFERROR(INDEX(Linha!$C$5:$C$788,MATCH(A512,Linha!$A$5:$A$788,0)),"-")</f>
      </c>
      <c r="J512" s="35">
        <v>0</v>
      </c>
      <c r="K512" s="36">
        <f>IFERROR(INDEX(Linha!$D$5:$D$788,MATCH(A512,Linha!$A$5:$A$788,0))*1,0)</f>
      </c>
      <c r="L512" s="36">
        <f>SUMIFS(Reservas!$K$5:$K$3669,Reservas!$A$5:$A$3669,A512)</f>
      </c>
      <c r="M512" s="37">
        <f>J512-L512</f>
      </c>
      <c r="N512" s="38">
        <v>4.485</v>
      </c>
      <c r="O512" s="37">
        <f>J512*N512</f>
      </c>
      <c r="P512" s="37">
        <f>L512*N512</f>
      </c>
      <c r="Q512" s="39">
        <v>16.00698097</v>
      </c>
      <c r="R512" s="40">
        <f>J512*Q512</f>
      </c>
      <c r="S512" s="40">
        <f>L512*Q512</f>
      </c>
      <c r="T512" s="41">
        <f>IF(J512=0,0,L512/J512)</f>
      </c>
      <c r="U512" s="42">
        <f>IFERROR(INDEX(Paletes!$C$5:$C$393,MATCH(B512,Paletes!$A$5:$A$393,0)),"SEM CADASTRO")</f>
      </c>
      <c r="V512" s="36">
        <f>IFERROR(INDEX(Paletes!$D$5:$D$393,MATCH(B512,Paletes!$A$5:$A$393,0)),0)</f>
      </c>
      <c r="W512" s="43">
        <f>IF(V512=0,0,J512/V512)</f>
      </c>
      <c r="X512" s="43">
        <f>IF(V512=0,0,MAX(M512,0)/V512)</f>
      </c>
    </row>
    <row r="513" spans="1:24" x14ac:dyDescent="0.25">
      <c r="A513" s="20" t="str">
        <f>B513&amp;"."&amp;IFERROR(MID(D513,FIND("(",D513)+1,FIND(")",D513)-FIND("(",D513)-1),"")</f>
        <v>2410.</v>
      </c>
      <c r="B513" s="21">
        <v>2410</v>
      </c>
      <c r="C513" s="20" t="s">
        <v>833</v>
      </c>
      <c r="D513" s="20" t="s">
        <v>89</v>
      </c>
      <c r="E513" s="20">
        <v>13510</v>
      </c>
      <c r="F513" s="20" t="s">
        <v>26</v>
      </c>
      <c r="G513" s="20" t="s">
        <v>51</v>
      </c>
      <c r="H513" s="22">
        <f>IFERROR(INDEX(Linha!$B$5:$B$788,MATCH(A513,Linha!$A$5:$A$788,0)),"NÃO CADASTRADO")</f>
      </c>
      <c r="I513" s="22">
        <f>IFERROR(INDEX(Linha!$C$5:$C$788,MATCH(A513,Linha!$A$5:$A$788,0)),"-")</f>
      </c>
      <c r="J513" s="23">
        <v>157</v>
      </c>
      <c r="K513" s="24">
        <f>IFERROR(INDEX(Linha!$D$5:$D$788,MATCH(A513,Linha!$A$5:$A$788,0))*1,0)</f>
      </c>
      <c r="L513" s="24">
        <f>SUMIFS(Reservas!$K$5:$K$3669,Reservas!$A$5:$A$3669,A513)</f>
      </c>
      <c r="M513" s="25">
        <f>J513-L513</f>
      </c>
      <c r="N513" s="26">
        <v>15.015</v>
      </c>
      <c r="O513" s="25">
        <f>J513*N513</f>
      </c>
      <c r="P513" s="25">
        <f>L513*N513</f>
      </c>
      <c r="Q513" s="27">
        <v>109.70509511</v>
      </c>
      <c r="R513" s="28">
        <f>J513*Q513</f>
      </c>
      <c r="S513" s="28">
        <f>L513*Q513</f>
      </c>
      <c r="T513" s="29">
        <f>IF(J513=0,0,L513/J513)</f>
      </c>
      <c r="U513" s="30">
        <f>IFERROR(INDEX(Paletes!$C$5:$C$393,MATCH(B513,Paletes!$A$5:$A$393,0)),"SEM CADASTRO")</f>
      </c>
      <c r="V513" s="24">
        <f>IFERROR(INDEX(Paletes!$D$5:$D$393,MATCH(B513,Paletes!$A$5:$A$393,0)),0)</f>
      </c>
      <c r="W513" s="31">
        <f>IF(V513=0,0,J513/V513)</f>
      </c>
      <c r="X513" s="31">
        <f>IF(V513=0,0,MAX(M513,0)/V513)</f>
      </c>
    </row>
    <row r="514" spans="1:24" x14ac:dyDescent="0.25">
      <c r="A514" s="32" t="str">
        <f>B514&amp;"."&amp;IFERROR(MID(D514,FIND("(",D514)+1,FIND(")",D514)-FIND("(",D514)-1),"")</f>
        <v>185.12426</v>
      </c>
      <c r="B514" s="33">
        <v>185</v>
      </c>
      <c r="C514" s="32" t="s">
        <v>386</v>
      </c>
      <c r="D514" s="32" t="s">
        <v>834</v>
      </c>
      <c r="E514" s="32">
        <v>39082</v>
      </c>
      <c r="F514" s="32" t="s">
        <v>26</v>
      </c>
      <c r="G514" s="32" t="s">
        <v>51</v>
      </c>
      <c r="H514" s="34">
        <f>IFERROR(INDEX(Linha!$B$5:$B$788,MATCH(A514,Linha!$A$5:$A$788,0)),"NÃO CADASTRADO")</f>
      </c>
      <c r="I514" s="34">
        <f>IFERROR(INDEX(Linha!$C$5:$C$788,MATCH(A514,Linha!$A$5:$A$788,0)),"-")</f>
      </c>
      <c r="J514" s="35">
        <v>448</v>
      </c>
      <c r="K514" s="36">
        <f>IFERROR(INDEX(Linha!$D$5:$D$788,MATCH(A514,Linha!$A$5:$A$788,0))*1,0)</f>
      </c>
      <c r="L514" s="36">
        <f>SUMIFS(Reservas!$K$5:$K$3669,Reservas!$A$5:$A$3669,A514)</f>
      </c>
      <c r="M514" s="37">
        <f>J514-L514</f>
      </c>
      <c r="N514" s="38">
        <v>28.08</v>
      </c>
      <c r="O514" s="37">
        <f>J514*N514</f>
      </c>
      <c r="P514" s="37">
        <f>L514*N514</f>
      </c>
      <c r="Q514" s="39">
        <v>100.09281495</v>
      </c>
      <c r="R514" s="40">
        <f>J514*Q514</f>
      </c>
      <c r="S514" s="40">
        <f>L514*Q514</f>
      </c>
      <c r="T514" s="41">
        <f>IF(J514=0,0,L514/J514)</f>
      </c>
      <c r="U514" s="42">
        <f>IFERROR(INDEX(Paletes!$C$5:$C$393,MATCH(B514,Paletes!$A$5:$A$393,0)),"SEM CADASTRO")</f>
      </c>
      <c r="V514" s="36">
        <f>IFERROR(INDEX(Paletes!$D$5:$D$393,MATCH(B514,Paletes!$A$5:$A$393,0)),0)</f>
      </c>
      <c r="W514" s="43">
        <f>IF(V514=0,0,J514/V514)</f>
      </c>
      <c r="X514" s="43">
        <f>IF(V514=0,0,MAX(M514,0)/V514)</f>
      </c>
    </row>
    <row r="515" spans="1:24" x14ac:dyDescent="0.25">
      <c r="A515" s="20" t="str">
        <f>B515&amp;"."&amp;IFERROR(MID(D515,FIND("(",D515)+1,FIND(")",D515)-FIND("(",D515)-1),"")</f>
        <v>73083.16417</v>
      </c>
      <c r="B515" s="21">
        <v>73083</v>
      </c>
      <c r="C515" s="20" t="s">
        <v>388</v>
      </c>
      <c r="D515" s="20" t="s">
        <v>835</v>
      </c>
      <c r="E515" s="20">
        <v>40558</v>
      </c>
      <c r="F515" s="20" t="s">
        <v>24</v>
      </c>
      <c r="G515" s="20" t="s">
        <v>51</v>
      </c>
      <c r="H515" s="22">
        <f>IFERROR(INDEX(Linha!$B$5:$B$788,MATCH(A515,Linha!$A$5:$A$788,0)),"NÃO CADASTRADO")</f>
      </c>
      <c r="I515" s="22">
        <f>IFERROR(INDEX(Linha!$C$5:$C$788,MATCH(A515,Linha!$A$5:$A$788,0)),"-")</f>
      </c>
      <c r="J515" s="23">
        <v>710</v>
      </c>
      <c r="K515" s="24">
        <f>IFERROR(INDEX(Linha!$D$5:$D$788,MATCH(A515,Linha!$A$5:$A$788,0))*1,0)</f>
      </c>
      <c r="L515" s="24">
        <f>SUMIFS(Reservas!$K$5:$K$3669,Reservas!$A$5:$A$3669,A515)</f>
      </c>
      <c r="M515" s="25">
        <f>J515-L515</f>
      </c>
      <c r="N515" s="26">
        <v>11.33</v>
      </c>
      <c r="O515" s="25">
        <f>J515*N515</f>
      </c>
      <c r="P515" s="25">
        <f>L515*N515</f>
      </c>
      <c r="Q515" s="27">
        <v>39.58175353</v>
      </c>
      <c r="R515" s="28">
        <f>J515*Q515</f>
      </c>
      <c r="S515" s="28">
        <f>L515*Q515</f>
      </c>
      <c r="T515" s="29">
        <f>IF(J515=0,0,L515/J515)</f>
      </c>
      <c r="U515" s="30">
        <f>IFERROR(INDEX(Paletes!$C$5:$C$393,MATCH(B515,Paletes!$A$5:$A$393,0)),"SEM CADASTRO")</f>
      </c>
      <c r="V515" s="24">
        <f>IFERROR(INDEX(Paletes!$D$5:$D$393,MATCH(B515,Paletes!$A$5:$A$393,0)),0)</f>
      </c>
      <c r="W515" s="31">
        <f>IF(V515=0,0,J515/V515)</f>
      </c>
      <c r="X515" s="31">
        <f>IF(V515=0,0,MAX(M515,0)/V515)</f>
      </c>
    </row>
    <row r="516" spans="1:24" x14ac:dyDescent="0.25">
      <c r="A516" s="32" t="str">
        <f>B516&amp;"."&amp;IFERROR(MID(D516,FIND("(",D516)+1,FIND(")",D516)-FIND("(",D516)-1),"")</f>
        <v>73081.15965</v>
      </c>
      <c r="B516" s="33">
        <v>73081</v>
      </c>
      <c r="C516" s="32" t="s">
        <v>228</v>
      </c>
      <c r="D516" s="32" t="s">
        <v>836</v>
      </c>
      <c r="E516" s="32">
        <v>40559</v>
      </c>
      <c r="F516" s="32" t="s">
        <v>24</v>
      </c>
      <c r="G516" s="32" t="s">
        <v>51</v>
      </c>
      <c r="H516" s="34">
        <f>IFERROR(INDEX(Linha!$B$5:$B$788,MATCH(A516,Linha!$A$5:$A$788,0)),"NÃO CADASTRADO")</f>
      </c>
      <c r="I516" s="34">
        <f>IFERROR(INDEX(Linha!$C$5:$C$788,MATCH(A516,Linha!$A$5:$A$788,0)),"-")</f>
      </c>
      <c r="J516" s="35">
        <v>708</v>
      </c>
      <c r="K516" s="36">
        <f>IFERROR(INDEX(Linha!$D$5:$D$788,MATCH(A516,Linha!$A$5:$A$788,0))*1,0)</f>
      </c>
      <c r="L516" s="36">
        <f>SUMIFS(Reservas!$K$5:$K$3669,Reservas!$A$5:$A$3669,A516)</f>
      </c>
      <c r="M516" s="37">
        <f>J516-L516</f>
      </c>
      <c r="N516" s="38">
        <v>18.78</v>
      </c>
      <c r="O516" s="37">
        <f>J516*N516</f>
      </c>
      <c r="P516" s="37">
        <f>L516*N516</f>
      </c>
      <c r="Q516" s="39">
        <v>134.51600993</v>
      </c>
      <c r="R516" s="40">
        <f>J516*Q516</f>
      </c>
      <c r="S516" s="40">
        <f>L516*Q516</f>
      </c>
      <c r="T516" s="41">
        <f>IF(J516=0,0,L516/J516)</f>
      </c>
      <c r="U516" s="42">
        <f>IFERROR(INDEX(Paletes!$C$5:$C$393,MATCH(B516,Paletes!$A$5:$A$393,0)),"SEM CADASTRO")</f>
      </c>
      <c r="V516" s="36">
        <f>IFERROR(INDEX(Paletes!$D$5:$D$393,MATCH(B516,Paletes!$A$5:$A$393,0)),0)</f>
      </c>
      <c r="W516" s="43">
        <f>IF(V516=0,0,J516/V516)</f>
      </c>
      <c r="X516" s="43">
        <f>IF(V516=0,0,MAX(M516,0)/V516)</f>
      </c>
    </row>
    <row r="517" spans="1:24" x14ac:dyDescent="0.25">
      <c r="A517" s="20" t="str">
        <f>B517&amp;"."&amp;IFERROR(MID(D517,FIND("(",D517)+1,FIND(")",D517)-FIND("(",D517)-1),"")</f>
        <v>2162.16163</v>
      </c>
      <c r="B517" s="21">
        <v>2162</v>
      </c>
      <c r="C517" s="20" t="s">
        <v>391</v>
      </c>
      <c r="D517" s="20" t="s">
        <v>837</v>
      </c>
      <c r="E517" s="20">
        <v>40579</v>
      </c>
      <c r="F517" s="20" t="s">
        <v>24</v>
      </c>
      <c r="G517" s="20" t="s">
        <v>51</v>
      </c>
      <c r="H517" s="22">
        <f>IFERROR(INDEX(Linha!$B$5:$B$788,MATCH(A517,Linha!$A$5:$A$788,0)),"NÃO CADASTRADO")</f>
      </c>
      <c r="I517" s="22">
        <f>IFERROR(INDEX(Linha!$C$5:$C$788,MATCH(A517,Linha!$A$5:$A$788,0)),"-")</f>
      </c>
      <c r="J517" s="23">
        <v>183</v>
      </c>
      <c r="K517" s="24">
        <f>IFERROR(INDEX(Linha!$D$5:$D$788,MATCH(A517,Linha!$A$5:$A$788,0))*1,0)</f>
      </c>
      <c r="L517" s="24">
        <f>SUMIFS(Reservas!$K$5:$K$3669,Reservas!$A$5:$A$3669,A517)</f>
      </c>
      <c r="M517" s="25">
        <f>J517-L517</f>
      </c>
      <c r="N517" s="26">
        <v>12.96</v>
      </c>
      <c r="O517" s="25">
        <f>J517*N517</f>
      </c>
      <c r="P517" s="25">
        <f>L517*N517</f>
      </c>
      <c r="Q517" s="27">
        <v>48.31925365</v>
      </c>
      <c r="R517" s="28">
        <f>J517*Q517</f>
      </c>
      <c r="S517" s="28">
        <f>L517*Q517</f>
      </c>
      <c r="T517" s="29">
        <f>IF(J517=0,0,L517/J517)</f>
      </c>
      <c r="U517" s="30">
        <f>IFERROR(INDEX(Paletes!$C$5:$C$393,MATCH(B517,Paletes!$A$5:$A$393,0)),"SEM CADASTRO")</f>
      </c>
      <c r="V517" s="24">
        <f>IFERROR(INDEX(Paletes!$D$5:$D$393,MATCH(B517,Paletes!$A$5:$A$393,0)),0)</f>
      </c>
      <c r="W517" s="31">
        <f>IF(V517=0,0,J517/V517)</f>
      </c>
      <c r="X517" s="31">
        <f>IF(V517=0,0,MAX(M517,0)/V517)</f>
      </c>
    </row>
    <row r="518" spans="1:24" x14ac:dyDescent="0.25">
      <c r="A518" s="32" t="str">
        <f>B518&amp;"."&amp;IFERROR(MID(D518,FIND("(",D518)+1,FIND(")",D518)-FIND("(",D518)-1),"")</f>
        <v>2162.16164</v>
      </c>
      <c r="B518" s="33">
        <v>2162</v>
      </c>
      <c r="C518" s="32" t="s">
        <v>391</v>
      </c>
      <c r="D518" s="32" t="s">
        <v>838</v>
      </c>
      <c r="E518" s="32">
        <v>40579</v>
      </c>
      <c r="F518" s="32" t="s">
        <v>24</v>
      </c>
      <c r="G518" s="32" t="s">
        <v>51</v>
      </c>
      <c r="H518" s="34">
        <f>IFERROR(INDEX(Linha!$B$5:$B$788,MATCH(A518,Linha!$A$5:$A$788,0)),"NÃO CADASTRADO")</f>
      </c>
      <c r="I518" s="34">
        <f>IFERROR(INDEX(Linha!$C$5:$C$788,MATCH(A518,Linha!$A$5:$A$788,0)),"-")</f>
      </c>
      <c r="J518" s="35">
        <v>2</v>
      </c>
      <c r="K518" s="36">
        <f>IFERROR(INDEX(Linha!$D$5:$D$788,MATCH(A518,Linha!$A$5:$A$788,0))*1,0)</f>
      </c>
      <c r="L518" s="36">
        <f>SUMIFS(Reservas!$K$5:$K$3669,Reservas!$A$5:$A$3669,A518)</f>
      </c>
      <c r="M518" s="37">
        <f>J518-L518</f>
      </c>
      <c r="N518" s="38">
        <v>12.96</v>
      </c>
      <c r="O518" s="37">
        <f>J518*N518</f>
      </c>
      <c r="P518" s="37">
        <f>L518*N518</f>
      </c>
      <c r="Q518" s="39">
        <v>52.3532394</v>
      </c>
      <c r="R518" s="40">
        <f>J518*Q518</f>
      </c>
      <c r="S518" s="40">
        <f>L518*Q518</f>
      </c>
      <c r="T518" s="41">
        <f>IF(J518=0,0,L518/J518)</f>
      </c>
      <c r="U518" s="42">
        <f>IFERROR(INDEX(Paletes!$C$5:$C$393,MATCH(B518,Paletes!$A$5:$A$393,0)),"SEM CADASTRO")</f>
      </c>
      <c r="V518" s="36">
        <f>IFERROR(INDEX(Paletes!$D$5:$D$393,MATCH(B518,Paletes!$A$5:$A$393,0)),0)</f>
      </c>
      <c r="W518" s="43">
        <f>IF(V518=0,0,J518/V518)</f>
      </c>
      <c r="X518" s="43">
        <f>IF(V518=0,0,MAX(M518,0)/V518)</f>
      </c>
    </row>
    <row r="519" spans="1:24" x14ac:dyDescent="0.25">
      <c r="A519" s="20" t="str">
        <f>B519&amp;"."&amp;IFERROR(MID(D519,FIND("(",D519)+1,FIND(")",D519)-FIND("(",D519)-1),"")</f>
        <v>73152.15541</v>
      </c>
      <c r="B519" s="21">
        <v>73152</v>
      </c>
      <c r="C519" s="20" t="s">
        <v>673</v>
      </c>
      <c r="D519" s="20" t="s">
        <v>839</v>
      </c>
      <c r="E519" s="20">
        <v>40597</v>
      </c>
      <c r="F519" s="20" t="s">
        <v>24</v>
      </c>
      <c r="G519" s="20" t="s">
        <v>51</v>
      </c>
      <c r="H519" s="22">
        <f>IFERROR(INDEX(Linha!$B$5:$B$788,MATCH(A519,Linha!$A$5:$A$788,0)),"NÃO CADASTRADO")</f>
      </c>
      <c r="I519" s="22">
        <f>IFERROR(INDEX(Linha!$C$5:$C$788,MATCH(A519,Linha!$A$5:$A$788,0)),"-")</f>
      </c>
      <c r="J519" s="23">
        <v>698</v>
      </c>
      <c r="K519" s="24">
        <f>IFERROR(INDEX(Linha!$D$5:$D$788,MATCH(A519,Linha!$A$5:$A$788,0))*1,0)</f>
      </c>
      <c r="L519" s="24">
        <f>SUMIFS(Reservas!$K$5:$K$3669,Reservas!$A$5:$A$3669,A519)</f>
      </c>
      <c r="M519" s="25">
        <f>J519-L519</f>
      </c>
      <c r="N519" s="26">
        <v>8.677</v>
      </c>
      <c r="O519" s="25">
        <f>J519*N519</f>
      </c>
      <c r="P519" s="25">
        <f>L519*N519</f>
      </c>
      <c r="Q519" s="27">
        <v>28.13179013</v>
      </c>
      <c r="R519" s="28">
        <f>J519*Q519</f>
      </c>
      <c r="S519" s="28">
        <f>L519*Q519</f>
      </c>
      <c r="T519" s="29">
        <f>IF(J519=0,0,L519/J519)</f>
      </c>
      <c r="U519" s="30">
        <f>IFERROR(INDEX(Paletes!$C$5:$C$393,MATCH(B519,Paletes!$A$5:$A$393,0)),"SEM CADASTRO")</f>
      </c>
      <c r="V519" s="24">
        <f>IFERROR(INDEX(Paletes!$D$5:$D$393,MATCH(B519,Paletes!$A$5:$A$393,0)),0)</f>
      </c>
      <c r="W519" s="31">
        <f>IF(V519=0,0,J519/V519)</f>
      </c>
      <c r="X519" s="31">
        <f>IF(V519=0,0,MAX(M519,0)/V519)</f>
      </c>
    </row>
    <row r="520" spans="1:24" x14ac:dyDescent="0.25">
      <c r="A520" s="32" t="str">
        <f>B520&amp;"."&amp;IFERROR(MID(D520,FIND("(",D520)+1,FIND(")",D520)-FIND("(",D520)-1),"")</f>
        <v>73152.15545</v>
      </c>
      <c r="B520" s="33">
        <v>73152</v>
      </c>
      <c r="C520" s="32" t="s">
        <v>673</v>
      </c>
      <c r="D520" s="32" t="s">
        <v>840</v>
      </c>
      <c r="E520" s="32">
        <v>40597</v>
      </c>
      <c r="F520" s="32" t="s">
        <v>24</v>
      </c>
      <c r="G520" s="32" t="s">
        <v>51</v>
      </c>
      <c r="H520" s="34">
        <f>IFERROR(INDEX(Linha!$B$5:$B$788,MATCH(A520,Linha!$A$5:$A$788,0)),"NÃO CADASTRADO")</f>
      </c>
      <c r="I520" s="34">
        <f>IFERROR(INDEX(Linha!$C$5:$C$788,MATCH(A520,Linha!$A$5:$A$788,0)),"-")</f>
      </c>
      <c r="J520" s="35">
        <v>12</v>
      </c>
      <c r="K520" s="36">
        <f>IFERROR(INDEX(Linha!$D$5:$D$788,MATCH(A520,Linha!$A$5:$A$788,0))*1,0)</f>
      </c>
      <c r="L520" s="36">
        <f>SUMIFS(Reservas!$K$5:$K$3669,Reservas!$A$5:$A$3669,A520)</f>
      </c>
      <c r="M520" s="37">
        <f>J520-L520</f>
      </c>
      <c r="N520" s="38">
        <v>8.677</v>
      </c>
      <c r="O520" s="37">
        <f>J520*N520</f>
      </c>
      <c r="P520" s="37">
        <f>L520*N520</f>
      </c>
      <c r="Q520" s="39">
        <v>33.87265865</v>
      </c>
      <c r="R520" s="40">
        <f>J520*Q520</f>
      </c>
      <c r="S520" s="40">
        <f>L520*Q520</f>
      </c>
      <c r="T520" s="41">
        <f>IF(J520=0,0,L520/J520)</f>
      </c>
      <c r="U520" s="42">
        <f>IFERROR(INDEX(Paletes!$C$5:$C$393,MATCH(B520,Paletes!$A$5:$A$393,0)),"SEM CADASTRO")</f>
      </c>
      <c r="V520" s="36">
        <f>IFERROR(INDEX(Paletes!$D$5:$D$393,MATCH(B520,Paletes!$A$5:$A$393,0)),0)</f>
      </c>
      <c r="W520" s="43">
        <f>IF(V520=0,0,J520/V520)</f>
      </c>
      <c r="X520" s="43">
        <f>IF(V520=0,0,MAX(M520,0)/V520)</f>
      </c>
    </row>
    <row r="521" spans="1:24" x14ac:dyDescent="0.25">
      <c r="A521" s="20" t="str">
        <f>B521&amp;"."&amp;IFERROR(MID(D521,FIND("(",D521)+1,FIND(")",D521)-FIND("(",D521)-1),"")</f>
        <v>73157.16504</v>
      </c>
      <c r="B521" s="21">
        <v>73157</v>
      </c>
      <c r="C521" s="20" t="s">
        <v>542</v>
      </c>
      <c r="D521" s="20" t="s">
        <v>841</v>
      </c>
      <c r="E521" s="20">
        <v>40599</v>
      </c>
      <c r="F521" s="20" t="s">
        <v>24</v>
      </c>
      <c r="G521" s="20" t="s">
        <v>51</v>
      </c>
      <c r="H521" s="22">
        <f>IFERROR(INDEX(Linha!$B$5:$B$788,MATCH(A521,Linha!$A$5:$A$788,0)),"NÃO CADASTRADO")</f>
      </c>
      <c r="I521" s="22">
        <f>IFERROR(INDEX(Linha!$C$5:$C$788,MATCH(A521,Linha!$A$5:$A$788,0)),"-")</f>
      </c>
      <c r="J521" s="23">
        <v>502</v>
      </c>
      <c r="K521" s="24">
        <f>IFERROR(INDEX(Linha!$D$5:$D$788,MATCH(A521,Linha!$A$5:$A$788,0))*1,0)</f>
      </c>
      <c r="L521" s="24">
        <f>SUMIFS(Reservas!$K$5:$K$3669,Reservas!$A$5:$A$3669,A521)</f>
      </c>
      <c r="M521" s="25">
        <f>J521-L521</f>
      </c>
      <c r="N521" s="26">
        <v>35.19</v>
      </c>
      <c r="O521" s="25">
        <f>J521*N521</f>
      </c>
      <c r="P521" s="25">
        <f>L521*N521</f>
      </c>
      <c r="Q521" s="27">
        <v>127.49851524</v>
      </c>
      <c r="R521" s="28">
        <f>J521*Q521</f>
      </c>
      <c r="S521" s="28">
        <f>L521*Q521</f>
      </c>
      <c r="T521" s="29">
        <f>IF(J521=0,0,L521/J521)</f>
      </c>
      <c r="U521" s="30">
        <f>IFERROR(INDEX(Paletes!$C$5:$C$393,MATCH(B521,Paletes!$A$5:$A$393,0)),"SEM CADASTRO")</f>
      </c>
      <c r="V521" s="24">
        <f>IFERROR(INDEX(Paletes!$D$5:$D$393,MATCH(B521,Paletes!$A$5:$A$393,0)),0)</f>
      </c>
      <c r="W521" s="31">
        <f>IF(V521=0,0,J521/V521)</f>
      </c>
      <c r="X521" s="31">
        <f>IF(V521=0,0,MAX(M521,0)/V521)</f>
      </c>
    </row>
    <row r="522" spans="1:24" x14ac:dyDescent="0.25">
      <c r="A522" s="32" t="str">
        <f>B522&amp;"."&amp;IFERROR(MID(D522,FIND("(",D522)+1,FIND(")",D522)-FIND("(",D522)-1),"")</f>
        <v>156.15496</v>
      </c>
      <c r="B522" s="33">
        <v>156</v>
      </c>
      <c r="C522" s="32" t="s">
        <v>65</v>
      </c>
      <c r="D522" s="32" t="s">
        <v>842</v>
      </c>
      <c r="E522" s="32">
        <v>41606</v>
      </c>
      <c r="F522" s="32" t="s">
        <v>24</v>
      </c>
      <c r="G522" s="32" t="s">
        <v>51</v>
      </c>
      <c r="H522" s="34">
        <f>IFERROR(INDEX(Linha!$B$5:$B$788,MATCH(A522,Linha!$A$5:$A$788,0)),"NÃO CADASTRADO")</f>
      </c>
      <c r="I522" s="34">
        <f>IFERROR(INDEX(Linha!$C$5:$C$788,MATCH(A522,Linha!$A$5:$A$788,0)),"-")</f>
      </c>
      <c r="J522" s="35">
        <v>69</v>
      </c>
      <c r="K522" s="36">
        <f>IFERROR(INDEX(Linha!$D$5:$D$788,MATCH(A522,Linha!$A$5:$A$788,0))*1,0)</f>
      </c>
      <c r="L522" s="36">
        <f>SUMIFS(Reservas!$K$5:$K$3669,Reservas!$A$5:$A$3669,A522)</f>
      </c>
      <c r="M522" s="37">
        <f>J522-L522</f>
      </c>
      <c r="N522" s="38">
        <v>17.843</v>
      </c>
      <c r="O522" s="37">
        <f>J522*N522</f>
      </c>
      <c r="P522" s="37">
        <f>L522*N522</f>
      </c>
      <c r="Q522" s="39">
        <v>105.43829837</v>
      </c>
      <c r="R522" s="40">
        <f>J522*Q522</f>
      </c>
      <c r="S522" s="40">
        <f>L522*Q522</f>
      </c>
      <c r="T522" s="41">
        <f>IF(J522=0,0,L522/J522)</f>
      </c>
      <c r="U522" s="42">
        <f>IFERROR(INDEX(Paletes!$C$5:$C$393,MATCH(B522,Paletes!$A$5:$A$393,0)),"SEM CADASTRO")</f>
      </c>
      <c r="V522" s="36">
        <f>IFERROR(INDEX(Paletes!$D$5:$D$393,MATCH(B522,Paletes!$A$5:$A$393,0)),0)</f>
      </c>
      <c r="W522" s="43">
        <f>IF(V522=0,0,J522/V522)</f>
      </c>
      <c r="X522" s="43">
        <f>IF(V522=0,0,MAX(M522,0)/V522)</f>
      </c>
    </row>
    <row r="523" spans="1:24" x14ac:dyDescent="0.25">
      <c r="A523" s="20" t="str">
        <f>B523&amp;"."&amp;IFERROR(MID(D523,FIND("(",D523)+1,FIND(")",D523)-FIND("(",D523)-1),"")</f>
        <v>2391.13178</v>
      </c>
      <c r="B523" s="21">
        <v>2391</v>
      </c>
      <c r="C523" s="20" t="s">
        <v>843</v>
      </c>
      <c r="D523" s="20" t="s">
        <v>844</v>
      </c>
      <c r="E523" s="20">
        <v>42515</v>
      </c>
      <c r="F523" s="20" t="s">
        <v>26</v>
      </c>
      <c r="G523" s="20" t="s">
        <v>51</v>
      </c>
      <c r="H523" s="22">
        <f>IFERROR(INDEX(Linha!$B$5:$B$788,MATCH(A523,Linha!$A$5:$A$788,0)),"NÃO CADASTRADO")</f>
      </c>
      <c r="I523" s="22">
        <f>IFERROR(INDEX(Linha!$C$5:$C$788,MATCH(A523,Linha!$A$5:$A$788,0)),"-")</f>
      </c>
      <c r="J523" s="23">
        <v>261</v>
      </c>
      <c r="K523" s="24">
        <f>IFERROR(INDEX(Linha!$D$5:$D$788,MATCH(A523,Linha!$A$5:$A$788,0))*1,0)</f>
      </c>
      <c r="L523" s="24">
        <f>SUMIFS(Reservas!$K$5:$K$3669,Reservas!$A$5:$A$3669,A523)</f>
      </c>
      <c r="M523" s="25">
        <f>J523-L523</f>
      </c>
      <c r="N523" s="26">
        <v>61.425</v>
      </c>
      <c r="O523" s="25">
        <f>J523*N523</f>
      </c>
      <c r="P523" s="25">
        <f>L523*N523</f>
      </c>
      <c r="Q523" s="27">
        <v>248.1591878</v>
      </c>
      <c r="R523" s="28">
        <f>J523*Q523</f>
      </c>
      <c r="S523" s="28">
        <f>L523*Q523</f>
      </c>
      <c r="T523" s="29">
        <f>IF(J523=0,0,L523/J523)</f>
      </c>
      <c r="U523" s="30">
        <f>IFERROR(INDEX(Paletes!$C$5:$C$393,MATCH(B523,Paletes!$A$5:$A$393,0)),"SEM CADASTRO")</f>
      </c>
      <c r="V523" s="24">
        <f>IFERROR(INDEX(Paletes!$D$5:$D$393,MATCH(B523,Paletes!$A$5:$A$393,0)),0)</f>
      </c>
      <c r="W523" s="31">
        <f>IF(V523=0,0,J523/V523)</f>
      </c>
      <c r="X523" s="31">
        <f>IF(V523=0,0,MAX(M523,0)/V523)</f>
      </c>
    </row>
    <row r="524" spans="1:24" x14ac:dyDescent="0.25">
      <c r="A524" s="32" t="str">
        <f>B524&amp;"."&amp;IFERROR(MID(D524,FIND("(",D524)+1,FIND(")",D524)-FIND("(",D524)-1),"")</f>
        <v>2396.13194</v>
      </c>
      <c r="B524" s="33">
        <v>2396</v>
      </c>
      <c r="C524" s="32" t="s">
        <v>845</v>
      </c>
      <c r="D524" s="32" t="s">
        <v>846</v>
      </c>
      <c r="E524" s="32">
        <v>42516</v>
      </c>
      <c r="F524" s="32" t="s">
        <v>26</v>
      </c>
      <c r="G524" s="32" t="s">
        <v>51</v>
      </c>
      <c r="H524" s="34">
        <f>IFERROR(INDEX(Linha!$B$5:$B$788,MATCH(A524,Linha!$A$5:$A$788,0)),"NÃO CADASTRADO")</f>
      </c>
      <c r="I524" s="34">
        <f>IFERROR(INDEX(Linha!$C$5:$C$788,MATCH(A524,Linha!$A$5:$A$788,0)),"-")</f>
      </c>
      <c r="J524" s="35">
        <v>270</v>
      </c>
      <c r="K524" s="36">
        <f>IFERROR(INDEX(Linha!$D$5:$D$788,MATCH(A524,Linha!$A$5:$A$788,0))*1,0)</f>
      </c>
      <c r="L524" s="36">
        <f>SUMIFS(Reservas!$K$5:$K$3669,Reservas!$A$5:$A$3669,A524)</f>
      </c>
      <c r="M524" s="37">
        <f>J524-L524</f>
      </c>
      <c r="N524" s="38">
        <v>39.877</v>
      </c>
      <c r="O524" s="37">
        <f>J524*N524</f>
      </c>
      <c r="P524" s="37">
        <f>L524*N524</f>
      </c>
      <c r="Q524" s="39">
        <v>140.92132797</v>
      </c>
      <c r="R524" s="40">
        <f>J524*Q524</f>
      </c>
      <c r="S524" s="40">
        <f>L524*Q524</f>
      </c>
      <c r="T524" s="41">
        <f>IF(J524=0,0,L524/J524)</f>
      </c>
      <c r="U524" s="42">
        <f>IFERROR(INDEX(Paletes!$C$5:$C$393,MATCH(B524,Paletes!$A$5:$A$393,0)),"SEM CADASTRO")</f>
      </c>
      <c r="V524" s="36">
        <f>IFERROR(INDEX(Paletes!$D$5:$D$393,MATCH(B524,Paletes!$A$5:$A$393,0)),0)</f>
      </c>
      <c r="W524" s="43">
        <f>IF(V524=0,0,J524/V524)</f>
      </c>
      <c r="X524" s="43">
        <f>IF(V524=0,0,MAX(M524,0)/V524)</f>
      </c>
    </row>
    <row r="525" spans="1:24" x14ac:dyDescent="0.25">
      <c r="A525" s="20" t="str">
        <f>B525&amp;"."&amp;IFERROR(MID(D525,FIND("(",D525)+1,FIND(")",D525)-FIND("(",D525)-1),"")</f>
        <v>2407.12546</v>
      </c>
      <c r="B525" s="21">
        <v>2407</v>
      </c>
      <c r="C525" s="20" t="s">
        <v>400</v>
      </c>
      <c r="D525" s="20" t="s">
        <v>847</v>
      </c>
      <c r="E525" s="20">
        <v>45891</v>
      </c>
      <c r="F525" s="20" t="s">
        <v>26</v>
      </c>
      <c r="G525" s="20" t="s">
        <v>51</v>
      </c>
      <c r="H525" s="22">
        <f>IFERROR(INDEX(Linha!$B$5:$B$788,MATCH(A525,Linha!$A$5:$A$788,0)),"NÃO CADASTRADO")</f>
      </c>
      <c r="I525" s="22">
        <f>IFERROR(INDEX(Linha!$C$5:$C$788,MATCH(A525,Linha!$A$5:$A$788,0)),"-")</f>
      </c>
      <c r="J525" s="23">
        <v>207</v>
      </c>
      <c r="K525" s="24">
        <f>IFERROR(INDEX(Linha!$D$5:$D$788,MATCH(A525,Linha!$A$5:$A$788,0))*1,0)</f>
      </c>
      <c r="L525" s="24">
        <f>SUMIFS(Reservas!$K$5:$K$3669,Reservas!$A$5:$A$3669,A525)</f>
      </c>
      <c r="M525" s="25">
        <f>J525-L525</f>
      </c>
      <c r="N525" s="26">
        <v>55.185</v>
      </c>
      <c r="O525" s="25">
        <f>J525*N525</f>
      </c>
      <c r="P525" s="25">
        <f>L525*N525</f>
      </c>
      <c r="Q525" s="27">
        <v>160.10194719</v>
      </c>
      <c r="R525" s="28">
        <f>J525*Q525</f>
      </c>
      <c r="S525" s="28">
        <f>L525*Q525</f>
      </c>
      <c r="T525" s="29">
        <f>IF(J525=0,0,L525/J525)</f>
      </c>
      <c r="U525" s="30">
        <f>IFERROR(INDEX(Paletes!$C$5:$C$393,MATCH(B525,Paletes!$A$5:$A$393,0)),"SEM CADASTRO")</f>
      </c>
      <c r="V525" s="24">
        <f>IFERROR(INDEX(Paletes!$D$5:$D$393,MATCH(B525,Paletes!$A$5:$A$393,0)),0)</f>
      </c>
      <c r="W525" s="31">
        <f>IF(V525=0,0,J525/V525)</f>
      </c>
      <c r="X525" s="31">
        <f>IF(V525=0,0,MAX(M525,0)/V525)</f>
      </c>
    </row>
    <row r="526" spans="1:24" x14ac:dyDescent="0.25">
      <c r="A526" s="32" t="str">
        <f>B526&amp;"."&amp;IFERROR(MID(D526,FIND("(",D526)+1,FIND(")",D526)-FIND("(",D526)-1),"")</f>
        <v>2409.13904</v>
      </c>
      <c r="B526" s="33">
        <v>2409</v>
      </c>
      <c r="C526" s="32" t="s">
        <v>848</v>
      </c>
      <c r="D526" s="32" t="s">
        <v>849</v>
      </c>
      <c r="E526" s="32">
        <v>45893</v>
      </c>
      <c r="F526" s="32" t="s">
        <v>26</v>
      </c>
      <c r="G526" s="32" t="s">
        <v>51</v>
      </c>
      <c r="H526" s="34">
        <f>IFERROR(INDEX(Linha!$B$5:$B$788,MATCH(A526,Linha!$A$5:$A$788,0)),"NÃO CADASTRADO")</f>
      </c>
      <c r="I526" s="34">
        <f>IFERROR(INDEX(Linha!$C$5:$C$788,MATCH(A526,Linha!$A$5:$A$788,0)),"-")</f>
      </c>
      <c r="J526" s="35">
        <v>0</v>
      </c>
      <c r="K526" s="36">
        <f>IFERROR(INDEX(Linha!$D$5:$D$788,MATCH(A526,Linha!$A$5:$A$788,0))*1,0)</f>
      </c>
      <c r="L526" s="36">
        <f>SUMIFS(Reservas!$K$5:$K$3669,Reservas!$A$5:$A$3669,A526)</f>
      </c>
      <c r="M526" s="37">
        <f>J526-L526</f>
      </c>
      <c r="N526" s="38">
        <v>57.037</v>
      </c>
      <c r="O526" s="37">
        <f>J526*N526</f>
      </c>
      <c r="P526" s="37">
        <f>L526*N526</f>
      </c>
      <c r="Q526" s="39">
        <v>189.86377971</v>
      </c>
      <c r="R526" s="40">
        <f>J526*Q526</f>
      </c>
      <c r="S526" s="40">
        <f>L526*Q526</f>
      </c>
      <c r="T526" s="41">
        <f>IF(J526=0,0,L526/J526)</f>
      </c>
      <c r="U526" s="42">
        <f>IFERROR(INDEX(Paletes!$C$5:$C$393,MATCH(B526,Paletes!$A$5:$A$393,0)),"SEM CADASTRO")</f>
      </c>
      <c r="V526" s="36">
        <f>IFERROR(INDEX(Paletes!$D$5:$D$393,MATCH(B526,Paletes!$A$5:$A$393,0)),0)</f>
      </c>
      <c r="W526" s="43">
        <f>IF(V526=0,0,J526/V526)</f>
      </c>
      <c r="X526" s="43">
        <f>IF(V526=0,0,MAX(M526,0)/V526)</f>
      </c>
    </row>
    <row r="527" spans="1:24" x14ac:dyDescent="0.25">
      <c r="A527" s="20" t="str">
        <f>B527&amp;"."&amp;IFERROR(MID(D527,FIND("(",D527)+1,FIND(")",D527)-FIND("(",D527)-1),"")</f>
        <v>73543.16397</v>
      </c>
      <c r="B527" s="21">
        <v>73543</v>
      </c>
      <c r="C527" s="20" t="s">
        <v>74</v>
      </c>
      <c r="D527" s="20" t="s">
        <v>850</v>
      </c>
      <c r="E527" s="20">
        <v>87486</v>
      </c>
      <c r="F527" s="20" t="s">
        <v>25</v>
      </c>
      <c r="G527" s="20" t="s">
        <v>51</v>
      </c>
      <c r="H527" s="22">
        <f>IFERROR(INDEX(Linha!$B$5:$B$788,MATCH(A527,Linha!$A$5:$A$788,0)),"NÃO CADASTRADO")</f>
      </c>
      <c r="I527" s="22">
        <f>IFERROR(INDEX(Linha!$C$5:$C$788,MATCH(A527,Linha!$A$5:$A$788,0)),"-")</f>
      </c>
      <c r="J527" s="23">
        <v>0</v>
      </c>
      <c r="K527" s="24">
        <f>IFERROR(INDEX(Linha!$D$5:$D$788,MATCH(A527,Linha!$A$5:$A$788,0))*1,0)</f>
      </c>
      <c r="L527" s="24">
        <f>SUMIFS(Reservas!$K$5:$K$3669,Reservas!$A$5:$A$3669,A527)</f>
      </c>
      <c r="M527" s="25">
        <f>J527-L527</f>
      </c>
      <c r="N527" s="26">
        <v>14.644</v>
      </c>
      <c r="O527" s="25">
        <f>J527*N527</f>
      </c>
      <c r="P527" s="25">
        <f>L527*N527</f>
      </c>
      <c r="Q527" s="27">
        <v>102.21527693</v>
      </c>
      <c r="R527" s="28">
        <f>J527*Q527</f>
      </c>
      <c r="S527" s="28">
        <f>L527*Q527</f>
      </c>
      <c r="T527" s="29">
        <f>IF(J527=0,0,L527/J527)</f>
      </c>
      <c r="U527" s="30">
        <f>IFERROR(INDEX(Paletes!$C$5:$C$393,MATCH(B527,Paletes!$A$5:$A$393,0)),"SEM CADASTRO")</f>
      </c>
      <c r="V527" s="24">
        <f>IFERROR(INDEX(Paletes!$D$5:$D$393,MATCH(B527,Paletes!$A$5:$A$393,0)),0)</f>
      </c>
      <c r="W527" s="31">
        <f>IF(V527=0,0,J527/V527)</f>
      </c>
      <c r="X527" s="31">
        <f>IF(V527=0,0,MAX(M527,0)/V527)</f>
      </c>
    </row>
    <row r="528" spans="1:24" x14ac:dyDescent="0.25">
      <c r="A528" s="32" t="str">
        <f>B528&amp;"."&amp;IFERROR(MID(D528,FIND("(",D528)+1,FIND(")",D528)-FIND("(",D528)-1),"")</f>
        <v>73543.16390</v>
      </c>
      <c r="B528" s="33">
        <v>73543</v>
      </c>
      <c r="C528" s="32" t="s">
        <v>74</v>
      </c>
      <c r="D528" s="32" t="s">
        <v>851</v>
      </c>
      <c r="E528" s="32">
        <v>87486</v>
      </c>
      <c r="F528" s="32" t="s">
        <v>25</v>
      </c>
      <c r="G528" s="32" t="s">
        <v>51</v>
      </c>
      <c r="H528" s="34">
        <f>IFERROR(INDEX(Linha!$B$5:$B$788,MATCH(A528,Linha!$A$5:$A$788,0)),"NÃO CADASTRADO")</f>
      </c>
      <c r="I528" s="34">
        <f>IFERROR(INDEX(Linha!$C$5:$C$788,MATCH(A528,Linha!$A$5:$A$788,0)),"-")</f>
      </c>
      <c r="J528" s="35">
        <v>4</v>
      </c>
      <c r="K528" s="36">
        <f>IFERROR(INDEX(Linha!$D$5:$D$788,MATCH(A528,Linha!$A$5:$A$788,0))*1,0)</f>
      </c>
      <c r="L528" s="36">
        <f>SUMIFS(Reservas!$K$5:$K$3669,Reservas!$A$5:$A$3669,A528)</f>
      </c>
      <c r="M528" s="37">
        <f>J528-L528</f>
      </c>
      <c r="N528" s="38">
        <v>14.644</v>
      </c>
      <c r="O528" s="37">
        <f>J528*N528</f>
      </c>
      <c r="P528" s="37">
        <f>L528*N528</f>
      </c>
      <c r="Q528" s="39">
        <v>124.24527693</v>
      </c>
      <c r="R528" s="40">
        <f>J528*Q528</f>
      </c>
      <c r="S528" s="40">
        <f>L528*Q528</f>
      </c>
      <c r="T528" s="41">
        <f>IF(J528=0,0,L528/J528)</f>
      </c>
      <c r="U528" s="42">
        <f>IFERROR(INDEX(Paletes!$C$5:$C$393,MATCH(B528,Paletes!$A$5:$A$393,0)),"SEM CADASTRO")</f>
      </c>
      <c r="V528" s="36">
        <f>IFERROR(INDEX(Paletes!$D$5:$D$393,MATCH(B528,Paletes!$A$5:$A$393,0)),0)</f>
      </c>
      <c r="W528" s="43">
        <f>IF(V528=0,0,J528/V528)</f>
      </c>
      <c r="X528" s="43">
        <f>IF(V528=0,0,MAX(M528,0)/V528)</f>
      </c>
    </row>
    <row r="529" spans="1:24" x14ac:dyDescent="0.25">
      <c r="A529" s="20" t="str">
        <f>B529&amp;"."&amp;IFERROR(MID(D529,FIND("(",D529)+1,FIND(")",D529)-FIND("(",D529)-1),"")</f>
        <v>84495.55885</v>
      </c>
      <c r="B529" s="21">
        <v>84495</v>
      </c>
      <c r="C529" s="20" t="s">
        <v>249</v>
      </c>
      <c r="D529" s="20" t="s">
        <v>852</v>
      </c>
      <c r="E529" s="20">
        <v>95552</v>
      </c>
      <c r="F529" s="20" t="s">
        <v>26</v>
      </c>
      <c r="G529" s="20" t="s">
        <v>51</v>
      </c>
      <c r="H529" s="22">
        <f>IFERROR(INDEX(Linha!$B$5:$B$788,MATCH(A529,Linha!$A$5:$A$788,0)),"NÃO CADASTRADO")</f>
      </c>
      <c r="I529" s="22">
        <f>IFERROR(INDEX(Linha!$C$5:$C$788,MATCH(A529,Linha!$A$5:$A$788,0)),"-")</f>
      </c>
      <c r="J529" s="23">
        <v>3102</v>
      </c>
      <c r="K529" s="24">
        <f>IFERROR(INDEX(Linha!$D$5:$D$788,MATCH(A529,Linha!$A$5:$A$788,0))*1,0)</f>
      </c>
      <c r="L529" s="24">
        <f>SUMIFS(Reservas!$K$5:$K$3669,Reservas!$A$5:$A$3669,A529)</f>
      </c>
      <c r="M529" s="25">
        <f>J529-L529</f>
      </c>
      <c r="N529" s="26">
        <v>49.38</v>
      </c>
      <c r="O529" s="25">
        <f>J529*N529</f>
      </c>
      <c r="P529" s="25">
        <f>L529*N529</f>
      </c>
      <c r="Q529" s="27">
        <v>144.76291254</v>
      </c>
      <c r="R529" s="28">
        <f>J529*Q529</f>
      </c>
      <c r="S529" s="28">
        <f>L529*Q529</f>
      </c>
      <c r="T529" s="29">
        <f>IF(J529=0,0,L529/J529)</f>
      </c>
      <c r="U529" s="30">
        <f>IFERROR(INDEX(Paletes!$C$5:$C$393,MATCH(B529,Paletes!$A$5:$A$393,0)),"SEM CADASTRO")</f>
      </c>
      <c r="V529" s="24">
        <f>IFERROR(INDEX(Paletes!$D$5:$D$393,MATCH(B529,Paletes!$A$5:$A$393,0)),0)</f>
      </c>
      <c r="W529" s="31">
        <f>IF(V529=0,0,J529/V529)</f>
      </c>
      <c r="X529" s="31">
        <f>IF(V529=0,0,MAX(M529,0)/V529)</f>
      </c>
    </row>
    <row r="530" spans="1:24" x14ac:dyDescent="0.25">
      <c r="A530" s="32" t="str">
        <f>B530&amp;"."&amp;IFERROR(MID(D530,FIND("(",D530)+1,FIND(")",D530)-FIND("(",D530)-1),"")</f>
        <v>84946.37109</v>
      </c>
      <c r="B530" s="33">
        <v>84946</v>
      </c>
      <c r="C530" s="32" t="s">
        <v>83</v>
      </c>
      <c r="D530" s="32" t="s">
        <v>853</v>
      </c>
      <c r="E530" s="32">
        <v>96465</v>
      </c>
      <c r="F530" s="32" t="s">
        <v>24</v>
      </c>
      <c r="G530" s="32" t="s">
        <v>51</v>
      </c>
      <c r="H530" s="34">
        <f>IFERROR(INDEX(Linha!$B$5:$B$788,MATCH(A530,Linha!$A$5:$A$788,0)),"NÃO CADASTRADO")</f>
      </c>
      <c r="I530" s="34">
        <f>IFERROR(INDEX(Linha!$C$5:$C$788,MATCH(A530,Linha!$A$5:$A$788,0)),"-")</f>
      </c>
      <c r="J530" s="35">
        <v>27</v>
      </c>
      <c r="K530" s="36">
        <f>IFERROR(INDEX(Linha!$D$5:$D$788,MATCH(A530,Linha!$A$5:$A$788,0))*1,0)</f>
      </c>
      <c r="L530" s="36">
        <f>SUMIFS(Reservas!$K$5:$K$3669,Reservas!$A$5:$A$3669,A530)</f>
      </c>
      <c r="M530" s="37">
        <f>J530-L530</f>
      </c>
      <c r="N530" s="38">
        <v>39.955</v>
      </c>
      <c r="O530" s="37">
        <f>J530*N530</f>
      </c>
      <c r="P530" s="37">
        <f>L530*N530</f>
      </c>
      <c r="Q530" s="39">
        <v>161.12329617</v>
      </c>
      <c r="R530" s="40">
        <f>J530*Q530</f>
      </c>
      <c r="S530" s="40">
        <f>L530*Q530</f>
      </c>
      <c r="T530" s="41">
        <f>IF(J530=0,0,L530/J530)</f>
      </c>
      <c r="U530" s="42">
        <f>IFERROR(INDEX(Paletes!$C$5:$C$393,MATCH(B530,Paletes!$A$5:$A$393,0)),"SEM CADASTRO")</f>
      </c>
      <c r="V530" s="36">
        <f>IFERROR(INDEX(Paletes!$D$5:$D$393,MATCH(B530,Paletes!$A$5:$A$393,0)),0)</f>
      </c>
      <c r="W530" s="43">
        <f>IF(V530=0,0,J530/V530)</f>
      </c>
      <c r="X530" s="43">
        <f>IF(V530=0,0,MAX(M530,0)/V530)</f>
      </c>
    </row>
    <row r="531" spans="1:24" x14ac:dyDescent="0.25">
      <c r="A531" s="20" t="str">
        <f>B531&amp;"."&amp;IFERROR(MID(D531,FIND("(",D531)+1,FIND(")",D531)-FIND("(",D531)-1),"")</f>
        <v>72874.16223</v>
      </c>
      <c r="B531" s="21">
        <v>72874</v>
      </c>
      <c r="C531" s="20" t="s">
        <v>854</v>
      </c>
      <c r="D531" s="20" t="s">
        <v>855</v>
      </c>
      <c r="E531" s="20">
        <v>87201</v>
      </c>
      <c r="F531" s="20" t="s">
        <v>24</v>
      </c>
      <c r="G531" s="20" t="s">
        <v>51</v>
      </c>
      <c r="H531" s="22">
        <f>IFERROR(INDEX(Linha!$B$5:$B$788,MATCH(A531,Linha!$A$5:$A$788,0)),"NÃO CADASTRADO")</f>
      </c>
      <c r="I531" s="22">
        <f>IFERROR(INDEX(Linha!$C$5:$C$788,MATCH(A531,Linha!$A$5:$A$788,0)),"-")</f>
      </c>
      <c r="J531" s="23">
        <v>0</v>
      </c>
      <c r="K531" s="24">
        <f>IFERROR(INDEX(Linha!$D$5:$D$788,MATCH(A531,Linha!$A$5:$A$788,0))*1,0)</f>
      </c>
      <c r="L531" s="24">
        <f>SUMIFS(Reservas!$K$5:$K$3669,Reservas!$A$5:$A$3669,A531)</f>
      </c>
      <c r="M531" s="25">
        <f>J531-L531</f>
      </c>
      <c r="N531" s="26">
        <v>33.696</v>
      </c>
      <c r="O531" s="25">
        <f>J531*N531</f>
      </c>
      <c r="P531" s="25">
        <f>L531*N531</f>
      </c>
      <c r="Q531" s="27">
        <v>134.10115461</v>
      </c>
      <c r="R531" s="28">
        <f>J531*Q531</f>
      </c>
      <c r="S531" s="28">
        <f>L531*Q531</f>
      </c>
      <c r="T531" s="29">
        <f>IF(J531=0,0,L531/J531)</f>
      </c>
      <c r="U531" s="30">
        <f>IFERROR(INDEX(Paletes!$C$5:$C$393,MATCH(B531,Paletes!$A$5:$A$393,0)),"SEM CADASTRO")</f>
      </c>
      <c r="V531" s="24">
        <f>IFERROR(INDEX(Paletes!$D$5:$D$393,MATCH(B531,Paletes!$A$5:$A$393,0)),0)</f>
      </c>
      <c r="W531" s="31">
        <f>IF(V531=0,0,J531/V531)</f>
      </c>
      <c r="X531" s="31">
        <f>IF(V531=0,0,MAX(M531,0)/V531)</f>
      </c>
    </row>
    <row r="532" spans="1:24" x14ac:dyDescent="0.25">
      <c r="A532" s="32" t="str">
        <f>B532&amp;"."&amp;IFERROR(MID(D532,FIND("(",D532)+1,FIND(")",D532)-FIND("(",D532)-1),"")</f>
        <v>72761.12566</v>
      </c>
      <c r="B532" s="33">
        <v>72761</v>
      </c>
      <c r="C532" s="32" t="s">
        <v>693</v>
      </c>
      <c r="D532" s="32" t="s">
        <v>856</v>
      </c>
      <c r="E532" s="32">
        <v>75047</v>
      </c>
      <c r="F532" s="32" t="s">
        <v>26</v>
      </c>
      <c r="G532" s="32" t="s">
        <v>51</v>
      </c>
      <c r="H532" s="34">
        <f>IFERROR(INDEX(Linha!$B$5:$B$788,MATCH(A532,Linha!$A$5:$A$788,0)),"NÃO CADASTRADO")</f>
      </c>
      <c r="I532" s="34">
        <f>IFERROR(INDEX(Linha!$C$5:$C$788,MATCH(A532,Linha!$A$5:$A$788,0)),"-")</f>
      </c>
      <c r="J532" s="35">
        <v>61</v>
      </c>
      <c r="K532" s="36">
        <f>IFERROR(INDEX(Linha!$D$5:$D$788,MATCH(A532,Linha!$A$5:$A$788,0))*1,0)</f>
      </c>
      <c r="L532" s="36">
        <f>SUMIFS(Reservas!$K$5:$K$3669,Reservas!$A$5:$A$3669,A532)</f>
      </c>
      <c r="M532" s="37">
        <f>J532-L532</f>
      </c>
      <c r="N532" s="38">
        <v>9.457</v>
      </c>
      <c r="O532" s="37">
        <f>J532*N532</f>
      </c>
      <c r="P532" s="37">
        <f>L532*N532</f>
      </c>
      <c r="Q532" s="39">
        <v>35.72972074</v>
      </c>
      <c r="R532" s="40">
        <f>J532*Q532</f>
      </c>
      <c r="S532" s="40">
        <f>L532*Q532</f>
      </c>
      <c r="T532" s="41">
        <f>IF(J532=0,0,L532/J532)</f>
      </c>
      <c r="U532" s="42">
        <f>IFERROR(INDEX(Paletes!$C$5:$C$393,MATCH(B532,Paletes!$A$5:$A$393,0)),"SEM CADASTRO")</f>
      </c>
      <c r="V532" s="36">
        <f>IFERROR(INDEX(Paletes!$D$5:$D$393,MATCH(B532,Paletes!$A$5:$A$393,0)),0)</f>
      </c>
      <c r="W532" s="43">
        <f>IF(V532=0,0,J532/V532)</f>
      </c>
      <c r="X532" s="43">
        <f>IF(V532=0,0,MAX(M532,0)/V532)</f>
      </c>
    </row>
    <row r="533" spans="1:24" x14ac:dyDescent="0.25">
      <c r="A533" s="20" t="str">
        <f>B533&amp;"."&amp;IFERROR(MID(D533,FIND("(",D533)+1,FIND(")",D533)-FIND("(",D533)-1),"")</f>
        <v>73550.46397</v>
      </c>
      <c r="B533" s="21">
        <v>73550</v>
      </c>
      <c r="C533" s="20" t="s">
        <v>85</v>
      </c>
      <c r="D533" s="20" t="s">
        <v>857</v>
      </c>
      <c r="E533" s="20">
        <v>66401</v>
      </c>
      <c r="F533" s="20" t="s">
        <v>25</v>
      </c>
      <c r="G533" s="20" t="s">
        <v>51</v>
      </c>
      <c r="H533" s="22">
        <f>IFERROR(INDEX(Linha!$B$5:$B$788,MATCH(A533,Linha!$A$5:$A$788,0)),"NÃO CADASTRADO")</f>
      </c>
      <c r="I533" s="22">
        <f>IFERROR(INDEX(Linha!$C$5:$C$788,MATCH(A533,Linha!$A$5:$A$788,0)),"-")</f>
      </c>
      <c r="J533" s="23">
        <v>1</v>
      </c>
      <c r="K533" s="24">
        <f>IFERROR(INDEX(Linha!$D$5:$D$788,MATCH(A533,Linha!$A$5:$A$788,0))*1,0)</f>
      </c>
      <c r="L533" s="24">
        <f>SUMIFS(Reservas!$K$5:$K$3669,Reservas!$A$5:$A$3669,A533)</f>
      </c>
      <c r="M533" s="25">
        <f>J533-L533</f>
      </c>
      <c r="N533" s="26">
        <v>11.358</v>
      </c>
      <c r="O533" s="25">
        <f>J533*N533</f>
      </c>
      <c r="P533" s="25">
        <f>L533*N533</f>
      </c>
      <c r="Q533" s="27">
        <v>90.88530468</v>
      </c>
      <c r="R533" s="28">
        <f>J533*Q533</f>
      </c>
      <c r="S533" s="28">
        <f>L533*Q533</f>
      </c>
      <c r="T533" s="29">
        <f>IF(J533=0,0,L533/J533)</f>
      </c>
      <c r="U533" s="30">
        <f>IFERROR(INDEX(Paletes!$C$5:$C$393,MATCH(B533,Paletes!$A$5:$A$393,0)),"SEM CADASTRO")</f>
      </c>
      <c r="V533" s="24">
        <f>IFERROR(INDEX(Paletes!$D$5:$D$393,MATCH(B533,Paletes!$A$5:$A$393,0)),0)</f>
      </c>
      <c r="W533" s="31">
        <f>IF(V533=0,0,J533/V533)</f>
      </c>
      <c r="X533" s="31">
        <f>IF(V533=0,0,MAX(M533,0)/V533)</f>
      </c>
    </row>
    <row r="534" spans="1:24" x14ac:dyDescent="0.25">
      <c r="A534" s="32" t="str">
        <f>B534&amp;"."&amp;IFERROR(MID(D534,FIND("(",D534)+1,FIND(")",D534)-FIND("(",D534)-1),"")</f>
        <v>87470.91618</v>
      </c>
      <c r="B534" s="33">
        <v>87470</v>
      </c>
      <c r="C534" s="32" t="s">
        <v>858</v>
      </c>
      <c r="D534" s="32" t="s">
        <v>859</v>
      </c>
      <c r="E534" s="32">
        <v>105148</v>
      </c>
      <c r="F534" s="32" t="s">
        <v>26</v>
      </c>
      <c r="G534" s="32" t="s">
        <v>51</v>
      </c>
      <c r="H534" s="34">
        <f>IFERROR(INDEX(Linha!$B$5:$B$788,MATCH(A534,Linha!$A$5:$A$788,0)),"NÃO CADASTRADO")</f>
      </c>
      <c r="I534" s="34">
        <f>IFERROR(INDEX(Linha!$C$5:$C$788,MATCH(A534,Linha!$A$5:$A$788,0)),"-")</f>
      </c>
      <c r="J534" s="35">
        <v>45</v>
      </c>
      <c r="K534" s="36">
        <f>IFERROR(INDEX(Linha!$D$5:$D$788,MATCH(A534,Linha!$A$5:$A$788,0))*1,0)</f>
      </c>
      <c r="L534" s="36">
        <f>SUMIFS(Reservas!$K$5:$K$3669,Reservas!$A$5:$A$3669,A534)</f>
      </c>
      <c r="M534" s="37">
        <f>J534-L534</f>
      </c>
      <c r="N534" s="38">
        <v>0.702</v>
      </c>
      <c r="O534" s="37">
        <f>J534*N534</f>
      </c>
      <c r="P534" s="37">
        <f>L534*N534</f>
      </c>
      <c r="Q534" s="39">
        <v>26.74605901</v>
      </c>
      <c r="R534" s="40">
        <f>J534*Q534</f>
      </c>
      <c r="S534" s="40">
        <f>L534*Q534</f>
      </c>
      <c r="T534" s="41">
        <f>IF(J534=0,0,L534/J534)</f>
      </c>
      <c r="U534" s="42">
        <f>IFERROR(INDEX(Paletes!$C$5:$C$393,MATCH(B534,Paletes!$A$5:$A$393,0)),"SEM CADASTRO")</f>
      </c>
      <c r="V534" s="36">
        <f>IFERROR(INDEX(Paletes!$D$5:$D$393,MATCH(B534,Paletes!$A$5:$A$393,0)),0)</f>
      </c>
      <c r="W534" s="43">
        <f>IF(V534=0,0,J534/V534)</f>
      </c>
      <c r="X534" s="43">
        <f>IF(V534=0,0,MAX(M534,0)/V534)</f>
      </c>
    </row>
    <row r="535" spans="1:24" x14ac:dyDescent="0.25">
      <c r="A535" s="20" t="str">
        <f>B535&amp;"."&amp;IFERROR(MID(D535,FIND("(",D535)+1,FIND(")",D535)-FIND("(",D535)-1),"")</f>
        <v>87646.93332</v>
      </c>
      <c r="B535" s="21">
        <v>87646</v>
      </c>
      <c r="C535" s="20" t="s">
        <v>860</v>
      </c>
      <c r="D535" s="20" t="s">
        <v>861</v>
      </c>
      <c r="E535" s="20">
        <v>32316</v>
      </c>
      <c r="F535" s="20" t="s">
        <v>25</v>
      </c>
      <c r="G535" s="20" t="s">
        <v>51</v>
      </c>
      <c r="H535" s="22">
        <f>IFERROR(INDEX(Linha!$B$5:$B$788,MATCH(A535,Linha!$A$5:$A$788,0)),"NÃO CADASTRADO")</f>
      </c>
      <c r="I535" s="22">
        <f>IFERROR(INDEX(Linha!$C$5:$C$788,MATCH(A535,Linha!$A$5:$A$788,0)),"-")</f>
      </c>
      <c r="J535" s="23">
        <v>437</v>
      </c>
      <c r="K535" s="24">
        <f>IFERROR(INDEX(Linha!$D$5:$D$788,MATCH(A535,Linha!$A$5:$A$788,0))*1,0)</f>
      </c>
      <c r="L535" s="24">
        <f>SUMIFS(Reservas!$K$5:$K$3669,Reservas!$A$5:$A$3669,A535)</f>
      </c>
      <c r="M535" s="25">
        <f>J535-L535</f>
      </c>
      <c r="N535" s="26">
        <v>6.63</v>
      </c>
      <c r="O535" s="25">
        <f>J535*N535</f>
      </c>
      <c r="P535" s="25">
        <f>L535*N535</f>
      </c>
      <c r="Q535" s="27">
        <v>49.41126426</v>
      </c>
      <c r="R535" s="28">
        <f>J535*Q535</f>
      </c>
      <c r="S535" s="28">
        <f>L535*Q535</f>
      </c>
      <c r="T535" s="29">
        <f>IF(J535=0,0,L535/J535)</f>
      </c>
      <c r="U535" s="30">
        <f>IFERROR(INDEX(Paletes!$C$5:$C$393,MATCH(B535,Paletes!$A$5:$A$393,0)),"SEM CADASTRO")</f>
      </c>
      <c r="V535" s="24">
        <f>IFERROR(INDEX(Paletes!$D$5:$D$393,MATCH(B535,Paletes!$A$5:$A$393,0)),0)</f>
      </c>
      <c r="W535" s="31">
        <f>IF(V535=0,0,J535/V535)</f>
      </c>
      <c r="X535" s="31">
        <f>IF(V535=0,0,MAX(M535,0)/V535)</f>
      </c>
    </row>
    <row r="536" spans="1:24" x14ac:dyDescent="0.25">
      <c r="A536" s="32" t="str">
        <f>B536&amp;"."&amp;IFERROR(MID(D536,FIND("(",D536)+1,FIND(")",D536)-FIND("(",D536)-1),"")</f>
        <v>73545.78588</v>
      </c>
      <c r="B536" s="33">
        <v>73545</v>
      </c>
      <c r="C536" s="32" t="s">
        <v>414</v>
      </c>
      <c r="D536" s="32" t="s">
        <v>862</v>
      </c>
      <c r="E536" s="32">
        <v>54258</v>
      </c>
      <c r="F536" s="32" t="s">
        <v>25</v>
      </c>
      <c r="G536" s="32" t="s">
        <v>51</v>
      </c>
      <c r="H536" s="34">
        <f>IFERROR(INDEX(Linha!$B$5:$B$788,MATCH(A536,Linha!$A$5:$A$788,0)),"NÃO CADASTRADO")</f>
      </c>
      <c r="I536" s="34">
        <f>IFERROR(INDEX(Linha!$C$5:$C$788,MATCH(A536,Linha!$A$5:$A$788,0)),"-")</f>
      </c>
      <c r="J536" s="35">
        <v>0</v>
      </c>
      <c r="K536" s="36">
        <f>IFERROR(INDEX(Linha!$D$5:$D$788,MATCH(A536,Linha!$A$5:$A$788,0))*1,0)</f>
      </c>
      <c r="L536" s="36">
        <f>SUMIFS(Reservas!$K$5:$K$3669,Reservas!$A$5:$A$3669,A536)</f>
      </c>
      <c r="M536" s="37">
        <f>J536-L536</f>
      </c>
      <c r="N536" s="38">
        <v>11.358</v>
      </c>
      <c r="O536" s="37">
        <f>J536*N536</f>
      </c>
      <c r="P536" s="37">
        <f>L536*N536</f>
      </c>
      <c r="Q536" s="39">
        <v>78.63530468</v>
      </c>
      <c r="R536" s="40">
        <f>J536*Q536</f>
      </c>
      <c r="S536" s="40">
        <f>L536*Q536</f>
      </c>
      <c r="T536" s="41">
        <f>IF(J536=0,0,L536/J536)</f>
      </c>
      <c r="U536" s="42">
        <f>IFERROR(INDEX(Paletes!$C$5:$C$393,MATCH(B536,Paletes!$A$5:$A$393,0)),"SEM CADASTRO")</f>
      </c>
      <c r="V536" s="36">
        <f>IFERROR(INDEX(Paletes!$D$5:$D$393,MATCH(B536,Paletes!$A$5:$A$393,0)),0)</f>
      </c>
      <c r="W536" s="43">
        <f>IF(V536=0,0,J536/V536)</f>
      </c>
      <c r="X536" s="43">
        <f>IF(V536=0,0,MAX(M536,0)/V536)</f>
      </c>
    </row>
    <row r="537" spans="1:24" x14ac:dyDescent="0.25">
      <c r="A537" s="20" t="str">
        <f>B537&amp;"."&amp;IFERROR(MID(D537,FIND("(",D537)+1,FIND(")",D537)-FIND("(",D537)-1),"")</f>
        <v>73233.15556</v>
      </c>
      <c r="B537" s="21">
        <v>73233</v>
      </c>
      <c r="C537" s="20" t="s">
        <v>702</v>
      </c>
      <c r="D537" s="20" t="s">
        <v>863</v>
      </c>
      <c r="E537" s="20">
        <v>87247</v>
      </c>
      <c r="F537" s="20" t="s">
        <v>25</v>
      </c>
      <c r="G537" s="20" t="s">
        <v>51</v>
      </c>
      <c r="H537" s="22">
        <f>IFERROR(INDEX(Linha!$B$5:$B$788,MATCH(A537,Linha!$A$5:$A$788,0)),"NÃO CADASTRADO")</f>
      </c>
      <c r="I537" s="22">
        <f>IFERROR(INDEX(Linha!$C$5:$C$788,MATCH(A537,Linha!$A$5:$A$788,0)),"-")</f>
      </c>
      <c r="J537" s="23">
        <v>1</v>
      </c>
      <c r="K537" s="24">
        <f>IFERROR(INDEX(Linha!$D$5:$D$788,MATCH(A537,Linha!$A$5:$A$788,0))*1,0)</f>
      </c>
      <c r="L537" s="24">
        <f>SUMIFS(Reservas!$K$5:$K$3669,Reservas!$A$5:$A$3669,A537)</f>
      </c>
      <c r="M537" s="25">
        <f>J537-L537</f>
      </c>
      <c r="N537" s="26">
        <v>15.327</v>
      </c>
      <c r="O537" s="25">
        <f>J537*N537</f>
      </c>
      <c r="P537" s="25">
        <f>L537*N537</f>
      </c>
      <c r="Q537" s="27">
        <v>63.33187935</v>
      </c>
      <c r="R537" s="28">
        <f>J537*Q537</f>
      </c>
      <c r="S537" s="28">
        <f>L537*Q537</f>
      </c>
      <c r="T537" s="29">
        <f>IF(J537=0,0,L537/J537)</f>
      </c>
      <c r="U537" s="30">
        <f>IFERROR(INDEX(Paletes!$C$5:$C$393,MATCH(B537,Paletes!$A$5:$A$393,0)),"SEM CADASTRO")</f>
      </c>
      <c r="V537" s="24">
        <f>IFERROR(INDEX(Paletes!$D$5:$D$393,MATCH(B537,Paletes!$A$5:$A$393,0)),0)</f>
      </c>
      <c r="W537" s="31">
        <f>IF(V537=0,0,J537/V537)</f>
      </c>
      <c r="X537" s="31">
        <f>IF(V537=0,0,MAX(M537,0)/V537)</f>
      </c>
    </row>
    <row r="538" spans="1:24" x14ac:dyDescent="0.25">
      <c r="A538" s="32" t="str">
        <f>B538&amp;"."&amp;IFERROR(MID(D538,FIND("(",D538)+1,FIND(")",D538)-FIND("(",D538)-1),"")</f>
        <v>74629.31969</v>
      </c>
      <c r="B538" s="33">
        <v>74629</v>
      </c>
      <c r="C538" s="32" t="s">
        <v>256</v>
      </c>
      <c r="D538" s="32" t="s">
        <v>864</v>
      </c>
      <c r="E538" s="32">
        <v>81387</v>
      </c>
      <c r="F538" s="32" t="s">
        <v>24</v>
      </c>
      <c r="G538" s="32" t="s">
        <v>51</v>
      </c>
      <c r="H538" s="34">
        <f>IFERROR(INDEX(Linha!$B$5:$B$788,MATCH(A538,Linha!$A$5:$A$788,0)),"NÃO CADASTRADO")</f>
      </c>
      <c r="I538" s="34">
        <f>IFERROR(INDEX(Linha!$C$5:$C$788,MATCH(A538,Linha!$A$5:$A$788,0)),"-")</f>
      </c>
      <c r="J538" s="35">
        <v>0</v>
      </c>
      <c r="K538" s="36">
        <f>IFERROR(INDEX(Linha!$D$5:$D$788,MATCH(A538,Linha!$A$5:$A$788,0))*1,0)</f>
      </c>
      <c r="L538" s="36">
        <f>SUMIFS(Reservas!$K$5:$K$3669,Reservas!$A$5:$A$3669,A538)</f>
      </c>
      <c r="M538" s="37">
        <f>J538-L538</f>
      </c>
      <c r="N538" s="38">
        <v>28.275</v>
      </c>
      <c r="O538" s="37">
        <f>J538*N538</f>
      </c>
      <c r="P538" s="37">
        <f>L538*N538</f>
      </c>
      <c r="Q538" s="39">
        <v>71.12666501</v>
      </c>
      <c r="R538" s="40">
        <f>J538*Q538</f>
      </c>
      <c r="S538" s="40">
        <f>L538*Q538</f>
      </c>
      <c r="T538" s="41">
        <f>IF(J538=0,0,L538/J538)</f>
      </c>
      <c r="U538" s="42">
        <f>IFERROR(INDEX(Paletes!$C$5:$C$393,MATCH(B538,Paletes!$A$5:$A$393,0)),"SEM CADASTRO")</f>
      </c>
      <c r="V538" s="36">
        <f>IFERROR(INDEX(Paletes!$D$5:$D$393,MATCH(B538,Paletes!$A$5:$A$393,0)),0)</f>
      </c>
      <c r="W538" s="43">
        <f>IF(V538=0,0,J538/V538)</f>
      </c>
      <c r="X538" s="43">
        <f>IF(V538=0,0,MAX(M538,0)/V538)</f>
      </c>
    </row>
    <row r="539" spans="1:24" x14ac:dyDescent="0.25">
      <c r="A539" s="20" t="str">
        <f>B539&amp;"."&amp;IFERROR(MID(D539,FIND("(",D539)+1,FIND(")",D539)-FIND("(",D539)-1),"")</f>
        <v>72866.16312</v>
      </c>
      <c r="B539" s="21">
        <v>72866</v>
      </c>
      <c r="C539" s="20" t="s">
        <v>258</v>
      </c>
      <c r="D539" s="20" t="s">
        <v>865</v>
      </c>
      <c r="E539" s="20">
        <v>87200</v>
      </c>
      <c r="F539" s="20" t="s">
        <v>24</v>
      </c>
      <c r="G539" s="20" t="s">
        <v>51</v>
      </c>
      <c r="H539" s="22">
        <f>IFERROR(INDEX(Linha!$B$5:$B$788,MATCH(A539,Linha!$A$5:$A$788,0)),"NÃO CADASTRADO")</f>
      </c>
      <c r="I539" s="22">
        <f>IFERROR(INDEX(Linha!$C$5:$C$788,MATCH(A539,Linha!$A$5:$A$788,0)),"-")</f>
      </c>
      <c r="J539" s="23">
        <v>0</v>
      </c>
      <c r="K539" s="24">
        <f>IFERROR(INDEX(Linha!$D$5:$D$788,MATCH(A539,Linha!$A$5:$A$788,0))*1,0)</f>
      </c>
      <c r="L539" s="24">
        <f>SUMIFS(Reservas!$K$5:$K$3669,Reservas!$A$5:$A$3669,A539)</f>
      </c>
      <c r="M539" s="25">
        <f>J539-L539</f>
      </c>
      <c r="N539" s="26">
        <v>35.958</v>
      </c>
      <c r="O539" s="25">
        <f>J539*N539</f>
      </c>
      <c r="P539" s="25">
        <f>L539*N539</f>
      </c>
      <c r="Q539" s="27">
        <v>155.17255156</v>
      </c>
      <c r="R539" s="28">
        <f>J539*Q539</f>
      </c>
      <c r="S539" s="28">
        <f>L539*Q539</f>
      </c>
      <c r="T539" s="29">
        <f>IF(J539=0,0,L539/J539)</f>
      </c>
      <c r="U539" s="30">
        <f>IFERROR(INDEX(Paletes!$C$5:$C$393,MATCH(B539,Paletes!$A$5:$A$393,0)),"SEM CADASTRO")</f>
      </c>
      <c r="V539" s="24">
        <f>IFERROR(INDEX(Paletes!$D$5:$D$393,MATCH(B539,Paletes!$A$5:$A$393,0)),0)</f>
      </c>
      <c r="W539" s="31">
        <f>IF(V539=0,0,J539/V539)</f>
      </c>
      <c r="X539" s="31">
        <f>IF(V539=0,0,MAX(M539,0)/V539)</f>
      </c>
    </row>
    <row r="540" spans="1:24" x14ac:dyDescent="0.25">
      <c r="A540" s="32" t="str">
        <f>B540&amp;"."&amp;IFERROR(MID(D540,FIND("(",D540)+1,FIND(")",D540)-FIND("(",D540)-1),"")</f>
        <v>2275.13753</v>
      </c>
      <c r="B540" s="33">
        <v>2275</v>
      </c>
      <c r="C540" s="32" t="s">
        <v>866</v>
      </c>
      <c r="D540" s="32" t="s">
        <v>867</v>
      </c>
      <c r="E540" s="32">
        <v>86813</v>
      </c>
      <c r="F540" s="32" t="s">
        <v>26</v>
      </c>
      <c r="G540" s="32" t="s">
        <v>51</v>
      </c>
      <c r="H540" s="34">
        <f>IFERROR(INDEX(Linha!$B$5:$B$788,MATCH(A540,Linha!$A$5:$A$788,0)),"NÃO CADASTRADO")</f>
      </c>
      <c r="I540" s="34">
        <f>IFERROR(INDEX(Linha!$C$5:$C$788,MATCH(A540,Linha!$A$5:$A$788,0)),"-")</f>
      </c>
      <c r="J540" s="35">
        <v>0</v>
      </c>
      <c r="K540" s="36">
        <f>IFERROR(INDEX(Linha!$D$5:$D$788,MATCH(A540,Linha!$A$5:$A$788,0))*1,0)</f>
      </c>
      <c r="L540" s="36">
        <f>SUMIFS(Reservas!$K$5:$K$3669,Reservas!$A$5:$A$3669,A540)</f>
      </c>
      <c r="M540" s="37">
        <f>J540-L540</f>
      </c>
      <c r="N540" s="38">
        <v>59.475</v>
      </c>
      <c r="O540" s="37">
        <f>J540*N540</f>
      </c>
      <c r="P540" s="37">
        <f>L540*N540</f>
      </c>
      <c r="Q540" s="39">
        <v>178.00257371</v>
      </c>
      <c r="R540" s="40">
        <f>J540*Q540</f>
      </c>
      <c r="S540" s="40">
        <f>L540*Q540</f>
      </c>
      <c r="T540" s="41">
        <f>IF(J540=0,0,L540/J540)</f>
      </c>
      <c r="U540" s="42">
        <f>IFERROR(INDEX(Paletes!$C$5:$C$393,MATCH(B540,Paletes!$A$5:$A$393,0)),"SEM CADASTRO")</f>
      </c>
      <c r="V540" s="36">
        <f>IFERROR(INDEX(Paletes!$D$5:$D$393,MATCH(B540,Paletes!$A$5:$A$393,0)),0)</f>
      </c>
      <c r="W540" s="43">
        <f>IF(V540=0,0,J540/V540)</f>
      </c>
      <c r="X540" s="43">
        <f>IF(V540=0,0,MAX(M540,0)/V540)</f>
      </c>
    </row>
    <row r="541" spans="1:24" x14ac:dyDescent="0.25">
      <c r="A541" s="20" t="str">
        <f>B541&amp;"."&amp;IFERROR(MID(D541,FIND("(",D541)+1,FIND(")",D541)-FIND("(",D541)-1),"")</f>
        <v>308.</v>
      </c>
      <c r="B541" s="21">
        <v>308</v>
      </c>
      <c r="C541" s="20" t="s">
        <v>868</v>
      </c>
      <c r="D541" s="20" t="s">
        <v>89</v>
      </c>
      <c r="E541" s="20">
        <v>46008</v>
      </c>
      <c r="F541" s="20" t="s">
        <v>26</v>
      </c>
      <c r="G541" s="20" t="s">
        <v>51</v>
      </c>
      <c r="H541" s="22">
        <f>IFERROR(INDEX(Linha!$B$5:$B$788,MATCH(A541,Linha!$A$5:$A$788,0)),"NÃO CADASTRADO")</f>
      </c>
      <c r="I541" s="22">
        <f>IFERROR(INDEX(Linha!$C$5:$C$788,MATCH(A541,Linha!$A$5:$A$788,0)),"-")</f>
      </c>
      <c r="J541" s="23">
        <v>967</v>
      </c>
      <c r="K541" s="24">
        <f>IFERROR(INDEX(Linha!$D$5:$D$788,MATCH(A541,Linha!$A$5:$A$788,0))*1,0)</f>
      </c>
      <c r="L541" s="24">
        <f>SUMIFS(Reservas!$K$5:$K$3669,Reservas!$A$5:$A$3669,A541)</f>
      </c>
      <c r="M541" s="25">
        <f>J541-L541</f>
      </c>
      <c r="N541" s="26">
        <v>7.995</v>
      </c>
      <c r="O541" s="25">
        <f>J541*N541</f>
      </c>
      <c r="P541" s="25">
        <f>L541*N541</f>
      </c>
      <c r="Q541" s="27">
        <v>61.14230176</v>
      </c>
      <c r="R541" s="28">
        <f>J541*Q541</f>
      </c>
      <c r="S541" s="28">
        <f>L541*Q541</f>
      </c>
      <c r="T541" s="29">
        <f>IF(J541=0,0,L541/J541)</f>
      </c>
      <c r="U541" s="30">
        <f>IFERROR(INDEX(Paletes!$C$5:$C$393,MATCH(B541,Paletes!$A$5:$A$393,0)),"SEM CADASTRO")</f>
      </c>
      <c r="V541" s="24">
        <f>IFERROR(INDEX(Paletes!$D$5:$D$393,MATCH(B541,Paletes!$A$5:$A$393,0)),0)</f>
      </c>
      <c r="W541" s="31">
        <f>IF(V541=0,0,J541/V541)</f>
      </c>
      <c r="X541" s="31">
        <f>IF(V541=0,0,MAX(M541,0)/V541)</f>
      </c>
    </row>
    <row r="542" spans="1:24" x14ac:dyDescent="0.25">
      <c r="A542" s="32" t="str">
        <f>B542&amp;"."&amp;IFERROR(MID(D542,FIND("(",D542)+1,FIND(")",D542)-FIND("(",D542)-1),"")</f>
        <v>2354.13080</v>
      </c>
      <c r="B542" s="33">
        <v>2354</v>
      </c>
      <c r="C542" s="32" t="s">
        <v>869</v>
      </c>
      <c r="D542" s="32" t="s">
        <v>870</v>
      </c>
      <c r="E542" s="32">
        <v>82938</v>
      </c>
      <c r="F542" s="32" t="s">
        <v>26</v>
      </c>
      <c r="G542" s="32" t="s">
        <v>51</v>
      </c>
      <c r="H542" s="34">
        <f>IFERROR(INDEX(Linha!$B$5:$B$788,MATCH(A542,Linha!$A$5:$A$788,0)),"NÃO CADASTRADO")</f>
      </c>
      <c r="I542" s="34">
        <f>IFERROR(INDEX(Linha!$C$5:$C$788,MATCH(A542,Linha!$A$5:$A$788,0)),"-")</f>
      </c>
      <c r="J542" s="35">
        <v>8</v>
      </c>
      <c r="K542" s="36">
        <f>IFERROR(INDEX(Linha!$D$5:$D$788,MATCH(A542,Linha!$A$5:$A$788,0))*1,0)</f>
      </c>
      <c r="L542" s="36">
        <f>SUMIFS(Reservas!$K$5:$K$3669,Reservas!$A$5:$A$3669,A542)</f>
      </c>
      <c r="M542" s="37">
        <f>J542-L542</f>
      </c>
      <c r="N542" s="38">
        <v>67.275</v>
      </c>
      <c r="O542" s="37">
        <f>J542*N542</f>
      </c>
      <c r="P542" s="37">
        <f>L542*N542</f>
      </c>
      <c r="Q542" s="39">
        <v>240.48471453</v>
      </c>
      <c r="R542" s="40">
        <f>J542*Q542</f>
      </c>
      <c r="S542" s="40">
        <f>L542*Q542</f>
      </c>
      <c r="T542" s="41">
        <f>IF(J542=0,0,L542/J542)</f>
      </c>
      <c r="U542" s="42">
        <f>IFERROR(INDEX(Paletes!$C$5:$C$393,MATCH(B542,Paletes!$A$5:$A$393,0)),"SEM CADASTRO")</f>
      </c>
      <c r="V542" s="36">
        <f>IFERROR(INDEX(Paletes!$D$5:$D$393,MATCH(B542,Paletes!$A$5:$A$393,0)),0)</f>
      </c>
      <c r="W542" s="43">
        <f>IF(V542=0,0,J542/V542)</f>
      </c>
      <c r="X542" s="43">
        <f>IF(V542=0,0,MAX(M542,0)/V542)</f>
      </c>
    </row>
    <row r="543" spans="1:24" x14ac:dyDescent="0.25">
      <c r="A543" s="20" t="str">
        <f>B543&amp;"."&amp;IFERROR(MID(D543,FIND("(",D543)+1,FIND(")",D543)-FIND("(",D543)-1),"")</f>
        <v>72764.31469</v>
      </c>
      <c r="B543" s="21">
        <v>72764</v>
      </c>
      <c r="C543" s="20" t="s">
        <v>435</v>
      </c>
      <c r="D543" s="20" t="s">
        <v>871</v>
      </c>
      <c r="E543" s="20">
        <v>87846</v>
      </c>
      <c r="F543" s="20" t="s">
        <v>26</v>
      </c>
      <c r="G543" s="20" t="s">
        <v>51</v>
      </c>
      <c r="H543" s="22">
        <f>IFERROR(INDEX(Linha!$B$5:$B$788,MATCH(A543,Linha!$A$5:$A$788,0)),"NÃO CADASTRADO")</f>
      </c>
      <c r="I543" s="22">
        <f>IFERROR(INDEX(Linha!$C$5:$C$788,MATCH(A543,Linha!$A$5:$A$788,0)),"-")</f>
      </c>
      <c r="J543" s="23">
        <v>0</v>
      </c>
      <c r="K543" s="24">
        <f>IFERROR(INDEX(Linha!$D$5:$D$788,MATCH(A543,Linha!$A$5:$A$788,0))*1,0)</f>
      </c>
      <c r="L543" s="24">
        <f>SUMIFS(Reservas!$K$5:$K$3669,Reservas!$A$5:$A$3669,A543)</f>
      </c>
      <c r="M543" s="25">
        <f>J543-L543</f>
      </c>
      <c r="N543" s="26">
        <v>8.97</v>
      </c>
      <c r="O543" s="25">
        <f>J543*N543</f>
      </c>
      <c r="P543" s="25">
        <f>L543*N543</f>
      </c>
      <c r="Q543" s="27">
        <v>86.52396194</v>
      </c>
      <c r="R543" s="28">
        <f>J543*Q543</f>
      </c>
      <c r="S543" s="28">
        <f>L543*Q543</f>
      </c>
      <c r="T543" s="29">
        <f>IF(J543=0,0,L543/J543)</f>
      </c>
      <c r="U543" s="30">
        <f>IFERROR(INDEX(Paletes!$C$5:$C$393,MATCH(B543,Paletes!$A$5:$A$393,0)),"SEM CADASTRO")</f>
      </c>
      <c r="V543" s="24">
        <f>IFERROR(INDEX(Paletes!$D$5:$D$393,MATCH(B543,Paletes!$A$5:$A$393,0)),0)</f>
      </c>
      <c r="W543" s="31">
        <f>IF(V543=0,0,J543/V543)</f>
      </c>
      <c r="X543" s="31">
        <f>IF(V543=0,0,MAX(M543,0)/V543)</f>
      </c>
    </row>
    <row r="544" spans="1:24" x14ac:dyDescent="0.25">
      <c r="A544" s="32" t="str">
        <f>B544&amp;"."&amp;IFERROR(MID(D544,FIND("(",D544)+1,FIND(")",D544)-FIND("(",D544)-1),"")</f>
        <v>73354.16252</v>
      </c>
      <c r="B544" s="33">
        <v>73354</v>
      </c>
      <c r="C544" s="32" t="s">
        <v>872</v>
      </c>
      <c r="D544" s="32" t="s">
        <v>873</v>
      </c>
      <c r="E544" s="32">
        <v>76904</v>
      </c>
      <c r="F544" s="32" t="s">
        <v>25</v>
      </c>
      <c r="G544" s="32" t="s">
        <v>51</v>
      </c>
      <c r="H544" s="34">
        <f>IFERROR(INDEX(Linha!$B$5:$B$788,MATCH(A544,Linha!$A$5:$A$788,0)),"NÃO CADASTRADO")</f>
      </c>
      <c r="I544" s="34">
        <f>IFERROR(INDEX(Linha!$C$5:$C$788,MATCH(A544,Linha!$A$5:$A$788,0)),"-")</f>
      </c>
      <c r="J544" s="35">
        <v>10</v>
      </c>
      <c r="K544" s="36">
        <f>IFERROR(INDEX(Linha!$D$5:$D$788,MATCH(A544,Linha!$A$5:$A$788,0))*1,0)</f>
      </c>
      <c r="L544" s="36">
        <f>SUMIFS(Reservas!$K$5:$K$3669,Reservas!$A$5:$A$3669,A544)</f>
      </c>
      <c r="M544" s="37">
        <f>J544-L544</f>
      </c>
      <c r="N544" s="38">
        <v>43.436</v>
      </c>
      <c r="O544" s="37">
        <f>J544*N544</f>
      </c>
      <c r="P544" s="37">
        <f>L544*N544</f>
      </c>
      <c r="Q544" s="39">
        <v>270.28586466</v>
      </c>
      <c r="R544" s="40">
        <f>J544*Q544</f>
      </c>
      <c r="S544" s="40">
        <f>L544*Q544</f>
      </c>
      <c r="T544" s="41">
        <f>IF(J544=0,0,L544/J544)</f>
      </c>
      <c r="U544" s="42">
        <f>IFERROR(INDEX(Paletes!$C$5:$C$393,MATCH(B544,Paletes!$A$5:$A$393,0)),"SEM CADASTRO")</f>
      </c>
      <c r="V544" s="36">
        <f>IFERROR(INDEX(Paletes!$D$5:$D$393,MATCH(B544,Paletes!$A$5:$A$393,0)),0)</f>
      </c>
      <c r="W544" s="43">
        <f>IF(V544=0,0,J544/V544)</f>
      </c>
      <c r="X544" s="43">
        <f>IF(V544=0,0,MAX(M544,0)/V544)</f>
      </c>
    </row>
    <row r="545" spans="1:24" x14ac:dyDescent="0.25">
      <c r="A545" s="20" t="str">
        <f>B545&amp;"."&amp;IFERROR(MID(D545,FIND("(",D545)+1,FIND(")",D545)-FIND("(",D545)-1),"")</f>
        <v>2401.</v>
      </c>
      <c r="B545" s="21">
        <v>2401</v>
      </c>
      <c r="C545" s="20" t="s">
        <v>874</v>
      </c>
      <c r="D545" s="20" t="s">
        <v>89</v>
      </c>
      <c r="E545" s="20">
        <v>42520</v>
      </c>
      <c r="F545" s="20" t="s">
        <v>26</v>
      </c>
      <c r="G545" s="20" t="s">
        <v>51</v>
      </c>
      <c r="H545" s="22">
        <f>IFERROR(INDEX(Linha!$B$5:$B$788,MATCH(A545,Linha!$A$5:$A$788,0)),"NÃO CADASTRADO")</f>
      </c>
      <c r="I545" s="22">
        <f>IFERROR(INDEX(Linha!$C$5:$C$788,MATCH(A545,Linha!$A$5:$A$788,0)),"-")</f>
      </c>
      <c r="J545" s="23">
        <v>109</v>
      </c>
      <c r="K545" s="24">
        <f>IFERROR(INDEX(Linha!$D$5:$D$788,MATCH(A545,Linha!$A$5:$A$788,0))*1,0)</f>
      </c>
      <c r="L545" s="24">
        <f>SUMIFS(Reservas!$K$5:$K$3669,Reservas!$A$5:$A$3669,A545)</f>
      </c>
      <c r="M545" s="25">
        <f>J545-L545</f>
      </c>
      <c r="N545" s="26">
        <v>26.871</v>
      </c>
      <c r="O545" s="25">
        <f>J545*N545</f>
      </c>
      <c r="P545" s="25">
        <f>L545*N545</f>
      </c>
      <c r="Q545" s="27">
        <v>199.65630932</v>
      </c>
      <c r="R545" s="28">
        <f>J545*Q545</f>
      </c>
      <c r="S545" s="28">
        <f>L545*Q545</f>
      </c>
      <c r="T545" s="29">
        <f>IF(J545=0,0,L545/J545)</f>
      </c>
      <c r="U545" s="30">
        <f>IFERROR(INDEX(Paletes!$C$5:$C$393,MATCH(B545,Paletes!$A$5:$A$393,0)),"SEM CADASTRO")</f>
      </c>
      <c r="V545" s="24">
        <f>IFERROR(INDEX(Paletes!$D$5:$D$393,MATCH(B545,Paletes!$A$5:$A$393,0)),0)</f>
      </c>
      <c r="W545" s="31">
        <f>IF(V545=0,0,J545/V545)</f>
      </c>
      <c r="X545" s="31">
        <f>IF(V545=0,0,MAX(M545,0)/V545)</f>
      </c>
    </row>
    <row r="546" spans="1:24" x14ac:dyDescent="0.25">
      <c r="A546" s="32" t="str">
        <f>B546&amp;"."&amp;IFERROR(MID(D546,FIND("(",D546)+1,FIND(")",D546)-FIND("(",D546)-1),"")</f>
        <v>73542.16388</v>
      </c>
      <c r="B546" s="33">
        <v>73542</v>
      </c>
      <c r="C546" s="32" t="s">
        <v>875</v>
      </c>
      <c r="D546" s="32" t="s">
        <v>876</v>
      </c>
      <c r="E546" s="32">
        <v>87485</v>
      </c>
      <c r="F546" s="32" t="s">
        <v>25</v>
      </c>
      <c r="G546" s="32" t="s">
        <v>51</v>
      </c>
      <c r="H546" s="34">
        <f>IFERROR(INDEX(Linha!$B$5:$B$788,MATCH(A546,Linha!$A$5:$A$788,0)),"NÃO CADASTRADO")</f>
      </c>
      <c r="I546" s="34">
        <f>IFERROR(INDEX(Linha!$C$5:$C$788,MATCH(A546,Linha!$A$5:$A$788,0)),"-")</f>
      </c>
      <c r="J546" s="35">
        <v>18</v>
      </c>
      <c r="K546" s="36">
        <f>IFERROR(INDEX(Linha!$D$5:$D$788,MATCH(A546,Linha!$A$5:$A$788,0))*1,0)</f>
      </c>
      <c r="L546" s="36">
        <f>SUMIFS(Reservas!$K$5:$K$3669,Reservas!$A$5:$A$3669,A546)</f>
      </c>
      <c r="M546" s="37">
        <f>J546-L546</f>
      </c>
      <c r="N546" s="38">
        <v>6.376</v>
      </c>
      <c r="O546" s="37">
        <f>J546*N546</f>
      </c>
      <c r="P546" s="37">
        <f>L546*N546</f>
      </c>
      <c r="Q546" s="39">
        <v>41.26015387</v>
      </c>
      <c r="R546" s="40">
        <f>J546*Q546</f>
      </c>
      <c r="S546" s="40">
        <f>L546*Q546</f>
      </c>
      <c r="T546" s="41">
        <f>IF(J546=0,0,L546/J546)</f>
      </c>
      <c r="U546" s="42">
        <f>IFERROR(INDEX(Paletes!$C$5:$C$393,MATCH(B546,Paletes!$A$5:$A$393,0)),"SEM CADASTRO")</f>
      </c>
      <c r="V546" s="36">
        <f>IFERROR(INDEX(Paletes!$D$5:$D$393,MATCH(B546,Paletes!$A$5:$A$393,0)),0)</f>
      </c>
      <c r="W546" s="43">
        <f>IF(V546=0,0,J546/V546)</f>
      </c>
      <c r="X546" s="43">
        <f>IF(V546=0,0,MAX(M546,0)/V546)</f>
      </c>
    </row>
    <row r="547" spans="1:24" x14ac:dyDescent="0.25">
      <c r="A547" s="20" t="str">
        <f>B547&amp;"."&amp;IFERROR(MID(D547,FIND("(",D547)+1,FIND(")",D547)-FIND("(",D547)-1),"")</f>
        <v>85524.46104</v>
      </c>
      <c r="B547" s="21">
        <v>85524</v>
      </c>
      <c r="C547" s="20" t="s">
        <v>877</v>
      </c>
      <c r="D547" s="20" t="s">
        <v>878</v>
      </c>
      <c r="E547" s="20">
        <v>97858</v>
      </c>
      <c r="F547" s="20" t="s">
        <v>25</v>
      </c>
      <c r="G547" s="20" t="s">
        <v>51</v>
      </c>
      <c r="H547" s="22">
        <f>IFERROR(INDEX(Linha!$B$5:$B$788,MATCH(A547,Linha!$A$5:$A$788,0)),"NÃO CADASTRADO")</f>
      </c>
      <c r="I547" s="22">
        <f>IFERROR(INDEX(Linha!$C$5:$C$788,MATCH(A547,Linha!$A$5:$A$788,0)),"-")</f>
      </c>
      <c r="J547" s="23">
        <v>0</v>
      </c>
      <c r="K547" s="24">
        <f>IFERROR(INDEX(Linha!$D$5:$D$788,MATCH(A547,Linha!$A$5:$A$788,0))*1,0)</f>
      </c>
      <c r="L547" s="24">
        <f>SUMIFS(Reservas!$K$5:$K$3669,Reservas!$A$5:$A$3669,A547)</f>
      </c>
      <c r="M547" s="25">
        <f>J547-L547</f>
      </c>
      <c r="N547" s="26">
        <v>22.425</v>
      </c>
      <c r="O547" s="25">
        <f>J547*N547</f>
      </c>
      <c r="P547" s="25">
        <f>L547*N547</f>
      </c>
      <c r="Q547" s="27">
        <v>136.0659234</v>
      </c>
      <c r="R547" s="28">
        <f>J547*Q547</f>
      </c>
      <c r="S547" s="28">
        <f>L547*Q547</f>
      </c>
      <c r="T547" s="29">
        <f>IF(J547=0,0,L547/J547)</f>
      </c>
      <c r="U547" s="30">
        <f>IFERROR(INDEX(Paletes!$C$5:$C$393,MATCH(B547,Paletes!$A$5:$A$393,0)),"SEM CADASTRO")</f>
      </c>
      <c r="V547" s="24">
        <f>IFERROR(INDEX(Paletes!$D$5:$D$393,MATCH(B547,Paletes!$A$5:$A$393,0)),0)</f>
      </c>
      <c r="W547" s="31">
        <f>IF(V547=0,0,J547/V547)</f>
      </c>
      <c r="X547" s="31">
        <f>IF(V547=0,0,MAX(M547,0)/V547)</f>
      </c>
    </row>
    <row r="548" spans="1:24" x14ac:dyDescent="0.25">
      <c r="A548" s="32" t="str">
        <f>B548&amp;"."&amp;IFERROR(MID(D548,FIND("(",D548)+1,FIND(")",D548)-FIND("(",D548)-1),"")</f>
        <v>74202.31935</v>
      </c>
      <c r="B548" s="33">
        <v>74202</v>
      </c>
      <c r="C548" s="32" t="s">
        <v>879</v>
      </c>
      <c r="D548" s="32" t="s">
        <v>880</v>
      </c>
      <c r="E548" s="32">
        <v>59254</v>
      </c>
      <c r="F548" s="32" t="s">
        <v>24</v>
      </c>
      <c r="G548" s="32" t="s">
        <v>51</v>
      </c>
      <c r="H548" s="34">
        <f>IFERROR(INDEX(Linha!$B$5:$B$788,MATCH(A548,Linha!$A$5:$A$788,0)),"NÃO CADASTRADO")</f>
      </c>
      <c r="I548" s="34">
        <f>IFERROR(INDEX(Linha!$C$5:$C$788,MATCH(A548,Linha!$A$5:$A$788,0)),"-")</f>
      </c>
      <c r="J548" s="35">
        <v>0</v>
      </c>
      <c r="K548" s="36">
        <f>IFERROR(INDEX(Linha!$D$5:$D$788,MATCH(A548,Linha!$A$5:$A$788,0))*1,0)</f>
      </c>
      <c r="L548" s="36">
        <f>SUMIFS(Reservas!$K$5:$K$3669,Reservas!$A$5:$A$3669,A548)</f>
      </c>
      <c r="M548" s="37">
        <f>J548-L548</f>
      </c>
      <c r="N548" s="38">
        <v>20.57</v>
      </c>
      <c r="O548" s="37">
        <f>J548*N548</f>
      </c>
      <c r="P548" s="37">
        <f>L548*N548</f>
      </c>
      <c r="Q548" s="39">
        <v>83.88822229</v>
      </c>
      <c r="R548" s="40">
        <f>J548*Q548</f>
      </c>
      <c r="S548" s="40">
        <f>L548*Q548</f>
      </c>
      <c r="T548" s="41">
        <f>IF(J548=0,0,L548/J548)</f>
      </c>
      <c r="U548" s="42">
        <f>IFERROR(INDEX(Paletes!$C$5:$C$393,MATCH(B548,Paletes!$A$5:$A$393,0)),"SEM CADASTRO")</f>
      </c>
      <c r="V548" s="36">
        <f>IFERROR(INDEX(Paletes!$D$5:$D$393,MATCH(B548,Paletes!$A$5:$A$393,0)),0)</f>
      </c>
      <c r="W548" s="43">
        <f>IF(V548=0,0,J548/V548)</f>
      </c>
      <c r="X548" s="43">
        <f>IF(V548=0,0,MAX(M548,0)/V548)</f>
      </c>
    </row>
    <row r="549" spans="1:24" x14ac:dyDescent="0.25">
      <c r="A549" s="20" t="str">
        <f>B549&amp;"."&amp;IFERROR(MID(D549,FIND("(",D549)+1,FIND(")",D549)-FIND("(",D549)-1),"")</f>
        <v>74610.55686</v>
      </c>
      <c r="B549" s="21">
        <v>74610</v>
      </c>
      <c r="C549" s="20" t="s">
        <v>881</v>
      </c>
      <c r="D549" s="20" t="s">
        <v>882</v>
      </c>
      <c r="E549" s="20">
        <v>80748</v>
      </c>
      <c r="F549" s="20" t="s">
        <v>26</v>
      </c>
      <c r="G549" s="20" t="s">
        <v>51</v>
      </c>
      <c r="H549" s="22">
        <f>IFERROR(INDEX(Linha!$B$5:$B$788,MATCH(A549,Linha!$A$5:$A$788,0)),"NÃO CADASTRADO")</f>
      </c>
      <c r="I549" s="22">
        <f>IFERROR(INDEX(Linha!$C$5:$C$788,MATCH(A549,Linha!$A$5:$A$788,0)),"-")</f>
      </c>
      <c r="J549" s="23">
        <v>0</v>
      </c>
      <c r="K549" s="24">
        <f>IFERROR(INDEX(Linha!$D$5:$D$788,MATCH(A549,Linha!$A$5:$A$788,0))*1,0)</f>
      </c>
      <c r="L549" s="24">
        <f>SUMIFS(Reservas!$K$5:$K$3669,Reservas!$A$5:$A$3669,A549)</f>
      </c>
      <c r="M549" s="25">
        <f>J549-L549</f>
      </c>
      <c r="N549" s="26">
        <v>43.68</v>
      </c>
      <c r="O549" s="25">
        <f>J549*N549</f>
      </c>
      <c r="P549" s="25">
        <f>L549*N549</f>
      </c>
      <c r="Q549" s="27">
        <v>136.40798856</v>
      </c>
      <c r="R549" s="28">
        <f>J549*Q549</f>
      </c>
      <c r="S549" s="28">
        <f>L549*Q549</f>
      </c>
      <c r="T549" s="29">
        <f>IF(J549=0,0,L549/J549)</f>
      </c>
      <c r="U549" s="30">
        <f>IFERROR(INDEX(Paletes!$C$5:$C$393,MATCH(B549,Paletes!$A$5:$A$393,0)),"SEM CADASTRO")</f>
      </c>
      <c r="V549" s="24">
        <f>IFERROR(INDEX(Paletes!$D$5:$D$393,MATCH(B549,Paletes!$A$5:$A$393,0)),0)</f>
      </c>
      <c r="W549" s="31">
        <f>IF(V549=0,0,J549/V549)</f>
      </c>
      <c r="X549" s="31">
        <f>IF(V549=0,0,MAX(M549,0)/V549)</f>
      </c>
    </row>
    <row r="550" spans="1:24" x14ac:dyDescent="0.25">
      <c r="A550" s="32" t="str">
        <f>B550&amp;"."&amp;IFERROR(MID(D550,FIND("(",D550)+1,FIND(")",D550)-FIND("(",D550)-1),"")</f>
        <v>72816.15977</v>
      </c>
      <c r="B550" s="33">
        <v>72816</v>
      </c>
      <c r="C550" s="32" t="s">
        <v>883</v>
      </c>
      <c r="D550" s="32" t="s">
        <v>884</v>
      </c>
      <c r="E550" s="32">
        <v>81597</v>
      </c>
      <c r="F550" s="32" t="s">
        <v>24</v>
      </c>
      <c r="G550" s="32" t="s">
        <v>51</v>
      </c>
      <c r="H550" s="34">
        <f>IFERROR(INDEX(Linha!$B$5:$B$788,MATCH(A550,Linha!$A$5:$A$788,0)),"NÃO CADASTRADO")</f>
      </c>
      <c r="I550" s="34">
        <f>IFERROR(INDEX(Linha!$C$5:$C$788,MATCH(A550,Linha!$A$5:$A$788,0)),"-")</f>
      </c>
      <c r="J550" s="35">
        <v>6</v>
      </c>
      <c r="K550" s="36">
        <f>IFERROR(INDEX(Linha!$D$5:$D$788,MATCH(A550,Linha!$A$5:$A$788,0))*1,0)</f>
      </c>
      <c r="L550" s="36">
        <f>SUMIFS(Reservas!$K$5:$K$3669,Reservas!$A$5:$A$3669,A550)</f>
      </c>
      <c r="M550" s="37">
        <f>J550-L550</f>
      </c>
      <c r="N550" s="38">
        <v>45.825</v>
      </c>
      <c r="O550" s="37">
        <f>J550*N550</f>
      </c>
      <c r="P550" s="37">
        <f>L550*N550</f>
      </c>
      <c r="Q550" s="39">
        <v>190.56243827</v>
      </c>
      <c r="R550" s="40">
        <f>J550*Q550</f>
      </c>
      <c r="S550" s="40">
        <f>L550*Q550</f>
      </c>
      <c r="T550" s="41">
        <f>IF(J550=0,0,L550/J550)</f>
      </c>
      <c r="U550" s="42">
        <f>IFERROR(INDEX(Paletes!$C$5:$C$393,MATCH(B550,Paletes!$A$5:$A$393,0)),"SEM CADASTRO")</f>
      </c>
      <c r="V550" s="36">
        <f>IFERROR(INDEX(Paletes!$D$5:$D$393,MATCH(B550,Paletes!$A$5:$A$393,0)),0)</f>
      </c>
      <c r="W550" s="43">
        <f>IF(V550=0,0,J550/V550)</f>
      </c>
      <c r="X550" s="43">
        <f>IF(V550=0,0,MAX(M550,0)/V550)</f>
      </c>
    </row>
    <row r="551" spans="1:24" x14ac:dyDescent="0.25">
      <c r="A551" s="20" t="str">
        <f>B551&amp;"."&amp;IFERROR(MID(D551,FIND("(",D551)+1,FIND(")",D551)-FIND("(",D551)-1),"")</f>
        <v>217.16140</v>
      </c>
      <c r="B551" s="21">
        <v>217</v>
      </c>
      <c r="C551" s="20" t="s">
        <v>132</v>
      </c>
      <c r="D551" s="20" t="s">
        <v>885</v>
      </c>
      <c r="E551" s="20">
        <v>32317</v>
      </c>
      <c r="F551" s="20" t="s">
        <v>25</v>
      </c>
      <c r="G551" s="20" t="s">
        <v>51</v>
      </c>
      <c r="H551" s="22">
        <f>IFERROR(INDEX(Linha!$B$5:$B$788,MATCH(A551,Linha!$A$5:$A$788,0)),"NÃO CADASTRADO")</f>
      </c>
      <c r="I551" s="22">
        <f>IFERROR(INDEX(Linha!$C$5:$C$788,MATCH(A551,Linha!$A$5:$A$788,0)),"-")</f>
      </c>
      <c r="J551" s="23">
        <v>2058</v>
      </c>
      <c r="K551" s="24">
        <f>IFERROR(INDEX(Linha!$D$5:$D$788,MATCH(A551,Linha!$A$5:$A$788,0))*1,0)</f>
      </c>
      <c r="L551" s="24">
        <f>SUMIFS(Reservas!$K$5:$K$3669,Reservas!$A$5:$A$3669,A551)</f>
      </c>
      <c r="M551" s="25">
        <f>J551-L551</f>
      </c>
      <c r="N551" s="26">
        <v>11.51</v>
      </c>
      <c r="O551" s="25">
        <f>J551*N551</f>
      </c>
      <c r="P551" s="25">
        <f>L551*N551</f>
      </c>
      <c r="Q551" s="27">
        <v>63.68613584</v>
      </c>
      <c r="R551" s="28">
        <f>J551*Q551</f>
      </c>
      <c r="S551" s="28">
        <f>L551*Q551</f>
      </c>
      <c r="T551" s="29">
        <f>IF(J551=0,0,L551/J551)</f>
      </c>
      <c r="U551" s="30">
        <f>IFERROR(INDEX(Paletes!$C$5:$C$393,MATCH(B551,Paletes!$A$5:$A$393,0)),"SEM CADASTRO")</f>
      </c>
      <c r="V551" s="24">
        <f>IFERROR(INDEX(Paletes!$D$5:$D$393,MATCH(B551,Paletes!$A$5:$A$393,0)),0)</f>
      </c>
      <c r="W551" s="31">
        <f>IF(V551=0,0,J551/V551)</f>
      </c>
      <c r="X551" s="31">
        <f>IF(V551=0,0,MAX(M551,0)/V551)</f>
      </c>
    </row>
    <row r="552" spans="1:24" x14ac:dyDescent="0.25">
      <c r="A552" s="32" t="str">
        <f>B552&amp;"."&amp;IFERROR(MID(D552,FIND("(",D552)+1,FIND(")",D552)-FIND("(",D552)-1),"")</f>
        <v>85553.46148</v>
      </c>
      <c r="B552" s="33">
        <v>85553</v>
      </c>
      <c r="C552" s="32" t="s">
        <v>590</v>
      </c>
      <c r="D552" s="32" t="s">
        <v>886</v>
      </c>
      <c r="E552" s="32">
        <v>98502</v>
      </c>
      <c r="F552" s="32" t="s">
        <v>25</v>
      </c>
      <c r="G552" s="32" t="s">
        <v>51</v>
      </c>
      <c r="H552" s="34">
        <f>IFERROR(INDEX(Linha!$B$5:$B$788,MATCH(A552,Linha!$A$5:$A$788,0)),"NÃO CADASTRADO")</f>
      </c>
      <c r="I552" s="34">
        <f>IFERROR(INDEX(Linha!$C$5:$C$788,MATCH(A552,Linha!$A$5:$A$788,0)),"-")</f>
      </c>
      <c r="J552" s="35">
        <v>6</v>
      </c>
      <c r="K552" s="36">
        <f>IFERROR(INDEX(Linha!$D$5:$D$788,MATCH(A552,Linha!$A$5:$A$788,0))*1,0)</f>
      </c>
      <c r="L552" s="36">
        <f>SUMIFS(Reservas!$K$5:$K$3669,Reservas!$A$5:$A$3669,A552)</f>
      </c>
      <c r="M552" s="37">
        <f>J552-L552</f>
      </c>
      <c r="N552" s="38">
        <v>37.196</v>
      </c>
      <c r="O552" s="37">
        <f>J552*N552</f>
      </c>
      <c r="P552" s="37">
        <f>L552*N552</f>
      </c>
      <c r="Q552" s="39">
        <v>205.11256424</v>
      </c>
      <c r="R552" s="40">
        <f>J552*Q552</f>
      </c>
      <c r="S552" s="40">
        <f>L552*Q552</f>
      </c>
      <c r="T552" s="41">
        <f>IF(J552=0,0,L552/J552)</f>
      </c>
      <c r="U552" s="42">
        <f>IFERROR(INDEX(Paletes!$C$5:$C$393,MATCH(B552,Paletes!$A$5:$A$393,0)),"SEM CADASTRO")</f>
      </c>
      <c r="V552" s="36">
        <f>IFERROR(INDEX(Paletes!$D$5:$D$393,MATCH(B552,Paletes!$A$5:$A$393,0)),0)</f>
      </c>
      <c r="W552" s="43">
        <f>IF(V552=0,0,J552/V552)</f>
      </c>
      <c r="X552" s="43">
        <f>IF(V552=0,0,MAX(M552,0)/V552)</f>
      </c>
    </row>
    <row r="553" spans="1:24" x14ac:dyDescent="0.25">
      <c r="A553" s="20" t="str">
        <f>B553&amp;"."&amp;IFERROR(MID(D553,FIND("(",D553)+1,FIND(")",D553)-FIND("(",D553)-1),"")</f>
        <v>85594.67929</v>
      </c>
      <c r="B553" s="21">
        <v>85594</v>
      </c>
      <c r="C553" s="20" t="s">
        <v>592</v>
      </c>
      <c r="D553" s="20" t="s">
        <v>887</v>
      </c>
      <c r="E553" s="20">
        <v>99610</v>
      </c>
      <c r="F553" s="20" t="s">
        <v>25</v>
      </c>
      <c r="G553" s="20" t="s">
        <v>51</v>
      </c>
      <c r="H553" s="22">
        <f>IFERROR(INDEX(Linha!$B$5:$B$788,MATCH(A553,Linha!$A$5:$A$788,0)),"NÃO CADASTRADO")</f>
      </c>
      <c r="I553" s="22">
        <f>IFERROR(INDEX(Linha!$C$5:$C$788,MATCH(A553,Linha!$A$5:$A$788,0)),"-")</f>
      </c>
      <c r="J553" s="23">
        <v>389</v>
      </c>
      <c r="K553" s="24">
        <f>IFERROR(INDEX(Linha!$D$5:$D$788,MATCH(A553,Linha!$A$5:$A$788,0))*1,0)</f>
      </c>
      <c r="L553" s="24">
        <f>SUMIFS(Reservas!$K$5:$K$3669,Reservas!$A$5:$A$3669,A553)</f>
      </c>
      <c r="M553" s="25">
        <f>J553-L553</f>
      </c>
      <c r="N553" s="26">
        <v>24.375</v>
      </c>
      <c r="O553" s="25">
        <f>J553*N553</f>
      </c>
      <c r="P553" s="25">
        <f>L553*N553</f>
      </c>
      <c r="Q553" s="27">
        <v>139.10028896</v>
      </c>
      <c r="R553" s="28">
        <f>J553*Q553</f>
      </c>
      <c r="S553" s="28">
        <f>L553*Q553</f>
      </c>
      <c r="T553" s="29">
        <f>IF(J553=0,0,L553/J553)</f>
      </c>
      <c r="U553" s="30">
        <f>IFERROR(INDEX(Paletes!$C$5:$C$393,MATCH(B553,Paletes!$A$5:$A$393,0)),"SEM CADASTRO")</f>
      </c>
      <c r="V553" s="24">
        <f>IFERROR(INDEX(Paletes!$D$5:$D$393,MATCH(B553,Paletes!$A$5:$A$393,0)),0)</f>
      </c>
      <c r="W553" s="31">
        <f>IF(V553=0,0,J553/V553)</f>
      </c>
      <c r="X553" s="31">
        <f>IF(V553=0,0,MAX(M553,0)/V553)</f>
      </c>
    </row>
    <row r="554" spans="1:24" x14ac:dyDescent="0.25">
      <c r="A554" s="32" t="str">
        <f>B554&amp;"."&amp;IFERROR(MID(D554,FIND("(",D554)+1,FIND(")",D554)-FIND("(",D554)-1),"")</f>
        <v>86332.70257</v>
      </c>
      <c r="B554" s="33">
        <v>86332</v>
      </c>
      <c r="C554" s="32" t="s">
        <v>888</v>
      </c>
      <c r="D554" s="32" t="s">
        <v>889</v>
      </c>
      <c r="E554" s="32">
        <v>99778</v>
      </c>
      <c r="F554" s="32" t="s">
        <v>26</v>
      </c>
      <c r="G554" s="32" t="s">
        <v>51</v>
      </c>
      <c r="H554" s="34">
        <f>IFERROR(INDEX(Linha!$B$5:$B$788,MATCH(A554,Linha!$A$5:$A$788,0)),"NÃO CADASTRADO")</f>
      </c>
      <c r="I554" s="34">
        <f>IFERROR(INDEX(Linha!$C$5:$C$788,MATCH(A554,Linha!$A$5:$A$788,0)),"-")</f>
      </c>
      <c r="J554" s="35">
        <v>182</v>
      </c>
      <c r="K554" s="36">
        <f>IFERROR(INDEX(Linha!$D$5:$D$788,MATCH(A554,Linha!$A$5:$A$788,0))*1,0)</f>
      </c>
      <c r="L554" s="36">
        <f>SUMIFS(Reservas!$K$5:$K$3669,Reservas!$A$5:$A$3669,A554)</f>
      </c>
      <c r="M554" s="37">
        <f>J554-L554</f>
      </c>
      <c r="N554" s="38">
        <v>47.336</v>
      </c>
      <c r="O554" s="37">
        <f>J554*N554</f>
      </c>
      <c r="P554" s="37">
        <f>L554*N554</f>
      </c>
      <c r="Q554" s="39">
        <v>259.95368227</v>
      </c>
      <c r="R554" s="40">
        <f>J554*Q554</f>
      </c>
      <c r="S554" s="40">
        <f>L554*Q554</f>
      </c>
      <c r="T554" s="41">
        <f>IF(J554=0,0,L554/J554)</f>
      </c>
      <c r="U554" s="42">
        <f>IFERROR(INDEX(Paletes!$C$5:$C$393,MATCH(B554,Paletes!$A$5:$A$393,0)),"SEM CADASTRO")</f>
      </c>
      <c r="V554" s="36">
        <f>IFERROR(INDEX(Paletes!$D$5:$D$393,MATCH(B554,Paletes!$A$5:$A$393,0)),0)</f>
      </c>
      <c r="W554" s="43">
        <f>IF(V554=0,0,J554/V554)</f>
      </c>
      <c r="X554" s="43">
        <f>IF(V554=0,0,MAX(M554,0)/V554)</f>
      </c>
    </row>
    <row r="555" spans="1:24" x14ac:dyDescent="0.25">
      <c r="A555" s="20" t="str">
        <f>B555&amp;"."&amp;IFERROR(MID(D555,FIND("(",D555)+1,FIND(")",D555)-FIND("(",D555)-1),"")</f>
        <v>86373.70254</v>
      </c>
      <c r="B555" s="21">
        <v>86373</v>
      </c>
      <c r="C555" s="20" t="s">
        <v>890</v>
      </c>
      <c r="D555" s="20" t="s">
        <v>891</v>
      </c>
      <c r="E555" s="20">
        <v>99779</v>
      </c>
      <c r="F555" s="20" t="s">
        <v>26</v>
      </c>
      <c r="G555" s="20" t="s">
        <v>51</v>
      </c>
      <c r="H555" s="22">
        <f>IFERROR(INDEX(Linha!$B$5:$B$788,MATCH(A555,Linha!$A$5:$A$788,0)),"NÃO CADASTRADO")</f>
      </c>
      <c r="I555" s="22">
        <f>IFERROR(INDEX(Linha!$C$5:$C$788,MATCH(A555,Linha!$A$5:$A$788,0)),"-")</f>
      </c>
      <c r="J555" s="23">
        <v>13</v>
      </c>
      <c r="K555" s="24">
        <f>IFERROR(INDEX(Linha!$D$5:$D$788,MATCH(A555,Linha!$A$5:$A$788,0))*1,0)</f>
      </c>
      <c r="L555" s="24">
        <f>SUMIFS(Reservas!$K$5:$K$3669,Reservas!$A$5:$A$3669,A555)</f>
      </c>
      <c r="M555" s="25">
        <f>J555-L555</f>
      </c>
      <c r="N555" s="26">
        <v>63.472</v>
      </c>
      <c r="O555" s="25">
        <f>J555*N555</f>
      </c>
      <c r="P555" s="25">
        <f>L555*N555</f>
      </c>
      <c r="Q555" s="27">
        <v>215.65379588</v>
      </c>
      <c r="R555" s="28">
        <f>J555*Q555</f>
      </c>
      <c r="S555" s="28">
        <f>L555*Q555</f>
      </c>
      <c r="T555" s="29">
        <f>IF(J555=0,0,L555/J555)</f>
      </c>
      <c r="U555" s="30">
        <f>IFERROR(INDEX(Paletes!$C$5:$C$393,MATCH(B555,Paletes!$A$5:$A$393,0)),"SEM CADASTRO")</f>
      </c>
      <c r="V555" s="24">
        <f>IFERROR(INDEX(Paletes!$D$5:$D$393,MATCH(B555,Paletes!$A$5:$A$393,0)),0)</f>
      </c>
      <c r="W555" s="31">
        <f>IF(V555=0,0,J555/V555)</f>
      </c>
      <c r="X555" s="31">
        <f>IF(V555=0,0,MAX(M555,0)/V555)</f>
      </c>
    </row>
    <row r="556" spans="1:24" x14ac:dyDescent="0.25">
      <c r="A556" s="32" t="str">
        <f>B556&amp;"."&amp;IFERROR(MID(D556,FIND("(",D556)+1,FIND(")",D556)-FIND("(",D556)-1),"")</f>
        <v>85640.48879</v>
      </c>
      <c r="B556" s="33">
        <v>85640</v>
      </c>
      <c r="C556" s="32" t="s">
        <v>892</v>
      </c>
      <c r="D556" s="32" t="s">
        <v>893</v>
      </c>
      <c r="E556" s="32">
        <v>99899</v>
      </c>
      <c r="F556" s="32" t="s">
        <v>25</v>
      </c>
      <c r="G556" s="32" t="s">
        <v>51</v>
      </c>
      <c r="H556" s="34">
        <f>IFERROR(INDEX(Linha!$B$5:$B$788,MATCH(A556,Linha!$A$5:$A$788,0)),"NÃO CADASTRADO")</f>
      </c>
      <c r="I556" s="34">
        <f>IFERROR(INDEX(Linha!$C$5:$C$788,MATCH(A556,Linha!$A$5:$A$788,0)),"-")</f>
      </c>
      <c r="J556" s="35">
        <v>103</v>
      </c>
      <c r="K556" s="36">
        <f>IFERROR(INDEX(Linha!$D$5:$D$788,MATCH(A556,Linha!$A$5:$A$788,0))*1,0)</f>
      </c>
      <c r="L556" s="36">
        <f>SUMIFS(Reservas!$K$5:$K$3669,Reservas!$A$5:$A$3669,A556)</f>
      </c>
      <c r="M556" s="37">
        <f>J556-L556</f>
      </c>
      <c r="N556" s="38">
        <v>10.725</v>
      </c>
      <c r="O556" s="37">
        <f>J556*N556</f>
      </c>
      <c r="P556" s="37">
        <f>L556*N556</f>
      </c>
      <c r="Q556" s="39">
        <v>171.93231339</v>
      </c>
      <c r="R556" s="40">
        <f>J556*Q556</f>
      </c>
      <c r="S556" s="40">
        <f>L556*Q556</f>
      </c>
      <c r="T556" s="41">
        <f>IF(J556=0,0,L556/J556)</f>
      </c>
      <c r="U556" s="42">
        <f>IFERROR(INDEX(Paletes!$C$5:$C$393,MATCH(B556,Paletes!$A$5:$A$393,0)),"SEM CADASTRO")</f>
      </c>
      <c r="V556" s="36">
        <f>IFERROR(INDEX(Paletes!$D$5:$D$393,MATCH(B556,Paletes!$A$5:$A$393,0)),0)</f>
      </c>
      <c r="W556" s="43">
        <f>IF(V556=0,0,J556/V556)</f>
      </c>
      <c r="X556" s="43">
        <f>IF(V556=0,0,MAX(M556,0)/V556)</f>
      </c>
    </row>
    <row r="557" spans="1:24" x14ac:dyDescent="0.25">
      <c r="A557" s="20" t="str">
        <f>B557&amp;"."&amp;IFERROR(MID(D557,FIND("(",D557)+1,FIND(")",D557)-FIND("(",D557)-1),"")</f>
        <v>86513.79215</v>
      </c>
      <c r="B557" s="21">
        <v>86513</v>
      </c>
      <c r="C557" s="20" t="s">
        <v>894</v>
      </c>
      <c r="D557" s="20" t="s">
        <v>895</v>
      </c>
      <c r="E557" s="20">
        <v>99967</v>
      </c>
      <c r="F557" s="20" t="s">
        <v>24</v>
      </c>
      <c r="G557" s="20" t="s">
        <v>51</v>
      </c>
      <c r="H557" s="22">
        <f>IFERROR(INDEX(Linha!$B$5:$B$788,MATCH(A557,Linha!$A$5:$A$788,0)),"NÃO CADASTRADO")</f>
      </c>
      <c r="I557" s="22">
        <f>IFERROR(INDEX(Linha!$C$5:$C$788,MATCH(A557,Linha!$A$5:$A$788,0)),"-")</f>
      </c>
      <c r="J557" s="23">
        <v>21</v>
      </c>
      <c r="K557" s="24">
        <f>IFERROR(INDEX(Linha!$D$5:$D$788,MATCH(A557,Linha!$A$5:$A$788,0))*1,0)</f>
      </c>
      <c r="L557" s="24">
        <f>SUMIFS(Reservas!$K$5:$K$3669,Reservas!$A$5:$A$3669,A557)</f>
      </c>
      <c r="M557" s="25">
        <f>J557-L557</f>
      </c>
      <c r="N557" s="26">
        <v>27.3</v>
      </c>
      <c r="O557" s="25">
        <f>J557*N557</f>
      </c>
      <c r="P557" s="25">
        <f>L557*N557</f>
      </c>
      <c r="Q557" s="27">
        <v>96.70558354</v>
      </c>
      <c r="R557" s="28">
        <f>J557*Q557</f>
      </c>
      <c r="S557" s="28">
        <f>L557*Q557</f>
      </c>
      <c r="T557" s="29">
        <f>IF(J557=0,0,L557/J557)</f>
      </c>
      <c r="U557" s="30">
        <f>IFERROR(INDEX(Paletes!$C$5:$C$393,MATCH(B557,Paletes!$A$5:$A$393,0)),"SEM CADASTRO")</f>
      </c>
      <c r="V557" s="24">
        <f>IFERROR(INDEX(Paletes!$D$5:$D$393,MATCH(B557,Paletes!$A$5:$A$393,0)),0)</f>
      </c>
      <c r="W557" s="31">
        <f>IF(V557=0,0,J557/V557)</f>
      </c>
      <c r="X557" s="31">
        <f>IF(V557=0,0,MAX(M557,0)/V557)</f>
      </c>
    </row>
    <row r="558" spans="1:24" x14ac:dyDescent="0.25">
      <c r="A558" s="32" t="str">
        <f>B558&amp;"."&amp;IFERROR(MID(D558,FIND("(",D558)+1,FIND(")",D558)-FIND("(",D558)-1),"")</f>
        <v>86514.79216</v>
      </c>
      <c r="B558" s="33">
        <v>86514</v>
      </c>
      <c r="C558" s="32" t="s">
        <v>744</v>
      </c>
      <c r="D558" s="32" t="s">
        <v>896</v>
      </c>
      <c r="E558" s="32">
        <v>99968</v>
      </c>
      <c r="F558" s="32" t="s">
        <v>24</v>
      </c>
      <c r="G558" s="32" t="s">
        <v>51</v>
      </c>
      <c r="H558" s="34">
        <f>IFERROR(INDEX(Linha!$B$5:$B$788,MATCH(A558,Linha!$A$5:$A$788,0)),"NÃO CADASTRADO")</f>
      </c>
      <c r="I558" s="34">
        <f>IFERROR(INDEX(Linha!$C$5:$C$788,MATCH(A558,Linha!$A$5:$A$788,0)),"-")</f>
      </c>
      <c r="J558" s="35">
        <v>16</v>
      </c>
      <c r="K558" s="36">
        <f>IFERROR(INDEX(Linha!$D$5:$D$788,MATCH(A558,Linha!$A$5:$A$788,0))*1,0)</f>
      </c>
      <c r="L558" s="36">
        <f>SUMIFS(Reservas!$K$5:$K$3669,Reservas!$A$5:$A$3669,A558)</f>
      </c>
      <c r="M558" s="37">
        <f>J558-L558</f>
      </c>
      <c r="N558" s="38">
        <v>44.85</v>
      </c>
      <c r="O558" s="37">
        <f>J558*N558</f>
      </c>
      <c r="P558" s="37">
        <f>L558*N558</f>
      </c>
      <c r="Q558" s="39">
        <v>218.73977836</v>
      </c>
      <c r="R558" s="40">
        <f>J558*Q558</f>
      </c>
      <c r="S558" s="40">
        <f>L558*Q558</f>
      </c>
      <c r="T558" s="41">
        <f>IF(J558=0,0,L558/J558)</f>
      </c>
      <c r="U558" s="42">
        <f>IFERROR(INDEX(Paletes!$C$5:$C$393,MATCH(B558,Paletes!$A$5:$A$393,0)),"SEM CADASTRO")</f>
      </c>
      <c r="V558" s="36">
        <f>IFERROR(INDEX(Paletes!$D$5:$D$393,MATCH(B558,Paletes!$A$5:$A$393,0)),0)</f>
      </c>
      <c r="W558" s="43">
        <f>IF(V558=0,0,J558/V558)</f>
      </c>
      <c r="X558" s="43">
        <f>IF(V558=0,0,MAX(M558,0)/V558)</f>
      </c>
    </row>
    <row r="559" spans="1:24" x14ac:dyDescent="0.25">
      <c r="A559" s="20" t="str">
        <f>B559&amp;"."&amp;IFERROR(MID(D559,FIND("(",D559)+1,FIND(")",D559)-FIND("(",D559)-1),"")</f>
        <v>86327.</v>
      </c>
      <c r="B559" s="21">
        <v>86327</v>
      </c>
      <c r="C559" s="20" t="s">
        <v>897</v>
      </c>
      <c r="D559" s="20" t="s">
        <v>89</v>
      </c>
      <c r="E559" s="20">
        <v>100437</v>
      </c>
      <c r="F559" s="20" t="s">
        <v>26</v>
      </c>
      <c r="G559" s="20" t="s">
        <v>51</v>
      </c>
      <c r="H559" s="22">
        <f>IFERROR(INDEX(Linha!$B$5:$B$788,MATCH(A559,Linha!$A$5:$A$788,0)),"NÃO CADASTRADO")</f>
      </c>
      <c r="I559" s="22">
        <f>IFERROR(INDEX(Linha!$C$5:$C$788,MATCH(A559,Linha!$A$5:$A$788,0)),"-")</f>
      </c>
      <c r="J559" s="23">
        <v>292</v>
      </c>
      <c r="K559" s="24">
        <f>IFERROR(INDEX(Linha!$D$5:$D$788,MATCH(A559,Linha!$A$5:$A$788,0))*1,0)</f>
      </c>
      <c r="L559" s="24">
        <f>SUMIFS(Reservas!$K$5:$K$3669,Reservas!$A$5:$A$3669,A559)</f>
      </c>
      <c r="M559" s="25">
        <f>J559-L559</f>
      </c>
      <c r="N559" s="26">
        <v>14.186</v>
      </c>
      <c r="O559" s="25">
        <f>J559*N559</f>
      </c>
      <c r="P559" s="25">
        <f>L559*N559</f>
      </c>
      <c r="Q559" s="27">
        <v>191.60401526</v>
      </c>
      <c r="R559" s="28">
        <f>J559*Q559</f>
      </c>
      <c r="S559" s="28">
        <f>L559*Q559</f>
      </c>
      <c r="T559" s="29">
        <f>IF(J559=0,0,L559/J559)</f>
      </c>
      <c r="U559" s="30">
        <f>IFERROR(INDEX(Paletes!$C$5:$C$393,MATCH(B559,Paletes!$A$5:$A$393,0)),"SEM CADASTRO")</f>
      </c>
      <c r="V559" s="24">
        <f>IFERROR(INDEX(Paletes!$D$5:$D$393,MATCH(B559,Paletes!$A$5:$A$393,0)),0)</f>
      </c>
      <c r="W559" s="31">
        <f>IF(V559=0,0,J559/V559)</f>
      </c>
      <c r="X559" s="31">
        <f>IF(V559=0,0,MAX(M559,0)/V559)</f>
      </c>
    </row>
    <row r="560" spans="1:24" x14ac:dyDescent="0.25">
      <c r="A560" s="32" t="str">
        <f>B560&amp;"."&amp;IFERROR(MID(D560,FIND("(",D560)+1,FIND(")",D560)-FIND("(",D560)-1),"")</f>
        <v>87164.93271</v>
      </c>
      <c r="B560" s="33">
        <v>87164</v>
      </c>
      <c r="C560" s="32" t="s">
        <v>752</v>
      </c>
      <c r="D560" s="32" t="s">
        <v>898</v>
      </c>
      <c r="E560" s="32">
        <v>104989</v>
      </c>
      <c r="F560" s="32" t="s">
        <v>24</v>
      </c>
      <c r="G560" s="32" t="s">
        <v>51</v>
      </c>
      <c r="H560" s="34">
        <f>IFERROR(INDEX(Linha!$B$5:$B$788,MATCH(A560,Linha!$A$5:$A$788,0)),"NÃO CADASTRADO")</f>
      </c>
      <c r="I560" s="34">
        <f>IFERROR(INDEX(Linha!$C$5:$C$788,MATCH(A560,Linha!$A$5:$A$788,0)),"-")</f>
      </c>
      <c r="J560" s="35">
        <v>298</v>
      </c>
      <c r="K560" s="36">
        <f>IFERROR(INDEX(Linha!$D$5:$D$788,MATCH(A560,Linha!$A$5:$A$788,0))*1,0)</f>
      </c>
      <c r="L560" s="36">
        <f>SUMIFS(Reservas!$K$5:$K$3669,Reservas!$A$5:$A$3669,A560)</f>
      </c>
      <c r="M560" s="37">
        <f>J560-L560</f>
      </c>
      <c r="N560" s="38">
        <v>27.348</v>
      </c>
      <c r="O560" s="37">
        <f>J560*N560</f>
      </c>
      <c r="P560" s="37">
        <f>L560*N560</f>
      </c>
      <c r="Q560" s="39">
        <v>104.62963244</v>
      </c>
      <c r="R560" s="40">
        <f>J560*Q560</f>
      </c>
      <c r="S560" s="40">
        <f>L560*Q560</f>
      </c>
      <c r="T560" s="41">
        <f>IF(J560=0,0,L560/J560)</f>
      </c>
      <c r="U560" s="42">
        <f>IFERROR(INDEX(Paletes!$C$5:$C$393,MATCH(B560,Paletes!$A$5:$A$393,0)),"SEM CADASTRO")</f>
      </c>
      <c r="V560" s="36">
        <f>IFERROR(INDEX(Paletes!$D$5:$D$393,MATCH(B560,Paletes!$A$5:$A$393,0)),0)</f>
      </c>
      <c r="W560" s="43">
        <f>IF(V560=0,0,J560/V560)</f>
      </c>
      <c r="X560" s="43">
        <f>IF(V560=0,0,MAX(M560,0)/V560)</f>
      </c>
    </row>
    <row r="561" spans="1:24" x14ac:dyDescent="0.25">
      <c r="A561" s="20" t="str">
        <f>B561&amp;"."&amp;IFERROR(MID(D561,FIND("(",D561)+1,FIND(")",D561)-FIND("(",D561)-1),"")</f>
        <v>87376.91517</v>
      </c>
      <c r="B561" s="21">
        <v>87376</v>
      </c>
      <c r="C561" s="20" t="s">
        <v>899</v>
      </c>
      <c r="D561" s="20" t="s">
        <v>900</v>
      </c>
      <c r="E561" s="20">
        <v>104732</v>
      </c>
      <c r="F561" s="20" t="s">
        <v>24</v>
      </c>
      <c r="G561" s="20" t="s">
        <v>51</v>
      </c>
      <c r="H561" s="22">
        <f>IFERROR(INDEX(Linha!$B$5:$B$788,MATCH(A561,Linha!$A$5:$A$788,0)),"NÃO CADASTRADO")</f>
      </c>
      <c r="I561" s="22">
        <f>IFERROR(INDEX(Linha!$C$5:$C$788,MATCH(A561,Linha!$A$5:$A$788,0)),"-")</f>
      </c>
      <c r="J561" s="23">
        <v>10</v>
      </c>
      <c r="K561" s="24">
        <f>IFERROR(INDEX(Linha!$D$5:$D$788,MATCH(A561,Linha!$A$5:$A$788,0))*1,0)</f>
      </c>
      <c r="L561" s="24">
        <f>SUMIFS(Reservas!$K$5:$K$3669,Reservas!$A$5:$A$3669,A561)</f>
      </c>
      <c r="M561" s="25">
        <f>J561-L561</f>
      </c>
      <c r="N561" s="26">
        <v>14.966</v>
      </c>
      <c r="O561" s="25">
        <f>J561*N561</f>
      </c>
      <c r="P561" s="25">
        <f>L561*N561</f>
      </c>
      <c r="Q561" s="27">
        <v>64.80360276</v>
      </c>
      <c r="R561" s="28">
        <f>J561*Q561</f>
      </c>
      <c r="S561" s="28">
        <f>L561*Q561</f>
      </c>
      <c r="T561" s="29">
        <f>IF(J561=0,0,L561/J561)</f>
      </c>
      <c r="U561" s="30">
        <f>IFERROR(INDEX(Paletes!$C$5:$C$393,MATCH(B561,Paletes!$A$5:$A$393,0)),"SEM CADASTRO")</f>
      </c>
      <c r="V561" s="24">
        <f>IFERROR(INDEX(Paletes!$D$5:$D$393,MATCH(B561,Paletes!$A$5:$A$393,0)),0)</f>
      </c>
      <c r="W561" s="31">
        <f>IF(V561=0,0,J561/V561)</f>
      </c>
      <c r="X561" s="31">
        <f>IF(V561=0,0,MAX(M561,0)/V561)</f>
      </c>
    </row>
    <row r="562" spans="1:24" x14ac:dyDescent="0.25">
      <c r="A562" s="32" t="str">
        <f>B562&amp;"."&amp;IFERROR(MID(D562,FIND("(",D562)+1,FIND(")",D562)-FIND("(",D562)-1),"")</f>
        <v>87126.90727</v>
      </c>
      <c r="B562" s="33">
        <v>87126</v>
      </c>
      <c r="C562" s="32" t="s">
        <v>757</v>
      </c>
      <c r="D562" s="32" t="s">
        <v>901</v>
      </c>
      <c r="E562" s="32">
        <v>104476</v>
      </c>
      <c r="F562" s="32" t="s">
        <v>26</v>
      </c>
      <c r="G562" s="32" t="s">
        <v>51</v>
      </c>
      <c r="H562" s="34">
        <f>IFERROR(INDEX(Linha!$B$5:$B$788,MATCH(A562,Linha!$A$5:$A$788,0)),"NÃO CADASTRADO")</f>
      </c>
      <c r="I562" s="34">
        <f>IFERROR(INDEX(Linha!$C$5:$C$788,MATCH(A562,Linha!$A$5:$A$788,0)),"-")</f>
      </c>
      <c r="J562" s="35">
        <v>115</v>
      </c>
      <c r="K562" s="36">
        <f>IFERROR(INDEX(Linha!$D$5:$D$788,MATCH(A562,Linha!$A$5:$A$788,0))*1,0)</f>
      </c>
      <c r="L562" s="36">
        <f>SUMIFS(Reservas!$K$5:$K$3669,Reservas!$A$5:$A$3669,A562)</f>
      </c>
      <c r="M562" s="37">
        <f>J562-L562</f>
      </c>
      <c r="N562" s="38">
        <v>47.775</v>
      </c>
      <c r="O562" s="37">
        <f>J562*N562</f>
      </c>
      <c r="P562" s="37">
        <f>L562*N562</f>
      </c>
      <c r="Q562" s="39">
        <v>188.56397291</v>
      </c>
      <c r="R562" s="40">
        <f>J562*Q562</f>
      </c>
      <c r="S562" s="40">
        <f>L562*Q562</f>
      </c>
      <c r="T562" s="41">
        <f>IF(J562=0,0,L562/J562)</f>
      </c>
      <c r="U562" s="42">
        <f>IFERROR(INDEX(Paletes!$C$5:$C$393,MATCH(B562,Paletes!$A$5:$A$393,0)),"SEM CADASTRO")</f>
      </c>
      <c r="V562" s="36">
        <f>IFERROR(INDEX(Paletes!$D$5:$D$393,MATCH(B562,Paletes!$A$5:$A$393,0)),0)</f>
      </c>
      <c r="W562" s="43">
        <f>IF(V562=0,0,J562/V562)</f>
      </c>
      <c r="X562" s="43">
        <f>IF(V562=0,0,MAX(M562,0)/V562)</f>
      </c>
    </row>
    <row r="563" spans="1:24" x14ac:dyDescent="0.25">
      <c r="A563" s="20" t="str">
        <f>B563&amp;"."&amp;IFERROR(MID(D563,FIND("(",D563)+1,FIND(")",D563)-FIND("(",D563)-1),"")</f>
        <v>74613.55689</v>
      </c>
      <c r="B563" s="21">
        <v>74613</v>
      </c>
      <c r="C563" s="20" t="s">
        <v>299</v>
      </c>
      <c r="D563" s="20" t="s">
        <v>902</v>
      </c>
      <c r="E563" s="20">
        <v>80749</v>
      </c>
      <c r="F563" s="20" t="s">
        <v>26</v>
      </c>
      <c r="G563" s="20" t="s">
        <v>51</v>
      </c>
      <c r="H563" s="22">
        <f>IFERROR(INDEX(Linha!$B$5:$B$788,MATCH(A563,Linha!$A$5:$A$788,0)),"NÃO CADASTRADO")</f>
      </c>
      <c r="I563" s="22">
        <f>IFERROR(INDEX(Linha!$C$5:$C$788,MATCH(A563,Linha!$A$5:$A$788,0)),"-")</f>
      </c>
      <c r="J563" s="23">
        <v>0</v>
      </c>
      <c r="K563" s="24">
        <f>IFERROR(INDEX(Linha!$D$5:$D$788,MATCH(A563,Linha!$A$5:$A$788,0))*1,0)</f>
      </c>
      <c r="L563" s="24">
        <f>SUMIFS(Reservas!$K$5:$K$3669,Reservas!$A$5:$A$3669,A563)</f>
      </c>
      <c r="M563" s="25">
        <f>J563-L563</f>
      </c>
      <c r="N563" s="26">
        <v>32.662</v>
      </c>
      <c r="O563" s="25">
        <f>J563*N563</f>
      </c>
      <c r="P563" s="25">
        <f>L563*N563</f>
      </c>
      <c r="Q563" s="27">
        <v>108.56583966</v>
      </c>
      <c r="R563" s="28">
        <f>J563*Q563</f>
      </c>
      <c r="S563" s="28">
        <f>L563*Q563</f>
      </c>
      <c r="T563" s="29">
        <f>IF(J563=0,0,L563/J563)</f>
      </c>
      <c r="U563" s="30">
        <f>IFERROR(INDEX(Paletes!$C$5:$C$393,MATCH(B563,Paletes!$A$5:$A$393,0)),"SEM CADASTRO")</f>
      </c>
      <c r="V563" s="24">
        <f>IFERROR(INDEX(Paletes!$D$5:$D$393,MATCH(B563,Paletes!$A$5:$A$393,0)),0)</f>
      </c>
      <c r="W563" s="31">
        <f>IF(V563=0,0,J563/V563)</f>
      </c>
      <c r="X563" s="31">
        <f>IF(V563=0,0,MAX(M563,0)/V563)</f>
      </c>
    </row>
    <row r="564" spans="1:24" x14ac:dyDescent="0.25">
      <c r="A564" s="32" t="str">
        <f>B564&amp;"."&amp;IFERROR(MID(D564,FIND("(",D564)+1,FIND(")",D564)-FIND("(",D564)-1),"")</f>
        <v>74671.56697</v>
      </c>
      <c r="B564" s="33">
        <v>74671</v>
      </c>
      <c r="C564" s="32" t="s">
        <v>301</v>
      </c>
      <c r="D564" s="32" t="s">
        <v>903</v>
      </c>
      <c r="E564" s="32">
        <v>80735</v>
      </c>
      <c r="F564" s="32" t="s">
        <v>26</v>
      </c>
      <c r="G564" s="32" t="s">
        <v>51</v>
      </c>
      <c r="H564" s="34">
        <f>IFERROR(INDEX(Linha!$B$5:$B$788,MATCH(A564,Linha!$A$5:$A$788,0)),"NÃO CADASTRADO")</f>
      </c>
      <c r="I564" s="34">
        <f>IFERROR(INDEX(Linha!$C$5:$C$788,MATCH(A564,Linha!$A$5:$A$788,0)),"-")</f>
      </c>
      <c r="J564" s="35">
        <v>0</v>
      </c>
      <c r="K564" s="36">
        <f>IFERROR(INDEX(Linha!$D$5:$D$788,MATCH(A564,Linha!$A$5:$A$788,0))*1,0)</f>
      </c>
      <c r="L564" s="36">
        <f>SUMIFS(Reservas!$K$5:$K$3669,Reservas!$A$5:$A$3669,A564)</f>
      </c>
      <c r="M564" s="37">
        <f>J564-L564</f>
      </c>
      <c r="N564" s="38">
        <v>42.607</v>
      </c>
      <c r="O564" s="37">
        <f>J564*N564</f>
      </c>
      <c r="P564" s="37">
        <f>L564*N564</f>
      </c>
      <c r="Q564" s="39">
        <v>148.1813192</v>
      </c>
      <c r="R564" s="40">
        <f>J564*Q564</f>
      </c>
      <c r="S564" s="40">
        <f>L564*Q564</f>
      </c>
      <c r="T564" s="41">
        <f>IF(J564=0,0,L564/J564)</f>
      </c>
      <c r="U564" s="42">
        <f>IFERROR(INDEX(Paletes!$C$5:$C$393,MATCH(B564,Paletes!$A$5:$A$393,0)),"SEM CADASTRO")</f>
      </c>
      <c r="V564" s="36">
        <f>IFERROR(INDEX(Paletes!$D$5:$D$393,MATCH(B564,Paletes!$A$5:$A$393,0)),0)</f>
      </c>
      <c r="W564" s="43">
        <f>IF(V564=0,0,J564/V564)</f>
      </c>
      <c r="X564" s="43">
        <f>IF(V564=0,0,MAX(M564,0)/V564)</f>
      </c>
    </row>
    <row r="565" spans="1:24" x14ac:dyDescent="0.25">
      <c r="A565" s="20" t="str">
        <f>B565&amp;"."&amp;IFERROR(MID(D565,FIND("(",D565)+1,FIND(")",D565)-FIND("(",D565)-1),"")</f>
        <v>101.4514</v>
      </c>
      <c r="B565" s="21">
        <v>101</v>
      </c>
      <c r="C565" s="20" t="s">
        <v>305</v>
      </c>
      <c r="D565" s="20" t="s">
        <v>904</v>
      </c>
      <c r="E565" s="20">
        <v>59618</v>
      </c>
      <c r="F565" s="20" t="s">
        <v>26</v>
      </c>
      <c r="G565" s="20" t="s">
        <v>51</v>
      </c>
      <c r="H565" s="22">
        <f>IFERROR(INDEX(Linha!$B$5:$B$788,MATCH(A565,Linha!$A$5:$A$788,0)),"NÃO CADASTRADO")</f>
      </c>
      <c r="I565" s="22">
        <f>IFERROR(INDEX(Linha!$C$5:$C$788,MATCH(A565,Linha!$A$5:$A$788,0)),"-")</f>
      </c>
      <c r="J565" s="23">
        <v>811</v>
      </c>
      <c r="K565" s="24">
        <f>IFERROR(INDEX(Linha!$D$5:$D$788,MATCH(A565,Linha!$A$5:$A$788,0))*1,0)</f>
      </c>
      <c r="L565" s="24">
        <f>SUMIFS(Reservas!$K$5:$K$3669,Reservas!$A$5:$A$3669,A565)</f>
      </c>
      <c r="M565" s="25">
        <f>J565-L565</f>
      </c>
      <c r="N565" s="26">
        <v>66.787</v>
      </c>
      <c r="O565" s="25">
        <f>J565*N565</f>
      </c>
      <c r="P565" s="25">
        <f>L565*N565</f>
      </c>
      <c r="Q565" s="27">
        <v>213.28963237</v>
      </c>
      <c r="R565" s="28">
        <f>J565*Q565</f>
      </c>
      <c r="S565" s="28">
        <f>L565*Q565</f>
      </c>
      <c r="T565" s="29">
        <f>IF(J565=0,0,L565/J565)</f>
      </c>
      <c r="U565" s="30">
        <f>IFERROR(INDEX(Paletes!$C$5:$C$393,MATCH(B565,Paletes!$A$5:$A$393,0)),"SEM CADASTRO")</f>
      </c>
      <c r="V565" s="24">
        <f>IFERROR(INDEX(Paletes!$D$5:$D$393,MATCH(B565,Paletes!$A$5:$A$393,0)),0)</f>
      </c>
      <c r="W565" s="31">
        <f>IF(V565=0,0,J565/V565)</f>
      </c>
      <c r="X565" s="31">
        <f>IF(V565=0,0,MAX(M565,0)/V565)</f>
      </c>
    </row>
    <row r="566" spans="1:24" x14ac:dyDescent="0.25">
      <c r="A566" s="32" t="str">
        <f>B566&amp;"."&amp;IFERROR(MID(D566,FIND("(",D566)+1,FIND(")",D566)-FIND("(",D566)-1),"")</f>
        <v>2084.12968</v>
      </c>
      <c r="B566" s="33">
        <v>2084</v>
      </c>
      <c r="C566" s="32" t="s">
        <v>905</v>
      </c>
      <c r="D566" s="32" t="s">
        <v>906</v>
      </c>
      <c r="E566" s="32">
        <v>59958</v>
      </c>
      <c r="F566" s="32" t="s">
        <v>26</v>
      </c>
      <c r="G566" s="32" t="s">
        <v>51</v>
      </c>
      <c r="H566" s="34">
        <f>IFERROR(INDEX(Linha!$B$5:$B$788,MATCH(A566,Linha!$A$5:$A$788,0)),"NÃO CADASTRADO")</f>
      </c>
      <c r="I566" s="34">
        <f>IFERROR(INDEX(Linha!$C$5:$C$788,MATCH(A566,Linha!$A$5:$A$788,0)),"-")</f>
      </c>
      <c r="J566" s="35">
        <v>184</v>
      </c>
      <c r="K566" s="36">
        <f>IFERROR(INDEX(Linha!$D$5:$D$788,MATCH(A566,Linha!$A$5:$A$788,0))*1,0)</f>
      </c>
      <c r="L566" s="36">
        <f>SUMIFS(Reservas!$K$5:$K$3669,Reservas!$A$5:$A$3669,A566)</f>
      </c>
      <c r="M566" s="37">
        <f>J566-L566</f>
      </c>
      <c r="N566" s="38">
        <v>34.905</v>
      </c>
      <c r="O566" s="37">
        <f>J566*N566</f>
      </c>
      <c r="P566" s="37">
        <f>L566*N566</f>
      </c>
      <c r="Q566" s="39">
        <v>162.36417126</v>
      </c>
      <c r="R566" s="40">
        <f>J566*Q566</f>
      </c>
      <c r="S566" s="40">
        <f>L566*Q566</f>
      </c>
      <c r="T566" s="41">
        <f>IF(J566=0,0,L566/J566)</f>
      </c>
      <c r="U566" s="42">
        <f>IFERROR(INDEX(Paletes!$C$5:$C$393,MATCH(B566,Paletes!$A$5:$A$393,0)),"SEM CADASTRO")</f>
      </c>
      <c r="V566" s="36">
        <f>IFERROR(INDEX(Paletes!$D$5:$D$393,MATCH(B566,Paletes!$A$5:$A$393,0)),0)</f>
      </c>
      <c r="W566" s="43">
        <f>IF(V566=0,0,J566/V566)</f>
      </c>
      <c r="X566" s="43">
        <f>IF(V566=0,0,MAX(M566,0)/V566)</f>
      </c>
    </row>
    <row r="567" spans="1:24" x14ac:dyDescent="0.25">
      <c r="A567" s="20" t="str">
        <f>B567&amp;"."&amp;IFERROR(MID(D567,FIND("(",D567)+1,FIND(")",D567)-FIND("(",D567)-1),"")</f>
        <v>73534.46235</v>
      </c>
      <c r="B567" s="21">
        <v>73534</v>
      </c>
      <c r="C567" s="20" t="s">
        <v>311</v>
      </c>
      <c r="D567" s="20" t="s">
        <v>907</v>
      </c>
      <c r="E567" s="20">
        <v>65348</v>
      </c>
      <c r="F567" s="20" t="s">
        <v>25</v>
      </c>
      <c r="G567" s="20" t="s">
        <v>51</v>
      </c>
      <c r="H567" s="22">
        <f>IFERROR(INDEX(Linha!$B$5:$B$788,MATCH(A567,Linha!$A$5:$A$788,0)),"NÃO CADASTRADO")</f>
      </c>
      <c r="I567" s="22">
        <f>IFERROR(INDEX(Linha!$C$5:$C$788,MATCH(A567,Linha!$A$5:$A$788,0)),"-")</f>
      </c>
      <c r="J567" s="23">
        <v>5</v>
      </c>
      <c r="K567" s="24">
        <f>IFERROR(INDEX(Linha!$D$5:$D$788,MATCH(A567,Linha!$A$5:$A$788,0))*1,0)</f>
      </c>
      <c r="L567" s="24">
        <f>SUMIFS(Reservas!$K$5:$K$3669,Reservas!$A$5:$A$3669,A567)</f>
      </c>
      <c r="M567" s="25">
        <f>J567-L567</f>
      </c>
      <c r="N567" s="26">
        <v>11.358</v>
      </c>
      <c r="O567" s="25">
        <f>J567*N567</f>
      </c>
      <c r="P567" s="25">
        <f>L567*N567</f>
      </c>
      <c r="Q567" s="27">
        <v>106.77392042</v>
      </c>
      <c r="R567" s="28">
        <f>J567*Q567</f>
      </c>
      <c r="S567" s="28">
        <f>L567*Q567</f>
      </c>
      <c r="T567" s="29">
        <f>IF(J567=0,0,L567/J567)</f>
      </c>
      <c r="U567" s="30">
        <f>IFERROR(INDEX(Paletes!$C$5:$C$393,MATCH(B567,Paletes!$A$5:$A$393,0)),"SEM CADASTRO")</f>
      </c>
      <c r="V567" s="24">
        <f>IFERROR(INDEX(Paletes!$D$5:$D$393,MATCH(B567,Paletes!$A$5:$A$393,0)),0)</f>
      </c>
      <c r="W567" s="31">
        <f>IF(V567=0,0,J567/V567)</f>
      </c>
      <c r="X567" s="31">
        <f>IF(V567=0,0,MAX(M567,0)/V567)</f>
      </c>
    </row>
    <row r="568" spans="1:24" x14ac:dyDescent="0.25">
      <c r="A568" s="32" t="str">
        <f>B568&amp;"."&amp;IFERROR(MID(D568,FIND("(",D568)+1,FIND(")",D568)-FIND("(",D568)-1),"")</f>
        <v>73174.15551</v>
      </c>
      <c r="B568" s="33">
        <v>73174</v>
      </c>
      <c r="C568" s="32" t="s">
        <v>767</v>
      </c>
      <c r="D568" s="32" t="s">
        <v>908</v>
      </c>
      <c r="E568" s="32">
        <v>67924</v>
      </c>
      <c r="F568" s="32" t="s">
        <v>24</v>
      </c>
      <c r="G568" s="32" t="s">
        <v>51</v>
      </c>
      <c r="H568" s="34">
        <f>IFERROR(INDEX(Linha!$B$5:$B$788,MATCH(A568,Linha!$A$5:$A$788,0)),"NÃO CADASTRADO")</f>
      </c>
      <c r="I568" s="34">
        <f>IFERROR(INDEX(Linha!$C$5:$C$788,MATCH(A568,Linha!$A$5:$A$788,0)),"-")</f>
      </c>
      <c r="J568" s="35">
        <v>59</v>
      </c>
      <c r="K568" s="36">
        <f>IFERROR(INDEX(Linha!$D$5:$D$788,MATCH(A568,Linha!$A$5:$A$788,0))*1,0)</f>
      </c>
      <c r="L568" s="36">
        <f>SUMIFS(Reservas!$K$5:$K$3669,Reservas!$A$5:$A$3669,A568)</f>
      </c>
      <c r="M568" s="37">
        <f>J568-L568</f>
      </c>
      <c r="N568" s="38">
        <v>18.52</v>
      </c>
      <c r="O568" s="37">
        <f>J568*N568</f>
      </c>
      <c r="P568" s="37">
        <f>L568*N568</f>
      </c>
      <c r="Q568" s="39">
        <v>72.9478417</v>
      </c>
      <c r="R568" s="40">
        <f>J568*Q568</f>
      </c>
      <c r="S568" s="40">
        <f>L568*Q568</f>
      </c>
      <c r="T568" s="41">
        <f>IF(J568=0,0,L568/J568)</f>
      </c>
      <c r="U568" s="42">
        <f>IFERROR(INDEX(Paletes!$C$5:$C$393,MATCH(B568,Paletes!$A$5:$A$393,0)),"SEM CADASTRO")</f>
      </c>
      <c r="V568" s="36">
        <f>IFERROR(INDEX(Paletes!$D$5:$D$393,MATCH(B568,Paletes!$A$5:$A$393,0)),0)</f>
      </c>
      <c r="W568" s="43">
        <f>IF(V568=0,0,J568/V568)</f>
      </c>
      <c r="X568" s="43">
        <f>IF(V568=0,0,MAX(M568,0)/V568)</f>
      </c>
    </row>
    <row r="569" spans="1:24" x14ac:dyDescent="0.25">
      <c r="A569" s="20" t="str">
        <f>B569&amp;"."&amp;IFERROR(MID(D569,FIND("(",D569)+1,FIND(")",D569)-FIND("(",D569)-1),"")</f>
        <v>73385.16373</v>
      </c>
      <c r="B569" s="21">
        <v>73385</v>
      </c>
      <c r="C569" s="20" t="s">
        <v>475</v>
      </c>
      <c r="D569" s="20" t="s">
        <v>909</v>
      </c>
      <c r="E569" s="20">
        <v>72609</v>
      </c>
      <c r="F569" s="20" t="s">
        <v>25</v>
      </c>
      <c r="G569" s="20" t="s">
        <v>51</v>
      </c>
      <c r="H569" s="22">
        <f>IFERROR(INDEX(Linha!$B$5:$B$788,MATCH(A569,Linha!$A$5:$A$788,0)),"NÃO CADASTRADO")</f>
      </c>
      <c r="I569" s="22">
        <f>IFERROR(INDEX(Linha!$C$5:$C$788,MATCH(A569,Linha!$A$5:$A$788,0)),"-")</f>
      </c>
      <c r="J569" s="23">
        <v>0</v>
      </c>
      <c r="K569" s="24">
        <f>IFERROR(INDEX(Linha!$D$5:$D$788,MATCH(A569,Linha!$A$5:$A$788,0))*1,0)</f>
      </c>
      <c r="L569" s="24">
        <f>SUMIFS(Reservas!$K$5:$K$3669,Reservas!$A$5:$A$3669,A569)</f>
      </c>
      <c r="M569" s="25">
        <f>J569-L569</f>
      </c>
      <c r="N569" s="26">
        <v>12.337</v>
      </c>
      <c r="O569" s="25">
        <f>J569*N569</f>
      </c>
      <c r="P569" s="25">
        <f>L569*N569</f>
      </c>
      <c r="Q569" s="27">
        <v>72.20425787</v>
      </c>
      <c r="R569" s="28">
        <f>J569*Q569</f>
      </c>
      <c r="S569" s="28">
        <f>L569*Q569</f>
      </c>
      <c r="T569" s="29">
        <f>IF(J569=0,0,L569/J569)</f>
      </c>
      <c r="U569" s="30">
        <f>IFERROR(INDEX(Paletes!$C$5:$C$393,MATCH(B569,Paletes!$A$5:$A$393,0)),"SEM CADASTRO")</f>
      </c>
      <c r="V569" s="24">
        <f>IFERROR(INDEX(Paletes!$D$5:$D$393,MATCH(B569,Paletes!$A$5:$A$393,0)),0)</f>
      </c>
      <c r="W569" s="31">
        <f>IF(V569=0,0,J569/V569)</f>
      </c>
      <c r="X569" s="31">
        <f>IF(V569=0,0,MAX(M569,0)/V569)</f>
      </c>
    </row>
    <row r="570" spans="1:24" x14ac:dyDescent="0.25">
      <c r="A570" s="32" t="str">
        <f>B570&amp;"."&amp;IFERROR(MID(D570,FIND("(",D570)+1,FIND(")",D570)-FIND("(",D570)-1),"")</f>
        <v>73347.15806</v>
      </c>
      <c r="B570" s="33">
        <v>73347</v>
      </c>
      <c r="C570" s="32" t="s">
        <v>910</v>
      </c>
      <c r="D570" s="32" t="s">
        <v>911</v>
      </c>
      <c r="E570" s="32">
        <v>72682</v>
      </c>
      <c r="F570" s="32" t="s">
        <v>25</v>
      </c>
      <c r="G570" s="32" t="s">
        <v>51</v>
      </c>
      <c r="H570" s="34">
        <f>IFERROR(INDEX(Linha!$B$5:$B$788,MATCH(A570,Linha!$A$5:$A$788,0)),"NÃO CADASTRADO")</f>
      </c>
      <c r="I570" s="34">
        <f>IFERROR(INDEX(Linha!$C$5:$C$788,MATCH(A570,Linha!$A$5:$A$788,0)),"-")</f>
      </c>
      <c r="J570" s="35">
        <v>50</v>
      </c>
      <c r="K570" s="36">
        <f>IFERROR(INDEX(Linha!$D$5:$D$788,MATCH(A570,Linha!$A$5:$A$788,0))*1,0)</f>
      </c>
      <c r="L570" s="36">
        <f>SUMIFS(Reservas!$K$5:$K$3669,Reservas!$A$5:$A$3669,A570)</f>
      </c>
      <c r="M570" s="37">
        <f>J570-L570</f>
      </c>
      <c r="N570" s="38">
        <v>12.675</v>
      </c>
      <c r="O570" s="37">
        <f>J570*N570</f>
      </c>
      <c r="P570" s="37">
        <f>L570*N570</f>
      </c>
      <c r="Q570" s="39">
        <v>66.60639148</v>
      </c>
      <c r="R570" s="40">
        <f>J570*Q570</f>
      </c>
      <c r="S570" s="40">
        <f>L570*Q570</f>
      </c>
      <c r="T570" s="41">
        <f>IF(J570=0,0,L570/J570)</f>
      </c>
      <c r="U570" s="42">
        <f>IFERROR(INDEX(Paletes!$C$5:$C$393,MATCH(B570,Paletes!$A$5:$A$393,0)),"SEM CADASTRO")</f>
      </c>
      <c r="V570" s="36">
        <f>IFERROR(INDEX(Paletes!$D$5:$D$393,MATCH(B570,Paletes!$A$5:$A$393,0)),0)</f>
      </c>
      <c r="W570" s="43">
        <f>IF(V570=0,0,J570/V570)</f>
      </c>
      <c r="X570" s="43">
        <f>IF(V570=0,0,MAX(M570,0)/V570)</f>
      </c>
    </row>
    <row r="571" spans="1:24" x14ac:dyDescent="0.25">
      <c r="A571" s="20" t="str">
        <f>B571&amp;"."&amp;IFERROR(MID(D571,FIND("(",D571)+1,FIND(")",D571)-FIND("(",D571)-1),"")</f>
        <v>73371.16253</v>
      </c>
      <c r="B571" s="21">
        <v>73371</v>
      </c>
      <c r="C571" s="20" t="s">
        <v>317</v>
      </c>
      <c r="D571" s="20" t="s">
        <v>912</v>
      </c>
      <c r="E571" s="20">
        <v>72717</v>
      </c>
      <c r="F571" s="20" t="s">
        <v>25</v>
      </c>
      <c r="G571" s="20" t="s">
        <v>51</v>
      </c>
      <c r="H571" s="22">
        <f>IFERROR(INDEX(Linha!$B$5:$B$788,MATCH(A571,Linha!$A$5:$A$788,0)),"NÃO CADASTRADO")</f>
      </c>
      <c r="I571" s="22">
        <f>IFERROR(INDEX(Linha!$C$5:$C$788,MATCH(A571,Linha!$A$5:$A$788,0)),"-")</f>
      </c>
      <c r="J571" s="23">
        <v>626</v>
      </c>
      <c r="K571" s="24">
        <f>IFERROR(INDEX(Linha!$D$5:$D$788,MATCH(A571,Linha!$A$5:$A$788,0))*1,0)</f>
      </c>
      <c r="L571" s="24">
        <f>SUMIFS(Reservas!$K$5:$K$3669,Reservas!$A$5:$A$3669,A571)</f>
      </c>
      <c r="M571" s="25">
        <f>J571-L571</f>
      </c>
      <c r="N571" s="26">
        <v>17.696</v>
      </c>
      <c r="O571" s="25">
        <f>J571*N571</f>
      </c>
      <c r="P571" s="25">
        <f>L571*N571</f>
      </c>
      <c r="Q571" s="27">
        <v>71.78366766</v>
      </c>
      <c r="R571" s="28">
        <f>J571*Q571</f>
      </c>
      <c r="S571" s="28">
        <f>L571*Q571</f>
      </c>
      <c r="T571" s="29">
        <f>IF(J571=0,0,L571/J571)</f>
      </c>
      <c r="U571" s="30">
        <f>IFERROR(INDEX(Paletes!$C$5:$C$393,MATCH(B571,Paletes!$A$5:$A$393,0)),"SEM CADASTRO")</f>
      </c>
      <c r="V571" s="24">
        <f>IFERROR(INDEX(Paletes!$D$5:$D$393,MATCH(B571,Paletes!$A$5:$A$393,0)),0)</f>
      </c>
      <c r="W571" s="31">
        <f>IF(V571=0,0,J571/V571)</f>
      </c>
      <c r="X571" s="31">
        <f>IF(V571=0,0,MAX(M571,0)/V571)</f>
      </c>
    </row>
    <row r="572" spans="1:24" x14ac:dyDescent="0.25">
      <c r="A572" s="32" t="str">
        <f>B572&amp;"."&amp;IFERROR(MID(D572,FIND("(",D572)+1,FIND(")",D572)-FIND("(",D572)-1),"")</f>
        <v>2107.12378</v>
      </c>
      <c r="B572" s="33">
        <v>2107</v>
      </c>
      <c r="C572" s="32" t="s">
        <v>913</v>
      </c>
      <c r="D572" s="32" t="s">
        <v>914</v>
      </c>
      <c r="E572" s="32">
        <v>72913</v>
      </c>
      <c r="F572" s="32" t="s">
        <v>26</v>
      </c>
      <c r="G572" s="32" t="s">
        <v>51</v>
      </c>
      <c r="H572" s="34">
        <f>IFERROR(INDEX(Linha!$B$5:$B$788,MATCH(A572,Linha!$A$5:$A$788,0)),"NÃO CADASTRADO")</f>
      </c>
      <c r="I572" s="34">
        <f>IFERROR(INDEX(Linha!$C$5:$C$788,MATCH(A572,Linha!$A$5:$A$788,0)),"-")</f>
      </c>
      <c r="J572" s="35">
        <v>14</v>
      </c>
      <c r="K572" s="36">
        <f>IFERROR(INDEX(Linha!$D$5:$D$788,MATCH(A572,Linha!$A$5:$A$788,0))*1,0)</f>
      </c>
      <c r="L572" s="36">
        <f>SUMIFS(Reservas!$K$5:$K$3669,Reservas!$A$5:$A$3669,A572)</f>
      </c>
      <c r="M572" s="37">
        <f>J572-L572</f>
      </c>
      <c r="N572" s="38">
        <v>50.992</v>
      </c>
      <c r="O572" s="37">
        <f>J572*N572</f>
      </c>
      <c r="P572" s="37">
        <f>L572*N572</f>
      </c>
      <c r="Q572" s="39">
        <v>147.24930252</v>
      </c>
      <c r="R572" s="40">
        <f>J572*Q572</f>
      </c>
      <c r="S572" s="40">
        <f>L572*Q572</f>
      </c>
      <c r="T572" s="41">
        <f>IF(J572=0,0,L572/J572)</f>
      </c>
      <c r="U572" s="42">
        <f>IFERROR(INDEX(Paletes!$C$5:$C$393,MATCH(B572,Paletes!$A$5:$A$393,0)),"SEM CADASTRO")</f>
      </c>
      <c r="V572" s="36">
        <f>IFERROR(INDEX(Paletes!$D$5:$D$393,MATCH(B572,Paletes!$A$5:$A$393,0)),0)</f>
      </c>
      <c r="W572" s="43">
        <f>IF(V572=0,0,J572/V572)</f>
      </c>
      <c r="X572" s="43">
        <f>IF(V572=0,0,MAX(M572,0)/V572)</f>
      </c>
    </row>
    <row r="573" spans="1:24" x14ac:dyDescent="0.25">
      <c r="A573" s="20" t="str">
        <f>B573&amp;"."&amp;IFERROR(MID(D573,FIND("(",D573)+1,FIND(")",D573)-FIND("(",D573)-1),"")</f>
        <v>2317.12310</v>
      </c>
      <c r="B573" s="21">
        <v>2317</v>
      </c>
      <c r="C573" s="20" t="s">
        <v>769</v>
      </c>
      <c r="D573" s="20" t="s">
        <v>915</v>
      </c>
      <c r="E573" s="20">
        <v>73369</v>
      </c>
      <c r="F573" s="20" t="s">
        <v>26</v>
      </c>
      <c r="G573" s="20" t="s">
        <v>51</v>
      </c>
      <c r="H573" s="22">
        <f>IFERROR(INDEX(Linha!$B$5:$B$788,MATCH(A573,Linha!$A$5:$A$788,0)),"NÃO CADASTRADO")</f>
      </c>
      <c r="I573" s="22">
        <f>IFERROR(INDEX(Linha!$C$5:$C$788,MATCH(A573,Linha!$A$5:$A$788,0)),"-")</f>
      </c>
      <c r="J573" s="23">
        <v>6</v>
      </c>
      <c r="K573" s="24">
        <f>IFERROR(INDEX(Linha!$D$5:$D$788,MATCH(A573,Linha!$A$5:$A$788,0))*1,0)</f>
      </c>
      <c r="L573" s="24">
        <f>SUMIFS(Reservas!$K$5:$K$3669,Reservas!$A$5:$A$3669,A573)</f>
      </c>
      <c r="M573" s="25">
        <f>J573-L573</f>
      </c>
      <c r="N573" s="26">
        <v>59.377</v>
      </c>
      <c r="O573" s="25">
        <f>J573*N573</f>
      </c>
      <c r="P573" s="25">
        <f>L573*N573</f>
      </c>
      <c r="Q573" s="27">
        <v>291.58289015</v>
      </c>
      <c r="R573" s="28">
        <f>J573*Q573</f>
      </c>
      <c r="S573" s="28">
        <f>L573*Q573</f>
      </c>
      <c r="T573" s="29">
        <f>IF(J573=0,0,L573/J573)</f>
      </c>
      <c r="U573" s="30">
        <f>IFERROR(INDEX(Paletes!$C$5:$C$393,MATCH(B573,Paletes!$A$5:$A$393,0)),"SEM CADASTRO")</f>
      </c>
      <c r="V573" s="24">
        <f>IFERROR(INDEX(Paletes!$D$5:$D$393,MATCH(B573,Paletes!$A$5:$A$393,0)),0)</f>
      </c>
      <c r="W573" s="31">
        <f>IF(V573=0,0,J573/V573)</f>
      </c>
      <c r="X573" s="31">
        <f>IF(V573=0,0,MAX(M573,0)/V573)</f>
      </c>
    </row>
    <row r="574" spans="1:24" x14ac:dyDescent="0.25">
      <c r="A574" s="32" t="str">
        <f>B574&amp;"."&amp;IFERROR(MID(D574,FIND("(",D574)+1,FIND(")",D574)-FIND("(",D574)-1),"")</f>
        <v>2318.12314</v>
      </c>
      <c r="B574" s="33">
        <v>2318</v>
      </c>
      <c r="C574" s="32" t="s">
        <v>771</v>
      </c>
      <c r="D574" s="32" t="s">
        <v>916</v>
      </c>
      <c r="E574" s="32">
        <v>73371</v>
      </c>
      <c r="F574" s="32" t="s">
        <v>26</v>
      </c>
      <c r="G574" s="32" t="s">
        <v>51</v>
      </c>
      <c r="H574" s="34">
        <f>IFERROR(INDEX(Linha!$B$5:$B$788,MATCH(A574,Linha!$A$5:$A$788,0)),"NÃO CADASTRADO")</f>
      </c>
      <c r="I574" s="34">
        <f>IFERROR(INDEX(Linha!$C$5:$C$788,MATCH(A574,Linha!$A$5:$A$788,0)),"-")</f>
      </c>
      <c r="J574" s="35">
        <v>545</v>
      </c>
      <c r="K574" s="36">
        <f>IFERROR(INDEX(Linha!$D$5:$D$788,MATCH(A574,Linha!$A$5:$A$788,0))*1,0)</f>
      </c>
      <c r="L574" s="36">
        <f>SUMIFS(Reservas!$K$5:$K$3669,Reservas!$A$5:$A$3669,A574)</f>
      </c>
      <c r="M574" s="37">
        <f>J574-L574</f>
      </c>
      <c r="N574" s="38">
        <v>38.171</v>
      </c>
      <c r="O574" s="37">
        <f>J574*N574</f>
      </c>
      <c r="P574" s="37">
        <f>L574*N574</f>
      </c>
      <c r="Q574" s="39">
        <v>121.2015589</v>
      </c>
      <c r="R574" s="40">
        <f>J574*Q574</f>
      </c>
      <c r="S574" s="40">
        <f>L574*Q574</f>
      </c>
      <c r="T574" s="41">
        <f>IF(J574=0,0,L574/J574)</f>
      </c>
      <c r="U574" s="42">
        <f>IFERROR(INDEX(Paletes!$C$5:$C$393,MATCH(B574,Paletes!$A$5:$A$393,0)),"SEM CADASTRO")</f>
      </c>
      <c r="V574" s="36">
        <f>IFERROR(INDEX(Paletes!$D$5:$D$393,MATCH(B574,Paletes!$A$5:$A$393,0)),0)</f>
      </c>
      <c r="W574" s="43">
        <f>IF(V574=0,0,J574/V574)</f>
      </c>
      <c r="X574" s="43">
        <f>IF(V574=0,0,MAX(M574,0)/V574)</f>
      </c>
    </row>
    <row r="575" spans="1:24" x14ac:dyDescent="0.25">
      <c r="A575" s="20" t="str">
        <f>B575&amp;"."&amp;IFERROR(MID(D575,FIND("(",D575)+1,FIND(")",D575)-FIND("(",D575)-1),"")</f>
        <v>2345.13527</v>
      </c>
      <c r="B575" s="21">
        <v>2345</v>
      </c>
      <c r="C575" s="20" t="s">
        <v>165</v>
      </c>
      <c r="D575" s="20" t="s">
        <v>917</v>
      </c>
      <c r="E575" s="20">
        <v>73906</v>
      </c>
      <c r="F575" s="20" t="s">
        <v>26</v>
      </c>
      <c r="G575" s="20" t="s">
        <v>51</v>
      </c>
      <c r="H575" s="22">
        <f>IFERROR(INDEX(Linha!$B$5:$B$788,MATCH(A575,Linha!$A$5:$A$788,0)),"NÃO CADASTRADO")</f>
      </c>
      <c r="I575" s="22">
        <f>IFERROR(INDEX(Linha!$C$5:$C$788,MATCH(A575,Linha!$A$5:$A$788,0)),"-")</f>
      </c>
      <c r="J575" s="23">
        <v>29</v>
      </c>
      <c r="K575" s="24">
        <f>IFERROR(INDEX(Linha!$D$5:$D$788,MATCH(A575,Linha!$A$5:$A$788,0))*1,0)</f>
      </c>
      <c r="L575" s="24">
        <f>SUMIFS(Reservas!$K$5:$K$3669,Reservas!$A$5:$A$3669,A575)</f>
      </c>
      <c r="M575" s="25">
        <f>J575-L575</f>
      </c>
      <c r="N575" s="26">
        <v>55.38</v>
      </c>
      <c r="O575" s="25">
        <f>J575*N575</f>
      </c>
      <c r="P575" s="25">
        <f>L575*N575</f>
      </c>
      <c r="Q575" s="27">
        <v>148.77809479</v>
      </c>
      <c r="R575" s="28">
        <f>J575*Q575</f>
      </c>
      <c r="S575" s="28">
        <f>L575*Q575</f>
      </c>
      <c r="T575" s="29">
        <f>IF(J575=0,0,L575/J575)</f>
      </c>
      <c r="U575" s="30">
        <f>IFERROR(INDEX(Paletes!$C$5:$C$393,MATCH(B575,Paletes!$A$5:$A$393,0)),"SEM CADASTRO")</f>
      </c>
      <c r="V575" s="24">
        <f>IFERROR(INDEX(Paletes!$D$5:$D$393,MATCH(B575,Paletes!$A$5:$A$393,0)),0)</f>
      </c>
      <c r="W575" s="31">
        <f>IF(V575=0,0,J575/V575)</f>
      </c>
      <c r="X575" s="31">
        <f>IF(V575=0,0,MAX(M575,0)/V575)</f>
      </c>
    </row>
    <row r="576" spans="1:24" x14ac:dyDescent="0.25">
      <c r="A576" s="32" t="str">
        <f>B576&amp;"."&amp;IFERROR(MID(D576,FIND("(",D576)+1,FIND(")",D576)-FIND("(",D576)-1),"")</f>
        <v>2238.12340</v>
      </c>
      <c r="B576" s="33">
        <v>2238</v>
      </c>
      <c r="C576" s="32" t="s">
        <v>330</v>
      </c>
      <c r="D576" s="32" t="s">
        <v>918</v>
      </c>
      <c r="E576" s="32">
        <v>73942</v>
      </c>
      <c r="F576" s="32" t="s">
        <v>26</v>
      </c>
      <c r="G576" s="32" t="s">
        <v>51</v>
      </c>
      <c r="H576" s="34">
        <f>IFERROR(INDEX(Linha!$B$5:$B$788,MATCH(A576,Linha!$A$5:$A$788,0)),"NÃO CADASTRADO")</f>
      </c>
      <c r="I576" s="34">
        <f>IFERROR(INDEX(Linha!$C$5:$C$788,MATCH(A576,Linha!$A$5:$A$788,0)),"-")</f>
      </c>
      <c r="J576" s="35">
        <v>187</v>
      </c>
      <c r="K576" s="36">
        <f>IFERROR(INDEX(Linha!$D$5:$D$788,MATCH(A576,Linha!$A$5:$A$788,0))*1,0)</f>
      </c>
      <c r="L576" s="36">
        <f>SUMIFS(Reservas!$K$5:$K$3669,Reservas!$A$5:$A$3669,A576)</f>
      </c>
      <c r="M576" s="37">
        <f>J576-L576</f>
      </c>
      <c r="N576" s="38">
        <v>43.88</v>
      </c>
      <c r="O576" s="37">
        <f>J576*N576</f>
      </c>
      <c r="P576" s="37">
        <f>L576*N576</f>
      </c>
      <c r="Q576" s="39">
        <v>143.40436154</v>
      </c>
      <c r="R576" s="40">
        <f>J576*Q576</f>
      </c>
      <c r="S576" s="40">
        <f>L576*Q576</f>
      </c>
      <c r="T576" s="41">
        <f>IF(J576=0,0,L576/J576)</f>
      </c>
      <c r="U576" s="42">
        <f>IFERROR(INDEX(Paletes!$C$5:$C$393,MATCH(B576,Paletes!$A$5:$A$393,0)),"SEM CADASTRO")</f>
      </c>
      <c r="V576" s="36">
        <f>IFERROR(INDEX(Paletes!$D$5:$D$393,MATCH(B576,Paletes!$A$5:$A$393,0)),0)</f>
      </c>
      <c r="W576" s="43">
        <f>IF(V576=0,0,J576/V576)</f>
      </c>
      <c r="X576" s="43">
        <f>IF(V576=0,0,MAX(M576,0)/V576)</f>
      </c>
    </row>
    <row r="577" spans="1:24" x14ac:dyDescent="0.25">
      <c r="A577" s="20" t="str">
        <f>B577&amp;"."&amp;IFERROR(MID(D577,FIND("(",D577)+1,FIND(")",D577)-FIND("(",D577)-1),"")</f>
        <v>2240.</v>
      </c>
      <c r="B577" s="21">
        <v>2240</v>
      </c>
      <c r="C577" s="20" t="s">
        <v>919</v>
      </c>
      <c r="D577" s="20" t="s">
        <v>89</v>
      </c>
      <c r="E577" s="20">
        <v>73944</v>
      </c>
      <c r="F577" s="20" t="s">
        <v>26</v>
      </c>
      <c r="G577" s="20" t="s">
        <v>51</v>
      </c>
      <c r="H577" s="22">
        <f>IFERROR(INDEX(Linha!$B$5:$B$788,MATCH(A577,Linha!$A$5:$A$788,0)),"NÃO CADASTRADO")</f>
      </c>
      <c r="I577" s="22">
        <f>IFERROR(INDEX(Linha!$C$5:$C$788,MATCH(A577,Linha!$A$5:$A$788,0)),"-")</f>
      </c>
      <c r="J577" s="23">
        <v>254</v>
      </c>
      <c r="K577" s="24">
        <f>IFERROR(INDEX(Linha!$D$5:$D$788,MATCH(A577,Linha!$A$5:$A$788,0))*1,0)</f>
      </c>
      <c r="L577" s="24">
        <f>SUMIFS(Reservas!$K$5:$K$3669,Reservas!$A$5:$A$3669,A577)</f>
      </c>
      <c r="M577" s="25">
        <f>J577-L577</f>
      </c>
      <c r="N577" s="26">
        <v>6.825</v>
      </c>
      <c r="O577" s="25">
        <f>J577*N577</f>
      </c>
      <c r="P577" s="25">
        <f>L577*N577</f>
      </c>
      <c r="Q577" s="27">
        <v>45.49714873</v>
      </c>
      <c r="R577" s="28">
        <f>J577*Q577</f>
      </c>
      <c r="S577" s="28">
        <f>L577*Q577</f>
      </c>
      <c r="T577" s="29">
        <f>IF(J577=0,0,L577/J577)</f>
      </c>
      <c r="U577" s="30">
        <f>IFERROR(INDEX(Paletes!$C$5:$C$393,MATCH(B577,Paletes!$A$5:$A$393,0)),"SEM CADASTRO")</f>
      </c>
      <c r="V577" s="24">
        <f>IFERROR(INDEX(Paletes!$D$5:$D$393,MATCH(B577,Paletes!$A$5:$A$393,0)),0)</f>
      </c>
      <c r="W577" s="31">
        <f>IF(V577=0,0,J577/V577)</f>
      </c>
      <c r="X577" s="31">
        <f>IF(V577=0,0,MAX(M577,0)/V577)</f>
      </c>
    </row>
    <row r="578" spans="1:24" x14ac:dyDescent="0.25">
      <c r="A578" s="32" t="str">
        <f>B578&amp;"."&amp;IFERROR(MID(D578,FIND("(",D578)+1,FIND(")",D578)-FIND("(",D578)-1),"")</f>
        <v>73346.16548</v>
      </c>
      <c r="B578" s="33">
        <v>73346</v>
      </c>
      <c r="C578" s="32" t="s">
        <v>920</v>
      </c>
      <c r="D578" s="32" t="s">
        <v>921</v>
      </c>
      <c r="E578" s="32">
        <v>76873</v>
      </c>
      <c r="F578" s="32" t="s">
        <v>25</v>
      </c>
      <c r="G578" s="32" t="s">
        <v>51</v>
      </c>
      <c r="H578" s="34">
        <f>IFERROR(INDEX(Linha!$B$5:$B$788,MATCH(A578,Linha!$A$5:$A$788,0)),"NÃO CADASTRADO")</f>
      </c>
      <c r="I578" s="34">
        <f>IFERROR(INDEX(Linha!$C$5:$C$788,MATCH(A578,Linha!$A$5:$A$788,0)),"-")</f>
      </c>
      <c r="J578" s="35">
        <v>19</v>
      </c>
      <c r="K578" s="36">
        <f>IFERROR(INDEX(Linha!$D$5:$D$788,MATCH(A578,Linha!$A$5:$A$788,0))*1,0)</f>
      </c>
      <c r="L578" s="36">
        <f>SUMIFS(Reservas!$K$5:$K$3669,Reservas!$A$5:$A$3669,A578)</f>
      </c>
      <c r="M578" s="37">
        <f>J578-L578</f>
      </c>
      <c r="N578" s="38">
        <v>19.646</v>
      </c>
      <c r="O578" s="37">
        <f>J578*N578</f>
      </c>
      <c r="P578" s="37">
        <f>L578*N578</f>
      </c>
      <c r="Q578" s="39">
        <v>163.76731703</v>
      </c>
      <c r="R578" s="40">
        <f>J578*Q578</f>
      </c>
      <c r="S578" s="40">
        <f>L578*Q578</f>
      </c>
      <c r="T578" s="41">
        <f>IF(J578=0,0,L578/J578)</f>
      </c>
      <c r="U578" s="42">
        <f>IFERROR(INDEX(Paletes!$C$5:$C$393,MATCH(B578,Paletes!$A$5:$A$393,0)),"SEM CADASTRO")</f>
      </c>
      <c r="V578" s="36">
        <f>IFERROR(INDEX(Paletes!$D$5:$D$393,MATCH(B578,Paletes!$A$5:$A$393,0)),0)</f>
      </c>
      <c r="W578" s="43">
        <f>IF(V578=0,0,J578/V578)</f>
      </c>
      <c r="X578" s="43">
        <f>IF(V578=0,0,MAX(M578,0)/V578)</f>
      </c>
    </row>
    <row r="579" spans="1:24" x14ac:dyDescent="0.25">
      <c r="A579" s="20" t="str">
        <f>B579&amp;"."&amp;IFERROR(MID(D579,FIND("(",D579)+1,FIND(")",D579)-FIND("(",D579)-1),"")</f>
        <v>74501.32103</v>
      </c>
      <c r="B579" s="21">
        <v>74501</v>
      </c>
      <c r="C579" s="20" t="s">
        <v>922</v>
      </c>
      <c r="D579" s="20" t="s">
        <v>923</v>
      </c>
      <c r="E579" s="20">
        <v>77215</v>
      </c>
      <c r="F579" s="20" t="s">
        <v>24</v>
      </c>
      <c r="G579" s="20" t="s">
        <v>51</v>
      </c>
      <c r="H579" s="22">
        <f>IFERROR(INDEX(Linha!$B$5:$B$788,MATCH(A579,Linha!$A$5:$A$788,0)),"NÃO CADASTRADO")</f>
      </c>
      <c r="I579" s="22">
        <f>IFERROR(INDEX(Linha!$C$5:$C$788,MATCH(A579,Linha!$A$5:$A$788,0)),"-")</f>
      </c>
      <c r="J579" s="23">
        <v>2</v>
      </c>
      <c r="K579" s="24">
        <f>IFERROR(INDEX(Linha!$D$5:$D$788,MATCH(A579,Linha!$A$5:$A$788,0))*1,0)</f>
      </c>
      <c r="L579" s="24">
        <f>SUMIFS(Reservas!$K$5:$K$3669,Reservas!$A$5:$A$3669,A579)</f>
      </c>
      <c r="M579" s="25">
        <f>J579-L579</f>
      </c>
      <c r="N579" s="26">
        <v>18.52</v>
      </c>
      <c r="O579" s="25">
        <f>J579*N579</f>
      </c>
      <c r="P579" s="25">
        <f>L579*N579</f>
      </c>
      <c r="Q579" s="27">
        <v>64.28509856</v>
      </c>
      <c r="R579" s="28">
        <f>J579*Q579</f>
      </c>
      <c r="S579" s="28">
        <f>L579*Q579</f>
      </c>
      <c r="T579" s="29">
        <f>IF(J579=0,0,L579/J579)</f>
      </c>
      <c r="U579" s="30">
        <f>IFERROR(INDEX(Paletes!$C$5:$C$393,MATCH(B579,Paletes!$A$5:$A$393,0)),"SEM CADASTRO")</f>
      </c>
      <c r="V579" s="24">
        <f>IFERROR(INDEX(Paletes!$D$5:$D$393,MATCH(B579,Paletes!$A$5:$A$393,0)),0)</f>
      </c>
      <c r="W579" s="31">
        <f>IF(V579=0,0,J579/V579)</f>
      </c>
      <c r="X579" s="31">
        <f>IF(V579=0,0,MAX(M579,0)/V579)</f>
      </c>
    </row>
    <row r="580" spans="1:24" x14ac:dyDescent="0.25">
      <c r="A580" s="32" t="str">
        <f>B580&amp;"."&amp;IFERROR(MID(D580,FIND("(",D580)+1,FIND(")",D580)-FIND("(",D580)-1),"")</f>
        <v>2179.12570</v>
      </c>
      <c r="B580" s="33">
        <v>2179</v>
      </c>
      <c r="C580" s="32" t="s">
        <v>184</v>
      </c>
      <c r="D580" s="32" t="s">
        <v>924</v>
      </c>
      <c r="E580" s="32">
        <v>81671</v>
      </c>
      <c r="F580" s="32" t="s">
        <v>26</v>
      </c>
      <c r="G580" s="32" t="s">
        <v>51</v>
      </c>
      <c r="H580" s="34">
        <f>IFERROR(INDEX(Linha!$B$5:$B$788,MATCH(A580,Linha!$A$5:$A$788,0)),"NÃO CADASTRADO")</f>
      </c>
      <c r="I580" s="34">
        <f>IFERROR(INDEX(Linha!$C$5:$C$788,MATCH(A580,Linha!$A$5:$A$788,0)),"-")</f>
      </c>
      <c r="J580" s="35">
        <v>81</v>
      </c>
      <c r="K580" s="36">
        <f>IFERROR(INDEX(Linha!$D$5:$D$788,MATCH(A580,Linha!$A$5:$A$788,0))*1,0)</f>
      </c>
      <c r="L580" s="36">
        <f>SUMIFS(Reservas!$K$5:$K$3669,Reservas!$A$5:$A$3669,A580)</f>
      </c>
      <c r="M580" s="37">
        <f>J580-L580</f>
      </c>
      <c r="N580" s="38">
        <v>58.5</v>
      </c>
      <c r="O580" s="37">
        <f>J580*N580</f>
      </c>
      <c r="P580" s="37">
        <f>L580*N580</f>
      </c>
      <c r="Q580" s="39">
        <v>219.55010959</v>
      </c>
      <c r="R580" s="40">
        <f>J580*Q580</f>
      </c>
      <c r="S580" s="40">
        <f>L580*Q580</f>
      </c>
      <c r="T580" s="41">
        <f>IF(J580=0,0,L580/J580)</f>
      </c>
      <c r="U580" s="42">
        <f>IFERROR(INDEX(Paletes!$C$5:$C$393,MATCH(B580,Paletes!$A$5:$A$393,0)),"SEM CADASTRO")</f>
      </c>
      <c r="V580" s="36">
        <f>IFERROR(INDEX(Paletes!$D$5:$D$393,MATCH(B580,Paletes!$A$5:$A$393,0)),0)</f>
      </c>
      <c r="W580" s="43">
        <f>IF(V580=0,0,J580/V580)</f>
      </c>
      <c r="X580" s="43">
        <f>IF(V580=0,0,MAX(M580,0)/V580)</f>
      </c>
    </row>
    <row r="581" spans="1:24" x14ac:dyDescent="0.25">
      <c r="A581" s="20" t="str">
        <f>B581&amp;"."&amp;IFERROR(MID(D581,FIND("(",D581)+1,FIND(")",D581)-FIND("(",D581)-1),"")</f>
        <v>2179.12574</v>
      </c>
      <c r="B581" s="21">
        <v>2179</v>
      </c>
      <c r="C581" s="20" t="s">
        <v>184</v>
      </c>
      <c r="D581" s="20" t="s">
        <v>925</v>
      </c>
      <c r="E581" s="20">
        <v>81671</v>
      </c>
      <c r="F581" s="20" t="s">
        <v>26</v>
      </c>
      <c r="G581" s="20" t="s">
        <v>51</v>
      </c>
      <c r="H581" s="22">
        <f>IFERROR(INDEX(Linha!$B$5:$B$788,MATCH(A581,Linha!$A$5:$A$788,0)),"NÃO CADASTRADO")</f>
      </c>
      <c r="I581" s="22">
        <f>IFERROR(INDEX(Linha!$C$5:$C$788,MATCH(A581,Linha!$A$5:$A$788,0)),"-")</f>
      </c>
      <c r="J581" s="23">
        <v>7</v>
      </c>
      <c r="K581" s="24">
        <f>IFERROR(INDEX(Linha!$D$5:$D$788,MATCH(A581,Linha!$A$5:$A$788,0))*1,0)</f>
      </c>
      <c r="L581" s="24">
        <f>SUMIFS(Reservas!$K$5:$K$3669,Reservas!$A$5:$A$3669,A581)</f>
      </c>
      <c r="M581" s="25">
        <f>J581-L581</f>
      </c>
      <c r="N581" s="26">
        <v>58.5</v>
      </c>
      <c r="O581" s="25">
        <f>J581*N581</f>
      </c>
      <c r="P581" s="25">
        <f>L581*N581</f>
      </c>
      <c r="Q581" s="27">
        <v>242.99775742</v>
      </c>
      <c r="R581" s="28">
        <f>J581*Q581</f>
      </c>
      <c r="S581" s="28">
        <f>L581*Q581</f>
      </c>
      <c r="T581" s="29">
        <f>IF(J581=0,0,L581/J581)</f>
      </c>
      <c r="U581" s="30">
        <f>IFERROR(INDEX(Paletes!$C$5:$C$393,MATCH(B581,Paletes!$A$5:$A$393,0)),"SEM CADASTRO")</f>
      </c>
      <c r="V581" s="24">
        <f>IFERROR(INDEX(Paletes!$D$5:$D$393,MATCH(B581,Paletes!$A$5:$A$393,0)),0)</f>
      </c>
      <c r="W581" s="31">
        <f>IF(V581=0,0,J581/V581)</f>
      </c>
      <c r="X581" s="31">
        <f>IF(V581=0,0,MAX(M581,0)/V581)</f>
      </c>
    </row>
    <row r="582" spans="1:24" x14ac:dyDescent="0.25">
      <c r="A582" s="32" t="str">
        <f>B582&amp;"."&amp;IFERROR(MID(D582,FIND("(",D582)+1,FIND(")",D582)-FIND("(",D582)-1),"")</f>
        <v>74552.31963</v>
      </c>
      <c r="B582" s="33">
        <v>74552</v>
      </c>
      <c r="C582" s="32" t="s">
        <v>341</v>
      </c>
      <c r="D582" s="32" t="s">
        <v>926</v>
      </c>
      <c r="E582" s="32">
        <v>82384</v>
      </c>
      <c r="F582" s="32" t="s">
        <v>25</v>
      </c>
      <c r="G582" s="32" t="s">
        <v>51</v>
      </c>
      <c r="H582" s="34">
        <f>IFERROR(INDEX(Linha!$B$5:$B$788,MATCH(A582,Linha!$A$5:$A$788,0)),"NÃO CADASTRADO")</f>
      </c>
      <c r="I582" s="34">
        <f>IFERROR(INDEX(Linha!$C$5:$C$788,MATCH(A582,Linha!$A$5:$A$788,0)),"-")</f>
      </c>
      <c r="J582" s="35">
        <v>332</v>
      </c>
      <c r="K582" s="36">
        <f>IFERROR(INDEX(Linha!$D$5:$D$788,MATCH(A582,Linha!$A$5:$A$788,0))*1,0)</f>
      </c>
      <c r="L582" s="36">
        <f>SUMIFS(Reservas!$K$5:$K$3669,Reservas!$A$5:$A$3669,A582)</f>
      </c>
      <c r="M582" s="37">
        <f>J582-L582</f>
      </c>
      <c r="N582" s="38">
        <v>50.544</v>
      </c>
      <c r="O582" s="37">
        <f>J582*N582</f>
      </c>
      <c r="P582" s="37">
        <f>L582*N582</f>
      </c>
      <c r="Q582" s="39">
        <v>344.36045821</v>
      </c>
      <c r="R582" s="40">
        <f>J582*Q582</f>
      </c>
      <c r="S582" s="40">
        <f>L582*Q582</f>
      </c>
      <c r="T582" s="41">
        <f>IF(J582=0,0,L582/J582)</f>
      </c>
      <c r="U582" s="42">
        <f>IFERROR(INDEX(Paletes!$C$5:$C$393,MATCH(B582,Paletes!$A$5:$A$393,0)),"SEM CADASTRO")</f>
      </c>
      <c r="V582" s="36">
        <f>IFERROR(INDEX(Paletes!$D$5:$D$393,MATCH(B582,Paletes!$A$5:$A$393,0)),0)</f>
      </c>
      <c r="W582" s="43">
        <f>IF(V582=0,0,J582/V582)</f>
      </c>
      <c r="X582" s="43">
        <f>IF(V582=0,0,MAX(M582,0)/V582)</f>
      </c>
    </row>
    <row r="583" spans="1:24" x14ac:dyDescent="0.25">
      <c r="A583" s="20" t="str">
        <f>B583&amp;"."&amp;IFERROR(MID(D583,FIND("(",D583)+1,FIND(")",D583)-FIND("(",D583)-1),"")</f>
        <v>79208.16632</v>
      </c>
      <c r="B583" s="21">
        <v>79208</v>
      </c>
      <c r="C583" s="20" t="s">
        <v>512</v>
      </c>
      <c r="D583" s="20" t="s">
        <v>927</v>
      </c>
      <c r="E583" s="20">
        <v>90314</v>
      </c>
      <c r="F583" s="20" t="s">
        <v>25</v>
      </c>
      <c r="G583" s="20" t="s">
        <v>51</v>
      </c>
      <c r="H583" s="22">
        <f>IFERROR(INDEX(Linha!$B$5:$B$788,MATCH(A583,Linha!$A$5:$A$788,0)),"NÃO CADASTRADO")</f>
      </c>
      <c r="I583" s="22">
        <f>IFERROR(INDEX(Linha!$C$5:$C$788,MATCH(A583,Linha!$A$5:$A$788,0)),"-")</f>
      </c>
      <c r="J583" s="23">
        <v>137</v>
      </c>
      <c r="K583" s="24">
        <f>IFERROR(INDEX(Linha!$D$5:$D$788,MATCH(A583,Linha!$A$5:$A$788,0))*1,0)</f>
      </c>
      <c r="L583" s="24">
        <f>SUMIFS(Reservas!$K$5:$K$3669,Reservas!$A$5:$A$3669,A583)</f>
      </c>
      <c r="M583" s="25">
        <f>J583-L583</f>
      </c>
      <c r="N583" s="26">
        <v>38.42</v>
      </c>
      <c r="O583" s="25">
        <f>J583*N583</f>
      </c>
      <c r="P583" s="25">
        <f>L583*N583</f>
      </c>
      <c r="Q583" s="27">
        <v>154.20647013</v>
      </c>
      <c r="R583" s="28">
        <f>J583*Q583</f>
      </c>
      <c r="S583" s="28">
        <f>L583*Q583</f>
      </c>
      <c r="T583" s="29">
        <f>IF(J583=0,0,L583/J583)</f>
      </c>
      <c r="U583" s="30">
        <f>IFERROR(INDEX(Paletes!$C$5:$C$393,MATCH(B583,Paletes!$A$5:$A$393,0)),"SEM CADASTRO")</f>
      </c>
      <c r="V583" s="24">
        <f>IFERROR(INDEX(Paletes!$D$5:$D$393,MATCH(B583,Paletes!$A$5:$A$393,0)),0)</f>
      </c>
      <c r="W583" s="31">
        <f>IF(V583=0,0,J583/V583)</f>
      </c>
      <c r="X583" s="31">
        <f>IF(V583=0,0,MAX(M583,0)/V583)</f>
      </c>
    </row>
    <row r="584" spans="1:24" x14ac:dyDescent="0.25">
      <c r="A584" s="32" t="str">
        <f>B584&amp;"."&amp;IFERROR(MID(D584,FIND("(",D584)+1,FIND(")",D584)-FIND("(",D584)-1),"")</f>
        <v>97301.112332</v>
      </c>
      <c r="B584" s="33">
        <v>97301</v>
      </c>
      <c r="C584" s="32" t="s">
        <v>350</v>
      </c>
      <c r="D584" s="32" t="s">
        <v>928</v>
      </c>
      <c r="E584" s="32" t="s">
        <v>89</v>
      </c>
      <c r="F584" s="32" t="s">
        <v>24</v>
      </c>
      <c r="G584" s="32" t="s">
        <v>51</v>
      </c>
      <c r="H584" s="34">
        <f>IFERROR(INDEX(Linha!$B$5:$B$788,MATCH(A584,Linha!$A$5:$A$788,0)),"NÃO CADASTRADO")</f>
      </c>
      <c r="I584" s="34">
        <f>IFERROR(INDEX(Linha!$C$5:$C$788,MATCH(A584,Linha!$A$5:$A$788,0)),"-")</f>
      </c>
      <c r="J584" s="35">
        <v>2</v>
      </c>
      <c r="K584" s="36">
        <f>IFERROR(INDEX(Linha!$D$5:$D$788,MATCH(A584,Linha!$A$5:$A$788,0))*1,0)</f>
      </c>
      <c r="L584" s="36">
        <f>SUMIFS(Reservas!$K$5:$K$3669,Reservas!$A$5:$A$3669,A584)</f>
      </c>
      <c r="M584" s="37">
        <f>J584-L584</f>
      </c>
      <c r="N584" s="38">
        <v>17.94</v>
      </c>
      <c r="O584" s="37">
        <f>J584*N584</f>
      </c>
      <c r="P584" s="37">
        <f>L584*N584</f>
      </c>
      <c r="Q584" s="39">
        <v>80.88158601</v>
      </c>
      <c r="R584" s="40">
        <f>J584*Q584</f>
      </c>
      <c r="S584" s="40">
        <f>L584*Q584</f>
      </c>
      <c r="T584" s="41">
        <f>IF(J584=0,0,L584/J584)</f>
      </c>
      <c r="U584" s="42">
        <f>IFERROR(INDEX(Paletes!$C$5:$C$393,MATCH(B584,Paletes!$A$5:$A$393,0)),"SEM CADASTRO")</f>
      </c>
      <c r="V584" s="36">
        <f>IFERROR(INDEX(Paletes!$D$5:$D$393,MATCH(B584,Paletes!$A$5:$A$393,0)),0)</f>
      </c>
      <c r="W584" s="43">
        <f>IF(V584=0,0,J584/V584)</f>
      </c>
      <c r="X584" s="43">
        <f>IF(V584=0,0,MAX(M584,0)/V584)</f>
      </c>
    </row>
    <row r="585" spans="1:24" x14ac:dyDescent="0.25">
      <c r="A585" s="20" t="str">
        <f>B585&amp;"."&amp;IFERROR(MID(D585,FIND("(",D585)+1,FIND(")",D585)-FIND("(",D585)-1),"")</f>
        <v>83251.31599</v>
      </c>
      <c r="B585" s="21">
        <v>83251</v>
      </c>
      <c r="C585" s="20" t="s">
        <v>359</v>
      </c>
      <c r="D585" s="20" t="s">
        <v>929</v>
      </c>
      <c r="E585" s="20">
        <v>92251</v>
      </c>
      <c r="F585" s="20" t="s">
        <v>25</v>
      </c>
      <c r="G585" s="20" t="s">
        <v>51</v>
      </c>
      <c r="H585" s="22">
        <f>IFERROR(INDEX(Linha!$B$5:$B$788,MATCH(A585,Linha!$A$5:$A$788,0)),"NÃO CADASTRADO")</f>
      </c>
      <c r="I585" s="22">
        <f>IFERROR(INDEX(Linha!$C$5:$C$788,MATCH(A585,Linha!$A$5:$A$788,0)),"-")</f>
      </c>
      <c r="J585" s="23">
        <v>24</v>
      </c>
      <c r="K585" s="24">
        <f>IFERROR(INDEX(Linha!$D$5:$D$788,MATCH(A585,Linha!$A$5:$A$788,0))*1,0)</f>
      </c>
      <c r="L585" s="24">
        <f>SUMIFS(Reservas!$K$5:$K$3669,Reservas!$A$5:$A$3669,A585)</f>
      </c>
      <c r="M585" s="25">
        <f>J585-L585</f>
      </c>
      <c r="N585" s="26">
        <v>15.834</v>
      </c>
      <c r="O585" s="25">
        <f>J585*N585</f>
      </c>
      <c r="P585" s="25">
        <f>L585*N585</f>
      </c>
      <c r="Q585" s="27">
        <v>96.61977867</v>
      </c>
      <c r="R585" s="28">
        <f>J585*Q585</f>
      </c>
      <c r="S585" s="28">
        <f>L585*Q585</f>
      </c>
      <c r="T585" s="29">
        <f>IF(J585=0,0,L585/J585)</f>
      </c>
      <c r="U585" s="30">
        <f>IFERROR(INDEX(Paletes!$C$5:$C$393,MATCH(B585,Paletes!$A$5:$A$393,0)),"SEM CADASTRO")</f>
      </c>
      <c r="V585" s="24">
        <f>IFERROR(INDEX(Paletes!$D$5:$D$393,MATCH(B585,Paletes!$A$5:$A$393,0)),0)</f>
      </c>
      <c r="W585" s="31">
        <f>IF(V585=0,0,J585/V585)</f>
      </c>
      <c r="X585" s="31">
        <f>IF(V585=0,0,MAX(M585,0)/V585)</f>
      </c>
    </row>
    <row r="586" spans="1:24" x14ac:dyDescent="0.25">
      <c r="A586" s="32" t="str">
        <f>B586&amp;"."&amp;IFERROR(MID(D586,FIND("(",D586)+1,FIND(")",D586)-FIND("(",D586)-1),"")</f>
        <v>81938.66452</v>
      </c>
      <c r="B586" s="33">
        <v>81938</v>
      </c>
      <c r="C586" s="32" t="s">
        <v>362</v>
      </c>
      <c r="D586" s="32" t="s">
        <v>930</v>
      </c>
      <c r="E586" s="32">
        <v>93683</v>
      </c>
      <c r="F586" s="32" t="s">
        <v>24</v>
      </c>
      <c r="G586" s="32" t="s">
        <v>51</v>
      </c>
      <c r="H586" s="34">
        <f>IFERROR(INDEX(Linha!$B$5:$B$788,MATCH(A586,Linha!$A$5:$A$788,0)),"NÃO CADASTRADO")</f>
      </c>
      <c r="I586" s="34">
        <f>IFERROR(INDEX(Linha!$C$5:$C$788,MATCH(A586,Linha!$A$5:$A$788,0)),"-")</f>
      </c>
      <c r="J586" s="35">
        <v>278</v>
      </c>
      <c r="K586" s="36">
        <f>IFERROR(INDEX(Linha!$D$5:$D$788,MATCH(A586,Linha!$A$5:$A$788,0))*1,0)</f>
      </c>
      <c r="L586" s="36">
        <f>SUMIFS(Reservas!$K$5:$K$3669,Reservas!$A$5:$A$3669,A586)</f>
      </c>
      <c r="M586" s="37">
        <f>J586-L586</f>
      </c>
      <c r="N586" s="38">
        <v>38.512</v>
      </c>
      <c r="O586" s="37">
        <f>J586*N586</f>
      </c>
      <c r="P586" s="37">
        <f>L586*N586</f>
      </c>
      <c r="Q586" s="39">
        <v>178.13693556</v>
      </c>
      <c r="R586" s="40">
        <f>J586*Q586</f>
      </c>
      <c r="S586" s="40">
        <f>L586*Q586</f>
      </c>
      <c r="T586" s="41">
        <f>IF(J586=0,0,L586/J586)</f>
      </c>
      <c r="U586" s="42">
        <f>IFERROR(INDEX(Paletes!$C$5:$C$393,MATCH(B586,Paletes!$A$5:$A$393,0)),"SEM CADASTRO")</f>
      </c>
      <c r="V586" s="36">
        <f>IFERROR(INDEX(Paletes!$D$5:$D$393,MATCH(B586,Paletes!$A$5:$A$393,0)),0)</f>
      </c>
      <c r="W586" s="43">
        <f>IF(V586=0,0,J586/V586)</f>
      </c>
      <c r="X586" s="43">
        <f>IF(V586=0,0,MAX(M586,0)/V586)</f>
      </c>
    </row>
    <row r="587" spans="1:24" x14ac:dyDescent="0.25">
      <c r="A587" s="20" t="str">
        <f>B587&amp;"."&amp;IFERROR(MID(D587,FIND("(",D587)+1,FIND(")",D587)-FIND("(",D587)-1),"")</f>
        <v>74129.100020</v>
      </c>
      <c r="B587" s="21">
        <v>74129</v>
      </c>
      <c r="C587" s="20" t="s">
        <v>931</v>
      </c>
      <c r="D587" s="20" t="s">
        <v>932</v>
      </c>
      <c r="E587" s="20">
        <v>57204</v>
      </c>
      <c r="F587" s="20" t="s">
        <v>24</v>
      </c>
      <c r="G587" s="20" t="s">
        <v>51</v>
      </c>
      <c r="H587" s="22">
        <f>IFERROR(INDEX(Linha!$B$5:$B$788,MATCH(A587,Linha!$A$5:$A$788,0)),"NÃO CADASTRADO")</f>
      </c>
      <c r="I587" s="22">
        <f>IFERROR(INDEX(Linha!$C$5:$C$788,MATCH(A587,Linha!$A$5:$A$788,0)),"-")</f>
      </c>
      <c r="J587" s="23">
        <v>0</v>
      </c>
      <c r="K587" s="24">
        <f>IFERROR(INDEX(Linha!$D$5:$D$788,MATCH(A587,Linha!$A$5:$A$788,0))*1,0)</f>
      </c>
      <c r="L587" s="24">
        <f>SUMIFS(Reservas!$K$5:$K$3669,Reservas!$A$5:$A$3669,A587)</f>
      </c>
      <c r="M587" s="25">
        <f>J587-L587</f>
      </c>
      <c r="N587" s="26">
        <v>34.22</v>
      </c>
      <c r="O587" s="25">
        <f>J587*N587</f>
      </c>
      <c r="P587" s="25">
        <f>L587*N587</f>
      </c>
      <c r="Q587" s="27">
        <v>114.76388715</v>
      </c>
      <c r="R587" s="28">
        <f>J587*Q587</f>
      </c>
      <c r="S587" s="28">
        <f>L587*Q587</f>
      </c>
      <c r="T587" s="29">
        <f>IF(J587=0,0,L587/J587)</f>
      </c>
      <c r="U587" s="30">
        <f>IFERROR(INDEX(Paletes!$C$5:$C$393,MATCH(B587,Paletes!$A$5:$A$393,0)),"SEM CADASTRO")</f>
      </c>
      <c r="V587" s="24">
        <f>IFERROR(INDEX(Paletes!$D$5:$D$393,MATCH(B587,Paletes!$A$5:$A$393,0)),0)</f>
      </c>
      <c r="W587" s="31">
        <f>IF(V587=0,0,J587/V587)</f>
      </c>
      <c r="X587" s="31">
        <f>IF(V587=0,0,MAX(M587,0)/V587)</f>
      </c>
    </row>
    <row r="588" spans="1:24" x14ac:dyDescent="0.25">
      <c r="A588" s="32" t="str">
        <f>B588&amp;"."&amp;IFERROR(MID(D588,FIND("(",D588)+1,FIND(")",D588)-FIND("(",D588)-1),"")</f>
        <v>84062.56717</v>
      </c>
      <c r="B588" s="33">
        <v>84062</v>
      </c>
      <c r="C588" s="32" t="s">
        <v>933</v>
      </c>
      <c r="D588" s="32" t="s">
        <v>934</v>
      </c>
      <c r="E588" s="32">
        <v>95639</v>
      </c>
      <c r="F588" s="32" t="s">
        <v>26</v>
      </c>
      <c r="G588" s="32" t="s">
        <v>51</v>
      </c>
      <c r="H588" s="34">
        <f>IFERROR(INDEX(Linha!$B$5:$B$788,MATCH(A588,Linha!$A$5:$A$788,0)),"NÃO CADASTRADO")</f>
      </c>
      <c r="I588" s="34">
        <f>IFERROR(INDEX(Linha!$C$5:$C$788,MATCH(A588,Linha!$A$5:$A$788,0)),"-")</f>
      </c>
      <c r="J588" s="35">
        <v>5</v>
      </c>
      <c r="K588" s="36">
        <f>IFERROR(INDEX(Linha!$D$5:$D$788,MATCH(A588,Linha!$A$5:$A$788,0))*1,0)</f>
      </c>
      <c r="L588" s="36">
        <f>SUMIFS(Reservas!$K$5:$K$3669,Reservas!$A$5:$A$3669,A588)</f>
      </c>
      <c r="M588" s="37">
        <f>J588-L588</f>
      </c>
      <c r="N588" s="38">
        <v>34.125</v>
      </c>
      <c r="O588" s="37">
        <f>J588*N588</f>
      </c>
      <c r="P588" s="37">
        <f>L588*N588</f>
      </c>
      <c r="Q588" s="39">
        <v>149.30245403</v>
      </c>
      <c r="R588" s="40">
        <f>J588*Q588</f>
      </c>
      <c r="S588" s="40">
        <f>L588*Q588</f>
      </c>
      <c r="T588" s="41">
        <f>IF(J588=0,0,L588/J588)</f>
      </c>
      <c r="U588" s="42">
        <f>IFERROR(INDEX(Paletes!$C$5:$C$393,MATCH(B588,Paletes!$A$5:$A$393,0)),"SEM CADASTRO")</f>
      </c>
      <c r="V588" s="36">
        <f>IFERROR(INDEX(Paletes!$D$5:$D$393,MATCH(B588,Paletes!$A$5:$A$393,0)),0)</f>
      </c>
      <c r="W588" s="43">
        <f>IF(V588=0,0,J588/V588)</f>
      </c>
      <c r="X588" s="43">
        <f>IF(V588=0,0,MAX(M588,0)/V588)</f>
      </c>
    </row>
    <row r="589" spans="1:24" x14ac:dyDescent="0.25">
      <c r="A589" s="20" t="str">
        <f>B589&amp;"."&amp;IFERROR(MID(D589,FIND("(",D589)+1,FIND(")",D589)-FIND("(",D589)-1),"")</f>
        <v>84310.39409</v>
      </c>
      <c r="B589" s="21">
        <v>84310</v>
      </c>
      <c r="C589" s="20" t="s">
        <v>815</v>
      </c>
      <c r="D589" s="20" t="s">
        <v>935</v>
      </c>
      <c r="E589" s="20">
        <v>96220</v>
      </c>
      <c r="F589" s="20" t="s">
        <v>25</v>
      </c>
      <c r="G589" s="20" t="s">
        <v>51</v>
      </c>
      <c r="H589" s="22">
        <f>IFERROR(INDEX(Linha!$B$5:$B$788,MATCH(A589,Linha!$A$5:$A$788,0)),"NÃO CADASTRADO")</f>
      </c>
      <c r="I589" s="22">
        <f>IFERROR(INDEX(Linha!$C$5:$C$788,MATCH(A589,Linha!$A$5:$A$788,0)),"-")</f>
      </c>
      <c r="J589" s="23">
        <v>517</v>
      </c>
      <c r="K589" s="24">
        <f>IFERROR(INDEX(Linha!$D$5:$D$788,MATCH(A589,Linha!$A$5:$A$788,0))*1,0)</f>
      </c>
      <c r="L589" s="24">
        <f>SUMIFS(Reservas!$K$5:$K$3669,Reservas!$A$5:$A$3669,A589)</f>
      </c>
      <c r="M589" s="25">
        <f>J589-L589</f>
      </c>
      <c r="N589" s="26">
        <v>14.527</v>
      </c>
      <c r="O589" s="25">
        <f>J589*N589</f>
      </c>
      <c r="P589" s="25">
        <f>L589*N589</f>
      </c>
      <c r="Q589" s="27">
        <v>107.39485063</v>
      </c>
      <c r="R589" s="28">
        <f>J589*Q589</f>
      </c>
      <c r="S589" s="28">
        <f>L589*Q589</f>
      </c>
      <c r="T589" s="29">
        <f>IF(J589=0,0,L589/J589)</f>
      </c>
      <c r="U589" s="30">
        <f>IFERROR(INDEX(Paletes!$C$5:$C$393,MATCH(B589,Paletes!$A$5:$A$393,0)),"SEM CADASTRO")</f>
      </c>
      <c r="V589" s="24">
        <f>IFERROR(INDEX(Paletes!$D$5:$D$393,MATCH(B589,Paletes!$A$5:$A$393,0)),0)</f>
      </c>
      <c r="W589" s="31">
        <f>IF(V589=0,0,J589/V589)</f>
      </c>
      <c r="X589" s="31">
        <f>IF(V589=0,0,MAX(M589,0)/V589)</f>
      </c>
    </row>
    <row r="590" spans="1:24" x14ac:dyDescent="0.25">
      <c r="A590" s="32" t="str">
        <f>B590&amp;"."&amp;IFERROR(MID(D590,FIND("(",D590)+1,FIND(")",D590)-FIND("(",D590)-1),"")</f>
        <v>84847.30751</v>
      </c>
      <c r="B590" s="33">
        <v>84847</v>
      </c>
      <c r="C590" s="32" t="s">
        <v>651</v>
      </c>
      <c r="D590" s="32" t="s">
        <v>936</v>
      </c>
      <c r="E590" s="32">
        <v>96577</v>
      </c>
      <c r="F590" s="32" t="s">
        <v>26</v>
      </c>
      <c r="G590" s="32" t="s">
        <v>51</v>
      </c>
      <c r="H590" s="34">
        <f>IFERROR(INDEX(Linha!$B$5:$B$788,MATCH(A590,Linha!$A$5:$A$788,0)),"NÃO CADASTRADO")</f>
      </c>
      <c r="I590" s="34">
        <f>IFERROR(INDEX(Linha!$C$5:$C$788,MATCH(A590,Linha!$A$5:$A$788,0)),"-")</f>
      </c>
      <c r="J590" s="35">
        <v>376</v>
      </c>
      <c r="K590" s="36">
        <f>IFERROR(INDEX(Linha!$D$5:$D$788,MATCH(A590,Linha!$A$5:$A$788,0))*1,0)</f>
      </c>
      <c r="L590" s="36">
        <f>SUMIFS(Reservas!$K$5:$K$3669,Reservas!$A$5:$A$3669,A590)</f>
      </c>
      <c r="M590" s="37">
        <f>J590-L590</f>
      </c>
      <c r="N590" s="38">
        <v>44.85</v>
      </c>
      <c r="O590" s="37">
        <f>J590*N590</f>
      </c>
      <c r="P590" s="37">
        <f>L590*N590</f>
      </c>
      <c r="Q590" s="39">
        <v>169.6857349</v>
      </c>
      <c r="R590" s="40">
        <f>J590*Q590</f>
      </c>
      <c r="S590" s="40">
        <f>L590*Q590</f>
      </c>
      <c r="T590" s="41">
        <f>IF(J590=0,0,L590/J590)</f>
      </c>
      <c r="U590" s="42">
        <f>IFERROR(INDEX(Paletes!$C$5:$C$393,MATCH(B590,Paletes!$A$5:$A$393,0)),"SEM CADASTRO")</f>
      </c>
      <c r="V590" s="36">
        <f>IFERROR(INDEX(Paletes!$D$5:$D$393,MATCH(B590,Paletes!$A$5:$A$393,0)),0)</f>
      </c>
      <c r="W590" s="43">
        <f>IF(V590=0,0,J590/V590)</f>
      </c>
      <c r="X590" s="43">
        <f>IF(V590=0,0,MAX(M590,0)/V590)</f>
      </c>
    </row>
    <row r="591" spans="1:24" x14ac:dyDescent="0.25">
      <c r="A591" s="20" t="str">
        <f>B591&amp;"."&amp;IFERROR(MID(D591,FIND("(",D591)+1,FIND(")",D591)-FIND("(",D591)-1),"")</f>
        <v>84911.31286</v>
      </c>
      <c r="B591" s="21">
        <v>84911</v>
      </c>
      <c r="C591" s="20" t="s">
        <v>49</v>
      </c>
      <c r="D591" s="20" t="s">
        <v>937</v>
      </c>
      <c r="E591" s="20">
        <v>96437</v>
      </c>
      <c r="F591" s="20" t="s">
        <v>24</v>
      </c>
      <c r="G591" s="20" t="s">
        <v>51</v>
      </c>
      <c r="H591" s="22">
        <f>IFERROR(INDEX(Linha!$B$5:$B$788,MATCH(A591,Linha!$A$5:$A$788,0)),"NÃO CADASTRADO")</f>
      </c>
      <c r="I591" s="22">
        <f>IFERROR(INDEX(Linha!$C$5:$C$788,MATCH(A591,Linha!$A$5:$A$788,0)),"-")</f>
      </c>
      <c r="J591" s="23">
        <v>148</v>
      </c>
      <c r="K591" s="24">
        <f>IFERROR(INDEX(Linha!$D$5:$D$788,MATCH(A591,Linha!$A$5:$A$788,0))*1,0)</f>
      </c>
      <c r="L591" s="24">
        <f>SUMIFS(Reservas!$K$5:$K$3669,Reservas!$A$5:$A$3669,A591)</f>
      </c>
      <c r="M591" s="25">
        <f>J591-L591</f>
      </c>
      <c r="N591" s="26">
        <v>34.222</v>
      </c>
      <c r="O591" s="25">
        <f>J591*N591</f>
      </c>
      <c r="P591" s="25">
        <f>L591*N591</f>
      </c>
      <c r="Q591" s="27">
        <v>138.76864552</v>
      </c>
      <c r="R591" s="28">
        <f>J591*Q591</f>
      </c>
      <c r="S591" s="28">
        <f>L591*Q591</f>
      </c>
      <c r="T591" s="29">
        <f>IF(J591=0,0,L591/J591)</f>
      </c>
      <c r="U591" s="30">
        <f>IFERROR(INDEX(Paletes!$C$5:$C$393,MATCH(B591,Paletes!$A$5:$A$393,0)),"SEM CADASTRO")</f>
      </c>
      <c r="V591" s="24">
        <f>IFERROR(INDEX(Paletes!$D$5:$D$393,MATCH(B591,Paletes!$A$5:$A$393,0)),0)</f>
      </c>
      <c r="W591" s="31">
        <f>IF(V591=0,0,J591/V591)</f>
      </c>
      <c r="X591" s="31">
        <f>IF(V591=0,0,MAX(M591,0)/V591)</f>
      </c>
    </row>
    <row r="592" spans="1:24" x14ac:dyDescent="0.25">
      <c r="A592" s="32" t="str">
        <f>B592&amp;"."&amp;IFERROR(MID(D592,FIND("(",D592)+1,FIND(")",D592)-FIND("(",D592)-1),"")</f>
        <v>84938.36959</v>
      </c>
      <c r="B592" s="33">
        <v>84938</v>
      </c>
      <c r="C592" s="32" t="s">
        <v>654</v>
      </c>
      <c r="D592" s="32" t="s">
        <v>938</v>
      </c>
      <c r="E592" s="32">
        <v>96461</v>
      </c>
      <c r="F592" s="32" t="s">
        <v>24</v>
      </c>
      <c r="G592" s="32" t="s">
        <v>51</v>
      </c>
      <c r="H592" s="34">
        <f>IFERROR(INDEX(Linha!$B$5:$B$788,MATCH(A592,Linha!$A$5:$A$788,0)),"NÃO CADASTRADO")</f>
      </c>
      <c r="I592" s="34">
        <f>IFERROR(INDEX(Linha!$C$5:$C$788,MATCH(A592,Linha!$A$5:$A$788,0)),"-")</f>
      </c>
      <c r="J592" s="35">
        <v>245</v>
      </c>
      <c r="K592" s="36">
        <f>IFERROR(INDEX(Linha!$D$5:$D$788,MATCH(A592,Linha!$A$5:$A$788,0))*1,0)</f>
      </c>
      <c r="L592" s="36">
        <f>SUMIFS(Reservas!$K$5:$K$3669,Reservas!$A$5:$A$3669,A592)</f>
      </c>
      <c r="M592" s="37">
        <f>J592-L592</f>
      </c>
      <c r="N592" s="38">
        <v>30.127</v>
      </c>
      <c r="O592" s="37">
        <f>J592*N592</f>
      </c>
      <c r="P592" s="37">
        <f>L592*N592</f>
      </c>
      <c r="Q592" s="39">
        <v>164.36985062</v>
      </c>
      <c r="R592" s="40">
        <f>J592*Q592</f>
      </c>
      <c r="S592" s="40">
        <f>L592*Q592</f>
      </c>
      <c r="T592" s="41">
        <f>IF(J592=0,0,L592/J592)</f>
      </c>
      <c r="U592" s="42">
        <f>IFERROR(INDEX(Paletes!$C$5:$C$393,MATCH(B592,Paletes!$A$5:$A$393,0)),"SEM CADASTRO")</f>
      </c>
      <c r="V592" s="36">
        <f>IFERROR(INDEX(Paletes!$D$5:$D$393,MATCH(B592,Paletes!$A$5:$A$393,0)),0)</f>
      </c>
      <c r="W592" s="43">
        <f>IF(V592=0,0,J592/V592)</f>
      </c>
      <c r="X592" s="43">
        <f>IF(V592=0,0,MAX(M592,0)/V592)</f>
      </c>
    </row>
    <row r="593" spans="1:24" x14ac:dyDescent="0.25">
      <c r="A593" s="20" t="str">
        <f>B593&amp;"."&amp;IFERROR(MID(D593,FIND("(",D593)+1,FIND(")",D593)-FIND("(",D593)-1),"")</f>
        <v>84795.40349</v>
      </c>
      <c r="B593" s="21">
        <v>84795</v>
      </c>
      <c r="C593" s="20" t="s">
        <v>368</v>
      </c>
      <c r="D593" s="20" t="s">
        <v>939</v>
      </c>
      <c r="E593" s="20">
        <v>96518</v>
      </c>
      <c r="F593" s="20" t="s">
        <v>26</v>
      </c>
      <c r="G593" s="20" t="s">
        <v>51</v>
      </c>
      <c r="H593" s="22">
        <f>IFERROR(INDEX(Linha!$B$5:$B$788,MATCH(A593,Linha!$A$5:$A$788,0)),"NÃO CADASTRADO")</f>
      </c>
      <c r="I593" s="22">
        <f>IFERROR(INDEX(Linha!$C$5:$C$788,MATCH(A593,Linha!$A$5:$A$788,0)),"-")</f>
      </c>
      <c r="J593" s="23">
        <v>156</v>
      </c>
      <c r="K593" s="24">
        <f>IFERROR(INDEX(Linha!$D$5:$D$788,MATCH(A593,Linha!$A$5:$A$788,0))*1,0)</f>
      </c>
      <c r="L593" s="24">
        <f>SUMIFS(Reservas!$K$5:$K$3669,Reservas!$A$5:$A$3669,A593)</f>
      </c>
      <c r="M593" s="25">
        <f>J593-L593</f>
      </c>
      <c r="N593" s="26">
        <v>58.792</v>
      </c>
      <c r="O593" s="25">
        <f>J593*N593</f>
      </c>
      <c r="P593" s="25">
        <f>L593*N593</f>
      </c>
      <c r="Q593" s="27">
        <v>294.83658051</v>
      </c>
      <c r="R593" s="28">
        <f>J593*Q593</f>
      </c>
      <c r="S593" s="28">
        <f>L593*Q593</f>
      </c>
      <c r="T593" s="29">
        <f>IF(J593=0,0,L593/J593)</f>
      </c>
      <c r="U593" s="30">
        <f>IFERROR(INDEX(Paletes!$C$5:$C$393,MATCH(B593,Paletes!$A$5:$A$393,0)),"SEM CADASTRO")</f>
      </c>
      <c r="V593" s="24">
        <f>IFERROR(INDEX(Paletes!$D$5:$D$393,MATCH(B593,Paletes!$A$5:$A$393,0)),0)</f>
      </c>
      <c r="W593" s="31">
        <f>IF(V593=0,0,J593/V593)</f>
      </c>
      <c r="X593" s="31">
        <f>IF(V593=0,0,MAX(M593,0)/V593)</f>
      </c>
    </row>
    <row r="594" spans="1:24" x14ac:dyDescent="0.25">
      <c r="A594" s="32" t="str">
        <f>B594&amp;"."&amp;IFERROR(MID(D594,FIND("(",D594)+1,FIND(")",D594)-FIND("(",D594)-1),"")</f>
        <v>84866.30886</v>
      </c>
      <c r="B594" s="33">
        <v>84866</v>
      </c>
      <c r="C594" s="32" t="s">
        <v>940</v>
      </c>
      <c r="D594" s="32" t="s">
        <v>941</v>
      </c>
      <c r="E594" s="32">
        <v>96617</v>
      </c>
      <c r="F594" s="32" t="s">
        <v>26</v>
      </c>
      <c r="G594" s="32" t="s">
        <v>51</v>
      </c>
      <c r="H594" s="34">
        <f>IFERROR(INDEX(Linha!$B$5:$B$788,MATCH(A594,Linha!$A$5:$A$788,0)),"NÃO CADASTRADO")</f>
      </c>
      <c r="I594" s="34">
        <f>IFERROR(INDEX(Linha!$C$5:$C$788,MATCH(A594,Linha!$A$5:$A$788,0)),"-")</f>
      </c>
      <c r="J594" s="35">
        <v>98</v>
      </c>
      <c r="K594" s="36">
        <f>IFERROR(INDEX(Linha!$D$5:$D$788,MATCH(A594,Linha!$A$5:$A$788,0))*1,0)</f>
      </c>
      <c r="L594" s="36">
        <f>SUMIFS(Reservas!$K$5:$K$3669,Reservas!$A$5:$A$3669,A594)</f>
      </c>
      <c r="M594" s="37">
        <f>J594-L594</f>
      </c>
      <c r="N594" s="38">
        <v>48.75</v>
      </c>
      <c r="O594" s="37">
        <f>J594*N594</f>
      </c>
      <c r="P594" s="37">
        <f>L594*N594</f>
      </c>
      <c r="Q594" s="39">
        <v>87.31064078</v>
      </c>
      <c r="R594" s="40">
        <f>J594*Q594</f>
      </c>
      <c r="S594" s="40">
        <f>L594*Q594</f>
      </c>
      <c r="T594" s="41">
        <f>IF(J594=0,0,L594/J594)</f>
      </c>
      <c r="U594" s="42">
        <f>IFERROR(INDEX(Paletes!$C$5:$C$393,MATCH(B594,Paletes!$A$5:$A$393,0)),"SEM CADASTRO")</f>
      </c>
      <c r="V594" s="36">
        <f>IFERROR(INDEX(Paletes!$D$5:$D$393,MATCH(B594,Paletes!$A$5:$A$393,0)),0)</f>
      </c>
      <c r="W594" s="43">
        <f>IF(V594=0,0,J594/V594)</f>
      </c>
      <c r="X594" s="43">
        <f>IF(V594=0,0,MAX(M594,0)/V594)</f>
      </c>
    </row>
    <row r="595" spans="1:24" x14ac:dyDescent="0.25">
      <c r="A595" s="20" t="str">
        <f>B595&amp;"."&amp;IFERROR(MID(D595,FIND("(",D595)+1,FIND(")",D595)-FIND("(",D595)-1),"")</f>
        <v>84866.30887</v>
      </c>
      <c r="B595" s="21">
        <v>84866</v>
      </c>
      <c r="C595" s="20" t="s">
        <v>940</v>
      </c>
      <c r="D595" s="20" t="s">
        <v>942</v>
      </c>
      <c r="E595" s="20">
        <v>96617</v>
      </c>
      <c r="F595" s="20" t="s">
        <v>26</v>
      </c>
      <c r="G595" s="20" t="s">
        <v>51</v>
      </c>
      <c r="H595" s="22">
        <f>IFERROR(INDEX(Linha!$B$5:$B$788,MATCH(A595,Linha!$A$5:$A$788,0)),"NÃO CADASTRADO")</f>
      </c>
      <c r="I595" s="22">
        <f>IFERROR(INDEX(Linha!$C$5:$C$788,MATCH(A595,Linha!$A$5:$A$788,0)),"-")</f>
      </c>
      <c r="J595" s="23">
        <v>0</v>
      </c>
      <c r="K595" s="24">
        <f>IFERROR(INDEX(Linha!$D$5:$D$788,MATCH(A595,Linha!$A$5:$A$788,0))*1,0)</f>
      </c>
      <c r="L595" s="24">
        <f>SUMIFS(Reservas!$K$5:$K$3669,Reservas!$A$5:$A$3669,A595)</f>
      </c>
      <c r="M595" s="25">
        <f>J595-L595</f>
      </c>
      <c r="N595" s="26">
        <v>48.75</v>
      </c>
      <c r="O595" s="25">
        <f>J595*N595</f>
      </c>
      <c r="P595" s="25">
        <f>L595*N595</f>
      </c>
      <c r="Q595" s="27">
        <v>162.28588009</v>
      </c>
      <c r="R595" s="28">
        <f>J595*Q595</f>
      </c>
      <c r="S595" s="28">
        <f>L595*Q595</f>
      </c>
      <c r="T595" s="29">
        <f>IF(J595=0,0,L595/J595)</f>
      </c>
      <c r="U595" s="30">
        <f>IFERROR(INDEX(Paletes!$C$5:$C$393,MATCH(B595,Paletes!$A$5:$A$393,0)),"SEM CADASTRO")</f>
      </c>
      <c r="V595" s="24">
        <f>IFERROR(INDEX(Paletes!$D$5:$D$393,MATCH(B595,Paletes!$A$5:$A$393,0)),0)</f>
      </c>
      <c r="W595" s="31">
        <f>IF(V595=0,0,J595/V595)</f>
      </c>
      <c r="X595" s="31">
        <f>IF(V595=0,0,MAX(M595,0)/V595)</f>
      </c>
    </row>
    <row r="596" spans="1:24" x14ac:dyDescent="0.25">
      <c r="A596" s="32" t="str">
        <f>B596&amp;"."&amp;IFERROR(MID(D596,FIND("(",D596)+1,FIND(")",D596)-FIND("(",D596)-1),"")</f>
        <v>84958.89592</v>
      </c>
      <c r="B596" s="33">
        <v>84958</v>
      </c>
      <c r="C596" s="32" t="s">
        <v>660</v>
      </c>
      <c r="D596" s="32" t="s">
        <v>943</v>
      </c>
      <c r="E596" s="32">
        <v>97474</v>
      </c>
      <c r="F596" s="32" t="s">
        <v>24</v>
      </c>
      <c r="G596" s="32" t="s">
        <v>51</v>
      </c>
      <c r="H596" s="34">
        <f>IFERROR(INDEX(Linha!$B$5:$B$788,MATCH(A596,Linha!$A$5:$A$788,0)),"NÃO CADASTRADO")</f>
      </c>
      <c r="I596" s="34">
        <f>IFERROR(INDEX(Linha!$C$5:$C$788,MATCH(A596,Linha!$A$5:$A$788,0)),"-")</f>
      </c>
      <c r="J596" s="35">
        <v>1</v>
      </c>
      <c r="K596" s="36">
        <f>IFERROR(INDEX(Linha!$D$5:$D$788,MATCH(A596,Linha!$A$5:$A$788,0))*1,0)</f>
      </c>
      <c r="L596" s="36">
        <f>SUMIFS(Reservas!$K$5:$K$3669,Reservas!$A$5:$A$3669,A596)</f>
      </c>
      <c r="M596" s="37">
        <f>J596-L596</f>
      </c>
      <c r="N596" s="38">
        <v>37.05</v>
      </c>
      <c r="O596" s="37">
        <f>J596*N596</f>
      </c>
      <c r="P596" s="37">
        <f>L596*N596</f>
      </c>
      <c r="Q596" s="39">
        <v>136.22289589</v>
      </c>
      <c r="R596" s="40">
        <f>J596*Q596</f>
      </c>
      <c r="S596" s="40">
        <f>L596*Q596</f>
      </c>
      <c r="T596" s="41">
        <f>IF(J596=0,0,L596/J596)</f>
      </c>
      <c r="U596" s="42">
        <f>IFERROR(INDEX(Paletes!$C$5:$C$393,MATCH(B596,Paletes!$A$5:$A$393,0)),"SEM CADASTRO")</f>
      </c>
      <c r="V596" s="36">
        <f>IFERROR(INDEX(Paletes!$D$5:$D$393,MATCH(B596,Paletes!$A$5:$A$393,0)),0)</f>
      </c>
      <c r="W596" s="43">
        <f>IF(V596=0,0,J596/V596)</f>
      </c>
      <c r="X596" s="43">
        <f>IF(V596=0,0,MAX(M596,0)/V596)</f>
      </c>
    </row>
    <row r="597" spans="1:24" x14ac:dyDescent="0.25">
      <c r="A597" s="20" t="str">
        <f>B597&amp;"."&amp;IFERROR(MID(D597,FIND("(",D597)+1,FIND(")",D597)-FIND("(",D597)-1),"")</f>
        <v>85259.46258</v>
      </c>
      <c r="B597" s="21">
        <v>85259</v>
      </c>
      <c r="C597" s="20" t="s">
        <v>944</v>
      </c>
      <c r="D597" s="20" t="s">
        <v>945</v>
      </c>
      <c r="E597" s="20">
        <v>97502</v>
      </c>
      <c r="F597" s="20" t="s">
        <v>24</v>
      </c>
      <c r="G597" s="20" t="s">
        <v>51</v>
      </c>
      <c r="H597" s="22">
        <f>IFERROR(INDEX(Linha!$B$5:$B$788,MATCH(A597,Linha!$A$5:$A$788,0)),"NÃO CADASTRADO")</f>
      </c>
      <c r="I597" s="22">
        <f>IFERROR(INDEX(Linha!$C$5:$C$788,MATCH(A597,Linha!$A$5:$A$788,0)),"-")</f>
      </c>
      <c r="J597" s="23">
        <v>6</v>
      </c>
      <c r="K597" s="24">
        <f>IFERROR(INDEX(Linha!$D$5:$D$788,MATCH(A597,Linha!$A$5:$A$788,0))*1,0)</f>
      </c>
      <c r="L597" s="24">
        <f>SUMIFS(Reservas!$K$5:$K$3669,Reservas!$A$5:$A$3669,A597)</f>
      </c>
      <c r="M597" s="25">
        <f>J597-L597</f>
      </c>
      <c r="N597" s="26">
        <v>19.5</v>
      </c>
      <c r="O597" s="25">
        <f>J597*N597</f>
      </c>
      <c r="P597" s="25">
        <f>L597*N597</f>
      </c>
      <c r="Q597" s="27">
        <v>74.90500649</v>
      </c>
      <c r="R597" s="28">
        <f>J597*Q597</f>
      </c>
      <c r="S597" s="28">
        <f>L597*Q597</f>
      </c>
      <c r="T597" s="29">
        <f>IF(J597=0,0,L597/J597)</f>
      </c>
      <c r="U597" s="30">
        <f>IFERROR(INDEX(Paletes!$C$5:$C$393,MATCH(B597,Paletes!$A$5:$A$393,0)),"SEM CADASTRO")</f>
      </c>
      <c r="V597" s="24">
        <f>IFERROR(INDEX(Paletes!$D$5:$D$393,MATCH(B597,Paletes!$A$5:$A$393,0)),0)</f>
      </c>
      <c r="W597" s="31">
        <f>IF(V597=0,0,J597/V597)</f>
      </c>
      <c r="X597" s="31">
        <f>IF(V597=0,0,MAX(M597,0)/V597)</f>
      </c>
    </row>
    <row r="598" spans="1:24" x14ac:dyDescent="0.25">
      <c r="A598" s="32" t="str">
        <f>B598&amp;"."&amp;IFERROR(MID(D598,FIND("(",D598)+1,FIND(")",D598)-FIND("(",D598)-1),"")</f>
        <v>85259.46259</v>
      </c>
      <c r="B598" s="33">
        <v>85259</v>
      </c>
      <c r="C598" s="32" t="s">
        <v>944</v>
      </c>
      <c r="D598" s="32" t="s">
        <v>946</v>
      </c>
      <c r="E598" s="32">
        <v>97502</v>
      </c>
      <c r="F598" s="32" t="s">
        <v>24</v>
      </c>
      <c r="G598" s="32" t="s">
        <v>51</v>
      </c>
      <c r="H598" s="34">
        <f>IFERROR(INDEX(Linha!$B$5:$B$788,MATCH(A598,Linha!$A$5:$A$788,0)),"NÃO CADASTRADO")</f>
      </c>
      <c r="I598" s="34">
        <f>IFERROR(INDEX(Linha!$C$5:$C$788,MATCH(A598,Linha!$A$5:$A$788,0)),"-")</f>
      </c>
      <c r="J598" s="35">
        <v>5</v>
      </c>
      <c r="K598" s="36">
        <f>IFERROR(INDEX(Linha!$D$5:$D$788,MATCH(A598,Linha!$A$5:$A$788,0))*1,0)</f>
      </c>
      <c r="L598" s="36">
        <f>SUMIFS(Reservas!$K$5:$K$3669,Reservas!$A$5:$A$3669,A598)</f>
      </c>
      <c r="M598" s="37">
        <f>J598-L598</f>
      </c>
      <c r="N598" s="38">
        <v>19.5</v>
      </c>
      <c r="O598" s="37">
        <f>J598*N598</f>
      </c>
      <c r="P598" s="37">
        <f>L598*N598</f>
      </c>
      <c r="Q598" s="39">
        <v>76.29119301</v>
      </c>
      <c r="R598" s="40">
        <f>J598*Q598</f>
      </c>
      <c r="S598" s="40">
        <f>L598*Q598</f>
      </c>
      <c r="T598" s="41">
        <f>IF(J598=0,0,L598/J598)</f>
      </c>
      <c r="U598" s="42">
        <f>IFERROR(INDEX(Paletes!$C$5:$C$393,MATCH(B598,Paletes!$A$5:$A$393,0)),"SEM CADASTRO")</f>
      </c>
      <c r="V598" s="36">
        <f>IFERROR(INDEX(Paletes!$D$5:$D$393,MATCH(B598,Paletes!$A$5:$A$393,0)),0)</f>
      </c>
      <c r="W598" s="43">
        <f>IF(V598=0,0,J598/V598)</f>
      </c>
      <c r="X598" s="43">
        <f>IF(V598=0,0,MAX(M598,0)/V598)</f>
      </c>
    </row>
    <row r="599" spans="1:24" x14ac:dyDescent="0.25">
      <c r="A599" s="20" t="str">
        <f>B599&amp;"."&amp;IFERROR(MID(D599,FIND("(",D599)+1,FIND(")",D599)-FIND("(",D599)-1),"")</f>
        <v>154.16635</v>
      </c>
      <c r="B599" s="21">
        <v>154</v>
      </c>
      <c r="C599" s="20" t="s">
        <v>670</v>
      </c>
      <c r="D599" s="20" t="s">
        <v>947</v>
      </c>
      <c r="E599" s="20">
        <v>591</v>
      </c>
      <c r="F599" s="20" t="s">
        <v>23</v>
      </c>
      <c r="G599" s="20" t="s">
        <v>51</v>
      </c>
      <c r="H599" s="22">
        <f>IFERROR(INDEX(Linha!$B$5:$B$788,MATCH(A599,Linha!$A$5:$A$788,0)),"NÃO CADASTRADO")</f>
      </c>
      <c r="I599" s="22">
        <f>IFERROR(INDEX(Linha!$C$5:$C$788,MATCH(A599,Linha!$A$5:$A$788,0)),"-")</f>
      </c>
      <c r="J599" s="23">
        <v>484</v>
      </c>
      <c r="K599" s="24">
        <f>IFERROR(INDEX(Linha!$D$5:$D$788,MATCH(A599,Linha!$A$5:$A$788,0))*1,0)</f>
      </c>
      <c r="L599" s="24">
        <f>SUMIFS(Reservas!$K$5:$K$3669,Reservas!$A$5:$A$3669,A599)</f>
      </c>
      <c r="M599" s="25">
        <f>J599-L599</f>
      </c>
      <c r="N599" s="26">
        <v>0.702</v>
      </c>
      <c r="O599" s="25">
        <f>J599*N599</f>
      </c>
      <c r="P599" s="25">
        <f>L599*N599</f>
      </c>
      <c r="Q599" s="27">
        <v>6.38689238</v>
      </c>
      <c r="R599" s="28">
        <f>J599*Q599</f>
      </c>
      <c r="S599" s="28">
        <f>L599*Q599</f>
      </c>
      <c r="T599" s="29">
        <f>IF(J599=0,0,L599/J599)</f>
      </c>
      <c r="U599" s="30">
        <f>IFERROR(INDEX(Paletes!$C$5:$C$393,MATCH(B599,Paletes!$A$5:$A$393,0)),"SEM CADASTRO")</f>
      </c>
      <c r="V599" s="24">
        <f>IFERROR(INDEX(Paletes!$D$5:$D$393,MATCH(B599,Paletes!$A$5:$A$393,0)),0)</f>
      </c>
      <c r="W599" s="31">
        <f>IF(V599=0,0,J599/V599)</f>
      </c>
      <c r="X599" s="31">
        <f>IF(V599=0,0,MAX(M599,0)/V599)</f>
      </c>
    </row>
    <row r="600" spans="1:24" x14ac:dyDescent="0.25">
      <c r="A600" s="32" t="str">
        <f>B600&amp;"."&amp;IFERROR(MID(D600,FIND("(",D600)+1,FIND(")",D600)-FIND("(",D600)-1),"")</f>
        <v>73026.16485</v>
      </c>
      <c r="B600" s="33">
        <v>73026</v>
      </c>
      <c r="C600" s="32" t="s">
        <v>948</v>
      </c>
      <c r="D600" s="32" t="s">
        <v>949</v>
      </c>
      <c r="E600" s="32">
        <v>5102</v>
      </c>
      <c r="F600" s="32" t="s">
        <v>23</v>
      </c>
      <c r="G600" s="32" t="s">
        <v>51</v>
      </c>
      <c r="H600" s="34">
        <f>IFERROR(INDEX(Linha!$B$5:$B$788,MATCH(A600,Linha!$A$5:$A$788,0)),"NÃO CADASTRADO")</f>
      </c>
      <c r="I600" s="34">
        <f>IFERROR(INDEX(Linha!$C$5:$C$788,MATCH(A600,Linha!$A$5:$A$788,0)),"-")</f>
      </c>
      <c r="J600" s="35">
        <v>410</v>
      </c>
      <c r="K600" s="36">
        <f>IFERROR(INDEX(Linha!$D$5:$D$788,MATCH(A600,Linha!$A$5:$A$788,0))*1,0)</f>
      </c>
      <c r="L600" s="36">
        <f>SUMIFS(Reservas!$K$5:$K$3669,Reservas!$A$5:$A$3669,A600)</f>
      </c>
      <c r="M600" s="37">
        <f>J600-L600</f>
      </c>
      <c r="N600" s="38">
        <v>0.39</v>
      </c>
      <c r="O600" s="37">
        <f>J600*N600</f>
      </c>
      <c r="P600" s="37">
        <f>L600*N600</f>
      </c>
      <c r="Q600" s="39">
        <v>3.29796982</v>
      </c>
      <c r="R600" s="40">
        <f>J600*Q600</f>
      </c>
      <c r="S600" s="40">
        <f>L600*Q600</f>
      </c>
      <c r="T600" s="41">
        <f>IF(J600=0,0,L600/J600)</f>
      </c>
      <c r="U600" s="42">
        <f>IFERROR(INDEX(Paletes!$C$5:$C$393,MATCH(B600,Paletes!$A$5:$A$393,0)),"SEM CADASTRO")</f>
      </c>
      <c r="V600" s="36">
        <f>IFERROR(INDEX(Paletes!$D$5:$D$393,MATCH(B600,Paletes!$A$5:$A$393,0)),0)</f>
      </c>
      <c r="W600" s="43">
        <f>IF(V600=0,0,J600/V600)</f>
      </c>
      <c r="X600" s="43">
        <f>IF(V600=0,0,MAX(M600,0)/V600)</f>
      </c>
    </row>
    <row r="601" spans="1:24" x14ac:dyDescent="0.25">
      <c r="A601" s="20" t="str">
        <f>B601&amp;"."&amp;IFERROR(MID(D601,FIND("(",D601)+1,FIND(")",D601)-FIND("(",D601)-1),"")</f>
        <v>73026.16486</v>
      </c>
      <c r="B601" s="21">
        <v>73026</v>
      </c>
      <c r="C601" s="20" t="s">
        <v>948</v>
      </c>
      <c r="D601" s="20" t="s">
        <v>950</v>
      </c>
      <c r="E601" s="20">
        <v>5102</v>
      </c>
      <c r="F601" s="20" t="s">
        <v>23</v>
      </c>
      <c r="G601" s="20" t="s">
        <v>51</v>
      </c>
      <c r="H601" s="22">
        <f>IFERROR(INDEX(Linha!$B$5:$B$788,MATCH(A601,Linha!$A$5:$A$788,0)),"NÃO CADASTRADO")</f>
      </c>
      <c r="I601" s="22">
        <f>IFERROR(INDEX(Linha!$C$5:$C$788,MATCH(A601,Linha!$A$5:$A$788,0)),"-")</f>
      </c>
      <c r="J601" s="23">
        <v>96</v>
      </c>
      <c r="K601" s="24">
        <f>IFERROR(INDEX(Linha!$D$5:$D$788,MATCH(A601,Linha!$A$5:$A$788,0))*1,0)</f>
      </c>
      <c r="L601" s="24">
        <f>SUMIFS(Reservas!$K$5:$K$3669,Reservas!$A$5:$A$3669,A601)</f>
      </c>
      <c r="M601" s="25">
        <f>J601-L601</f>
      </c>
      <c r="N601" s="26">
        <v>0.39</v>
      </c>
      <c r="O601" s="25">
        <f>J601*N601</f>
      </c>
      <c r="P601" s="25">
        <f>L601*N601</f>
      </c>
      <c r="Q601" s="27">
        <v>3.41282483</v>
      </c>
      <c r="R601" s="28">
        <f>J601*Q601</f>
      </c>
      <c r="S601" s="28">
        <f>L601*Q601</f>
      </c>
      <c r="T601" s="29">
        <f>IF(J601=0,0,L601/J601)</f>
      </c>
      <c r="U601" s="30">
        <f>IFERROR(INDEX(Paletes!$C$5:$C$393,MATCH(B601,Paletes!$A$5:$A$393,0)),"SEM CADASTRO")</f>
      </c>
      <c r="V601" s="24">
        <f>IFERROR(INDEX(Paletes!$D$5:$D$393,MATCH(B601,Paletes!$A$5:$A$393,0)),0)</f>
      </c>
      <c r="W601" s="31">
        <f>IF(V601=0,0,J601/V601)</f>
      </c>
      <c r="X601" s="31">
        <f>IF(V601=0,0,MAX(M601,0)/V601)</f>
      </c>
    </row>
    <row r="602" spans="1:24" x14ac:dyDescent="0.25">
      <c r="A602" s="32" t="str">
        <f>B602&amp;"."&amp;IFERROR(MID(D602,FIND("(",D602)+1,FIND(")",D602)-FIND("(",D602)-1),"")</f>
        <v>73026.16487</v>
      </c>
      <c r="B602" s="33">
        <v>73026</v>
      </c>
      <c r="C602" s="32" t="s">
        <v>948</v>
      </c>
      <c r="D602" s="32" t="s">
        <v>951</v>
      </c>
      <c r="E602" s="32">
        <v>5102</v>
      </c>
      <c r="F602" s="32" t="s">
        <v>23</v>
      </c>
      <c r="G602" s="32" t="s">
        <v>51</v>
      </c>
      <c r="H602" s="34">
        <f>IFERROR(INDEX(Linha!$B$5:$B$788,MATCH(A602,Linha!$A$5:$A$788,0)),"NÃO CADASTRADO")</f>
      </c>
      <c r="I602" s="34">
        <f>IFERROR(INDEX(Linha!$C$5:$C$788,MATCH(A602,Linha!$A$5:$A$788,0)),"-")</f>
      </c>
      <c r="J602" s="35">
        <v>16</v>
      </c>
      <c r="K602" s="36">
        <f>IFERROR(INDEX(Linha!$D$5:$D$788,MATCH(A602,Linha!$A$5:$A$788,0))*1,0)</f>
      </c>
      <c r="L602" s="36">
        <f>SUMIFS(Reservas!$K$5:$K$3669,Reservas!$A$5:$A$3669,A602)</f>
      </c>
      <c r="M602" s="37">
        <f>J602-L602</f>
      </c>
      <c r="N602" s="38">
        <v>0.39</v>
      </c>
      <c r="O602" s="37">
        <f>J602*N602</f>
      </c>
      <c r="P602" s="37">
        <f>L602*N602</f>
      </c>
      <c r="Q602" s="39">
        <v>3.67943351</v>
      </c>
      <c r="R602" s="40">
        <f>J602*Q602</f>
      </c>
      <c r="S602" s="40">
        <f>L602*Q602</f>
      </c>
      <c r="T602" s="41">
        <f>IF(J602=0,0,L602/J602)</f>
      </c>
      <c r="U602" s="42">
        <f>IFERROR(INDEX(Paletes!$C$5:$C$393,MATCH(B602,Paletes!$A$5:$A$393,0)),"SEM CADASTRO")</f>
      </c>
      <c r="V602" s="36">
        <f>IFERROR(INDEX(Paletes!$D$5:$D$393,MATCH(B602,Paletes!$A$5:$A$393,0)),0)</f>
      </c>
      <c r="W602" s="43">
        <f>IF(V602=0,0,J602/V602)</f>
      </c>
      <c r="X602" s="43">
        <f>IF(V602=0,0,MAX(M602,0)/V602)</f>
      </c>
    </row>
    <row r="603" spans="1:24" x14ac:dyDescent="0.25">
      <c r="A603" s="20" t="str">
        <f>B603&amp;"."&amp;IFERROR(MID(D603,FIND("(",D603)+1,FIND(")",D603)-FIND("(",D603)-1),"")</f>
        <v>185.12422</v>
      </c>
      <c r="B603" s="21">
        <v>185</v>
      </c>
      <c r="C603" s="20" t="s">
        <v>386</v>
      </c>
      <c r="D603" s="20" t="s">
        <v>952</v>
      </c>
      <c r="E603" s="20">
        <v>39082</v>
      </c>
      <c r="F603" s="20" t="s">
        <v>26</v>
      </c>
      <c r="G603" s="20" t="s">
        <v>51</v>
      </c>
      <c r="H603" s="22">
        <f>IFERROR(INDEX(Linha!$B$5:$B$788,MATCH(A603,Linha!$A$5:$A$788,0)),"NÃO CADASTRADO")</f>
      </c>
      <c r="I603" s="22">
        <f>IFERROR(INDEX(Linha!$C$5:$C$788,MATCH(A603,Linha!$A$5:$A$788,0)),"-")</f>
      </c>
      <c r="J603" s="23">
        <v>0</v>
      </c>
      <c r="K603" s="24">
        <f>IFERROR(INDEX(Linha!$D$5:$D$788,MATCH(A603,Linha!$A$5:$A$788,0))*1,0)</f>
      </c>
      <c r="L603" s="24">
        <f>SUMIFS(Reservas!$K$5:$K$3669,Reservas!$A$5:$A$3669,A603)</f>
      </c>
      <c r="M603" s="25">
        <f>J603-L603</f>
      </c>
      <c r="N603" s="26">
        <v>28.08</v>
      </c>
      <c r="O603" s="25">
        <f>J603*N603</f>
      </c>
      <c r="P603" s="25">
        <f>L603*N603</f>
      </c>
      <c r="Q603" s="27">
        <v>95.20370693</v>
      </c>
      <c r="R603" s="28">
        <f>J603*Q603</f>
      </c>
      <c r="S603" s="28">
        <f>L603*Q603</f>
      </c>
      <c r="T603" s="29">
        <f>IF(J603=0,0,L603/J603)</f>
      </c>
      <c r="U603" s="30">
        <f>IFERROR(INDEX(Paletes!$C$5:$C$393,MATCH(B603,Paletes!$A$5:$A$393,0)),"SEM CADASTRO")</f>
      </c>
      <c r="V603" s="24">
        <f>IFERROR(INDEX(Paletes!$D$5:$D$393,MATCH(B603,Paletes!$A$5:$A$393,0)),0)</f>
      </c>
      <c r="W603" s="31">
        <f>IF(V603=0,0,J603/V603)</f>
      </c>
      <c r="X603" s="31">
        <f>IF(V603=0,0,MAX(M603,0)/V603)</f>
      </c>
    </row>
    <row r="604" spans="1:24" x14ac:dyDescent="0.25">
      <c r="A604" s="32" t="str">
        <f>B604&amp;"."&amp;IFERROR(MID(D604,FIND("(",D604)+1,FIND(")",D604)-FIND("(",D604)-1),"")</f>
        <v>102.12222</v>
      </c>
      <c r="B604" s="33">
        <v>102</v>
      </c>
      <c r="C604" s="32" t="s">
        <v>58</v>
      </c>
      <c r="D604" s="32" t="s">
        <v>953</v>
      </c>
      <c r="E604" s="32">
        <v>39131</v>
      </c>
      <c r="F604" s="32" t="s">
        <v>26</v>
      </c>
      <c r="G604" s="32" t="s">
        <v>51</v>
      </c>
      <c r="H604" s="34">
        <f>IFERROR(INDEX(Linha!$B$5:$B$788,MATCH(A604,Linha!$A$5:$A$788,0)),"NÃO CADASTRADO")</f>
      </c>
      <c r="I604" s="34">
        <f>IFERROR(INDEX(Linha!$C$5:$C$788,MATCH(A604,Linha!$A$5:$A$788,0)),"-")</f>
      </c>
      <c r="J604" s="35">
        <v>470</v>
      </c>
      <c r="K604" s="36">
        <f>IFERROR(INDEX(Linha!$D$5:$D$788,MATCH(A604,Linha!$A$5:$A$788,0))*1,0)</f>
      </c>
      <c r="L604" s="36">
        <f>SUMIFS(Reservas!$K$5:$K$3669,Reservas!$A$5:$A$3669,A604)</f>
      </c>
      <c r="M604" s="37">
        <f>J604-L604</f>
      </c>
      <c r="N604" s="38">
        <v>38.61</v>
      </c>
      <c r="O604" s="37">
        <f>J604*N604</f>
      </c>
      <c r="P604" s="37">
        <f>L604*N604</f>
      </c>
      <c r="Q604" s="39">
        <v>132.59586575</v>
      </c>
      <c r="R604" s="40">
        <f>J604*Q604</f>
      </c>
      <c r="S604" s="40">
        <f>L604*Q604</f>
      </c>
      <c r="T604" s="41">
        <f>IF(J604=0,0,L604/J604)</f>
      </c>
      <c r="U604" s="42">
        <f>IFERROR(INDEX(Paletes!$C$5:$C$393,MATCH(B604,Paletes!$A$5:$A$393,0)),"SEM CADASTRO")</f>
      </c>
      <c r="V604" s="36">
        <f>IFERROR(INDEX(Paletes!$D$5:$D$393,MATCH(B604,Paletes!$A$5:$A$393,0)),0)</f>
      </c>
      <c r="W604" s="43">
        <f>IF(V604=0,0,J604/V604)</f>
      </c>
      <c r="X604" s="43">
        <f>IF(V604=0,0,MAX(M604,0)/V604)</f>
      </c>
    </row>
    <row r="605" spans="1:24" x14ac:dyDescent="0.25">
      <c r="A605" s="20" t="str">
        <f>B605&amp;"."&amp;IFERROR(MID(D605,FIND("(",D605)+1,FIND(")",D605)-FIND("(",D605)-1),"")</f>
        <v>73175.15747</v>
      </c>
      <c r="B605" s="21">
        <v>73175</v>
      </c>
      <c r="C605" s="20" t="s">
        <v>232</v>
      </c>
      <c r="D605" s="20" t="s">
        <v>954</v>
      </c>
      <c r="E605" s="20">
        <v>40568</v>
      </c>
      <c r="F605" s="20" t="s">
        <v>24</v>
      </c>
      <c r="G605" s="20" t="s">
        <v>51</v>
      </c>
      <c r="H605" s="22">
        <f>IFERROR(INDEX(Linha!$B$5:$B$788,MATCH(A605,Linha!$A$5:$A$788,0)),"NÃO CADASTRADO")</f>
      </c>
      <c r="I605" s="22">
        <f>IFERROR(INDEX(Linha!$C$5:$C$788,MATCH(A605,Linha!$A$5:$A$788,0)),"-")</f>
      </c>
      <c r="J605" s="23">
        <v>192</v>
      </c>
      <c r="K605" s="24">
        <f>IFERROR(INDEX(Linha!$D$5:$D$788,MATCH(A605,Linha!$A$5:$A$788,0))*1,0)</f>
      </c>
      <c r="L605" s="24">
        <f>SUMIFS(Reservas!$K$5:$K$3669,Reservas!$A$5:$A$3669,A605)</f>
      </c>
      <c r="M605" s="25">
        <f>J605-L605</f>
      </c>
      <c r="N605" s="26">
        <v>16.09</v>
      </c>
      <c r="O605" s="25">
        <f>J605*N605</f>
      </c>
      <c r="P605" s="25">
        <f>L605*N605</f>
      </c>
      <c r="Q605" s="27">
        <v>115.58314682</v>
      </c>
      <c r="R605" s="28">
        <f>J605*Q605</f>
      </c>
      <c r="S605" s="28">
        <f>L605*Q605</f>
      </c>
      <c r="T605" s="29">
        <f>IF(J605=0,0,L605/J605)</f>
      </c>
      <c r="U605" s="30">
        <f>IFERROR(INDEX(Paletes!$C$5:$C$393,MATCH(B605,Paletes!$A$5:$A$393,0)),"SEM CADASTRO")</f>
      </c>
      <c r="V605" s="24">
        <f>IFERROR(INDEX(Paletes!$D$5:$D$393,MATCH(B605,Paletes!$A$5:$A$393,0)),0)</f>
      </c>
      <c r="W605" s="31">
        <f>IF(V605=0,0,J605/V605)</f>
      </c>
      <c r="X605" s="31">
        <f>IF(V605=0,0,MAX(M605,0)/V605)</f>
      </c>
    </row>
    <row r="606" spans="1:24" x14ac:dyDescent="0.25">
      <c r="A606" s="32" t="str">
        <f>B606&amp;"."&amp;IFERROR(MID(D606,FIND("(",D606)+1,FIND(")",D606)-FIND("(",D606)-1),"")</f>
        <v>73145.23988</v>
      </c>
      <c r="B606" s="33">
        <v>73145</v>
      </c>
      <c r="C606" s="32" t="s">
        <v>63</v>
      </c>
      <c r="D606" s="32" t="s">
        <v>955</v>
      </c>
      <c r="E606" s="32">
        <v>40598</v>
      </c>
      <c r="F606" s="32" t="s">
        <v>24</v>
      </c>
      <c r="G606" s="32" t="s">
        <v>51</v>
      </c>
      <c r="H606" s="34">
        <f>IFERROR(INDEX(Linha!$B$5:$B$788,MATCH(A606,Linha!$A$5:$A$788,0)),"NÃO CADASTRADO")</f>
      </c>
      <c r="I606" s="34">
        <f>IFERROR(INDEX(Linha!$C$5:$C$788,MATCH(A606,Linha!$A$5:$A$788,0)),"-")</f>
      </c>
      <c r="J606" s="35">
        <v>696</v>
      </c>
      <c r="K606" s="36">
        <f>IFERROR(INDEX(Linha!$D$5:$D$788,MATCH(A606,Linha!$A$5:$A$788,0))*1,0)</f>
      </c>
      <c r="L606" s="36">
        <f>SUMIFS(Reservas!$K$5:$K$3669,Reservas!$A$5:$A$3669,A606)</f>
      </c>
      <c r="M606" s="37">
        <f>J606-L606</f>
      </c>
      <c r="N606" s="38">
        <v>17.16</v>
      </c>
      <c r="O606" s="37">
        <f>J606*N606</f>
      </c>
      <c r="P606" s="37">
        <f>L606*N606</f>
      </c>
      <c r="Q606" s="39">
        <v>88.89602986</v>
      </c>
      <c r="R606" s="40">
        <f>J606*Q606</f>
      </c>
      <c r="S606" s="40">
        <f>L606*Q606</f>
      </c>
      <c r="T606" s="41">
        <f>IF(J606=0,0,L606/J606)</f>
      </c>
      <c r="U606" s="42">
        <f>IFERROR(INDEX(Paletes!$C$5:$C$393,MATCH(B606,Paletes!$A$5:$A$393,0)),"SEM CADASTRO")</f>
      </c>
      <c r="V606" s="36">
        <f>IFERROR(INDEX(Paletes!$D$5:$D$393,MATCH(B606,Paletes!$A$5:$A$393,0)),0)</f>
      </c>
      <c r="W606" s="43">
        <f>IF(V606=0,0,J606/V606)</f>
      </c>
      <c r="X606" s="43">
        <f>IF(V606=0,0,MAX(M606,0)/V606)</f>
      </c>
    </row>
    <row r="607" spans="1:24" x14ac:dyDescent="0.25">
      <c r="A607" s="20" t="str">
        <f>B607&amp;"."&amp;IFERROR(MID(D607,FIND("(",D607)+1,FIND(")",D607)-FIND("(",D607)-1),"")</f>
        <v>73276.15752</v>
      </c>
      <c r="B607" s="21">
        <v>73276</v>
      </c>
      <c r="C607" s="20" t="s">
        <v>235</v>
      </c>
      <c r="D607" s="20" t="s">
        <v>956</v>
      </c>
      <c r="E607" s="20">
        <v>41596</v>
      </c>
      <c r="F607" s="20" t="s">
        <v>24</v>
      </c>
      <c r="G607" s="20" t="s">
        <v>51</v>
      </c>
      <c r="H607" s="22">
        <f>IFERROR(INDEX(Linha!$B$5:$B$788,MATCH(A607,Linha!$A$5:$A$788,0)),"NÃO CADASTRADO")</f>
      </c>
      <c r="I607" s="22">
        <f>IFERROR(INDEX(Linha!$C$5:$C$788,MATCH(A607,Linha!$A$5:$A$788,0)),"-")</f>
      </c>
      <c r="J607" s="23">
        <v>435</v>
      </c>
      <c r="K607" s="24">
        <f>IFERROR(INDEX(Linha!$D$5:$D$788,MATCH(A607,Linha!$A$5:$A$788,0))*1,0)</f>
      </c>
      <c r="L607" s="24">
        <f>SUMIFS(Reservas!$K$5:$K$3669,Reservas!$A$5:$A$3669,A607)</f>
      </c>
      <c r="M607" s="25">
        <f>J607-L607</f>
      </c>
      <c r="N607" s="26">
        <v>29.767</v>
      </c>
      <c r="O607" s="25">
        <f>J607*N607</f>
      </c>
      <c r="P607" s="25">
        <f>L607*N607</f>
      </c>
      <c r="Q607" s="27">
        <v>103.80110977</v>
      </c>
      <c r="R607" s="28">
        <f>J607*Q607</f>
      </c>
      <c r="S607" s="28">
        <f>L607*Q607</f>
      </c>
      <c r="T607" s="29">
        <f>IF(J607=0,0,L607/J607)</f>
      </c>
      <c r="U607" s="30">
        <f>IFERROR(INDEX(Paletes!$C$5:$C$393,MATCH(B607,Paletes!$A$5:$A$393,0)),"SEM CADASTRO")</f>
      </c>
      <c r="V607" s="24">
        <f>IFERROR(INDEX(Paletes!$D$5:$D$393,MATCH(B607,Paletes!$A$5:$A$393,0)),0)</f>
      </c>
      <c r="W607" s="31">
        <f>IF(V607=0,0,J607/V607)</f>
      </c>
      <c r="X607" s="31">
        <f>IF(V607=0,0,MAX(M607,0)/V607)</f>
      </c>
    </row>
    <row r="608" spans="1:24" x14ac:dyDescent="0.25">
      <c r="A608" s="32" t="str">
        <f>B608&amp;"."&amp;IFERROR(MID(D608,FIND("(",D608)+1,FIND(")",D608)-FIND("(",D608)-1),"")</f>
        <v>156.15498</v>
      </c>
      <c r="B608" s="33">
        <v>156</v>
      </c>
      <c r="C608" s="32" t="s">
        <v>65</v>
      </c>
      <c r="D608" s="32" t="s">
        <v>957</v>
      </c>
      <c r="E608" s="32">
        <v>41606</v>
      </c>
      <c r="F608" s="32" t="s">
        <v>24</v>
      </c>
      <c r="G608" s="32" t="s">
        <v>51</v>
      </c>
      <c r="H608" s="34">
        <f>IFERROR(INDEX(Linha!$B$5:$B$788,MATCH(A608,Linha!$A$5:$A$788,0)),"NÃO CADASTRADO")</f>
      </c>
      <c r="I608" s="34">
        <f>IFERROR(INDEX(Linha!$C$5:$C$788,MATCH(A608,Linha!$A$5:$A$788,0)),"-")</f>
      </c>
      <c r="J608" s="35">
        <v>254</v>
      </c>
      <c r="K608" s="36">
        <f>IFERROR(INDEX(Linha!$D$5:$D$788,MATCH(A608,Linha!$A$5:$A$788,0))*1,0)</f>
      </c>
      <c r="L608" s="36">
        <f>SUMIFS(Reservas!$K$5:$K$3669,Reservas!$A$5:$A$3669,A608)</f>
      </c>
      <c r="M608" s="37">
        <f>J608-L608</f>
      </c>
      <c r="N608" s="38">
        <v>17.843</v>
      </c>
      <c r="O608" s="37">
        <f>J608*N608</f>
      </c>
      <c r="P608" s="37">
        <f>L608*N608</f>
      </c>
      <c r="Q608" s="39">
        <v>103.2832144</v>
      </c>
      <c r="R608" s="40">
        <f>J608*Q608</f>
      </c>
      <c r="S608" s="40">
        <f>L608*Q608</f>
      </c>
      <c r="T608" s="41">
        <f>IF(J608=0,0,L608/J608)</f>
      </c>
      <c r="U608" s="42">
        <f>IFERROR(INDEX(Paletes!$C$5:$C$393,MATCH(B608,Paletes!$A$5:$A$393,0)),"SEM CADASTRO")</f>
      </c>
      <c r="V608" s="36">
        <f>IFERROR(INDEX(Paletes!$D$5:$D$393,MATCH(B608,Paletes!$A$5:$A$393,0)),0)</f>
      </c>
      <c r="W608" s="43">
        <f>IF(V608=0,0,J608/V608)</f>
      </c>
      <c r="X608" s="43">
        <f>IF(V608=0,0,MAX(M608,0)/V608)</f>
      </c>
    </row>
    <row r="609" spans="1:24" x14ac:dyDescent="0.25">
      <c r="A609" s="20" t="str">
        <f>B609&amp;"."&amp;IFERROR(MID(D609,FIND("(",D609)+1,FIND(")",D609)-FIND("(",D609)-1),"")</f>
        <v>73507.16462</v>
      </c>
      <c r="B609" s="21">
        <v>73507</v>
      </c>
      <c r="C609" s="20" t="s">
        <v>958</v>
      </c>
      <c r="D609" s="20" t="s">
        <v>959</v>
      </c>
      <c r="E609" s="20">
        <v>45639</v>
      </c>
      <c r="F609" s="20" t="s">
        <v>25</v>
      </c>
      <c r="G609" s="20" t="s">
        <v>51</v>
      </c>
      <c r="H609" s="22">
        <f>IFERROR(INDEX(Linha!$B$5:$B$788,MATCH(A609,Linha!$A$5:$A$788,0)),"NÃO CADASTRADO")</f>
      </c>
      <c r="I609" s="22">
        <f>IFERROR(INDEX(Linha!$C$5:$C$788,MATCH(A609,Linha!$A$5:$A$788,0)),"-")</f>
      </c>
      <c r="J609" s="23">
        <v>122</v>
      </c>
      <c r="K609" s="24">
        <f>IFERROR(INDEX(Linha!$D$5:$D$788,MATCH(A609,Linha!$A$5:$A$788,0))*1,0)</f>
      </c>
      <c r="L609" s="24">
        <f>SUMIFS(Reservas!$K$5:$K$3669,Reservas!$A$5:$A$3669,A609)</f>
      </c>
      <c r="M609" s="25">
        <f>J609-L609</f>
      </c>
      <c r="N609" s="26">
        <v>23.01</v>
      </c>
      <c r="O609" s="25">
        <f>J609*N609</f>
      </c>
      <c r="P609" s="25">
        <f>L609*N609</f>
      </c>
      <c r="Q609" s="27">
        <v>113.74420744</v>
      </c>
      <c r="R609" s="28">
        <f>J609*Q609</f>
      </c>
      <c r="S609" s="28">
        <f>L609*Q609</f>
      </c>
      <c r="T609" s="29">
        <f>IF(J609=0,0,L609/J609)</f>
      </c>
      <c r="U609" s="30">
        <f>IFERROR(INDEX(Paletes!$C$5:$C$393,MATCH(B609,Paletes!$A$5:$A$393,0)),"SEM CADASTRO")</f>
      </c>
      <c r="V609" s="24">
        <f>IFERROR(INDEX(Paletes!$D$5:$D$393,MATCH(B609,Paletes!$A$5:$A$393,0)),0)</f>
      </c>
      <c r="W609" s="31">
        <f>IF(V609=0,0,J609/V609)</f>
      </c>
      <c r="X609" s="31">
        <f>IF(V609=0,0,MAX(M609,0)/V609)</f>
      </c>
    </row>
    <row r="610" spans="1:24" x14ac:dyDescent="0.25">
      <c r="A610" s="32" t="str">
        <f>B610&amp;"."&amp;IFERROR(MID(D610,FIND("(",D610)+1,FIND(")",D610)-FIND("(",D610)-1),"")</f>
        <v>2406.12364</v>
      </c>
      <c r="B610" s="33">
        <v>2406</v>
      </c>
      <c r="C610" s="32" t="s">
        <v>678</v>
      </c>
      <c r="D610" s="32" t="s">
        <v>960</v>
      </c>
      <c r="E610" s="32">
        <v>45889</v>
      </c>
      <c r="F610" s="32" t="s">
        <v>26</v>
      </c>
      <c r="G610" s="32" t="s">
        <v>51</v>
      </c>
      <c r="H610" s="34">
        <f>IFERROR(INDEX(Linha!$B$5:$B$788,MATCH(A610,Linha!$A$5:$A$788,0)),"NÃO CADASTRADO")</f>
      </c>
      <c r="I610" s="34">
        <f>IFERROR(INDEX(Linha!$C$5:$C$788,MATCH(A610,Linha!$A$5:$A$788,0)),"-")</f>
      </c>
      <c r="J610" s="35">
        <v>210</v>
      </c>
      <c r="K610" s="36">
        <f>IFERROR(INDEX(Linha!$D$5:$D$788,MATCH(A610,Linha!$A$5:$A$788,0))*1,0)</f>
      </c>
      <c r="L610" s="36">
        <f>SUMIFS(Reservas!$K$5:$K$3669,Reservas!$A$5:$A$3669,A610)</f>
      </c>
      <c r="M610" s="37">
        <f>J610-L610</f>
      </c>
      <c r="N610" s="38">
        <v>64.35</v>
      </c>
      <c r="O610" s="37">
        <f>J610*N610</f>
      </c>
      <c r="P610" s="37">
        <f>L610*N610</f>
      </c>
      <c r="Q610" s="39">
        <v>352.37200673</v>
      </c>
      <c r="R610" s="40">
        <f>J610*Q610</f>
      </c>
      <c r="S610" s="40">
        <f>L610*Q610</f>
      </c>
      <c r="T610" s="41">
        <f>IF(J610=0,0,L610/J610)</f>
      </c>
      <c r="U610" s="42">
        <f>IFERROR(INDEX(Paletes!$C$5:$C$393,MATCH(B610,Paletes!$A$5:$A$393,0)),"SEM CADASTRO")</f>
      </c>
      <c r="V610" s="36">
        <f>IFERROR(INDEX(Paletes!$D$5:$D$393,MATCH(B610,Paletes!$A$5:$A$393,0)),0)</f>
      </c>
      <c r="W610" s="43">
        <f>IF(V610=0,0,J610/V610)</f>
      </c>
      <c r="X610" s="43">
        <f>IF(V610=0,0,MAX(M610,0)/V610)</f>
      </c>
    </row>
    <row r="611" spans="1:24" x14ac:dyDescent="0.25">
      <c r="A611" s="20" t="str">
        <f>B611&amp;"."&amp;IFERROR(MID(D611,FIND("(",D611)+1,FIND(")",D611)-FIND("(",D611)-1),"")</f>
        <v>2409.13900</v>
      </c>
      <c r="B611" s="21">
        <v>2409</v>
      </c>
      <c r="C611" s="20" t="s">
        <v>848</v>
      </c>
      <c r="D611" s="20" t="s">
        <v>961</v>
      </c>
      <c r="E611" s="20">
        <v>45893</v>
      </c>
      <c r="F611" s="20" t="s">
        <v>26</v>
      </c>
      <c r="G611" s="20" t="s">
        <v>51</v>
      </c>
      <c r="H611" s="22">
        <f>IFERROR(INDEX(Linha!$B$5:$B$788,MATCH(A611,Linha!$A$5:$A$788,0)),"NÃO CADASTRADO")</f>
      </c>
      <c r="I611" s="22">
        <f>IFERROR(INDEX(Linha!$C$5:$C$788,MATCH(A611,Linha!$A$5:$A$788,0)),"-")</f>
      </c>
      <c r="J611" s="23">
        <v>70</v>
      </c>
      <c r="K611" s="24">
        <f>IFERROR(INDEX(Linha!$D$5:$D$788,MATCH(A611,Linha!$A$5:$A$788,0))*1,0)</f>
      </c>
      <c r="L611" s="24">
        <f>SUMIFS(Reservas!$K$5:$K$3669,Reservas!$A$5:$A$3669,A611)</f>
      </c>
      <c r="M611" s="25">
        <f>J611-L611</f>
      </c>
      <c r="N611" s="26">
        <v>57.037</v>
      </c>
      <c r="O611" s="25">
        <f>J611*N611</f>
      </c>
      <c r="P611" s="25">
        <f>L611*N611</f>
      </c>
      <c r="Q611" s="27">
        <v>154.83517539</v>
      </c>
      <c r="R611" s="28">
        <f>J611*Q611</f>
      </c>
      <c r="S611" s="28">
        <f>L611*Q611</f>
      </c>
      <c r="T611" s="29">
        <f>IF(J611=0,0,L611/J611)</f>
      </c>
      <c r="U611" s="30">
        <f>IFERROR(INDEX(Paletes!$C$5:$C$393,MATCH(B611,Paletes!$A$5:$A$393,0)),"SEM CADASTRO")</f>
      </c>
      <c r="V611" s="24">
        <f>IFERROR(INDEX(Paletes!$D$5:$D$393,MATCH(B611,Paletes!$A$5:$A$393,0)),0)</f>
      </c>
      <c r="W611" s="31">
        <f>IF(V611=0,0,J611/V611)</f>
      </c>
      <c r="X611" s="31">
        <f>IF(V611=0,0,MAX(M611,0)/V611)</f>
      </c>
    </row>
    <row r="612" spans="1:24" x14ac:dyDescent="0.25">
      <c r="A612" s="32" t="str">
        <f>B612&amp;"."&amp;IFERROR(MID(D612,FIND("(",D612)+1,FIND(")",D612)-FIND("(",D612)-1),"")</f>
        <v>2409.13902</v>
      </c>
      <c r="B612" s="33">
        <v>2409</v>
      </c>
      <c r="C612" s="32" t="s">
        <v>848</v>
      </c>
      <c r="D612" s="32" t="s">
        <v>962</v>
      </c>
      <c r="E612" s="32">
        <v>45893</v>
      </c>
      <c r="F612" s="32" t="s">
        <v>26</v>
      </c>
      <c r="G612" s="32" t="s">
        <v>51</v>
      </c>
      <c r="H612" s="34">
        <f>IFERROR(INDEX(Linha!$B$5:$B$788,MATCH(A612,Linha!$A$5:$A$788,0)),"NÃO CADASTRADO")</f>
      </c>
      <c r="I612" s="34">
        <f>IFERROR(INDEX(Linha!$C$5:$C$788,MATCH(A612,Linha!$A$5:$A$788,0)),"-")</f>
      </c>
      <c r="J612" s="35">
        <v>233</v>
      </c>
      <c r="K612" s="36">
        <f>IFERROR(INDEX(Linha!$D$5:$D$788,MATCH(A612,Linha!$A$5:$A$788,0))*1,0)</f>
      </c>
      <c r="L612" s="36">
        <f>SUMIFS(Reservas!$K$5:$K$3669,Reservas!$A$5:$A$3669,A612)</f>
      </c>
      <c r="M612" s="37">
        <f>J612-L612</f>
      </c>
      <c r="N612" s="38">
        <v>57.037</v>
      </c>
      <c r="O612" s="37">
        <f>J612*N612</f>
      </c>
      <c r="P612" s="37">
        <f>L612*N612</f>
      </c>
      <c r="Q612" s="39">
        <v>187.87886497</v>
      </c>
      <c r="R612" s="40">
        <f>J612*Q612</f>
      </c>
      <c r="S612" s="40">
        <f>L612*Q612</f>
      </c>
      <c r="T612" s="41">
        <f>IF(J612=0,0,L612/J612)</f>
      </c>
      <c r="U612" s="42">
        <f>IFERROR(INDEX(Paletes!$C$5:$C$393,MATCH(B612,Paletes!$A$5:$A$393,0)),"SEM CADASTRO")</f>
      </c>
      <c r="V612" s="36">
        <f>IFERROR(INDEX(Paletes!$D$5:$D$393,MATCH(B612,Paletes!$A$5:$A$393,0)),0)</f>
      </c>
      <c r="W612" s="43">
        <f>IF(V612=0,0,J612/V612)</f>
      </c>
      <c r="X612" s="43">
        <f>IF(V612=0,0,MAX(M612,0)/V612)</f>
      </c>
    </row>
    <row r="613" spans="1:24" x14ac:dyDescent="0.25">
      <c r="A613" s="20" t="str">
        <f>B613&amp;"."&amp;IFERROR(MID(D613,FIND("(",D613)+1,FIND(")",D613)-FIND("(",D613)-1),"")</f>
        <v>2085.12724</v>
      </c>
      <c r="B613" s="21">
        <v>2085</v>
      </c>
      <c r="C613" s="20" t="s">
        <v>244</v>
      </c>
      <c r="D613" s="20" t="s">
        <v>963</v>
      </c>
      <c r="E613" s="20">
        <v>46005</v>
      </c>
      <c r="F613" s="20" t="s">
        <v>26</v>
      </c>
      <c r="G613" s="20" t="s">
        <v>51</v>
      </c>
      <c r="H613" s="22">
        <f>IFERROR(INDEX(Linha!$B$5:$B$788,MATCH(A613,Linha!$A$5:$A$788,0)),"NÃO CADASTRADO")</f>
      </c>
      <c r="I613" s="22">
        <f>IFERROR(INDEX(Linha!$C$5:$C$788,MATCH(A613,Linha!$A$5:$A$788,0)),"-")</f>
      </c>
      <c r="J613" s="23">
        <v>183</v>
      </c>
      <c r="K613" s="24">
        <f>IFERROR(INDEX(Linha!$D$5:$D$788,MATCH(A613,Linha!$A$5:$A$788,0))*1,0)</f>
      </c>
      <c r="L613" s="24">
        <f>SUMIFS(Reservas!$K$5:$K$3669,Reservas!$A$5:$A$3669,A613)</f>
      </c>
      <c r="M613" s="25">
        <f>J613-L613</f>
      </c>
      <c r="N613" s="26">
        <v>39.975</v>
      </c>
      <c r="O613" s="25">
        <f>J613*N613</f>
      </c>
      <c r="P613" s="25">
        <f>L613*N613</f>
      </c>
      <c r="Q613" s="27">
        <v>130.33575167</v>
      </c>
      <c r="R613" s="28">
        <f>J613*Q613</f>
      </c>
      <c r="S613" s="28">
        <f>L613*Q613</f>
      </c>
      <c r="T613" s="29">
        <f>IF(J613=0,0,L613/J613)</f>
      </c>
      <c r="U613" s="30">
        <f>IFERROR(INDEX(Paletes!$C$5:$C$393,MATCH(B613,Paletes!$A$5:$A$393,0)),"SEM CADASTRO")</f>
      </c>
      <c r="V613" s="24">
        <f>IFERROR(INDEX(Paletes!$D$5:$D$393,MATCH(B613,Paletes!$A$5:$A$393,0)),0)</f>
      </c>
      <c r="W613" s="31">
        <f>IF(V613=0,0,J613/V613)</f>
      </c>
      <c r="X613" s="31">
        <f>IF(V613=0,0,MAX(M613,0)/V613)</f>
      </c>
    </row>
    <row r="614" spans="1:24" x14ac:dyDescent="0.25">
      <c r="A614" s="32" t="str">
        <f>B614&amp;"."&amp;IFERROR(MID(D614,FIND("(",D614)+1,FIND(")",D614)-FIND("(",D614)-1),"")</f>
        <v>73543.46268</v>
      </c>
      <c r="B614" s="33">
        <v>73543</v>
      </c>
      <c r="C614" s="32" t="s">
        <v>74</v>
      </c>
      <c r="D614" s="32" t="s">
        <v>964</v>
      </c>
      <c r="E614" s="32">
        <v>87486</v>
      </c>
      <c r="F614" s="32" t="s">
        <v>25</v>
      </c>
      <c r="G614" s="32" t="s">
        <v>51</v>
      </c>
      <c r="H614" s="34">
        <f>IFERROR(INDEX(Linha!$B$5:$B$788,MATCH(A614,Linha!$A$5:$A$788,0)),"NÃO CADASTRADO")</f>
      </c>
      <c r="I614" s="34">
        <f>IFERROR(INDEX(Linha!$C$5:$C$788,MATCH(A614,Linha!$A$5:$A$788,0)),"-")</f>
      </c>
      <c r="J614" s="35">
        <v>31</v>
      </c>
      <c r="K614" s="36">
        <f>IFERROR(INDEX(Linha!$D$5:$D$788,MATCH(A614,Linha!$A$5:$A$788,0))*1,0)</f>
      </c>
      <c r="L614" s="36">
        <f>SUMIFS(Reservas!$K$5:$K$3669,Reservas!$A$5:$A$3669,A614)</f>
      </c>
      <c r="M614" s="37">
        <f>J614-L614</f>
      </c>
      <c r="N614" s="38">
        <v>14.644</v>
      </c>
      <c r="O614" s="37">
        <f>J614*N614</f>
      </c>
      <c r="P614" s="37">
        <f>L614*N614</f>
      </c>
      <c r="Q614" s="39">
        <v>109.28527693</v>
      </c>
      <c r="R614" s="40">
        <f>J614*Q614</f>
      </c>
      <c r="S614" s="40">
        <f>L614*Q614</f>
      </c>
      <c r="T614" s="41">
        <f>IF(J614=0,0,L614/J614)</f>
      </c>
      <c r="U614" s="42">
        <f>IFERROR(INDEX(Paletes!$C$5:$C$393,MATCH(B614,Paletes!$A$5:$A$393,0)),"SEM CADASTRO")</f>
      </c>
      <c r="V614" s="36">
        <f>IFERROR(INDEX(Paletes!$D$5:$D$393,MATCH(B614,Paletes!$A$5:$A$393,0)),0)</f>
      </c>
      <c r="W614" s="43">
        <f>IF(V614=0,0,J614/V614)</f>
      </c>
      <c r="X614" s="43">
        <f>IF(V614=0,0,MAX(M614,0)/V614)</f>
      </c>
    </row>
    <row r="615" spans="1:24" x14ac:dyDescent="0.25">
      <c r="A615" s="20" t="str">
        <f>B615&amp;"."&amp;IFERROR(MID(D615,FIND("(",D615)+1,FIND(")",D615)-FIND("(",D615)-1),"")</f>
        <v>84779.30616</v>
      </c>
      <c r="B615" s="21">
        <v>84779</v>
      </c>
      <c r="C615" s="20" t="s">
        <v>683</v>
      </c>
      <c r="D615" s="20" t="s">
        <v>965</v>
      </c>
      <c r="E615" s="20">
        <v>96504</v>
      </c>
      <c r="F615" s="20" t="s">
        <v>26</v>
      </c>
      <c r="G615" s="20" t="s">
        <v>51</v>
      </c>
      <c r="H615" s="22">
        <f>IFERROR(INDEX(Linha!$B$5:$B$788,MATCH(A615,Linha!$A$5:$A$788,0)),"NÃO CADASTRADO")</f>
      </c>
      <c r="I615" s="22">
        <f>IFERROR(INDEX(Linha!$C$5:$C$788,MATCH(A615,Linha!$A$5:$A$788,0)),"-")</f>
      </c>
      <c r="J615" s="23">
        <v>0</v>
      </c>
      <c r="K615" s="24">
        <f>IFERROR(INDEX(Linha!$D$5:$D$788,MATCH(A615,Linha!$A$5:$A$788,0))*1,0)</f>
      </c>
      <c r="L615" s="24">
        <f>SUMIFS(Reservas!$K$5:$K$3669,Reservas!$A$5:$A$3669,A615)</f>
      </c>
      <c r="M615" s="25">
        <f>J615-L615</f>
      </c>
      <c r="N615" s="26">
        <v>61.99</v>
      </c>
      <c r="O615" s="25">
        <f>J615*N615</f>
      </c>
      <c r="P615" s="25">
        <f>L615*N615</f>
      </c>
      <c r="Q615" s="27">
        <v>245.02106705</v>
      </c>
      <c r="R615" s="28">
        <f>J615*Q615</f>
      </c>
      <c r="S615" s="28">
        <f>L615*Q615</f>
      </c>
      <c r="T615" s="29">
        <f>IF(J615=0,0,L615/J615)</f>
      </c>
      <c r="U615" s="30">
        <f>IFERROR(INDEX(Paletes!$C$5:$C$393,MATCH(B615,Paletes!$A$5:$A$393,0)),"SEM CADASTRO")</f>
      </c>
      <c r="V615" s="24">
        <f>IFERROR(INDEX(Paletes!$D$5:$D$393,MATCH(B615,Paletes!$A$5:$A$393,0)),0)</f>
      </c>
      <c r="W615" s="31">
        <f>IF(V615=0,0,J615/V615)</f>
      </c>
      <c r="X615" s="31">
        <f>IF(V615=0,0,MAX(M615,0)/V615)</f>
      </c>
    </row>
    <row r="616" spans="1:24" x14ac:dyDescent="0.25">
      <c r="A616" s="32" t="str">
        <f>B616&amp;"."&amp;IFERROR(MID(D616,FIND("(",D616)+1,FIND(")",D616)-FIND("(",D616)-1),"")</f>
        <v>2161.16424</v>
      </c>
      <c r="B616" s="33">
        <v>2161</v>
      </c>
      <c r="C616" s="32" t="s">
        <v>81</v>
      </c>
      <c r="D616" s="32" t="s">
        <v>966</v>
      </c>
      <c r="E616" s="32">
        <v>67929</v>
      </c>
      <c r="F616" s="32" t="s">
        <v>24</v>
      </c>
      <c r="G616" s="32" t="s">
        <v>51</v>
      </c>
      <c r="H616" s="34">
        <f>IFERROR(INDEX(Linha!$B$5:$B$788,MATCH(A616,Linha!$A$5:$A$788,0)),"NÃO CADASTRADO")</f>
      </c>
      <c r="I616" s="34">
        <f>IFERROR(INDEX(Linha!$C$5:$C$788,MATCH(A616,Linha!$A$5:$A$788,0)),"-")</f>
      </c>
      <c r="J616" s="35">
        <v>773</v>
      </c>
      <c r="K616" s="36">
        <f>IFERROR(INDEX(Linha!$D$5:$D$788,MATCH(A616,Linha!$A$5:$A$788,0))*1,0)</f>
      </c>
      <c r="L616" s="36">
        <f>SUMIFS(Reservas!$K$5:$K$3669,Reservas!$A$5:$A$3669,A616)</f>
      </c>
      <c r="M616" s="37">
        <f>J616-L616</f>
      </c>
      <c r="N616" s="38">
        <v>25.35</v>
      </c>
      <c r="O616" s="37">
        <f>J616*N616</f>
      </c>
      <c r="P616" s="37">
        <f>L616*N616</f>
      </c>
      <c r="Q616" s="39">
        <v>79.84205321</v>
      </c>
      <c r="R616" s="40">
        <f>J616*Q616</f>
      </c>
      <c r="S616" s="40">
        <f>L616*Q616</f>
      </c>
      <c r="T616" s="41">
        <f>IF(J616=0,0,L616/J616)</f>
      </c>
      <c r="U616" s="42">
        <f>IFERROR(INDEX(Paletes!$C$5:$C$393,MATCH(B616,Paletes!$A$5:$A$393,0)),"SEM CADASTRO")</f>
      </c>
      <c r="V616" s="36">
        <f>IFERROR(INDEX(Paletes!$D$5:$D$393,MATCH(B616,Paletes!$A$5:$A$393,0)),0)</f>
      </c>
      <c r="W616" s="43">
        <f>IF(V616=0,0,J616/V616)</f>
      </c>
      <c r="X616" s="43">
        <f>IF(V616=0,0,MAX(M616,0)/V616)</f>
      </c>
    </row>
    <row r="617" spans="1:24" x14ac:dyDescent="0.25">
      <c r="A617" s="20" t="str">
        <f>B617&amp;"."&amp;IFERROR(MID(D617,FIND("(",D617)+1,FIND(")",D617)-FIND("(",D617)-1),"")</f>
        <v>84588.31331</v>
      </c>
      <c r="B617" s="21">
        <v>84588</v>
      </c>
      <c r="C617" s="20" t="s">
        <v>690</v>
      </c>
      <c r="D617" s="20" t="s">
        <v>967</v>
      </c>
      <c r="E617" s="20">
        <v>96480</v>
      </c>
      <c r="F617" s="20" t="s">
        <v>26</v>
      </c>
      <c r="G617" s="20" t="s">
        <v>51</v>
      </c>
      <c r="H617" s="22">
        <f>IFERROR(INDEX(Linha!$B$5:$B$788,MATCH(A617,Linha!$A$5:$A$788,0)),"NÃO CADASTRADO")</f>
      </c>
      <c r="I617" s="22">
        <f>IFERROR(INDEX(Linha!$C$5:$C$788,MATCH(A617,Linha!$A$5:$A$788,0)),"-")</f>
      </c>
      <c r="J617" s="23">
        <v>3</v>
      </c>
      <c r="K617" s="24">
        <f>IFERROR(INDEX(Linha!$D$5:$D$788,MATCH(A617,Linha!$A$5:$A$788,0))*1,0)</f>
      </c>
      <c r="L617" s="24">
        <f>SUMIFS(Reservas!$K$5:$K$3669,Reservas!$A$5:$A$3669,A617)</f>
      </c>
      <c r="M617" s="25">
        <f>J617-L617</f>
      </c>
      <c r="N617" s="26">
        <v>17.15</v>
      </c>
      <c r="O617" s="25">
        <f>J617*N617</f>
      </c>
      <c r="P617" s="25">
        <f>L617*N617</f>
      </c>
      <c r="Q617" s="27">
        <v>68.53173901</v>
      </c>
      <c r="R617" s="28">
        <f>J617*Q617</f>
      </c>
      <c r="S617" s="28">
        <f>L617*Q617</f>
      </c>
      <c r="T617" s="29">
        <f>IF(J617=0,0,L617/J617)</f>
      </c>
      <c r="U617" s="30">
        <f>IFERROR(INDEX(Paletes!$C$5:$C$393,MATCH(B617,Paletes!$A$5:$A$393,0)),"SEM CADASTRO")</f>
      </c>
      <c r="V617" s="24">
        <f>IFERROR(INDEX(Paletes!$D$5:$D$393,MATCH(B617,Paletes!$A$5:$A$393,0)),0)</f>
      </c>
      <c r="W617" s="31">
        <f>IF(V617=0,0,J617/V617)</f>
      </c>
      <c r="X617" s="31">
        <f>IF(V617=0,0,MAX(M617,0)/V617)</f>
      </c>
    </row>
    <row r="618" spans="1:24" x14ac:dyDescent="0.25">
      <c r="A618" s="32" t="str">
        <f>B618&amp;"."&amp;IFERROR(MID(D618,FIND("(",D618)+1,FIND(")",D618)-FIND("(",D618)-1),"")</f>
        <v>73550.16662</v>
      </c>
      <c r="B618" s="33">
        <v>73550</v>
      </c>
      <c r="C618" s="32" t="s">
        <v>85</v>
      </c>
      <c r="D618" s="32" t="s">
        <v>968</v>
      </c>
      <c r="E618" s="32">
        <v>66401</v>
      </c>
      <c r="F618" s="32" t="s">
        <v>25</v>
      </c>
      <c r="G618" s="32" t="s">
        <v>51</v>
      </c>
      <c r="H618" s="34">
        <f>IFERROR(INDEX(Linha!$B$5:$B$788,MATCH(A618,Linha!$A$5:$A$788,0)),"NÃO CADASTRADO")</f>
      </c>
      <c r="I618" s="34">
        <f>IFERROR(INDEX(Linha!$C$5:$C$788,MATCH(A618,Linha!$A$5:$A$788,0)),"-")</f>
      </c>
      <c r="J618" s="35">
        <v>1</v>
      </c>
      <c r="K618" s="36">
        <f>IFERROR(INDEX(Linha!$D$5:$D$788,MATCH(A618,Linha!$A$5:$A$788,0))*1,0)</f>
      </c>
      <c r="L618" s="36">
        <f>SUMIFS(Reservas!$K$5:$K$3669,Reservas!$A$5:$A$3669,A618)</f>
      </c>
      <c r="M618" s="37">
        <f>J618-L618</f>
      </c>
      <c r="N618" s="38">
        <v>11.358</v>
      </c>
      <c r="O618" s="37">
        <f>J618*N618</f>
      </c>
      <c r="P618" s="37">
        <f>L618*N618</f>
      </c>
      <c r="Q618" s="39">
        <v>92.95530468</v>
      </c>
      <c r="R618" s="40">
        <f>J618*Q618</f>
      </c>
      <c r="S618" s="40">
        <f>L618*Q618</f>
      </c>
      <c r="T618" s="41">
        <f>IF(J618=0,0,L618/J618)</f>
      </c>
      <c r="U618" s="42">
        <f>IFERROR(INDEX(Paletes!$C$5:$C$393,MATCH(B618,Paletes!$A$5:$A$393,0)),"SEM CADASTRO")</f>
      </c>
      <c r="V618" s="36">
        <f>IFERROR(INDEX(Paletes!$D$5:$D$393,MATCH(B618,Paletes!$A$5:$A$393,0)),0)</f>
      </c>
      <c r="W618" s="43">
        <f>IF(V618=0,0,J618/V618)</f>
      </c>
      <c r="X618" s="43">
        <f>IF(V618=0,0,MAX(M618,0)/V618)</f>
      </c>
    </row>
    <row r="619" spans="1:24" x14ac:dyDescent="0.25">
      <c r="A619" s="20" t="str">
        <f>B619&amp;"."&amp;IFERROR(MID(D619,FIND("(",D619)+1,FIND(")",D619)-FIND("(",D619)-1),"")</f>
        <v>87470.91617</v>
      </c>
      <c r="B619" s="21">
        <v>87470</v>
      </c>
      <c r="C619" s="20" t="s">
        <v>858</v>
      </c>
      <c r="D619" s="20" t="s">
        <v>969</v>
      </c>
      <c r="E619" s="20">
        <v>105148</v>
      </c>
      <c r="F619" s="20" t="s">
        <v>26</v>
      </c>
      <c r="G619" s="20" t="s">
        <v>51</v>
      </c>
      <c r="H619" s="22">
        <f>IFERROR(INDEX(Linha!$B$5:$B$788,MATCH(A619,Linha!$A$5:$A$788,0)),"NÃO CADASTRADO")</f>
      </c>
      <c r="I619" s="22">
        <f>IFERROR(INDEX(Linha!$C$5:$C$788,MATCH(A619,Linha!$A$5:$A$788,0)),"-")</f>
      </c>
      <c r="J619" s="23">
        <v>333</v>
      </c>
      <c r="K619" s="24">
        <f>IFERROR(INDEX(Linha!$D$5:$D$788,MATCH(A619,Linha!$A$5:$A$788,0))*1,0)</f>
      </c>
      <c r="L619" s="24">
        <f>SUMIFS(Reservas!$K$5:$K$3669,Reservas!$A$5:$A$3669,A619)</f>
      </c>
      <c r="M619" s="25">
        <f>J619-L619</f>
      </c>
      <c r="N619" s="26">
        <v>0.702</v>
      </c>
      <c r="O619" s="25">
        <f>J619*N619</f>
      </c>
      <c r="P619" s="25">
        <f>L619*N619</f>
      </c>
      <c r="Q619" s="27">
        <v>27.51892158</v>
      </c>
      <c r="R619" s="28">
        <f>J619*Q619</f>
      </c>
      <c r="S619" s="28">
        <f>L619*Q619</f>
      </c>
      <c r="T619" s="29">
        <f>IF(J619=0,0,L619/J619)</f>
      </c>
      <c r="U619" s="30">
        <f>IFERROR(INDEX(Paletes!$C$5:$C$393,MATCH(B619,Paletes!$A$5:$A$393,0)),"SEM CADASTRO")</f>
      </c>
      <c r="V619" s="24">
        <f>IFERROR(INDEX(Paletes!$D$5:$D$393,MATCH(B619,Paletes!$A$5:$A$393,0)),0)</f>
      </c>
      <c r="W619" s="31">
        <f>IF(V619=0,0,J619/V619)</f>
      </c>
      <c r="X619" s="31">
        <f>IF(V619=0,0,MAX(M619,0)/V619)</f>
      </c>
    </row>
    <row r="620" spans="1:24" x14ac:dyDescent="0.25">
      <c r="A620" s="32" t="str">
        <f>B620&amp;"."&amp;IFERROR(MID(D620,FIND("(",D620)+1,FIND(")",D620)-FIND("(",D620)-1),"")</f>
        <v>94924.</v>
      </c>
      <c r="B620" s="33">
        <v>94924</v>
      </c>
      <c r="C620" s="32" t="s">
        <v>970</v>
      </c>
      <c r="D620" s="32" t="s">
        <v>89</v>
      </c>
      <c r="E620" s="32" t="s">
        <v>89</v>
      </c>
      <c r="F620" s="32" t="s">
        <v>26</v>
      </c>
      <c r="G620" s="32" t="s">
        <v>51</v>
      </c>
      <c r="H620" s="34">
        <f>IFERROR(INDEX(Linha!$B$5:$B$788,MATCH(A620,Linha!$A$5:$A$788,0)),"NÃO CADASTRADO")</f>
      </c>
      <c r="I620" s="34">
        <f>IFERROR(INDEX(Linha!$C$5:$C$788,MATCH(A620,Linha!$A$5:$A$788,0)),"-")</f>
      </c>
      <c r="J620" s="35">
        <v>103</v>
      </c>
      <c r="K620" s="36">
        <f>IFERROR(INDEX(Linha!$D$5:$D$788,MATCH(A620,Linha!$A$5:$A$788,0))*1,0)</f>
      </c>
      <c r="L620" s="36">
        <f>SUMIFS(Reservas!$K$5:$K$3669,Reservas!$A$5:$A$3669,A620)</f>
      </c>
      <c r="M620" s="37">
        <f>J620-L620</f>
      </c>
      <c r="N620" s="38">
        <v>1.17</v>
      </c>
      <c r="O620" s="37">
        <f>J620*N620</f>
      </c>
      <c r="P620" s="37">
        <f>L620*N620</f>
      </c>
      <c r="Q620" s="39">
        <v>130.44025397</v>
      </c>
      <c r="R620" s="40">
        <f>J620*Q620</f>
      </c>
      <c r="S620" s="40">
        <f>L620*Q620</f>
      </c>
      <c r="T620" s="41">
        <f>IF(J620=0,0,L620/J620)</f>
      </c>
      <c r="U620" s="42">
        <f>IFERROR(INDEX(Paletes!$C$5:$C$393,MATCH(B620,Paletes!$A$5:$A$393,0)),"SEM CADASTRO")</f>
      </c>
      <c r="V620" s="36">
        <f>IFERROR(INDEX(Paletes!$D$5:$D$393,MATCH(B620,Paletes!$A$5:$A$393,0)),0)</f>
      </c>
      <c r="W620" s="43">
        <f>IF(V620=0,0,J620/V620)</f>
      </c>
      <c r="X620" s="43">
        <f>IF(V620=0,0,MAX(M620,0)/V620)</f>
      </c>
    </row>
    <row r="621" spans="1:24" x14ac:dyDescent="0.25">
      <c r="A621" s="20" t="str">
        <f>B621&amp;"."&amp;IFERROR(MID(D621,FIND("(",D621)+1,FIND(")",D621)-FIND("(",D621)-1),"")</f>
        <v>85474.46145</v>
      </c>
      <c r="B621" s="21">
        <v>85474</v>
      </c>
      <c r="C621" s="20" t="s">
        <v>971</v>
      </c>
      <c r="D621" s="20" t="s">
        <v>972</v>
      </c>
      <c r="E621" s="20">
        <v>97851</v>
      </c>
      <c r="F621" s="20" t="s">
        <v>25</v>
      </c>
      <c r="G621" s="20" t="s">
        <v>51</v>
      </c>
      <c r="H621" s="22">
        <f>IFERROR(INDEX(Linha!$B$5:$B$788,MATCH(A621,Linha!$A$5:$A$788,0)),"NÃO CADASTRADO")</f>
      </c>
      <c r="I621" s="22">
        <f>IFERROR(INDEX(Linha!$C$5:$C$788,MATCH(A621,Linha!$A$5:$A$788,0)),"-")</f>
      </c>
      <c r="J621" s="23">
        <v>30</v>
      </c>
      <c r="K621" s="24">
        <f>IFERROR(INDEX(Linha!$D$5:$D$788,MATCH(A621,Linha!$A$5:$A$788,0))*1,0)</f>
      </c>
      <c r="L621" s="24">
        <f>SUMIFS(Reservas!$K$5:$K$3669,Reservas!$A$5:$A$3669,A621)</f>
      </c>
      <c r="M621" s="25">
        <f>J621-L621</f>
      </c>
      <c r="N621" s="26">
        <v>19.207</v>
      </c>
      <c r="O621" s="25">
        <f>J621*N621</f>
      </c>
      <c r="P621" s="25">
        <f>L621*N621</f>
      </c>
      <c r="Q621" s="27">
        <v>117.37360158</v>
      </c>
      <c r="R621" s="28">
        <f>J621*Q621</f>
      </c>
      <c r="S621" s="28">
        <f>L621*Q621</f>
      </c>
      <c r="T621" s="29">
        <f>IF(J621=0,0,L621/J621)</f>
      </c>
      <c r="U621" s="30">
        <f>IFERROR(INDEX(Paletes!$C$5:$C$393,MATCH(B621,Paletes!$A$5:$A$393,0)),"SEM CADASTRO")</f>
      </c>
      <c r="V621" s="24">
        <f>IFERROR(INDEX(Paletes!$D$5:$D$393,MATCH(B621,Paletes!$A$5:$A$393,0)),0)</f>
      </c>
      <c r="W621" s="31">
        <f>IF(V621=0,0,J621/V621)</f>
      </c>
      <c r="X621" s="31">
        <f>IF(V621=0,0,MAX(M621,0)/V621)</f>
      </c>
    </row>
    <row r="622" spans="1:24" x14ac:dyDescent="0.25">
      <c r="A622" s="32" t="str">
        <f>B622&amp;"."&amp;IFERROR(MID(D622,FIND("(",D622)+1,FIND(")",D622)-FIND("(",D622)-1),"")</f>
        <v>73545.16386</v>
      </c>
      <c r="B622" s="33">
        <v>73545</v>
      </c>
      <c r="C622" s="32" t="s">
        <v>414</v>
      </c>
      <c r="D622" s="32" t="s">
        <v>973</v>
      </c>
      <c r="E622" s="32">
        <v>54258</v>
      </c>
      <c r="F622" s="32" t="s">
        <v>25</v>
      </c>
      <c r="G622" s="32" t="s">
        <v>51</v>
      </c>
      <c r="H622" s="34">
        <f>IFERROR(INDEX(Linha!$B$5:$B$788,MATCH(A622,Linha!$A$5:$A$788,0)),"NÃO CADASTRADO")</f>
      </c>
      <c r="I622" s="34">
        <f>IFERROR(INDEX(Linha!$C$5:$C$788,MATCH(A622,Linha!$A$5:$A$788,0)),"-")</f>
      </c>
      <c r="J622" s="35">
        <v>14</v>
      </c>
      <c r="K622" s="36">
        <f>IFERROR(INDEX(Linha!$D$5:$D$788,MATCH(A622,Linha!$A$5:$A$788,0))*1,0)</f>
      </c>
      <c r="L622" s="36">
        <f>SUMIFS(Reservas!$K$5:$K$3669,Reservas!$A$5:$A$3669,A622)</f>
      </c>
      <c r="M622" s="37">
        <f>J622-L622</f>
      </c>
      <c r="N622" s="38">
        <v>11.358</v>
      </c>
      <c r="O622" s="37">
        <f>J622*N622</f>
      </c>
      <c r="P622" s="37">
        <f>L622*N622</f>
      </c>
      <c r="Q622" s="39">
        <v>78.63530468</v>
      </c>
      <c r="R622" s="40">
        <f>J622*Q622</f>
      </c>
      <c r="S622" s="40">
        <f>L622*Q622</f>
      </c>
      <c r="T622" s="41">
        <f>IF(J622=0,0,L622/J622)</f>
      </c>
      <c r="U622" s="42">
        <f>IFERROR(INDEX(Paletes!$C$5:$C$393,MATCH(B622,Paletes!$A$5:$A$393,0)),"SEM CADASTRO")</f>
      </c>
      <c r="V622" s="36">
        <f>IFERROR(INDEX(Paletes!$D$5:$D$393,MATCH(B622,Paletes!$A$5:$A$393,0)),0)</f>
      </c>
      <c r="W622" s="43">
        <f>IF(V622=0,0,J622/V622)</f>
      </c>
      <c r="X622" s="43">
        <f>IF(V622=0,0,MAX(M622,0)/V622)</f>
      </c>
    </row>
    <row r="623" spans="1:24" x14ac:dyDescent="0.25">
      <c r="A623" s="20" t="str">
        <f>B623&amp;"."&amp;IFERROR(MID(D623,FIND("(",D623)+1,FIND(")",D623)-FIND("(",D623)-1),"")</f>
        <v>73545.16383</v>
      </c>
      <c r="B623" s="21">
        <v>73545</v>
      </c>
      <c r="C623" s="20" t="s">
        <v>414</v>
      </c>
      <c r="D623" s="20" t="s">
        <v>974</v>
      </c>
      <c r="E623" s="20">
        <v>54258</v>
      </c>
      <c r="F623" s="20" t="s">
        <v>25</v>
      </c>
      <c r="G623" s="20" t="s">
        <v>51</v>
      </c>
      <c r="H623" s="22">
        <f>IFERROR(INDEX(Linha!$B$5:$B$788,MATCH(A623,Linha!$A$5:$A$788,0)),"NÃO CADASTRADO")</f>
      </c>
      <c r="I623" s="22">
        <f>IFERROR(INDEX(Linha!$C$5:$C$788,MATCH(A623,Linha!$A$5:$A$788,0)),"-")</f>
      </c>
      <c r="J623" s="23">
        <v>36</v>
      </c>
      <c r="K623" s="24">
        <f>IFERROR(INDEX(Linha!$D$5:$D$788,MATCH(A623,Linha!$A$5:$A$788,0))*1,0)</f>
      </c>
      <c r="L623" s="24">
        <f>SUMIFS(Reservas!$K$5:$K$3669,Reservas!$A$5:$A$3669,A623)</f>
      </c>
      <c r="M623" s="25">
        <f>J623-L623</f>
      </c>
      <c r="N623" s="26">
        <v>11.358</v>
      </c>
      <c r="O623" s="25">
        <f>J623*N623</f>
      </c>
      <c r="P623" s="25">
        <f>L623*N623</f>
      </c>
      <c r="Q623" s="27">
        <v>78.63530468</v>
      </c>
      <c r="R623" s="28">
        <f>J623*Q623</f>
      </c>
      <c r="S623" s="28">
        <f>L623*Q623</f>
      </c>
      <c r="T623" s="29">
        <f>IF(J623=0,0,L623/J623)</f>
      </c>
      <c r="U623" s="30">
        <f>IFERROR(INDEX(Paletes!$C$5:$C$393,MATCH(B623,Paletes!$A$5:$A$393,0)),"SEM CADASTRO")</f>
      </c>
      <c r="V623" s="24">
        <f>IFERROR(INDEX(Paletes!$D$5:$D$393,MATCH(B623,Paletes!$A$5:$A$393,0)),0)</f>
      </c>
      <c r="W623" s="31">
        <f>IF(V623=0,0,J623/V623)</f>
      </c>
      <c r="X623" s="31">
        <f>IF(V623=0,0,MAX(M623,0)/V623)</f>
      </c>
    </row>
    <row r="624" spans="1:24" x14ac:dyDescent="0.25">
      <c r="A624" s="32" t="str">
        <f>B624&amp;"."&amp;IFERROR(MID(D624,FIND("(",D624)+1,FIND(")",D624)-FIND("(",D624)-1),"")</f>
        <v>74509.99864</v>
      </c>
      <c r="B624" s="33">
        <v>74509</v>
      </c>
      <c r="C624" s="32" t="s">
        <v>420</v>
      </c>
      <c r="D624" s="32" t="s">
        <v>975</v>
      </c>
      <c r="E624" s="32">
        <v>77221</v>
      </c>
      <c r="F624" s="32" t="s">
        <v>24</v>
      </c>
      <c r="G624" s="32" t="s">
        <v>51</v>
      </c>
      <c r="H624" s="34">
        <f>IFERROR(INDEX(Linha!$B$5:$B$788,MATCH(A624,Linha!$A$5:$A$788,0)),"NÃO CADASTRADO")</f>
      </c>
      <c r="I624" s="34">
        <f>IFERROR(INDEX(Linha!$C$5:$C$788,MATCH(A624,Linha!$A$5:$A$788,0)),"-")</f>
      </c>
      <c r="J624" s="35">
        <v>1</v>
      </c>
      <c r="K624" s="36">
        <f>IFERROR(INDEX(Linha!$D$5:$D$788,MATCH(A624,Linha!$A$5:$A$788,0))*1,0)</f>
      </c>
      <c r="L624" s="36">
        <f>SUMIFS(Reservas!$K$5:$K$3669,Reservas!$A$5:$A$3669,A624)</f>
      </c>
      <c r="M624" s="37">
        <f>J624-L624</f>
      </c>
      <c r="N624" s="38">
        <v>11.33</v>
      </c>
      <c r="O624" s="37">
        <f>J624*N624</f>
      </c>
      <c r="P624" s="37">
        <f>L624*N624</f>
      </c>
      <c r="Q624" s="39">
        <v>47.4878827</v>
      </c>
      <c r="R624" s="40">
        <f>J624*Q624</f>
      </c>
      <c r="S624" s="40">
        <f>L624*Q624</f>
      </c>
      <c r="T624" s="41">
        <f>IF(J624=0,0,L624/J624)</f>
      </c>
      <c r="U624" s="42">
        <f>IFERROR(INDEX(Paletes!$C$5:$C$393,MATCH(B624,Paletes!$A$5:$A$393,0)),"SEM CADASTRO")</f>
      </c>
      <c r="V624" s="36">
        <f>IFERROR(INDEX(Paletes!$D$5:$D$393,MATCH(B624,Paletes!$A$5:$A$393,0)),0)</f>
      </c>
      <c r="W624" s="43">
        <f>IF(V624=0,0,J624/V624)</f>
      </c>
      <c r="X624" s="43">
        <f>IF(V624=0,0,MAX(M624,0)/V624)</f>
      </c>
    </row>
    <row r="625" spans="1:24" x14ac:dyDescent="0.25">
      <c r="A625" s="20" t="str">
        <f>B625&amp;"."&amp;IFERROR(MID(D625,FIND("(",D625)+1,FIND(")",D625)-FIND("(",D625)-1),"")</f>
        <v>87560.93191</v>
      </c>
      <c r="B625" s="21">
        <v>87560</v>
      </c>
      <c r="C625" s="20" t="s">
        <v>976</v>
      </c>
      <c r="D625" s="20" t="s">
        <v>977</v>
      </c>
      <c r="E625" s="20">
        <v>105091</v>
      </c>
      <c r="F625" s="20" t="s">
        <v>26</v>
      </c>
      <c r="G625" s="20" t="s">
        <v>51</v>
      </c>
      <c r="H625" s="22">
        <f>IFERROR(INDEX(Linha!$B$5:$B$788,MATCH(A625,Linha!$A$5:$A$788,0)),"NÃO CADASTRADO")</f>
      </c>
      <c r="I625" s="22">
        <f>IFERROR(INDEX(Linha!$C$5:$C$788,MATCH(A625,Linha!$A$5:$A$788,0)),"-")</f>
      </c>
      <c r="J625" s="23">
        <v>260</v>
      </c>
      <c r="K625" s="24">
        <f>IFERROR(INDEX(Linha!$D$5:$D$788,MATCH(A625,Linha!$A$5:$A$788,0))*1,0)</f>
      </c>
      <c r="L625" s="24">
        <f>SUMIFS(Reservas!$K$5:$K$3669,Reservas!$A$5:$A$3669,A625)</f>
      </c>
      <c r="M625" s="25">
        <f>J625-L625</f>
      </c>
      <c r="N625" s="26">
        <v>51.187</v>
      </c>
      <c r="O625" s="25">
        <f>J625*N625</f>
      </c>
      <c r="P625" s="25">
        <f>L625*N625</f>
      </c>
      <c r="Q625" s="27">
        <v>139.94127322</v>
      </c>
      <c r="R625" s="28">
        <f>J625*Q625</f>
      </c>
      <c r="S625" s="28">
        <f>L625*Q625</f>
      </c>
      <c r="T625" s="29">
        <f>IF(J625=0,0,L625/J625)</f>
      </c>
      <c r="U625" s="30">
        <f>IFERROR(INDEX(Paletes!$C$5:$C$393,MATCH(B625,Paletes!$A$5:$A$393,0)),"SEM CADASTRO")</f>
      </c>
      <c r="V625" s="24">
        <f>IFERROR(INDEX(Paletes!$D$5:$D$393,MATCH(B625,Paletes!$A$5:$A$393,0)),0)</f>
      </c>
      <c r="W625" s="31">
        <f>IF(V625=0,0,J625/V625)</f>
      </c>
      <c r="X625" s="31">
        <f>IF(V625=0,0,MAX(M625,0)/V625)</f>
      </c>
    </row>
    <row r="626" spans="1:24" x14ac:dyDescent="0.25">
      <c r="A626" s="32" t="str">
        <f>B626&amp;"."&amp;IFERROR(MID(D626,FIND("(",D626)+1,FIND(")",D626)-FIND("(",D626)-1),"")</f>
        <v>72829.16467</v>
      </c>
      <c r="B626" s="33">
        <v>72829</v>
      </c>
      <c r="C626" s="32" t="s">
        <v>422</v>
      </c>
      <c r="D626" s="32" t="s">
        <v>978</v>
      </c>
      <c r="E626" s="32">
        <v>89017</v>
      </c>
      <c r="F626" s="32" t="s">
        <v>24</v>
      </c>
      <c r="G626" s="32" t="s">
        <v>51</v>
      </c>
      <c r="H626" s="34">
        <f>IFERROR(INDEX(Linha!$B$5:$B$788,MATCH(A626,Linha!$A$5:$A$788,0)),"NÃO CADASTRADO")</f>
      </c>
      <c r="I626" s="34">
        <f>IFERROR(INDEX(Linha!$C$5:$C$788,MATCH(A626,Linha!$A$5:$A$788,0)),"-")</f>
      </c>
      <c r="J626" s="35">
        <v>0</v>
      </c>
      <c r="K626" s="36">
        <f>IFERROR(INDEX(Linha!$D$5:$D$788,MATCH(A626,Linha!$A$5:$A$788,0))*1,0)</f>
      </c>
      <c r="L626" s="36">
        <f>SUMIFS(Reservas!$K$5:$K$3669,Reservas!$A$5:$A$3669,A626)</f>
      </c>
      <c r="M626" s="37">
        <f>J626-L626</f>
      </c>
      <c r="N626" s="38">
        <v>40.033</v>
      </c>
      <c r="O626" s="37">
        <f>J626*N626</f>
      </c>
      <c r="P626" s="37">
        <f>L626*N626</f>
      </c>
      <c r="Q626" s="39">
        <v>187.97989607</v>
      </c>
      <c r="R626" s="40">
        <f>J626*Q626</f>
      </c>
      <c r="S626" s="40">
        <f>L626*Q626</f>
      </c>
      <c r="T626" s="41">
        <f>IF(J626=0,0,L626/J626)</f>
      </c>
      <c r="U626" s="42">
        <f>IFERROR(INDEX(Paletes!$C$5:$C$393,MATCH(B626,Paletes!$A$5:$A$393,0)),"SEM CADASTRO")</f>
      </c>
      <c r="V626" s="36">
        <f>IFERROR(INDEX(Paletes!$D$5:$D$393,MATCH(B626,Paletes!$A$5:$A$393,0)),0)</f>
      </c>
      <c r="W626" s="43">
        <f>IF(V626=0,0,J626/V626)</f>
      </c>
      <c r="X626" s="43">
        <f>IF(V626=0,0,MAX(M626,0)/V626)</f>
      </c>
    </row>
    <row r="627" spans="1:24" x14ac:dyDescent="0.25">
      <c r="A627" s="20" t="str">
        <f>B627&amp;"."&amp;IFERROR(MID(D627,FIND("(",D627)+1,FIND(")",D627)-FIND("(",D627)-1),"")</f>
        <v>85168.72886</v>
      </c>
      <c r="B627" s="21">
        <v>85168</v>
      </c>
      <c r="C627" s="20" t="s">
        <v>101</v>
      </c>
      <c r="D627" s="20" t="s">
        <v>979</v>
      </c>
      <c r="E627" s="20">
        <v>96252</v>
      </c>
      <c r="F627" s="20" t="s">
        <v>25</v>
      </c>
      <c r="G627" s="20" t="s">
        <v>51</v>
      </c>
      <c r="H627" s="22">
        <f>IFERROR(INDEX(Linha!$B$5:$B$788,MATCH(A627,Linha!$A$5:$A$788,0)),"NÃO CADASTRADO")</f>
      </c>
      <c r="I627" s="22">
        <f>IFERROR(INDEX(Linha!$C$5:$C$788,MATCH(A627,Linha!$A$5:$A$788,0)),"-")</f>
      </c>
      <c r="J627" s="23">
        <v>0</v>
      </c>
      <c r="K627" s="24">
        <f>IFERROR(INDEX(Linha!$D$5:$D$788,MATCH(A627,Linha!$A$5:$A$788,0))*1,0)</f>
      </c>
      <c r="L627" s="24">
        <f>SUMIFS(Reservas!$K$5:$K$3669,Reservas!$A$5:$A$3669,A627)</f>
      </c>
      <c r="M627" s="25">
        <f>J627-L627</f>
      </c>
      <c r="N627" s="26">
        <v>28.567</v>
      </c>
      <c r="O627" s="25">
        <f>J627*N627</f>
      </c>
      <c r="P627" s="25">
        <f>L627*N627</f>
      </c>
      <c r="Q627" s="27">
        <v>139.22214041</v>
      </c>
      <c r="R627" s="28">
        <f>J627*Q627</f>
      </c>
      <c r="S627" s="28">
        <f>L627*Q627</f>
      </c>
      <c r="T627" s="29">
        <f>IF(J627=0,0,L627/J627)</f>
      </c>
      <c r="U627" s="30">
        <f>IFERROR(INDEX(Paletes!$C$5:$C$393,MATCH(B627,Paletes!$A$5:$A$393,0)),"SEM CADASTRO")</f>
      </c>
      <c r="V627" s="24">
        <f>IFERROR(INDEX(Paletes!$D$5:$D$393,MATCH(B627,Paletes!$A$5:$A$393,0)),0)</f>
      </c>
      <c r="W627" s="31">
        <f>IF(V627=0,0,J627/V627)</f>
      </c>
      <c r="X627" s="31">
        <f>IF(V627=0,0,MAX(M627,0)/V627)</f>
      </c>
    </row>
    <row r="628" spans="1:24" x14ac:dyDescent="0.25">
      <c r="A628" s="32" t="str">
        <f>B628&amp;"."&amp;IFERROR(MID(D628,FIND("(",D628)+1,FIND(")",D628)-FIND("(",D628)-1),"")</f>
        <v>85168.72897</v>
      </c>
      <c r="B628" s="33">
        <v>85168</v>
      </c>
      <c r="C628" s="32" t="s">
        <v>101</v>
      </c>
      <c r="D628" s="32" t="s">
        <v>980</v>
      </c>
      <c r="E628" s="32">
        <v>96252</v>
      </c>
      <c r="F628" s="32" t="s">
        <v>25</v>
      </c>
      <c r="G628" s="32" t="s">
        <v>51</v>
      </c>
      <c r="H628" s="34">
        <f>IFERROR(INDEX(Linha!$B$5:$B$788,MATCH(A628,Linha!$A$5:$A$788,0)),"NÃO CADASTRADO")</f>
      </c>
      <c r="I628" s="34">
        <f>IFERROR(INDEX(Linha!$C$5:$C$788,MATCH(A628,Linha!$A$5:$A$788,0)),"-")</f>
      </c>
      <c r="J628" s="35">
        <v>21</v>
      </c>
      <c r="K628" s="36">
        <f>IFERROR(INDEX(Linha!$D$5:$D$788,MATCH(A628,Linha!$A$5:$A$788,0))*1,0)</f>
      </c>
      <c r="L628" s="36">
        <f>SUMIFS(Reservas!$K$5:$K$3669,Reservas!$A$5:$A$3669,A628)</f>
      </c>
      <c r="M628" s="37">
        <f>J628-L628</f>
      </c>
      <c r="N628" s="38">
        <v>28.567</v>
      </c>
      <c r="O628" s="37">
        <f>J628*N628</f>
      </c>
      <c r="P628" s="37">
        <f>L628*N628</f>
      </c>
      <c r="Q628" s="39">
        <v>139.7043285</v>
      </c>
      <c r="R628" s="40">
        <f>J628*Q628</f>
      </c>
      <c r="S628" s="40">
        <f>L628*Q628</f>
      </c>
      <c r="T628" s="41">
        <f>IF(J628=0,0,L628/J628)</f>
      </c>
      <c r="U628" s="42">
        <f>IFERROR(INDEX(Paletes!$C$5:$C$393,MATCH(B628,Paletes!$A$5:$A$393,0)),"SEM CADASTRO")</f>
      </c>
      <c r="V628" s="36">
        <f>IFERROR(INDEX(Paletes!$D$5:$D$393,MATCH(B628,Paletes!$A$5:$A$393,0)),0)</f>
      </c>
      <c r="W628" s="43">
        <f>IF(V628=0,0,J628/V628)</f>
      </c>
      <c r="X628" s="43">
        <f>IF(V628=0,0,MAX(M628,0)/V628)</f>
      </c>
    </row>
    <row r="629" spans="1:24" x14ac:dyDescent="0.25">
      <c r="A629" s="20" t="str">
        <f>B629&amp;"."&amp;IFERROR(MID(D629,FIND("(",D629)+1,FIND(")",D629)-FIND("(",D629)-1),"")</f>
        <v>2284.15523</v>
      </c>
      <c r="B629" s="21">
        <v>2284</v>
      </c>
      <c r="C629" s="20" t="s">
        <v>981</v>
      </c>
      <c r="D629" s="20" t="s">
        <v>982</v>
      </c>
      <c r="E629" s="20">
        <v>86875</v>
      </c>
      <c r="F629" s="20" t="s">
        <v>26</v>
      </c>
      <c r="G629" s="20" t="s">
        <v>51</v>
      </c>
      <c r="H629" s="22">
        <f>IFERROR(INDEX(Linha!$B$5:$B$788,MATCH(A629,Linha!$A$5:$A$788,0)),"NÃO CADASTRADO")</f>
      </c>
      <c r="I629" s="22">
        <f>IFERROR(INDEX(Linha!$C$5:$C$788,MATCH(A629,Linha!$A$5:$A$788,0)),"-")</f>
      </c>
      <c r="J629" s="23">
        <v>0</v>
      </c>
      <c r="K629" s="24">
        <f>IFERROR(INDEX(Linha!$D$5:$D$788,MATCH(A629,Linha!$A$5:$A$788,0))*1,0)</f>
      </c>
      <c r="L629" s="24">
        <f>SUMIFS(Reservas!$K$5:$K$3669,Reservas!$A$5:$A$3669,A629)</f>
      </c>
      <c r="M629" s="25">
        <f>J629-L629</f>
      </c>
      <c r="N629" s="26">
        <v>17.062</v>
      </c>
      <c r="O629" s="25">
        <f>J629*N629</f>
      </c>
      <c r="P629" s="25">
        <f>L629*N629</f>
      </c>
      <c r="Q629" s="27">
        <v>57.95155803</v>
      </c>
      <c r="R629" s="28">
        <f>J629*Q629</f>
      </c>
      <c r="S629" s="28">
        <f>L629*Q629</f>
      </c>
      <c r="T629" s="29">
        <f>IF(J629=0,0,L629/J629)</f>
      </c>
      <c r="U629" s="30">
        <f>IFERROR(INDEX(Paletes!$C$5:$C$393,MATCH(B629,Paletes!$A$5:$A$393,0)),"SEM CADASTRO")</f>
      </c>
      <c r="V629" s="24">
        <f>IFERROR(INDEX(Paletes!$D$5:$D$393,MATCH(B629,Paletes!$A$5:$A$393,0)),0)</f>
      </c>
      <c r="W629" s="31">
        <f>IF(V629=0,0,J629/V629)</f>
      </c>
      <c r="X629" s="31">
        <f>IF(V629=0,0,MAX(M629,0)/V629)</f>
      </c>
    </row>
    <row r="630" spans="1:24" x14ac:dyDescent="0.25">
      <c r="A630" s="32" t="str">
        <f>B630&amp;"."&amp;IFERROR(MID(D630,FIND("(",D630)+1,FIND(")",D630)-FIND("(",D630)-1),"")</f>
        <v>2280.31361</v>
      </c>
      <c r="B630" s="33">
        <v>2280</v>
      </c>
      <c r="C630" s="32" t="s">
        <v>103</v>
      </c>
      <c r="D630" s="32" t="s">
        <v>983</v>
      </c>
      <c r="E630" s="32">
        <v>86814</v>
      </c>
      <c r="F630" s="32" t="s">
        <v>26</v>
      </c>
      <c r="G630" s="32" t="s">
        <v>51</v>
      </c>
      <c r="H630" s="34">
        <f>IFERROR(INDEX(Linha!$B$5:$B$788,MATCH(A630,Linha!$A$5:$A$788,0)),"NÃO CADASTRADO")</f>
      </c>
      <c r="I630" s="34">
        <f>IFERROR(INDEX(Linha!$C$5:$C$788,MATCH(A630,Linha!$A$5:$A$788,0)),"-")</f>
      </c>
      <c r="J630" s="35">
        <v>0</v>
      </c>
      <c r="K630" s="36">
        <f>IFERROR(INDEX(Linha!$D$5:$D$788,MATCH(A630,Linha!$A$5:$A$788,0))*1,0)</f>
      </c>
      <c r="L630" s="36">
        <f>SUMIFS(Reservas!$K$5:$K$3669,Reservas!$A$5:$A$3669,A630)</f>
      </c>
      <c r="M630" s="37">
        <f>J630-L630</f>
      </c>
      <c r="N630" s="38">
        <v>59.943</v>
      </c>
      <c r="O630" s="37">
        <f>J630*N630</f>
      </c>
      <c r="P630" s="37">
        <f>L630*N630</f>
      </c>
      <c r="Q630" s="39">
        <v>219.11730216</v>
      </c>
      <c r="R630" s="40">
        <f>J630*Q630</f>
      </c>
      <c r="S630" s="40">
        <f>L630*Q630</f>
      </c>
      <c r="T630" s="41">
        <f>IF(J630=0,0,L630/J630)</f>
      </c>
      <c r="U630" s="42">
        <f>IFERROR(INDEX(Paletes!$C$5:$C$393,MATCH(B630,Paletes!$A$5:$A$393,0)),"SEM CADASTRO")</f>
      </c>
      <c r="V630" s="36">
        <f>IFERROR(INDEX(Paletes!$D$5:$D$393,MATCH(B630,Paletes!$A$5:$A$393,0)),0)</f>
      </c>
      <c r="W630" s="43">
        <f>IF(V630=0,0,J630/V630)</f>
      </c>
      <c r="X630" s="43">
        <f>IF(V630=0,0,MAX(M630,0)/V630)</f>
      </c>
    </row>
    <row r="631" spans="1:24" x14ac:dyDescent="0.25">
      <c r="A631" s="20" t="str">
        <f>B631&amp;"."&amp;IFERROR(MID(D631,FIND("(",D631)+1,FIND(")",D631)-FIND("(",D631)-1),"")</f>
        <v>75841.13222</v>
      </c>
      <c r="B631" s="21">
        <v>75841</v>
      </c>
      <c r="C631" s="20" t="s">
        <v>428</v>
      </c>
      <c r="D631" s="20" t="s">
        <v>984</v>
      </c>
      <c r="E631" s="20">
        <v>91882</v>
      </c>
      <c r="F631" s="20" t="s">
        <v>26</v>
      </c>
      <c r="G631" s="20" t="s">
        <v>51</v>
      </c>
      <c r="H631" s="22">
        <f>IFERROR(INDEX(Linha!$B$5:$B$788,MATCH(A631,Linha!$A$5:$A$788,0)),"NÃO CADASTRADO")</f>
      </c>
      <c r="I631" s="22">
        <f>IFERROR(INDEX(Linha!$C$5:$C$788,MATCH(A631,Linha!$A$5:$A$788,0)),"-")</f>
      </c>
      <c r="J631" s="23">
        <v>0</v>
      </c>
      <c r="K631" s="24">
        <f>IFERROR(INDEX(Linha!$D$5:$D$788,MATCH(A631,Linha!$A$5:$A$788,0))*1,0)</f>
      </c>
      <c r="L631" s="24">
        <f>SUMIFS(Reservas!$K$5:$K$3669,Reservas!$A$5:$A$3669,A631)</f>
      </c>
      <c r="M631" s="25">
        <f>J631-L631</f>
      </c>
      <c r="N631" s="26">
        <v>55.672</v>
      </c>
      <c r="O631" s="25">
        <f>J631*N631</f>
      </c>
      <c r="P631" s="25">
        <f>L631*N631</f>
      </c>
      <c r="Q631" s="27">
        <v>273.12165507</v>
      </c>
      <c r="R631" s="28">
        <f>J631*Q631</f>
      </c>
      <c r="S631" s="28">
        <f>L631*Q631</f>
      </c>
      <c r="T631" s="29">
        <f>IF(J631=0,0,L631/J631)</f>
      </c>
      <c r="U631" s="30">
        <f>IFERROR(INDEX(Paletes!$C$5:$C$393,MATCH(B631,Paletes!$A$5:$A$393,0)),"SEM CADASTRO")</f>
      </c>
      <c r="V631" s="24">
        <f>IFERROR(INDEX(Paletes!$D$5:$D$393,MATCH(B631,Paletes!$A$5:$A$393,0)),0)</f>
      </c>
      <c r="W631" s="31">
        <f>IF(V631=0,0,J631/V631)</f>
      </c>
      <c r="X631" s="31">
        <f>IF(V631=0,0,MAX(M631,0)/V631)</f>
      </c>
    </row>
    <row r="632" spans="1:24" x14ac:dyDescent="0.25">
      <c r="A632" s="32" t="str">
        <f>B632&amp;"."&amp;IFERROR(MID(D632,FIND("(",D632)+1,FIND(")",D632)-FIND("(",D632)-1),"")</f>
        <v>2105.13138</v>
      </c>
      <c r="B632" s="33">
        <v>2105</v>
      </c>
      <c r="C632" s="32" t="s">
        <v>261</v>
      </c>
      <c r="D632" s="32" t="s">
        <v>985</v>
      </c>
      <c r="E632" s="32">
        <v>51224</v>
      </c>
      <c r="F632" s="32" t="s">
        <v>26</v>
      </c>
      <c r="G632" s="32" t="s">
        <v>51</v>
      </c>
      <c r="H632" s="34">
        <f>IFERROR(INDEX(Linha!$B$5:$B$788,MATCH(A632,Linha!$A$5:$A$788,0)),"NÃO CADASTRADO")</f>
      </c>
      <c r="I632" s="34">
        <f>IFERROR(INDEX(Linha!$C$5:$C$788,MATCH(A632,Linha!$A$5:$A$788,0)),"-")</f>
      </c>
      <c r="J632" s="35">
        <v>395</v>
      </c>
      <c r="K632" s="36">
        <f>IFERROR(INDEX(Linha!$D$5:$D$788,MATCH(A632,Linha!$A$5:$A$788,0))*1,0)</f>
      </c>
      <c r="L632" s="36">
        <f>SUMIFS(Reservas!$K$5:$K$3669,Reservas!$A$5:$A$3669,A632)</f>
      </c>
      <c r="M632" s="37">
        <f>J632-L632</f>
      </c>
      <c r="N632" s="38">
        <v>49.384</v>
      </c>
      <c r="O632" s="37">
        <f>J632*N632</f>
      </c>
      <c r="P632" s="37">
        <f>L632*N632</f>
      </c>
      <c r="Q632" s="39">
        <v>154.67080572</v>
      </c>
      <c r="R632" s="40">
        <f>J632*Q632</f>
      </c>
      <c r="S632" s="40">
        <f>L632*Q632</f>
      </c>
      <c r="T632" s="41">
        <f>IF(J632=0,0,L632/J632)</f>
      </c>
      <c r="U632" s="42">
        <f>IFERROR(INDEX(Paletes!$C$5:$C$393,MATCH(B632,Paletes!$A$5:$A$393,0)),"SEM CADASTRO")</f>
      </c>
      <c r="V632" s="36">
        <f>IFERROR(INDEX(Paletes!$D$5:$D$393,MATCH(B632,Paletes!$A$5:$A$393,0)),0)</f>
      </c>
      <c r="W632" s="43">
        <f>IF(V632=0,0,J632/V632)</f>
      </c>
      <c r="X632" s="43">
        <f>IF(V632=0,0,MAX(M632,0)/V632)</f>
      </c>
    </row>
    <row r="633" spans="1:24" x14ac:dyDescent="0.25">
      <c r="A633" s="20" t="str">
        <f>B633&amp;"."&amp;IFERROR(MID(D633,FIND("(",D633)+1,FIND(")",D633)-FIND("(",D633)-1),"")</f>
        <v>2105.13150</v>
      </c>
      <c r="B633" s="21">
        <v>2105</v>
      </c>
      <c r="C633" s="20" t="s">
        <v>261</v>
      </c>
      <c r="D633" s="20" t="s">
        <v>986</v>
      </c>
      <c r="E633" s="20">
        <v>51224</v>
      </c>
      <c r="F633" s="20" t="s">
        <v>26</v>
      </c>
      <c r="G633" s="20" t="s">
        <v>51</v>
      </c>
      <c r="H633" s="22">
        <f>IFERROR(INDEX(Linha!$B$5:$B$788,MATCH(A633,Linha!$A$5:$A$788,0)),"NÃO CADASTRADO")</f>
      </c>
      <c r="I633" s="22">
        <f>IFERROR(INDEX(Linha!$C$5:$C$788,MATCH(A633,Linha!$A$5:$A$788,0)),"-")</f>
      </c>
      <c r="J633" s="23">
        <v>264</v>
      </c>
      <c r="K633" s="24">
        <f>IFERROR(INDEX(Linha!$D$5:$D$788,MATCH(A633,Linha!$A$5:$A$788,0))*1,0)</f>
      </c>
      <c r="L633" s="24">
        <f>SUMIFS(Reservas!$K$5:$K$3669,Reservas!$A$5:$A$3669,A633)</f>
      </c>
      <c r="M633" s="25">
        <f>J633-L633</f>
      </c>
      <c r="N633" s="26">
        <v>49.384</v>
      </c>
      <c r="O633" s="25">
        <f>J633*N633</f>
      </c>
      <c r="P633" s="25">
        <f>L633*N633</f>
      </c>
      <c r="Q633" s="27">
        <v>150.16257011</v>
      </c>
      <c r="R633" s="28">
        <f>J633*Q633</f>
      </c>
      <c r="S633" s="28">
        <f>L633*Q633</f>
      </c>
      <c r="T633" s="29">
        <f>IF(J633=0,0,L633/J633)</f>
      </c>
      <c r="U633" s="30">
        <f>IFERROR(INDEX(Paletes!$C$5:$C$393,MATCH(B633,Paletes!$A$5:$A$393,0)),"SEM CADASTRO")</f>
      </c>
      <c r="V633" s="24">
        <f>IFERROR(INDEX(Paletes!$D$5:$D$393,MATCH(B633,Paletes!$A$5:$A$393,0)),0)</f>
      </c>
      <c r="W633" s="31">
        <f>IF(V633=0,0,J633/V633)</f>
      </c>
      <c r="X633" s="31">
        <f>IF(V633=0,0,MAX(M633,0)/V633)</f>
      </c>
    </row>
    <row r="634" spans="1:24" x14ac:dyDescent="0.25">
      <c r="A634" s="32" t="str">
        <f>B634&amp;"."&amp;IFERROR(MID(D634,FIND("(",D634)+1,FIND(")",D634)-FIND("(",D634)-1),"")</f>
        <v>2192.13152</v>
      </c>
      <c r="B634" s="33">
        <v>2192</v>
      </c>
      <c r="C634" s="32" t="s">
        <v>110</v>
      </c>
      <c r="D634" s="32" t="s">
        <v>987</v>
      </c>
      <c r="E634" s="32">
        <v>55521</v>
      </c>
      <c r="F634" s="32" t="s">
        <v>26</v>
      </c>
      <c r="G634" s="32" t="s">
        <v>51</v>
      </c>
      <c r="H634" s="34">
        <f>IFERROR(INDEX(Linha!$B$5:$B$788,MATCH(A634,Linha!$A$5:$A$788,0)),"NÃO CADASTRADO")</f>
      </c>
      <c r="I634" s="34">
        <f>IFERROR(INDEX(Linha!$C$5:$C$788,MATCH(A634,Linha!$A$5:$A$788,0)),"-")</f>
      </c>
      <c r="J634" s="35">
        <v>34</v>
      </c>
      <c r="K634" s="36">
        <f>IFERROR(INDEX(Linha!$D$5:$D$788,MATCH(A634,Linha!$A$5:$A$788,0))*1,0)</f>
      </c>
      <c r="L634" s="36">
        <f>SUMIFS(Reservas!$K$5:$K$3669,Reservas!$A$5:$A$3669,A634)</f>
      </c>
      <c r="M634" s="37">
        <f>J634-L634</f>
      </c>
      <c r="N634" s="38">
        <v>13.162</v>
      </c>
      <c r="O634" s="37">
        <f>J634*N634</f>
      </c>
      <c r="P634" s="37">
        <f>L634*N634</f>
      </c>
      <c r="Q634" s="39">
        <v>54.57476043</v>
      </c>
      <c r="R634" s="40">
        <f>J634*Q634</f>
      </c>
      <c r="S634" s="40">
        <f>L634*Q634</f>
      </c>
      <c r="T634" s="41">
        <f>IF(J634=0,0,L634/J634)</f>
      </c>
      <c r="U634" s="42">
        <f>IFERROR(INDEX(Paletes!$C$5:$C$393,MATCH(B634,Paletes!$A$5:$A$393,0)),"SEM CADASTRO")</f>
      </c>
      <c r="V634" s="36">
        <f>IFERROR(INDEX(Paletes!$D$5:$D$393,MATCH(B634,Paletes!$A$5:$A$393,0)),0)</f>
      </c>
      <c r="W634" s="43">
        <f>IF(V634=0,0,J634/V634)</f>
      </c>
      <c r="X634" s="43">
        <f>IF(V634=0,0,MAX(M634,0)/V634)</f>
      </c>
    </row>
    <row r="635" spans="1:24" x14ac:dyDescent="0.25">
      <c r="A635" s="20" t="str">
        <f>B635&amp;"."&amp;IFERROR(MID(D635,FIND("(",D635)+1,FIND(")",D635)-FIND("(",D635)-1),"")</f>
        <v>2321.</v>
      </c>
      <c r="B635" s="21">
        <v>2321</v>
      </c>
      <c r="C635" s="20" t="s">
        <v>988</v>
      </c>
      <c r="D635" s="20" t="s">
        <v>89</v>
      </c>
      <c r="E635" s="20">
        <v>55593</v>
      </c>
      <c r="F635" s="20" t="s">
        <v>26</v>
      </c>
      <c r="G635" s="20" t="s">
        <v>51</v>
      </c>
      <c r="H635" s="22">
        <f>IFERROR(INDEX(Linha!$B$5:$B$788,MATCH(A635,Linha!$A$5:$A$788,0)),"NÃO CADASTRADO")</f>
      </c>
      <c r="I635" s="22">
        <f>IFERROR(INDEX(Linha!$C$5:$C$788,MATCH(A635,Linha!$A$5:$A$788,0)),"-")</f>
      </c>
      <c r="J635" s="23">
        <v>619</v>
      </c>
      <c r="K635" s="24">
        <f>IFERROR(INDEX(Linha!$D$5:$D$788,MATCH(A635,Linha!$A$5:$A$788,0))*1,0)</f>
      </c>
      <c r="L635" s="24">
        <f>SUMIFS(Reservas!$K$5:$K$3669,Reservas!$A$5:$A$3669,A635)</f>
      </c>
      <c r="M635" s="25">
        <f>J635-L635</f>
      </c>
      <c r="N635" s="26">
        <v>16.185</v>
      </c>
      <c r="O635" s="25">
        <f>J635*N635</f>
      </c>
      <c r="P635" s="25">
        <f>L635*N635</f>
      </c>
      <c r="Q635" s="27">
        <v>84.46441988</v>
      </c>
      <c r="R635" s="28">
        <f>J635*Q635</f>
      </c>
      <c r="S635" s="28">
        <f>L635*Q635</f>
      </c>
      <c r="T635" s="29">
        <f>IF(J635=0,0,L635/J635)</f>
      </c>
      <c r="U635" s="30">
        <f>IFERROR(INDEX(Paletes!$C$5:$C$393,MATCH(B635,Paletes!$A$5:$A$393,0)),"SEM CADASTRO")</f>
      </c>
      <c r="V635" s="24">
        <f>IFERROR(INDEX(Paletes!$D$5:$D$393,MATCH(B635,Paletes!$A$5:$A$393,0)),0)</f>
      </c>
      <c r="W635" s="31">
        <f>IF(V635=0,0,J635/V635)</f>
      </c>
      <c r="X635" s="31">
        <f>IF(V635=0,0,MAX(M635,0)/V635)</f>
      </c>
    </row>
    <row r="636" spans="1:24" x14ac:dyDescent="0.25">
      <c r="A636" s="32" t="str">
        <f>B636&amp;"."&amp;IFERROR(MID(D636,FIND("(",D636)+1,FIND(")",D636)-FIND("(",D636)-1),"")</f>
        <v>74198.67791</v>
      </c>
      <c r="B636" s="33">
        <v>74198</v>
      </c>
      <c r="C636" s="32" t="s">
        <v>566</v>
      </c>
      <c r="D636" s="32" t="s">
        <v>989</v>
      </c>
      <c r="E636" s="32">
        <v>59225</v>
      </c>
      <c r="F636" s="32" t="s">
        <v>24</v>
      </c>
      <c r="G636" s="32" t="s">
        <v>51</v>
      </c>
      <c r="H636" s="34">
        <f>IFERROR(INDEX(Linha!$B$5:$B$788,MATCH(A636,Linha!$A$5:$A$788,0)),"NÃO CADASTRADO")</f>
      </c>
      <c r="I636" s="34">
        <f>IFERROR(INDEX(Linha!$C$5:$C$788,MATCH(A636,Linha!$A$5:$A$788,0)),"-")</f>
      </c>
      <c r="J636" s="35">
        <v>14</v>
      </c>
      <c r="K636" s="36">
        <f>IFERROR(INDEX(Linha!$D$5:$D$788,MATCH(A636,Linha!$A$5:$A$788,0))*1,0)</f>
      </c>
      <c r="L636" s="36">
        <f>SUMIFS(Reservas!$K$5:$K$3669,Reservas!$A$5:$A$3669,A636)</f>
      </c>
      <c r="M636" s="37">
        <f>J636-L636</f>
      </c>
      <c r="N636" s="38">
        <v>14.87</v>
      </c>
      <c r="O636" s="37">
        <f>J636*N636</f>
      </c>
      <c r="P636" s="37">
        <f>L636*N636</f>
      </c>
      <c r="Q636" s="39">
        <v>60.79935497</v>
      </c>
      <c r="R636" s="40">
        <f>J636*Q636</f>
      </c>
      <c r="S636" s="40">
        <f>L636*Q636</f>
      </c>
      <c r="T636" s="41">
        <f>IF(J636=0,0,L636/J636)</f>
      </c>
      <c r="U636" s="42">
        <f>IFERROR(INDEX(Paletes!$C$5:$C$393,MATCH(B636,Paletes!$A$5:$A$393,0)),"SEM CADASTRO")</f>
      </c>
      <c r="V636" s="36">
        <f>IFERROR(INDEX(Paletes!$D$5:$D$393,MATCH(B636,Paletes!$A$5:$A$393,0)),0)</f>
      </c>
      <c r="W636" s="43">
        <f>IF(V636=0,0,J636/V636)</f>
      </c>
      <c r="X636" s="43">
        <f>IF(V636=0,0,MAX(M636,0)/V636)</f>
      </c>
    </row>
    <row r="637" spans="1:24" x14ac:dyDescent="0.25">
      <c r="A637" s="20" t="str">
        <f>B637&amp;"."&amp;IFERROR(MID(D637,FIND("(",D637)+1,FIND(")",D637)-FIND("(",D637)-1),"")</f>
        <v>72728.31885</v>
      </c>
      <c r="B637" s="21">
        <v>72728</v>
      </c>
      <c r="C637" s="20" t="s">
        <v>990</v>
      </c>
      <c r="D637" s="20" t="s">
        <v>991</v>
      </c>
      <c r="E637" s="20">
        <v>88259</v>
      </c>
      <c r="F637" s="20" t="s">
        <v>26</v>
      </c>
      <c r="G637" s="20" t="s">
        <v>51</v>
      </c>
      <c r="H637" s="22">
        <f>IFERROR(INDEX(Linha!$B$5:$B$788,MATCH(A637,Linha!$A$5:$A$788,0)),"NÃO CADASTRADO")</f>
      </c>
      <c r="I637" s="22">
        <f>IFERROR(INDEX(Linha!$C$5:$C$788,MATCH(A637,Linha!$A$5:$A$788,0)),"-")</f>
      </c>
      <c r="J637" s="23">
        <v>0</v>
      </c>
      <c r="K637" s="24">
        <f>IFERROR(INDEX(Linha!$D$5:$D$788,MATCH(A637,Linha!$A$5:$A$788,0))*1,0)</f>
      </c>
      <c r="L637" s="24">
        <f>SUMIFS(Reservas!$K$5:$K$3669,Reservas!$A$5:$A$3669,A637)</f>
      </c>
      <c r="M637" s="25">
        <f>J637-L637</f>
      </c>
      <c r="N637" s="26">
        <v>55.575</v>
      </c>
      <c r="O637" s="25">
        <f>J637*N637</f>
      </c>
      <c r="P637" s="25">
        <f>L637*N637</f>
      </c>
      <c r="Q637" s="27">
        <v>167.39650331</v>
      </c>
      <c r="R637" s="28">
        <f>J637*Q637</f>
      </c>
      <c r="S637" s="28">
        <f>L637*Q637</f>
      </c>
      <c r="T637" s="29">
        <f>IF(J637=0,0,L637/J637)</f>
      </c>
      <c r="U637" s="30">
        <f>IFERROR(INDEX(Paletes!$C$5:$C$393,MATCH(B637,Paletes!$A$5:$A$393,0)),"SEM CADASTRO")</f>
      </c>
      <c r="V637" s="24">
        <f>IFERROR(INDEX(Paletes!$D$5:$D$393,MATCH(B637,Paletes!$A$5:$A$393,0)),0)</f>
      </c>
      <c r="W637" s="31">
        <f>IF(V637=0,0,J637/V637)</f>
      </c>
      <c r="X637" s="31">
        <f>IF(V637=0,0,MAX(M637,0)/V637)</f>
      </c>
    </row>
    <row r="638" spans="1:24" x14ac:dyDescent="0.25">
      <c r="A638" s="32" t="str">
        <f>B638&amp;"."&amp;IFERROR(MID(D638,FIND("(",D638)+1,FIND(")",D638)-FIND("(",D638)-1),"")</f>
        <v>84498.31391</v>
      </c>
      <c r="B638" s="33">
        <v>84498</v>
      </c>
      <c r="C638" s="32" t="s">
        <v>715</v>
      </c>
      <c r="D638" s="32" t="s">
        <v>992</v>
      </c>
      <c r="E638" s="32">
        <v>96469</v>
      </c>
      <c r="F638" s="32" t="s">
        <v>26</v>
      </c>
      <c r="G638" s="32" t="s">
        <v>51</v>
      </c>
      <c r="H638" s="34">
        <f>IFERROR(INDEX(Linha!$B$5:$B$788,MATCH(A638,Linha!$A$5:$A$788,0)),"NÃO CADASTRADO")</f>
      </c>
      <c r="I638" s="34">
        <f>IFERROR(INDEX(Linha!$C$5:$C$788,MATCH(A638,Linha!$A$5:$A$788,0)),"-")</f>
      </c>
      <c r="J638" s="35">
        <v>28</v>
      </c>
      <c r="K638" s="36">
        <f>IFERROR(INDEX(Linha!$D$5:$D$788,MATCH(A638,Linha!$A$5:$A$788,0))*1,0)</f>
      </c>
      <c r="L638" s="36">
        <f>SUMIFS(Reservas!$K$5:$K$3669,Reservas!$A$5:$A$3669,A638)</f>
      </c>
      <c r="M638" s="37">
        <f>J638-L638</f>
      </c>
      <c r="N638" s="38">
        <v>45.22</v>
      </c>
      <c r="O638" s="37">
        <f>J638*N638</f>
      </c>
      <c r="P638" s="37">
        <f>L638*N638</f>
      </c>
      <c r="Q638" s="39">
        <v>216.68938637</v>
      </c>
      <c r="R638" s="40">
        <f>J638*Q638</f>
      </c>
      <c r="S638" s="40">
        <f>L638*Q638</f>
      </c>
      <c r="T638" s="41">
        <f>IF(J638=0,0,L638/J638)</f>
      </c>
      <c r="U638" s="42">
        <f>IFERROR(INDEX(Paletes!$C$5:$C$393,MATCH(B638,Paletes!$A$5:$A$393,0)),"SEM CADASTRO")</f>
      </c>
      <c r="V638" s="36">
        <f>IFERROR(INDEX(Paletes!$D$5:$D$393,MATCH(B638,Paletes!$A$5:$A$393,0)),0)</f>
      </c>
      <c r="W638" s="43">
        <f>IF(V638=0,0,J638/V638)</f>
      </c>
      <c r="X638" s="43">
        <f>IF(V638=0,0,MAX(M638,0)/V638)</f>
      </c>
    </row>
    <row r="639" spans="1:24" x14ac:dyDescent="0.25">
      <c r="A639" s="20" t="str">
        <f>B639&amp;"."&amp;IFERROR(MID(D639,FIND("(",D639)+1,FIND(")",D639)-FIND("(",D639)-1),"")</f>
        <v>84875.30940</v>
      </c>
      <c r="B639" s="21">
        <v>84875</v>
      </c>
      <c r="C639" s="20" t="s">
        <v>431</v>
      </c>
      <c r="D639" s="20" t="s">
        <v>993</v>
      </c>
      <c r="E639" s="20">
        <v>96633</v>
      </c>
      <c r="F639" s="20" t="s">
        <v>26</v>
      </c>
      <c r="G639" s="20" t="s">
        <v>51</v>
      </c>
      <c r="H639" s="22">
        <f>IFERROR(INDEX(Linha!$B$5:$B$788,MATCH(A639,Linha!$A$5:$A$788,0)),"NÃO CADASTRADO")</f>
      </c>
      <c r="I639" s="22">
        <f>IFERROR(INDEX(Linha!$C$5:$C$788,MATCH(A639,Linha!$A$5:$A$788,0)),"-")</f>
      </c>
      <c r="J639" s="23">
        <v>0</v>
      </c>
      <c r="K639" s="24">
        <f>IFERROR(INDEX(Linha!$D$5:$D$788,MATCH(A639,Linha!$A$5:$A$788,0))*1,0)</f>
      </c>
      <c r="L639" s="24">
        <f>SUMIFS(Reservas!$K$5:$K$3669,Reservas!$A$5:$A$3669,A639)</f>
      </c>
      <c r="M639" s="25">
        <f>J639-L639</f>
      </c>
      <c r="N639" s="26">
        <v>52.162</v>
      </c>
      <c r="O639" s="25">
        <f>J639*N639</f>
      </c>
      <c r="P639" s="25">
        <f>L639*N639</f>
      </c>
      <c r="Q639" s="27">
        <v>195.9661917</v>
      </c>
      <c r="R639" s="28">
        <f>J639*Q639</f>
      </c>
      <c r="S639" s="28">
        <f>L639*Q639</f>
      </c>
      <c r="T639" s="29">
        <f>IF(J639=0,0,L639/J639)</f>
      </c>
      <c r="U639" s="30">
        <f>IFERROR(INDEX(Paletes!$C$5:$C$393,MATCH(B639,Paletes!$A$5:$A$393,0)),"SEM CADASTRO")</f>
      </c>
      <c r="V639" s="24">
        <f>IFERROR(INDEX(Paletes!$D$5:$D$393,MATCH(B639,Paletes!$A$5:$A$393,0)),0)</f>
      </c>
      <c r="W639" s="31">
        <f>IF(V639=0,0,J639/V639)</f>
      </c>
      <c r="X639" s="31">
        <f>IF(V639=0,0,MAX(M639,0)/V639)</f>
      </c>
    </row>
    <row r="640" spans="1:24" x14ac:dyDescent="0.25">
      <c r="A640" s="32" t="str">
        <f>B640&amp;"."&amp;IFERROR(MID(D640,FIND("(",D640)+1,FIND(")",D640)-FIND("(",D640)-1),"")</f>
        <v>73349.16549</v>
      </c>
      <c r="B640" s="33">
        <v>73349</v>
      </c>
      <c r="C640" s="32" t="s">
        <v>994</v>
      </c>
      <c r="D640" s="32" t="s">
        <v>995</v>
      </c>
      <c r="E640" s="32">
        <v>72705</v>
      </c>
      <c r="F640" s="32" t="s">
        <v>25</v>
      </c>
      <c r="G640" s="32" t="s">
        <v>51</v>
      </c>
      <c r="H640" s="34">
        <f>IFERROR(INDEX(Linha!$B$5:$B$788,MATCH(A640,Linha!$A$5:$A$788,0)),"NÃO CADASTRADO")</f>
      </c>
      <c r="I640" s="34">
        <f>IFERROR(INDEX(Linha!$C$5:$C$788,MATCH(A640,Linha!$A$5:$A$788,0)),"-")</f>
      </c>
      <c r="J640" s="35">
        <v>87</v>
      </c>
      <c r="K640" s="36">
        <f>IFERROR(INDEX(Linha!$D$5:$D$788,MATCH(A640,Linha!$A$5:$A$788,0))*1,0)</f>
      </c>
      <c r="L640" s="36">
        <f>SUMIFS(Reservas!$K$5:$K$3669,Reservas!$A$5:$A$3669,A640)</f>
      </c>
      <c r="M640" s="37">
        <f>J640-L640</f>
      </c>
      <c r="N640" s="38">
        <v>20.962</v>
      </c>
      <c r="O640" s="37">
        <f>J640*N640</f>
      </c>
      <c r="P640" s="37">
        <f>L640*N640</f>
      </c>
      <c r="Q640" s="39">
        <v>112.20249361</v>
      </c>
      <c r="R640" s="40">
        <f>J640*Q640</f>
      </c>
      <c r="S640" s="40">
        <f>L640*Q640</f>
      </c>
      <c r="T640" s="41">
        <f>IF(J640=0,0,L640/J640)</f>
      </c>
      <c r="U640" s="42">
        <f>IFERROR(INDEX(Paletes!$C$5:$C$393,MATCH(B640,Paletes!$A$5:$A$393,0)),"SEM CADASTRO")</f>
      </c>
      <c r="V640" s="36">
        <f>IFERROR(INDEX(Paletes!$D$5:$D$393,MATCH(B640,Paletes!$A$5:$A$393,0)),0)</f>
      </c>
      <c r="W640" s="43">
        <f>IF(V640=0,0,J640/V640)</f>
      </c>
      <c r="X640" s="43">
        <f>IF(V640=0,0,MAX(M640,0)/V640)</f>
      </c>
    </row>
    <row r="641" spans="1:24" x14ac:dyDescent="0.25">
      <c r="A641" s="20" t="str">
        <f>B641&amp;"."&amp;IFERROR(MID(D641,FIND("(",D641)+1,FIND(")",D641)-FIND("(",D641)-1),"")</f>
        <v>73375.16399</v>
      </c>
      <c r="B641" s="21">
        <v>73375</v>
      </c>
      <c r="C641" s="20" t="s">
        <v>996</v>
      </c>
      <c r="D641" s="20" t="s">
        <v>997</v>
      </c>
      <c r="E641" s="20">
        <v>54061</v>
      </c>
      <c r="F641" s="20" t="s">
        <v>25</v>
      </c>
      <c r="G641" s="20" t="s">
        <v>51</v>
      </c>
      <c r="H641" s="22">
        <f>IFERROR(INDEX(Linha!$B$5:$B$788,MATCH(A641,Linha!$A$5:$A$788,0)),"NÃO CADASTRADO")</f>
      </c>
      <c r="I641" s="22">
        <f>IFERROR(INDEX(Linha!$C$5:$C$788,MATCH(A641,Linha!$A$5:$A$788,0)),"-")</f>
      </c>
      <c r="J641" s="23">
        <v>1</v>
      </c>
      <c r="K641" s="24">
        <f>IFERROR(INDEX(Linha!$D$5:$D$788,MATCH(A641,Linha!$A$5:$A$788,0))*1,0)</f>
      </c>
      <c r="L641" s="24">
        <f>SUMIFS(Reservas!$K$5:$K$3669,Reservas!$A$5:$A$3669,A641)</f>
      </c>
      <c r="M641" s="25">
        <f>J641-L641</f>
      </c>
      <c r="N641" s="26">
        <v>18.817</v>
      </c>
      <c r="O641" s="25">
        <f>J641*N641</f>
      </c>
      <c r="P641" s="25">
        <f>L641*N641</f>
      </c>
      <c r="Q641" s="27">
        <v>99.84479659</v>
      </c>
      <c r="R641" s="28">
        <f>J641*Q641</f>
      </c>
      <c r="S641" s="28">
        <f>L641*Q641</f>
      </c>
      <c r="T641" s="29">
        <f>IF(J641=0,0,L641/J641)</f>
      </c>
      <c r="U641" s="30">
        <f>IFERROR(INDEX(Paletes!$C$5:$C$393,MATCH(B641,Paletes!$A$5:$A$393,0)),"SEM CADASTRO")</f>
      </c>
      <c r="V641" s="24">
        <f>IFERROR(INDEX(Paletes!$D$5:$D$393,MATCH(B641,Paletes!$A$5:$A$393,0)),0)</f>
      </c>
      <c r="W641" s="31">
        <f>IF(V641=0,0,J641/V641)</f>
      </c>
      <c r="X641" s="31">
        <f>IF(V641=0,0,MAX(M641,0)/V641)</f>
      </c>
    </row>
    <row r="642" spans="1:24" x14ac:dyDescent="0.25">
      <c r="A642" s="32" t="str">
        <f>B642&amp;"."&amp;IFERROR(MID(D642,FIND("(",D642)+1,FIND(")",D642)-FIND("(",D642)-1),"")</f>
        <v>73549.15585</v>
      </c>
      <c r="B642" s="33">
        <v>73549</v>
      </c>
      <c r="C642" s="32" t="s">
        <v>721</v>
      </c>
      <c r="D642" s="32" t="s">
        <v>998</v>
      </c>
      <c r="E642" s="32">
        <v>74779</v>
      </c>
      <c r="F642" s="32" t="s">
        <v>25</v>
      </c>
      <c r="G642" s="32" t="s">
        <v>51</v>
      </c>
      <c r="H642" s="34">
        <f>IFERROR(INDEX(Linha!$B$5:$B$788,MATCH(A642,Linha!$A$5:$A$788,0)),"NÃO CADASTRADO")</f>
      </c>
      <c r="I642" s="34">
        <f>IFERROR(INDEX(Linha!$C$5:$C$788,MATCH(A642,Linha!$A$5:$A$788,0)),"-")</f>
      </c>
      <c r="J642" s="35">
        <v>1</v>
      </c>
      <c r="K642" s="36">
        <f>IFERROR(INDEX(Linha!$D$5:$D$788,MATCH(A642,Linha!$A$5:$A$788,0))*1,0)</f>
      </c>
      <c r="L642" s="36">
        <f>SUMIFS(Reservas!$K$5:$K$3669,Reservas!$A$5:$A$3669,A642)</f>
      </c>
      <c r="M642" s="37">
        <f>J642-L642</f>
      </c>
      <c r="N642" s="38">
        <v>6.678</v>
      </c>
      <c r="O642" s="37">
        <f>J642*N642</f>
      </c>
      <c r="P642" s="37">
        <f>L642*N642</f>
      </c>
      <c r="Q642" s="39">
        <v>45.36032936</v>
      </c>
      <c r="R642" s="40">
        <f>J642*Q642</f>
      </c>
      <c r="S642" s="40">
        <f>L642*Q642</f>
      </c>
      <c r="T642" s="41">
        <f>IF(J642=0,0,L642/J642)</f>
      </c>
      <c r="U642" s="42">
        <f>IFERROR(INDEX(Paletes!$C$5:$C$393,MATCH(B642,Paletes!$A$5:$A$393,0)),"SEM CADASTRO")</f>
      </c>
      <c r="V642" s="36">
        <f>IFERROR(INDEX(Paletes!$D$5:$D$393,MATCH(B642,Paletes!$A$5:$A$393,0)),0)</f>
      </c>
      <c r="W642" s="43">
        <f>IF(V642=0,0,J642/V642)</f>
      </c>
      <c r="X642" s="43">
        <f>IF(V642=0,0,MAX(M642,0)/V642)</f>
      </c>
    </row>
    <row r="643" spans="1:24" x14ac:dyDescent="0.25">
      <c r="A643" s="20" t="str">
        <f>B643&amp;"."&amp;IFERROR(MID(D643,FIND("(",D643)+1,FIND(")",D643)-FIND("(",D643)-1),"")</f>
        <v>85315.46264</v>
      </c>
      <c r="B643" s="21">
        <v>85315</v>
      </c>
      <c r="C643" s="20" t="s">
        <v>446</v>
      </c>
      <c r="D643" s="20" t="s">
        <v>999</v>
      </c>
      <c r="E643" s="20">
        <v>97857</v>
      </c>
      <c r="F643" s="20" t="s">
        <v>25</v>
      </c>
      <c r="G643" s="20" t="s">
        <v>51</v>
      </c>
      <c r="H643" s="22">
        <f>IFERROR(INDEX(Linha!$B$5:$B$788,MATCH(A643,Linha!$A$5:$A$788,0)),"NÃO CADASTRADO")</f>
      </c>
      <c r="I643" s="22">
        <f>IFERROR(INDEX(Linha!$C$5:$C$788,MATCH(A643,Linha!$A$5:$A$788,0)),"-")</f>
      </c>
      <c r="J643" s="23">
        <v>1</v>
      </c>
      <c r="K643" s="24">
        <f>IFERROR(INDEX(Linha!$D$5:$D$788,MATCH(A643,Linha!$A$5:$A$788,0))*1,0)</f>
      </c>
      <c r="L643" s="24">
        <f>SUMIFS(Reservas!$K$5:$K$3669,Reservas!$A$5:$A$3669,A643)</f>
      </c>
      <c r="M643" s="25">
        <f>J643-L643</f>
      </c>
      <c r="N643" s="26">
        <v>14.625</v>
      </c>
      <c r="O643" s="25">
        <f>J643*N643</f>
      </c>
      <c r="P643" s="25">
        <f>L643*N643</f>
      </c>
      <c r="Q643" s="27">
        <v>92.25723158</v>
      </c>
      <c r="R643" s="28">
        <f>J643*Q643</f>
      </c>
      <c r="S643" s="28">
        <f>L643*Q643</f>
      </c>
      <c r="T643" s="29">
        <f>IF(J643=0,0,L643/J643)</f>
      </c>
      <c r="U643" s="30">
        <f>IFERROR(INDEX(Paletes!$C$5:$C$393,MATCH(B643,Paletes!$A$5:$A$393,0)),"SEM CADASTRO")</f>
      </c>
      <c r="V643" s="24">
        <f>IFERROR(INDEX(Paletes!$D$5:$D$393,MATCH(B643,Paletes!$A$5:$A$393,0)),0)</f>
      </c>
      <c r="W643" s="31">
        <f>IF(V643=0,0,J643/V643)</f>
      </c>
      <c r="X643" s="31">
        <f>IF(V643=0,0,MAX(M643,0)/V643)</f>
      </c>
    </row>
    <row r="644" spans="1:24" x14ac:dyDescent="0.25">
      <c r="A644" s="32" t="str">
        <f>B644&amp;"."&amp;IFERROR(MID(D644,FIND("(",D644)+1,FIND(")",D644)-FIND("(",D644)-1),"")</f>
        <v>84550.31851</v>
      </c>
      <c r="B644" s="33">
        <v>84550</v>
      </c>
      <c r="C644" s="32" t="s">
        <v>724</v>
      </c>
      <c r="D644" s="32" t="s">
        <v>1000</v>
      </c>
      <c r="E644" s="32">
        <v>96488</v>
      </c>
      <c r="F644" s="32" t="s">
        <v>26</v>
      </c>
      <c r="G644" s="32" t="s">
        <v>51</v>
      </c>
      <c r="H644" s="34">
        <f>IFERROR(INDEX(Linha!$B$5:$B$788,MATCH(A644,Linha!$A$5:$A$788,0)),"NÃO CADASTRADO")</f>
      </c>
      <c r="I644" s="34">
        <f>IFERROR(INDEX(Linha!$C$5:$C$788,MATCH(A644,Linha!$A$5:$A$788,0)),"-")</f>
      </c>
      <c r="J644" s="35">
        <v>26</v>
      </c>
      <c r="K644" s="36">
        <f>IFERROR(INDEX(Linha!$D$5:$D$788,MATCH(A644,Linha!$A$5:$A$788,0))*1,0)</f>
      </c>
      <c r="L644" s="36">
        <f>SUMIFS(Reservas!$K$5:$K$3669,Reservas!$A$5:$A$3669,A644)</f>
      </c>
      <c r="M644" s="37">
        <f>J644-L644</f>
      </c>
      <c r="N644" s="38">
        <v>39.097</v>
      </c>
      <c r="O644" s="37">
        <f>J644*N644</f>
      </c>
      <c r="P644" s="37">
        <f>L644*N644</f>
      </c>
      <c r="Q644" s="39">
        <v>128.21585583</v>
      </c>
      <c r="R644" s="40">
        <f>J644*Q644</f>
      </c>
      <c r="S644" s="40">
        <f>L644*Q644</f>
      </c>
      <c r="T644" s="41">
        <f>IF(J644=0,0,L644/J644)</f>
      </c>
      <c r="U644" s="42">
        <f>IFERROR(INDEX(Paletes!$C$5:$C$393,MATCH(B644,Paletes!$A$5:$A$393,0)),"SEM CADASTRO")</f>
      </c>
      <c r="V644" s="36">
        <f>IFERROR(INDEX(Paletes!$D$5:$D$393,MATCH(B644,Paletes!$A$5:$A$393,0)),0)</f>
      </c>
      <c r="W644" s="43">
        <f>IF(V644=0,0,J644/V644)</f>
      </c>
      <c r="X644" s="43">
        <f>IF(V644=0,0,MAX(M644,0)/V644)</f>
      </c>
    </row>
    <row r="645" spans="1:24" x14ac:dyDescent="0.25">
      <c r="A645" s="20" t="str">
        <f>B645&amp;"."&amp;IFERROR(MID(D645,FIND("(",D645)+1,FIND(")",D645)-FIND("(",D645)-1),"")</f>
        <v>84688.31337</v>
      </c>
      <c r="B645" s="21">
        <v>84688</v>
      </c>
      <c r="C645" s="20" t="s">
        <v>448</v>
      </c>
      <c r="D645" s="20" t="s">
        <v>1001</v>
      </c>
      <c r="E645" s="20">
        <v>96484</v>
      </c>
      <c r="F645" s="20" t="s">
        <v>26</v>
      </c>
      <c r="G645" s="20" t="s">
        <v>51</v>
      </c>
      <c r="H645" s="22">
        <f>IFERROR(INDEX(Linha!$B$5:$B$788,MATCH(A645,Linha!$A$5:$A$788,0)),"NÃO CADASTRADO")</f>
      </c>
      <c r="I645" s="22">
        <f>IFERROR(INDEX(Linha!$C$5:$C$788,MATCH(A645,Linha!$A$5:$A$788,0)),"-")</f>
      </c>
      <c r="J645" s="23">
        <v>0</v>
      </c>
      <c r="K645" s="24">
        <f>IFERROR(INDEX(Linha!$D$5:$D$788,MATCH(A645,Linha!$A$5:$A$788,0))*1,0)</f>
      </c>
      <c r="L645" s="24">
        <f>SUMIFS(Reservas!$K$5:$K$3669,Reservas!$A$5:$A$3669,A645)</f>
      </c>
      <c r="M645" s="25">
        <f>J645-L645</f>
      </c>
      <c r="N645" s="26">
        <v>49.92</v>
      </c>
      <c r="O645" s="25">
        <f>J645*N645</f>
      </c>
      <c r="P645" s="25">
        <f>L645*N645</f>
      </c>
      <c r="Q645" s="27">
        <v>168.95770121</v>
      </c>
      <c r="R645" s="28">
        <f>J645*Q645</f>
      </c>
      <c r="S645" s="28">
        <f>L645*Q645</f>
      </c>
      <c r="T645" s="29">
        <f>IF(J645=0,0,L645/J645)</f>
      </c>
      <c r="U645" s="30">
        <f>IFERROR(INDEX(Paletes!$C$5:$C$393,MATCH(B645,Paletes!$A$5:$A$393,0)),"SEM CADASTRO")</f>
      </c>
      <c r="V645" s="24">
        <f>IFERROR(INDEX(Paletes!$D$5:$D$393,MATCH(B645,Paletes!$A$5:$A$393,0)),0)</f>
      </c>
      <c r="W645" s="31">
        <f>IF(V645=0,0,J645/V645)</f>
      </c>
      <c r="X645" s="31">
        <f>IF(V645=0,0,MAX(M645,0)/V645)</f>
      </c>
    </row>
    <row r="646" spans="1:24" x14ac:dyDescent="0.25">
      <c r="A646" s="32" t="str">
        <f>B646&amp;"."&amp;IFERROR(MID(D646,FIND("(",D646)+1,FIND(")",D646)-FIND("(",D646)-1),"")</f>
        <v>84701.32131</v>
      </c>
      <c r="B646" s="33">
        <v>84701</v>
      </c>
      <c r="C646" s="32" t="s">
        <v>1002</v>
      </c>
      <c r="D646" s="32" t="s">
        <v>1003</v>
      </c>
      <c r="E646" s="32">
        <v>96490</v>
      </c>
      <c r="F646" s="32" t="s">
        <v>26</v>
      </c>
      <c r="G646" s="32" t="s">
        <v>51</v>
      </c>
      <c r="H646" s="34">
        <f>IFERROR(INDEX(Linha!$B$5:$B$788,MATCH(A646,Linha!$A$5:$A$788,0)),"NÃO CADASTRADO")</f>
      </c>
      <c r="I646" s="34">
        <f>IFERROR(INDEX(Linha!$C$5:$C$788,MATCH(A646,Linha!$A$5:$A$788,0)),"-")</f>
      </c>
      <c r="J646" s="35">
        <v>0</v>
      </c>
      <c r="K646" s="36">
        <f>IFERROR(INDEX(Linha!$D$5:$D$788,MATCH(A646,Linha!$A$5:$A$788,0))*1,0)</f>
      </c>
      <c r="L646" s="36">
        <f>SUMIFS(Reservas!$K$5:$K$3669,Reservas!$A$5:$A$3669,A646)</f>
      </c>
      <c r="M646" s="37">
        <f>J646-L646</f>
      </c>
      <c r="N646" s="38">
        <v>44.313</v>
      </c>
      <c r="O646" s="37">
        <f>J646*N646</f>
      </c>
      <c r="P646" s="37">
        <f>L646*N646</f>
      </c>
      <c r="Q646" s="39">
        <v>148.846475</v>
      </c>
      <c r="R646" s="40">
        <f>J646*Q646</f>
      </c>
      <c r="S646" s="40">
        <f>L646*Q646</f>
      </c>
      <c r="T646" s="41">
        <f>IF(J646=0,0,L646/J646)</f>
      </c>
      <c r="U646" s="42">
        <f>IFERROR(INDEX(Paletes!$C$5:$C$393,MATCH(B646,Paletes!$A$5:$A$393,0)),"SEM CADASTRO")</f>
      </c>
      <c r="V646" s="36">
        <f>IFERROR(INDEX(Paletes!$D$5:$D$393,MATCH(B646,Paletes!$A$5:$A$393,0)),0)</f>
      </c>
      <c r="W646" s="43">
        <f>IF(V646=0,0,J646/V646)</f>
      </c>
      <c r="X646" s="43">
        <f>IF(V646=0,0,MAX(M646,0)/V646)</f>
      </c>
    </row>
    <row r="647" spans="1:24" x14ac:dyDescent="0.25">
      <c r="A647" s="20" t="str">
        <f>B647&amp;"."&amp;IFERROR(MID(D647,FIND("(",D647)+1,FIND(")",D647)-FIND("(",D647)-1),"")</f>
        <v>84715.31343</v>
      </c>
      <c r="B647" s="21">
        <v>84715</v>
      </c>
      <c r="C647" s="20" t="s">
        <v>280</v>
      </c>
      <c r="D647" s="20" t="s">
        <v>1004</v>
      </c>
      <c r="E647" s="20">
        <v>96485</v>
      </c>
      <c r="F647" s="20" t="s">
        <v>26</v>
      </c>
      <c r="G647" s="20" t="s">
        <v>51</v>
      </c>
      <c r="H647" s="22">
        <f>IFERROR(INDEX(Linha!$B$5:$B$788,MATCH(A647,Linha!$A$5:$A$788,0)),"NÃO CADASTRADO")</f>
      </c>
      <c r="I647" s="22">
        <f>IFERROR(INDEX(Linha!$C$5:$C$788,MATCH(A647,Linha!$A$5:$A$788,0)),"-")</f>
      </c>
      <c r="J647" s="23">
        <v>0</v>
      </c>
      <c r="K647" s="24">
        <f>IFERROR(INDEX(Linha!$D$5:$D$788,MATCH(A647,Linha!$A$5:$A$788,0))*1,0)</f>
      </c>
      <c r="L647" s="24">
        <f>SUMIFS(Reservas!$K$5:$K$3669,Reservas!$A$5:$A$3669,A647)</f>
      </c>
      <c r="M647" s="25">
        <f>J647-L647</f>
      </c>
      <c r="N647" s="26">
        <v>53.625</v>
      </c>
      <c r="O647" s="25">
        <f>J647*N647</f>
      </c>
      <c r="P647" s="25">
        <f>L647*N647</f>
      </c>
      <c r="Q647" s="27">
        <v>177.4534681</v>
      </c>
      <c r="R647" s="28">
        <f>J647*Q647</f>
      </c>
      <c r="S647" s="28">
        <f>L647*Q647</f>
      </c>
      <c r="T647" s="29">
        <f>IF(J647=0,0,L647/J647)</f>
      </c>
      <c r="U647" s="30">
        <f>IFERROR(INDEX(Paletes!$C$5:$C$393,MATCH(B647,Paletes!$A$5:$A$393,0)),"SEM CADASTRO")</f>
      </c>
      <c r="V647" s="24">
        <f>IFERROR(INDEX(Paletes!$D$5:$D$393,MATCH(B647,Paletes!$A$5:$A$393,0)),0)</f>
      </c>
      <c r="W647" s="31">
        <f>IF(V647=0,0,J647/V647)</f>
      </c>
      <c r="X647" s="31">
        <f>IF(V647=0,0,MAX(M647,0)/V647)</f>
      </c>
    </row>
    <row r="648" spans="1:24" x14ac:dyDescent="0.25">
      <c r="A648" s="32" t="str">
        <f>B648&amp;"."&amp;IFERROR(MID(D648,FIND("(",D648)+1,FIND(")",D648)-FIND("(",D648)-1),"")</f>
        <v>74400.55274</v>
      </c>
      <c r="B648" s="33">
        <v>74400</v>
      </c>
      <c r="C648" s="32" t="s">
        <v>1005</v>
      </c>
      <c r="D648" s="32" t="s">
        <v>1006</v>
      </c>
      <c r="E648" s="32">
        <v>73621</v>
      </c>
      <c r="F648" s="32" t="s">
        <v>26</v>
      </c>
      <c r="G648" s="32" t="s">
        <v>51</v>
      </c>
      <c r="H648" s="34">
        <f>IFERROR(INDEX(Linha!$B$5:$B$788,MATCH(A648,Linha!$A$5:$A$788,0)),"NÃO CADASTRADO")</f>
      </c>
      <c r="I648" s="34">
        <f>IFERROR(INDEX(Linha!$C$5:$C$788,MATCH(A648,Linha!$A$5:$A$788,0)),"-")</f>
      </c>
      <c r="J648" s="35">
        <v>0</v>
      </c>
      <c r="K648" s="36">
        <f>IFERROR(INDEX(Linha!$D$5:$D$788,MATCH(A648,Linha!$A$5:$A$788,0))*1,0)</f>
      </c>
      <c r="L648" s="36">
        <f>SUMIFS(Reservas!$K$5:$K$3669,Reservas!$A$5:$A$3669,A648)</f>
      </c>
      <c r="M648" s="37">
        <f>J648-L648</f>
      </c>
      <c r="N648" s="38">
        <v>61.327</v>
      </c>
      <c r="O648" s="37">
        <f>J648*N648</f>
      </c>
      <c r="P648" s="37">
        <f>L648*N648</f>
      </c>
      <c r="Q648" s="39">
        <v>301.10045716</v>
      </c>
      <c r="R648" s="40">
        <f>J648*Q648</f>
      </c>
      <c r="S648" s="40">
        <f>L648*Q648</f>
      </c>
      <c r="T648" s="41">
        <f>IF(J648=0,0,L648/J648)</f>
      </c>
      <c r="U648" s="42">
        <f>IFERROR(INDEX(Paletes!$C$5:$C$393,MATCH(B648,Paletes!$A$5:$A$393,0)),"SEM CADASTRO")</f>
      </c>
      <c r="V648" s="36">
        <f>IFERROR(INDEX(Paletes!$D$5:$D$393,MATCH(B648,Paletes!$A$5:$A$393,0)),0)</f>
      </c>
      <c r="W648" s="43">
        <f>IF(V648=0,0,J648/V648)</f>
      </c>
      <c r="X648" s="43">
        <f>IF(V648=0,0,MAX(M648,0)/V648)</f>
      </c>
    </row>
    <row r="649" spans="1:24" x14ac:dyDescent="0.25">
      <c r="A649" s="20" t="str">
        <f>B649&amp;"."&amp;IFERROR(MID(D649,FIND("(",D649)+1,FIND(")",D649)-FIND("(",D649)-1),"")</f>
        <v>74610.55687</v>
      </c>
      <c r="B649" s="21">
        <v>74610</v>
      </c>
      <c r="C649" s="20" t="s">
        <v>881</v>
      </c>
      <c r="D649" s="20" t="s">
        <v>1007</v>
      </c>
      <c r="E649" s="20">
        <v>80748</v>
      </c>
      <c r="F649" s="20" t="s">
        <v>26</v>
      </c>
      <c r="G649" s="20" t="s">
        <v>51</v>
      </c>
      <c r="H649" s="22">
        <f>IFERROR(INDEX(Linha!$B$5:$B$788,MATCH(A649,Linha!$A$5:$A$788,0)),"NÃO CADASTRADO")</f>
      </c>
      <c r="I649" s="22">
        <f>IFERROR(INDEX(Linha!$C$5:$C$788,MATCH(A649,Linha!$A$5:$A$788,0)),"-")</f>
      </c>
      <c r="J649" s="23">
        <v>0</v>
      </c>
      <c r="K649" s="24">
        <f>IFERROR(INDEX(Linha!$D$5:$D$788,MATCH(A649,Linha!$A$5:$A$788,0))*1,0)</f>
      </c>
      <c r="L649" s="24">
        <f>SUMIFS(Reservas!$K$5:$K$3669,Reservas!$A$5:$A$3669,A649)</f>
      </c>
      <c r="M649" s="25">
        <f>J649-L649</f>
      </c>
      <c r="N649" s="26">
        <v>43.68</v>
      </c>
      <c r="O649" s="25">
        <f>J649*N649</f>
      </c>
      <c r="P649" s="25">
        <f>L649*N649</f>
      </c>
      <c r="Q649" s="27">
        <v>133.55798856</v>
      </c>
      <c r="R649" s="28">
        <f>J649*Q649</f>
      </c>
      <c r="S649" s="28">
        <f>L649*Q649</f>
      </c>
      <c r="T649" s="29">
        <f>IF(J649=0,0,L649/J649)</f>
      </c>
      <c r="U649" s="30">
        <f>IFERROR(INDEX(Paletes!$C$5:$C$393,MATCH(B649,Paletes!$A$5:$A$393,0)),"SEM CADASTRO")</f>
      </c>
      <c r="V649" s="24">
        <f>IFERROR(INDEX(Paletes!$D$5:$D$393,MATCH(B649,Paletes!$A$5:$A$393,0)),0)</f>
      </c>
      <c r="W649" s="31">
        <f>IF(V649=0,0,J649/V649)</f>
      </c>
      <c r="X649" s="31">
        <f>IF(V649=0,0,MAX(M649,0)/V649)</f>
      </c>
    </row>
    <row r="650" spans="1:24" x14ac:dyDescent="0.25">
      <c r="A650" s="32" t="str">
        <f>B650&amp;"."&amp;IFERROR(MID(D650,FIND("(",D650)+1,FIND(")",D650)-FIND("(",D650)-1),"")</f>
        <v>217.16143</v>
      </c>
      <c r="B650" s="33">
        <v>217</v>
      </c>
      <c r="C650" s="32" t="s">
        <v>132</v>
      </c>
      <c r="D650" s="32" t="s">
        <v>1008</v>
      </c>
      <c r="E650" s="32">
        <v>32317</v>
      </c>
      <c r="F650" s="32" t="s">
        <v>25</v>
      </c>
      <c r="G650" s="32" t="s">
        <v>51</v>
      </c>
      <c r="H650" s="34">
        <f>IFERROR(INDEX(Linha!$B$5:$B$788,MATCH(A650,Linha!$A$5:$A$788,0)),"NÃO CADASTRADO")</f>
      </c>
      <c r="I650" s="34">
        <f>IFERROR(INDEX(Linha!$C$5:$C$788,MATCH(A650,Linha!$A$5:$A$788,0)),"-")</f>
      </c>
      <c r="J650" s="35">
        <v>2068</v>
      </c>
      <c r="K650" s="36">
        <f>IFERROR(INDEX(Linha!$D$5:$D$788,MATCH(A650,Linha!$A$5:$A$788,0))*1,0)</f>
      </c>
      <c r="L650" s="36">
        <f>SUMIFS(Reservas!$K$5:$K$3669,Reservas!$A$5:$A$3669,A650)</f>
      </c>
      <c r="M650" s="37">
        <f>J650-L650</f>
      </c>
      <c r="N650" s="38">
        <v>11.51</v>
      </c>
      <c r="O650" s="37">
        <f>J650*N650</f>
      </c>
      <c r="P650" s="37">
        <f>L650*N650</f>
      </c>
      <c r="Q650" s="39">
        <v>61.50899392</v>
      </c>
      <c r="R650" s="40">
        <f>J650*Q650</f>
      </c>
      <c r="S650" s="40">
        <f>L650*Q650</f>
      </c>
      <c r="T650" s="41">
        <f>IF(J650=0,0,L650/J650)</f>
      </c>
      <c r="U650" s="42">
        <f>IFERROR(INDEX(Paletes!$C$5:$C$393,MATCH(B650,Paletes!$A$5:$A$393,0)),"SEM CADASTRO")</f>
      </c>
      <c r="V650" s="36">
        <f>IFERROR(INDEX(Paletes!$D$5:$D$393,MATCH(B650,Paletes!$A$5:$A$393,0)),0)</f>
      </c>
      <c r="W650" s="43">
        <f>IF(V650=0,0,J650/V650)</f>
      </c>
      <c r="X650" s="43">
        <f>IF(V650=0,0,MAX(M650,0)/V650)</f>
      </c>
    </row>
    <row r="651" spans="1:24" x14ac:dyDescent="0.25">
      <c r="A651" s="20" t="str">
        <f>B651&amp;"."&amp;IFERROR(MID(D651,FIND("(",D651)+1,FIND(")",D651)-FIND("(",D651)-1),"")</f>
        <v>74201.31757</v>
      </c>
      <c r="B651" s="21">
        <v>74201</v>
      </c>
      <c r="C651" s="20" t="s">
        <v>287</v>
      </c>
      <c r="D651" s="20" t="s">
        <v>1009</v>
      </c>
      <c r="E651" s="20">
        <v>59249</v>
      </c>
      <c r="F651" s="20" t="s">
        <v>25</v>
      </c>
      <c r="G651" s="20" t="s">
        <v>51</v>
      </c>
      <c r="H651" s="22">
        <f>IFERROR(INDEX(Linha!$B$5:$B$788,MATCH(A651,Linha!$A$5:$A$788,0)),"NÃO CADASTRADO")</f>
      </c>
      <c r="I651" s="22">
        <f>IFERROR(INDEX(Linha!$C$5:$C$788,MATCH(A651,Linha!$A$5:$A$788,0)),"-")</f>
      </c>
      <c r="J651" s="23">
        <v>24</v>
      </c>
      <c r="K651" s="24">
        <f>IFERROR(INDEX(Linha!$D$5:$D$788,MATCH(A651,Linha!$A$5:$A$788,0))*1,0)</f>
      </c>
      <c r="L651" s="24">
        <f>SUMIFS(Reservas!$K$5:$K$3669,Reservas!$A$5:$A$3669,A651)</f>
      </c>
      <c r="M651" s="25">
        <f>J651-L651</f>
      </c>
      <c r="N651" s="26">
        <v>38.42</v>
      </c>
      <c r="O651" s="25">
        <f>J651*N651</f>
      </c>
      <c r="P651" s="25">
        <f>L651*N651</f>
      </c>
      <c r="Q651" s="27">
        <v>151.97718548</v>
      </c>
      <c r="R651" s="28">
        <f>J651*Q651</f>
      </c>
      <c r="S651" s="28">
        <f>L651*Q651</f>
      </c>
      <c r="T651" s="29">
        <f>IF(J651=0,0,L651/J651)</f>
      </c>
      <c r="U651" s="30">
        <f>IFERROR(INDEX(Paletes!$C$5:$C$393,MATCH(B651,Paletes!$A$5:$A$393,0)),"SEM CADASTRO")</f>
      </c>
      <c r="V651" s="24">
        <f>IFERROR(INDEX(Paletes!$D$5:$D$393,MATCH(B651,Paletes!$A$5:$A$393,0)),0)</f>
      </c>
      <c r="W651" s="31">
        <f>IF(V651=0,0,J651/V651)</f>
      </c>
      <c r="X651" s="31">
        <f>IF(V651=0,0,MAX(M651,0)/V651)</f>
      </c>
    </row>
    <row r="652" spans="1:24" x14ac:dyDescent="0.25">
      <c r="A652" s="32" t="str">
        <f>B652&amp;"."&amp;IFERROR(MID(D652,FIND("(",D652)+1,FIND(")",D652)-FIND("(",D652)-1),"")</f>
        <v>74201.67871</v>
      </c>
      <c r="B652" s="33">
        <v>74201</v>
      </c>
      <c r="C652" s="32" t="s">
        <v>287</v>
      </c>
      <c r="D652" s="32" t="s">
        <v>1010</v>
      </c>
      <c r="E652" s="32">
        <v>59249</v>
      </c>
      <c r="F652" s="32" t="s">
        <v>25</v>
      </c>
      <c r="G652" s="32" t="s">
        <v>51</v>
      </c>
      <c r="H652" s="34">
        <f>IFERROR(INDEX(Linha!$B$5:$B$788,MATCH(A652,Linha!$A$5:$A$788,0)),"NÃO CADASTRADO")</f>
      </c>
      <c r="I652" s="34">
        <f>IFERROR(INDEX(Linha!$C$5:$C$788,MATCH(A652,Linha!$A$5:$A$788,0)),"-")</f>
      </c>
      <c r="J652" s="35">
        <v>8</v>
      </c>
      <c r="K652" s="36">
        <f>IFERROR(INDEX(Linha!$D$5:$D$788,MATCH(A652,Linha!$A$5:$A$788,0))*1,0)</f>
      </c>
      <c r="L652" s="36">
        <f>SUMIFS(Reservas!$K$5:$K$3669,Reservas!$A$5:$A$3669,A652)</f>
      </c>
      <c r="M652" s="37">
        <f>J652-L652</f>
      </c>
      <c r="N652" s="38">
        <v>38.42</v>
      </c>
      <c r="O652" s="37">
        <f>J652*N652</f>
      </c>
      <c r="P652" s="37">
        <f>L652*N652</f>
      </c>
      <c r="Q652" s="39">
        <v>150.43461059</v>
      </c>
      <c r="R652" s="40">
        <f>J652*Q652</f>
      </c>
      <c r="S652" s="40">
        <f>L652*Q652</f>
      </c>
      <c r="T652" s="41">
        <f>IF(J652=0,0,L652/J652)</f>
      </c>
      <c r="U652" s="42">
        <f>IFERROR(INDEX(Paletes!$C$5:$C$393,MATCH(B652,Paletes!$A$5:$A$393,0)),"SEM CADASTRO")</f>
      </c>
      <c r="V652" s="36">
        <f>IFERROR(INDEX(Paletes!$D$5:$D$393,MATCH(B652,Paletes!$A$5:$A$393,0)),0)</f>
      </c>
      <c r="W652" s="43">
        <f>IF(V652=0,0,J652/V652)</f>
      </c>
      <c r="X652" s="43">
        <f>IF(V652=0,0,MAX(M652,0)/V652)</f>
      </c>
    </row>
    <row r="653" spans="1:24" x14ac:dyDescent="0.25">
      <c r="A653" s="20" t="str">
        <f>B653&amp;"."&amp;IFERROR(MID(D653,FIND("(",D653)+1,FIND(")",D653)-FIND("(",D653)-1),"")</f>
        <v>73163.16514</v>
      </c>
      <c r="B653" s="21">
        <v>73163</v>
      </c>
      <c r="C653" s="20" t="s">
        <v>1011</v>
      </c>
      <c r="D653" s="20" t="s">
        <v>1012</v>
      </c>
      <c r="E653" s="20">
        <v>87575</v>
      </c>
      <c r="F653" s="20" t="s">
        <v>24</v>
      </c>
      <c r="G653" s="20" t="s">
        <v>51</v>
      </c>
      <c r="H653" s="22">
        <f>IFERROR(INDEX(Linha!$B$5:$B$788,MATCH(A653,Linha!$A$5:$A$788,0)),"NÃO CADASTRADO")</f>
      </c>
      <c r="I653" s="22">
        <f>IFERROR(INDEX(Linha!$C$5:$C$788,MATCH(A653,Linha!$A$5:$A$788,0)),"-")</f>
      </c>
      <c r="J653" s="23">
        <v>0</v>
      </c>
      <c r="K653" s="24">
        <f>IFERROR(INDEX(Linha!$D$5:$D$788,MATCH(A653,Linha!$A$5:$A$788,0))*1,0)</f>
      </c>
      <c r="L653" s="24">
        <f>SUMIFS(Reservas!$K$5:$K$3669,Reservas!$A$5:$A$3669,A653)</f>
      </c>
      <c r="M653" s="25">
        <f>J653-L653</f>
      </c>
      <c r="N653" s="26">
        <v>29.289</v>
      </c>
      <c r="O653" s="25">
        <f>J653*N653</f>
      </c>
      <c r="P653" s="25">
        <f>L653*N653</f>
      </c>
      <c r="Q653" s="27">
        <v>133.41326054</v>
      </c>
      <c r="R653" s="28">
        <f>J653*Q653</f>
      </c>
      <c r="S653" s="28">
        <f>L653*Q653</f>
      </c>
      <c r="T653" s="29">
        <f>IF(J653=0,0,L653/J653)</f>
      </c>
      <c r="U653" s="30">
        <f>IFERROR(INDEX(Paletes!$C$5:$C$393,MATCH(B653,Paletes!$A$5:$A$393,0)),"SEM CADASTRO")</f>
      </c>
      <c r="V653" s="24">
        <f>IFERROR(INDEX(Paletes!$D$5:$D$393,MATCH(B653,Paletes!$A$5:$A$393,0)),0)</f>
      </c>
      <c r="W653" s="31">
        <f>IF(V653=0,0,J653/V653)</f>
      </c>
      <c r="X653" s="31">
        <f>IF(V653=0,0,MAX(M653,0)/V653)</f>
      </c>
    </row>
    <row r="654" spans="1:24" x14ac:dyDescent="0.25">
      <c r="A654" s="32" t="str">
        <f>B654&amp;"."&amp;IFERROR(MID(D654,FIND("(",D654)+1,FIND(")",D654)-FIND("(",D654)-1),"")</f>
        <v>87460.91600</v>
      </c>
      <c r="B654" s="33">
        <v>87460</v>
      </c>
      <c r="C654" s="32" t="s">
        <v>736</v>
      </c>
      <c r="D654" s="32" t="s">
        <v>1013</v>
      </c>
      <c r="E654" s="32">
        <v>99440</v>
      </c>
      <c r="F654" s="32" t="s">
        <v>26</v>
      </c>
      <c r="G654" s="32" t="s">
        <v>51</v>
      </c>
      <c r="H654" s="34">
        <f>IFERROR(INDEX(Linha!$B$5:$B$788,MATCH(A654,Linha!$A$5:$A$788,0)),"NÃO CADASTRADO")</f>
      </c>
      <c r="I654" s="34">
        <f>IFERROR(INDEX(Linha!$C$5:$C$788,MATCH(A654,Linha!$A$5:$A$788,0)),"-")</f>
      </c>
      <c r="J654" s="35">
        <v>26</v>
      </c>
      <c r="K654" s="36">
        <f>IFERROR(INDEX(Linha!$D$5:$D$788,MATCH(A654,Linha!$A$5:$A$788,0))*1,0)</f>
      </c>
      <c r="L654" s="36">
        <f>SUMIFS(Reservas!$K$5:$K$3669,Reservas!$A$5:$A$3669,A654)</f>
      </c>
      <c r="M654" s="37">
        <f>J654-L654</f>
      </c>
      <c r="N654" s="38">
        <v>50.7</v>
      </c>
      <c r="O654" s="37">
        <f>J654*N654</f>
      </c>
      <c r="P654" s="37">
        <f>L654*N654</f>
      </c>
      <c r="Q654" s="39">
        <v>214.00892521</v>
      </c>
      <c r="R654" s="40">
        <f>J654*Q654</f>
      </c>
      <c r="S654" s="40">
        <f>L654*Q654</f>
      </c>
      <c r="T654" s="41">
        <f>IF(J654=0,0,L654/J654)</f>
      </c>
      <c r="U654" s="42">
        <f>IFERROR(INDEX(Paletes!$C$5:$C$393,MATCH(B654,Paletes!$A$5:$A$393,0)),"SEM CADASTRO")</f>
      </c>
      <c r="V654" s="36">
        <f>IFERROR(INDEX(Paletes!$D$5:$D$393,MATCH(B654,Paletes!$A$5:$A$393,0)),0)</f>
      </c>
      <c r="W654" s="43">
        <f>IF(V654=0,0,J654/V654)</f>
      </c>
      <c r="X654" s="43">
        <f>IF(V654=0,0,MAX(M654,0)/V654)</f>
      </c>
    </row>
    <row r="655" spans="1:24" x14ac:dyDescent="0.25">
      <c r="A655" s="20" t="str">
        <f>B655&amp;"."&amp;IFERROR(MID(D655,FIND("(",D655)+1,FIND(")",D655)-FIND("(",D655)-1),"")</f>
        <v>86332.70256</v>
      </c>
      <c r="B655" s="21">
        <v>86332</v>
      </c>
      <c r="C655" s="20" t="s">
        <v>888</v>
      </c>
      <c r="D655" s="20" t="s">
        <v>1014</v>
      </c>
      <c r="E655" s="20">
        <v>99778</v>
      </c>
      <c r="F655" s="20" t="s">
        <v>26</v>
      </c>
      <c r="G655" s="20" t="s">
        <v>51</v>
      </c>
      <c r="H655" s="22">
        <f>IFERROR(INDEX(Linha!$B$5:$B$788,MATCH(A655,Linha!$A$5:$A$788,0)),"NÃO CADASTRADO")</f>
      </c>
      <c r="I655" s="22">
        <f>IFERROR(INDEX(Linha!$C$5:$C$788,MATCH(A655,Linha!$A$5:$A$788,0)),"-")</f>
      </c>
      <c r="J655" s="23">
        <v>0</v>
      </c>
      <c r="K655" s="24">
        <f>IFERROR(INDEX(Linha!$D$5:$D$788,MATCH(A655,Linha!$A$5:$A$788,0))*1,0)</f>
      </c>
      <c r="L655" s="24">
        <f>SUMIFS(Reservas!$K$5:$K$3669,Reservas!$A$5:$A$3669,A655)</f>
      </c>
      <c r="M655" s="25">
        <f>J655-L655</f>
      </c>
      <c r="N655" s="26">
        <v>47.336</v>
      </c>
      <c r="O655" s="25">
        <f>J655*N655</f>
      </c>
      <c r="P655" s="25">
        <f>L655*N655</f>
      </c>
      <c r="Q655" s="27">
        <v>216.42617957</v>
      </c>
      <c r="R655" s="28">
        <f>J655*Q655</f>
      </c>
      <c r="S655" s="28">
        <f>L655*Q655</f>
      </c>
      <c r="T655" s="29">
        <f>IF(J655=0,0,L655/J655)</f>
      </c>
      <c r="U655" s="30">
        <f>IFERROR(INDEX(Paletes!$C$5:$C$393,MATCH(B655,Paletes!$A$5:$A$393,0)),"SEM CADASTRO")</f>
      </c>
      <c r="V655" s="24">
        <f>IFERROR(INDEX(Paletes!$D$5:$D$393,MATCH(B655,Paletes!$A$5:$A$393,0)),0)</f>
      </c>
      <c r="W655" s="31">
        <f>IF(V655=0,0,J655/V655)</f>
      </c>
      <c r="X655" s="31">
        <f>IF(V655=0,0,MAX(M655,0)/V655)</f>
      </c>
    </row>
    <row r="656" spans="1:24" x14ac:dyDescent="0.25">
      <c r="A656" s="32" t="str">
        <f>B656&amp;"."&amp;IFERROR(MID(D656,FIND("(",D656)+1,FIND(")",D656)-FIND("(",D656)-1),"")</f>
        <v>87112.90690</v>
      </c>
      <c r="B656" s="33">
        <v>87112</v>
      </c>
      <c r="C656" s="32" t="s">
        <v>460</v>
      </c>
      <c r="D656" s="32" t="s">
        <v>1015</v>
      </c>
      <c r="E656" s="32">
        <v>104353</v>
      </c>
      <c r="F656" s="32" t="s">
        <v>26</v>
      </c>
      <c r="G656" s="32" t="s">
        <v>51</v>
      </c>
      <c r="H656" s="34">
        <f>IFERROR(INDEX(Linha!$B$5:$B$788,MATCH(A656,Linha!$A$5:$A$788,0)),"NÃO CADASTRADO")</f>
      </c>
      <c r="I656" s="34">
        <f>IFERROR(INDEX(Linha!$C$5:$C$788,MATCH(A656,Linha!$A$5:$A$788,0)),"-")</f>
      </c>
      <c r="J656" s="35">
        <v>45</v>
      </c>
      <c r="K656" s="36">
        <f>IFERROR(INDEX(Linha!$D$5:$D$788,MATCH(A656,Linha!$A$5:$A$788,0))*1,0)</f>
      </c>
      <c r="L656" s="36">
        <f>SUMIFS(Reservas!$K$5:$K$3669,Reservas!$A$5:$A$3669,A656)</f>
      </c>
      <c r="M656" s="37">
        <f>J656-L656</f>
      </c>
      <c r="N656" s="38">
        <v>9.555</v>
      </c>
      <c r="O656" s="37">
        <f>J656*N656</f>
      </c>
      <c r="P656" s="37">
        <f>L656*N656</f>
      </c>
      <c r="Q656" s="39">
        <v>34.77966304</v>
      </c>
      <c r="R656" s="40">
        <f>J656*Q656</f>
      </c>
      <c r="S656" s="40">
        <f>L656*Q656</f>
      </c>
      <c r="T656" s="41">
        <f>IF(J656=0,0,L656/J656)</f>
      </c>
      <c r="U656" s="42">
        <f>IFERROR(INDEX(Paletes!$C$5:$C$393,MATCH(B656,Paletes!$A$5:$A$393,0)),"SEM CADASTRO")</f>
      </c>
      <c r="V656" s="36">
        <f>IFERROR(INDEX(Paletes!$D$5:$D$393,MATCH(B656,Paletes!$A$5:$A$393,0)),0)</f>
      </c>
      <c r="W656" s="43">
        <f>IF(V656=0,0,J656/V656)</f>
      </c>
      <c r="X656" s="43">
        <f>IF(V656=0,0,MAX(M656,0)/V656)</f>
      </c>
    </row>
    <row r="657" spans="1:24" x14ac:dyDescent="0.25">
      <c r="A657" s="20" t="str">
        <f>B657&amp;"."&amp;IFERROR(MID(D657,FIND("(",D657)+1,FIND(")",D657)-FIND("(",D657)-1),"")</f>
        <v>87121.90711</v>
      </c>
      <c r="B657" s="21">
        <v>87121</v>
      </c>
      <c r="C657" s="20" t="s">
        <v>139</v>
      </c>
      <c r="D657" s="20" t="s">
        <v>1016</v>
      </c>
      <c r="E657" s="20">
        <v>104474</v>
      </c>
      <c r="F657" s="20" t="s">
        <v>26</v>
      </c>
      <c r="G657" s="20" t="s">
        <v>51</v>
      </c>
      <c r="H657" s="22">
        <f>IFERROR(INDEX(Linha!$B$5:$B$788,MATCH(A657,Linha!$A$5:$A$788,0)),"NÃO CADASTRADO")</f>
      </c>
      <c r="I657" s="22">
        <f>IFERROR(INDEX(Linha!$C$5:$C$788,MATCH(A657,Linha!$A$5:$A$788,0)),"-")</f>
      </c>
      <c r="J657" s="23">
        <v>117</v>
      </c>
      <c r="K657" s="24">
        <f>IFERROR(INDEX(Linha!$D$5:$D$788,MATCH(A657,Linha!$A$5:$A$788,0))*1,0)</f>
      </c>
      <c r="L657" s="24">
        <f>SUMIFS(Reservas!$K$5:$K$3669,Reservas!$A$5:$A$3669,A657)</f>
      </c>
      <c r="M657" s="25">
        <f>J657-L657</f>
      </c>
      <c r="N657" s="26">
        <v>49.725</v>
      </c>
      <c r="O657" s="25">
        <f>J657*N657</f>
      </c>
      <c r="P657" s="25">
        <f>L657*N657</f>
      </c>
      <c r="Q657" s="27">
        <v>216.34691939</v>
      </c>
      <c r="R657" s="28">
        <f>J657*Q657</f>
      </c>
      <c r="S657" s="28">
        <f>L657*Q657</f>
      </c>
      <c r="T657" s="29">
        <f>IF(J657=0,0,L657/J657)</f>
      </c>
      <c r="U657" s="30">
        <f>IFERROR(INDEX(Paletes!$C$5:$C$393,MATCH(B657,Paletes!$A$5:$A$393,0)),"SEM CADASTRO")</f>
      </c>
      <c r="V657" s="24">
        <f>IFERROR(INDEX(Paletes!$D$5:$D$393,MATCH(B657,Paletes!$A$5:$A$393,0)),0)</f>
      </c>
      <c r="W657" s="31">
        <f>IF(V657=0,0,J657/V657)</f>
      </c>
      <c r="X657" s="31">
        <f>IF(V657=0,0,MAX(M657,0)/V657)</f>
      </c>
    </row>
    <row r="658" spans="1:24" x14ac:dyDescent="0.25">
      <c r="A658" s="32" t="str">
        <f>B658&amp;"."&amp;IFERROR(MID(D658,FIND("(",D658)+1,FIND(")",D658)-FIND("(",D658)-1),"")</f>
        <v>87130.90735</v>
      </c>
      <c r="B658" s="33">
        <v>87130</v>
      </c>
      <c r="C658" s="32" t="s">
        <v>141</v>
      </c>
      <c r="D658" s="32" t="s">
        <v>1017</v>
      </c>
      <c r="E658" s="32">
        <v>104501</v>
      </c>
      <c r="F658" s="32" t="s">
        <v>26</v>
      </c>
      <c r="G658" s="32" t="s">
        <v>51</v>
      </c>
      <c r="H658" s="34">
        <f>IFERROR(INDEX(Linha!$B$5:$B$788,MATCH(A658,Linha!$A$5:$A$788,0)),"NÃO CADASTRADO")</f>
      </c>
      <c r="I658" s="34">
        <f>IFERROR(INDEX(Linha!$C$5:$C$788,MATCH(A658,Linha!$A$5:$A$788,0)),"-")</f>
      </c>
      <c r="J658" s="35">
        <v>50</v>
      </c>
      <c r="K658" s="36">
        <f>IFERROR(INDEX(Linha!$D$5:$D$788,MATCH(A658,Linha!$A$5:$A$788,0))*1,0)</f>
      </c>
      <c r="L658" s="36">
        <f>SUMIFS(Reservas!$K$5:$K$3669,Reservas!$A$5:$A$3669,A658)</f>
      </c>
      <c r="M658" s="37">
        <f>J658-L658</f>
      </c>
      <c r="N658" s="38">
        <v>0.546</v>
      </c>
      <c r="O658" s="37">
        <f>J658*N658</f>
      </c>
      <c r="P658" s="37">
        <f>L658*N658</f>
      </c>
      <c r="Q658" s="39">
        <v>5.46565539</v>
      </c>
      <c r="R658" s="40">
        <f>J658*Q658</f>
      </c>
      <c r="S658" s="40">
        <f>L658*Q658</f>
      </c>
      <c r="T658" s="41">
        <f>IF(J658=0,0,L658/J658)</f>
      </c>
      <c r="U658" s="42">
        <f>IFERROR(INDEX(Paletes!$C$5:$C$393,MATCH(B658,Paletes!$A$5:$A$393,0)),"SEM CADASTRO")</f>
      </c>
      <c r="V658" s="36">
        <f>IFERROR(INDEX(Paletes!$D$5:$D$393,MATCH(B658,Paletes!$A$5:$A$393,0)),0)</f>
      </c>
      <c r="W658" s="43">
        <f>IF(V658=0,0,J658/V658)</f>
      </c>
      <c r="X658" s="43">
        <f>IF(V658=0,0,MAX(M658,0)/V658)</f>
      </c>
    </row>
    <row r="659" spans="1:24" x14ac:dyDescent="0.25">
      <c r="A659" s="20" t="str">
        <f>B659&amp;"."&amp;IFERROR(MID(D659,FIND("(",D659)+1,FIND(")",D659)-FIND("(",D659)-1),"")</f>
        <v>87553.93187</v>
      </c>
      <c r="B659" s="21">
        <v>87553</v>
      </c>
      <c r="C659" s="20" t="s">
        <v>1018</v>
      </c>
      <c r="D659" s="20" t="s">
        <v>1019</v>
      </c>
      <c r="E659" s="20">
        <v>105089</v>
      </c>
      <c r="F659" s="20" t="s">
        <v>26</v>
      </c>
      <c r="G659" s="20" t="s">
        <v>51</v>
      </c>
      <c r="H659" s="22">
        <f>IFERROR(INDEX(Linha!$B$5:$B$788,MATCH(A659,Linha!$A$5:$A$788,0)),"NÃO CADASTRADO")</f>
      </c>
      <c r="I659" s="22">
        <f>IFERROR(INDEX(Linha!$C$5:$C$788,MATCH(A659,Linha!$A$5:$A$788,0)),"-")</f>
      </c>
      <c r="J659" s="23">
        <v>265</v>
      </c>
      <c r="K659" s="24">
        <f>IFERROR(INDEX(Linha!$D$5:$D$788,MATCH(A659,Linha!$A$5:$A$788,0))*1,0)</f>
      </c>
      <c r="L659" s="24">
        <f>SUMIFS(Reservas!$K$5:$K$3669,Reservas!$A$5:$A$3669,A659)</f>
      </c>
      <c r="M659" s="25">
        <f>J659-L659</f>
      </c>
      <c r="N659" s="26">
        <v>46.8</v>
      </c>
      <c r="O659" s="25">
        <f>J659*N659</f>
      </c>
      <c r="P659" s="25">
        <f>L659*N659</f>
      </c>
      <c r="Q659" s="27">
        <v>176.31999413</v>
      </c>
      <c r="R659" s="28">
        <f>J659*Q659</f>
      </c>
      <c r="S659" s="28">
        <f>L659*Q659</f>
      </c>
      <c r="T659" s="29">
        <f>IF(J659=0,0,L659/J659)</f>
      </c>
      <c r="U659" s="30">
        <f>IFERROR(INDEX(Paletes!$C$5:$C$393,MATCH(B659,Paletes!$A$5:$A$393,0)),"SEM CADASTRO")</f>
      </c>
      <c r="V659" s="24">
        <f>IFERROR(INDEX(Paletes!$D$5:$D$393,MATCH(B659,Paletes!$A$5:$A$393,0)),0)</f>
      </c>
      <c r="W659" s="31">
        <f>IF(V659=0,0,J659/V659)</f>
      </c>
      <c r="X659" s="31">
        <f>IF(V659=0,0,MAX(M659,0)/V659)</f>
      </c>
    </row>
    <row r="660" spans="1:24" x14ac:dyDescent="0.25">
      <c r="A660" s="32" t="str">
        <f>B660&amp;"."&amp;IFERROR(MID(D660,FIND("(",D660)+1,FIND(")",D660)-FIND("(",D660)-1),"")</f>
        <v>87110.90686</v>
      </c>
      <c r="B660" s="33">
        <v>87110</v>
      </c>
      <c r="C660" s="32" t="s">
        <v>464</v>
      </c>
      <c r="D660" s="32" t="s">
        <v>1020</v>
      </c>
      <c r="E660" s="32">
        <v>104352</v>
      </c>
      <c r="F660" s="32" t="s">
        <v>26</v>
      </c>
      <c r="G660" s="32" t="s">
        <v>51</v>
      </c>
      <c r="H660" s="34">
        <f>IFERROR(INDEX(Linha!$B$5:$B$788,MATCH(A660,Linha!$A$5:$A$788,0)),"NÃO CADASTRADO")</f>
      </c>
      <c r="I660" s="34">
        <f>IFERROR(INDEX(Linha!$C$5:$C$788,MATCH(A660,Linha!$A$5:$A$788,0)),"-")</f>
      </c>
      <c r="J660" s="35">
        <v>146</v>
      </c>
      <c r="K660" s="36">
        <f>IFERROR(INDEX(Linha!$D$5:$D$788,MATCH(A660,Linha!$A$5:$A$788,0))*1,0)</f>
      </c>
      <c r="L660" s="36">
        <f>SUMIFS(Reservas!$K$5:$K$3669,Reservas!$A$5:$A$3669,A660)</f>
      </c>
      <c r="M660" s="37">
        <f>J660-L660</f>
      </c>
      <c r="N660" s="38">
        <v>16.331</v>
      </c>
      <c r="O660" s="37">
        <f>J660*N660</f>
      </c>
      <c r="P660" s="37">
        <f>L660*N660</f>
      </c>
      <c r="Q660" s="39">
        <v>52.68797094</v>
      </c>
      <c r="R660" s="40">
        <f>J660*Q660</f>
      </c>
      <c r="S660" s="40">
        <f>L660*Q660</f>
      </c>
      <c r="T660" s="41">
        <f>IF(J660=0,0,L660/J660)</f>
      </c>
      <c r="U660" s="42">
        <f>IFERROR(INDEX(Paletes!$C$5:$C$393,MATCH(B660,Paletes!$A$5:$A$393,0)),"SEM CADASTRO")</f>
      </c>
      <c r="V660" s="36">
        <f>IFERROR(INDEX(Paletes!$D$5:$D$393,MATCH(B660,Paletes!$A$5:$A$393,0)),0)</f>
      </c>
      <c r="W660" s="43">
        <f>IF(V660=0,0,J660/V660)</f>
      </c>
      <c r="X660" s="43">
        <f>IF(V660=0,0,MAX(M660,0)/V660)</f>
      </c>
    </row>
    <row r="661" spans="1:24" x14ac:dyDescent="0.25">
      <c r="A661" s="20" t="str">
        <f>B661&amp;"."&amp;IFERROR(MID(D661,FIND("(",D661)+1,FIND(")",D661)-FIND("(",D661)-1),"")</f>
        <v>74614.55697</v>
      </c>
      <c r="B661" s="21">
        <v>74614</v>
      </c>
      <c r="C661" s="20" t="s">
        <v>600</v>
      </c>
      <c r="D661" s="20" t="s">
        <v>1021</v>
      </c>
      <c r="E661" s="20">
        <v>80751</v>
      </c>
      <c r="F661" s="20" t="s">
        <v>26</v>
      </c>
      <c r="G661" s="20" t="s">
        <v>51</v>
      </c>
      <c r="H661" s="22">
        <f>IFERROR(INDEX(Linha!$B$5:$B$788,MATCH(A661,Linha!$A$5:$A$788,0)),"NÃO CADASTRADO")</f>
      </c>
      <c r="I661" s="22">
        <f>IFERROR(INDEX(Linha!$C$5:$C$788,MATCH(A661,Linha!$A$5:$A$788,0)),"-")</f>
      </c>
      <c r="J661" s="23">
        <v>0</v>
      </c>
      <c r="K661" s="24">
        <f>IFERROR(INDEX(Linha!$D$5:$D$788,MATCH(A661,Linha!$A$5:$A$788,0))*1,0)</f>
      </c>
      <c r="L661" s="24">
        <f>SUMIFS(Reservas!$K$5:$K$3669,Reservas!$A$5:$A$3669,A661)</f>
      </c>
      <c r="M661" s="25">
        <f>J661-L661</f>
      </c>
      <c r="N661" s="26">
        <v>36.318</v>
      </c>
      <c r="O661" s="25">
        <f>J661*N661</f>
      </c>
      <c r="P661" s="25">
        <f>L661*N661</f>
      </c>
      <c r="Q661" s="27">
        <v>102.19403067</v>
      </c>
      <c r="R661" s="28">
        <f>J661*Q661</f>
      </c>
      <c r="S661" s="28">
        <f>L661*Q661</f>
      </c>
      <c r="T661" s="29">
        <f>IF(J661=0,0,L661/J661)</f>
      </c>
      <c r="U661" s="30">
        <f>IFERROR(INDEX(Paletes!$C$5:$C$393,MATCH(B661,Paletes!$A$5:$A$393,0)),"SEM CADASTRO")</f>
      </c>
      <c r="V661" s="24">
        <f>IFERROR(INDEX(Paletes!$D$5:$D$393,MATCH(B661,Paletes!$A$5:$A$393,0)),0)</f>
      </c>
      <c r="W661" s="31">
        <f>IF(V661=0,0,J661/V661)</f>
      </c>
      <c r="X661" s="31">
        <f>IF(V661=0,0,MAX(M661,0)/V661)</f>
      </c>
    </row>
    <row r="662" spans="1:24" x14ac:dyDescent="0.25">
      <c r="A662" s="32" t="str">
        <f>B662&amp;"."&amp;IFERROR(MID(D662,FIND("(",D662)+1,FIND(")",D662)-FIND("(",D662)-1),"")</f>
        <v>74669.55639</v>
      </c>
      <c r="B662" s="33">
        <v>74669</v>
      </c>
      <c r="C662" s="32" t="s">
        <v>1022</v>
      </c>
      <c r="D662" s="32" t="s">
        <v>1023</v>
      </c>
      <c r="E662" s="32">
        <v>80655</v>
      </c>
      <c r="F662" s="32" t="s">
        <v>26</v>
      </c>
      <c r="G662" s="32" t="s">
        <v>51</v>
      </c>
      <c r="H662" s="34">
        <f>IFERROR(INDEX(Linha!$B$5:$B$788,MATCH(A662,Linha!$A$5:$A$788,0)),"NÃO CADASTRADO")</f>
      </c>
      <c r="I662" s="34">
        <f>IFERROR(INDEX(Linha!$C$5:$C$788,MATCH(A662,Linha!$A$5:$A$788,0)),"-")</f>
      </c>
      <c r="J662" s="35">
        <v>0</v>
      </c>
      <c r="K662" s="36">
        <f>IFERROR(INDEX(Linha!$D$5:$D$788,MATCH(A662,Linha!$A$5:$A$788,0))*1,0)</f>
      </c>
      <c r="L662" s="36">
        <f>SUMIFS(Reservas!$K$5:$K$3669,Reservas!$A$5:$A$3669,A662)</f>
      </c>
      <c r="M662" s="37">
        <f>J662-L662</f>
      </c>
      <c r="N662" s="38">
        <v>47.336</v>
      </c>
      <c r="O662" s="37">
        <f>J662*N662</f>
      </c>
      <c r="P662" s="37">
        <f>L662*N662</f>
      </c>
      <c r="Q662" s="39">
        <v>154.65617957</v>
      </c>
      <c r="R662" s="40">
        <f>J662*Q662</f>
      </c>
      <c r="S662" s="40">
        <f>L662*Q662</f>
      </c>
      <c r="T662" s="41">
        <f>IF(J662=0,0,L662/J662)</f>
      </c>
      <c r="U662" s="42">
        <f>IFERROR(INDEX(Paletes!$C$5:$C$393,MATCH(B662,Paletes!$A$5:$A$393,0)),"SEM CADASTRO")</f>
      </c>
      <c r="V662" s="36">
        <f>IFERROR(INDEX(Paletes!$D$5:$D$393,MATCH(B662,Paletes!$A$5:$A$393,0)),0)</f>
      </c>
      <c r="W662" s="43">
        <f>IF(V662=0,0,J662/V662)</f>
      </c>
      <c r="X662" s="43">
        <f>IF(V662=0,0,MAX(M662,0)/V662)</f>
      </c>
    </row>
    <row r="663" spans="1:24" x14ac:dyDescent="0.25">
      <c r="A663" s="20" t="str">
        <f>B663&amp;"."&amp;IFERROR(MID(D663,FIND("(",D663)+1,FIND(")",D663)-FIND("(",D663)-1),"")</f>
        <v>74670.55653</v>
      </c>
      <c r="B663" s="21">
        <v>74670</v>
      </c>
      <c r="C663" s="20" t="s">
        <v>1024</v>
      </c>
      <c r="D663" s="20" t="s">
        <v>1025</v>
      </c>
      <c r="E663" s="20">
        <v>80734</v>
      </c>
      <c r="F663" s="20" t="s">
        <v>26</v>
      </c>
      <c r="G663" s="20" t="s">
        <v>51</v>
      </c>
      <c r="H663" s="22">
        <f>IFERROR(INDEX(Linha!$B$5:$B$788,MATCH(A663,Linha!$A$5:$A$788,0)),"NÃO CADASTRADO")</f>
      </c>
      <c r="I663" s="22">
        <f>IFERROR(INDEX(Linha!$C$5:$C$788,MATCH(A663,Linha!$A$5:$A$788,0)),"-")</f>
      </c>
      <c r="J663" s="23">
        <v>5</v>
      </c>
      <c r="K663" s="24">
        <f>IFERROR(INDEX(Linha!$D$5:$D$788,MATCH(A663,Linha!$A$5:$A$788,0))*1,0)</f>
      </c>
      <c r="L663" s="24">
        <f>SUMIFS(Reservas!$K$5:$K$3669,Reservas!$A$5:$A$3669,A663)</f>
      </c>
      <c r="M663" s="25">
        <f>J663-L663</f>
      </c>
      <c r="N663" s="26">
        <v>38.805</v>
      </c>
      <c r="O663" s="25">
        <f>J663*N663</f>
      </c>
      <c r="P663" s="25">
        <f>L663*N663</f>
      </c>
      <c r="Q663" s="27">
        <v>123.28040055</v>
      </c>
      <c r="R663" s="28">
        <f>J663*Q663</f>
      </c>
      <c r="S663" s="28">
        <f>L663*Q663</f>
      </c>
      <c r="T663" s="29">
        <f>IF(J663=0,0,L663/J663)</f>
      </c>
      <c r="U663" s="30">
        <f>IFERROR(INDEX(Paletes!$C$5:$C$393,MATCH(B663,Paletes!$A$5:$A$393,0)),"SEM CADASTRO")</f>
      </c>
      <c r="V663" s="24">
        <f>IFERROR(INDEX(Paletes!$D$5:$D$393,MATCH(B663,Paletes!$A$5:$A$393,0)),0)</f>
      </c>
      <c r="W663" s="31">
        <f>IF(V663=0,0,J663/V663)</f>
      </c>
      <c r="X663" s="31">
        <f>IF(V663=0,0,MAX(M663,0)/V663)</f>
      </c>
    </row>
    <row r="664" spans="1:24" x14ac:dyDescent="0.25">
      <c r="A664" s="32" t="str">
        <f>B664&amp;"."&amp;IFERROR(MID(D664,FIND("(",D664)+1,FIND(")",D664)-FIND("(",D664)-1),"")</f>
        <v>74670.55681</v>
      </c>
      <c r="B664" s="33">
        <v>74670</v>
      </c>
      <c r="C664" s="32" t="s">
        <v>1024</v>
      </c>
      <c r="D664" s="32" t="s">
        <v>1026</v>
      </c>
      <c r="E664" s="32">
        <v>80734</v>
      </c>
      <c r="F664" s="32" t="s">
        <v>26</v>
      </c>
      <c r="G664" s="32" t="s">
        <v>51</v>
      </c>
      <c r="H664" s="34">
        <f>IFERROR(INDEX(Linha!$B$5:$B$788,MATCH(A664,Linha!$A$5:$A$788,0)),"NÃO CADASTRADO")</f>
      </c>
      <c r="I664" s="34">
        <f>IFERROR(INDEX(Linha!$C$5:$C$788,MATCH(A664,Linha!$A$5:$A$788,0)),"-")</f>
      </c>
      <c r="J664" s="35">
        <v>0</v>
      </c>
      <c r="K664" s="36">
        <f>IFERROR(INDEX(Linha!$D$5:$D$788,MATCH(A664,Linha!$A$5:$A$788,0))*1,0)</f>
      </c>
      <c r="L664" s="36">
        <f>SUMIFS(Reservas!$K$5:$K$3669,Reservas!$A$5:$A$3669,A664)</f>
      </c>
      <c r="M664" s="37">
        <f>J664-L664</f>
      </c>
      <c r="N664" s="38">
        <v>38.805</v>
      </c>
      <c r="O664" s="37">
        <f>J664*N664</f>
      </c>
      <c r="P664" s="37">
        <f>L664*N664</f>
      </c>
      <c r="Q664" s="39">
        <v>123.28040056</v>
      </c>
      <c r="R664" s="40">
        <f>J664*Q664</f>
      </c>
      <c r="S664" s="40">
        <f>L664*Q664</f>
      </c>
      <c r="T664" s="41">
        <f>IF(J664=0,0,L664/J664)</f>
      </c>
      <c r="U664" s="42">
        <f>IFERROR(INDEX(Paletes!$C$5:$C$393,MATCH(B664,Paletes!$A$5:$A$393,0)),"SEM CADASTRO")</f>
      </c>
      <c r="V664" s="36">
        <f>IFERROR(INDEX(Paletes!$D$5:$D$393,MATCH(B664,Paletes!$A$5:$A$393,0)),0)</f>
      </c>
      <c r="W664" s="43">
        <f>IF(V664=0,0,J664/V664)</f>
      </c>
      <c r="X664" s="43">
        <f>IF(V664=0,0,MAX(M664,0)/V664)</f>
      </c>
    </row>
    <row r="665" spans="1:24" x14ac:dyDescent="0.25">
      <c r="A665" s="20" t="str">
        <f>B665&amp;"."&amp;IFERROR(MID(D665,FIND("(",D665)+1,FIND(")",D665)-FIND("(",D665)-1),"")</f>
        <v>73280.16328</v>
      </c>
      <c r="B665" s="21">
        <v>73280</v>
      </c>
      <c r="C665" s="20" t="s">
        <v>152</v>
      </c>
      <c r="D665" s="20" t="s">
        <v>1027</v>
      </c>
      <c r="E665" s="20">
        <v>59518</v>
      </c>
      <c r="F665" s="20" t="s">
        <v>24</v>
      </c>
      <c r="G665" s="20" t="s">
        <v>51</v>
      </c>
      <c r="H665" s="22">
        <f>IFERROR(INDEX(Linha!$B$5:$B$788,MATCH(A665,Linha!$A$5:$A$788,0)),"NÃO CADASTRADO")</f>
      </c>
      <c r="I665" s="22">
        <f>IFERROR(INDEX(Linha!$C$5:$C$788,MATCH(A665,Linha!$A$5:$A$788,0)),"-")</f>
      </c>
      <c r="J665" s="23">
        <v>1049</v>
      </c>
      <c r="K665" s="24">
        <f>IFERROR(INDEX(Linha!$D$5:$D$788,MATCH(A665,Linha!$A$5:$A$788,0))*1,0)</f>
      </c>
      <c r="L665" s="24">
        <f>SUMIFS(Reservas!$K$5:$K$3669,Reservas!$A$5:$A$3669,A665)</f>
      </c>
      <c r="M665" s="25">
        <f>J665-L665</f>
      </c>
      <c r="N665" s="26">
        <v>44.85</v>
      </c>
      <c r="O665" s="25">
        <f>J665*N665</f>
      </c>
      <c r="P665" s="25">
        <f>L665*N665</f>
      </c>
      <c r="Q665" s="27">
        <v>208.55588399</v>
      </c>
      <c r="R665" s="28">
        <f>J665*Q665</f>
      </c>
      <c r="S665" s="28">
        <f>L665*Q665</f>
      </c>
      <c r="T665" s="29">
        <f>IF(J665=0,0,L665/J665)</f>
      </c>
      <c r="U665" s="30">
        <f>IFERROR(INDEX(Paletes!$C$5:$C$393,MATCH(B665,Paletes!$A$5:$A$393,0)),"SEM CADASTRO")</f>
      </c>
      <c r="V665" s="24">
        <f>IFERROR(INDEX(Paletes!$D$5:$D$393,MATCH(B665,Paletes!$A$5:$A$393,0)),0)</f>
      </c>
      <c r="W665" s="31">
        <f>IF(V665=0,0,J665/V665)</f>
      </c>
      <c r="X665" s="31">
        <f>IF(V665=0,0,MAX(M665,0)/V665)</f>
      </c>
    </row>
    <row r="666" spans="1:24" x14ac:dyDescent="0.25">
      <c r="A666" s="32" t="str">
        <f>B666&amp;"."&amp;IFERROR(MID(D666,FIND("(",D666)+1,FIND(")",D666)-FIND("(",D666)-1),"")</f>
        <v>2103.13947</v>
      </c>
      <c r="B666" s="33">
        <v>2103</v>
      </c>
      <c r="C666" s="32" t="s">
        <v>1028</v>
      </c>
      <c r="D666" s="32" t="s">
        <v>1029</v>
      </c>
      <c r="E666" s="32">
        <v>59623</v>
      </c>
      <c r="F666" s="32" t="s">
        <v>26</v>
      </c>
      <c r="G666" s="32" t="s">
        <v>51</v>
      </c>
      <c r="H666" s="34">
        <f>IFERROR(INDEX(Linha!$B$5:$B$788,MATCH(A666,Linha!$A$5:$A$788,0)),"NÃO CADASTRADO")</f>
      </c>
      <c r="I666" s="34">
        <f>IFERROR(INDEX(Linha!$C$5:$C$788,MATCH(A666,Linha!$A$5:$A$788,0)),"-")</f>
      </c>
      <c r="J666" s="35">
        <v>0</v>
      </c>
      <c r="K666" s="36">
        <f>IFERROR(INDEX(Linha!$D$5:$D$788,MATCH(A666,Linha!$A$5:$A$788,0))*1,0)</f>
      </c>
      <c r="L666" s="36">
        <f>SUMIFS(Reservas!$K$5:$K$3669,Reservas!$A$5:$A$3669,A666)</f>
      </c>
      <c r="M666" s="37">
        <f>J666-L666</f>
      </c>
      <c r="N666" s="38">
        <v>34.174</v>
      </c>
      <c r="O666" s="37">
        <f>J666*N666</f>
      </c>
      <c r="P666" s="37">
        <f>L666*N666</f>
      </c>
      <c r="Q666" s="39">
        <v>109.68776649</v>
      </c>
      <c r="R666" s="40">
        <f>J666*Q666</f>
      </c>
      <c r="S666" s="40">
        <f>L666*Q666</f>
      </c>
      <c r="T666" s="41">
        <f>IF(J666=0,0,L666/J666)</f>
      </c>
      <c r="U666" s="42">
        <f>IFERROR(INDEX(Paletes!$C$5:$C$393,MATCH(B666,Paletes!$A$5:$A$393,0)),"SEM CADASTRO")</f>
      </c>
      <c r="V666" s="36">
        <f>IFERROR(INDEX(Paletes!$D$5:$D$393,MATCH(B666,Paletes!$A$5:$A$393,0)),0)</f>
      </c>
      <c r="W666" s="43">
        <f>IF(V666=0,0,J666/V666)</f>
      </c>
      <c r="X666" s="43">
        <f>IF(V666=0,0,MAX(M666,0)/V666)</f>
      </c>
    </row>
    <row r="667" spans="1:24" x14ac:dyDescent="0.25">
      <c r="A667" s="20" t="str">
        <f>B667&amp;"."&amp;IFERROR(MID(D667,FIND("(",D667)+1,FIND(")",D667)-FIND("(",D667)-1),"")</f>
        <v>2104.13957</v>
      </c>
      <c r="B667" s="21">
        <v>2104</v>
      </c>
      <c r="C667" s="20" t="s">
        <v>1030</v>
      </c>
      <c r="D667" s="20" t="s">
        <v>1031</v>
      </c>
      <c r="E667" s="20">
        <v>59625</v>
      </c>
      <c r="F667" s="20" t="s">
        <v>26</v>
      </c>
      <c r="G667" s="20" t="s">
        <v>51</v>
      </c>
      <c r="H667" s="22">
        <f>IFERROR(INDEX(Linha!$B$5:$B$788,MATCH(A667,Linha!$A$5:$A$788,0)),"NÃO CADASTRADO")</f>
      </c>
      <c r="I667" s="22">
        <f>IFERROR(INDEX(Linha!$C$5:$C$788,MATCH(A667,Linha!$A$5:$A$788,0)),"-")</f>
      </c>
      <c r="J667" s="23">
        <v>625</v>
      </c>
      <c r="K667" s="24">
        <f>IFERROR(INDEX(Linha!$D$5:$D$788,MATCH(A667,Linha!$A$5:$A$788,0))*1,0)</f>
      </c>
      <c r="L667" s="24">
        <f>SUMIFS(Reservas!$K$5:$K$3669,Reservas!$A$5:$A$3669,A667)</f>
      </c>
      <c r="M667" s="25">
        <f>J667-L667</f>
      </c>
      <c r="N667" s="26">
        <v>51.675</v>
      </c>
      <c r="O667" s="25">
        <f>J667*N667</f>
      </c>
      <c r="P667" s="25">
        <f>L667*N667</f>
      </c>
      <c r="Q667" s="27">
        <v>155.35213644</v>
      </c>
      <c r="R667" s="28">
        <f>J667*Q667</f>
      </c>
      <c r="S667" s="28">
        <f>L667*Q667</f>
      </c>
      <c r="T667" s="29">
        <f>IF(J667=0,0,L667/J667)</f>
      </c>
      <c r="U667" s="30">
        <f>IFERROR(INDEX(Paletes!$C$5:$C$393,MATCH(B667,Paletes!$A$5:$A$393,0)),"SEM CADASTRO")</f>
      </c>
      <c r="V667" s="24">
        <f>IFERROR(INDEX(Paletes!$D$5:$D$393,MATCH(B667,Paletes!$A$5:$A$393,0)),0)</f>
      </c>
      <c r="W667" s="31">
        <f>IF(V667=0,0,J667/V667)</f>
      </c>
      <c r="X667" s="31">
        <f>IF(V667=0,0,MAX(M667,0)/V667)</f>
      </c>
    </row>
    <row r="668" spans="1:24" x14ac:dyDescent="0.25">
      <c r="A668" s="32" t="str">
        <f>B668&amp;"."&amp;IFERROR(MID(D668,FIND("(",D668)+1,FIND(")",D668)-FIND("(",D668)-1),"")</f>
        <v>274.12238</v>
      </c>
      <c r="B668" s="33">
        <v>274</v>
      </c>
      <c r="C668" s="32" t="s">
        <v>158</v>
      </c>
      <c r="D668" s="32" t="s">
        <v>1032</v>
      </c>
      <c r="E668" s="32">
        <v>59947</v>
      </c>
      <c r="F668" s="32" t="s">
        <v>26</v>
      </c>
      <c r="G668" s="32" t="s">
        <v>51</v>
      </c>
      <c r="H668" s="34">
        <f>IFERROR(INDEX(Linha!$B$5:$B$788,MATCH(A668,Linha!$A$5:$A$788,0)),"NÃO CADASTRADO")</f>
      </c>
      <c r="I668" s="34">
        <f>IFERROR(INDEX(Linha!$C$5:$C$788,MATCH(A668,Linha!$A$5:$A$788,0)),"-")</f>
      </c>
      <c r="J668" s="35">
        <v>285</v>
      </c>
      <c r="K668" s="36">
        <f>IFERROR(INDEX(Linha!$D$5:$D$788,MATCH(A668,Linha!$A$5:$A$788,0))*1,0)</f>
      </c>
      <c r="L668" s="36">
        <f>SUMIFS(Reservas!$K$5:$K$3669,Reservas!$A$5:$A$3669,A668)</f>
      </c>
      <c r="M668" s="37">
        <f>J668-L668</f>
      </c>
      <c r="N668" s="38">
        <v>49.725</v>
      </c>
      <c r="O668" s="37">
        <f>J668*N668</f>
      </c>
      <c r="P668" s="37">
        <f>L668*N668</f>
      </c>
      <c r="Q668" s="39">
        <v>208.49294563</v>
      </c>
      <c r="R668" s="40">
        <f>J668*Q668</f>
      </c>
      <c r="S668" s="40">
        <f>L668*Q668</f>
      </c>
      <c r="T668" s="41">
        <f>IF(J668=0,0,L668/J668)</f>
      </c>
      <c r="U668" s="42">
        <f>IFERROR(INDEX(Paletes!$C$5:$C$393,MATCH(B668,Paletes!$A$5:$A$393,0)),"SEM CADASTRO")</f>
      </c>
      <c r="V668" s="36">
        <f>IFERROR(INDEX(Paletes!$D$5:$D$393,MATCH(B668,Paletes!$A$5:$A$393,0)),0)</f>
      </c>
      <c r="W668" s="43">
        <f>IF(V668=0,0,J668/V668)</f>
      </c>
      <c r="X668" s="43">
        <f>IF(V668=0,0,MAX(M668,0)/V668)</f>
      </c>
    </row>
    <row r="669" spans="1:24" x14ac:dyDescent="0.25">
      <c r="A669" s="20" t="str">
        <f>B669&amp;"."&amp;IFERROR(MID(D669,FIND("(",D669)+1,FIND(")",D669)-FIND("(",D669)-1),"")</f>
        <v>276.13098</v>
      </c>
      <c r="B669" s="21">
        <v>276</v>
      </c>
      <c r="C669" s="20" t="s">
        <v>1033</v>
      </c>
      <c r="D669" s="20" t="s">
        <v>1034</v>
      </c>
      <c r="E669" s="20">
        <v>59948</v>
      </c>
      <c r="F669" s="20" t="s">
        <v>26</v>
      </c>
      <c r="G669" s="20" t="s">
        <v>51</v>
      </c>
      <c r="H669" s="22">
        <f>IFERROR(INDEX(Linha!$B$5:$B$788,MATCH(A669,Linha!$A$5:$A$788,0)),"NÃO CADASTRADO")</f>
      </c>
      <c r="I669" s="22">
        <f>IFERROR(INDEX(Linha!$C$5:$C$788,MATCH(A669,Linha!$A$5:$A$788,0)),"-")</f>
      </c>
      <c r="J669" s="23">
        <v>526</v>
      </c>
      <c r="K669" s="24">
        <f>IFERROR(INDEX(Linha!$D$5:$D$788,MATCH(A669,Linha!$A$5:$A$788,0))*1,0)</f>
      </c>
      <c r="L669" s="24">
        <f>SUMIFS(Reservas!$K$5:$K$3669,Reservas!$A$5:$A$3669,A669)</f>
      </c>
      <c r="M669" s="25">
        <f>J669-L669</f>
      </c>
      <c r="N669" s="26">
        <v>51.67</v>
      </c>
      <c r="O669" s="25">
        <f>J669*N669</f>
      </c>
      <c r="P669" s="25">
        <f>L669*N669</f>
      </c>
      <c r="Q669" s="27">
        <v>157.30912567</v>
      </c>
      <c r="R669" s="28">
        <f>J669*Q669</f>
      </c>
      <c r="S669" s="28">
        <f>L669*Q669</f>
      </c>
      <c r="T669" s="29">
        <f>IF(J669=0,0,L669/J669)</f>
      </c>
      <c r="U669" s="30">
        <f>IFERROR(INDEX(Paletes!$C$5:$C$393,MATCH(B669,Paletes!$A$5:$A$393,0)),"SEM CADASTRO")</f>
      </c>
      <c r="V669" s="24">
        <f>IFERROR(INDEX(Paletes!$D$5:$D$393,MATCH(B669,Paletes!$A$5:$A$393,0)),0)</f>
      </c>
      <c r="W669" s="31">
        <f>IF(V669=0,0,J669/V669)</f>
      </c>
      <c r="X669" s="31">
        <f>IF(V669=0,0,MAX(M669,0)/V669)</f>
      </c>
    </row>
    <row r="670" spans="1:24" x14ac:dyDescent="0.25">
      <c r="A670" s="32" t="str">
        <f>B670&amp;"."&amp;IFERROR(MID(D670,FIND("(",D670)+1,FIND(")",D670)-FIND("(",D670)-1),"")</f>
        <v>276.13128</v>
      </c>
      <c r="B670" s="33">
        <v>276</v>
      </c>
      <c r="C670" s="32" t="s">
        <v>1033</v>
      </c>
      <c r="D670" s="32" t="s">
        <v>1035</v>
      </c>
      <c r="E670" s="32">
        <v>59948</v>
      </c>
      <c r="F670" s="32" t="s">
        <v>26</v>
      </c>
      <c r="G670" s="32" t="s">
        <v>51</v>
      </c>
      <c r="H670" s="34">
        <f>IFERROR(INDEX(Linha!$B$5:$B$788,MATCH(A670,Linha!$A$5:$A$788,0)),"NÃO CADASTRADO")</f>
      </c>
      <c r="I670" s="34">
        <f>IFERROR(INDEX(Linha!$C$5:$C$788,MATCH(A670,Linha!$A$5:$A$788,0)),"-")</f>
      </c>
      <c r="J670" s="35">
        <v>555</v>
      </c>
      <c r="K670" s="36">
        <f>IFERROR(INDEX(Linha!$D$5:$D$788,MATCH(A670,Linha!$A$5:$A$788,0))*1,0)</f>
      </c>
      <c r="L670" s="36">
        <f>SUMIFS(Reservas!$K$5:$K$3669,Reservas!$A$5:$A$3669,A670)</f>
      </c>
      <c r="M670" s="37">
        <f>J670-L670</f>
      </c>
      <c r="N670" s="38">
        <v>51.67</v>
      </c>
      <c r="O670" s="37">
        <f>J670*N670</f>
      </c>
      <c r="P670" s="37">
        <f>L670*N670</f>
      </c>
      <c r="Q670" s="39">
        <v>185.88708472</v>
      </c>
      <c r="R670" s="40">
        <f>J670*Q670</f>
      </c>
      <c r="S670" s="40">
        <f>L670*Q670</f>
      </c>
      <c r="T670" s="41">
        <f>IF(J670=0,0,L670/J670)</f>
      </c>
      <c r="U670" s="42">
        <f>IFERROR(INDEX(Paletes!$C$5:$C$393,MATCH(B670,Paletes!$A$5:$A$393,0)),"SEM CADASTRO")</f>
      </c>
      <c r="V670" s="36">
        <f>IFERROR(INDEX(Paletes!$D$5:$D$393,MATCH(B670,Paletes!$A$5:$A$393,0)),0)</f>
      </c>
      <c r="W670" s="43">
        <f>IF(V670=0,0,J670/V670)</f>
      </c>
      <c r="X670" s="43">
        <f>IF(V670=0,0,MAX(M670,0)/V670)</f>
      </c>
    </row>
    <row r="671" spans="1:24" x14ac:dyDescent="0.25">
      <c r="A671" s="20" t="str">
        <f>B671&amp;"."&amp;IFERROR(MID(D671,FIND("(",D671)+1,FIND(")",D671)-FIND("(",D671)-1),"")</f>
        <v>276.13158</v>
      </c>
      <c r="B671" s="21">
        <v>276</v>
      </c>
      <c r="C671" s="20" t="s">
        <v>1033</v>
      </c>
      <c r="D671" s="20" t="s">
        <v>1036</v>
      </c>
      <c r="E671" s="20">
        <v>59948</v>
      </c>
      <c r="F671" s="20" t="s">
        <v>26</v>
      </c>
      <c r="G671" s="20" t="s">
        <v>51</v>
      </c>
      <c r="H671" s="22">
        <f>IFERROR(INDEX(Linha!$B$5:$B$788,MATCH(A671,Linha!$A$5:$A$788,0)),"NÃO CADASTRADO")</f>
      </c>
      <c r="I671" s="22">
        <f>IFERROR(INDEX(Linha!$C$5:$C$788,MATCH(A671,Linha!$A$5:$A$788,0)),"-")</f>
      </c>
      <c r="J671" s="23">
        <v>304</v>
      </c>
      <c r="K671" s="24">
        <f>IFERROR(INDEX(Linha!$D$5:$D$788,MATCH(A671,Linha!$A$5:$A$788,0))*1,0)</f>
      </c>
      <c r="L671" s="24">
        <f>SUMIFS(Reservas!$K$5:$K$3669,Reservas!$A$5:$A$3669,A671)</f>
      </c>
      <c r="M671" s="25">
        <f>J671-L671</f>
      </c>
      <c r="N671" s="26">
        <v>51.67</v>
      </c>
      <c r="O671" s="25">
        <f>J671*N671</f>
      </c>
      <c r="P671" s="25">
        <f>L671*N671</f>
      </c>
      <c r="Q671" s="27">
        <v>158.89219839</v>
      </c>
      <c r="R671" s="28">
        <f>J671*Q671</f>
      </c>
      <c r="S671" s="28">
        <f>L671*Q671</f>
      </c>
      <c r="T671" s="29">
        <f>IF(J671=0,0,L671/J671)</f>
      </c>
      <c r="U671" s="30">
        <f>IFERROR(INDEX(Paletes!$C$5:$C$393,MATCH(B671,Paletes!$A$5:$A$393,0)),"SEM CADASTRO")</f>
      </c>
      <c r="V671" s="24">
        <f>IFERROR(INDEX(Paletes!$D$5:$D$393,MATCH(B671,Paletes!$A$5:$A$393,0)),0)</f>
      </c>
      <c r="W671" s="31">
        <f>IF(V671=0,0,J671/V671)</f>
      </c>
      <c r="X671" s="31">
        <f>IF(V671=0,0,MAX(M671,0)/V671)</f>
      </c>
    </row>
    <row r="672" spans="1:24" x14ac:dyDescent="0.25">
      <c r="A672" s="32" t="str">
        <f>B672&amp;"."&amp;IFERROR(MID(D672,FIND("(",D672)+1,FIND(")",D672)-FIND("(",D672)-1),"")</f>
        <v>2084.12865</v>
      </c>
      <c r="B672" s="33">
        <v>2084</v>
      </c>
      <c r="C672" s="32" t="s">
        <v>905</v>
      </c>
      <c r="D672" s="32" t="s">
        <v>1037</v>
      </c>
      <c r="E672" s="32">
        <v>59958</v>
      </c>
      <c r="F672" s="32" t="s">
        <v>26</v>
      </c>
      <c r="G672" s="32" t="s">
        <v>51</v>
      </c>
      <c r="H672" s="34">
        <f>IFERROR(INDEX(Linha!$B$5:$B$788,MATCH(A672,Linha!$A$5:$A$788,0)),"NÃO CADASTRADO")</f>
      </c>
      <c r="I672" s="34">
        <f>IFERROR(INDEX(Linha!$C$5:$C$788,MATCH(A672,Linha!$A$5:$A$788,0)),"-")</f>
      </c>
      <c r="J672" s="35">
        <v>766</v>
      </c>
      <c r="K672" s="36">
        <f>IFERROR(INDEX(Linha!$D$5:$D$788,MATCH(A672,Linha!$A$5:$A$788,0))*1,0)</f>
      </c>
      <c r="L672" s="36">
        <f>SUMIFS(Reservas!$K$5:$K$3669,Reservas!$A$5:$A$3669,A672)</f>
      </c>
      <c r="M672" s="37">
        <f>J672-L672</f>
      </c>
      <c r="N672" s="38">
        <v>34.905</v>
      </c>
      <c r="O672" s="37">
        <f>J672*N672</f>
      </c>
      <c r="P672" s="37">
        <f>L672*N672</f>
      </c>
      <c r="Q672" s="39">
        <v>156.99478876</v>
      </c>
      <c r="R672" s="40">
        <f>J672*Q672</f>
      </c>
      <c r="S672" s="40">
        <f>L672*Q672</f>
      </c>
      <c r="T672" s="41">
        <f>IF(J672=0,0,L672/J672)</f>
      </c>
      <c r="U672" s="42">
        <f>IFERROR(INDEX(Paletes!$C$5:$C$393,MATCH(B672,Paletes!$A$5:$A$393,0)),"SEM CADASTRO")</f>
      </c>
      <c r="V672" s="36">
        <f>IFERROR(INDEX(Paletes!$D$5:$D$393,MATCH(B672,Paletes!$A$5:$A$393,0)),0)</f>
      </c>
      <c r="W672" s="43">
        <f>IF(V672=0,0,J672/V672)</f>
      </c>
      <c r="X672" s="43">
        <f>IF(V672=0,0,MAX(M672,0)/V672)</f>
      </c>
    </row>
    <row r="673" spans="1:24" x14ac:dyDescent="0.25">
      <c r="A673" s="20" t="str">
        <f>B673&amp;"."&amp;IFERROR(MID(D673,FIND("(",D673)+1,FIND(")",D673)-FIND("(",D673)-1),"")</f>
        <v>73534.16703</v>
      </c>
      <c r="B673" s="21">
        <v>73534</v>
      </c>
      <c r="C673" s="20" t="s">
        <v>311</v>
      </c>
      <c r="D673" s="20" t="s">
        <v>1038</v>
      </c>
      <c r="E673" s="20">
        <v>65348</v>
      </c>
      <c r="F673" s="20" t="s">
        <v>25</v>
      </c>
      <c r="G673" s="20" t="s">
        <v>51</v>
      </c>
      <c r="H673" s="22">
        <f>IFERROR(INDEX(Linha!$B$5:$B$788,MATCH(A673,Linha!$A$5:$A$788,0)),"NÃO CADASTRADO")</f>
      </c>
      <c r="I673" s="22">
        <f>IFERROR(INDEX(Linha!$C$5:$C$788,MATCH(A673,Linha!$A$5:$A$788,0)),"-")</f>
      </c>
      <c r="J673" s="23">
        <v>1</v>
      </c>
      <c r="K673" s="24">
        <f>IFERROR(INDEX(Linha!$D$5:$D$788,MATCH(A673,Linha!$A$5:$A$788,0))*1,0)</f>
      </c>
      <c r="L673" s="24">
        <f>SUMIFS(Reservas!$K$5:$K$3669,Reservas!$A$5:$A$3669,A673)</f>
      </c>
      <c r="M673" s="25">
        <f>J673-L673</f>
      </c>
      <c r="N673" s="26">
        <v>11.358</v>
      </c>
      <c r="O673" s="25">
        <f>J673*N673</f>
      </c>
      <c r="P673" s="25">
        <f>L673*N673</f>
      </c>
      <c r="Q673" s="27">
        <v>86.08233261</v>
      </c>
      <c r="R673" s="28">
        <f>J673*Q673</f>
      </c>
      <c r="S673" s="28">
        <f>L673*Q673</f>
      </c>
      <c r="T673" s="29">
        <f>IF(J673=0,0,L673/J673)</f>
      </c>
      <c r="U673" s="30">
        <f>IFERROR(INDEX(Paletes!$C$5:$C$393,MATCH(B673,Paletes!$A$5:$A$393,0)),"SEM CADASTRO")</f>
      </c>
      <c r="V673" s="24">
        <f>IFERROR(INDEX(Paletes!$D$5:$D$393,MATCH(B673,Paletes!$A$5:$A$393,0)),0)</f>
      </c>
      <c r="W673" s="31">
        <f>IF(V673=0,0,J673/V673)</f>
      </c>
      <c r="X673" s="31">
        <f>IF(V673=0,0,MAX(M673,0)/V673)</f>
      </c>
    </row>
    <row r="674" spans="1:24" x14ac:dyDescent="0.25">
      <c r="A674" s="32" t="str">
        <f>B674&amp;"."&amp;IFERROR(MID(D674,FIND("(",D674)+1,FIND(")",D674)-FIND("(",D674)-1),"")</f>
        <v>73371.55615</v>
      </c>
      <c r="B674" s="33">
        <v>73371</v>
      </c>
      <c r="C674" s="32" t="s">
        <v>317</v>
      </c>
      <c r="D674" s="32" t="s">
        <v>1039</v>
      </c>
      <c r="E674" s="32">
        <v>72717</v>
      </c>
      <c r="F674" s="32" t="s">
        <v>25</v>
      </c>
      <c r="G674" s="32" t="s">
        <v>51</v>
      </c>
      <c r="H674" s="34">
        <f>IFERROR(INDEX(Linha!$B$5:$B$788,MATCH(A674,Linha!$A$5:$A$788,0)),"NÃO CADASTRADO")</f>
      </c>
      <c r="I674" s="34">
        <f>IFERROR(INDEX(Linha!$C$5:$C$788,MATCH(A674,Linha!$A$5:$A$788,0)),"-")</f>
      </c>
      <c r="J674" s="35">
        <v>16</v>
      </c>
      <c r="K674" s="36">
        <f>IFERROR(INDEX(Linha!$D$5:$D$788,MATCH(A674,Linha!$A$5:$A$788,0))*1,0)</f>
      </c>
      <c r="L674" s="36">
        <f>SUMIFS(Reservas!$K$5:$K$3669,Reservas!$A$5:$A$3669,A674)</f>
      </c>
      <c r="M674" s="37">
        <f>J674-L674</f>
      </c>
      <c r="N674" s="38">
        <v>17.696</v>
      </c>
      <c r="O674" s="37">
        <f>J674*N674</f>
      </c>
      <c r="P674" s="37">
        <f>L674*N674</f>
      </c>
      <c r="Q674" s="39">
        <v>78.54350042</v>
      </c>
      <c r="R674" s="40">
        <f>J674*Q674</f>
      </c>
      <c r="S674" s="40">
        <f>L674*Q674</f>
      </c>
      <c r="T674" s="41">
        <f>IF(J674=0,0,L674/J674)</f>
      </c>
      <c r="U674" s="42">
        <f>IFERROR(INDEX(Paletes!$C$5:$C$393,MATCH(B674,Paletes!$A$5:$A$393,0)),"SEM CADASTRO")</f>
      </c>
      <c r="V674" s="36">
        <f>IFERROR(INDEX(Paletes!$D$5:$D$393,MATCH(B674,Paletes!$A$5:$A$393,0)),0)</f>
      </c>
      <c r="W674" s="43">
        <f>IF(V674=0,0,J674/V674)</f>
      </c>
      <c r="X674" s="43">
        <f>IF(V674=0,0,MAX(M674,0)/V674)</f>
      </c>
    </row>
    <row r="675" spans="1:24" x14ac:dyDescent="0.25">
      <c r="A675" s="20" t="str">
        <f>B675&amp;"."&amp;IFERROR(MID(D675,FIND("(",D675)+1,FIND(")",D675)-FIND("(",D675)-1),"")</f>
        <v>73351.15616</v>
      </c>
      <c r="B675" s="21">
        <v>73351</v>
      </c>
      <c r="C675" s="20" t="s">
        <v>319</v>
      </c>
      <c r="D675" s="20" t="s">
        <v>1040</v>
      </c>
      <c r="E675" s="20">
        <v>72718</v>
      </c>
      <c r="F675" s="20" t="s">
        <v>25</v>
      </c>
      <c r="G675" s="20" t="s">
        <v>51</v>
      </c>
      <c r="H675" s="22">
        <f>IFERROR(INDEX(Linha!$B$5:$B$788,MATCH(A675,Linha!$A$5:$A$788,0)),"NÃO CADASTRADO")</f>
      </c>
      <c r="I675" s="22">
        <f>IFERROR(INDEX(Linha!$C$5:$C$788,MATCH(A675,Linha!$A$5:$A$788,0)),"-")</f>
      </c>
      <c r="J675" s="23">
        <v>124</v>
      </c>
      <c r="K675" s="24">
        <f>IFERROR(INDEX(Linha!$D$5:$D$788,MATCH(A675,Linha!$A$5:$A$788,0))*1,0)</f>
      </c>
      <c r="L675" s="24">
        <f>SUMIFS(Reservas!$K$5:$K$3669,Reservas!$A$5:$A$3669,A675)</f>
      </c>
      <c r="M675" s="25">
        <f>J675-L675</f>
      </c>
      <c r="N675" s="26">
        <v>26.325</v>
      </c>
      <c r="O675" s="25">
        <f>J675*N675</f>
      </c>
      <c r="P675" s="25">
        <f>L675*N675</f>
      </c>
      <c r="Q675" s="27">
        <v>118.50653222</v>
      </c>
      <c r="R675" s="28">
        <f>J675*Q675</f>
      </c>
      <c r="S675" s="28">
        <f>L675*Q675</f>
      </c>
      <c r="T675" s="29">
        <f>IF(J675=0,0,L675/J675)</f>
      </c>
      <c r="U675" s="30">
        <f>IFERROR(INDEX(Paletes!$C$5:$C$393,MATCH(B675,Paletes!$A$5:$A$393,0)),"SEM CADASTRO")</f>
      </c>
      <c r="V675" s="24">
        <f>IFERROR(INDEX(Paletes!$D$5:$D$393,MATCH(B675,Paletes!$A$5:$A$393,0)),0)</f>
      </c>
      <c r="W675" s="31">
        <f>IF(V675=0,0,J675/V675)</f>
      </c>
      <c r="X675" s="31">
        <f>IF(V675=0,0,MAX(M675,0)/V675)</f>
      </c>
    </row>
    <row r="676" spans="1:24" x14ac:dyDescent="0.25">
      <c r="A676" s="32" t="str">
        <f>B676&amp;"."&amp;IFERROR(MID(D676,FIND("(",D676)+1,FIND(")",D676)-FIND("(",D676)-1),"")</f>
        <v>2108.13404</v>
      </c>
      <c r="B676" s="33">
        <v>2108</v>
      </c>
      <c r="C676" s="32" t="s">
        <v>321</v>
      </c>
      <c r="D676" s="32" t="s">
        <v>1041</v>
      </c>
      <c r="E676" s="32">
        <v>72914</v>
      </c>
      <c r="F676" s="32" t="s">
        <v>26</v>
      </c>
      <c r="G676" s="32" t="s">
        <v>51</v>
      </c>
      <c r="H676" s="34">
        <f>IFERROR(INDEX(Linha!$B$5:$B$788,MATCH(A676,Linha!$A$5:$A$788,0)),"NÃO CADASTRADO")</f>
      </c>
      <c r="I676" s="34">
        <f>IFERROR(INDEX(Linha!$C$5:$C$788,MATCH(A676,Linha!$A$5:$A$788,0)),"-")</f>
      </c>
      <c r="J676" s="35">
        <v>0</v>
      </c>
      <c r="K676" s="36">
        <f>IFERROR(INDEX(Linha!$D$5:$D$788,MATCH(A676,Linha!$A$5:$A$788,0))*1,0)</f>
      </c>
      <c r="L676" s="36">
        <f>SUMIFS(Reservas!$K$5:$K$3669,Reservas!$A$5:$A$3669,A676)</f>
      </c>
      <c r="M676" s="37">
        <f>J676-L676</f>
      </c>
      <c r="N676" s="38">
        <v>48.555</v>
      </c>
      <c r="O676" s="37">
        <f>J676*N676</f>
      </c>
      <c r="P676" s="37">
        <f>L676*N676</f>
      </c>
      <c r="Q676" s="39">
        <v>150.86226493</v>
      </c>
      <c r="R676" s="40">
        <f>J676*Q676</f>
      </c>
      <c r="S676" s="40">
        <f>L676*Q676</f>
      </c>
      <c r="T676" s="41">
        <f>IF(J676=0,0,L676/J676)</f>
      </c>
      <c r="U676" s="42">
        <f>IFERROR(INDEX(Paletes!$C$5:$C$393,MATCH(B676,Paletes!$A$5:$A$393,0)),"SEM CADASTRO")</f>
      </c>
      <c r="V676" s="36">
        <f>IFERROR(INDEX(Paletes!$D$5:$D$393,MATCH(B676,Paletes!$A$5:$A$393,0)),0)</f>
      </c>
      <c r="W676" s="43">
        <f>IF(V676=0,0,J676/V676)</f>
      </c>
      <c r="X676" s="43">
        <f>IF(V676=0,0,MAX(M676,0)/V676)</f>
      </c>
    </row>
    <row r="677" spans="1:24" x14ac:dyDescent="0.25">
      <c r="A677" s="20" t="str">
        <f>B677&amp;"."&amp;IFERROR(MID(D677,FIND("(",D677)+1,FIND(")",D677)-FIND("(",D677)-1),"")</f>
        <v>2110.12846</v>
      </c>
      <c r="B677" s="21">
        <v>2110</v>
      </c>
      <c r="C677" s="20" t="s">
        <v>323</v>
      </c>
      <c r="D677" s="20" t="s">
        <v>1042</v>
      </c>
      <c r="E677" s="20">
        <v>72916</v>
      </c>
      <c r="F677" s="20" t="s">
        <v>26</v>
      </c>
      <c r="G677" s="20" t="s">
        <v>51</v>
      </c>
      <c r="H677" s="22">
        <f>IFERROR(INDEX(Linha!$B$5:$B$788,MATCH(A677,Linha!$A$5:$A$788,0)),"NÃO CADASTRADO")</f>
      </c>
      <c r="I677" s="22">
        <f>IFERROR(INDEX(Linha!$C$5:$C$788,MATCH(A677,Linha!$A$5:$A$788,0)),"-")</f>
      </c>
      <c r="J677" s="23">
        <v>281</v>
      </c>
      <c r="K677" s="24">
        <f>IFERROR(INDEX(Linha!$D$5:$D$788,MATCH(A677,Linha!$A$5:$A$788,0))*1,0)</f>
      </c>
      <c r="L677" s="24">
        <f>SUMIFS(Reservas!$K$5:$K$3669,Reservas!$A$5:$A$3669,A677)</f>
      </c>
      <c r="M677" s="25">
        <f>J677-L677</f>
      </c>
      <c r="N677" s="26">
        <v>55.477</v>
      </c>
      <c r="O677" s="25">
        <f>J677*N677</f>
      </c>
      <c r="P677" s="25">
        <f>L677*N677</f>
      </c>
      <c r="Q677" s="27">
        <v>157.62332461</v>
      </c>
      <c r="R677" s="28">
        <f>J677*Q677</f>
      </c>
      <c r="S677" s="28">
        <f>L677*Q677</f>
      </c>
      <c r="T677" s="29">
        <f>IF(J677=0,0,L677/J677)</f>
      </c>
      <c r="U677" s="30">
        <f>IFERROR(INDEX(Paletes!$C$5:$C$393,MATCH(B677,Paletes!$A$5:$A$393,0)),"SEM CADASTRO")</f>
      </c>
      <c r="V677" s="24">
        <f>IFERROR(INDEX(Paletes!$D$5:$D$393,MATCH(B677,Paletes!$A$5:$A$393,0)),0)</f>
      </c>
      <c r="W677" s="31">
        <f>IF(V677=0,0,J677/V677)</f>
      </c>
      <c r="X677" s="31">
        <f>IF(V677=0,0,MAX(M677,0)/V677)</f>
      </c>
    </row>
    <row r="678" spans="1:24" x14ac:dyDescent="0.25">
      <c r="A678" s="32" t="str">
        <f>B678&amp;"."&amp;IFERROR(MID(D678,FIND("(",D678)+1,FIND(")",D678)-FIND("(",D678)-1),"")</f>
        <v>2110.12850</v>
      </c>
      <c r="B678" s="33">
        <v>2110</v>
      </c>
      <c r="C678" s="32" t="s">
        <v>323</v>
      </c>
      <c r="D678" s="32" t="s">
        <v>1043</v>
      </c>
      <c r="E678" s="32">
        <v>72916</v>
      </c>
      <c r="F678" s="32" t="s">
        <v>26</v>
      </c>
      <c r="G678" s="32" t="s">
        <v>51</v>
      </c>
      <c r="H678" s="34">
        <f>IFERROR(INDEX(Linha!$B$5:$B$788,MATCH(A678,Linha!$A$5:$A$788,0)),"NÃO CADASTRADO")</f>
      </c>
      <c r="I678" s="34">
        <f>IFERROR(INDEX(Linha!$C$5:$C$788,MATCH(A678,Linha!$A$5:$A$788,0)),"-")</f>
      </c>
      <c r="J678" s="35">
        <v>0</v>
      </c>
      <c r="K678" s="36">
        <f>IFERROR(INDEX(Linha!$D$5:$D$788,MATCH(A678,Linha!$A$5:$A$788,0))*1,0)</f>
      </c>
      <c r="L678" s="36">
        <f>SUMIFS(Reservas!$K$5:$K$3669,Reservas!$A$5:$A$3669,A678)</f>
      </c>
      <c r="M678" s="37">
        <f>J678-L678</f>
      </c>
      <c r="N678" s="38">
        <v>55.477</v>
      </c>
      <c r="O678" s="37">
        <f>J678*N678</f>
      </c>
      <c r="P678" s="37">
        <f>L678*N678</f>
      </c>
      <c r="Q678" s="39">
        <v>168.04135154</v>
      </c>
      <c r="R678" s="40">
        <f>J678*Q678</f>
      </c>
      <c r="S678" s="40">
        <f>L678*Q678</f>
      </c>
      <c r="T678" s="41">
        <f>IF(J678=0,0,L678/J678)</f>
      </c>
      <c r="U678" s="42">
        <f>IFERROR(INDEX(Paletes!$C$5:$C$393,MATCH(B678,Paletes!$A$5:$A$393,0)),"SEM CADASTRO")</f>
      </c>
      <c r="V678" s="36">
        <f>IFERROR(INDEX(Paletes!$D$5:$D$393,MATCH(B678,Paletes!$A$5:$A$393,0)),0)</f>
      </c>
      <c r="W678" s="43">
        <f>IF(V678=0,0,J678/V678)</f>
      </c>
      <c r="X678" s="43">
        <f>IF(V678=0,0,MAX(M678,0)/V678)</f>
      </c>
    </row>
    <row r="679" spans="1:24" x14ac:dyDescent="0.25">
      <c r="A679" s="20" t="str">
        <f>B679&amp;"."&amp;IFERROR(MID(D679,FIND("(",D679)+1,FIND(")",D679)-FIND("(",D679)-1),"")</f>
        <v>85015.</v>
      </c>
      <c r="B679" s="21">
        <v>85015</v>
      </c>
      <c r="C679" s="20" t="s">
        <v>1044</v>
      </c>
      <c r="D679" s="20" t="s">
        <v>89</v>
      </c>
      <c r="E679" s="20">
        <v>45708</v>
      </c>
      <c r="F679" s="20" t="s">
        <v>25</v>
      </c>
      <c r="G679" s="20" t="s">
        <v>51</v>
      </c>
      <c r="H679" s="22">
        <f>IFERROR(INDEX(Linha!$B$5:$B$788,MATCH(A679,Linha!$A$5:$A$788,0)),"NÃO CADASTRADO")</f>
      </c>
      <c r="I679" s="22">
        <f>IFERROR(INDEX(Linha!$C$5:$C$788,MATCH(A679,Linha!$A$5:$A$788,0)),"-")</f>
      </c>
      <c r="J679" s="23">
        <v>0</v>
      </c>
      <c r="K679" s="24">
        <f>IFERROR(INDEX(Linha!$D$5:$D$788,MATCH(A679,Linha!$A$5:$A$788,0))*1,0)</f>
      </c>
      <c r="L679" s="24">
        <f>SUMIFS(Reservas!$K$5:$K$3669,Reservas!$A$5:$A$3669,A679)</f>
      </c>
      <c r="M679" s="25">
        <f>J679-L679</f>
      </c>
      <c r="N679" s="26">
        <v>20.299</v>
      </c>
      <c r="O679" s="25">
        <f>J679*N679</f>
      </c>
      <c r="P679" s="25">
        <f>L679*N679</f>
      </c>
      <c r="Q679" s="27">
        <v>142.77920544</v>
      </c>
      <c r="R679" s="28">
        <f>J679*Q679</f>
      </c>
      <c r="S679" s="28">
        <f>L679*Q679</f>
      </c>
      <c r="T679" s="29">
        <f>IF(J679=0,0,L679/J679)</f>
      </c>
      <c r="U679" s="30">
        <f>IFERROR(INDEX(Paletes!$C$5:$C$393,MATCH(B679,Paletes!$A$5:$A$393,0)),"SEM CADASTRO")</f>
      </c>
      <c r="V679" s="24">
        <f>IFERROR(INDEX(Paletes!$D$5:$D$393,MATCH(B679,Paletes!$A$5:$A$393,0)),0)</f>
      </c>
      <c r="W679" s="31">
        <f>IF(V679=0,0,J679/V679)</f>
      </c>
      <c r="X679" s="31">
        <f>IF(V679=0,0,MAX(M679,0)/V679)</f>
      </c>
    </row>
    <row r="680" spans="1:24" x14ac:dyDescent="0.25">
      <c r="A680" s="32" t="str">
        <f>B680&amp;"."&amp;IFERROR(MID(D680,FIND("(",D680)+1,FIND(")",D680)-FIND("(",D680)-1),"")</f>
        <v>73286.16528</v>
      </c>
      <c r="B680" s="33">
        <v>73286</v>
      </c>
      <c r="C680" s="32" t="s">
        <v>173</v>
      </c>
      <c r="D680" s="32" t="s">
        <v>1045</v>
      </c>
      <c r="E680" s="32">
        <v>76418</v>
      </c>
      <c r="F680" s="32" t="s">
        <v>24</v>
      </c>
      <c r="G680" s="32" t="s">
        <v>51</v>
      </c>
      <c r="H680" s="34">
        <f>IFERROR(INDEX(Linha!$B$5:$B$788,MATCH(A680,Linha!$A$5:$A$788,0)),"NÃO CADASTRADO")</f>
      </c>
      <c r="I680" s="34">
        <f>IFERROR(INDEX(Linha!$C$5:$C$788,MATCH(A680,Linha!$A$5:$A$788,0)),"-")</f>
      </c>
      <c r="J680" s="35">
        <v>70</v>
      </c>
      <c r="K680" s="36">
        <f>IFERROR(INDEX(Linha!$D$5:$D$788,MATCH(A680,Linha!$A$5:$A$788,0))*1,0)</f>
      </c>
      <c r="L680" s="36">
        <f>SUMIFS(Reservas!$K$5:$K$3669,Reservas!$A$5:$A$3669,A680)</f>
      </c>
      <c r="M680" s="37">
        <f>J680-L680</f>
      </c>
      <c r="N680" s="38">
        <v>41.047</v>
      </c>
      <c r="O680" s="37">
        <f>J680*N680</f>
      </c>
      <c r="P680" s="37">
        <f>L680*N680</f>
      </c>
      <c r="Q680" s="39">
        <v>147.4863354</v>
      </c>
      <c r="R680" s="40">
        <f>J680*Q680</f>
      </c>
      <c r="S680" s="40">
        <f>L680*Q680</f>
      </c>
      <c r="T680" s="41">
        <f>IF(J680=0,0,L680/J680)</f>
      </c>
      <c r="U680" s="42">
        <f>IFERROR(INDEX(Paletes!$C$5:$C$393,MATCH(B680,Paletes!$A$5:$A$393,0)),"SEM CADASTRO")</f>
      </c>
      <c r="V680" s="36">
        <f>IFERROR(INDEX(Paletes!$D$5:$D$393,MATCH(B680,Paletes!$A$5:$A$393,0)),0)</f>
      </c>
      <c r="W680" s="43">
        <f>IF(V680=0,0,J680/V680)</f>
      </c>
      <c r="X680" s="43">
        <f>IF(V680=0,0,MAX(M680,0)/V680)</f>
      </c>
    </row>
    <row r="681" spans="1:24" x14ac:dyDescent="0.25">
      <c r="A681" s="20" t="str">
        <f>B681&amp;"."&amp;IFERROR(MID(D681,FIND("(",D681)+1,FIND(")",D681)-FIND("(",D681)-1),"")</f>
        <v>73344.16547</v>
      </c>
      <c r="B681" s="21">
        <v>73344</v>
      </c>
      <c r="C681" s="20" t="s">
        <v>1046</v>
      </c>
      <c r="D681" s="20" t="s">
        <v>1047</v>
      </c>
      <c r="E681" s="20">
        <v>76907</v>
      </c>
      <c r="F681" s="20" t="s">
        <v>25</v>
      </c>
      <c r="G681" s="20" t="s">
        <v>51</v>
      </c>
      <c r="H681" s="22">
        <f>IFERROR(INDEX(Linha!$B$5:$B$788,MATCH(A681,Linha!$A$5:$A$788,0)),"NÃO CADASTRADO")</f>
      </c>
      <c r="I681" s="22">
        <f>IFERROR(INDEX(Linha!$C$5:$C$788,MATCH(A681,Linha!$A$5:$A$788,0)),"-")</f>
      </c>
      <c r="J681" s="23">
        <v>177</v>
      </c>
      <c r="K681" s="24">
        <f>IFERROR(INDEX(Linha!$D$5:$D$788,MATCH(A681,Linha!$A$5:$A$788,0))*1,0)</f>
      </c>
      <c r="L681" s="24">
        <f>SUMIFS(Reservas!$K$5:$K$3669,Reservas!$A$5:$A$3669,A681)</f>
      </c>
      <c r="M681" s="25">
        <f>J681-L681</f>
      </c>
      <c r="N681" s="26">
        <v>21.937</v>
      </c>
      <c r="O681" s="25">
        <f>J681*N681</f>
      </c>
      <c r="P681" s="25">
        <f>L681*N681</f>
      </c>
      <c r="Q681" s="27">
        <v>109.12257862</v>
      </c>
      <c r="R681" s="28">
        <f>J681*Q681</f>
      </c>
      <c r="S681" s="28">
        <f>L681*Q681</f>
      </c>
      <c r="T681" s="29">
        <f>IF(J681=0,0,L681/J681)</f>
      </c>
      <c r="U681" s="30">
        <f>IFERROR(INDEX(Paletes!$C$5:$C$393,MATCH(B681,Paletes!$A$5:$A$393,0)),"SEM CADASTRO")</f>
      </c>
      <c r="V681" s="24">
        <f>IFERROR(INDEX(Paletes!$D$5:$D$393,MATCH(B681,Paletes!$A$5:$A$393,0)),0)</f>
      </c>
      <c r="W681" s="31">
        <f>IF(V681=0,0,J681/V681)</f>
      </c>
      <c r="X681" s="31">
        <f>IF(V681=0,0,MAX(M681,0)/V681)</f>
      </c>
    </row>
    <row r="682" spans="1:24" x14ac:dyDescent="0.25">
      <c r="A682" s="32" t="str">
        <f>B682&amp;"."&amp;IFERROR(MID(D682,FIND("(",D682)+1,FIND(")",D682)-FIND("(",D682)-1),"")</f>
        <v>74501.32101</v>
      </c>
      <c r="B682" s="33">
        <v>74501</v>
      </c>
      <c r="C682" s="32" t="s">
        <v>922</v>
      </c>
      <c r="D682" s="32" t="s">
        <v>1048</v>
      </c>
      <c r="E682" s="32">
        <v>77215</v>
      </c>
      <c r="F682" s="32" t="s">
        <v>24</v>
      </c>
      <c r="G682" s="32" t="s">
        <v>51</v>
      </c>
      <c r="H682" s="34">
        <f>IFERROR(INDEX(Linha!$B$5:$B$788,MATCH(A682,Linha!$A$5:$A$788,0)),"NÃO CADASTRADO")</f>
      </c>
      <c r="I682" s="34">
        <f>IFERROR(INDEX(Linha!$C$5:$C$788,MATCH(A682,Linha!$A$5:$A$788,0)),"-")</f>
      </c>
      <c r="J682" s="35">
        <v>0</v>
      </c>
      <c r="K682" s="36">
        <f>IFERROR(INDEX(Linha!$D$5:$D$788,MATCH(A682,Linha!$A$5:$A$788,0))*1,0)</f>
      </c>
      <c r="L682" s="36">
        <f>SUMIFS(Reservas!$K$5:$K$3669,Reservas!$A$5:$A$3669,A682)</f>
      </c>
      <c r="M682" s="37">
        <f>J682-L682</f>
      </c>
      <c r="N682" s="38">
        <v>18.52</v>
      </c>
      <c r="O682" s="37">
        <f>J682*N682</f>
      </c>
      <c r="P682" s="37">
        <f>L682*N682</f>
      </c>
      <c r="Q682" s="39">
        <v>62.99597341</v>
      </c>
      <c r="R682" s="40">
        <f>J682*Q682</f>
      </c>
      <c r="S682" s="40">
        <f>L682*Q682</f>
      </c>
      <c r="T682" s="41">
        <f>IF(J682=0,0,L682/J682)</f>
      </c>
      <c r="U682" s="42">
        <f>IFERROR(INDEX(Paletes!$C$5:$C$393,MATCH(B682,Paletes!$A$5:$A$393,0)),"SEM CADASTRO")</f>
      </c>
      <c r="V682" s="36">
        <f>IFERROR(INDEX(Paletes!$D$5:$D$393,MATCH(B682,Paletes!$A$5:$A$393,0)),0)</f>
      </c>
      <c r="W682" s="43">
        <f>IF(V682=0,0,J682/V682)</f>
      </c>
      <c r="X682" s="43">
        <f>IF(V682=0,0,MAX(M682,0)/V682)</f>
      </c>
    </row>
    <row r="683" spans="1:24" x14ac:dyDescent="0.25">
      <c r="A683" s="20" t="str">
        <f>B683&amp;"."&amp;IFERROR(MID(D683,FIND("(",D683)+1,FIND(")",D683)-FIND("(",D683)-1),"")</f>
        <v>2176.12384</v>
      </c>
      <c r="B683" s="21">
        <v>2176</v>
      </c>
      <c r="C683" s="20" t="s">
        <v>339</v>
      </c>
      <c r="D683" s="20" t="s">
        <v>1049</v>
      </c>
      <c r="E683" s="20">
        <v>81670</v>
      </c>
      <c r="F683" s="20" t="s">
        <v>26</v>
      </c>
      <c r="G683" s="20" t="s">
        <v>51</v>
      </c>
      <c r="H683" s="22">
        <f>IFERROR(INDEX(Linha!$B$5:$B$788,MATCH(A683,Linha!$A$5:$A$788,0)),"NÃO CADASTRADO")</f>
      </c>
      <c r="I683" s="22">
        <f>IFERROR(INDEX(Linha!$C$5:$C$788,MATCH(A683,Linha!$A$5:$A$788,0)),"-")</f>
      </c>
      <c r="J683" s="23">
        <v>53</v>
      </c>
      <c r="K683" s="24">
        <f>IFERROR(INDEX(Linha!$D$5:$D$788,MATCH(A683,Linha!$A$5:$A$788,0))*1,0)</f>
      </c>
      <c r="L683" s="24">
        <f>SUMIFS(Reservas!$K$5:$K$3669,Reservas!$A$5:$A$3669,A683)</f>
      </c>
      <c r="M683" s="25">
        <f>J683-L683</f>
      </c>
      <c r="N683" s="26">
        <v>57.037</v>
      </c>
      <c r="O683" s="25">
        <f>J683*N683</f>
      </c>
      <c r="P683" s="25">
        <f>L683*N683</f>
      </c>
      <c r="Q683" s="27">
        <v>170.80001327</v>
      </c>
      <c r="R683" s="28">
        <f>J683*Q683</f>
      </c>
      <c r="S683" s="28">
        <f>L683*Q683</f>
      </c>
      <c r="T683" s="29">
        <f>IF(J683=0,0,L683/J683)</f>
      </c>
      <c r="U683" s="30">
        <f>IFERROR(INDEX(Paletes!$C$5:$C$393,MATCH(B683,Paletes!$A$5:$A$393,0)),"SEM CADASTRO")</f>
      </c>
      <c r="V683" s="24">
        <f>IFERROR(INDEX(Paletes!$D$5:$D$393,MATCH(B683,Paletes!$A$5:$A$393,0)),0)</f>
      </c>
      <c r="W683" s="31">
        <f>IF(V683=0,0,J683/V683)</f>
      </c>
      <c r="X683" s="31">
        <f>IF(V683=0,0,MAX(M683,0)/V683)</f>
      </c>
    </row>
    <row r="684" spans="1:24" x14ac:dyDescent="0.25">
      <c r="A684" s="32" t="str">
        <f>B684&amp;"."&amp;IFERROR(MID(D684,FIND("(",D684)+1,FIND(")",D684)-FIND("(",D684)-1),"")</f>
        <v>2181.12950</v>
      </c>
      <c r="B684" s="33">
        <v>2181</v>
      </c>
      <c r="C684" s="32" t="s">
        <v>186</v>
      </c>
      <c r="D684" s="32" t="s">
        <v>1050</v>
      </c>
      <c r="E684" s="32">
        <v>81672</v>
      </c>
      <c r="F684" s="32" t="s">
        <v>26</v>
      </c>
      <c r="G684" s="32" t="s">
        <v>51</v>
      </c>
      <c r="H684" s="34">
        <f>IFERROR(INDEX(Linha!$B$5:$B$788,MATCH(A684,Linha!$A$5:$A$788,0)),"NÃO CADASTRADO")</f>
      </c>
      <c r="I684" s="34">
        <f>IFERROR(INDEX(Linha!$C$5:$C$788,MATCH(A684,Linha!$A$5:$A$788,0)),"-")</f>
      </c>
      <c r="J684" s="35">
        <v>6</v>
      </c>
      <c r="K684" s="36">
        <f>IFERROR(INDEX(Linha!$D$5:$D$788,MATCH(A684,Linha!$A$5:$A$788,0))*1,0)</f>
      </c>
      <c r="L684" s="36">
        <f>SUMIFS(Reservas!$K$5:$K$3669,Reservas!$A$5:$A$3669,A684)</f>
      </c>
      <c r="M684" s="37">
        <f>J684-L684</f>
      </c>
      <c r="N684" s="38">
        <v>49.387</v>
      </c>
      <c r="O684" s="37">
        <f>J684*N684</f>
      </c>
      <c r="P684" s="37">
        <f>L684*N684</f>
      </c>
      <c r="Q684" s="39">
        <v>200.61315659</v>
      </c>
      <c r="R684" s="40">
        <f>J684*Q684</f>
      </c>
      <c r="S684" s="40">
        <f>L684*Q684</f>
      </c>
      <c r="T684" s="41">
        <f>IF(J684=0,0,L684/J684)</f>
      </c>
      <c r="U684" s="42">
        <f>IFERROR(INDEX(Paletes!$C$5:$C$393,MATCH(B684,Paletes!$A$5:$A$393,0)),"SEM CADASTRO")</f>
      </c>
      <c r="V684" s="36">
        <f>IFERROR(INDEX(Paletes!$D$5:$D$393,MATCH(B684,Paletes!$A$5:$A$393,0)),0)</f>
      </c>
      <c r="W684" s="43">
        <f>IF(V684=0,0,J684/V684)</f>
      </c>
      <c r="X684" s="43">
        <f>IF(V684=0,0,MAX(M684,0)/V684)</f>
      </c>
    </row>
    <row r="685" spans="1:24" x14ac:dyDescent="0.25">
      <c r="A685" s="20" t="str">
        <f>B685&amp;"."&amp;IFERROR(MID(D685,FIND("(",D685)+1,FIND(")",D685)-FIND("(",D685)-1),"")</f>
        <v>74552.31965</v>
      </c>
      <c r="B685" s="21">
        <v>74552</v>
      </c>
      <c r="C685" s="20" t="s">
        <v>341</v>
      </c>
      <c r="D685" s="20" t="s">
        <v>1051</v>
      </c>
      <c r="E685" s="20">
        <v>82384</v>
      </c>
      <c r="F685" s="20" t="s">
        <v>25</v>
      </c>
      <c r="G685" s="20" t="s">
        <v>51</v>
      </c>
      <c r="H685" s="22">
        <f>IFERROR(INDEX(Linha!$B$5:$B$788,MATCH(A685,Linha!$A$5:$A$788,0)),"NÃO CADASTRADO")</f>
      </c>
      <c r="I685" s="22">
        <f>IFERROR(INDEX(Linha!$C$5:$C$788,MATCH(A685,Linha!$A$5:$A$788,0)),"-")</f>
      </c>
      <c r="J685" s="23">
        <v>141</v>
      </c>
      <c r="K685" s="24">
        <f>IFERROR(INDEX(Linha!$D$5:$D$788,MATCH(A685,Linha!$A$5:$A$788,0))*1,0)</f>
      </c>
      <c r="L685" s="24">
        <f>SUMIFS(Reservas!$K$5:$K$3669,Reservas!$A$5:$A$3669,A685)</f>
      </c>
      <c r="M685" s="25">
        <f>J685-L685</f>
      </c>
      <c r="N685" s="26">
        <v>50.544</v>
      </c>
      <c r="O685" s="25">
        <f>J685*N685</f>
      </c>
      <c r="P685" s="25">
        <f>L685*N685</f>
      </c>
      <c r="Q685" s="27">
        <v>349.91748402</v>
      </c>
      <c r="R685" s="28">
        <f>J685*Q685</f>
      </c>
      <c r="S685" s="28">
        <f>L685*Q685</f>
      </c>
      <c r="T685" s="29">
        <f>IF(J685=0,0,L685/J685)</f>
      </c>
      <c r="U685" s="30">
        <f>IFERROR(INDEX(Paletes!$C$5:$C$393,MATCH(B685,Paletes!$A$5:$A$393,0)),"SEM CADASTRO")</f>
      </c>
      <c r="V685" s="24">
        <f>IFERROR(INDEX(Paletes!$D$5:$D$393,MATCH(B685,Paletes!$A$5:$A$393,0)),0)</f>
      </c>
      <c r="W685" s="31">
        <f>IF(V685=0,0,J685/V685)</f>
      </c>
      <c r="X685" s="31">
        <f>IF(V685=0,0,MAX(M685,0)/V685)</f>
      </c>
    </row>
    <row r="686" spans="1:24" x14ac:dyDescent="0.25">
      <c r="A686" s="32" t="str">
        <f>B686&amp;"."&amp;IFERROR(MID(D686,FIND("(",D686)+1,FIND(")",D686)-FIND("(",D686)-1),"")</f>
        <v>72594.12816</v>
      </c>
      <c r="B686" s="33">
        <v>72594</v>
      </c>
      <c r="C686" s="32" t="s">
        <v>790</v>
      </c>
      <c r="D686" s="32" t="s">
        <v>1052</v>
      </c>
      <c r="E686" s="32">
        <v>85420</v>
      </c>
      <c r="F686" s="32" t="s">
        <v>26</v>
      </c>
      <c r="G686" s="32" t="s">
        <v>51</v>
      </c>
      <c r="H686" s="34">
        <f>IFERROR(INDEX(Linha!$B$5:$B$788,MATCH(A686,Linha!$A$5:$A$788,0)),"NÃO CADASTRADO")</f>
      </c>
      <c r="I686" s="34">
        <f>IFERROR(INDEX(Linha!$C$5:$C$788,MATCH(A686,Linha!$A$5:$A$788,0)),"-")</f>
      </c>
      <c r="J686" s="35">
        <v>31</v>
      </c>
      <c r="K686" s="36">
        <f>IFERROR(INDEX(Linha!$D$5:$D$788,MATCH(A686,Linha!$A$5:$A$788,0))*1,0)</f>
      </c>
      <c r="L686" s="36">
        <f>SUMIFS(Reservas!$K$5:$K$3669,Reservas!$A$5:$A$3669,A686)</f>
      </c>
      <c r="M686" s="37">
        <f>J686-L686</f>
      </c>
      <c r="N686" s="38">
        <v>70.98</v>
      </c>
      <c r="O686" s="37">
        <f>J686*N686</f>
      </c>
      <c r="P686" s="37">
        <f>L686*N686</f>
      </c>
      <c r="Q686" s="39">
        <v>255.79392863</v>
      </c>
      <c r="R686" s="40">
        <f>J686*Q686</f>
      </c>
      <c r="S686" s="40">
        <f>L686*Q686</f>
      </c>
      <c r="T686" s="41">
        <f>IF(J686=0,0,L686/J686)</f>
      </c>
      <c r="U686" s="42">
        <f>IFERROR(INDEX(Paletes!$C$5:$C$393,MATCH(B686,Paletes!$A$5:$A$393,0)),"SEM CADASTRO")</f>
      </c>
      <c r="V686" s="36">
        <f>IFERROR(INDEX(Paletes!$D$5:$D$393,MATCH(B686,Paletes!$A$5:$A$393,0)),0)</f>
      </c>
      <c r="W686" s="43">
        <f>IF(V686=0,0,J686/V686)</f>
      </c>
      <c r="X686" s="43">
        <f>IF(V686=0,0,MAX(M686,0)/V686)</f>
      </c>
    </row>
    <row r="687" spans="1:24" x14ac:dyDescent="0.25">
      <c r="A687" s="20" t="str">
        <f>B687&amp;"."&amp;IFERROR(MID(D687,FIND("(",D687)+1,FIND(")",D687)-FIND("(",D687)-1),"")</f>
        <v>72779.</v>
      </c>
      <c r="B687" s="21">
        <v>72779</v>
      </c>
      <c r="C687" s="20" t="s">
        <v>1053</v>
      </c>
      <c r="D687" s="20" t="s">
        <v>89</v>
      </c>
      <c r="E687" s="20">
        <v>87559</v>
      </c>
      <c r="F687" s="20" t="s">
        <v>26</v>
      </c>
      <c r="G687" s="20" t="s">
        <v>51</v>
      </c>
      <c r="H687" s="22">
        <f>IFERROR(INDEX(Linha!$B$5:$B$788,MATCH(A687,Linha!$A$5:$A$788,0)),"NÃO CADASTRADO")</f>
      </c>
      <c r="I687" s="22">
        <f>IFERROR(INDEX(Linha!$C$5:$C$788,MATCH(A687,Linha!$A$5:$A$788,0)),"-")</f>
      </c>
      <c r="J687" s="23">
        <v>5</v>
      </c>
      <c r="K687" s="24">
        <f>IFERROR(INDEX(Linha!$D$5:$D$788,MATCH(A687,Linha!$A$5:$A$788,0))*1,0)</f>
      </c>
      <c r="L687" s="24">
        <f>SUMIFS(Reservas!$K$5:$K$3669,Reservas!$A$5:$A$3669,A687)</f>
      </c>
      <c r="M687" s="25">
        <f>J687-L687</f>
      </c>
      <c r="N687" s="26">
        <v>12.577</v>
      </c>
      <c r="O687" s="25">
        <f>J687*N687</f>
      </c>
      <c r="P687" s="25">
        <f>L687*N687</f>
      </c>
      <c r="Q687" s="27">
        <v>79.88230391</v>
      </c>
      <c r="R687" s="28">
        <f>J687*Q687</f>
      </c>
      <c r="S687" s="28">
        <f>L687*Q687</f>
      </c>
      <c r="T687" s="29">
        <f>IF(J687=0,0,L687/J687)</f>
      </c>
      <c r="U687" s="30">
        <f>IFERROR(INDEX(Paletes!$C$5:$C$393,MATCH(B687,Paletes!$A$5:$A$393,0)),"SEM CADASTRO")</f>
      </c>
      <c r="V687" s="24">
        <f>IFERROR(INDEX(Paletes!$D$5:$D$393,MATCH(B687,Paletes!$A$5:$A$393,0)),0)</f>
      </c>
      <c r="W687" s="31">
        <f>IF(V687=0,0,J687/V687)</f>
      </c>
      <c r="X687" s="31">
        <f>IF(V687=0,0,MAX(M687,0)/V687)</f>
      </c>
    </row>
    <row r="688" spans="1:24" x14ac:dyDescent="0.25">
      <c r="A688" s="32" t="str">
        <f>B688&amp;"."&amp;IFERROR(MID(D688,FIND("(",D688)+1,FIND(")",D688)-FIND("(",D688)-1),"")</f>
        <v>73166.15995</v>
      </c>
      <c r="B688" s="33">
        <v>73166</v>
      </c>
      <c r="C688" s="32" t="s">
        <v>499</v>
      </c>
      <c r="D688" s="32" t="s">
        <v>1054</v>
      </c>
      <c r="E688" s="32">
        <v>87577</v>
      </c>
      <c r="F688" s="32" t="s">
        <v>24</v>
      </c>
      <c r="G688" s="32" t="s">
        <v>51</v>
      </c>
      <c r="H688" s="34">
        <f>IFERROR(INDEX(Linha!$B$5:$B$788,MATCH(A688,Linha!$A$5:$A$788,0)),"NÃO CADASTRADO")</f>
      </c>
      <c r="I688" s="34">
        <f>IFERROR(INDEX(Linha!$C$5:$C$788,MATCH(A688,Linha!$A$5:$A$788,0)),"-")</f>
      </c>
      <c r="J688" s="35">
        <v>242</v>
      </c>
      <c r="K688" s="36">
        <f>IFERROR(INDEX(Linha!$D$5:$D$788,MATCH(A688,Linha!$A$5:$A$788,0))*1,0)</f>
      </c>
      <c r="L688" s="36">
        <f>SUMIFS(Reservas!$K$5:$K$3669,Reservas!$A$5:$A$3669,A688)</f>
      </c>
      <c r="M688" s="37">
        <f>J688-L688</f>
      </c>
      <c r="N688" s="38">
        <v>19.5</v>
      </c>
      <c r="O688" s="37">
        <f>J688*N688</f>
      </c>
      <c r="P688" s="37">
        <f>L688*N688</f>
      </c>
      <c r="Q688" s="39">
        <v>103.65498243</v>
      </c>
      <c r="R688" s="40">
        <f>J688*Q688</f>
      </c>
      <c r="S688" s="40">
        <f>L688*Q688</f>
      </c>
      <c r="T688" s="41">
        <f>IF(J688=0,0,L688/J688)</f>
      </c>
      <c r="U688" s="42">
        <f>IFERROR(INDEX(Paletes!$C$5:$C$393,MATCH(B688,Paletes!$A$5:$A$393,0)),"SEM CADASTRO")</f>
      </c>
      <c r="V688" s="36">
        <f>IFERROR(INDEX(Paletes!$D$5:$D$393,MATCH(B688,Paletes!$A$5:$A$393,0)),0)</f>
      </c>
      <c r="W688" s="43">
        <f>IF(V688=0,0,J688/V688)</f>
      </c>
      <c r="X688" s="43">
        <f>IF(V688=0,0,MAX(M688,0)/V688)</f>
      </c>
    </row>
    <row r="689" spans="1:24" x14ac:dyDescent="0.25">
      <c r="A689" s="20" t="str">
        <f>B689&amp;"."&amp;IFERROR(MID(D689,FIND("(",D689)+1,FIND(")",D689)-FIND("(",D689)-1),"")</f>
        <v>73166.15996</v>
      </c>
      <c r="B689" s="21">
        <v>73166</v>
      </c>
      <c r="C689" s="20" t="s">
        <v>499</v>
      </c>
      <c r="D689" s="20" t="s">
        <v>1055</v>
      </c>
      <c r="E689" s="20">
        <v>87577</v>
      </c>
      <c r="F689" s="20" t="s">
        <v>24</v>
      </c>
      <c r="G689" s="20" t="s">
        <v>51</v>
      </c>
      <c r="H689" s="22">
        <f>IFERROR(INDEX(Linha!$B$5:$B$788,MATCH(A689,Linha!$A$5:$A$788,0)),"NÃO CADASTRADO")</f>
      </c>
      <c r="I689" s="22">
        <f>IFERROR(INDEX(Linha!$C$5:$C$788,MATCH(A689,Linha!$A$5:$A$788,0)),"-")</f>
      </c>
      <c r="J689" s="23">
        <v>21</v>
      </c>
      <c r="K689" s="24">
        <f>IFERROR(INDEX(Linha!$D$5:$D$788,MATCH(A689,Linha!$A$5:$A$788,0))*1,0)</f>
      </c>
      <c r="L689" s="24">
        <f>SUMIFS(Reservas!$K$5:$K$3669,Reservas!$A$5:$A$3669,A689)</f>
      </c>
      <c r="M689" s="25">
        <f>J689-L689</f>
      </c>
      <c r="N689" s="26">
        <v>19.5</v>
      </c>
      <c r="O689" s="25">
        <f>J689*N689</f>
      </c>
      <c r="P689" s="25">
        <f>L689*N689</f>
      </c>
      <c r="Q689" s="27">
        <v>89.33997373</v>
      </c>
      <c r="R689" s="28">
        <f>J689*Q689</f>
      </c>
      <c r="S689" s="28">
        <f>L689*Q689</f>
      </c>
      <c r="T689" s="29">
        <f>IF(J689=0,0,L689/J689)</f>
      </c>
      <c r="U689" s="30">
        <f>IFERROR(INDEX(Paletes!$C$5:$C$393,MATCH(B689,Paletes!$A$5:$A$393,0)),"SEM CADASTRO")</f>
      </c>
      <c r="V689" s="24">
        <f>IFERROR(INDEX(Paletes!$D$5:$D$393,MATCH(B689,Paletes!$A$5:$A$393,0)),0)</f>
      </c>
      <c r="W689" s="31">
        <f>IF(V689=0,0,J689/V689)</f>
      </c>
      <c r="X689" s="31">
        <f>IF(V689=0,0,MAX(M689,0)/V689)</f>
      </c>
    </row>
    <row r="690" spans="1:24" x14ac:dyDescent="0.25">
      <c r="A690" s="32" t="str">
        <f>B690&amp;"."&amp;IFERROR(MID(D690,FIND("(",D690)+1,FIND(")",D690)-FIND("(",D690)-1),"")</f>
        <v>72662.12334</v>
      </c>
      <c r="B690" s="33">
        <v>72662</v>
      </c>
      <c r="C690" s="32" t="s">
        <v>1056</v>
      </c>
      <c r="D690" s="32" t="s">
        <v>1057</v>
      </c>
      <c r="E690" s="32">
        <v>87915</v>
      </c>
      <c r="F690" s="32" t="s">
        <v>26</v>
      </c>
      <c r="G690" s="32" t="s">
        <v>51</v>
      </c>
      <c r="H690" s="34">
        <f>IFERROR(INDEX(Linha!$B$5:$B$788,MATCH(A690,Linha!$A$5:$A$788,0)),"NÃO CADASTRADO")</f>
      </c>
      <c r="I690" s="34">
        <f>IFERROR(INDEX(Linha!$C$5:$C$788,MATCH(A690,Linha!$A$5:$A$788,0)),"-")</f>
      </c>
      <c r="J690" s="35">
        <v>0</v>
      </c>
      <c r="K690" s="36">
        <f>IFERROR(INDEX(Linha!$D$5:$D$788,MATCH(A690,Linha!$A$5:$A$788,0))*1,0)</f>
      </c>
      <c r="L690" s="36">
        <f>SUMIFS(Reservas!$K$5:$K$3669,Reservas!$A$5:$A$3669,A690)</f>
      </c>
      <c r="M690" s="37">
        <f>J690-L690</f>
      </c>
      <c r="N690" s="38">
        <v>19.5</v>
      </c>
      <c r="O690" s="37">
        <f>J690*N690</f>
      </c>
      <c r="P690" s="37">
        <f>L690*N690</f>
      </c>
      <c r="Q690" s="39">
        <v>31.42235273</v>
      </c>
      <c r="R690" s="40">
        <f>J690*Q690</f>
      </c>
      <c r="S690" s="40">
        <f>L690*Q690</f>
      </c>
      <c r="T690" s="41">
        <f>IF(J690=0,0,L690/J690)</f>
      </c>
      <c r="U690" s="42">
        <f>IFERROR(INDEX(Paletes!$C$5:$C$393,MATCH(B690,Paletes!$A$5:$A$393,0)),"SEM CADASTRO")</f>
      </c>
      <c r="V690" s="36">
        <f>IFERROR(INDEX(Paletes!$D$5:$D$393,MATCH(B690,Paletes!$A$5:$A$393,0)),0)</f>
      </c>
      <c r="W690" s="43">
        <f>IF(V690=0,0,J690/V690)</f>
      </c>
      <c r="X690" s="43">
        <f>IF(V690=0,0,MAX(M690,0)/V690)</f>
      </c>
    </row>
    <row r="691" spans="1:24" x14ac:dyDescent="0.25">
      <c r="A691" s="20" t="str">
        <f>B691&amp;"."&amp;IFERROR(MID(D691,FIND("(",D691)+1,FIND(")",D691)-FIND("(",D691)-1),"")</f>
        <v>73547.15889</v>
      </c>
      <c r="B691" s="21">
        <v>73547</v>
      </c>
      <c r="C691" s="20" t="s">
        <v>202</v>
      </c>
      <c r="D691" s="20" t="s">
        <v>1058</v>
      </c>
      <c r="E691" s="20">
        <v>88033</v>
      </c>
      <c r="F691" s="20" t="s">
        <v>25</v>
      </c>
      <c r="G691" s="20" t="s">
        <v>51</v>
      </c>
      <c r="H691" s="22">
        <f>IFERROR(INDEX(Linha!$B$5:$B$788,MATCH(A691,Linha!$A$5:$A$788,0)),"NÃO CADASTRADO")</f>
      </c>
      <c r="I691" s="22">
        <f>IFERROR(INDEX(Linha!$C$5:$C$788,MATCH(A691,Linha!$A$5:$A$788,0)),"-")</f>
      </c>
      <c r="J691" s="23">
        <v>1237</v>
      </c>
      <c r="K691" s="24">
        <f>IFERROR(INDEX(Linha!$D$5:$D$788,MATCH(A691,Linha!$A$5:$A$788,0))*1,0)</f>
      </c>
      <c r="L691" s="24">
        <f>SUMIFS(Reservas!$K$5:$K$3669,Reservas!$A$5:$A$3669,A691)</f>
      </c>
      <c r="M691" s="25">
        <f>J691-L691</f>
      </c>
      <c r="N691" s="26">
        <v>11.115</v>
      </c>
      <c r="O691" s="25">
        <f>J691*N691</f>
      </c>
      <c r="P691" s="25">
        <f>L691*N691</f>
      </c>
      <c r="Q691" s="27">
        <v>66.5890105</v>
      </c>
      <c r="R691" s="28">
        <f>J691*Q691</f>
      </c>
      <c r="S691" s="28">
        <f>L691*Q691</f>
      </c>
      <c r="T691" s="29">
        <f>IF(J691=0,0,L691/J691)</f>
      </c>
      <c r="U691" s="30">
        <f>IFERROR(INDEX(Paletes!$C$5:$C$393,MATCH(B691,Paletes!$A$5:$A$393,0)),"SEM CADASTRO")</f>
      </c>
      <c r="V691" s="24">
        <f>IFERROR(INDEX(Paletes!$D$5:$D$393,MATCH(B691,Paletes!$A$5:$A$393,0)),0)</f>
      </c>
      <c r="W691" s="31">
        <f>IF(V691=0,0,J691/V691)</f>
      </c>
      <c r="X691" s="31">
        <f>IF(V691=0,0,MAX(M691,0)/V691)</f>
      </c>
    </row>
    <row r="692" spans="1:24" x14ac:dyDescent="0.25">
      <c r="A692" s="32" t="str">
        <f>B692&amp;"."&amp;IFERROR(MID(D692,FIND("(",D692)+1,FIND(")",D692)-FIND("(",D692)-1),"")</f>
        <v>73547.15891</v>
      </c>
      <c r="B692" s="33">
        <v>73547</v>
      </c>
      <c r="C692" s="32" t="s">
        <v>202</v>
      </c>
      <c r="D692" s="32" t="s">
        <v>1059</v>
      </c>
      <c r="E692" s="32">
        <v>88033</v>
      </c>
      <c r="F692" s="32" t="s">
        <v>25</v>
      </c>
      <c r="G692" s="32" t="s">
        <v>51</v>
      </c>
      <c r="H692" s="34">
        <f>IFERROR(INDEX(Linha!$B$5:$B$788,MATCH(A692,Linha!$A$5:$A$788,0)),"NÃO CADASTRADO")</f>
      </c>
      <c r="I692" s="34">
        <f>IFERROR(INDEX(Linha!$C$5:$C$788,MATCH(A692,Linha!$A$5:$A$788,0)),"-")</f>
      </c>
      <c r="J692" s="35">
        <v>28</v>
      </c>
      <c r="K692" s="36">
        <f>IFERROR(INDEX(Linha!$D$5:$D$788,MATCH(A692,Linha!$A$5:$A$788,0))*1,0)</f>
      </c>
      <c r="L692" s="36">
        <f>SUMIFS(Reservas!$K$5:$K$3669,Reservas!$A$5:$A$3669,A692)</f>
      </c>
      <c r="M692" s="37">
        <f>J692-L692</f>
      </c>
      <c r="N692" s="38">
        <v>11.115</v>
      </c>
      <c r="O692" s="37">
        <f>J692*N692</f>
      </c>
      <c r="P692" s="37">
        <f>L692*N692</f>
      </c>
      <c r="Q692" s="39">
        <v>63.65521773</v>
      </c>
      <c r="R692" s="40">
        <f>J692*Q692</f>
      </c>
      <c r="S692" s="40">
        <f>L692*Q692</f>
      </c>
      <c r="T692" s="41">
        <f>IF(J692=0,0,L692/J692)</f>
      </c>
      <c r="U692" s="42">
        <f>IFERROR(INDEX(Paletes!$C$5:$C$393,MATCH(B692,Paletes!$A$5:$A$393,0)),"SEM CADASTRO")</f>
      </c>
      <c r="V692" s="36">
        <f>IFERROR(INDEX(Paletes!$D$5:$D$393,MATCH(B692,Paletes!$A$5:$A$393,0)),0)</f>
      </c>
      <c r="W692" s="43">
        <f>IF(V692=0,0,J692/V692)</f>
      </c>
      <c r="X692" s="43">
        <f>IF(V692=0,0,MAX(M692,0)/V692)</f>
      </c>
    </row>
    <row r="693" spans="1:24" x14ac:dyDescent="0.25">
      <c r="A693" s="20" t="str">
        <f>B693&amp;"."&amp;IFERROR(MID(D693,FIND("(",D693)+1,FIND(")",D693)-FIND("(",D693)-1),"")</f>
        <v>72567.13288</v>
      </c>
      <c r="B693" s="21">
        <v>72567</v>
      </c>
      <c r="C693" s="20" t="s">
        <v>205</v>
      </c>
      <c r="D693" s="20" t="s">
        <v>1060</v>
      </c>
      <c r="E693" s="20">
        <v>88120</v>
      </c>
      <c r="F693" s="20" t="s">
        <v>26</v>
      </c>
      <c r="G693" s="20" t="s">
        <v>51</v>
      </c>
      <c r="H693" s="22">
        <f>IFERROR(INDEX(Linha!$B$5:$B$788,MATCH(A693,Linha!$A$5:$A$788,0)),"NÃO CADASTRADO")</f>
      </c>
      <c r="I693" s="22">
        <f>IFERROR(INDEX(Linha!$C$5:$C$788,MATCH(A693,Linha!$A$5:$A$788,0)),"-")</f>
      </c>
      <c r="J693" s="23">
        <v>0</v>
      </c>
      <c r="K693" s="24">
        <f>IFERROR(INDEX(Linha!$D$5:$D$788,MATCH(A693,Linha!$A$5:$A$788,0))*1,0)</f>
      </c>
      <c r="L693" s="24">
        <f>SUMIFS(Reservas!$K$5:$K$3669,Reservas!$A$5:$A$3669,A693)</f>
      </c>
      <c r="M693" s="25">
        <f>J693-L693</f>
      </c>
      <c r="N693" s="26">
        <v>32.66</v>
      </c>
      <c r="O693" s="25">
        <f>J693*N693</f>
      </c>
      <c r="P693" s="25">
        <f>L693*N693</f>
      </c>
      <c r="Q693" s="27">
        <v>142.05583966</v>
      </c>
      <c r="R693" s="28">
        <f>J693*Q693</f>
      </c>
      <c r="S693" s="28">
        <f>L693*Q693</f>
      </c>
      <c r="T693" s="29">
        <f>IF(J693=0,0,L693/J693)</f>
      </c>
      <c r="U693" s="30">
        <f>IFERROR(INDEX(Paletes!$C$5:$C$393,MATCH(B693,Paletes!$A$5:$A$393,0)),"SEM CADASTRO")</f>
      </c>
      <c r="V693" s="24">
        <f>IFERROR(INDEX(Paletes!$D$5:$D$393,MATCH(B693,Paletes!$A$5:$A$393,0)),0)</f>
      </c>
      <c r="W693" s="31">
        <f>IF(V693=0,0,J693/V693)</f>
      </c>
      <c r="X693" s="31">
        <f>IF(V693=0,0,MAX(M693,0)/V693)</f>
      </c>
    </row>
    <row r="694" spans="1:24" x14ac:dyDescent="0.25">
      <c r="A694" s="32" t="str">
        <f>B694&amp;"."&amp;IFERROR(MID(D694,FIND("(",D694)+1,FIND(")",D694)-FIND("(",D694)-1),"")</f>
        <v>72567.13292</v>
      </c>
      <c r="B694" s="33">
        <v>72567</v>
      </c>
      <c r="C694" s="32" t="s">
        <v>205</v>
      </c>
      <c r="D694" s="32" t="s">
        <v>1061</v>
      </c>
      <c r="E694" s="32">
        <v>88120</v>
      </c>
      <c r="F694" s="32" t="s">
        <v>26</v>
      </c>
      <c r="G694" s="32" t="s">
        <v>51</v>
      </c>
      <c r="H694" s="34">
        <f>IFERROR(INDEX(Linha!$B$5:$B$788,MATCH(A694,Linha!$A$5:$A$788,0)),"NÃO CADASTRADO")</f>
      </c>
      <c r="I694" s="34">
        <f>IFERROR(INDEX(Linha!$C$5:$C$788,MATCH(A694,Linha!$A$5:$A$788,0)),"-")</f>
      </c>
      <c r="J694" s="35">
        <v>350</v>
      </c>
      <c r="K694" s="36">
        <f>IFERROR(INDEX(Linha!$D$5:$D$788,MATCH(A694,Linha!$A$5:$A$788,0))*1,0)</f>
      </c>
      <c r="L694" s="36">
        <f>SUMIFS(Reservas!$K$5:$K$3669,Reservas!$A$5:$A$3669,A694)</f>
      </c>
      <c r="M694" s="37">
        <f>J694-L694</f>
      </c>
      <c r="N694" s="38">
        <v>32.66</v>
      </c>
      <c r="O694" s="37">
        <f>J694*N694</f>
      </c>
      <c r="P694" s="37">
        <f>L694*N694</f>
      </c>
      <c r="Q694" s="39">
        <v>131.55703118</v>
      </c>
      <c r="R694" s="40">
        <f>J694*Q694</f>
      </c>
      <c r="S694" s="40">
        <f>L694*Q694</f>
      </c>
      <c r="T694" s="41">
        <f>IF(J694=0,0,L694/J694)</f>
      </c>
      <c r="U694" s="42">
        <f>IFERROR(INDEX(Paletes!$C$5:$C$393,MATCH(B694,Paletes!$A$5:$A$393,0)),"SEM CADASTRO")</f>
      </c>
      <c r="V694" s="36">
        <f>IFERROR(INDEX(Paletes!$D$5:$D$393,MATCH(B694,Paletes!$A$5:$A$393,0)),0)</f>
      </c>
      <c r="W694" s="43">
        <f>IF(V694=0,0,J694/V694)</f>
      </c>
      <c r="X694" s="43">
        <f>IF(V694=0,0,MAX(M694,0)/V694)</f>
      </c>
    </row>
    <row r="695" spans="1:24" x14ac:dyDescent="0.25">
      <c r="A695" s="20" t="str">
        <f>B695&amp;"."&amp;IFERROR(MID(D695,FIND("(",D695)+1,FIND(")",D695)-FIND("(",D695)-1),"")</f>
        <v>72568.14035</v>
      </c>
      <c r="B695" s="21">
        <v>72568</v>
      </c>
      <c r="C695" s="20" t="s">
        <v>797</v>
      </c>
      <c r="D695" s="20" t="s">
        <v>1062</v>
      </c>
      <c r="E695" s="20">
        <v>88966</v>
      </c>
      <c r="F695" s="20" t="s">
        <v>26</v>
      </c>
      <c r="G695" s="20" t="s">
        <v>51</v>
      </c>
      <c r="H695" s="22">
        <f>IFERROR(INDEX(Linha!$B$5:$B$788,MATCH(A695,Linha!$A$5:$A$788,0)),"NÃO CADASTRADO")</f>
      </c>
      <c r="I695" s="22">
        <f>IFERROR(INDEX(Linha!$C$5:$C$788,MATCH(A695,Linha!$A$5:$A$788,0)),"-")</f>
      </c>
      <c r="J695" s="23">
        <v>1</v>
      </c>
      <c r="K695" s="24">
        <f>IFERROR(INDEX(Linha!$D$5:$D$788,MATCH(A695,Linha!$A$5:$A$788,0))*1,0)</f>
      </c>
      <c r="L695" s="24">
        <f>SUMIFS(Reservas!$K$5:$K$3669,Reservas!$A$5:$A$3669,A695)</f>
      </c>
      <c r="M695" s="25">
        <f>J695-L695</f>
      </c>
      <c r="N695" s="26">
        <v>38.02</v>
      </c>
      <c r="O695" s="25">
        <f>J695*N695</f>
      </c>
      <c r="P695" s="25">
        <f>L695*N695</f>
      </c>
      <c r="Q695" s="27">
        <v>157.46918647</v>
      </c>
      <c r="R695" s="28">
        <f>J695*Q695</f>
      </c>
      <c r="S695" s="28">
        <f>L695*Q695</f>
      </c>
      <c r="T695" s="29">
        <f>IF(J695=0,0,L695/J695)</f>
      </c>
      <c r="U695" s="30">
        <f>IFERROR(INDEX(Paletes!$C$5:$C$393,MATCH(B695,Paletes!$A$5:$A$393,0)),"SEM CADASTRO")</f>
      </c>
      <c r="V695" s="24">
        <f>IFERROR(INDEX(Paletes!$D$5:$D$393,MATCH(B695,Paletes!$A$5:$A$393,0)),0)</f>
      </c>
      <c r="W695" s="31">
        <f>IF(V695=0,0,J695/V695)</f>
      </c>
      <c r="X695" s="31">
        <f>IF(V695=0,0,MAX(M695,0)/V695)</f>
      </c>
    </row>
    <row r="696" spans="1:24" x14ac:dyDescent="0.25">
      <c r="A696" s="32" t="str">
        <f>B696&amp;"."&amp;IFERROR(MID(D696,FIND("(",D696)+1,FIND(")",D696)-FIND("(",D696)-1),"")</f>
        <v>83251.67187</v>
      </c>
      <c r="B696" s="33">
        <v>83251</v>
      </c>
      <c r="C696" s="32" t="s">
        <v>359</v>
      </c>
      <c r="D696" s="32" t="s">
        <v>1063</v>
      </c>
      <c r="E696" s="32">
        <v>92251</v>
      </c>
      <c r="F696" s="32" t="s">
        <v>25</v>
      </c>
      <c r="G696" s="32" t="s">
        <v>51</v>
      </c>
      <c r="H696" s="34">
        <f>IFERROR(INDEX(Linha!$B$5:$B$788,MATCH(A696,Linha!$A$5:$A$788,0)),"NÃO CADASTRADO")</f>
      </c>
      <c r="I696" s="34">
        <f>IFERROR(INDEX(Linha!$C$5:$C$788,MATCH(A696,Linha!$A$5:$A$788,0)),"-")</f>
      </c>
      <c r="J696" s="35">
        <v>205</v>
      </c>
      <c r="K696" s="36">
        <f>IFERROR(INDEX(Linha!$D$5:$D$788,MATCH(A696,Linha!$A$5:$A$788,0))*1,0)</f>
      </c>
      <c r="L696" s="36">
        <f>SUMIFS(Reservas!$K$5:$K$3669,Reservas!$A$5:$A$3669,A696)</f>
      </c>
      <c r="M696" s="37">
        <f>J696-L696</f>
      </c>
      <c r="N696" s="38">
        <v>15.834</v>
      </c>
      <c r="O696" s="37">
        <f>J696*N696</f>
      </c>
      <c r="P696" s="37">
        <f>L696*N696</f>
      </c>
      <c r="Q696" s="39">
        <v>114.45877269</v>
      </c>
      <c r="R696" s="40">
        <f>J696*Q696</f>
      </c>
      <c r="S696" s="40">
        <f>L696*Q696</f>
      </c>
      <c r="T696" s="41">
        <f>IF(J696=0,0,L696/J696)</f>
      </c>
      <c r="U696" s="42">
        <f>IFERROR(INDEX(Paletes!$C$5:$C$393,MATCH(B696,Paletes!$A$5:$A$393,0)),"SEM CADASTRO")</f>
      </c>
      <c r="V696" s="36">
        <f>IFERROR(INDEX(Paletes!$D$5:$D$393,MATCH(B696,Paletes!$A$5:$A$393,0)),0)</f>
      </c>
      <c r="W696" s="43">
        <f>IF(V696=0,0,J696/V696)</f>
      </c>
      <c r="X696" s="43">
        <f>IF(V696=0,0,MAX(M696,0)/V696)</f>
      </c>
    </row>
    <row r="697" spans="1:24" x14ac:dyDescent="0.25">
      <c r="A697" s="20" t="str">
        <f>B697&amp;"."&amp;IFERROR(MID(D697,FIND("(",D697)+1,FIND(")",D697)-FIND("(",D697)-1),"")</f>
        <v>81935.66450</v>
      </c>
      <c r="B697" s="21">
        <v>81935</v>
      </c>
      <c r="C697" s="20" t="s">
        <v>219</v>
      </c>
      <c r="D697" s="20" t="s">
        <v>1064</v>
      </c>
      <c r="E697" s="20">
        <v>93682</v>
      </c>
      <c r="F697" s="20" t="s">
        <v>24</v>
      </c>
      <c r="G697" s="20" t="s">
        <v>51</v>
      </c>
      <c r="H697" s="22">
        <f>IFERROR(INDEX(Linha!$B$5:$B$788,MATCH(A697,Linha!$A$5:$A$788,0)),"NÃO CADASTRADO")</f>
      </c>
      <c r="I697" s="22">
        <f>IFERROR(INDEX(Linha!$C$5:$C$788,MATCH(A697,Linha!$A$5:$A$788,0)),"-")</f>
      </c>
      <c r="J697" s="23">
        <v>280</v>
      </c>
      <c r="K697" s="24">
        <f>IFERROR(INDEX(Linha!$D$5:$D$788,MATCH(A697,Linha!$A$5:$A$788,0))*1,0)</f>
      </c>
      <c r="L697" s="24">
        <f>SUMIFS(Reservas!$K$5:$K$3669,Reservas!$A$5:$A$3669,A697)</f>
      </c>
      <c r="M697" s="25">
        <f>J697-L697</f>
      </c>
      <c r="N697" s="26">
        <v>36.562</v>
      </c>
      <c r="O697" s="25">
        <f>J697*N697</f>
      </c>
      <c r="P697" s="25">
        <f>L697*N697</f>
      </c>
      <c r="Q697" s="27">
        <v>154.48178682</v>
      </c>
      <c r="R697" s="28">
        <f>J697*Q697</f>
      </c>
      <c r="S697" s="28">
        <f>L697*Q697</f>
      </c>
      <c r="T697" s="29">
        <f>IF(J697=0,0,L697/J697)</f>
      </c>
      <c r="U697" s="30">
        <f>IFERROR(INDEX(Paletes!$C$5:$C$393,MATCH(B697,Paletes!$A$5:$A$393,0)),"SEM CADASTRO")</f>
      </c>
      <c r="V697" s="24">
        <f>IFERROR(INDEX(Paletes!$D$5:$D$393,MATCH(B697,Paletes!$A$5:$A$393,0)),0)</f>
      </c>
      <c r="W697" s="31">
        <f>IF(V697=0,0,J697/V697)</f>
      </c>
      <c r="X697" s="31">
        <f>IF(V697=0,0,MAX(M697,0)/V697)</f>
      </c>
    </row>
    <row r="698" spans="1:24" x14ac:dyDescent="0.25">
      <c r="A698" s="32" t="str">
        <f>B698&amp;"."&amp;IFERROR(MID(D698,FIND("(",D698)+1,FIND(")",D698)-FIND("(",D698)-1),"")</f>
        <v>81938.31505</v>
      </c>
      <c r="B698" s="33">
        <v>81938</v>
      </c>
      <c r="C698" s="32" t="s">
        <v>362</v>
      </c>
      <c r="D698" s="32" t="s">
        <v>1065</v>
      </c>
      <c r="E698" s="32">
        <v>93683</v>
      </c>
      <c r="F698" s="32" t="s">
        <v>24</v>
      </c>
      <c r="G698" s="32" t="s">
        <v>51</v>
      </c>
      <c r="H698" s="34">
        <f>IFERROR(INDEX(Linha!$B$5:$B$788,MATCH(A698,Linha!$A$5:$A$788,0)),"NÃO CADASTRADO")</f>
      </c>
      <c r="I698" s="34">
        <f>IFERROR(INDEX(Linha!$C$5:$C$788,MATCH(A698,Linha!$A$5:$A$788,0)),"-")</f>
      </c>
      <c r="J698" s="35">
        <v>0</v>
      </c>
      <c r="K698" s="36">
        <f>IFERROR(INDEX(Linha!$D$5:$D$788,MATCH(A698,Linha!$A$5:$A$788,0))*1,0)</f>
      </c>
      <c r="L698" s="36">
        <f>SUMIFS(Reservas!$K$5:$K$3669,Reservas!$A$5:$A$3669,A698)</f>
      </c>
      <c r="M698" s="37">
        <f>J698-L698</f>
      </c>
      <c r="N698" s="38">
        <v>38.512</v>
      </c>
      <c r="O698" s="37">
        <f>J698*N698</f>
      </c>
      <c r="P698" s="37">
        <f>L698*N698</f>
      </c>
      <c r="Q698" s="39">
        <v>168.67619812</v>
      </c>
      <c r="R698" s="40">
        <f>J698*Q698</f>
      </c>
      <c r="S698" s="40">
        <f>L698*Q698</f>
      </c>
      <c r="T698" s="41">
        <f>IF(J698=0,0,L698/J698)</f>
      </c>
      <c r="U698" s="42">
        <f>IFERROR(INDEX(Paletes!$C$5:$C$393,MATCH(B698,Paletes!$A$5:$A$393,0)),"SEM CADASTRO")</f>
      </c>
      <c r="V698" s="36">
        <f>IFERROR(INDEX(Paletes!$D$5:$D$393,MATCH(B698,Paletes!$A$5:$A$393,0)),0)</f>
      </c>
      <c r="W698" s="43">
        <f>IF(V698=0,0,J698/V698)</f>
      </c>
      <c r="X698" s="43">
        <f>IF(V698=0,0,MAX(M698,0)/V698)</f>
      </c>
    </row>
    <row r="699" spans="1:24" x14ac:dyDescent="0.25">
      <c r="A699" s="20" t="str">
        <f>B699&amp;"."&amp;IFERROR(MID(D699,FIND("(",D699)+1,FIND(")",D699)-FIND("(",D699)-1),"")</f>
        <v>84488.26000</v>
      </c>
      <c r="B699" s="21">
        <v>84488</v>
      </c>
      <c r="C699" s="20" t="s">
        <v>1066</v>
      </c>
      <c r="D699" s="20" t="s">
        <v>1067</v>
      </c>
      <c r="E699" s="20">
        <v>95551</v>
      </c>
      <c r="F699" s="20" t="s">
        <v>26</v>
      </c>
      <c r="G699" s="20" t="s">
        <v>51</v>
      </c>
      <c r="H699" s="22">
        <f>IFERROR(INDEX(Linha!$B$5:$B$788,MATCH(A699,Linha!$A$5:$A$788,0)),"NÃO CADASTRADO")</f>
      </c>
      <c r="I699" s="22">
        <f>IFERROR(INDEX(Linha!$C$5:$C$788,MATCH(A699,Linha!$A$5:$A$788,0)),"-")</f>
      </c>
      <c r="J699" s="23">
        <v>4073</v>
      </c>
      <c r="K699" s="24">
        <f>IFERROR(INDEX(Linha!$D$5:$D$788,MATCH(A699,Linha!$A$5:$A$788,0))*1,0)</f>
      </c>
      <c r="L699" s="24">
        <f>SUMIFS(Reservas!$K$5:$K$3669,Reservas!$A$5:$A$3669,A699)</f>
      </c>
      <c r="M699" s="25">
        <f>J699-L699</f>
      </c>
      <c r="N699" s="26">
        <v>53.088</v>
      </c>
      <c r="O699" s="25">
        <f>J699*N699</f>
      </c>
      <c r="P699" s="25">
        <f>L699*N699</f>
      </c>
      <c r="Q699" s="27">
        <v>175.57297411</v>
      </c>
      <c r="R699" s="28">
        <f>J699*Q699</f>
      </c>
      <c r="S699" s="28">
        <f>L699*Q699</f>
      </c>
      <c r="T699" s="29">
        <f>IF(J699=0,0,L699/J699)</f>
      </c>
      <c r="U699" s="30">
        <f>IFERROR(INDEX(Paletes!$C$5:$C$393,MATCH(B699,Paletes!$A$5:$A$393,0)),"SEM CADASTRO")</f>
      </c>
      <c r="V699" s="24">
        <f>IFERROR(INDEX(Paletes!$D$5:$D$393,MATCH(B699,Paletes!$A$5:$A$393,0)),0)</f>
      </c>
      <c r="W699" s="31">
        <f>IF(V699=0,0,J699/V699)</f>
      </c>
      <c r="X699" s="31">
        <f>IF(V699=0,0,MAX(M699,0)/V699)</f>
      </c>
    </row>
    <row r="700" spans="1:24" x14ac:dyDescent="0.25">
      <c r="A700" s="32" t="str">
        <f>B700&amp;"."&amp;IFERROR(MID(D700,FIND("(",D700)+1,FIND(")",D700)-FIND("(",D700)-1),"")</f>
        <v>85366.46064</v>
      </c>
      <c r="B700" s="33">
        <v>85366</v>
      </c>
      <c r="C700" s="32" t="s">
        <v>364</v>
      </c>
      <c r="D700" s="32" t="s">
        <v>1068</v>
      </c>
      <c r="E700" s="32">
        <v>96295</v>
      </c>
      <c r="F700" s="32" t="s">
        <v>25</v>
      </c>
      <c r="G700" s="32" t="s">
        <v>51</v>
      </c>
      <c r="H700" s="34">
        <f>IFERROR(INDEX(Linha!$B$5:$B$788,MATCH(A700,Linha!$A$5:$A$788,0)),"NÃO CADASTRADO")</f>
      </c>
      <c r="I700" s="34">
        <f>IFERROR(INDEX(Linha!$C$5:$C$788,MATCH(A700,Linha!$A$5:$A$788,0)),"-")</f>
      </c>
      <c r="J700" s="35">
        <v>0</v>
      </c>
      <c r="K700" s="36">
        <f>IFERROR(INDEX(Linha!$D$5:$D$788,MATCH(A700,Linha!$A$5:$A$788,0))*1,0)</f>
      </c>
      <c r="L700" s="36">
        <f>SUMIFS(Reservas!$K$5:$K$3669,Reservas!$A$5:$A$3669,A700)</f>
      </c>
      <c r="M700" s="37">
        <f>J700-L700</f>
      </c>
      <c r="N700" s="38">
        <v>12.577</v>
      </c>
      <c r="O700" s="37">
        <f>J700*N700</f>
      </c>
      <c r="P700" s="37">
        <f>L700*N700</f>
      </c>
      <c r="Q700" s="39">
        <v>99.4399513</v>
      </c>
      <c r="R700" s="40">
        <f>J700*Q700</f>
      </c>
      <c r="S700" s="40">
        <f>L700*Q700</f>
      </c>
      <c r="T700" s="41">
        <f>IF(J700=0,0,L700/J700)</f>
      </c>
      <c r="U700" s="42">
        <f>IFERROR(INDEX(Paletes!$C$5:$C$393,MATCH(B700,Paletes!$A$5:$A$393,0)),"SEM CADASTRO")</f>
      </c>
      <c r="V700" s="36">
        <f>IFERROR(INDEX(Paletes!$D$5:$D$393,MATCH(B700,Paletes!$A$5:$A$393,0)),0)</f>
      </c>
      <c r="W700" s="43">
        <f>IF(V700=0,0,J700/V700)</f>
      </c>
      <c r="X700" s="43">
        <f>IF(V700=0,0,MAX(M700,0)/V700)</f>
      </c>
    </row>
    <row r="701" spans="1:24" x14ac:dyDescent="0.25">
      <c r="A701" s="20" t="str">
        <f>B701&amp;"."&amp;IFERROR(MID(D701,FIND("(",D701)+1,FIND(")",D701)-FIND("(",D701)-1),"")</f>
        <v>84911.31289</v>
      </c>
      <c r="B701" s="21">
        <v>84911</v>
      </c>
      <c r="C701" s="20" t="s">
        <v>49</v>
      </c>
      <c r="D701" s="20" t="s">
        <v>1069</v>
      </c>
      <c r="E701" s="20">
        <v>96437</v>
      </c>
      <c r="F701" s="20" t="s">
        <v>24</v>
      </c>
      <c r="G701" s="20" t="s">
        <v>51</v>
      </c>
      <c r="H701" s="22">
        <f>IFERROR(INDEX(Linha!$B$5:$B$788,MATCH(A701,Linha!$A$5:$A$788,0)),"NÃO CADASTRADO")</f>
      </c>
      <c r="I701" s="22">
        <f>IFERROR(INDEX(Linha!$C$5:$C$788,MATCH(A701,Linha!$A$5:$A$788,0)),"-")</f>
      </c>
      <c r="J701" s="23">
        <v>0</v>
      </c>
      <c r="K701" s="24">
        <f>IFERROR(INDEX(Linha!$D$5:$D$788,MATCH(A701,Linha!$A$5:$A$788,0))*1,0)</f>
      </c>
      <c r="L701" s="24">
        <f>SUMIFS(Reservas!$K$5:$K$3669,Reservas!$A$5:$A$3669,A701)</f>
      </c>
      <c r="M701" s="25">
        <f>J701-L701</f>
      </c>
      <c r="N701" s="26">
        <v>34.222</v>
      </c>
      <c r="O701" s="25">
        <f>J701*N701</f>
      </c>
      <c r="P701" s="25">
        <f>L701*N701</f>
      </c>
      <c r="Q701" s="27">
        <v>136.2232039</v>
      </c>
      <c r="R701" s="28">
        <f>J701*Q701</f>
      </c>
      <c r="S701" s="28">
        <f>L701*Q701</f>
      </c>
      <c r="T701" s="29">
        <f>IF(J701=0,0,L701/J701)</f>
      </c>
      <c r="U701" s="30">
        <f>IFERROR(INDEX(Paletes!$C$5:$C$393,MATCH(B701,Paletes!$A$5:$A$393,0)),"SEM CADASTRO")</f>
      </c>
      <c r="V701" s="24">
        <f>IFERROR(INDEX(Paletes!$D$5:$D$393,MATCH(B701,Paletes!$A$5:$A$393,0)),0)</f>
      </c>
      <c r="W701" s="31">
        <f>IF(V701=0,0,J701/V701)</f>
      </c>
      <c r="X701" s="31">
        <f>IF(V701=0,0,MAX(M701,0)/V701)</f>
      </c>
    </row>
    <row r="702" spans="1:24" x14ac:dyDescent="0.25">
      <c r="A702" s="32" t="str">
        <f>B702&amp;"."&amp;IFERROR(MID(D702,FIND("(",D702)+1,FIND(")",D702)-FIND("(",D702)-1),"")</f>
        <v>84941.36962</v>
      </c>
      <c r="B702" s="33">
        <v>84941</v>
      </c>
      <c r="C702" s="32" t="s">
        <v>824</v>
      </c>
      <c r="D702" s="32" t="s">
        <v>1070</v>
      </c>
      <c r="E702" s="32">
        <v>96462</v>
      </c>
      <c r="F702" s="32" t="s">
        <v>24</v>
      </c>
      <c r="G702" s="32" t="s">
        <v>51</v>
      </c>
      <c r="H702" s="34">
        <f>IFERROR(INDEX(Linha!$B$5:$B$788,MATCH(A702,Linha!$A$5:$A$788,0)),"NÃO CADASTRADO")</f>
      </c>
      <c r="I702" s="34">
        <f>IFERROR(INDEX(Linha!$C$5:$C$788,MATCH(A702,Linha!$A$5:$A$788,0)),"-")</f>
      </c>
      <c r="J702" s="35">
        <v>167</v>
      </c>
      <c r="K702" s="36">
        <f>IFERROR(INDEX(Linha!$D$5:$D$788,MATCH(A702,Linha!$A$5:$A$788,0))*1,0)</f>
      </c>
      <c r="L702" s="36">
        <f>SUMIFS(Reservas!$K$5:$K$3669,Reservas!$A$5:$A$3669,A702)</f>
      </c>
      <c r="M702" s="37">
        <f>J702-L702</f>
      </c>
      <c r="N702" s="38">
        <v>22.425</v>
      </c>
      <c r="O702" s="37">
        <f>J702*N702</f>
      </c>
      <c r="P702" s="37">
        <f>L702*N702</f>
      </c>
      <c r="Q702" s="39">
        <v>106.30417332</v>
      </c>
      <c r="R702" s="40">
        <f>J702*Q702</f>
      </c>
      <c r="S702" s="40">
        <f>L702*Q702</f>
      </c>
      <c r="T702" s="41">
        <f>IF(J702=0,0,L702/J702)</f>
      </c>
      <c r="U702" s="42">
        <f>IFERROR(INDEX(Paletes!$C$5:$C$393,MATCH(B702,Paletes!$A$5:$A$393,0)),"SEM CADASTRO")</f>
      </c>
      <c r="V702" s="36">
        <f>IFERROR(INDEX(Paletes!$D$5:$D$393,MATCH(B702,Paletes!$A$5:$A$393,0)),0)</f>
      </c>
      <c r="W702" s="43">
        <f>IF(V702=0,0,J702/V702)</f>
      </c>
      <c r="X702" s="43">
        <f>IF(V702=0,0,MAX(M702,0)/V702)</f>
      </c>
    </row>
    <row r="703" spans="1:24" x14ac:dyDescent="0.25">
      <c r="A703" s="20" t="str">
        <f>B703&amp;"."&amp;IFERROR(MID(D703,FIND("(",D703)+1,FIND(")",D703)-FIND("(",D703)-1),"")</f>
        <v>84941.36963</v>
      </c>
      <c r="B703" s="21">
        <v>84941</v>
      </c>
      <c r="C703" s="20" t="s">
        <v>824</v>
      </c>
      <c r="D703" s="20" t="s">
        <v>1071</v>
      </c>
      <c r="E703" s="20">
        <v>96462</v>
      </c>
      <c r="F703" s="20" t="s">
        <v>24</v>
      </c>
      <c r="G703" s="20" t="s">
        <v>51</v>
      </c>
      <c r="H703" s="22">
        <f>IFERROR(INDEX(Linha!$B$5:$B$788,MATCH(A703,Linha!$A$5:$A$788,0)),"NÃO CADASTRADO")</f>
      </c>
      <c r="I703" s="22">
        <f>IFERROR(INDEX(Linha!$C$5:$C$788,MATCH(A703,Linha!$A$5:$A$788,0)),"-")</f>
      </c>
      <c r="J703" s="23">
        <v>244</v>
      </c>
      <c r="K703" s="24">
        <f>IFERROR(INDEX(Linha!$D$5:$D$788,MATCH(A703,Linha!$A$5:$A$788,0))*1,0)</f>
      </c>
      <c r="L703" s="24">
        <f>SUMIFS(Reservas!$K$5:$K$3669,Reservas!$A$5:$A$3669,A703)</f>
      </c>
      <c r="M703" s="25">
        <f>J703-L703</f>
      </c>
      <c r="N703" s="26">
        <v>22.425</v>
      </c>
      <c r="O703" s="25">
        <f>J703*N703</f>
      </c>
      <c r="P703" s="25">
        <f>L703*N703</f>
      </c>
      <c r="Q703" s="27">
        <v>98.824292</v>
      </c>
      <c r="R703" s="28">
        <f>J703*Q703</f>
      </c>
      <c r="S703" s="28">
        <f>L703*Q703</f>
      </c>
      <c r="T703" s="29">
        <f>IF(J703=0,0,L703/J703)</f>
      </c>
      <c r="U703" s="30">
        <f>IFERROR(INDEX(Paletes!$C$5:$C$393,MATCH(B703,Paletes!$A$5:$A$393,0)),"SEM CADASTRO")</f>
      </c>
      <c r="V703" s="24">
        <f>IFERROR(INDEX(Paletes!$D$5:$D$393,MATCH(B703,Paletes!$A$5:$A$393,0)),0)</f>
      </c>
      <c r="W703" s="31">
        <f>IF(V703=0,0,J703/V703)</f>
      </c>
      <c r="X703" s="31">
        <f>IF(V703=0,0,MAX(M703,0)/V703)</f>
      </c>
    </row>
    <row r="704" spans="1:24" x14ac:dyDescent="0.25">
      <c r="A704" s="32" t="str">
        <f>B704&amp;"."&amp;IFERROR(MID(D704,FIND("(",D704)+1,FIND(")",D704)-FIND("(",D704)-1),"")</f>
        <v>84941.36961</v>
      </c>
      <c r="B704" s="33">
        <v>84941</v>
      </c>
      <c r="C704" s="32" t="s">
        <v>824</v>
      </c>
      <c r="D704" s="32" t="s">
        <v>1072</v>
      </c>
      <c r="E704" s="32">
        <v>96462</v>
      </c>
      <c r="F704" s="32" t="s">
        <v>24</v>
      </c>
      <c r="G704" s="32" t="s">
        <v>51</v>
      </c>
      <c r="H704" s="34">
        <f>IFERROR(INDEX(Linha!$B$5:$B$788,MATCH(A704,Linha!$A$5:$A$788,0)),"NÃO CADASTRADO")</f>
      </c>
      <c r="I704" s="34">
        <f>IFERROR(INDEX(Linha!$C$5:$C$788,MATCH(A704,Linha!$A$5:$A$788,0)),"-")</f>
      </c>
      <c r="J704" s="35">
        <v>47</v>
      </c>
      <c r="K704" s="36">
        <f>IFERROR(INDEX(Linha!$D$5:$D$788,MATCH(A704,Linha!$A$5:$A$788,0))*1,0)</f>
      </c>
      <c r="L704" s="36">
        <f>SUMIFS(Reservas!$K$5:$K$3669,Reservas!$A$5:$A$3669,A704)</f>
      </c>
      <c r="M704" s="37">
        <f>J704-L704</f>
      </c>
      <c r="N704" s="38">
        <v>22.425</v>
      </c>
      <c r="O704" s="37">
        <f>J704*N704</f>
      </c>
      <c r="P704" s="37">
        <f>L704*N704</f>
      </c>
      <c r="Q704" s="39">
        <v>97.89128721</v>
      </c>
      <c r="R704" s="40">
        <f>J704*Q704</f>
      </c>
      <c r="S704" s="40">
        <f>L704*Q704</f>
      </c>
      <c r="T704" s="41">
        <f>IF(J704=0,0,L704/J704)</f>
      </c>
      <c r="U704" s="42">
        <f>IFERROR(INDEX(Paletes!$C$5:$C$393,MATCH(B704,Paletes!$A$5:$A$393,0)),"SEM CADASTRO")</f>
      </c>
      <c r="V704" s="36">
        <f>IFERROR(INDEX(Paletes!$D$5:$D$393,MATCH(B704,Paletes!$A$5:$A$393,0)),0)</f>
      </c>
      <c r="W704" s="43">
        <f>IF(V704=0,0,J704/V704)</f>
      </c>
      <c r="X704" s="43">
        <f>IF(V704=0,0,MAX(M704,0)/V704)</f>
      </c>
    </row>
    <row r="705" spans="1:24" x14ac:dyDescent="0.25">
      <c r="A705" s="20" t="str">
        <f>B705&amp;"."&amp;IFERROR(MID(D705,FIND("(",D705)+1,FIND(")",D705)-FIND("(",D705)-1),"")</f>
        <v>84745.30610</v>
      </c>
      <c r="B705" s="21">
        <v>84745</v>
      </c>
      <c r="C705" s="20" t="s">
        <v>656</v>
      </c>
      <c r="D705" s="20" t="s">
        <v>1073</v>
      </c>
      <c r="E705" s="20">
        <v>96501</v>
      </c>
      <c r="F705" s="20" t="s">
        <v>26</v>
      </c>
      <c r="G705" s="20" t="s">
        <v>51</v>
      </c>
      <c r="H705" s="22">
        <f>IFERROR(INDEX(Linha!$B$5:$B$788,MATCH(A705,Linha!$A$5:$A$788,0)),"NÃO CADASTRADO")</f>
      </c>
      <c r="I705" s="22">
        <f>IFERROR(INDEX(Linha!$C$5:$C$788,MATCH(A705,Linha!$A$5:$A$788,0)),"-")</f>
      </c>
      <c r="J705" s="23">
        <v>56</v>
      </c>
      <c r="K705" s="24">
        <f>IFERROR(INDEX(Linha!$D$5:$D$788,MATCH(A705,Linha!$A$5:$A$788,0))*1,0)</f>
      </c>
      <c r="L705" s="24">
        <f>SUMIFS(Reservas!$K$5:$K$3669,Reservas!$A$5:$A$3669,A705)</f>
      </c>
      <c r="M705" s="25">
        <f>J705-L705</f>
      </c>
      <c r="N705" s="26">
        <v>58.5</v>
      </c>
      <c r="O705" s="25">
        <f>J705*N705</f>
      </c>
      <c r="P705" s="25">
        <f>L705*N705</f>
      </c>
      <c r="Q705" s="27">
        <v>205.43993942</v>
      </c>
      <c r="R705" s="28">
        <f>J705*Q705</f>
      </c>
      <c r="S705" s="28">
        <f>L705*Q705</f>
      </c>
      <c r="T705" s="29">
        <f>IF(J705=0,0,L705/J705)</f>
      </c>
      <c r="U705" s="30">
        <f>IFERROR(INDEX(Paletes!$C$5:$C$393,MATCH(B705,Paletes!$A$5:$A$393,0)),"SEM CADASTRO")</f>
      </c>
      <c r="V705" s="24">
        <f>IFERROR(INDEX(Paletes!$D$5:$D$393,MATCH(B705,Paletes!$A$5:$A$393,0)),0)</f>
      </c>
      <c r="W705" s="31">
        <f>IF(V705=0,0,J705/V705)</f>
      </c>
      <c r="X705" s="31">
        <f>IF(V705=0,0,MAX(M705,0)/V705)</f>
      </c>
    </row>
    <row r="706" spans="1:24" x14ac:dyDescent="0.25">
      <c r="A706" s="32" t="str">
        <f>B706&amp;"."&amp;IFERROR(MID(D706,FIND("(",D706)+1,FIND(")",D706)-FIND("(",D706)-1),"")</f>
        <v>84773.30614</v>
      </c>
      <c r="B706" s="33">
        <v>84773</v>
      </c>
      <c r="C706" s="32" t="s">
        <v>223</v>
      </c>
      <c r="D706" s="32" t="s">
        <v>1074</v>
      </c>
      <c r="E706" s="32">
        <v>96503</v>
      </c>
      <c r="F706" s="32" t="s">
        <v>26</v>
      </c>
      <c r="G706" s="32" t="s">
        <v>51</v>
      </c>
      <c r="H706" s="34">
        <f>IFERROR(INDEX(Linha!$B$5:$B$788,MATCH(A706,Linha!$A$5:$A$788,0)),"NÃO CADASTRADO")</f>
      </c>
      <c r="I706" s="34">
        <f>IFERROR(INDEX(Linha!$C$5:$C$788,MATCH(A706,Linha!$A$5:$A$788,0)),"-")</f>
      </c>
      <c r="J706" s="35">
        <v>44</v>
      </c>
      <c r="K706" s="36">
        <f>IFERROR(INDEX(Linha!$D$5:$D$788,MATCH(A706,Linha!$A$5:$A$788,0))*1,0)</f>
      </c>
      <c r="L706" s="36">
        <f>SUMIFS(Reservas!$K$5:$K$3669,Reservas!$A$5:$A$3669,A706)</f>
      </c>
      <c r="M706" s="37">
        <f>J706-L706</f>
      </c>
      <c r="N706" s="38">
        <v>33.978</v>
      </c>
      <c r="O706" s="37">
        <f>J706*N706</f>
      </c>
      <c r="P706" s="37">
        <f>L706*N706</f>
      </c>
      <c r="Q706" s="39">
        <v>116.81306518</v>
      </c>
      <c r="R706" s="40">
        <f>J706*Q706</f>
      </c>
      <c r="S706" s="40">
        <f>L706*Q706</f>
      </c>
      <c r="T706" s="41">
        <f>IF(J706=0,0,L706/J706)</f>
      </c>
      <c r="U706" s="42">
        <f>IFERROR(INDEX(Paletes!$C$5:$C$393,MATCH(B706,Paletes!$A$5:$A$393,0)),"SEM CADASTRO")</f>
      </c>
      <c r="V706" s="36">
        <f>IFERROR(INDEX(Paletes!$D$5:$D$393,MATCH(B706,Paletes!$A$5:$A$393,0)),0)</f>
      </c>
      <c r="W706" s="43">
        <f>IF(V706=0,0,J706/V706)</f>
      </c>
      <c r="X706" s="43">
        <f>IF(V706=0,0,MAX(M706,0)/V706)</f>
      </c>
    </row>
    <row r="707" spans="1:24" x14ac:dyDescent="0.25">
      <c r="A707" s="20" t="str">
        <f>B707&amp;"."&amp;IFERROR(MID(D707,FIND("(",D707)+1,FIND(")",D707)-FIND("(",D707)-1),"")</f>
        <v>84795.52007</v>
      </c>
      <c r="B707" s="21">
        <v>84795</v>
      </c>
      <c r="C707" s="20" t="s">
        <v>368</v>
      </c>
      <c r="D707" s="20" t="s">
        <v>1075</v>
      </c>
      <c r="E707" s="20">
        <v>96518</v>
      </c>
      <c r="F707" s="20" t="s">
        <v>26</v>
      </c>
      <c r="G707" s="20" t="s">
        <v>51</v>
      </c>
      <c r="H707" s="22">
        <f>IFERROR(INDEX(Linha!$B$5:$B$788,MATCH(A707,Linha!$A$5:$A$788,0)),"NÃO CADASTRADO")</f>
      </c>
      <c r="I707" s="22">
        <f>IFERROR(INDEX(Linha!$C$5:$C$788,MATCH(A707,Linha!$A$5:$A$788,0)),"-")</f>
      </c>
      <c r="J707" s="23">
        <v>86</v>
      </c>
      <c r="K707" s="24">
        <f>IFERROR(INDEX(Linha!$D$5:$D$788,MATCH(A707,Linha!$A$5:$A$788,0))*1,0)</f>
      </c>
      <c r="L707" s="24">
        <f>SUMIFS(Reservas!$K$5:$K$3669,Reservas!$A$5:$A$3669,A707)</f>
      </c>
      <c r="M707" s="25">
        <f>J707-L707</f>
      </c>
      <c r="N707" s="26">
        <v>58.792</v>
      </c>
      <c r="O707" s="25">
        <f>J707*N707</f>
      </c>
      <c r="P707" s="25">
        <f>L707*N707</f>
      </c>
      <c r="Q707" s="27">
        <v>320.27962042</v>
      </c>
      <c r="R707" s="28">
        <f>J707*Q707</f>
      </c>
      <c r="S707" s="28">
        <f>L707*Q707</f>
      </c>
      <c r="T707" s="29">
        <f>IF(J707=0,0,L707/J707)</f>
      </c>
      <c r="U707" s="30">
        <f>IFERROR(INDEX(Paletes!$C$5:$C$393,MATCH(B707,Paletes!$A$5:$A$393,0)),"SEM CADASTRO")</f>
      </c>
      <c r="V707" s="24">
        <f>IFERROR(INDEX(Paletes!$D$5:$D$393,MATCH(B707,Paletes!$A$5:$A$393,0)),0)</f>
      </c>
      <c r="W707" s="31">
        <f>IF(V707=0,0,J707/V707)</f>
      </c>
      <c r="X707" s="31">
        <f>IF(V707=0,0,MAX(M707,0)/V707)</f>
      </c>
    </row>
    <row r="708" spans="1:24" x14ac:dyDescent="0.25">
      <c r="A708" s="32" t="str">
        <f>B708&amp;"."&amp;IFERROR(MID(D708,FIND("(",D708)+1,FIND(")",D708)-FIND("(",D708)-1),"")</f>
        <v>84800.43035</v>
      </c>
      <c r="B708" s="33">
        <v>84800</v>
      </c>
      <c r="C708" s="32" t="s">
        <v>370</v>
      </c>
      <c r="D708" s="32" t="s">
        <v>1076</v>
      </c>
      <c r="E708" s="32">
        <v>96519</v>
      </c>
      <c r="F708" s="32" t="s">
        <v>26</v>
      </c>
      <c r="G708" s="32" t="s">
        <v>51</v>
      </c>
      <c r="H708" s="34">
        <f>IFERROR(INDEX(Linha!$B$5:$B$788,MATCH(A708,Linha!$A$5:$A$788,0)),"NÃO CADASTRADO")</f>
      </c>
      <c r="I708" s="34">
        <f>IFERROR(INDEX(Linha!$C$5:$C$788,MATCH(A708,Linha!$A$5:$A$788,0)),"-")</f>
      </c>
      <c r="J708" s="35">
        <v>21</v>
      </c>
      <c r="K708" s="36">
        <f>IFERROR(INDEX(Linha!$D$5:$D$788,MATCH(A708,Linha!$A$5:$A$788,0))*1,0)</f>
      </c>
      <c r="L708" s="36">
        <f>SUMIFS(Reservas!$K$5:$K$3669,Reservas!$A$5:$A$3669,A708)</f>
      </c>
      <c r="M708" s="37">
        <f>J708-L708</f>
      </c>
      <c r="N708" s="38">
        <v>58.5</v>
      </c>
      <c r="O708" s="37">
        <f>J708*N708</f>
      </c>
      <c r="P708" s="37">
        <f>L708*N708</f>
      </c>
      <c r="Q708" s="39">
        <v>189.34105611</v>
      </c>
      <c r="R708" s="40">
        <f>J708*Q708</f>
      </c>
      <c r="S708" s="40">
        <f>L708*Q708</f>
      </c>
      <c r="T708" s="41">
        <f>IF(J708=0,0,L708/J708)</f>
      </c>
      <c r="U708" s="42">
        <f>IFERROR(INDEX(Paletes!$C$5:$C$393,MATCH(B708,Paletes!$A$5:$A$393,0)),"SEM CADASTRO")</f>
      </c>
      <c r="V708" s="36">
        <f>IFERROR(INDEX(Paletes!$D$5:$D$393,MATCH(B708,Paletes!$A$5:$A$393,0)),0)</f>
      </c>
      <c r="W708" s="43">
        <f>IF(V708=0,0,J708/V708)</f>
      </c>
      <c r="X708" s="43">
        <f>IF(V708=0,0,MAX(M708,0)/V708)</f>
      </c>
    </row>
    <row r="709" spans="1:24" x14ac:dyDescent="0.25">
      <c r="A709" s="20" t="str">
        <f>B709&amp;"."&amp;IFERROR(MID(D709,FIND("(",D709)+1,FIND(")",D709)-FIND("(",D709)-1),"")</f>
        <v>84860.30885</v>
      </c>
      <c r="B709" s="21">
        <v>84860</v>
      </c>
      <c r="C709" s="20" t="s">
        <v>534</v>
      </c>
      <c r="D709" s="20" t="s">
        <v>1077</v>
      </c>
      <c r="E709" s="20">
        <v>96613</v>
      </c>
      <c r="F709" s="20" t="s">
        <v>26</v>
      </c>
      <c r="G709" s="20" t="s">
        <v>51</v>
      </c>
      <c r="H709" s="22">
        <f>IFERROR(INDEX(Linha!$B$5:$B$788,MATCH(A709,Linha!$A$5:$A$788,0)),"NÃO CADASTRADO")</f>
      </c>
      <c r="I709" s="22">
        <f>IFERROR(INDEX(Linha!$C$5:$C$788,MATCH(A709,Linha!$A$5:$A$788,0)),"-")</f>
      </c>
      <c r="J709" s="23">
        <v>0</v>
      </c>
      <c r="K709" s="24">
        <f>IFERROR(INDEX(Linha!$D$5:$D$788,MATCH(A709,Linha!$A$5:$A$788,0))*1,0)</f>
      </c>
      <c r="L709" s="24">
        <f>SUMIFS(Reservas!$K$5:$K$3669,Reservas!$A$5:$A$3669,A709)</f>
      </c>
      <c r="M709" s="25">
        <f>J709-L709</f>
      </c>
      <c r="N709" s="26">
        <v>58.5</v>
      </c>
      <c r="O709" s="25">
        <f>J709*N709</f>
      </c>
      <c r="P709" s="25">
        <f>L709*N709</f>
      </c>
      <c r="Q709" s="27">
        <v>277.89105611</v>
      </c>
      <c r="R709" s="28">
        <f>J709*Q709</f>
      </c>
      <c r="S709" s="28">
        <f>L709*Q709</f>
      </c>
      <c r="T709" s="29">
        <f>IF(J709=0,0,L709/J709)</f>
      </c>
      <c r="U709" s="30">
        <f>IFERROR(INDEX(Paletes!$C$5:$C$393,MATCH(B709,Paletes!$A$5:$A$393,0)),"SEM CADASTRO")</f>
      </c>
      <c r="V709" s="24">
        <f>IFERROR(INDEX(Paletes!$D$5:$D$393,MATCH(B709,Paletes!$A$5:$A$393,0)),0)</f>
      </c>
      <c r="W709" s="31">
        <f>IF(V709=0,0,J709/V709)</f>
      </c>
      <c r="X709" s="31">
        <f>IF(V709=0,0,MAX(M709,0)/V709)</f>
      </c>
    </row>
    <row r="710" spans="1:24" x14ac:dyDescent="0.25">
      <c r="A710" s="32" t="str">
        <f>B710&amp;"."&amp;IFERROR(MID(D710,FIND("(",D710)+1,FIND(")",D710)-FIND("(",D710)-1),"")</f>
        <v>154.16636</v>
      </c>
      <c r="B710" s="33">
        <v>154</v>
      </c>
      <c r="C710" s="32" t="s">
        <v>670</v>
      </c>
      <c r="D710" s="32" t="s">
        <v>1078</v>
      </c>
      <c r="E710" s="32">
        <v>591</v>
      </c>
      <c r="F710" s="32" t="s">
        <v>23</v>
      </c>
      <c r="G710" s="32" t="s">
        <v>51</v>
      </c>
      <c r="H710" s="34">
        <f>IFERROR(INDEX(Linha!$B$5:$B$788,MATCH(A710,Linha!$A$5:$A$788,0)),"NÃO CADASTRADO")</f>
      </c>
      <c r="I710" s="34">
        <f>IFERROR(INDEX(Linha!$C$5:$C$788,MATCH(A710,Linha!$A$5:$A$788,0)),"-")</f>
      </c>
      <c r="J710" s="35">
        <v>247</v>
      </c>
      <c r="K710" s="36">
        <f>IFERROR(INDEX(Linha!$D$5:$D$788,MATCH(A710,Linha!$A$5:$A$788,0))*1,0)</f>
      </c>
      <c r="L710" s="36">
        <f>SUMIFS(Reservas!$K$5:$K$3669,Reservas!$A$5:$A$3669,A710)</f>
      </c>
      <c r="M710" s="37">
        <f>J710-L710</f>
      </c>
      <c r="N710" s="38">
        <v>0.702</v>
      </c>
      <c r="O710" s="37">
        <f>J710*N710</f>
      </c>
      <c r="P710" s="37">
        <f>L710*N710</f>
      </c>
      <c r="Q710" s="39">
        <v>7.0497644</v>
      </c>
      <c r="R710" s="40">
        <f>J710*Q710</f>
      </c>
      <c r="S710" s="40">
        <f>L710*Q710</f>
      </c>
      <c r="T710" s="41">
        <f>IF(J710=0,0,L710/J710)</f>
      </c>
      <c r="U710" s="42">
        <f>IFERROR(INDEX(Paletes!$C$5:$C$393,MATCH(B710,Paletes!$A$5:$A$393,0)),"SEM CADASTRO")</f>
      </c>
      <c r="V710" s="36">
        <f>IFERROR(INDEX(Paletes!$D$5:$D$393,MATCH(B710,Paletes!$A$5:$A$393,0)),0)</f>
      </c>
      <c r="W710" s="43">
        <f>IF(V710=0,0,J710/V710)</f>
      </c>
      <c r="X710" s="43">
        <f>IF(V710=0,0,MAX(M710,0)/V710)</f>
      </c>
    </row>
    <row r="711" spans="1:24" x14ac:dyDescent="0.25">
      <c r="A711" s="20" t="str">
        <f>B711&amp;"."&amp;IFERROR(MID(D711,FIND("(",D711)+1,FIND(")",D711)-FIND("(",D711)-1),"")</f>
        <v>2194.16655</v>
      </c>
      <c r="B711" s="21">
        <v>2194</v>
      </c>
      <c r="C711" s="20" t="s">
        <v>378</v>
      </c>
      <c r="D711" s="20" t="s">
        <v>1079</v>
      </c>
      <c r="E711" s="20">
        <v>7558</v>
      </c>
      <c r="F711" s="20" t="s">
        <v>23</v>
      </c>
      <c r="G711" s="20" t="s">
        <v>51</v>
      </c>
      <c r="H711" s="22">
        <f>IFERROR(INDEX(Linha!$B$5:$B$788,MATCH(A711,Linha!$A$5:$A$788,0)),"NÃO CADASTRADO")</f>
      </c>
      <c r="I711" s="22">
        <f>IFERROR(INDEX(Linha!$C$5:$C$788,MATCH(A711,Linha!$A$5:$A$788,0)),"-")</f>
      </c>
      <c r="J711" s="23">
        <v>52</v>
      </c>
      <c r="K711" s="24">
        <f>IFERROR(INDEX(Linha!$D$5:$D$788,MATCH(A711,Linha!$A$5:$A$788,0))*1,0)</f>
      </c>
      <c r="L711" s="24">
        <f>SUMIFS(Reservas!$K$5:$K$3669,Reservas!$A$5:$A$3669,A711)</f>
      </c>
      <c r="M711" s="25">
        <f>J711-L711</f>
      </c>
      <c r="N711" s="26">
        <v>1.092</v>
      </c>
      <c r="O711" s="25">
        <f>J711*N711</f>
      </c>
      <c r="P711" s="25">
        <f>L711*N711</f>
      </c>
      <c r="Q711" s="27">
        <v>8.89427144</v>
      </c>
      <c r="R711" s="28">
        <f>J711*Q711</f>
      </c>
      <c r="S711" s="28">
        <f>L711*Q711</f>
      </c>
      <c r="T711" s="29">
        <f>IF(J711=0,0,L711/J711)</f>
      </c>
      <c r="U711" s="30">
        <f>IFERROR(INDEX(Paletes!$C$5:$C$393,MATCH(B711,Paletes!$A$5:$A$393,0)),"SEM CADASTRO")</f>
      </c>
      <c r="V711" s="24">
        <f>IFERROR(INDEX(Paletes!$D$5:$D$393,MATCH(B711,Paletes!$A$5:$A$393,0)),0)</f>
      </c>
      <c r="W711" s="31">
        <f>IF(V711=0,0,J711/V711)</f>
      </c>
      <c r="X711" s="31">
        <f>IF(V711=0,0,MAX(M711,0)/V711)</f>
      </c>
    </row>
    <row r="712" spans="1:24" x14ac:dyDescent="0.25">
      <c r="A712" s="32" t="str">
        <f>B712&amp;"."&amp;IFERROR(MID(D712,FIND("(",D712)+1,FIND(")",D712)-FIND("(",D712)-1),"")</f>
        <v>185.12418</v>
      </c>
      <c r="B712" s="33">
        <v>185</v>
      </c>
      <c r="C712" s="32" t="s">
        <v>386</v>
      </c>
      <c r="D712" s="32" t="s">
        <v>1080</v>
      </c>
      <c r="E712" s="32">
        <v>39082</v>
      </c>
      <c r="F712" s="32" t="s">
        <v>26</v>
      </c>
      <c r="G712" s="32" t="s">
        <v>51</v>
      </c>
      <c r="H712" s="34">
        <f>IFERROR(INDEX(Linha!$B$5:$B$788,MATCH(A712,Linha!$A$5:$A$788,0)),"NÃO CADASTRADO")</f>
      </c>
      <c r="I712" s="34">
        <f>IFERROR(INDEX(Linha!$C$5:$C$788,MATCH(A712,Linha!$A$5:$A$788,0)),"-")</f>
      </c>
      <c r="J712" s="35">
        <v>138</v>
      </c>
      <c r="K712" s="36">
        <f>IFERROR(INDEX(Linha!$D$5:$D$788,MATCH(A712,Linha!$A$5:$A$788,0))*1,0)</f>
      </c>
      <c r="L712" s="36">
        <f>SUMIFS(Reservas!$K$5:$K$3669,Reservas!$A$5:$A$3669,A712)</f>
      </c>
      <c r="M712" s="37">
        <f>J712-L712</f>
      </c>
      <c r="N712" s="38">
        <v>28.08</v>
      </c>
      <c r="O712" s="37">
        <f>J712*N712</f>
      </c>
      <c r="P712" s="37">
        <f>L712*N712</f>
      </c>
      <c r="Q712" s="39">
        <v>109.39880483</v>
      </c>
      <c r="R712" s="40">
        <f>J712*Q712</f>
      </c>
      <c r="S712" s="40">
        <f>L712*Q712</f>
      </c>
      <c r="T712" s="41">
        <f>IF(J712=0,0,L712/J712)</f>
      </c>
      <c r="U712" s="42">
        <f>IFERROR(INDEX(Paletes!$C$5:$C$393,MATCH(B712,Paletes!$A$5:$A$393,0)),"SEM CADASTRO")</f>
      </c>
      <c r="V712" s="36">
        <f>IFERROR(INDEX(Paletes!$D$5:$D$393,MATCH(B712,Paletes!$A$5:$A$393,0)),0)</f>
      </c>
      <c r="W712" s="43">
        <f>IF(V712=0,0,J712/V712)</f>
      </c>
      <c r="X712" s="43">
        <f>IF(V712=0,0,MAX(M712,0)/V712)</f>
      </c>
    </row>
    <row r="713" spans="1:24" x14ac:dyDescent="0.25">
      <c r="A713" s="20" t="str">
        <f>B713&amp;"."&amp;IFERROR(MID(D713,FIND("(",D713)+1,FIND(")",D713)-FIND("(",D713)-1),"")</f>
        <v>185.12420</v>
      </c>
      <c r="B713" s="21">
        <v>185</v>
      </c>
      <c r="C713" s="20" t="s">
        <v>386</v>
      </c>
      <c r="D713" s="20" t="s">
        <v>1081</v>
      </c>
      <c r="E713" s="20">
        <v>39082</v>
      </c>
      <c r="F713" s="20" t="s">
        <v>26</v>
      </c>
      <c r="G713" s="20" t="s">
        <v>51</v>
      </c>
      <c r="H713" s="22">
        <f>IFERROR(INDEX(Linha!$B$5:$B$788,MATCH(A713,Linha!$A$5:$A$788,0)),"NÃO CADASTRADO")</f>
      </c>
      <c r="I713" s="22">
        <f>IFERROR(INDEX(Linha!$C$5:$C$788,MATCH(A713,Linha!$A$5:$A$788,0)),"-")</f>
      </c>
      <c r="J713" s="23">
        <v>0</v>
      </c>
      <c r="K713" s="24">
        <f>IFERROR(INDEX(Linha!$D$5:$D$788,MATCH(A713,Linha!$A$5:$A$788,0))*1,0)</f>
      </c>
      <c r="L713" s="24">
        <f>SUMIFS(Reservas!$K$5:$K$3669,Reservas!$A$5:$A$3669,A713)</f>
      </c>
      <c r="M713" s="25">
        <f>J713-L713</f>
      </c>
      <c r="N713" s="26">
        <v>28.08</v>
      </c>
      <c r="O713" s="25">
        <f>J713*N713</f>
      </c>
      <c r="P713" s="25">
        <f>L713*N713</f>
      </c>
      <c r="Q713" s="27">
        <v>91.97370693</v>
      </c>
      <c r="R713" s="28">
        <f>J713*Q713</f>
      </c>
      <c r="S713" s="28">
        <f>L713*Q713</f>
      </c>
      <c r="T713" s="29">
        <f>IF(J713=0,0,L713/J713)</f>
      </c>
      <c r="U713" s="30">
        <f>IFERROR(INDEX(Paletes!$C$5:$C$393,MATCH(B713,Paletes!$A$5:$A$393,0)),"SEM CADASTRO")</f>
      </c>
      <c r="V713" s="24">
        <f>IFERROR(INDEX(Paletes!$D$5:$D$393,MATCH(B713,Paletes!$A$5:$A$393,0)),0)</f>
      </c>
      <c r="W713" s="31">
        <f>IF(V713=0,0,J713/V713)</f>
      </c>
      <c r="X713" s="31">
        <f>IF(V713=0,0,MAX(M713,0)/V713)</f>
      </c>
    </row>
    <row r="714" spans="1:24" x14ac:dyDescent="0.25">
      <c r="A714" s="32" t="str">
        <f>B714&amp;"."&amp;IFERROR(MID(D714,FIND("(",D714)+1,FIND(")",D714)-FIND("(",D714)-1),"")</f>
        <v>102.12220</v>
      </c>
      <c r="B714" s="33">
        <v>102</v>
      </c>
      <c r="C714" s="32" t="s">
        <v>58</v>
      </c>
      <c r="D714" s="32" t="s">
        <v>1082</v>
      </c>
      <c r="E714" s="32">
        <v>39131</v>
      </c>
      <c r="F714" s="32" t="s">
        <v>26</v>
      </c>
      <c r="G714" s="32" t="s">
        <v>51</v>
      </c>
      <c r="H714" s="34">
        <f>IFERROR(INDEX(Linha!$B$5:$B$788,MATCH(A714,Linha!$A$5:$A$788,0)),"NÃO CADASTRADO")</f>
      </c>
      <c r="I714" s="34">
        <f>IFERROR(INDEX(Linha!$C$5:$C$788,MATCH(A714,Linha!$A$5:$A$788,0)),"-")</f>
      </c>
      <c r="J714" s="35">
        <v>201</v>
      </c>
      <c r="K714" s="36">
        <f>IFERROR(INDEX(Linha!$D$5:$D$788,MATCH(A714,Linha!$A$5:$A$788,0))*1,0)</f>
      </c>
      <c r="L714" s="36">
        <f>SUMIFS(Reservas!$K$5:$K$3669,Reservas!$A$5:$A$3669,A714)</f>
      </c>
      <c r="M714" s="37">
        <f>J714-L714</f>
      </c>
      <c r="N714" s="38">
        <v>38.61</v>
      </c>
      <c r="O714" s="37">
        <f>J714*N714</f>
      </c>
      <c r="P714" s="37">
        <f>L714*N714</f>
      </c>
      <c r="Q714" s="39">
        <v>151.37368159</v>
      </c>
      <c r="R714" s="40">
        <f>J714*Q714</f>
      </c>
      <c r="S714" s="40">
        <f>L714*Q714</f>
      </c>
      <c r="T714" s="41">
        <f>IF(J714=0,0,L714/J714)</f>
      </c>
      <c r="U714" s="42">
        <f>IFERROR(INDEX(Paletes!$C$5:$C$393,MATCH(B714,Paletes!$A$5:$A$393,0)),"SEM CADASTRO")</f>
      </c>
      <c r="V714" s="36">
        <f>IFERROR(INDEX(Paletes!$D$5:$D$393,MATCH(B714,Paletes!$A$5:$A$393,0)),0)</f>
      </c>
      <c r="W714" s="43">
        <f>IF(V714=0,0,J714/V714)</f>
      </c>
      <c r="X714" s="43">
        <f>IF(V714=0,0,MAX(M714,0)/V714)</f>
      </c>
    </row>
    <row r="715" spans="1:24" x14ac:dyDescent="0.25">
      <c r="A715" s="20" t="str">
        <f>B715&amp;"."&amp;IFERROR(MID(D715,FIND("(",D715)+1,FIND(")",D715)-FIND("(",D715)-1),"")</f>
        <v>73176.16191</v>
      </c>
      <c r="B715" s="21">
        <v>73176</v>
      </c>
      <c r="C715" s="20" t="s">
        <v>230</v>
      </c>
      <c r="D715" s="20" t="s">
        <v>1083</v>
      </c>
      <c r="E715" s="20">
        <v>40567</v>
      </c>
      <c r="F715" s="20" t="s">
        <v>24</v>
      </c>
      <c r="G715" s="20" t="s">
        <v>51</v>
      </c>
      <c r="H715" s="22">
        <f>IFERROR(INDEX(Linha!$B$5:$B$788,MATCH(A715,Linha!$A$5:$A$788,0)),"NÃO CADASTRADO")</f>
      </c>
      <c r="I715" s="22">
        <f>IFERROR(INDEX(Linha!$C$5:$C$788,MATCH(A715,Linha!$A$5:$A$788,0)),"-")</f>
      </c>
      <c r="J715" s="23">
        <v>258</v>
      </c>
      <c r="K715" s="24">
        <f>IFERROR(INDEX(Linha!$D$5:$D$788,MATCH(A715,Linha!$A$5:$A$788,0))*1,0)</f>
      </c>
      <c r="L715" s="24">
        <f>SUMIFS(Reservas!$K$5:$K$3669,Reservas!$A$5:$A$3669,A715)</f>
      </c>
      <c r="M715" s="25">
        <f>J715-L715</f>
      </c>
      <c r="N715" s="26">
        <v>6.83</v>
      </c>
      <c r="O715" s="25">
        <f>J715*N715</f>
      </c>
      <c r="P715" s="25">
        <f>L715*N715</f>
      </c>
      <c r="Q715" s="27">
        <v>27.08025389</v>
      </c>
      <c r="R715" s="28">
        <f>J715*Q715</f>
      </c>
      <c r="S715" s="28">
        <f>L715*Q715</f>
      </c>
      <c r="T715" s="29">
        <f>IF(J715=0,0,L715/J715)</f>
      </c>
      <c r="U715" s="30">
        <f>IFERROR(INDEX(Paletes!$C$5:$C$393,MATCH(B715,Paletes!$A$5:$A$393,0)),"SEM CADASTRO")</f>
      </c>
      <c r="V715" s="24">
        <f>IFERROR(INDEX(Paletes!$D$5:$D$393,MATCH(B715,Paletes!$A$5:$A$393,0)),0)</f>
      </c>
      <c r="W715" s="31">
        <f>IF(V715=0,0,J715/V715)</f>
      </c>
      <c r="X715" s="31">
        <f>IF(V715=0,0,MAX(M715,0)/V715)</f>
      </c>
    </row>
    <row r="716" spans="1:24" x14ac:dyDescent="0.25">
      <c r="A716" s="32" t="str">
        <f>B716&amp;"."&amp;IFERROR(MID(D716,FIND("(",D716)+1,FIND(")",D716)-FIND("(",D716)-1),"")</f>
        <v>73176.16192</v>
      </c>
      <c r="B716" s="33">
        <v>73176</v>
      </c>
      <c r="C716" s="32" t="s">
        <v>230</v>
      </c>
      <c r="D716" s="32" t="s">
        <v>1084</v>
      </c>
      <c r="E716" s="32">
        <v>40567</v>
      </c>
      <c r="F716" s="32" t="s">
        <v>24</v>
      </c>
      <c r="G716" s="32" t="s">
        <v>51</v>
      </c>
      <c r="H716" s="34">
        <f>IFERROR(INDEX(Linha!$B$5:$B$788,MATCH(A716,Linha!$A$5:$A$788,0)),"NÃO CADASTRADO")</f>
      </c>
      <c r="I716" s="34">
        <f>IFERROR(INDEX(Linha!$C$5:$C$788,MATCH(A716,Linha!$A$5:$A$788,0)),"-")</f>
      </c>
      <c r="J716" s="35">
        <v>192</v>
      </c>
      <c r="K716" s="36">
        <f>IFERROR(INDEX(Linha!$D$5:$D$788,MATCH(A716,Linha!$A$5:$A$788,0))*1,0)</f>
      </c>
      <c r="L716" s="36">
        <f>SUMIFS(Reservas!$K$5:$K$3669,Reservas!$A$5:$A$3669,A716)</f>
      </c>
      <c r="M716" s="37">
        <f>J716-L716</f>
      </c>
      <c r="N716" s="38">
        <v>6.83</v>
      </c>
      <c r="O716" s="37">
        <f>J716*N716</f>
      </c>
      <c r="P716" s="37">
        <f>L716*N716</f>
      </c>
      <c r="Q716" s="39">
        <v>29.61318211</v>
      </c>
      <c r="R716" s="40">
        <f>J716*Q716</f>
      </c>
      <c r="S716" s="40">
        <f>L716*Q716</f>
      </c>
      <c r="T716" s="41">
        <f>IF(J716=0,0,L716/J716)</f>
      </c>
      <c r="U716" s="42">
        <f>IFERROR(INDEX(Paletes!$C$5:$C$393,MATCH(B716,Paletes!$A$5:$A$393,0)),"SEM CADASTRO")</f>
      </c>
      <c r="V716" s="36">
        <f>IFERROR(INDEX(Paletes!$D$5:$D$393,MATCH(B716,Paletes!$A$5:$A$393,0)),0)</f>
      </c>
      <c r="W716" s="43">
        <f>IF(V716=0,0,J716/V716)</f>
      </c>
      <c r="X716" s="43">
        <f>IF(V716=0,0,MAX(M716,0)/V716)</f>
      </c>
    </row>
    <row r="717" spans="1:24" x14ac:dyDescent="0.25">
      <c r="A717" s="20" t="str">
        <f>B717&amp;"."&amp;IFERROR(MID(D717,FIND("(",D717)+1,FIND(")",D717)-FIND("(",D717)-1),"")</f>
        <v>2163.15693</v>
      </c>
      <c r="B717" s="21">
        <v>2163</v>
      </c>
      <c r="C717" s="20" t="s">
        <v>61</v>
      </c>
      <c r="D717" s="20" t="s">
        <v>1085</v>
      </c>
      <c r="E717" s="20">
        <v>40580</v>
      </c>
      <c r="F717" s="20" t="s">
        <v>24</v>
      </c>
      <c r="G717" s="20" t="s">
        <v>51</v>
      </c>
      <c r="H717" s="22">
        <f>IFERROR(INDEX(Linha!$B$5:$B$788,MATCH(A717,Linha!$A$5:$A$788,0)),"NÃO CADASTRADO")</f>
      </c>
      <c r="I717" s="22">
        <f>IFERROR(INDEX(Linha!$C$5:$C$788,MATCH(A717,Linha!$A$5:$A$788,0)),"-")</f>
      </c>
      <c r="J717" s="23">
        <v>179</v>
      </c>
      <c r="K717" s="24">
        <f>IFERROR(INDEX(Linha!$D$5:$D$788,MATCH(A717,Linha!$A$5:$A$788,0))*1,0)</f>
      </c>
      <c r="L717" s="24">
        <f>SUMIFS(Reservas!$K$5:$K$3669,Reservas!$A$5:$A$3669,A717)</f>
      </c>
      <c r="M717" s="25">
        <f>J717-L717</f>
      </c>
      <c r="N717" s="26">
        <v>17.94</v>
      </c>
      <c r="O717" s="25">
        <f>J717*N717</f>
      </c>
      <c r="P717" s="25">
        <f>L717*N717</f>
      </c>
      <c r="Q717" s="27">
        <v>83.37839655</v>
      </c>
      <c r="R717" s="28">
        <f>J717*Q717</f>
      </c>
      <c r="S717" s="28">
        <f>L717*Q717</f>
      </c>
      <c r="T717" s="29">
        <f>IF(J717=0,0,L717/J717)</f>
      </c>
      <c r="U717" s="30">
        <f>IFERROR(INDEX(Paletes!$C$5:$C$393,MATCH(B717,Paletes!$A$5:$A$393,0)),"SEM CADASTRO")</f>
      </c>
      <c r="V717" s="24">
        <f>IFERROR(INDEX(Paletes!$D$5:$D$393,MATCH(B717,Paletes!$A$5:$A$393,0)),0)</f>
      </c>
      <c r="W717" s="31">
        <f>IF(V717=0,0,J717/V717)</f>
      </c>
      <c r="X717" s="31">
        <f>IF(V717=0,0,MAX(M717,0)/V717)</f>
      </c>
    </row>
    <row r="718" spans="1:24" x14ac:dyDescent="0.25">
      <c r="A718" s="32" t="str">
        <f>B718&amp;"."&amp;IFERROR(MID(D718,FIND("(",D718)+1,FIND(")",D718)-FIND("(",D718)-1),"")</f>
        <v>73157.16505</v>
      </c>
      <c r="B718" s="33">
        <v>73157</v>
      </c>
      <c r="C718" s="32" t="s">
        <v>542</v>
      </c>
      <c r="D718" s="32" t="s">
        <v>1086</v>
      </c>
      <c r="E718" s="32">
        <v>40599</v>
      </c>
      <c r="F718" s="32" t="s">
        <v>24</v>
      </c>
      <c r="G718" s="32" t="s">
        <v>51</v>
      </c>
      <c r="H718" s="34">
        <f>IFERROR(INDEX(Linha!$B$5:$B$788,MATCH(A718,Linha!$A$5:$A$788,0)),"NÃO CADASTRADO")</f>
      </c>
      <c r="I718" s="34">
        <f>IFERROR(INDEX(Linha!$C$5:$C$788,MATCH(A718,Linha!$A$5:$A$788,0)),"-")</f>
      </c>
      <c r="J718" s="35">
        <v>240</v>
      </c>
      <c r="K718" s="36">
        <f>IFERROR(INDEX(Linha!$D$5:$D$788,MATCH(A718,Linha!$A$5:$A$788,0))*1,0)</f>
      </c>
      <c r="L718" s="36">
        <f>SUMIFS(Reservas!$K$5:$K$3669,Reservas!$A$5:$A$3669,A718)</f>
      </c>
      <c r="M718" s="37">
        <f>J718-L718</f>
      </c>
      <c r="N718" s="38">
        <v>35.19</v>
      </c>
      <c r="O718" s="37">
        <f>J718*N718</f>
      </c>
      <c r="P718" s="37">
        <f>L718*N718</f>
      </c>
      <c r="Q718" s="39">
        <v>128.37976901</v>
      </c>
      <c r="R718" s="40">
        <f>J718*Q718</f>
      </c>
      <c r="S718" s="40">
        <f>L718*Q718</f>
      </c>
      <c r="T718" s="41">
        <f>IF(J718=0,0,L718/J718)</f>
      </c>
      <c r="U718" s="42">
        <f>IFERROR(INDEX(Paletes!$C$5:$C$393,MATCH(B718,Paletes!$A$5:$A$393,0)),"SEM CADASTRO")</f>
      </c>
      <c r="V718" s="36">
        <f>IFERROR(INDEX(Paletes!$D$5:$D$393,MATCH(B718,Paletes!$A$5:$A$393,0)),0)</f>
      </c>
      <c r="W718" s="43">
        <f>IF(V718=0,0,J718/V718)</f>
      </c>
      <c r="X718" s="43">
        <f>IF(V718=0,0,MAX(M718,0)/V718)</f>
      </c>
    </row>
    <row r="719" spans="1:24" x14ac:dyDescent="0.25">
      <c r="A719" s="20" t="str">
        <f>B719&amp;"."&amp;IFERROR(MID(D719,FIND("(",D719)+1,FIND(")",D719)-FIND("(",D719)-1),"")</f>
        <v>73277.16321</v>
      </c>
      <c r="B719" s="21">
        <v>73277</v>
      </c>
      <c r="C719" s="20" t="s">
        <v>394</v>
      </c>
      <c r="D719" s="20" t="s">
        <v>1087</v>
      </c>
      <c r="E719" s="20">
        <v>41597</v>
      </c>
      <c r="F719" s="20" t="s">
        <v>24</v>
      </c>
      <c r="G719" s="20" t="s">
        <v>51</v>
      </c>
      <c r="H719" s="22">
        <f>IFERROR(INDEX(Linha!$B$5:$B$788,MATCH(A719,Linha!$A$5:$A$788,0)),"NÃO CADASTRADO")</f>
      </c>
      <c r="I719" s="22">
        <f>IFERROR(INDEX(Linha!$C$5:$C$788,MATCH(A719,Linha!$A$5:$A$788,0)),"-")</f>
      </c>
      <c r="J719" s="23">
        <v>205</v>
      </c>
      <c r="K719" s="24">
        <f>IFERROR(INDEX(Linha!$D$5:$D$788,MATCH(A719,Linha!$A$5:$A$788,0))*1,0)</f>
      </c>
      <c r="L719" s="24">
        <f>SUMIFS(Reservas!$K$5:$K$3669,Reservas!$A$5:$A$3669,A719)</f>
      </c>
      <c r="M719" s="25">
        <f>J719-L719</f>
      </c>
      <c r="N719" s="26">
        <v>41.711</v>
      </c>
      <c r="O719" s="25">
        <f>J719*N719</f>
      </c>
      <c r="P719" s="25">
        <f>L719*N719</f>
      </c>
      <c r="Q719" s="27">
        <v>190.81861776</v>
      </c>
      <c r="R719" s="28">
        <f>J719*Q719</f>
      </c>
      <c r="S719" s="28">
        <f>L719*Q719</f>
      </c>
      <c r="T719" s="29">
        <f>IF(J719=0,0,L719/J719)</f>
      </c>
      <c r="U719" s="30">
        <f>IFERROR(INDEX(Paletes!$C$5:$C$393,MATCH(B719,Paletes!$A$5:$A$393,0)),"SEM CADASTRO")</f>
      </c>
      <c r="V719" s="24">
        <f>IFERROR(INDEX(Paletes!$D$5:$D$393,MATCH(B719,Paletes!$A$5:$A$393,0)),0)</f>
      </c>
      <c r="W719" s="31">
        <f>IF(V719=0,0,J719/V719)</f>
      </c>
      <c r="X719" s="31">
        <f>IF(V719=0,0,MAX(M719,0)/V719)</f>
      </c>
    </row>
    <row r="720" spans="1:24" x14ac:dyDescent="0.25">
      <c r="A720" s="32" t="str">
        <f>B720&amp;"."&amp;IFERROR(MID(D720,FIND("(",D720)+1,FIND(")",D720)-FIND("(",D720)-1),"")</f>
        <v>73277.16323</v>
      </c>
      <c r="B720" s="33">
        <v>73277</v>
      </c>
      <c r="C720" s="32" t="s">
        <v>394</v>
      </c>
      <c r="D720" s="32" t="s">
        <v>1088</v>
      </c>
      <c r="E720" s="32">
        <v>41597</v>
      </c>
      <c r="F720" s="32" t="s">
        <v>24</v>
      </c>
      <c r="G720" s="32" t="s">
        <v>51</v>
      </c>
      <c r="H720" s="34">
        <f>IFERROR(INDEX(Linha!$B$5:$B$788,MATCH(A720,Linha!$A$5:$A$788,0)),"NÃO CADASTRADO")</f>
      </c>
      <c r="I720" s="34">
        <f>IFERROR(INDEX(Linha!$C$5:$C$788,MATCH(A720,Linha!$A$5:$A$788,0)),"-")</f>
      </c>
      <c r="J720" s="35">
        <v>45</v>
      </c>
      <c r="K720" s="36">
        <f>IFERROR(INDEX(Linha!$D$5:$D$788,MATCH(A720,Linha!$A$5:$A$788,0))*1,0)</f>
      </c>
      <c r="L720" s="36">
        <f>SUMIFS(Reservas!$K$5:$K$3669,Reservas!$A$5:$A$3669,A720)</f>
      </c>
      <c r="M720" s="37">
        <f>J720-L720</f>
      </c>
      <c r="N720" s="38">
        <v>41.711</v>
      </c>
      <c r="O720" s="37">
        <f>J720*N720</f>
      </c>
      <c r="P720" s="37">
        <f>L720*N720</f>
      </c>
      <c r="Q720" s="39">
        <v>178.85991421</v>
      </c>
      <c r="R720" s="40">
        <f>J720*Q720</f>
      </c>
      <c r="S720" s="40">
        <f>L720*Q720</f>
      </c>
      <c r="T720" s="41">
        <f>IF(J720=0,0,L720/J720)</f>
      </c>
      <c r="U720" s="42">
        <f>IFERROR(INDEX(Paletes!$C$5:$C$393,MATCH(B720,Paletes!$A$5:$A$393,0)),"SEM CADASTRO")</f>
      </c>
      <c r="V720" s="36">
        <f>IFERROR(INDEX(Paletes!$D$5:$D$393,MATCH(B720,Paletes!$A$5:$A$393,0)),0)</f>
      </c>
      <c r="W720" s="43">
        <f>IF(V720=0,0,J720/V720)</f>
      </c>
      <c r="X720" s="43">
        <f>IF(V720=0,0,MAX(M720,0)/V720)</f>
      </c>
    </row>
    <row r="721" spans="1:24" x14ac:dyDescent="0.25">
      <c r="A721" s="20" t="str">
        <f>B721&amp;"."&amp;IFERROR(MID(D721,FIND("(",D721)+1,FIND(")",D721)-FIND("(",D721)-1),"")</f>
        <v>2408.13096</v>
      </c>
      <c r="B721" s="21">
        <v>2408</v>
      </c>
      <c r="C721" s="20" t="s">
        <v>242</v>
      </c>
      <c r="D721" s="20" t="s">
        <v>1089</v>
      </c>
      <c r="E721" s="20">
        <v>45892</v>
      </c>
      <c r="F721" s="20" t="s">
        <v>26</v>
      </c>
      <c r="G721" s="20" t="s">
        <v>51</v>
      </c>
      <c r="H721" s="22">
        <f>IFERROR(INDEX(Linha!$B$5:$B$788,MATCH(A721,Linha!$A$5:$A$788,0)),"NÃO CADASTRADO")</f>
      </c>
      <c r="I721" s="22">
        <f>IFERROR(INDEX(Linha!$C$5:$C$788,MATCH(A721,Linha!$A$5:$A$788,0)),"-")</f>
      </c>
      <c r="J721" s="23">
        <v>0</v>
      </c>
      <c r="K721" s="24">
        <f>IFERROR(INDEX(Linha!$D$5:$D$788,MATCH(A721,Linha!$A$5:$A$788,0))*1,0)</f>
      </c>
      <c r="L721" s="24">
        <f>SUMIFS(Reservas!$K$5:$K$3669,Reservas!$A$5:$A$3669,A721)</f>
      </c>
      <c r="M721" s="25">
        <f>J721-L721</f>
      </c>
      <c r="N721" s="26">
        <v>56.55</v>
      </c>
      <c r="O721" s="25">
        <f>J721*N721</f>
      </c>
      <c r="P721" s="25">
        <f>L721*N721</f>
      </c>
      <c r="Q721" s="27">
        <v>186.32802091</v>
      </c>
      <c r="R721" s="28">
        <f>J721*Q721</f>
      </c>
      <c r="S721" s="28">
        <f>L721*Q721</f>
      </c>
      <c r="T721" s="29">
        <f>IF(J721=0,0,L721/J721)</f>
      </c>
      <c r="U721" s="30">
        <f>IFERROR(INDEX(Paletes!$C$5:$C$393,MATCH(B721,Paletes!$A$5:$A$393,0)),"SEM CADASTRO")</f>
      </c>
      <c r="V721" s="24">
        <f>IFERROR(INDEX(Paletes!$D$5:$D$393,MATCH(B721,Paletes!$A$5:$A$393,0)),0)</f>
      </c>
      <c r="W721" s="31">
        <f>IF(V721=0,0,J721/V721)</f>
      </c>
      <c r="X721" s="31">
        <f>IF(V721=0,0,MAX(M721,0)/V721)</f>
      </c>
    </row>
    <row r="722" spans="1:24" x14ac:dyDescent="0.25">
      <c r="A722" s="32" t="str">
        <f>B722&amp;"."&amp;IFERROR(MID(D722,FIND("(",D722)+1,FIND(")",D722)-FIND("(",D722)-1),"")</f>
        <v>78326.88802</v>
      </c>
      <c r="B722" s="33">
        <v>78326</v>
      </c>
      <c r="C722" s="32" t="s">
        <v>1090</v>
      </c>
      <c r="D722" s="32" t="s">
        <v>1091</v>
      </c>
      <c r="E722" s="32">
        <v>83257</v>
      </c>
      <c r="F722" s="32" t="s">
        <v>26</v>
      </c>
      <c r="G722" s="32" t="s">
        <v>51</v>
      </c>
      <c r="H722" s="34">
        <f>IFERROR(INDEX(Linha!$B$5:$B$788,MATCH(A722,Linha!$A$5:$A$788,0)),"NÃO CADASTRADO")</f>
      </c>
      <c r="I722" s="34">
        <f>IFERROR(INDEX(Linha!$C$5:$C$788,MATCH(A722,Linha!$A$5:$A$788,0)),"-")</f>
      </c>
      <c r="J722" s="35">
        <v>6</v>
      </c>
      <c r="K722" s="36">
        <f>IFERROR(INDEX(Linha!$D$5:$D$788,MATCH(A722,Linha!$A$5:$A$788,0))*1,0)</f>
      </c>
      <c r="L722" s="36">
        <f>SUMIFS(Reservas!$K$5:$K$3669,Reservas!$A$5:$A$3669,A722)</f>
      </c>
      <c r="M722" s="37">
        <f>J722-L722</f>
      </c>
      <c r="N722" s="38">
        <v>53.088</v>
      </c>
      <c r="O722" s="37">
        <f>J722*N722</f>
      </c>
      <c r="P722" s="37">
        <f>L722*N722</f>
      </c>
      <c r="Q722" s="39">
        <v>177.97013342</v>
      </c>
      <c r="R722" s="40">
        <f>J722*Q722</f>
      </c>
      <c r="S722" s="40">
        <f>L722*Q722</f>
      </c>
      <c r="T722" s="41">
        <f>IF(J722=0,0,L722/J722)</f>
      </c>
      <c r="U722" s="42">
        <f>IFERROR(INDEX(Paletes!$C$5:$C$393,MATCH(B722,Paletes!$A$5:$A$393,0)),"SEM CADASTRO")</f>
      </c>
      <c r="V722" s="36">
        <f>IFERROR(INDEX(Paletes!$D$5:$D$393,MATCH(B722,Paletes!$A$5:$A$393,0)),0)</f>
      </c>
      <c r="W722" s="43">
        <f>IF(V722=0,0,J722/V722)</f>
      </c>
      <c r="X722" s="43">
        <f>IF(V722=0,0,MAX(M722,0)/V722)</f>
      </c>
    </row>
    <row r="723" spans="1:24" x14ac:dyDescent="0.25">
      <c r="A723" s="20" t="str">
        <f>B723&amp;"."&amp;IFERROR(MID(D723,FIND("(",D723)+1,FIND(")",D723)-FIND("(",D723)-1),"")</f>
        <v>73543.16392</v>
      </c>
      <c r="B723" s="21">
        <v>73543</v>
      </c>
      <c r="C723" s="20" t="s">
        <v>74</v>
      </c>
      <c r="D723" s="20" t="s">
        <v>1092</v>
      </c>
      <c r="E723" s="20">
        <v>87486</v>
      </c>
      <c r="F723" s="20" t="s">
        <v>25</v>
      </c>
      <c r="G723" s="20" t="s">
        <v>51</v>
      </c>
      <c r="H723" s="22">
        <f>IFERROR(INDEX(Linha!$B$5:$B$788,MATCH(A723,Linha!$A$5:$A$788,0)),"NÃO CADASTRADO")</f>
      </c>
      <c r="I723" s="22">
        <f>IFERROR(INDEX(Linha!$C$5:$C$788,MATCH(A723,Linha!$A$5:$A$788,0)),"-")</f>
      </c>
      <c r="J723" s="23">
        <v>0</v>
      </c>
      <c r="K723" s="24">
        <f>IFERROR(INDEX(Linha!$D$5:$D$788,MATCH(A723,Linha!$A$5:$A$788,0))*1,0)</f>
      </c>
      <c r="L723" s="24">
        <f>SUMIFS(Reservas!$K$5:$K$3669,Reservas!$A$5:$A$3669,A723)</f>
      </c>
      <c r="M723" s="25">
        <f>J723-L723</f>
      </c>
      <c r="N723" s="26">
        <v>14.644</v>
      </c>
      <c r="O723" s="25">
        <f>J723*N723</f>
      </c>
      <c r="P723" s="25">
        <f>L723*N723</f>
      </c>
      <c r="Q723" s="27">
        <v>113.01527693</v>
      </c>
      <c r="R723" s="28">
        <f>J723*Q723</f>
      </c>
      <c r="S723" s="28">
        <f>L723*Q723</f>
      </c>
      <c r="T723" s="29">
        <f>IF(J723=0,0,L723/J723)</f>
      </c>
      <c r="U723" s="30">
        <f>IFERROR(INDEX(Paletes!$C$5:$C$393,MATCH(B723,Paletes!$A$5:$A$393,0)),"SEM CADASTRO")</f>
      </c>
      <c r="V723" s="24">
        <f>IFERROR(INDEX(Paletes!$D$5:$D$393,MATCH(B723,Paletes!$A$5:$A$393,0)),0)</f>
      </c>
      <c r="W723" s="31">
        <f>IF(V723=0,0,J723/V723)</f>
      </c>
      <c r="X723" s="31">
        <f>IF(V723=0,0,MAX(M723,0)/V723)</f>
      </c>
    </row>
    <row r="724" spans="1:24" x14ac:dyDescent="0.25">
      <c r="A724" s="32" t="str">
        <f>B724&amp;"."&amp;IFERROR(MID(D724,FIND("(",D724)+1,FIND(")",D724)-FIND("(",D724)-1),"")</f>
        <v>73543.16395</v>
      </c>
      <c r="B724" s="33">
        <v>73543</v>
      </c>
      <c r="C724" s="32" t="s">
        <v>74</v>
      </c>
      <c r="D724" s="32" t="s">
        <v>1093</v>
      </c>
      <c r="E724" s="32">
        <v>87486</v>
      </c>
      <c r="F724" s="32" t="s">
        <v>25</v>
      </c>
      <c r="G724" s="32" t="s">
        <v>51</v>
      </c>
      <c r="H724" s="34">
        <f>IFERROR(INDEX(Linha!$B$5:$B$788,MATCH(A724,Linha!$A$5:$A$788,0)),"NÃO CADASTRADO")</f>
      </c>
      <c r="I724" s="34">
        <f>IFERROR(INDEX(Linha!$C$5:$C$788,MATCH(A724,Linha!$A$5:$A$788,0)),"-")</f>
      </c>
      <c r="J724" s="35">
        <v>33</v>
      </c>
      <c r="K724" s="36">
        <f>IFERROR(INDEX(Linha!$D$5:$D$788,MATCH(A724,Linha!$A$5:$A$788,0))*1,0)</f>
      </c>
      <c r="L724" s="36">
        <f>SUMIFS(Reservas!$K$5:$K$3669,Reservas!$A$5:$A$3669,A724)</f>
      </c>
      <c r="M724" s="37">
        <f>J724-L724</f>
      </c>
      <c r="N724" s="38">
        <v>14.644</v>
      </c>
      <c r="O724" s="37">
        <f>J724*N724</f>
      </c>
      <c r="P724" s="37">
        <f>L724*N724</f>
      </c>
      <c r="Q724" s="39">
        <v>98.61527693</v>
      </c>
      <c r="R724" s="40">
        <f>J724*Q724</f>
      </c>
      <c r="S724" s="40">
        <f>L724*Q724</f>
      </c>
      <c r="T724" s="41">
        <f>IF(J724=0,0,L724/J724)</f>
      </c>
      <c r="U724" s="42">
        <f>IFERROR(INDEX(Paletes!$C$5:$C$393,MATCH(B724,Paletes!$A$5:$A$393,0)),"SEM CADASTRO")</f>
      </c>
      <c r="V724" s="36">
        <f>IFERROR(INDEX(Paletes!$D$5:$D$393,MATCH(B724,Paletes!$A$5:$A$393,0)),0)</f>
      </c>
      <c r="W724" s="43">
        <f>IF(V724=0,0,J724/V724)</f>
      </c>
      <c r="X724" s="43">
        <f>IF(V724=0,0,MAX(M724,0)/V724)</f>
      </c>
    </row>
    <row r="725" spans="1:24" x14ac:dyDescent="0.25">
      <c r="A725" s="20" t="str">
        <f>B725&amp;"."&amp;IFERROR(MID(D725,FIND("(",D725)+1,FIND(")",D725)-FIND("(",D725)-1),"")</f>
        <v>84537.31639</v>
      </c>
      <c r="B725" s="21">
        <v>84537</v>
      </c>
      <c r="C725" s="20" t="s">
        <v>1094</v>
      </c>
      <c r="D725" s="20" t="s">
        <v>1095</v>
      </c>
      <c r="E725" s="20">
        <v>96471</v>
      </c>
      <c r="F725" s="20" t="s">
        <v>26</v>
      </c>
      <c r="G725" s="20" t="s">
        <v>51</v>
      </c>
      <c r="H725" s="22">
        <f>IFERROR(INDEX(Linha!$B$5:$B$788,MATCH(A725,Linha!$A$5:$A$788,0)),"NÃO CADASTRADO")</f>
      </c>
      <c r="I725" s="22">
        <f>IFERROR(INDEX(Linha!$C$5:$C$788,MATCH(A725,Linha!$A$5:$A$788,0)),"-")</f>
      </c>
      <c r="J725" s="23">
        <v>26</v>
      </c>
      <c r="K725" s="24">
        <f>IFERROR(INDEX(Linha!$D$5:$D$788,MATCH(A725,Linha!$A$5:$A$788,0))*1,0)</f>
      </c>
      <c r="L725" s="24">
        <f>SUMIFS(Reservas!$K$5:$K$3669,Reservas!$A$5:$A$3669,A725)</f>
      </c>
      <c r="M725" s="25">
        <f>J725-L725</f>
      </c>
      <c r="N725" s="26">
        <v>49.091</v>
      </c>
      <c r="O725" s="25">
        <f>J725*N725</f>
      </c>
      <c r="P725" s="25">
        <f>L725*N725</f>
      </c>
      <c r="Q725" s="27">
        <v>160.86891125</v>
      </c>
      <c r="R725" s="28">
        <f>J725*Q725</f>
      </c>
      <c r="S725" s="28">
        <f>L725*Q725</f>
      </c>
      <c r="T725" s="29">
        <f>IF(J725=0,0,L725/J725)</f>
      </c>
      <c r="U725" s="30">
        <f>IFERROR(INDEX(Paletes!$C$5:$C$393,MATCH(B725,Paletes!$A$5:$A$393,0)),"SEM CADASTRO")</f>
      </c>
      <c r="V725" s="24">
        <f>IFERROR(INDEX(Paletes!$D$5:$D$393,MATCH(B725,Paletes!$A$5:$A$393,0)),0)</f>
      </c>
      <c r="W725" s="31">
        <f>IF(V725=0,0,J725/V725)</f>
      </c>
      <c r="X725" s="31">
        <f>IF(V725=0,0,MAX(M725,0)/V725)</f>
      </c>
    </row>
    <row r="726" spans="1:24" x14ac:dyDescent="0.25">
      <c r="A726" s="32" t="str">
        <f>B726&amp;"."&amp;IFERROR(MID(D726,FIND("(",D726)+1,FIND(")",D726)-FIND("(",D726)-1),"")</f>
        <v>84537.31641</v>
      </c>
      <c r="B726" s="33">
        <v>84537</v>
      </c>
      <c r="C726" s="32" t="s">
        <v>1094</v>
      </c>
      <c r="D726" s="32" t="s">
        <v>1096</v>
      </c>
      <c r="E726" s="32">
        <v>96471</v>
      </c>
      <c r="F726" s="32" t="s">
        <v>26</v>
      </c>
      <c r="G726" s="32" t="s">
        <v>51</v>
      </c>
      <c r="H726" s="34">
        <f>IFERROR(INDEX(Linha!$B$5:$B$788,MATCH(A726,Linha!$A$5:$A$788,0)),"NÃO CADASTRADO")</f>
      </c>
      <c r="I726" s="34">
        <f>IFERROR(INDEX(Linha!$C$5:$C$788,MATCH(A726,Linha!$A$5:$A$788,0)),"-")</f>
      </c>
      <c r="J726" s="35">
        <v>0</v>
      </c>
      <c r="K726" s="36">
        <f>IFERROR(INDEX(Linha!$D$5:$D$788,MATCH(A726,Linha!$A$5:$A$788,0))*1,0)</f>
      </c>
      <c r="L726" s="36">
        <f>SUMIFS(Reservas!$K$5:$K$3669,Reservas!$A$5:$A$3669,A726)</f>
      </c>
      <c r="M726" s="37">
        <f>J726-L726</f>
      </c>
      <c r="N726" s="38">
        <v>49.091</v>
      </c>
      <c r="O726" s="37">
        <f>J726*N726</f>
      </c>
      <c r="P726" s="37">
        <f>L726*N726</f>
      </c>
      <c r="Q726" s="39">
        <v>167.05891125</v>
      </c>
      <c r="R726" s="40">
        <f>J726*Q726</f>
      </c>
      <c r="S726" s="40">
        <f>L726*Q726</f>
      </c>
      <c r="T726" s="41">
        <f>IF(J726=0,0,L726/J726)</f>
      </c>
      <c r="U726" s="42">
        <f>IFERROR(INDEX(Paletes!$C$5:$C$393,MATCH(B726,Paletes!$A$5:$A$393,0)),"SEM CADASTRO")</f>
      </c>
      <c r="V726" s="36">
        <f>IFERROR(INDEX(Paletes!$D$5:$D$393,MATCH(B726,Paletes!$A$5:$A$393,0)),0)</f>
      </c>
      <c r="W726" s="43">
        <f>IF(V726=0,0,J726/V726)</f>
      </c>
      <c r="X726" s="43">
        <f>IF(V726=0,0,MAX(M726,0)/V726)</f>
      </c>
    </row>
    <row r="727" spans="1:24" x14ac:dyDescent="0.25">
      <c r="A727" s="20" t="str">
        <f>B727&amp;"."&amp;IFERROR(MID(D727,FIND("(",D727)+1,FIND(")",D727)-FIND("(",D727)-1),"")</f>
        <v>84779.30617</v>
      </c>
      <c r="B727" s="21">
        <v>84779</v>
      </c>
      <c r="C727" s="20" t="s">
        <v>683</v>
      </c>
      <c r="D727" s="20" t="s">
        <v>1097</v>
      </c>
      <c r="E727" s="20">
        <v>96504</v>
      </c>
      <c r="F727" s="20" t="s">
        <v>26</v>
      </c>
      <c r="G727" s="20" t="s">
        <v>51</v>
      </c>
      <c r="H727" s="22">
        <f>IFERROR(INDEX(Linha!$B$5:$B$788,MATCH(A727,Linha!$A$5:$A$788,0)),"NÃO CADASTRADO")</f>
      </c>
      <c r="I727" s="22">
        <f>IFERROR(INDEX(Linha!$C$5:$C$788,MATCH(A727,Linha!$A$5:$A$788,0)),"-")</f>
      </c>
      <c r="J727" s="23">
        <v>16</v>
      </c>
      <c r="K727" s="24">
        <f>IFERROR(INDEX(Linha!$D$5:$D$788,MATCH(A727,Linha!$A$5:$A$788,0))*1,0)</f>
      </c>
      <c r="L727" s="24">
        <f>SUMIFS(Reservas!$K$5:$K$3669,Reservas!$A$5:$A$3669,A727)</f>
      </c>
      <c r="M727" s="25">
        <f>J727-L727</f>
      </c>
      <c r="N727" s="26">
        <v>61.99</v>
      </c>
      <c r="O727" s="25">
        <f>J727*N727</f>
      </c>
      <c r="P727" s="25">
        <f>L727*N727</f>
      </c>
      <c r="Q727" s="27">
        <v>214.14683188</v>
      </c>
      <c r="R727" s="28">
        <f>J727*Q727</f>
      </c>
      <c r="S727" s="28">
        <f>L727*Q727</f>
      </c>
      <c r="T727" s="29">
        <f>IF(J727=0,0,L727/J727)</f>
      </c>
      <c r="U727" s="30">
        <f>IFERROR(INDEX(Paletes!$C$5:$C$393,MATCH(B727,Paletes!$A$5:$A$393,0)),"SEM CADASTRO")</f>
      </c>
      <c r="V727" s="24">
        <f>IFERROR(INDEX(Paletes!$D$5:$D$393,MATCH(B727,Paletes!$A$5:$A$393,0)),0)</f>
      </c>
      <c r="W727" s="31">
        <f>IF(V727=0,0,J727/V727)</f>
      </c>
      <c r="X727" s="31">
        <f>IF(V727=0,0,MAX(M727,0)/V727)</f>
      </c>
    </row>
    <row r="728" spans="1:24" x14ac:dyDescent="0.25">
      <c r="A728" s="32" t="str">
        <f>B728&amp;"."&amp;IFERROR(MID(D728,FIND("(",D728)+1,FIND(")",D728)-FIND("(",D728)-1),"")</f>
        <v>2161.16426</v>
      </c>
      <c r="B728" s="33">
        <v>2161</v>
      </c>
      <c r="C728" s="32" t="s">
        <v>81</v>
      </c>
      <c r="D728" s="32" t="s">
        <v>1098</v>
      </c>
      <c r="E728" s="32">
        <v>67929</v>
      </c>
      <c r="F728" s="32" t="s">
        <v>24</v>
      </c>
      <c r="G728" s="32" t="s">
        <v>51</v>
      </c>
      <c r="H728" s="34">
        <f>IFERROR(INDEX(Linha!$B$5:$B$788,MATCH(A728,Linha!$A$5:$A$788,0)),"NÃO CADASTRADO")</f>
      </c>
      <c r="I728" s="34">
        <f>IFERROR(INDEX(Linha!$C$5:$C$788,MATCH(A728,Linha!$A$5:$A$788,0)),"-")</f>
      </c>
      <c r="J728" s="35">
        <v>182</v>
      </c>
      <c r="K728" s="36">
        <f>IFERROR(INDEX(Linha!$D$5:$D$788,MATCH(A728,Linha!$A$5:$A$788,0))*1,0)</f>
      </c>
      <c r="L728" s="36">
        <f>SUMIFS(Reservas!$K$5:$K$3669,Reservas!$A$5:$A$3669,A728)</f>
      </c>
      <c r="M728" s="37">
        <f>J728-L728</f>
      </c>
      <c r="N728" s="38">
        <v>25.35</v>
      </c>
      <c r="O728" s="37">
        <f>J728*N728</f>
      </c>
      <c r="P728" s="37">
        <f>L728*N728</f>
      </c>
      <c r="Q728" s="39">
        <v>67.38881928</v>
      </c>
      <c r="R728" s="40">
        <f>J728*Q728</f>
      </c>
      <c r="S728" s="40">
        <f>L728*Q728</f>
      </c>
      <c r="T728" s="41">
        <f>IF(J728=0,0,L728/J728)</f>
      </c>
      <c r="U728" s="42">
        <f>IFERROR(INDEX(Paletes!$C$5:$C$393,MATCH(B728,Paletes!$A$5:$A$393,0)),"SEM CADASTRO")</f>
      </c>
      <c r="V728" s="36">
        <f>IFERROR(INDEX(Paletes!$D$5:$D$393,MATCH(B728,Paletes!$A$5:$A$393,0)),0)</f>
      </c>
      <c r="W728" s="43">
        <f>IF(V728=0,0,J728/V728)</f>
      </c>
      <c r="X728" s="43">
        <f>IF(V728=0,0,MAX(M728,0)/V728)</f>
      </c>
    </row>
    <row r="729" spans="1:24" x14ac:dyDescent="0.25">
      <c r="A729" s="20" t="str">
        <f>B729&amp;"."&amp;IFERROR(MID(D729,FIND("(",D729)+1,FIND(")",D729)-FIND("(",D729)-1),"")</f>
        <v>84586.31465</v>
      </c>
      <c r="B729" s="21">
        <v>84586</v>
      </c>
      <c r="C729" s="20" t="s">
        <v>405</v>
      </c>
      <c r="D729" s="20" t="s">
        <v>1099</v>
      </c>
      <c r="E729" s="20">
        <v>96478</v>
      </c>
      <c r="F729" s="20" t="s">
        <v>26</v>
      </c>
      <c r="G729" s="20" t="s">
        <v>51</v>
      </c>
      <c r="H729" s="22">
        <f>IFERROR(INDEX(Linha!$B$5:$B$788,MATCH(A729,Linha!$A$5:$A$788,0)),"NÃO CADASTRADO")</f>
      </c>
      <c r="I729" s="22">
        <f>IFERROR(INDEX(Linha!$C$5:$C$788,MATCH(A729,Linha!$A$5:$A$788,0)),"-")</f>
      </c>
      <c r="J729" s="23">
        <v>10</v>
      </c>
      <c r="K729" s="24">
        <f>IFERROR(INDEX(Linha!$D$5:$D$788,MATCH(A729,Linha!$A$5:$A$788,0))*1,0)</f>
      </c>
      <c r="L729" s="24">
        <f>SUMIFS(Reservas!$K$5:$K$3669,Reservas!$A$5:$A$3669,A729)</f>
      </c>
      <c r="M729" s="25">
        <f>J729-L729</f>
      </c>
      <c r="N729" s="26">
        <v>47.238</v>
      </c>
      <c r="O729" s="25">
        <f>J729*N729</f>
      </c>
      <c r="P729" s="25">
        <f>L729*N729</f>
      </c>
      <c r="Q729" s="27">
        <v>184.06102781</v>
      </c>
      <c r="R729" s="28">
        <f>J729*Q729</f>
      </c>
      <c r="S729" s="28">
        <f>L729*Q729</f>
      </c>
      <c r="T729" s="29">
        <f>IF(J729=0,0,L729/J729)</f>
      </c>
      <c r="U729" s="30">
        <f>IFERROR(INDEX(Paletes!$C$5:$C$393,MATCH(B729,Paletes!$A$5:$A$393,0)),"SEM CADASTRO")</f>
      </c>
      <c r="V729" s="24">
        <f>IFERROR(INDEX(Paletes!$D$5:$D$393,MATCH(B729,Paletes!$A$5:$A$393,0)),0)</f>
      </c>
      <c r="W729" s="31">
        <f>IF(V729=0,0,J729/V729)</f>
      </c>
      <c r="X729" s="31">
        <f>IF(V729=0,0,MAX(M729,0)/V729)</f>
      </c>
    </row>
    <row r="730" spans="1:24" x14ac:dyDescent="0.25">
      <c r="A730" s="32" t="str">
        <f>B730&amp;"."&amp;IFERROR(MID(D730,FIND("(",D730)+1,FIND(")",D730)-FIND("(",D730)-1),"")</f>
        <v>84931.37071</v>
      </c>
      <c r="B730" s="33">
        <v>84931</v>
      </c>
      <c r="C730" s="32" t="s">
        <v>1100</v>
      </c>
      <c r="D730" s="32" t="s">
        <v>1101</v>
      </c>
      <c r="E730" s="32">
        <v>96459</v>
      </c>
      <c r="F730" s="32" t="s">
        <v>24</v>
      </c>
      <c r="G730" s="32" t="s">
        <v>51</v>
      </c>
      <c r="H730" s="34">
        <f>IFERROR(INDEX(Linha!$B$5:$B$788,MATCH(A730,Linha!$A$5:$A$788,0)),"NÃO CADASTRADO")</f>
      </c>
      <c r="I730" s="34">
        <f>IFERROR(INDEX(Linha!$C$5:$C$788,MATCH(A730,Linha!$A$5:$A$788,0)),"-")</f>
      </c>
      <c r="J730" s="35">
        <v>0</v>
      </c>
      <c r="K730" s="36">
        <f>IFERROR(INDEX(Linha!$D$5:$D$788,MATCH(A730,Linha!$A$5:$A$788,0))*1,0)</f>
      </c>
      <c r="L730" s="36">
        <f>SUMIFS(Reservas!$K$5:$K$3669,Reservas!$A$5:$A$3669,A730)</f>
      </c>
      <c r="M730" s="37">
        <f>J730-L730</f>
      </c>
      <c r="N730" s="38">
        <v>36.036</v>
      </c>
      <c r="O730" s="37">
        <f>J730*N730</f>
      </c>
      <c r="P730" s="37">
        <f>L730*N730</f>
      </c>
      <c r="Q730" s="39">
        <v>210.98948962</v>
      </c>
      <c r="R730" s="40">
        <f>J730*Q730</f>
      </c>
      <c r="S730" s="40">
        <f>L730*Q730</f>
      </c>
      <c r="T730" s="41">
        <f>IF(J730=0,0,L730/J730)</f>
      </c>
      <c r="U730" s="42">
        <f>IFERROR(INDEX(Paletes!$C$5:$C$393,MATCH(B730,Paletes!$A$5:$A$393,0)),"SEM CADASTRO")</f>
      </c>
      <c r="V730" s="36">
        <f>IFERROR(INDEX(Paletes!$D$5:$D$393,MATCH(B730,Paletes!$A$5:$A$393,0)),0)</f>
      </c>
      <c r="W730" s="43">
        <f>IF(V730=0,0,J730/V730)</f>
      </c>
      <c r="X730" s="43">
        <f>IF(V730=0,0,MAX(M730,0)/V730)</f>
      </c>
    </row>
    <row r="731" spans="1:24" x14ac:dyDescent="0.25">
      <c r="A731" s="20" t="str">
        <f>B731&amp;"."&amp;IFERROR(MID(D731,FIND("(",D731)+1,FIND(")",D731)-FIND("(",D731)-1),"")</f>
        <v>87563.93211</v>
      </c>
      <c r="B731" s="21">
        <v>87563</v>
      </c>
      <c r="C731" s="20" t="s">
        <v>553</v>
      </c>
      <c r="D731" s="20" t="s">
        <v>1102</v>
      </c>
      <c r="E731" s="20">
        <v>105324</v>
      </c>
      <c r="F731" s="20" t="s">
        <v>26</v>
      </c>
      <c r="G731" s="20" t="s">
        <v>51</v>
      </c>
      <c r="H731" s="22">
        <f>IFERROR(INDEX(Linha!$B$5:$B$788,MATCH(A731,Linha!$A$5:$A$788,0)),"NÃO CADASTRADO")</f>
      </c>
      <c r="I731" s="22">
        <f>IFERROR(INDEX(Linha!$C$5:$C$788,MATCH(A731,Linha!$A$5:$A$788,0)),"-")</f>
      </c>
      <c r="J731" s="23">
        <v>586</v>
      </c>
      <c r="K731" s="24">
        <f>IFERROR(INDEX(Linha!$D$5:$D$788,MATCH(A731,Linha!$A$5:$A$788,0))*1,0)</f>
      </c>
      <c r="L731" s="24">
        <f>SUMIFS(Reservas!$K$5:$K$3669,Reservas!$A$5:$A$3669,A731)</f>
      </c>
      <c r="M731" s="25">
        <f>J731-L731</f>
      </c>
      <c r="N731" s="26">
        <v>1.41</v>
      </c>
      <c r="O731" s="25">
        <f>J731*N731</f>
      </c>
      <c r="P731" s="25">
        <f>L731*N731</f>
      </c>
      <c r="Q731" s="27">
        <v>45.86081671</v>
      </c>
      <c r="R731" s="28">
        <f>J731*Q731</f>
      </c>
      <c r="S731" s="28">
        <f>L731*Q731</f>
      </c>
      <c r="T731" s="29">
        <f>IF(J731=0,0,L731/J731)</f>
      </c>
      <c r="U731" s="30">
        <f>IFERROR(INDEX(Paletes!$C$5:$C$393,MATCH(B731,Paletes!$A$5:$A$393,0)),"SEM CADASTRO")</f>
      </c>
      <c r="V731" s="24">
        <f>IFERROR(INDEX(Paletes!$D$5:$D$393,MATCH(B731,Paletes!$A$5:$A$393,0)),0)</f>
      </c>
      <c r="W731" s="31">
        <f>IF(V731=0,0,J731/V731)</f>
      </c>
      <c r="X731" s="31">
        <f>IF(V731=0,0,MAX(M731,0)/V731)</f>
      </c>
    </row>
    <row r="732" spans="1:24" x14ac:dyDescent="0.25">
      <c r="A732" s="32" t="str">
        <f>B732&amp;"."&amp;IFERROR(MID(D732,FIND("(",D732)+1,FIND(")",D732)-FIND("(",D732)-1),"")</f>
        <v>74269.72164</v>
      </c>
      <c r="B732" s="33">
        <v>74269</v>
      </c>
      <c r="C732" s="32" t="s">
        <v>412</v>
      </c>
      <c r="D732" s="32" t="s">
        <v>1103</v>
      </c>
      <c r="E732" s="32">
        <v>60615</v>
      </c>
      <c r="F732" s="32" t="s">
        <v>26</v>
      </c>
      <c r="G732" s="32" t="s">
        <v>51</v>
      </c>
      <c r="H732" s="34">
        <f>IFERROR(INDEX(Linha!$B$5:$B$788,MATCH(A732,Linha!$A$5:$A$788,0)),"NÃO CADASTRADO")</f>
      </c>
      <c r="I732" s="34">
        <f>IFERROR(INDEX(Linha!$C$5:$C$788,MATCH(A732,Linha!$A$5:$A$788,0)),"-")</f>
      </c>
      <c r="J732" s="35">
        <v>5</v>
      </c>
      <c r="K732" s="36">
        <f>IFERROR(INDEX(Linha!$D$5:$D$788,MATCH(A732,Linha!$A$5:$A$788,0))*1,0)</f>
      </c>
      <c r="L732" s="36">
        <f>SUMIFS(Reservas!$K$5:$K$3669,Reservas!$A$5:$A$3669,A732)</f>
      </c>
      <c r="M732" s="37">
        <f>J732-L732</f>
      </c>
      <c r="N732" s="38">
        <v>47.04</v>
      </c>
      <c r="O732" s="37">
        <f>J732*N732</f>
      </c>
      <c r="P732" s="37">
        <f>L732*N732</f>
      </c>
      <c r="Q732" s="39">
        <v>147.73343332</v>
      </c>
      <c r="R732" s="40">
        <f>J732*Q732</f>
      </c>
      <c r="S732" s="40">
        <f>L732*Q732</f>
      </c>
      <c r="T732" s="41">
        <f>IF(J732=0,0,L732/J732)</f>
      </c>
      <c r="U732" s="42">
        <f>IFERROR(INDEX(Paletes!$C$5:$C$393,MATCH(B732,Paletes!$A$5:$A$393,0)),"SEM CADASTRO")</f>
      </c>
      <c r="V732" s="36">
        <f>IFERROR(INDEX(Paletes!$D$5:$D$393,MATCH(B732,Paletes!$A$5:$A$393,0)),0)</f>
      </c>
      <c r="W732" s="43">
        <f>IF(V732=0,0,J732/V732)</f>
      </c>
      <c r="X732" s="43">
        <f>IF(V732=0,0,MAX(M732,0)/V732)</f>
      </c>
    </row>
    <row r="733" spans="1:24" x14ac:dyDescent="0.25">
      <c r="A733" s="20" t="str">
        <f>B733&amp;"."&amp;IFERROR(MID(D733,FIND("(",D733)+1,FIND(")",D733)-FIND("(",D733)-1),"")</f>
        <v>73545.16382</v>
      </c>
      <c r="B733" s="21">
        <v>73545</v>
      </c>
      <c r="C733" s="20" t="s">
        <v>414</v>
      </c>
      <c r="D733" s="20" t="s">
        <v>1104</v>
      </c>
      <c r="E733" s="20">
        <v>54258</v>
      </c>
      <c r="F733" s="20" t="s">
        <v>25</v>
      </c>
      <c r="G733" s="20" t="s">
        <v>51</v>
      </c>
      <c r="H733" s="22">
        <f>IFERROR(INDEX(Linha!$B$5:$B$788,MATCH(A733,Linha!$A$5:$A$788,0)),"NÃO CADASTRADO")</f>
      </c>
      <c r="I733" s="22">
        <f>IFERROR(INDEX(Linha!$C$5:$C$788,MATCH(A733,Linha!$A$5:$A$788,0)),"-")</f>
      </c>
      <c r="J733" s="23">
        <v>26</v>
      </c>
      <c r="K733" s="24">
        <f>IFERROR(INDEX(Linha!$D$5:$D$788,MATCH(A733,Linha!$A$5:$A$788,0))*1,0)</f>
      </c>
      <c r="L733" s="24">
        <f>SUMIFS(Reservas!$K$5:$K$3669,Reservas!$A$5:$A$3669,A733)</f>
      </c>
      <c r="M733" s="25">
        <f>J733-L733</f>
      </c>
      <c r="N733" s="26">
        <v>11.358</v>
      </c>
      <c r="O733" s="25">
        <f>J733*N733</f>
      </c>
      <c r="P733" s="25">
        <f>L733*N733</f>
      </c>
      <c r="Q733" s="27">
        <v>78.63530468</v>
      </c>
      <c r="R733" s="28">
        <f>J733*Q733</f>
      </c>
      <c r="S733" s="28">
        <f>L733*Q733</f>
      </c>
      <c r="T733" s="29">
        <f>IF(J733=0,0,L733/J733)</f>
      </c>
      <c r="U733" s="30">
        <f>IFERROR(INDEX(Paletes!$C$5:$C$393,MATCH(B733,Paletes!$A$5:$A$393,0)),"SEM CADASTRO")</f>
      </c>
      <c r="V733" s="24">
        <f>IFERROR(INDEX(Paletes!$D$5:$D$393,MATCH(B733,Paletes!$A$5:$A$393,0)),0)</f>
      </c>
      <c r="W733" s="31">
        <f>IF(V733=0,0,J733/V733)</f>
      </c>
      <c r="X733" s="31">
        <f>IF(V733=0,0,MAX(M733,0)/V733)</f>
      </c>
    </row>
    <row r="734" spans="1:24" x14ac:dyDescent="0.25">
      <c r="A734" s="32" t="str">
        <f>B734&amp;"."&amp;IFERROR(MID(D734,FIND("(",D734)+1,FIND(")",D734)-FIND("(",D734)-1),"")</f>
        <v>73545.16384</v>
      </c>
      <c r="B734" s="33">
        <v>73545</v>
      </c>
      <c r="C734" s="32" t="s">
        <v>414</v>
      </c>
      <c r="D734" s="32" t="s">
        <v>1105</v>
      </c>
      <c r="E734" s="32">
        <v>54258</v>
      </c>
      <c r="F734" s="32" t="s">
        <v>25</v>
      </c>
      <c r="G734" s="32" t="s">
        <v>51</v>
      </c>
      <c r="H734" s="34">
        <f>IFERROR(INDEX(Linha!$B$5:$B$788,MATCH(A734,Linha!$A$5:$A$788,0)),"NÃO CADASTRADO")</f>
      </c>
      <c r="I734" s="34">
        <f>IFERROR(INDEX(Linha!$C$5:$C$788,MATCH(A734,Linha!$A$5:$A$788,0)),"-")</f>
      </c>
      <c r="J734" s="35">
        <v>29</v>
      </c>
      <c r="K734" s="36">
        <f>IFERROR(INDEX(Linha!$D$5:$D$788,MATCH(A734,Linha!$A$5:$A$788,0))*1,0)</f>
      </c>
      <c r="L734" s="36">
        <f>SUMIFS(Reservas!$K$5:$K$3669,Reservas!$A$5:$A$3669,A734)</f>
      </c>
      <c r="M734" s="37">
        <f>J734-L734</f>
      </c>
      <c r="N734" s="38">
        <v>11.358</v>
      </c>
      <c r="O734" s="37">
        <f>J734*N734</f>
      </c>
      <c r="P734" s="37">
        <f>L734*N734</f>
      </c>
      <c r="Q734" s="39">
        <v>75.61530468</v>
      </c>
      <c r="R734" s="40">
        <f>J734*Q734</f>
      </c>
      <c r="S734" s="40">
        <f>L734*Q734</f>
      </c>
      <c r="T734" s="41">
        <f>IF(J734=0,0,L734/J734)</f>
      </c>
      <c r="U734" s="42">
        <f>IFERROR(INDEX(Paletes!$C$5:$C$393,MATCH(B734,Paletes!$A$5:$A$393,0)),"SEM CADASTRO")</f>
      </c>
      <c r="V734" s="36">
        <f>IFERROR(INDEX(Paletes!$D$5:$D$393,MATCH(B734,Paletes!$A$5:$A$393,0)),0)</f>
      </c>
      <c r="W734" s="43">
        <f>IF(V734=0,0,J734/V734)</f>
      </c>
      <c r="X734" s="43">
        <f>IF(V734=0,0,MAX(M734,0)/V734)</f>
      </c>
    </row>
    <row r="735" spans="1:24" x14ac:dyDescent="0.25">
      <c r="A735" s="20" t="str">
        <f>B735&amp;"."&amp;IFERROR(MID(D735,FIND("(",D735)+1,FIND(")",D735)-FIND("(",D735)-1),"")</f>
        <v>75871.13621</v>
      </c>
      <c r="B735" s="21">
        <v>75871</v>
      </c>
      <c r="C735" s="20" t="s">
        <v>95</v>
      </c>
      <c r="D735" s="20" t="s">
        <v>1106</v>
      </c>
      <c r="E735" s="20">
        <v>91885</v>
      </c>
      <c r="F735" s="20" t="s">
        <v>26</v>
      </c>
      <c r="G735" s="20" t="s">
        <v>51</v>
      </c>
      <c r="H735" s="22">
        <f>IFERROR(INDEX(Linha!$B$5:$B$788,MATCH(A735,Linha!$A$5:$A$788,0)),"NÃO CADASTRADO")</f>
      </c>
      <c r="I735" s="22">
        <f>IFERROR(INDEX(Linha!$C$5:$C$788,MATCH(A735,Linha!$A$5:$A$788,0)),"-")</f>
      </c>
      <c r="J735" s="23">
        <v>23</v>
      </c>
      <c r="K735" s="24">
        <f>IFERROR(INDEX(Linha!$D$5:$D$788,MATCH(A735,Linha!$A$5:$A$788,0))*1,0)</f>
      </c>
      <c r="L735" s="24">
        <f>SUMIFS(Reservas!$K$5:$K$3669,Reservas!$A$5:$A$3669,A735)</f>
      </c>
      <c r="M735" s="25">
        <f>J735-L735</f>
      </c>
      <c r="N735" s="26">
        <v>17.062</v>
      </c>
      <c r="O735" s="25">
        <f>J735*N735</f>
      </c>
      <c r="P735" s="25">
        <f>L735*N735</f>
      </c>
      <c r="Q735" s="27">
        <v>52.09155803</v>
      </c>
      <c r="R735" s="28">
        <f>J735*Q735</f>
      </c>
      <c r="S735" s="28">
        <f>L735*Q735</f>
      </c>
      <c r="T735" s="29">
        <f>IF(J735=0,0,L735/J735)</f>
      </c>
      <c r="U735" s="30">
        <f>IFERROR(INDEX(Paletes!$C$5:$C$393,MATCH(B735,Paletes!$A$5:$A$393,0)),"SEM CADASTRO")</f>
      </c>
      <c r="V735" s="24">
        <f>IFERROR(INDEX(Paletes!$D$5:$D$393,MATCH(B735,Paletes!$A$5:$A$393,0)),0)</f>
      </c>
      <c r="W735" s="31">
        <f>IF(V735=0,0,J735/V735)</f>
      </c>
      <c r="X735" s="31">
        <f>IF(V735=0,0,MAX(M735,0)/V735)</f>
      </c>
    </row>
    <row r="736" spans="1:24" x14ac:dyDescent="0.25">
      <c r="A736" s="32" t="str">
        <f>B736&amp;"."&amp;IFERROR(MID(D736,FIND("(",D736)+1,FIND(")",D736)-FIND("(",D736)-1),"")</f>
        <v>84877.30941</v>
      </c>
      <c r="B736" s="33">
        <v>84877</v>
      </c>
      <c r="C736" s="32" t="s">
        <v>418</v>
      </c>
      <c r="D736" s="32" t="s">
        <v>1107</v>
      </c>
      <c r="E736" s="32">
        <v>96634</v>
      </c>
      <c r="F736" s="32" t="s">
        <v>26</v>
      </c>
      <c r="G736" s="32" t="s">
        <v>51</v>
      </c>
      <c r="H736" s="34">
        <f>IFERROR(INDEX(Linha!$B$5:$B$788,MATCH(A736,Linha!$A$5:$A$788,0)),"NÃO CADASTRADO")</f>
      </c>
      <c r="I736" s="34">
        <f>IFERROR(INDEX(Linha!$C$5:$C$788,MATCH(A736,Linha!$A$5:$A$788,0)),"-")</f>
      </c>
      <c r="J736" s="35">
        <v>0</v>
      </c>
      <c r="K736" s="36">
        <f>IFERROR(INDEX(Linha!$D$5:$D$788,MATCH(A736,Linha!$A$5:$A$788,0))*1,0)</f>
      </c>
      <c r="L736" s="36">
        <f>SUMIFS(Reservas!$K$5:$K$3669,Reservas!$A$5:$A$3669,A736)</f>
      </c>
      <c r="M736" s="37">
        <f>J736-L736</f>
      </c>
      <c r="N736" s="38">
        <v>54.97</v>
      </c>
      <c r="O736" s="37">
        <f>J736*N736</f>
      </c>
      <c r="P736" s="37">
        <f>L736*N736</f>
      </c>
      <c r="Q736" s="39">
        <v>182.79456239</v>
      </c>
      <c r="R736" s="40">
        <f>J736*Q736</f>
      </c>
      <c r="S736" s="40">
        <f>L736*Q736</f>
      </c>
      <c r="T736" s="41">
        <f>IF(J736=0,0,L736/J736)</f>
      </c>
      <c r="U736" s="42">
        <f>IFERROR(INDEX(Paletes!$C$5:$C$393,MATCH(B736,Paletes!$A$5:$A$393,0)),"SEM CADASTRO")</f>
      </c>
      <c r="V736" s="36">
        <f>IFERROR(INDEX(Paletes!$D$5:$D$393,MATCH(B736,Paletes!$A$5:$A$393,0)),0)</f>
      </c>
      <c r="W736" s="43">
        <f>IF(V736=0,0,J736/V736)</f>
      </c>
      <c r="X736" s="43">
        <f>IF(V736=0,0,MAX(M736,0)/V736)</f>
      </c>
    </row>
    <row r="737" spans="1:24" x14ac:dyDescent="0.25">
      <c r="A737" s="20" t="str">
        <f>B737&amp;"."&amp;IFERROR(MID(D737,FIND("(",D737)+1,FIND(")",D737)-FIND("(",D737)-1),"")</f>
        <v>2284.15525</v>
      </c>
      <c r="B737" s="21">
        <v>2284</v>
      </c>
      <c r="C737" s="20" t="s">
        <v>981</v>
      </c>
      <c r="D737" s="20" t="s">
        <v>1108</v>
      </c>
      <c r="E737" s="20">
        <v>86875</v>
      </c>
      <c r="F737" s="20" t="s">
        <v>26</v>
      </c>
      <c r="G737" s="20" t="s">
        <v>51</v>
      </c>
      <c r="H737" s="22">
        <f>IFERROR(INDEX(Linha!$B$5:$B$788,MATCH(A737,Linha!$A$5:$A$788,0)),"NÃO CADASTRADO")</f>
      </c>
      <c r="I737" s="22">
        <f>IFERROR(INDEX(Linha!$C$5:$C$788,MATCH(A737,Linha!$A$5:$A$788,0)),"-")</f>
      </c>
      <c r="J737" s="23">
        <v>1</v>
      </c>
      <c r="K737" s="24">
        <f>IFERROR(INDEX(Linha!$D$5:$D$788,MATCH(A737,Linha!$A$5:$A$788,0))*1,0)</f>
      </c>
      <c r="L737" s="24">
        <f>SUMIFS(Reservas!$K$5:$K$3669,Reservas!$A$5:$A$3669,A737)</f>
      </c>
      <c r="M737" s="25">
        <f>J737-L737</f>
      </c>
      <c r="N737" s="26">
        <v>17.062</v>
      </c>
      <c r="O737" s="25">
        <f>J737*N737</f>
      </c>
      <c r="P737" s="25">
        <f>L737*N737</f>
      </c>
      <c r="Q737" s="27">
        <v>57.95155803</v>
      </c>
      <c r="R737" s="28">
        <f>J737*Q737</f>
      </c>
      <c r="S737" s="28">
        <f>L737*Q737</f>
      </c>
      <c r="T737" s="29">
        <f>IF(J737=0,0,L737/J737)</f>
      </c>
      <c r="U737" s="30">
        <f>IFERROR(INDEX(Paletes!$C$5:$C$393,MATCH(B737,Paletes!$A$5:$A$393,0)),"SEM CADASTRO")</f>
      </c>
      <c r="V737" s="24">
        <f>IFERROR(INDEX(Paletes!$D$5:$D$393,MATCH(B737,Paletes!$A$5:$A$393,0)),0)</f>
      </c>
      <c r="W737" s="31">
        <f>IF(V737=0,0,J737/V737)</f>
      </c>
      <c r="X737" s="31">
        <f>IF(V737=0,0,MAX(M737,0)/V737)</f>
      </c>
    </row>
    <row r="738" spans="1:24" x14ac:dyDescent="0.25">
      <c r="A738" s="32" t="str">
        <f>B738&amp;"."&amp;IFERROR(MID(D738,FIND("(",D738)+1,FIND(")",D738)-FIND("(",D738)-1),"")</f>
        <v>76348.13617</v>
      </c>
      <c r="B738" s="33">
        <v>76348</v>
      </c>
      <c r="C738" s="32" t="s">
        <v>563</v>
      </c>
      <c r="D738" s="32" t="s">
        <v>1109</v>
      </c>
      <c r="E738" s="32">
        <v>91883</v>
      </c>
      <c r="F738" s="32" t="s">
        <v>26</v>
      </c>
      <c r="G738" s="32" t="s">
        <v>51</v>
      </c>
      <c r="H738" s="34">
        <f>IFERROR(INDEX(Linha!$B$5:$B$788,MATCH(A738,Linha!$A$5:$A$788,0)),"NÃO CADASTRADO")</f>
      </c>
      <c r="I738" s="34">
        <f>IFERROR(INDEX(Linha!$C$5:$C$788,MATCH(A738,Linha!$A$5:$A$788,0)),"-")</f>
      </c>
      <c r="J738" s="35">
        <v>0</v>
      </c>
      <c r="K738" s="36">
        <f>IFERROR(INDEX(Linha!$D$5:$D$788,MATCH(A738,Linha!$A$5:$A$788,0))*1,0)</f>
      </c>
      <c r="L738" s="36">
        <f>SUMIFS(Reservas!$K$5:$K$3669,Reservas!$A$5:$A$3669,A738)</f>
      </c>
      <c r="M738" s="37">
        <f>J738-L738</f>
      </c>
      <c r="N738" s="38">
        <v>52.162</v>
      </c>
      <c r="O738" s="37">
        <f>J738*N738</f>
      </c>
      <c r="P738" s="37">
        <f>L738*N738</f>
      </c>
      <c r="Q738" s="39">
        <v>175.9561917</v>
      </c>
      <c r="R738" s="40">
        <f>J738*Q738</f>
      </c>
      <c r="S738" s="40">
        <f>L738*Q738</f>
      </c>
      <c r="T738" s="41">
        <f>IF(J738=0,0,L738/J738)</f>
      </c>
      <c r="U738" s="42">
        <f>IFERROR(INDEX(Paletes!$C$5:$C$393,MATCH(B738,Paletes!$A$5:$A$393,0)),"SEM CADASTRO")</f>
      </c>
      <c r="V738" s="36">
        <f>IFERROR(INDEX(Paletes!$D$5:$D$393,MATCH(B738,Paletes!$A$5:$A$393,0)),0)</f>
      </c>
      <c r="W738" s="43">
        <f>IF(V738=0,0,J738/V738)</f>
      </c>
      <c r="X738" s="43">
        <f>IF(V738=0,0,MAX(M738,0)/V738)</f>
      </c>
    </row>
    <row r="739" spans="1:24" x14ac:dyDescent="0.25">
      <c r="A739" s="20" t="str">
        <f>B739&amp;"."&amp;IFERROR(MID(D739,FIND("(",D739)+1,FIND(")",D739)-FIND("(",D739)-1),"")</f>
        <v>73539.16557</v>
      </c>
      <c r="B739" s="21">
        <v>73539</v>
      </c>
      <c r="C739" s="20" t="s">
        <v>105</v>
      </c>
      <c r="D739" s="20" t="s">
        <v>1110</v>
      </c>
      <c r="E739" s="20">
        <v>73511</v>
      </c>
      <c r="F739" s="20" t="s">
        <v>25</v>
      </c>
      <c r="G739" s="20" t="s">
        <v>51</v>
      </c>
      <c r="H739" s="22">
        <f>IFERROR(INDEX(Linha!$B$5:$B$788,MATCH(A739,Linha!$A$5:$A$788,0)),"NÃO CADASTRADO")</f>
      </c>
      <c r="I739" s="22">
        <f>IFERROR(INDEX(Linha!$C$5:$C$788,MATCH(A739,Linha!$A$5:$A$788,0)),"-")</f>
      </c>
      <c r="J739" s="23">
        <v>2</v>
      </c>
      <c r="K739" s="24">
        <f>IFERROR(INDEX(Linha!$D$5:$D$788,MATCH(A739,Linha!$A$5:$A$788,0))*1,0)</f>
      </c>
      <c r="L739" s="24">
        <f>SUMIFS(Reservas!$K$5:$K$3669,Reservas!$A$5:$A$3669,A739)</f>
      </c>
      <c r="M739" s="25">
        <f>J739-L739</f>
      </c>
      <c r="N739" s="26">
        <v>12.675</v>
      </c>
      <c r="O739" s="25">
        <f>J739*N739</f>
      </c>
      <c r="P739" s="25">
        <f>L739*N739</f>
      </c>
      <c r="Q739" s="27">
        <v>70.96639149</v>
      </c>
      <c r="R739" s="28">
        <f>J739*Q739</f>
      </c>
      <c r="S739" s="28">
        <f>L739*Q739</f>
      </c>
      <c r="T739" s="29">
        <f>IF(J739=0,0,L739/J739)</f>
      </c>
      <c r="U739" s="30">
        <f>IFERROR(INDEX(Paletes!$C$5:$C$393,MATCH(B739,Paletes!$A$5:$A$393,0)),"SEM CADASTRO")</f>
      </c>
      <c r="V739" s="24">
        <f>IFERROR(INDEX(Paletes!$D$5:$D$393,MATCH(B739,Paletes!$A$5:$A$393,0)),0)</f>
      </c>
      <c r="W739" s="31">
        <f>IF(V739=0,0,J739/V739)</f>
      </c>
      <c r="X739" s="31">
        <f>IF(V739=0,0,MAX(M739,0)/V739)</f>
      </c>
    </row>
    <row r="740" spans="1:24" x14ac:dyDescent="0.25">
      <c r="A740" s="32" t="str">
        <f>B740&amp;"."&amp;IFERROR(MID(D740,FIND("(",D740)+1,FIND(")",D740)-FIND("(",D740)-1),"")</f>
        <v>73996.15811</v>
      </c>
      <c r="B740" s="33">
        <v>73996</v>
      </c>
      <c r="C740" s="32" t="s">
        <v>1111</v>
      </c>
      <c r="D740" s="32" t="s">
        <v>1112</v>
      </c>
      <c r="E740" s="32">
        <v>53939</v>
      </c>
      <c r="F740" s="32" t="s">
        <v>26</v>
      </c>
      <c r="G740" s="32" t="s">
        <v>51</v>
      </c>
      <c r="H740" s="34">
        <f>IFERROR(INDEX(Linha!$B$5:$B$788,MATCH(A740,Linha!$A$5:$A$788,0)),"NÃO CADASTRADO")</f>
      </c>
      <c r="I740" s="34">
        <f>IFERROR(INDEX(Linha!$C$5:$C$788,MATCH(A740,Linha!$A$5:$A$788,0)),"-")</f>
      </c>
      <c r="J740" s="35">
        <v>1</v>
      </c>
      <c r="K740" s="36">
        <f>IFERROR(INDEX(Linha!$D$5:$D$788,MATCH(A740,Linha!$A$5:$A$788,0))*1,0)</f>
      </c>
      <c r="L740" s="36">
        <f>SUMIFS(Reservas!$K$5:$K$3669,Reservas!$A$5:$A$3669,A740)</f>
      </c>
      <c r="M740" s="37">
        <f>J740-L740</f>
      </c>
      <c r="N740" s="38">
        <v>38.61</v>
      </c>
      <c r="O740" s="37">
        <f>J740*N740</f>
      </c>
      <c r="P740" s="37">
        <f>L740*N740</f>
      </c>
      <c r="Q740" s="39">
        <v>145.48164342</v>
      </c>
      <c r="R740" s="40">
        <f>J740*Q740</f>
      </c>
      <c r="S740" s="40">
        <f>L740*Q740</f>
      </c>
      <c r="T740" s="41">
        <f>IF(J740=0,0,L740/J740)</f>
      </c>
      <c r="U740" s="42">
        <f>IFERROR(INDEX(Paletes!$C$5:$C$393,MATCH(B740,Paletes!$A$5:$A$393,0)),"SEM CADASTRO")</f>
      </c>
      <c r="V740" s="36">
        <f>IFERROR(INDEX(Paletes!$D$5:$D$393,MATCH(B740,Paletes!$A$5:$A$393,0)),0)</f>
      </c>
      <c r="W740" s="43">
        <f>IF(V740=0,0,J740/V740)</f>
      </c>
      <c r="X740" s="43">
        <f>IF(V740=0,0,MAX(M740,0)/V740)</f>
      </c>
    </row>
    <row r="741" spans="1:24" x14ac:dyDescent="0.25">
      <c r="A741" s="20" t="str">
        <f>B741&amp;"."&amp;IFERROR(MID(D741,FIND("(",D741)+1,FIND(")",D741)-FIND("(",D741)-1),"")</f>
        <v>73996.72176</v>
      </c>
      <c r="B741" s="21">
        <v>73996</v>
      </c>
      <c r="C741" s="20" t="s">
        <v>1111</v>
      </c>
      <c r="D741" s="20" t="s">
        <v>1113</v>
      </c>
      <c r="E741" s="20">
        <v>53939</v>
      </c>
      <c r="F741" s="20" t="s">
        <v>26</v>
      </c>
      <c r="G741" s="20" t="s">
        <v>51</v>
      </c>
      <c r="H741" s="22">
        <f>IFERROR(INDEX(Linha!$B$5:$B$788,MATCH(A741,Linha!$A$5:$A$788,0)),"NÃO CADASTRADO")</f>
      </c>
      <c r="I741" s="22">
        <f>IFERROR(INDEX(Linha!$C$5:$C$788,MATCH(A741,Linha!$A$5:$A$788,0)),"-")</f>
      </c>
      <c r="J741" s="23">
        <v>1</v>
      </c>
      <c r="K741" s="24">
        <f>IFERROR(INDEX(Linha!$D$5:$D$788,MATCH(A741,Linha!$A$5:$A$788,0))*1,0)</f>
      </c>
      <c r="L741" s="24">
        <f>SUMIFS(Reservas!$K$5:$K$3669,Reservas!$A$5:$A$3669,A741)</f>
      </c>
      <c r="M741" s="25">
        <f>J741-L741</f>
      </c>
      <c r="N741" s="26">
        <v>38.61</v>
      </c>
      <c r="O741" s="25">
        <f>J741*N741</f>
      </c>
      <c r="P741" s="25">
        <f>L741*N741</f>
      </c>
      <c r="Q741" s="27">
        <v>138.8001791</v>
      </c>
      <c r="R741" s="28">
        <f>J741*Q741</f>
      </c>
      <c r="S741" s="28">
        <f>L741*Q741</f>
      </c>
      <c r="T741" s="29">
        <f>IF(J741=0,0,L741/J741)</f>
      </c>
      <c r="U741" s="30">
        <f>IFERROR(INDEX(Paletes!$C$5:$C$393,MATCH(B741,Paletes!$A$5:$A$393,0)),"SEM CADASTRO")</f>
      </c>
      <c r="V741" s="24">
        <f>IFERROR(INDEX(Paletes!$D$5:$D$393,MATCH(B741,Paletes!$A$5:$A$393,0)),0)</f>
      </c>
      <c r="W741" s="31">
        <f>IF(V741=0,0,J741/V741)</f>
      </c>
      <c r="X741" s="31">
        <f>IF(V741=0,0,MAX(M741,0)/V741)</f>
      </c>
    </row>
    <row r="742" spans="1:24" x14ac:dyDescent="0.25">
      <c r="A742" s="32" t="str">
        <f>B742&amp;"."&amp;IFERROR(MID(D742,FIND("(",D742)+1,FIND(")",D742)-FIND("(",D742)-1),"")</f>
        <v>74198.31909</v>
      </c>
      <c r="B742" s="33">
        <v>74198</v>
      </c>
      <c r="C742" s="32" t="s">
        <v>566</v>
      </c>
      <c r="D742" s="32" t="s">
        <v>1114</v>
      </c>
      <c r="E742" s="32">
        <v>59225</v>
      </c>
      <c r="F742" s="32" t="s">
        <v>24</v>
      </c>
      <c r="G742" s="32" t="s">
        <v>51</v>
      </c>
      <c r="H742" s="34">
        <f>IFERROR(INDEX(Linha!$B$5:$B$788,MATCH(A742,Linha!$A$5:$A$788,0)),"NÃO CADASTRADO")</f>
      </c>
      <c r="I742" s="34">
        <f>IFERROR(INDEX(Linha!$C$5:$C$788,MATCH(A742,Linha!$A$5:$A$788,0)),"-")</f>
      </c>
      <c r="J742" s="35">
        <v>0</v>
      </c>
      <c r="K742" s="36">
        <f>IFERROR(INDEX(Linha!$D$5:$D$788,MATCH(A742,Linha!$A$5:$A$788,0))*1,0)</f>
      </c>
      <c r="L742" s="36">
        <f>SUMIFS(Reservas!$K$5:$K$3669,Reservas!$A$5:$A$3669,A742)</f>
      </c>
      <c r="M742" s="37">
        <f>J742-L742</f>
      </c>
      <c r="N742" s="38">
        <v>14.87</v>
      </c>
      <c r="O742" s="37">
        <f>J742*N742</f>
      </c>
      <c r="P742" s="37">
        <f>L742*N742</f>
      </c>
      <c r="Q742" s="39">
        <v>80.60797047</v>
      </c>
      <c r="R742" s="40">
        <f>J742*Q742</f>
      </c>
      <c r="S742" s="40">
        <f>L742*Q742</f>
      </c>
      <c r="T742" s="41">
        <f>IF(J742=0,0,L742/J742)</f>
      </c>
      <c r="U742" s="42">
        <f>IFERROR(INDEX(Paletes!$C$5:$C$393,MATCH(B742,Paletes!$A$5:$A$393,0)),"SEM CADASTRO")</f>
      </c>
      <c r="V742" s="36">
        <f>IFERROR(INDEX(Paletes!$D$5:$D$393,MATCH(B742,Paletes!$A$5:$A$393,0)),0)</f>
      </c>
      <c r="W742" s="43">
        <f>IF(V742=0,0,J742/V742)</f>
      </c>
      <c r="X742" s="43">
        <f>IF(V742=0,0,MAX(M742,0)/V742)</f>
      </c>
    </row>
    <row r="743" spans="1:24" x14ac:dyDescent="0.25">
      <c r="A743" s="20" t="str">
        <f>B743&amp;"."&amp;IFERROR(MID(D743,FIND("(",D743)+1,FIND(")",D743)-FIND("(",D743)-1),"")</f>
        <v>74198.67790</v>
      </c>
      <c r="B743" s="21">
        <v>74198</v>
      </c>
      <c r="C743" s="20" t="s">
        <v>566</v>
      </c>
      <c r="D743" s="20" t="s">
        <v>1115</v>
      </c>
      <c r="E743" s="20">
        <v>59225</v>
      </c>
      <c r="F743" s="20" t="s">
        <v>24</v>
      </c>
      <c r="G743" s="20" t="s">
        <v>51</v>
      </c>
      <c r="H743" s="22">
        <f>IFERROR(INDEX(Linha!$B$5:$B$788,MATCH(A743,Linha!$A$5:$A$788,0)),"NÃO CADASTRADO")</f>
      </c>
      <c r="I743" s="22">
        <f>IFERROR(INDEX(Linha!$C$5:$C$788,MATCH(A743,Linha!$A$5:$A$788,0)),"-")</f>
      </c>
      <c r="J743" s="23">
        <v>54</v>
      </c>
      <c r="K743" s="24">
        <f>IFERROR(INDEX(Linha!$D$5:$D$788,MATCH(A743,Linha!$A$5:$A$788,0))*1,0)</f>
      </c>
      <c r="L743" s="24">
        <f>SUMIFS(Reservas!$K$5:$K$3669,Reservas!$A$5:$A$3669,A743)</f>
      </c>
      <c r="M743" s="25">
        <f>J743-L743</f>
      </c>
      <c r="N743" s="26">
        <v>14.87</v>
      </c>
      <c r="O743" s="25">
        <f>J743*N743</f>
      </c>
      <c r="P743" s="25">
        <f>L743*N743</f>
      </c>
      <c r="Q743" s="27">
        <v>82.42074272</v>
      </c>
      <c r="R743" s="28">
        <f>J743*Q743</f>
      </c>
      <c r="S743" s="28">
        <f>L743*Q743</f>
      </c>
      <c r="T743" s="29">
        <f>IF(J743=0,0,L743/J743)</f>
      </c>
      <c r="U743" s="30">
        <f>IFERROR(INDEX(Paletes!$C$5:$C$393,MATCH(B743,Paletes!$A$5:$A$393,0)),"SEM CADASTRO")</f>
      </c>
      <c r="V743" s="24">
        <f>IFERROR(INDEX(Paletes!$D$5:$D$393,MATCH(B743,Paletes!$A$5:$A$393,0)),0)</f>
      </c>
      <c r="W743" s="31">
        <f>IF(V743=0,0,J743/V743)</f>
      </c>
      <c r="X743" s="31">
        <f>IF(V743=0,0,MAX(M743,0)/V743)</f>
      </c>
    </row>
    <row r="744" spans="1:24" x14ac:dyDescent="0.25">
      <c r="A744" s="32" t="str">
        <f>B744&amp;"."&amp;IFERROR(MID(D744,FIND("(",D744)+1,FIND(")",D744)-FIND("(",D744)-1),"")</f>
        <v>74420.32157</v>
      </c>
      <c r="B744" s="33">
        <v>74420</v>
      </c>
      <c r="C744" s="32" t="s">
        <v>1116</v>
      </c>
      <c r="D744" s="32" t="s">
        <v>1117</v>
      </c>
      <c r="E744" s="32">
        <v>73905</v>
      </c>
      <c r="F744" s="32" t="s">
        <v>26</v>
      </c>
      <c r="G744" s="32" t="s">
        <v>51</v>
      </c>
      <c r="H744" s="34">
        <f>IFERROR(INDEX(Linha!$B$5:$B$788,MATCH(A744,Linha!$A$5:$A$788,0)),"NÃO CADASTRADO")</f>
      </c>
      <c r="I744" s="34">
        <f>IFERROR(INDEX(Linha!$C$5:$C$788,MATCH(A744,Linha!$A$5:$A$788,0)),"-")</f>
      </c>
      <c r="J744" s="35">
        <v>0</v>
      </c>
      <c r="K744" s="36">
        <f>IFERROR(INDEX(Linha!$D$5:$D$788,MATCH(A744,Linha!$A$5:$A$788,0))*1,0)</f>
      </c>
      <c r="L744" s="36">
        <f>SUMIFS(Reservas!$K$5:$K$3669,Reservas!$A$5:$A$3669,A744)</f>
      </c>
      <c r="M744" s="37">
        <f>J744-L744</f>
      </c>
      <c r="N744" s="38">
        <v>47.19</v>
      </c>
      <c r="O744" s="37">
        <f>J744*N744</f>
      </c>
      <c r="P744" s="37">
        <f>L744*N744</f>
      </c>
      <c r="Q744" s="39">
        <v>224.89345193</v>
      </c>
      <c r="R744" s="40">
        <f>J744*Q744</f>
      </c>
      <c r="S744" s="40">
        <f>L744*Q744</f>
      </c>
      <c r="T744" s="41">
        <f>IF(J744=0,0,L744/J744)</f>
      </c>
      <c r="U744" s="42">
        <f>IFERROR(INDEX(Paletes!$C$5:$C$393,MATCH(B744,Paletes!$A$5:$A$393,0)),"SEM CADASTRO")</f>
      </c>
      <c r="V744" s="36">
        <f>IFERROR(INDEX(Paletes!$D$5:$D$393,MATCH(B744,Paletes!$A$5:$A$393,0)),0)</f>
      </c>
      <c r="W744" s="43">
        <f>IF(V744=0,0,J744/V744)</f>
      </c>
      <c r="X744" s="43">
        <f>IF(V744=0,0,MAX(M744,0)/V744)</f>
      </c>
    </row>
    <row r="745" spans="1:24" x14ac:dyDescent="0.25">
      <c r="A745" s="20" t="str">
        <f>B745&amp;"."&amp;IFERROR(MID(D745,FIND("(",D745)+1,FIND(")",D745)-FIND("(",D745)-1),"")</f>
        <v>85524.46103</v>
      </c>
      <c r="B745" s="21">
        <v>85524</v>
      </c>
      <c r="C745" s="20" t="s">
        <v>877</v>
      </c>
      <c r="D745" s="20" t="s">
        <v>1118</v>
      </c>
      <c r="E745" s="20">
        <v>97858</v>
      </c>
      <c r="F745" s="20" t="s">
        <v>25</v>
      </c>
      <c r="G745" s="20" t="s">
        <v>51</v>
      </c>
      <c r="H745" s="22">
        <f>IFERROR(INDEX(Linha!$B$5:$B$788,MATCH(A745,Linha!$A$5:$A$788,0)),"NÃO CADASTRADO")</f>
      </c>
      <c r="I745" s="22">
        <f>IFERROR(INDEX(Linha!$C$5:$C$788,MATCH(A745,Linha!$A$5:$A$788,0)),"-")</f>
      </c>
      <c r="J745" s="23">
        <v>42</v>
      </c>
      <c r="K745" s="24">
        <f>IFERROR(INDEX(Linha!$D$5:$D$788,MATCH(A745,Linha!$A$5:$A$788,0))*1,0)</f>
      </c>
      <c r="L745" s="24">
        <f>SUMIFS(Reservas!$K$5:$K$3669,Reservas!$A$5:$A$3669,A745)</f>
      </c>
      <c r="M745" s="25">
        <f>J745-L745</f>
      </c>
      <c r="N745" s="26">
        <v>22.425</v>
      </c>
      <c r="O745" s="25">
        <f>J745*N745</f>
      </c>
      <c r="P745" s="25">
        <f>L745*N745</f>
      </c>
      <c r="Q745" s="27">
        <v>137.14754861</v>
      </c>
      <c r="R745" s="28">
        <f>J745*Q745</f>
      </c>
      <c r="S745" s="28">
        <f>L745*Q745</f>
      </c>
      <c r="T745" s="29">
        <f>IF(J745=0,0,L745/J745)</f>
      </c>
      <c r="U745" s="30">
        <f>IFERROR(INDEX(Paletes!$C$5:$C$393,MATCH(B745,Paletes!$A$5:$A$393,0)),"SEM CADASTRO")</f>
      </c>
      <c r="V745" s="24">
        <f>IFERROR(INDEX(Paletes!$D$5:$D$393,MATCH(B745,Paletes!$A$5:$A$393,0)),0)</f>
      </c>
      <c r="W745" s="31">
        <f>IF(V745=0,0,J745/V745)</f>
      </c>
      <c r="X745" s="31">
        <f>IF(V745=0,0,MAX(M745,0)/V745)</f>
      </c>
    </row>
    <row r="746" spans="1:24" x14ac:dyDescent="0.25">
      <c r="A746" s="32" t="str">
        <f>B746&amp;"."&amp;IFERROR(MID(D746,FIND("(",D746)+1,FIND(")",D746)-FIND("(",D746)-1),"")</f>
        <v>85654.49955</v>
      </c>
      <c r="B746" s="33">
        <v>85654</v>
      </c>
      <c r="C746" s="32" t="s">
        <v>1119</v>
      </c>
      <c r="D746" s="32" t="s">
        <v>1120</v>
      </c>
      <c r="E746" s="32">
        <v>100116</v>
      </c>
      <c r="F746" s="32" t="s">
        <v>24</v>
      </c>
      <c r="G746" s="32" t="s">
        <v>51</v>
      </c>
      <c r="H746" s="34">
        <f>IFERROR(INDEX(Linha!$B$5:$B$788,MATCH(A746,Linha!$A$5:$A$788,0)),"NÃO CADASTRADO")</f>
      </c>
      <c r="I746" s="34">
        <f>IFERROR(INDEX(Linha!$C$5:$C$788,MATCH(A746,Linha!$A$5:$A$788,0)),"-")</f>
      </c>
      <c r="J746" s="35">
        <v>84</v>
      </c>
      <c r="K746" s="36">
        <f>IFERROR(INDEX(Linha!$D$5:$D$788,MATCH(A746,Linha!$A$5:$A$788,0))*1,0)</f>
      </c>
      <c r="L746" s="36">
        <f>SUMIFS(Reservas!$K$5:$K$3669,Reservas!$A$5:$A$3669,A746)</f>
      </c>
      <c r="M746" s="37">
        <f>J746-L746</f>
      </c>
      <c r="N746" s="38">
        <v>36.075</v>
      </c>
      <c r="O746" s="37">
        <f>J746*N746</f>
      </c>
      <c r="P746" s="37">
        <f>L746*N746</f>
      </c>
      <c r="Q746" s="39">
        <v>241.88778301</v>
      </c>
      <c r="R746" s="40">
        <f>J746*Q746</f>
      </c>
      <c r="S746" s="40">
        <f>L746*Q746</f>
      </c>
      <c r="T746" s="41">
        <f>IF(J746=0,0,L746/J746)</f>
      </c>
      <c r="U746" s="42">
        <f>IFERROR(INDEX(Paletes!$C$5:$C$393,MATCH(B746,Paletes!$A$5:$A$393,0)),"SEM CADASTRO")</f>
      </c>
      <c r="V746" s="36">
        <f>IFERROR(INDEX(Paletes!$D$5:$D$393,MATCH(B746,Paletes!$A$5:$A$393,0)),0)</f>
      </c>
      <c r="W746" s="43">
        <f>IF(V746=0,0,J746/V746)</f>
      </c>
      <c r="X746" s="43">
        <f>IF(V746=0,0,MAX(M746,0)/V746)</f>
      </c>
    </row>
    <row r="747" spans="1:24" x14ac:dyDescent="0.25">
      <c r="A747" s="20" t="str">
        <f>B747&amp;"."&amp;IFERROR(MID(D747,FIND("(",D747)+1,FIND(")",D747)-FIND("(",D747)-1),"")</f>
        <v>85335.46267</v>
      </c>
      <c r="B747" s="21">
        <v>85335</v>
      </c>
      <c r="C747" s="20" t="s">
        <v>277</v>
      </c>
      <c r="D747" s="20" t="s">
        <v>1121</v>
      </c>
      <c r="E747" s="20">
        <v>97865</v>
      </c>
      <c r="F747" s="20" t="s">
        <v>25</v>
      </c>
      <c r="G747" s="20" t="s">
        <v>51</v>
      </c>
      <c r="H747" s="22">
        <f>IFERROR(INDEX(Linha!$B$5:$B$788,MATCH(A747,Linha!$A$5:$A$788,0)),"NÃO CADASTRADO")</f>
      </c>
      <c r="I747" s="22">
        <f>IFERROR(INDEX(Linha!$C$5:$C$788,MATCH(A747,Linha!$A$5:$A$788,0)),"-")</f>
      </c>
      <c r="J747" s="23">
        <v>2</v>
      </c>
      <c r="K747" s="24">
        <f>IFERROR(INDEX(Linha!$D$5:$D$788,MATCH(A747,Linha!$A$5:$A$788,0))*1,0)</f>
      </c>
      <c r="L747" s="24">
        <f>SUMIFS(Reservas!$K$5:$K$3669,Reservas!$A$5:$A$3669,A747)</f>
      </c>
      <c r="M747" s="25">
        <f>J747-L747</f>
      </c>
      <c r="N747" s="26">
        <v>14.625</v>
      </c>
      <c r="O747" s="25">
        <f>J747*N747</f>
      </c>
      <c r="P747" s="25">
        <f>L747*N747</f>
      </c>
      <c r="Q747" s="27">
        <v>89.50429787</v>
      </c>
      <c r="R747" s="28">
        <f>J747*Q747</f>
      </c>
      <c r="S747" s="28">
        <f>L747*Q747</f>
      </c>
      <c r="T747" s="29">
        <f>IF(J747=0,0,L747/J747)</f>
      </c>
      <c r="U747" s="30">
        <f>IFERROR(INDEX(Paletes!$C$5:$C$393,MATCH(B747,Paletes!$A$5:$A$393,0)),"SEM CADASTRO")</f>
      </c>
      <c r="V747" s="24">
        <f>IFERROR(INDEX(Paletes!$D$5:$D$393,MATCH(B747,Paletes!$A$5:$A$393,0)),0)</f>
      </c>
      <c r="W747" s="31">
        <f>IF(V747=0,0,J747/V747)</f>
      </c>
      <c r="X747" s="31">
        <f>IF(V747=0,0,MAX(M747,0)/V747)</f>
      </c>
    </row>
    <row r="748" spans="1:24" x14ac:dyDescent="0.25">
      <c r="A748" s="32" t="str">
        <f>B748&amp;"."&amp;IFERROR(MID(D748,FIND("(",D748)+1,FIND(")",D748)-FIND("(",D748)-1),"")</f>
        <v>84701.32129</v>
      </c>
      <c r="B748" s="33">
        <v>84701</v>
      </c>
      <c r="C748" s="32" t="s">
        <v>1002</v>
      </c>
      <c r="D748" s="32" t="s">
        <v>1122</v>
      </c>
      <c r="E748" s="32">
        <v>96490</v>
      </c>
      <c r="F748" s="32" t="s">
        <v>26</v>
      </c>
      <c r="G748" s="32" t="s">
        <v>51</v>
      </c>
      <c r="H748" s="34">
        <f>IFERROR(INDEX(Linha!$B$5:$B$788,MATCH(A748,Linha!$A$5:$A$788,0)),"NÃO CADASTRADO")</f>
      </c>
      <c r="I748" s="34">
        <f>IFERROR(INDEX(Linha!$C$5:$C$788,MATCH(A748,Linha!$A$5:$A$788,0)),"-")</f>
      </c>
      <c r="J748" s="35">
        <v>0</v>
      </c>
      <c r="K748" s="36">
        <f>IFERROR(INDEX(Linha!$D$5:$D$788,MATCH(A748,Linha!$A$5:$A$788,0))*1,0)</f>
      </c>
      <c r="L748" s="36">
        <f>SUMIFS(Reservas!$K$5:$K$3669,Reservas!$A$5:$A$3669,A748)</f>
      </c>
      <c r="M748" s="37">
        <f>J748-L748</f>
      </c>
      <c r="N748" s="38">
        <v>44.313</v>
      </c>
      <c r="O748" s="37">
        <f>J748*N748</f>
      </c>
      <c r="P748" s="37">
        <f>L748*N748</f>
      </c>
      <c r="Q748" s="39">
        <v>151.99707901</v>
      </c>
      <c r="R748" s="40">
        <f>J748*Q748</f>
      </c>
      <c r="S748" s="40">
        <f>L748*Q748</f>
      </c>
      <c r="T748" s="41">
        <f>IF(J748=0,0,L748/J748)</f>
      </c>
      <c r="U748" s="42">
        <f>IFERROR(INDEX(Paletes!$C$5:$C$393,MATCH(B748,Paletes!$A$5:$A$393,0)),"SEM CADASTRO")</f>
      </c>
      <c r="V748" s="36">
        <f>IFERROR(INDEX(Paletes!$D$5:$D$393,MATCH(B748,Paletes!$A$5:$A$393,0)),0)</f>
      </c>
      <c r="W748" s="43">
        <f>IF(V748=0,0,J748/V748)</f>
      </c>
      <c r="X748" s="43">
        <f>IF(V748=0,0,MAX(M748,0)/V748)</f>
      </c>
    </row>
    <row r="749" spans="1:24" x14ac:dyDescent="0.25">
      <c r="A749" s="20" t="str">
        <f>B749&amp;"."&amp;IFERROR(MID(D749,FIND("(",D749)+1,FIND(")",D749)-FIND("(",D749)-1),"")</f>
        <v>84924.34878</v>
      </c>
      <c r="B749" s="21">
        <v>84924</v>
      </c>
      <c r="C749" s="20" t="s">
        <v>580</v>
      </c>
      <c r="D749" s="20" t="s">
        <v>1123</v>
      </c>
      <c r="E749" s="20">
        <v>96441</v>
      </c>
      <c r="F749" s="20" t="s">
        <v>24</v>
      </c>
      <c r="G749" s="20" t="s">
        <v>51</v>
      </c>
      <c r="H749" s="22">
        <f>IFERROR(INDEX(Linha!$B$5:$B$788,MATCH(A749,Linha!$A$5:$A$788,0)),"NÃO CADASTRADO")</f>
      </c>
      <c r="I749" s="22">
        <f>IFERROR(INDEX(Linha!$C$5:$C$788,MATCH(A749,Linha!$A$5:$A$788,0)),"-")</f>
      </c>
      <c r="J749" s="23">
        <v>18</v>
      </c>
      <c r="K749" s="24">
        <f>IFERROR(INDEX(Linha!$D$5:$D$788,MATCH(A749,Linha!$A$5:$A$788,0))*1,0)</f>
      </c>
      <c r="L749" s="24">
        <f>SUMIFS(Reservas!$K$5:$K$3669,Reservas!$A$5:$A$3669,A749)</f>
      </c>
      <c r="M749" s="25">
        <f>J749-L749</f>
      </c>
      <c r="N749" s="26">
        <v>32.175</v>
      </c>
      <c r="O749" s="25">
        <f>J749*N749</f>
      </c>
      <c r="P749" s="25">
        <f>L749*N749</f>
      </c>
      <c r="Q749" s="27">
        <v>177.47763255</v>
      </c>
      <c r="R749" s="28">
        <f>J749*Q749</f>
      </c>
      <c r="S749" s="28">
        <f>L749*Q749</f>
      </c>
      <c r="T749" s="29">
        <f>IF(J749=0,0,L749/J749)</f>
      </c>
      <c r="U749" s="30">
        <f>IFERROR(INDEX(Paletes!$C$5:$C$393,MATCH(B749,Paletes!$A$5:$A$393,0)),"SEM CADASTRO")</f>
      </c>
      <c r="V749" s="24">
        <f>IFERROR(INDEX(Paletes!$D$5:$D$393,MATCH(B749,Paletes!$A$5:$A$393,0)),0)</f>
      </c>
      <c r="W749" s="31">
        <f>IF(V749=0,0,J749/V749)</f>
      </c>
      <c r="X749" s="31">
        <f>IF(V749=0,0,MAX(M749,0)/V749)</f>
      </c>
    </row>
    <row r="750" spans="1:24" x14ac:dyDescent="0.25">
      <c r="A750" s="32" t="str">
        <f>B750&amp;"."&amp;IFERROR(MID(D750,FIND("(",D750)+1,FIND(")",D750)-FIND("(",D750)-1),"")</f>
        <v>85651.49985</v>
      </c>
      <c r="B750" s="33">
        <v>85651</v>
      </c>
      <c r="C750" s="32" t="s">
        <v>1124</v>
      </c>
      <c r="D750" s="32" t="s">
        <v>1125</v>
      </c>
      <c r="E750" s="32">
        <v>100115</v>
      </c>
      <c r="F750" s="32" t="s">
        <v>24</v>
      </c>
      <c r="G750" s="32" t="s">
        <v>51</v>
      </c>
      <c r="H750" s="34">
        <f>IFERROR(INDEX(Linha!$B$5:$B$788,MATCH(A750,Linha!$A$5:$A$788,0)),"NÃO CADASTRADO")</f>
      </c>
      <c r="I750" s="34">
        <f>IFERROR(INDEX(Linha!$C$5:$C$788,MATCH(A750,Linha!$A$5:$A$788,0)),"-")</f>
      </c>
      <c r="J750" s="35">
        <v>170</v>
      </c>
      <c r="K750" s="36">
        <f>IFERROR(INDEX(Linha!$D$5:$D$788,MATCH(A750,Linha!$A$5:$A$788,0))*1,0)</f>
      </c>
      <c r="L750" s="36">
        <f>SUMIFS(Reservas!$K$5:$K$3669,Reservas!$A$5:$A$3669,A750)</f>
      </c>
      <c r="M750" s="37">
        <f>J750-L750</f>
      </c>
      <c r="N750" s="38">
        <v>34.125</v>
      </c>
      <c r="O750" s="37">
        <f>J750*N750</f>
      </c>
      <c r="P750" s="37">
        <f>L750*N750</f>
      </c>
      <c r="Q750" s="39">
        <v>122.98011332</v>
      </c>
      <c r="R750" s="40">
        <f>J750*Q750</f>
      </c>
      <c r="S750" s="40">
        <f>L750*Q750</f>
      </c>
      <c r="T750" s="41">
        <f>IF(J750=0,0,L750/J750)</f>
      </c>
      <c r="U750" s="42">
        <f>IFERROR(INDEX(Paletes!$C$5:$C$393,MATCH(B750,Paletes!$A$5:$A$393,0)),"SEM CADASTRO")</f>
      </c>
      <c r="V750" s="36">
        <f>IFERROR(INDEX(Paletes!$D$5:$D$393,MATCH(B750,Paletes!$A$5:$A$393,0)),0)</f>
      </c>
      <c r="W750" s="43">
        <f>IF(V750=0,0,J750/V750)</f>
      </c>
      <c r="X750" s="43">
        <f>IF(V750=0,0,MAX(M750,0)/V750)</f>
      </c>
    </row>
    <row r="751" spans="1:24" x14ac:dyDescent="0.25">
      <c r="A751" s="20" t="str">
        <f>B751&amp;"."&amp;IFERROR(MID(D751,FIND("(",D751)+1,FIND(")",D751)-FIND("(",D751)-1),"")</f>
        <v>85284.46043</v>
      </c>
      <c r="B751" s="21">
        <v>85284</v>
      </c>
      <c r="C751" s="20" t="s">
        <v>1126</v>
      </c>
      <c r="D751" s="20" t="s">
        <v>1127</v>
      </c>
      <c r="E751" s="20">
        <v>97814</v>
      </c>
      <c r="F751" s="20" t="s">
        <v>25</v>
      </c>
      <c r="G751" s="20" t="s">
        <v>51</v>
      </c>
      <c r="H751" s="22">
        <f>IFERROR(INDEX(Linha!$B$5:$B$788,MATCH(A751,Linha!$A$5:$A$788,0)),"NÃO CADASTRADO")</f>
      </c>
      <c r="I751" s="22">
        <f>IFERROR(INDEX(Linha!$C$5:$C$788,MATCH(A751,Linha!$A$5:$A$788,0)),"-")</f>
      </c>
      <c r="J751" s="23">
        <v>2295</v>
      </c>
      <c r="K751" s="24">
        <f>IFERROR(INDEX(Linha!$D$5:$D$788,MATCH(A751,Linha!$A$5:$A$788,0))*1,0)</f>
      </c>
      <c r="L751" s="24">
        <f>SUMIFS(Reservas!$K$5:$K$3669,Reservas!$A$5:$A$3669,A751)</f>
      </c>
      <c r="M751" s="25">
        <f>J751-L751</f>
      </c>
      <c r="N751" s="26">
        <v>13.308</v>
      </c>
      <c r="O751" s="25">
        <f>J751*N751</f>
      </c>
      <c r="P751" s="25">
        <f>L751*N751</f>
      </c>
      <c r="Q751" s="27">
        <v>117.20530931</v>
      </c>
      <c r="R751" s="28">
        <f>J751*Q751</f>
      </c>
      <c r="S751" s="28">
        <f>L751*Q751</f>
      </c>
      <c r="T751" s="29">
        <f>IF(J751=0,0,L751/J751)</f>
      </c>
      <c r="U751" s="30">
        <f>IFERROR(INDEX(Paletes!$C$5:$C$393,MATCH(B751,Paletes!$A$5:$A$393,0)),"SEM CADASTRO")</f>
      </c>
      <c r="V751" s="24">
        <f>IFERROR(INDEX(Paletes!$D$5:$D$393,MATCH(B751,Paletes!$A$5:$A$393,0)),0)</f>
      </c>
      <c r="W751" s="31">
        <f>IF(V751=0,0,J751/V751)</f>
      </c>
      <c r="X751" s="31">
        <f>IF(V751=0,0,MAX(M751,0)/V751)</f>
      </c>
    </row>
    <row r="752" spans="1:24" x14ac:dyDescent="0.25">
      <c r="A752" s="32" t="str">
        <f>B752&amp;"."&amp;IFERROR(MID(D752,FIND("(",D752)+1,FIND(")",D752)-FIND("(",D752)-1),"")</f>
        <v>85594.48661</v>
      </c>
      <c r="B752" s="33">
        <v>85594</v>
      </c>
      <c r="C752" s="32" t="s">
        <v>592</v>
      </c>
      <c r="D752" s="32" t="s">
        <v>1128</v>
      </c>
      <c r="E752" s="32">
        <v>99610</v>
      </c>
      <c r="F752" s="32" t="s">
        <v>25</v>
      </c>
      <c r="G752" s="32" t="s">
        <v>51</v>
      </c>
      <c r="H752" s="34">
        <f>IFERROR(INDEX(Linha!$B$5:$B$788,MATCH(A752,Linha!$A$5:$A$788,0)),"NÃO CADASTRADO")</f>
      </c>
      <c r="I752" s="34">
        <f>IFERROR(INDEX(Linha!$C$5:$C$788,MATCH(A752,Linha!$A$5:$A$788,0)),"-")</f>
      </c>
      <c r="J752" s="35">
        <v>73</v>
      </c>
      <c r="K752" s="36">
        <f>IFERROR(INDEX(Linha!$D$5:$D$788,MATCH(A752,Linha!$A$5:$A$788,0))*1,0)</f>
      </c>
      <c r="L752" s="36">
        <f>SUMIFS(Reservas!$K$5:$K$3669,Reservas!$A$5:$A$3669,A752)</f>
      </c>
      <c r="M752" s="37">
        <f>J752-L752</f>
      </c>
      <c r="N752" s="38">
        <v>24.375</v>
      </c>
      <c r="O752" s="37">
        <f>J752*N752</f>
      </c>
      <c r="P752" s="37">
        <f>L752*N752</f>
      </c>
      <c r="Q752" s="39">
        <v>137.17278855</v>
      </c>
      <c r="R752" s="40">
        <f>J752*Q752</f>
      </c>
      <c r="S752" s="40">
        <f>L752*Q752</f>
      </c>
      <c r="T752" s="41">
        <f>IF(J752=0,0,L752/J752)</f>
      </c>
      <c r="U752" s="42">
        <f>IFERROR(INDEX(Paletes!$C$5:$C$393,MATCH(B752,Paletes!$A$5:$A$393,0)),"SEM CADASTRO")</f>
      </c>
      <c r="V752" s="36">
        <f>IFERROR(INDEX(Paletes!$D$5:$D$393,MATCH(B752,Paletes!$A$5:$A$393,0)),0)</f>
      </c>
      <c r="W752" s="43">
        <f>IF(V752=0,0,J752/V752)</f>
      </c>
      <c r="X752" s="43">
        <f>IF(V752=0,0,MAX(M752,0)/V752)</f>
      </c>
    </row>
    <row r="753" spans="1:24" x14ac:dyDescent="0.25">
      <c r="A753" s="20" t="str">
        <f>B753&amp;"."&amp;IFERROR(MID(D753,FIND("(",D753)+1,FIND(")",D753)-FIND("(",D753)-1),"")</f>
        <v>86373.70255</v>
      </c>
      <c r="B753" s="21">
        <v>86373</v>
      </c>
      <c r="C753" s="20" t="s">
        <v>890</v>
      </c>
      <c r="D753" s="20" t="s">
        <v>1129</v>
      </c>
      <c r="E753" s="20">
        <v>99779</v>
      </c>
      <c r="F753" s="20" t="s">
        <v>26</v>
      </c>
      <c r="G753" s="20" t="s">
        <v>51</v>
      </c>
      <c r="H753" s="22">
        <f>IFERROR(INDEX(Linha!$B$5:$B$788,MATCH(A753,Linha!$A$5:$A$788,0)),"NÃO CADASTRADO")</f>
      </c>
      <c r="I753" s="22">
        <f>IFERROR(INDEX(Linha!$C$5:$C$788,MATCH(A753,Linha!$A$5:$A$788,0)),"-")</f>
      </c>
      <c r="J753" s="23">
        <v>318</v>
      </c>
      <c r="K753" s="24">
        <f>IFERROR(INDEX(Linha!$D$5:$D$788,MATCH(A753,Linha!$A$5:$A$788,0))*1,0)</f>
      </c>
      <c r="L753" s="24">
        <f>SUMIFS(Reservas!$K$5:$K$3669,Reservas!$A$5:$A$3669,A753)</f>
      </c>
      <c r="M753" s="25">
        <f>J753-L753</f>
      </c>
      <c r="N753" s="26">
        <v>63.472</v>
      </c>
      <c r="O753" s="25">
        <f>J753*N753</f>
      </c>
      <c r="P753" s="25">
        <f>L753*N753</f>
      </c>
      <c r="Q753" s="27">
        <v>214.03895302</v>
      </c>
      <c r="R753" s="28">
        <f>J753*Q753</f>
      </c>
      <c r="S753" s="28">
        <f>L753*Q753</f>
      </c>
      <c r="T753" s="29">
        <f>IF(J753=0,0,L753/J753)</f>
      </c>
      <c r="U753" s="30">
        <f>IFERROR(INDEX(Paletes!$C$5:$C$393,MATCH(B753,Paletes!$A$5:$A$393,0)),"SEM CADASTRO")</f>
      </c>
      <c r="V753" s="24">
        <f>IFERROR(INDEX(Paletes!$D$5:$D$393,MATCH(B753,Paletes!$A$5:$A$393,0)),0)</f>
      </c>
      <c r="W753" s="31">
        <f>IF(V753=0,0,J753/V753)</f>
      </c>
      <c r="X753" s="31">
        <f>IF(V753=0,0,MAX(M753,0)/V753)</f>
      </c>
    </row>
    <row r="754" spans="1:24" x14ac:dyDescent="0.25">
      <c r="A754" s="32" t="str">
        <f>B754&amp;"."&amp;IFERROR(MID(D754,FIND("(",D754)+1,FIND(")",D754)-FIND("(",D754)-1),"")</f>
        <v>86513.79214</v>
      </c>
      <c r="B754" s="33">
        <v>86513</v>
      </c>
      <c r="C754" s="32" t="s">
        <v>894</v>
      </c>
      <c r="D754" s="32" t="s">
        <v>1130</v>
      </c>
      <c r="E754" s="32">
        <v>99967</v>
      </c>
      <c r="F754" s="32" t="s">
        <v>24</v>
      </c>
      <c r="G754" s="32" t="s">
        <v>51</v>
      </c>
      <c r="H754" s="34">
        <f>IFERROR(INDEX(Linha!$B$5:$B$788,MATCH(A754,Linha!$A$5:$A$788,0)),"NÃO CADASTRADO")</f>
      </c>
      <c r="I754" s="34">
        <f>IFERROR(INDEX(Linha!$C$5:$C$788,MATCH(A754,Linha!$A$5:$A$788,0)),"-")</f>
      </c>
      <c r="J754" s="35">
        <v>91</v>
      </c>
      <c r="K754" s="36">
        <f>IFERROR(INDEX(Linha!$D$5:$D$788,MATCH(A754,Linha!$A$5:$A$788,0))*1,0)</f>
      </c>
      <c r="L754" s="36">
        <f>SUMIFS(Reservas!$K$5:$K$3669,Reservas!$A$5:$A$3669,A754)</f>
      </c>
      <c r="M754" s="37">
        <f>J754-L754</f>
      </c>
      <c r="N754" s="38">
        <v>27.3</v>
      </c>
      <c r="O754" s="37">
        <f>J754*N754</f>
      </c>
      <c r="P754" s="37">
        <f>L754*N754</f>
      </c>
      <c r="Q754" s="39">
        <v>98.15867218</v>
      </c>
      <c r="R754" s="40">
        <f>J754*Q754</f>
      </c>
      <c r="S754" s="40">
        <f>L754*Q754</f>
      </c>
      <c r="T754" s="41">
        <f>IF(J754=0,0,L754/J754)</f>
      </c>
      <c r="U754" s="42">
        <f>IFERROR(INDEX(Paletes!$C$5:$C$393,MATCH(B754,Paletes!$A$5:$A$393,0)),"SEM CADASTRO")</f>
      </c>
      <c r="V754" s="36">
        <f>IFERROR(INDEX(Paletes!$D$5:$D$393,MATCH(B754,Paletes!$A$5:$A$393,0)),0)</f>
      </c>
      <c r="W754" s="43">
        <f>IF(V754=0,0,J754/V754)</f>
      </c>
      <c r="X754" s="43">
        <f>IF(V754=0,0,MAX(M754,0)/V754)</f>
      </c>
    </row>
    <row r="755" spans="1:24" x14ac:dyDescent="0.25">
      <c r="A755" s="20" t="str">
        <f>B755&amp;"."&amp;IFERROR(MID(D755,FIND("(",D755)+1,FIND(")",D755)-FIND("(",D755)-1),"")</f>
        <v>87128.90731</v>
      </c>
      <c r="B755" s="21">
        <v>87128</v>
      </c>
      <c r="C755" s="20" t="s">
        <v>747</v>
      </c>
      <c r="D755" s="20" t="s">
        <v>1131</v>
      </c>
      <c r="E755" s="20">
        <v>104477</v>
      </c>
      <c r="F755" s="20" t="s">
        <v>26</v>
      </c>
      <c r="G755" s="20" t="s">
        <v>51</v>
      </c>
      <c r="H755" s="22">
        <f>IFERROR(INDEX(Linha!$B$5:$B$788,MATCH(A755,Linha!$A$5:$A$788,0)),"NÃO CADASTRADO")</f>
      </c>
      <c r="I755" s="22">
        <f>IFERROR(INDEX(Linha!$C$5:$C$788,MATCH(A755,Linha!$A$5:$A$788,0)),"-")</f>
      </c>
      <c r="J755" s="23">
        <v>113</v>
      </c>
      <c r="K755" s="24">
        <f>IFERROR(INDEX(Linha!$D$5:$D$788,MATCH(A755,Linha!$A$5:$A$788,0))*1,0)</f>
      </c>
      <c r="L755" s="24">
        <f>SUMIFS(Reservas!$K$5:$K$3669,Reservas!$A$5:$A$3669,A755)</f>
      </c>
      <c r="M755" s="25">
        <f>J755-L755</f>
      </c>
      <c r="N755" s="26">
        <v>8.775</v>
      </c>
      <c r="O755" s="25">
        <f>J755*N755</f>
      </c>
      <c r="P755" s="25">
        <f>L755*N755</f>
      </c>
      <c r="Q755" s="27">
        <v>29.06301368</v>
      </c>
      <c r="R755" s="28">
        <f>J755*Q755</f>
      </c>
      <c r="S755" s="28">
        <f>L755*Q755</f>
      </c>
      <c r="T755" s="29">
        <f>IF(J755=0,0,L755/J755)</f>
      </c>
      <c r="U755" s="30">
        <f>IFERROR(INDEX(Paletes!$C$5:$C$393,MATCH(B755,Paletes!$A$5:$A$393,0)),"SEM CADASTRO")</f>
      </c>
      <c r="V755" s="24">
        <f>IFERROR(INDEX(Paletes!$D$5:$D$393,MATCH(B755,Paletes!$A$5:$A$393,0)),0)</f>
      </c>
      <c r="W755" s="31">
        <f>IF(V755=0,0,J755/V755)</f>
      </c>
      <c r="X755" s="31">
        <f>IF(V755=0,0,MAX(M755,0)/V755)</f>
      </c>
    </row>
    <row r="756" spans="1:24" x14ac:dyDescent="0.25">
      <c r="A756" s="32" t="str">
        <f>B756&amp;"."&amp;IFERROR(MID(D756,FIND("(",D756)+1,FIND(")",D756)-FIND("(",D756)-1),"")</f>
        <v>87143.</v>
      </c>
      <c r="B756" s="33">
        <v>87143</v>
      </c>
      <c r="C756" s="32" t="s">
        <v>1132</v>
      </c>
      <c r="D756" s="32" t="s">
        <v>89</v>
      </c>
      <c r="E756" s="32">
        <v>104980</v>
      </c>
      <c r="F756" s="32" t="s">
        <v>24</v>
      </c>
      <c r="G756" s="32" t="s">
        <v>51</v>
      </c>
      <c r="H756" s="34">
        <f>IFERROR(INDEX(Linha!$B$5:$B$788,MATCH(A756,Linha!$A$5:$A$788,0)),"NÃO CADASTRADO")</f>
      </c>
      <c r="I756" s="34">
        <f>IFERROR(INDEX(Linha!$C$5:$C$788,MATCH(A756,Linha!$A$5:$A$788,0)),"-")</f>
      </c>
      <c r="J756" s="35">
        <v>493</v>
      </c>
      <c r="K756" s="36">
        <f>IFERROR(INDEX(Linha!$D$5:$D$788,MATCH(A756,Linha!$A$5:$A$788,0))*1,0)</f>
      </c>
      <c r="L756" s="36">
        <f>SUMIFS(Reservas!$K$5:$K$3669,Reservas!$A$5:$A$3669,A756)</f>
      </c>
      <c r="M756" s="37">
        <f>J756-L756</f>
      </c>
      <c r="N756" s="38">
        <v>17.55</v>
      </c>
      <c r="O756" s="37">
        <f>J756*N756</f>
      </c>
      <c r="P756" s="37">
        <f>L756*N756</f>
      </c>
      <c r="Q756" s="39">
        <v>48.58842855</v>
      </c>
      <c r="R756" s="40">
        <f>J756*Q756</f>
      </c>
      <c r="S756" s="40">
        <f>L756*Q756</f>
      </c>
      <c r="T756" s="41">
        <f>IF(J756=0,0,L756/J756)</f>
      </c>
      <c r="U756" s="42">
        <f>IFERROR(INDEX(Paletes!$C$5:$C$393,MATCH(B756,Paletes!$A$5:$A$393,0)),"SEM CADASTRO")</f>
      </c>
      <c r="V756" s="36">
        <f>IFERROR(INDEX(Paletes!$D$5:$D$393,MATCH(B756,Paletes!$A$5:$A$393,0)),0)</f>
      </c>
      <c r="W756" s="43">
        <f>IF(V756=0,0,J756/V756)</f>
      </c>
      <c r="X756" s="43">
        <f>IF(V756=0,0,MAX(M756,0)/V756)</f>
      </c>
    </row>
    <row r="757" spans="1:24" x14ac:dyDescent="0.25">
      <c r="A757" s="20" t="str">
        <f>B757&amp;"."&amp;IFERROR(MID(D757,FIND("(",D757)+1,FIND(")",D757)-FIND("(",D757)-1),"")</f>
        <v>87376.91516</v>
      </c>
      <c r="B757" s="21">
        <v>87376</v>
      </c>
      <c r="C757" s="20" t="s">
        <v>899</v>
      </c>
      <c r="D757" s="20" t="s">
        <v>1133</v>
      </c>
      <c r="E757" s="20">
        <v>104732</v>
      </c>
      <c r="F757" s="20" t="s">
        <v>24</v>
      </c>
      <c r="G757" s="20" t="s">
        <v>51</v>
      </c>
      <c r="H757" s="22">
        <f>IFERROR(INDEX(Linha!$B$5:$B$788,MATCH(A757,Linha!$A$5:$A$788,0)),"NÃO CADASTRADO")</f>
      </c>
      <c r="I757" s="22">
        <f>IFERROR(INDEX(Linha!$C$5:$C$788,MATCH(A757,Linha!$A$5:$A$788,0)),"-")</f>
      </c>
      <c r="J757" s="23">
        <v>10</v>
      </c>
      <c r="K757" s="24">
        <f>IFERROR(INDEX(Linha!$D$5:$D$788,MATCH(A757,Linha!$A$5:$A$788,0))*1,0)</f>
      </c>
      <c r="L757" s="24">
        <f>SUMIFS(Reservas!$K$5:$K$3669,Reservas!$A$5:$A$3669,A757)</f>
      </c>
      <c r="M757" s="25">
        <f>J757-L757</f>
      </c>
      <c r="N757" s="26">
        <v>14.966</v>
      </c>
      <c r="O757" s="25">
        <f>J757*N757</f>
      </c>
      <c r="P757" s="25">
        <f>L757*N757</f>
      </c>
      <c r="Q757" s="27">
        <v>64.79163215</v>
      </c>
      <c r="R757" s="28">
        <f>J757*Q757</f>
      </c>
      <c r="S757" s="28">
        <f>L757*Q757</f>
      </c>
      <c r="T757" s="29">
        <f>IF(J757=0,0,L757/J757)</f>
      </c>
      <c r="U757" s="30">
        <f>IFERROR(INDEX(Paletes!$C$5:$C$393,MATCH(B757,Paletes!$A$5:$A$393,0)),"SEM CADASTRO")</f>
      </c>
      <c r="V757" s="24">
        <f>IFERROR(INDEX(Paletes!$D$5:$D$393,MATCH(B757,Paletes!$A$5:$A$393,0)),0)</f>
      </c>
      <c r="W757" s="31">
        <f>IF(V757=0,0,J757/V757)</f>
      </c>
      <c r="X757" s="31">
        <f>IF(V757=0,0,MAX(M757,0)/V757)</f>
      </c>
    </row>
    <row r="758" spans="1:24" x14ac:dyDescent="0.25">
      <c r="A758" s="32" t="str">
        <f>B758&amp;"."&amp;IFERROR(MID(D758,FIND("(",D758)+1,FIND(")",D758)-FIND("(",D758)-1),"")</f>
        <v>87107.90682</v>
      </c>
      <c r="B758" s="33">
        <v>87107</v>
      </c>
      <c r="C758" s="32" t="s">
        <v>598</v>
      </c>
      <c r="D758" s="32" t="s">
        <v>1134</v>
      </c>
      <c r="E758" s="32">
        <v>104351</v>
      </c>
      <c r="F758" s="32" t="s">
        <v>26</v>
      </c>
      <c r="G758" s="32" t="s">
        <v>51</v>
      </c>
      <c r="H758" s="34">
        <f>IFERROR(INDEX(Linha!$B$5:$B$788,MATCH(A758,Linha!$A$5:$A$788,0)),"NÃO CADASTRADO")</f>
      </c>
      <c r="I758" s="34">
        <f>IFERROR(INDEX(Linha!$C$5:$C$788,MATCH(A758,Linha!$A$5:$A$788,0)),"-")</f>
      </c>
      <c r="J758" s="35">
        <v>230</v>
      </c>
      <c r="K758" s="36">
        <f>IFERROR(INDEX(Linha!$D$5:$D$788,MATCH(A758,Linha!$A$5:$A$788,0))*1,0)</f>
      </c>
      <c r="L758" s="36">
        <f>SUMIFS(Reservas!$K$5:$K$3669,Reservas!$A$5:$A$3669,A758)</f>
      </c>
      <c r="M758" s="37">
        <f>J758-L758</f>
      </c>
      <c r="N758" s="38">
        <v>23.4</v>
      </c>
      <c r="O758" s="37">
        <f>J758*N758</f>
      </c>
      <c r="P758" s="37">
        <f>L758*N758</f>
      </c>
      <c r="Q758" s="39">
        <v>105.16345536</v>
      </c>
      <c r="R758" s="40">
        <f>J758*Q758</f>
      </c>
      <c r="S758" s="40">
        <f>L758*Q758</f>
      </c>
      <c r="T758" s="41">
        <f>IF(J758=0,0,L758/J758)</f>
      </c>
      <c r="U758" s="42">
        <f>IFERROR(INDEX(Paletes!$C$5:$C$393,MATCH(B758,Paletes!$A$5:$A$393,0)),"SEM CADASTRO")</f>
      </c>
      <c r="V758" s="36">
        <f>IFERROR(INDEX(Paletes!$D$5:$D$393,MATCH(B758,Paletes!$A$5:$A$393,0)),0)</f>
      </c>
      <c r="W758" s="43">
        <f>IF(V758=0,0,J758/V758)</f>
      </c>
      <c r="X758" s="43">
        <f>IF(V758=0,0,MAX(M758,0)/V758)</f>
      </c>
    </row>
    <row r="759" spans="1:24" x14ac:dyDescent="0.25">
      <c r="A759" s="20" t="str">
        <f>B759&amp;"."&amp;IFERROR(MID(D759,FIND("(",D759)+1,FIND(")",D759)-FIND("(",D759)-1),"")</f>
        <v>87123.90716</v>
      </c>
      <c r="B759" s="21">
        <v>87123</v>
      </c>
      <c r="C759" s="20" t="s">
        <v>148</v>
      </c>
      <c r="D759" s="20" t="s">
        <v>1135</v>
      </c>
      <c r="E759" s="20">
        <v>104475</v>
      </c>
      <c r="F759" s="20" t="s">
        <v>26</v>
      </c>
      <c r="G759" s="20" t="s">
        <v>51</v>
      </c>
      <c r="H759" s="22">
        <f>IFERROR(INDEX(Linha!$B$5:$B$788,MATCH(A759,Linha!$A$5:$A$788,0)),"NÃO CADASTRADO")</f>
      </c>
      <c r="I759" s="22">
        <f>IFERROR(INDEX(Linha!$C$5:$C$788,MATCH(A759,Linha!$A$5:$A$788,0)),"-")</f>
      </c>
      <c r="J759" s="23">
        <v>104</v>
      </c>
      <c r="K759" s="24">
        <f>IFERROR(INDEX(Linha!$D$5:$D$788,MATCH(A759,Linha!$A$5:$A$788,0))*1,0)</f>
      </c>
      <c r="L759" s="24">
        <f>SUMIFS(Reservas!$K$5:$K$3669,Reservas!$A$5:$A$3669,A759)</f>
      </c>
      <c r="M759" s="25">
        <f>J759-L759</f>
      </c>
      <c r="N759" s="26">
        <v>55.575</v>
      </c>
      <c r="O759" s="25">
        <f>J759*N759</f>
      </c>
      <c r="P759" s="25">
        <f>L759*N759</f>
      </c>
      <c r="Q759" s="27">
        <v>312.42100096</v>
      </c>
      <c r="R759" s="28">
        <f>J759*Q759</f>
      </c>
      <c r="S759" s="28">
        <f>L759*Q759</f>
      </c>
      <c r="T759" s="29">
        <f>IF(J759=0,0,L759/J759)</f>
      </c>
      <c r="U759" s="30">
        <f>IFERROR(INDEX(Paletes!$C$5:$C$393,MATCH(B759,Paletes!$A$5:$A$393,0)),"SEM CADASTRO")</f>
      </c>
      <c r="V759" s="24">
        <f>IFERROR(INDEX(Paletes!$D$5:$D$393,MATCH(B759,Paletes!$A$5:$A$393,0)),0)</f>
      </c>
      <c r="W759" s="31">
        <f>IF(V759=0,0,J759/V759)</f>
      </c>
      <c r="X759" s="31">
        <f>IF(V759=0,0,MAX(M759,0)/V759)</f>
      </c>
    </row>
    <row r="760" spans="1:24" x14ac:dyDescent="0.25">
      <c r="A760" s="32" t="str">
        <f>B760&amp;"."&amp;IFERROR(MID(D760,FIND("(",D760)+1,FIND(")",D760)-FIND("(",D760)-1),"")</f>
        <v>87126.90725</v>
      </c>
      <c r="B760" s="33">
        <v>87126</v>
      </c>
      <c r="C760" s="32" t="s">
        <v>757</v>
      </c>
      <c r="D760" s="32" t="s">
        <v>1136</v>
      </c>
      <c r="E760" s="32">
        <v>104476</v>
      </c>
      <c r="F760" s="32" t="s">
        <v>26</v>
      </c>
      <c r="G760" s="32" t="s">
        <v>51</v>
      </c>
      <c r="H760" s="34">
        <f>IFERROR(INDEX(Linha!$B$5:$B$788,MATCH(A760,Linha!$A$5:$A$788,0)),"NÃO CADASTRADO")</f>
      </c>
      <c r="I760" s="34">
        <f>IFERROR(INDEX(Linha!$C$5:$C$788,MATCH(A760,Linha!$A$5:$A$788,0)),"-")</f>
      </c>
      <c r="J760" s="35">
        <v>191</v>
      </c>
      <c r="K760" s="36">
        <f>IFERROR(INDEX(Linha!$D$5:$D$788,MATCH(A760,Linha!$A$5:$A$788,0))*1,0)</f>
      </c>
      <c r="L760" s="36">
        <f>SUMIFS(Reservas!$K$5:$K$3669,Reservas!$A$5:$A$3669,A760)</f>
      </c>
      <c r="M760" s="37">
        <f>J760-L760</f>
      </c>
      <c r="N760" s="38">
        <v>47.775</v>
      </c>
      <c r="O760" s="37">
        <f>J760*N760</f>
      </c>
      <c r="P760" s="37">
        <f>L760*N760</f>
      </c>
      <c r="Q760" s="39">
        <v>148.63082783</v>
      </c>
      <c r="R760" s="40">
        <f>J760*Q760</f>
      </c>
      <c r="S760" s="40">
        <f>L760*Q760</f>
      </c>
      <c r="T760" s="41">
        <f>IF(J760=0,0,L760/J760)</f>
      </c>
      <c r="U760" s="42">
        <f>IFERROR(INDEX(Paletes!$C$5:$C$393,MATCH(B760,Paletes!$A$5:$A$393,0)),"SEM CADASTRO")</f>
      </c>
      <c r="V760" s="36">
        <f>IFERROR(INDEX(Paletes!$D$5:$D$393,MATCH(B760,Paletes!$A$5:$A$393,0)),0)</f>
      </c>
      <c r="W760" s="43">
        <f>IF(V760=0,0,J760/V760)</f>
      </c>
      <c r="X760" s="43">
        <f>IF(V760=0,0,MAX(M760,0)/V760)</f>
      </c>
    </row>
    <row r="761" spans="1:24" x14ac:dyDescent="0.25">
      <c r="A761" s="20" t="str">
        <f>B761&amp;"."&amp;IFERROR(MID(D761,FIND("(",D761)+1,FIND(")",D761)-FIND("(",D761)-1),"")</f>
        <v>74670.55643</v>
      </c>
      <c r="B761" s="21">
        <v>74670</v>
      </c>
      <c r="C761" s="20" t="s">
        <v>1024</v>
      </c>
      <c r="D761" s="20" t="s">
        <v>1137</v>
      </c>
      <c r="E761" s="20">
        <v>80734</v>
      </c>
      <c r="F761" s="20" t="s">
        <v>26</v>
      </c>
      <c r="G761" s="20" t="s">
        <v>51</v>
      </c>
      <c r="H761" s="22">
        <f>IFERROR(INDEX(Linha!$B$5:$B$788,MATCH(A761,Linha!$A$5:$A$788,0)),"NÃO CADASTRADO")</f>
      </c>
      <c r="I761" s="22">
        <f>IFERROR(INDEX(Linha!$C$5:$C$788,MATCH(A761,Linha!$A$5:$A$788,0)),"-")</f>
      </c>
      <c r="J761" s="23">
        <v>0</v>
      </c>
      <c r="K761" s="24">
        <f>IFERROR(INDEX(Linha!$D$5:$D$788,MATCH(A761,Linha!$A$5:$A$788,0))*1,0)</f>
      </c>
      <c r="L761" s="24">
        <f>SUMIFS(Reservas!$K$5:$K$3669,Reservas!$A$5:$A$3669,A761)</f>
      </c>
      <c r="M761" s="25">
        <f>J761-L761</f>
      </c>
      <c r="N761" s="26">
        <v>38.805</v>
      </c>
      <c r="O761" s="25">
        <f>J761*N761</f>
      </c>
      <c r="P761" s="25">
        <f>L761*N761</f>
      </c>
      <c r="Q761" s="27">
        <v>120.87040055</v>
      </c>
      <c r="R761" s="28">
        <f>J761*Q761</f>
      </c>
      <c r="S761" s="28">
        <f>L761*Q761</f>
      </c>
      <c r="T761" s="29">
        <f>IF(J761=0,0,L761/J761)</f>
      </c>
      <c r="U761" s="30">
        <f>IFERROR(INDEX(Paletes!$C$5:$C$393,MATCH(B761,Paletes!$A$5:$A$393,0)),"SEM CADASTRO")</f>
      </c>
      <c r="V761" s="24">
        <f>IFERROR(INDEX(Paletes!$D$5:$D$393,MATCH(B761,Paletes!$A$5:$A$393,0)),0)</f>
      </c>
      <c r="W761" s="31">
        <f>IF(V761=0,0,J761/V761)</f>
      </c>
      <c r="X761" s="31">
        <f>IF(V761=0,0,MAX(M761,0)/V761)</f>
      </c>
    </row>
    <row r="762" spans="1:24" x14ac:dyDescent="0.25">
      <c r="A762" s="32" t="str">
        <f>B762&amp;"."&amp;IFERROR(MID(D762,FIND("(",D762)+1,FIND(")",D762)-FIND("(",D762)-1),"")</f>
        <v>184.12658</v>
      </c>
      <c r="B762" s="33">
        <v>184</v>
      </c>
      <c r="C762" s="32" t="s">
        <v>469</v>
      </c>
      <c r="D762" s="32" t="s">
        <v>1138</v>
      </c>
      <c r="E762" s="32">
        <v>59607</v>
      </c>
      <c r="F762" s="32" t="s">
        <v>26</v>
      </c>
      <c r="G762" s="32" t="s">
        <v>51</v>
      </c>
      <c r="H762" s="34">
        <f>IFERROR(INDEX(Linha!$B$5:$B$788,MATCH(A762,Linha!$A$5:$A$788,0)),"NÃO CADASTRADO")</f>
      </c>
      <c r="I762" s="34">
        <f>IFERROR(INDEX(Linha!$C$5:$C$788,MATCH(A762,Linha!$A$5:$A$788,0)),"-")</f>
      </c>
      <c r="J762" s="35">
        <v>901</v>
      </c>
      <c r="K762" s="36">
        <f>IFERROR(INDEX(Linha!$D$5:$D$788,MATCH(A762,Linha!$A$5:$A$788,0))*1,0)</f>
      </c>
      <c r="L762" s="36">
        <f>SUMIFS(Reservas!$K$5:$K$3669,Reservas!$A$5:$A$3669,A762)</f>
      </c>
      <c r="M762" s="37">
        <f>J762-L762</f>
      </c>
      <c r="N762" s="38">
        <v>47.04</v>
      </c>
      <c r="O762" s="37">
        <f>J762*N762</f>
      </c>
      <c r="P762" s="37">
        <f>L762*N762</f>
      </c>
      <c r="Q762" s="39">
        <v>150.75346355</v>
      </c>
      <c r="R762" s="40">
        <f>J762*Q762</f>
      </c>
      <c r="S762" s="40">
        <f>L762*Q762</f>
      </c>
      <c r="T762" s="41">
        <f>IF(J762=0,0,L762/J762)</f>
      </c>
      <c r="U762" s="42">
        <f>IFERROR(INDEX(Paletes!$C$5:$C$393,MATCH(B762,Paletes!$A$5:$A$393,0)),"SEM CADASTRO")</f>
      </c>
      <c r="V762" s="36">
        <f>IFERROR(INDEX(Paletes!$D$5:$D$393,MATCH(B762,Paletes!$A$5:$A$393,0)),0)</f>
      </c>
      <c r="W762" s="43">
        <f>IF(V762=0,0,J762/V762)</f>
      </c>
      <c r="X762" s="43">
        <f>IF(V762=0,0,MAX(M762,0)/V762)</f>
      </c>
    </row>
    <row r="763" spans="1:24" x14ac:dyDescent="0.25">
      <c r="A763" s="20" t="str">
        <f>B763&amp;"."&amp;IFERROR(MID(D763,FIND("(",D763)+1,FIND(")",D763)-FIND("(",D763)-1),"")</f>
        <v>2103.13945</v>
      </c>
      <c r="B763" s="21">
        <v>2103</v>
      </c>
      <c r="C763" s="20" t="s">
        <v>1028</v>
      </c>
      <c r="D763" s="20" t="s">
        <v>1139</v>
      </c>
      <c r="E763" s="20">
        <v>59623</v>
      </c>
      <c r="F763" s="20" t="s">
        <v>26</v>
      </c>
      <c r="G763" s="20" t="s">
        <v>51</v>
      </c>
      <c r="H763" s="22">
        <f>IFERROR(INDEX(Linha!$B$5:$B$788,MATCH(A763,Linha!$A$5:$A$788,0)),"NÃO CADASTRADO")</f>
      </c>
      <c r="I763" s="22">
        <f>IFERROR(INDEX(Linha!$C$5:$C$788,MATCH(A763,Linha!$A$5:$A$788,0)),"-")</f>
      </c>
      <c r="J763" s="23">
        <v>663</v>
      </c>
      <c r="K763" s="24">
        <f>IFERROR(INDEX(Linha!$D$5:$D$788,MATCH(A763,Linha!$A$5:$A$788,0))*1,0)</f>
      </c>
      <c r="L763" s="24">
        <f>SUMIFS(Reservas!$K$5:$K$3669,Reservas!$A$5:$A$3669,A763)</f>
      </c>
      <c r="M763" s="25">
        <f>J763-L763</f>
      </c>
      <c r="N763" s="26">
        <v>34.174</v>
      </c>
      <c r="O763" s="25">
        <f>J763*N763</f>
      </c>
      <c r="P763" s="25">
        <f>L763*N763</f>
      </c>
      <c r="Q763" s="27">
        <v>100.61483639</v>
      </c>
      <c r="R763" s="28">
        <f>J763*Q763</f>
      </c>
      <c r="S763" s="28">
        <f>L763*Q763</f>
      </c>
      <c r="T763" s="29">
        <f>IF(J763=0,0,L763/J763)</f>
      </c>
      <c r="U763" s="30">
        <f>IFERROR(INDEX(Paletes!$C$5:$C$393,MATCH(B763,Paletes!$A$5:$A$393,0)),"SEM CADASTRO")</f>
      </c>
      <c r="V763" s="24">
        <f>IFERROR(INDEX(Paletes!$D$5:$D$393,MATCH(B763,Paletes!$A$5:$A$393,0)),0)</f>
      </c>
      <c r="W763" s="31">
        <f>IF(V763=0,0,J763/V763)</f>
      </c>
      <c r="X763" s="31">
        <f>IF(V763=0,0,MAX(M763,0)/V763)</f>
      </c>
    </row>
    <row r="764" spans="1:24" x14ac:dyDescent="0.25">
      <c r="A764" s="32" t="str">
        <f>B764&amp;"."&amp;IFERROR(MID(D764,FIND("(",D764)+1,FIND(")",D764)-FIND("(",D764)-1),"")</f>
        <v>2104.13959</v>
      </c>
      <c r="B764" s="33">
        <v>2104</v>
      </c>
      <c r="C764" s="32" t="s">
        <v>1030</v>
      </c>
      <c r="D764" s="32" t="s">
        <v>1140</v>
      </c>
      <c r="E764" s="32">
        <v>59625</v>
      </c>
      <c r="F764" s="32" t="s">
        <v>26</v>
      </c>
      <c r="G764" s="32" t="s">
        <v>51</v>
      </c>
      <c r="H764" s="34">
        <f>IFERROR(INDEX(Linha!$B$5:$B$788,MATCH(A764,Linha!$A$5:$A$788,0)),"NÃO CADASTRADO")</f>
      </c>
      <c r="I764" s="34">
        <f>IFERROR(INDEX(Linha!$C$5:$C$788,MATCH(A764,Linha!$A$5:$A$788,0)),"-")</f>
      </c>
      <c r="J764" s="35">
        <v>12</v>
      </c>
      <c r="K764" s="36">
        <f>IFERROR(INDEX(Linha!$D$5:$D$788,MATCH(A764,Linha!$A$5:$A$788,0))*1,0)</f>
      </c>
      <c r="L764" s="36">
        <f>SUMIFS(Reservas!$K$5:$K$3669,Reservas!$A$5:$A$3669,A764)</f>
      </c>
      <c r="M764" s="37">
        <f>J764-L764</f>
      </c>
      <c r="N764" s="38">
        <v>51.675</v>
      </c>
      <c r="O764" s="37">
        <f>J764*N764</f>
      </c>
      <c r="P764" s="37">
        <f>L764*N764</f>
      </c>
      <c r="Q764" s="39">
        <v>143.33117659</v>
      </c>
      <c r="R764" s="40">
        <f>J764*Q764</f>
      </c>
      <c r="S764" s="40">
        <f>L764*Q764</f>
      </c>
      <c r="T764" s="41">
        <f>IF(J764=0,0,L764/J764)</f>
      </c>
      <c r="U764" s="42">
        <f>IFERROR(INDEX(Paletes!$C$5:$C$393,MATCH(B764,Paletes!$A$5:$A$393,0)),"SEM CADASTRO")</f>
      </c>
      <c r="V764" s="36">
        <f>IFERROR(INDEX(Paletes!$D$5:$D$393,MATCH(B764,Paletes!$A$5:$A$393,0)),0)</f>
      </c>
      <c r="W764" s="43">
        <f>IF(V764=0,0,J764/V764)</f>
      </c>
      <c r="X764" s="43">
        <f>IF(V764=0,0,MAX(M764,0)/V764)</f>
      </c>
    </row>
    <row r="765" spans="1:24" x14ac:dyDescent="0.25">
      <c r="A765" s="20" t="str">
        <f>B765&amp;"."&amp;IFERROR(MID(D765,FIND("(",D765)+1,FIND(")",D765)-FIND("(",D765)-1),"")</f>
        <v>2104.13963</v>
      </c>
      <c r="B765" s="21">
        <v>2104</v>
      </c>
      <c r="C765" s="20" t="s">
        <v>1030</v>
      </c>
      <c r="D765" s="20" t="s">
        <v>1141</v>
      </c>
      <c r="E765" s="20">
        <v>59625</v>
      </c>
      <c r="F765" s="20" t="s">
        <v>26</v>
      </c>
      <c r="G765" s="20" t="s">
        <v>51</v>
      </c>
      <c r="H765" s="22">
        <f>IFERROR(INDEX(Linha!$B$5:$B$788,MATCH(A765,Linha!$A$5:$A$788,0)),"NÃO CADASTRADO")</f>
      </c>
      <c r="I765" s="22">
        <f>IFERROR(INDEX(Linha!$C$5:$C$788,MATCH(A765,Linha!$A$5:$A$788,0)),"-")</f>
      </c>
      <c r="J765" s="23">
        <v>0</v>
      </c>
      <c r="K765" s="24">
        <f>IFERROR(INDEX(Linha!$D$5:$D$788,MATCH(A765,Linha!$A$5:$A$788,0))*1,0)</f>
      </c>
      <c r="L765" s="24">
        <f>SUMIFS(Reservas!$K$5:$K$3669,Reservas!$A$5:$A$3669,A765)</f>
      </c>
      <c r="M765" s="25">
        <f>J765-L765</f>
      </c>
      <c r="N765" s="26">
        <v>51.675</v>
      </c>
      <c r="O765" s="25">
        <f>J765*N765</f>
      </c>
      <c r="P765" s="25">
        <f>L765*N765</f>
      </c>
      <c r="Q765" s="27">
        <v>141.9404329</v>
      </c>
      <c r="R765" s="28">
        <f>J765*Q765</f>
      </c>
      <c r="S765" s="28">
        <f>L765*Q765</f>
      </c>
      <c r="T765" s="29">
        <f>IF(J765=0,0,L765/J765)</f>
      </c>
      <c r="U765" s="30">
        <f>IFERROR(INDEX(Paletes!$C$5:$C$393,MATCH(B765,Paletes!$A$5:$A$393,0)),"SEM CADASTRO")</f>
      </c>
      <c r="V765" s="24">
        <f>IFERROR(INDEX(Paletes!$D$5:$D$393,MATCH(B765,Paletes!$A$5:$A$393,0)),0)</f>
      </c>
      <c r="W765" s="31">
        <f>IF(V765=0,0,J765/V765)</f>
      </c>
      <c r="X765" s="31">
        <f>IF(V765=0,0,MAX(M765,0)/V765)</f>
      </c>
    </row>
    <row r="766" spans="1:24" x14ac:dyDescent="0.25">
      <c r="A766" s="32" t="str">
        <f>B766&amp;"."&amp;IFERROR(MID(D766,FIND("(",D766)+1,FIND(")",D766)-FIND("(",D766)-1),"")</f>
        <v>73534.16694</v>
      </c>
      <c r="B766" s="33">
        <v>73534</v>
      </c>
      <c r="C766" s="32" t="s">
        <v>311</v>
      </c>
      <c r="D766" s="32" t="s">
        <v>1142</v>
      </c>
      <c r="E766" s="32">
        <v>65348</v>
      </c>
      <c r="F766" s="32" t="s">
        <v>25</v>
      </c>
      <c r="G766" s="32" t="s">
        <v>51</v>
      </c>
      <c r="H766" s="34">
        <f>IFERROR(INDEX(Linha!$B$5:$B$788,MATCH(A766,Linha!$A$5:$A$788,0)),"NÃO CADASTRADO")</f>
      </c>
      <c r="I766" s="34">
        <f>IFERROR(INDEX(Linha!$C$5:$C$788,MATCH(A766,Linha!$A$5:$A$788,0)),"-")</f>
      </c>
      <c r="J766" s="35">
        <v>2</v>
      </c>
      <c r="K766" s="36">
        <f>IFERROR(INDEX(Linha!$D$5:$D$788,MATCH(A766,Linha!$A$5:$A$788,0))*1,0)</f>
      </c>
      <c r="L766" s="36">
        <f>SUMIFS(Reservas!$K$5:$K$3669,Reservas!$A$5:$A$3669,A766)</f>
      </c>
      <c r="M766" s="37">
        <f>J766-L766</f>
      </c>
      <c r="N766" s="38">
        <v>11.358</v>
      </c>
      <c r="O766" s="37">
        <f>J766*N766</f>
      </c>
      <c r="P766" s="37">
        <f>L766*N766</f>
      </c>
      <c r="Q766" s="39">
        <v>88.25459053</v>
      </c>
      <c r="R766" s="40">
        <f>J766*Q766</f>
      </c>
      <c r="S766" s="40">
        <f>L766*Q766</f>
      </c>
      <c r="T766" s="41">
        <f>IF(J766=0,0,L766/J766)</f>
      </c>
      <c r="U766" s="42">
        <f>IFERROR(INDEX(Paletes!$C$5:$C$393,MATCH(B766,Paletes!$A$5:$A$393,0)),"SEM CADASTRO")</f>
      </c>
      <c r="V766" s="36">
        <f>IFERROR(INDEX(Paletes!$D$5:$D$393,MATCH(B766,Paletes!$A$5:$A$393,0)),0)</f>
      </c>
      <c r="W766" s="43">
        <f>IF(V766=0,0,J766/V766)</f>
      </c>
      <c r="X766" s="43">
        <f>IF(V766=0,0,MAX(M766,0)/V766)</f>
      </c>
    </row>
    <row r="767" spans="1:24" x14ac:dyDescent="0.25">
      <c r="A767" s="20" t="str">
        <f>B767&amp;"."&amp;IFERROR(MID(D767,FIND("(",D767)+1,FIND(")",D767)-FIND("(",D767)-1),"")</f>
        <v>73174.15549</v>
      </c>
      <c r="B767" s="21">
        <v>73174</v>
      </c>
      <c r="C767" s="20" t="s">
        <v>767</v>
      </c>
      <c r="D767" s="20" t="s">
        <v>1143</v>
      </c>
      <c r="E767" s="20">
        <v>67924</v>
      </c>
      <c r="F767" s="20" t="s">
        <v>24</v>
      </c>
      <c r="G767" s="20" t="s">
        <v>51</v>
      </c>
      <c r="H767" s="22">
        <f>IFERROR(INDEX(Linha!$B$5:$B$788,MATCH(A767,Linha!$A$5:$A$788,0)),"NÃO CADASTRADO")</f>
      </c>
      <c r="I767" s="22">
        <f>IFERROR(INDEX(Linha!$C$5:$C$788,MATCH(A767,Linha!$A$5:$A$788,0)),"-")</f>
      </c>
      <c r="J767" s="23">
        <v>259</v>
      </c>
      <c r="K767" s="24">
        <f>IFERROR(INDEX(Linha!$D$5:$D$788,MATCH(A767,Linha!$A$5:$A$788,0))*1,0)</f>
      </c>
      <c r="L767" s="24">
        <f>SUMIFS(Reservas!$K$5:$K$3669,Reservas!$A$5:$A$3669,A767)</f>
      </c>
      <c r="M767" s="25">
        <f>J767-L767</f>
      </c>
      <c r="N767" s="26">
        <v>18.52</v>
      </c>
      <c r="O767" s="25">
        <f>J767*N767</f>
      </c>
      <c r="P767" s="25">
        <f>L767*N767</f>
      </c>
      <c r="Q767" s="27">
        <v>55.16145596</v>
      </c>
      <c r="R767" s="28">
        <f>J767*Q767</f>
      </c>
      <c r="S767" s="28">
        <f>L767*Q767</f>
      </c>
      <c r="T767" s="29">
        <f>IF(J767=0,0,L767/J767)</f>
      </c>
      <c r="U767" s="30">
        <f>IFERROR(INDEX(Paletes!$C$5:$C$393,MATCH(B767,Paletes!$A$5:$A$393,0)),"SEM CADASTRO")</f>
      </c>
      <c r="V767" s="24">
        <f>IFERROR(INDEX(Paletes!$D$5:$D$393,MATCH(B767,Paletes!$A$5:$A$393,0)),0)</f>
      </c>
      <c r="W767" s="31">
        <f>IF(V767=0,0,J767/V767)</f>
      </c>
      <c r="X767" s="31">
        <f>IF(V767=0,0,MAX(M767,0)/V767)</f>
      </c>
    </row>
    <row r="768" spans="1:24" x14ac:dyDescent="0.25">
      <c r="A768" s="32" t="str">
        <f>B768&amp;"."&amp;IFERROR(MID(D768,FIND("(",D768)+1,FIND(")",D768)-FIND("(",D768)-1),"")</f>
        <v>73347.15805</v>
      </c>
      <c r="B768" s="33">
        <v>73347</v>
      </c>
      <c r="C768" s="32" t="s">
        <v>910</v>
      </c>
      <c r="D768" s="32" t="s">
        <v>1144</v>
      </c>
      <c r="E768" s="32">
        <v>72682</v>
      </c>
      <c r="F768" s="32" t="s">
        <v>25</v>
      </c>
      <c r="G768" s="32" t="s">
        <v>51</v>
      </c>
      <c r="H768" s="34">
        <f>IFERROR(INDEX(Linha!$B$5:$B$788,MATCH(A768,Linha!$A$5:$A$788,0)),"NÃO CADASTRADO")</f>
      </c>
      <c r="I768" s="34">
        <f>IFERROR(INDEX(Linha!$C$5:$C$788,MATCH(A768,Linha!$A$5:$A$788,0)),"-")</f>
      </c>
      <c r="J768" s="35">
        <v>77</v>
      </c>
      <c r="K768" s="36">
        <f>IFERROR(INDEX(Linha!$D$5:$D$788,MATCH(A768,Linha!$A$5:$A$788,0))*1,0)</f>
      </c>
      <c r="L768" s="36">
        <f>SUMIFS(Reservas!$K$5:$K$3669,Reservas!$A$5:$A$3669,A768)</f>
      </c>
      <c r="M768" s="37">
        <f>J768-L768</f>
      </c>
      <c r="N768" s="38">
        <v>12.675</v>
      </c>
      <c r="O768" s="37">
        <f>J768*N768</f>
      </c>
      <c r="P768" s="37">
        <f>L768*N768</f>
      </c>
      <c r="Q768" s="39">
        <v>64.30264134</v>
      </c>
      <c r="R768" s="40">
        <f>J768*Q768</f>
      </c>
      <c r="S768" s="40">
        <f>L768*Q768</f>
      </c>
      <c r="T768" s="41">
        <f>IF(J768=0,0,L768/J768)</f>
      </c>
      <c r="U768" s="42">
        <f>IFERROR(INDEX(Paletes!$C$5:$C$393,MATCH(B768,Paletes!$A$5:$A$393,0)),"SEM CADASTRO")</f>
      </c>
      <c r="V768" s="36">
        <f>IFERROR(INDEX(Paletes!$D$5:$D$393,MATCH(B768,Paletes!$A$5:$A$393,0)),0)</f>
      </c>
      <c r="W768" s="43">
        <f>IF(V768=0,0,J768/V768)</f>
      </c>
      <c r="X768" s="43">
        <f>IF(V768=0,0,MAX(M768,0)/V768)</f>
      </c>
    </row>
    <row r="769" spans="1:24" x14ac:dyDescent="0.25">
      <c r="A769" s="20" t="str">
        <f>B769&amp;"."&amp;IFERROR(MID(D769,FIND("(",D769)+1,FIND(")",D769)-FIND("(",D769)-1),"")</f>
        <v>73347.15807</v>
      </c>
      <c r="B769" s="21">
        <v>73347</v>
      </c>
      <c r="C769" s="20" t="s">
        <v>910</v>
      </c>
      <c r="D769" s="20" t="s">
        <v>1145</v>
      </c>
      <c r="E769" s="20">
        <v>72682</v>
      </c>
      <c r="F769" s="20" t="s">
        <v>25</v>
      </c>
      <c r="G769" s="20" t="s">
        <v>51</v>
      </c>
      <c r="H769" s="22">
        <f>IFERROR(INDEX(Linha!$B$5:$B$788,MATCH(A769,Linha!$A$5:$A$788,0)),"NÃO CADASTRADO")</f>
      </c>
      <c r="I769" s="22">
        <f>IFERROR(INDEX(Linha!$C$5:$C$788,MATCH(A769,Linha!$A$5:$A$788,0)),"-")</f>
      </c>
      <c r="J769" s="23">
        <v>46</v>
      </c>
      <c r="K769" s="24">
        <f>IFERROR(INDEX(Linha!$D$5:$D$788,MATCH(A769,Linha!$A$5:$A$788,0))*1,0)</f>
      </c>
      <c r="L769" s="24">
        <f>SUMIFS(Reservas!$K$5:$K$3669,Reservas!$A$5:$A$3669,A769)</f>
      </c>
      <c r="M769" s="25">
        <f>J769-L769</f>
      </c>
      <c r="N769" s="26">
        <v>12.675</v>
      </c>
      <c r="O769" s="25">
        <f>J769*N769</f>
      </c>
      <c r="P769" s="25">
        <f>L769*N769</f>
      </c>
      <c r="Q769" s="27">
        <v>84.173399</v>
      </c>
      <c r="R769" s="28">
        <f>J769*Q769</f>
      </c>
      <c r="S769" s="28">
        <f>L769*Q769</f>
      </c>
      <c r="T769" s="29">
        <f>IF(J769=0,0,L769/J769)</f>
      </c>
      <c r="U769" s="30">
        <f>IFERROR(INDEX(Paletes!$C$5:$C$393,MATCH(B769,Paletes!$A$5:$A$393,0)),"SEM CADASTRO")</f>
      </c>
      <c r="V769" s="24">
        <f>IFERROR(INDEX(Paletes!$D$5:$D$393,MATCH(B769,Paletes!$A$5:$A$393,0)),0)</f>
      </c>
      <c r="W769" s="31">
        <f>IF(V769=0,0,J769/V769)</f>
      </c>
      <c r="X769" s="31">
        <f>IF(V769=0,0,MAX(M769,0)/V769)</f>
      </c>
    </row>
    <row r="770" spans="1:24" x14ac:dyDescent="0.25">
      <c r="A770" s="32" t="str">
        <f>B770&amp;"."&amp;IFERROR(MID(D770,FIND("(",D770)+1,FIND(")",D770)-FIND("(",D770)-1),"")</f>
        <v>2107.12376</v>
      </c>
      <c r="B770" s="33">
        <v>2107</v>
      </c>
      <c r="C770" s="32" t="s">
        <v>913</v>
      </c>
      <c r="D770" s="32" t="s">
        <v>1146</v>
      </c>
      <c r="E770" s="32">
        <v>72913</v>
      </c>
      <c r="F770" s="32" t="s">
        <v>26</v>
      </c>
      <c r="G770" s="32" t="s">
        <v>51</v>
      </c>
      <c r="H770" s="34">
        <f>IFERROR(INDEX(Linha!$B$5:$B$788,MATCH(A770,Linha!$A$5:$A$788,0)),"NÃO CADASTRADO")</f>
      </c>
      <c r="I770" s="34">
        <f>IFERROR(INDEX(Linha!$C$5:$C$788,MATCH(A770,Linha!$A$5:$A$788,0)),"-")</f>
      </c>
      <c r="J770" s="35">
        <v>921</v>
      </c>
      <c r="K770" s="36">
        <f>IFERROR(INDEX(Linha!$D$5:$D$788,MATCH(A770,Linha!$A$5:$A$788,0))*1,0)</f>
      </c>
      <c r="L770" s="36">
        <f>SUMIFS(Reservas!$K$5:$K$3669,Reservas!$A$5:$A$3669,A770)</f>
      </c>
      <c r="M770" s="37">
        <f>J770-L770</f>
      </c>
      <c r="N770" s="38">
        <v>50.992</v>
      </c>
      <c r="O770" s="37">
        <f>J770*N770</f>
      </c>
      <c r="P770" s="37">
        <f>L770*N770</f>
      </c>
      <c r="Q770" s="39">
        <v>157.31684304</v>
      </c>
      <c r="R770" s="40">
        <f>J770*Q770</f>
      </c>
      <c r="S770" s="40">
        <f>L770*Q770</f>
      </c>
      <c r="T770" s="41">
        <f>IF(J770=0,0,L770/J770)</f>
      </c>
      <c r="U770" s="42">
        <f>IFERROR(INDEX(Paletes!$C$5:$C$393,MATCH(B770,Paletes!$A$5:$A$393,0)),"SEM CADASTRO")</f>
      </c>
      <c r="V770" s="36">
        <f>IFERROR(INDEX(Paletes!$D$5:$D$393,MATCH(B770,Paletes!$A$5:$A$393,0)),0)</f>
      </c>
      <c r="W770" s="43">
        <f>IF(V770=0,0,J770/V770)</f>
      </c>
      <c r="X770" s="43">
        <f>IF(V770=0,0,MAX(M770,0)/V770)</f>
      </c>
    </row>
    <row r="771" spans="1:24" x14ac:dyDescent="0.25">
      <c r="A771" s="20" t="str">
        <f>B771&amp;"."&amp;IFERROR(MID(D771,FIND("(",D771)+1,FIND(")",D771)-FIND("(",D771)-1),"")</f>
        <v>73540.16030</v>
      </c>
      <c r="B771" s="21">
        <v>73540</v>
      </c>
      <c r="C771" s="20" t="s">
        <v>163</v>
      </c>
      <c r="D771" s="20" t="s">
        <v>1147</v>
      </c>
      <c r="E771" s="20">
        <v>73512</v>
      </c>
      <c r="F771" s="20" t="s">
        <v>25</v>
      </c>
      <c r="G771" s="20" t="s">
        <v>51</v>
      </c>
      <c r="H771" s="22">
        <f>IFERROR(INDEX(Linha!$B$5:$B$788,MATCH(A771,Linha!$A$5:$A$788,0)),"NÃO CADASTRADO")</f>
      </c>
      <c r="I771" s="22">
        <f>IFERROR(INDEX(Linha!$C$5:$C$788,MATCH(A771,Linha!$A$5:$A$788,0)),"-")</f>
      </c>
      <c r="J771" s="23">
        <v>259</v>
      </c>
      <c r="K771" s="24">
        <f>IFERROR(INDEX(Linha!$D$5:$D$788,MATCH(A771,Linha!$A$5:$A$788,0))*1,0)</f>
      </c>
      <c r="L771" s="24">
        <f>SUMIFS(Reservas!$K$5:$K$3669,Reservas!$A$5:$A$3669,A771)</f>
      </c>
      <c r="M771" s="25">
        <f>J771-L771</f>
      </c>
      <c r="N771" s="26">
        <v>3.9</v>
      </c>
      <c r="O771" s="25">
        <f>J771*N771</f>
      </c>
      <c r="P771" s="25">
        <f>L771*N771</f>
      </c>
      <c r="Q771" s="27">
        <v>26.48175549</v>
      </c>
      <c r="R771" s="28">
        <f>J771*Q771</f>
      </c>
      <c r="S771" s="28">
        <f>L771*Q771</f>
      </c>
      <c r="T771" s="29">
        <f>IF(J771=0,0,L771/J771)</f>
      </c>
      <c r="U771" s="30">
        <f>IFERROR(INDEX(Paletes!$C$5:$C$393,MATCH(B771,Paletes!$A$5:$A$393,0)),"SEM CADASTRO")</f>
      </c>
      <c r="V771" s="24">
        <f>IFERROR(INDEX(Paletes!$D$5:$D$393,MATCH(B771,Paletes!$A$5:$A$393,0)),0)</f>
      </c>
      <c r="W771" s="31">
        <f>IF(V771=0,0,J771/V771)</f>
      </c>
      <c r="X771" s="31">
        <f>IF(V771=0,0,MAX(M771,0)/V771)</f>
      </c>
    </row>
    <row r="772" spans="1:24" x14ac:dyDescent="0.25">
      <c r="A772" s="32" t="str">
        <f>B772&amp;"."&amp;IFERROR(MID(D772,FIND("(",D772)+1,FIND(")",D772)-FIND("(",D772)-1),"")</f>
        <v>73540.16035</v>
      </c>
      <c r="B772" s="33">
        <v>73540</v>
      </c>
      <c r="C772" s="32" t="s">
        <v>163</v>
      </c>
      <c r="D772" s="32" t="s">
        <v>1148</v>
      </c>
      <c r="E772" s="32">
        <v>73512</v>
      </c>
      <c r="F772" s="32" t="s">
        <v>25</v>
      </c>
      <c r="G772" s="32" t="s">
        <v>51</v>
      </c>
      <c r="H772" s="34">
        <f>IFERROR(INDEX(Linha!$B$5:$B$788,MATCH(A772,Linha!$A$5:$A$788,0)),"NÃO CADASTRADO")</f>
      </c>
      <c r="I772" s="34">
        <f>IFERROR(INDEX(Linha!$C$5:$C$788,MATCH(A772,Linha!$A$5:$A$788,0)),"-")</f>
      </c>
      <c r="J772" s="35">
        <v>112</v>
      </c>
      <c r="K772" s="36">
        <f>IFERROR(INDEX(Linha!$D$5:$D$788,MATCH(A772,Linha!$A$5:$A$788,0))*1,0)</f>
      </c>
      <c r="L772" s="36">
        <f>SUMIFS(Reservas!$K$5:$K$3669,Reservas!$A$5:$A$3669,A772)</f>
      </c>
      <c r="M772" s="37">
        <f>J772-L772</f>
      </c>
      <c r="N772" s="38">
        <v>3.9</v>
      </c>
      <c r="O772" s="37">
        <f>J772*N772</f>
      </c>
      <c r="P772" s="37">
        <f>L772*N772</f>
      </c>
      <c r="Q772" s="39">
        <v>25.09324587</v>
      </c>
      <c r="R772" s="40">
        <f>J772*Q772</f>
      </c>
      <c r="S772" s="40">
        <f>L772*Q772</f>
      </c>
      <c r="T772" s="41">
        <f>IF(J772=0,0,L772/J772)</f>
      </c>
      <c r="U772" s="42">
        <f>IFERROR(INDEX(Paletes!$C$5:$C$393,MATCH(B772,Paletes!$A$5:$A$393,0)),"SEM CADASTRO")</f>
      </c>
      <c r="V772" s="36">
        <f>IFERROR(INDEX(Paletes!$D$5:$D$393,MATCH(B772,Paletes!$A$5:$A$393,0)),0)</f>
      </c>
      <c r="W772" s="43">
        <f>IF(V772=0,0,J772/V772)</f>
      </c>
      <c r="X772" s="43">
        <f>IF(V772=0,0,MAX(M772,0)/V772)</f>
      </c>
    </row>
    <row r="773" spans="1:24" x14ac:dyDescent="0.25">
      <c r="A773" s="20" t="str">
        <f>B773&amp;"."&amp;IFERROR(MID(D773,FIND("(",D773)+1,FIND(")",D773)-FIND("(",D773)-1),"")</f>
        <v>2237.13657</v>
      </c>
      <c r="B773" s="21">
        <v>2237</v>
      </c>
      <c r="C773" s="20" t="s">
        <v>483</v>
      </c>
      <c r="D773" s="20" t="s">
        <v>1149</v>
      </c>
      <c r="E773" s="20">
        <v>73940</v>
      </c>
      <c r="F773" s="20" t="s">
        <v>26</v>
      </c>
      <c r="G773" s="20" t="s">
        <v>51</v>
      </c>
      <c r="H773" s="22">
        <f>IFERROR(INDEX(Linha!$B$5:$B$788,MATCH(A773,Linha!$A$5:$A$788,0)),"NÃO CADASTRADO")</f>
      </c>
      <c r="I773" s="22">
        <f>IFERROR(INDEX(Linha!$C$5:$C$788,MATCH(A773,Linha!$A$5:$A$788,0)),"-")</f>
      </c>
      <c r="J773" s="23">
        <v>184</v>
      </c>
      <c r="K773" s="24">
        <f>IFERROR(INDEX(Linha!$D$5:$D$788,MATCH(A773,Linha!$A$5:$A$788,0))*1,0)</f>
      </c>
      <c r="L773" s="24">
        <f>SUMIFS(Reservas!$K$5:$K$3669,Reservas!$A$5:$A$3669,A773)</f>
      </c>
      <c r="M773" s="25">
        <f>J773-L773</f>
      </c>
      <c r="N773" s="26">
        <v>45.83</v>
      </c>
      <c r="O773" s="25">
        <f>J773*N773</f>
      </c>
      <c r="P773" s="25">
        <f>L773*N773</f>
      </c>
      <c r="Q773" s="27">
        <v>167.65205673</v>
      </c>
      <c r="R773" s="28">
        <f>J773*Q773</f>
      </c>
      <c r="S773" s="28">
        <f>L773*Q773</f>
      </c>
      <c r="T773" s="29">
        <f>IF(J773=0,0,L773/J773)</f>
      </c>
      <c r="U773" s="30">
        <f>IFERROR(INDEX(Paletes!$C$5:$C$393,MATCH(B773,Paletes!$A$5:$A$393,0)),"SEM CADASTRO")</f>
      </c>
      <c r="V773" s="24">
        <f>IFERROR(INDEX(Paletes!$D$5:$D$393,MATCH(B773,Paletes!$A$5:$A$393,0)),0)</f>
      </c>
      <c r="W773" s="31">
        <f>IF(V773=0,0,J773/V773)</f>
      </c>
      <c r="X773" s="31">
        <f>IF(V773=0,0,MAX(M773,0)/V773)</f>
      </c>
    </row>
    <row r="774" spans="1:24" x14ac:dyDescent="0.25">
      <c r="A774" s="32" t="str">
        <f>B774&amp;"."&amp;IFERROR(MID(D774,FIND("(",D774)+1,FIND(")",D774)-FIND("(",D774)-1),"")</f>
        <v>87105.90678</v>
      </c>
      <c r="B774" s="33">
        <v>87105</v>
      </c>
      <c r="C774" s="32" t="s">
        <v>489</v>
      </c>
      <c r="D774" s="32" t="s">
        <v>1150</v>
      </c>
      <c r="E774" s="32">
        <v>104350</v>
      </c>
      <c r="F774" s="32" t="s">
        <v>26</v>
      </c>
      <c r="G774" s="32" t="s">
        <v>51</v>
      </c>
      <c r="H774" s="34">
        <f>IFERROR(INDEX(Linha!$B$5:$B$788,MATCH(A774,Linha!$A$5:$A$788,0)),"NÃO CADASTRADO")</f>
      </c>
      <c r="I774" s="34">
        <f>IFERROR(INDEX(Linha!$C$5:$C$788,MATCH(A774,Linha!$A$5:$A$788,0)),"-")</f>
      </c>
      <c r="J774" s="35">
        <v>145</v>
      </c>
      <c r="K774" s="36">
        <f>IFERROR(INDEX(Linha!$D$5:$D$788,MATCH(A774,Linha!$A$5:$A$788,0))*1,0)</f>
      </c>
      <c r="L774" s="36">
        <f>SUMIFS(Reservas!$K$5:$K$3669,Reservas!$A$5:$A$3669,A774)</f>
      </c>
      <c r="M774" s="37">
        <f>J774-L774</f>
      </c>
      <c r="N774" s="38">
        <v>24.375</v>
      </c>
      <c r="O774" s="37">
        <f>J774*N774</f>
      </c>
      <c r="P774" s="37">
        <f>L774*N774</f>
      </c>
      <c r="Q774" s="39">
        <v>71.12416808</v>
      </c>
      <c r="R774" s="40">
        <f>J774*Q774</f>
      </c>
      <c r="S774" s="40">
        <f>L774*Q774</f>
      </c>
      <c r="T774" s="41">
        <f>IF(J774=0,0,L774/J774)</f>
      </c>
      <c r="U774" s="42">
        <f>IFERROR(INDEX(Paletes!$C$5:$C$393,MATCH(B774,Paletes!$A$5:$A$393,0)),"SEM CADASTRO")</f>
      </c>
      <c r="V774" s="36">
        <f>IFERROR(INDEX(Paletes!$D$5:$D$393,MATCH(B774,Paletes!$A$5:$A$393,0)),0)</f>
      </c>
      <c r="W774" s="43">
        <f>IF(V774=0,0,J774/V774)</f>
      </c>
      <c r="X774" s="43">
        <f>IF(V774=0,0,MAX(M774,0)/V774)</f>
      </c>
    </row>
    <row r="775" spans="1:24" x14ac:dyDescent="0.25">
      <c r="A775" s="20" t="str">
        <f>B775&amp;"."&amp;IFERROR(MID(D775,FIND("(",D775)+1,FIND(")",D775)-FIND("(",D775)-1),"")</f>
        <v>73122.49908</v>
      </c>
      <c r="B775" s="21">
        <v>73122</v>
      </c>
      <c r="C775" s="20" t="s">
        <v>179</v>
      </c>
      <c r="D775" s="20" t="s">
        <v>1151</v>
      </c>
      <c r="E775" s="20">
        <v>81579</v>
      </c>
      <c r="F775" s="20" t="s">
        <v>24</v>
      </c>
      <c r="G775" s="20" t="s">
        <v>51</v>
      </c>
      <c r="H775" s="22">
        <f>IFERROR(INDEX(Linha!$B$5:$B$788,MATCH(A775,Linha!$A$5:$A$788,0)),"NÃO CADASTRADO")</f>
      </c>
      <c r="I775" s="22">
        <f>IFERROR(INDEX(Linha!$C$5:$C$788,MATCH(A775,Linha!$A$5:$A$788,0)),"-")</f>
      </c>
      <c r="J775" s="23">
        <v>22</v>
      </c>
      <c r="K775" s="24">
        <f>IFERROR(INDEX(Linha!$D$5:$D$788,MATCH(A775,Linha!$A$5:$A$788,0))*1,0)</f>
      </c>
      <c r="L775" s="24">
        <f>SUMIFS(Reservas!$K$5:$K$3669,Reservas!$A$5:$A$3669,A775)</f>
      </c>
      <c r="M775" s="25">
        <f>J775-L775</f>
      </c>
      <c r="N775" s="26">
        <v>51.675</v>
      </c>
      <c r="O775" s="25">
        <f>J775*N775</f>
      </c>
      <c r="P775" s="25">
        <f>L775*N775</f>
      </c>
      <c r="Q775" s="27">
        <v>283.3192855</v>
      </c>
      <c r="R775" s="28">
        <f>J775*Q775</f>
      </c>
      <c r="S775" s="28">
        <f>L775*Q775</f>
      </c>
      <c r="T775" s="29">
        <f>IF(J775=0,0,L775/J775)</f>
      </c>
      <c r="U775" s="30">
        <f>IFERROR(INDEX(Paletes!$C$5:$C$393,MATCH(B775,Paletes!$A$5:$A$393,0)),"SEM CADASTRO")</f>
      </c>
      <c r="V775" s="24">
        <f>IFERROR(INDEX(Paletes!$D$5:$D$393,MATCH(B775,Paletes!$A$5:$A$393,0)),0)</f>
      </c>
      <c r="W775" s="31">
        <f>IF(V775=0,0,J775/V775)</f>
      </c>
      <c r="X775" s="31">
        <f>IF(V775=0,0,MAX(M775,0)/V775)</f>
      </c>
    </row>
    <row r="776" spans="1:24" x14ac:dyDescent="0.25">
      <c r="A776" s="32" t="str">
        <f>B776&amp;"."&amp;IFERROR(MID(D776,FIND("(",D776)+1,FIND(")",D776)-FIND("(",D776)-1),"")</f>
        <v>73122.49907</v>
      </c>
      <c r="B776" s="33">
        <v>73122</v>
      </c>
      <c r="C776" s="32" t="s">
        <v>179</v>
      </c>
      <c r="D776" s="32" t="s">
        <v>1152</v>
      </c>
      <c r="E776" s="32">
        <v>81579</v>
      </c>
      <c r="F776" s="32" t="s">
        <v>24</v>
      </c>
      <c r="G776" s="32" t="s">
        <v>51</v>
      </c>
      <c r="H776" s="34">
        <f>IFERROR(INDEX(Linha!$B$5:$B$788,MATCH(A776,Linha!$A$5:$A$788,0)),"NÃO CADASTRADO")</f>
      </c>
      <c r="I776" s="34">
        <f>IFERROR(INDEX(Linha!$C$5:$C$788,MATCH(A776,Linha!$A$5:$A$788,0)),"-")</f>
      </c>
      <c r="J776" s="35">
        <v>0</v>
      </c>
      <c r="K776" s="36">
        <f>IFERROR(INDEX(Linha!$D$5:$D$788,MATCH(A776,Linha!$A$5:$A$788,0))*1,0)</f>
      </c>
      <c r="L776" s="36">
        <f>SUMIFS(Reservas!$K$5:$K$3669,Reservas!$A$5:$A$3669,A776)</f>
      </c>
      <c r="M776" s="37">
        <f>J776-L776</f>
      </c>
      <c r="N776" s="38">
        <v>51.675</v>
      </c>
      <c r="O776" s="37">
        <f>J776*N776</f>
      </c>
      <c r="P776" s="37">
        <f>L776*N776</f>
      </c>
      <c r="Q776" s="39">
        <v>311.99266033</v>
      </c>
      <c r="R776" s="40">
        <f>J776*Q776</f>
      </c>
      <c r="S776" s="40">
        <f>L776*Q776</f>
      </c>
      <c r="T776" s="41">
        <f>IF(J776=0,0,L776/J776)</f>
      </c>
      <c r="U776" s="42">
        <f>IFERROR(INDEX(Paletes!$C$5:$C$393,MATCH(B776,Paletes!$A$5:$A$393,0)),"SEM CADASTRO")</f>
      </c>
      <c r="V776" s="36">
        <f>IFERROR(INDEX(Paletes!$D$5:$D$393,MATCH(B776,Paletes!$A$5:$A$393,0)),0)</f>
      </c>
      <c r="W776" s="43">
        <f>IF(V776=0,0,J776/V776)</f>
      </c>
      <c r="X776" s="43">
        <f>IF(V776=0,0,MAX(M776,0)/V776)</f>
      </c>
    </row>
    <row r="777" spans="1:24" x14ac:dyDescent="0.25">
      <c r="A777" s="20" t="str">
        <f>B777&amp;"."&amp;IFERROR(MID(D777,FIND("(",D777)+1,FIND(")",D777)-FIND("(",D777)-1),"")</f>
        <v>2183.13603</v>
      </c>
      <c r="B777" s="21">
        <v>2183</v>
      </c>
      <c r="C777" s="20" t="s">
        <v>190</v>
      </c>
      <c r="D777" s="20" t="s">
        <v>1153</v>
      </c>
      <c r="E777" s="20">
        <v>81873</v>
      </c>
      <c r="F777" s="20" t="s">
        <v>26</v>
      </c>
      <c r="G777" s="20" t="s">
        <v>51</v>
      </c>
      <c r="H777" s="22">
        <f>IFERROR(INDEX(Linha!$B$5:$B$788,MATCH(A777,Linha!$A$5:$A$788,0)),"NÃO CADASTRADO")</f>
      </c>
      <c r="I777" s="22">
        <f>IFERROR(INDEX(Linha!$C$5:$C$788,MATCH(A777,Linha!$A$5:$A$788,0)),"-")</f>
      </c>
      <c r="J777" s="23">
        <v>5</v>
      </c>
      <c r="K777" s="24">
        <f>IFERROR(INDEX(Linha!$D$5:$D$788,MATCH(A777,Linha!$A$5:$A$788,0))*1,0)</f>
      </c>
      <c r="L777" s="24">
        <f>SUMIFS(Reservas!$K$5:$K$3669,Reservas!$A$5:$A$3669,A777)</f>
      </c>
      <c r="M777" s="25">
        <f>J777-L777</f>
      </c>
      <c r="N777" s="26">
        <v>62.4</v>
      </c>
      <c r="O777" s="25">
        <f>J777*N777</f>
      </c>
      <c r="P777" s="25">
        <f>L777*N777</f>
      </c>
      <c r="Q777" s="27">
        <v>283.53835226</v>
      </c>
      <c r="R777" s="28">
        <f>J777*Q777</f>
      </c>
      <c r="S777" s="28">
        <f>L777*Q777</f>
      </c>
      <c r="T777" s="29">
        <f>IF(J777=0,0,L777/J777)</f>
      </c>
      <c r="U777" s="30">
        <f>IFERROR(INDEX(Paletes!$C$5:$C$393,MATCH(B777,Paletes!$A$5:$A$393,0)),"SEM CADASTRO")</f>
      </c>
      <c r="V777" s="24">
        <f>IFERROR(INDEX(Paletes!$D$5:$D$393,MATCH(B777,Paletes!$A$5:$A$393,0)),0)</f>
      </c>
      <c r="W777" s="31">
        <f>IF(V777=0,0,J777/V777)</f>
      </c>
      <c r="X777" s="31">
        <f>IF(V777=0,0,MAX(M777,0)/V777)</f>
      </c>
    </row>
    <row r="778" spans="1:24" x14ac:dyDescent="0.25">
      <c r="A778" s="32" t="str">
        <f>B778&amp;"."&amp;IFERROR(MID(D778,FIND("(",D778)+1,FIND(")",D778)-FIND("(",D778)-1),"")</f>
        <v>2344.13519</v>
      </c>
      <c r="B778" s="33">
        <v>2344</v>
      </c>
      <c r="C778" s="32" t="s">
        <v>623</v>
      </c>
      <c r="D778" s="32" t="s">
        <v>1154</v>
      </c>
      <c r="E778" s="32">
        <v>81974</v>
      </c>
      <c r="F778" s="32" t="s">
        <v>26</v>
      </c>
      <c r="G778" s="32" t="s">
        <v>51</v>
      </c>
      <c r="H778" s="34">
        <f>IFERROR(INDEX(Linha!$B$5:$B$788,MATCH(A778,Linha!$A$5:$A$788,0)),"NÃO CADASTRADO")</f>
      </c>
      <c r="I778" s="34">
        <f>IFERROR(INDEX(Linha!$C$5:$C$788,MATCH(A778,Linha!$A$5:$A$788,0)),"-")</f>
      </c>
      <c r="J778" s="35">
        <v>12</v>
      </c>
      <c r="K778" s="36">
        <f>IFERROR(INDEX(Linha!$D$5:$D$788,MATCH(A778,Linha!$A$5:$A$788,0))*1,0)</f>
      </c>
      <c r="L778" s="36">
        <f>SUMIFS(Reservas!$K$5:$K$3669,Reservas!$A$5:$A$3669,A778)</f>
      </c>
      <c r="M778" s="37">
        <f>J778-L778</f>
      </c>
      <c r="N778" s="38">
        <v>50.21</v>
      </c>
      <c r="O778" s="37">
        <f>J778*N778</f>
      </c>
      <c r="P778" s="37">
        <f>L778*N778</f>
      </c>
      <c r="Q778" s="39">
        <v>182.13186561</v>
      </c>
      <c r="R778" s="40">
        <f>J778*Q778</f>
      </c>
      <c r="S778" s="40">
        <f>L778*Q778</f>
      </c>
      <c r="T778" s="41">
        <f>IF(J778=0,0,L778/J778)</f>
      </c>
      <c r="U778" s="42">
        <f>IFERROR(INDEX(Paletes!$C$5:$C$393,MATCH(B778,Paletes!$A$5:$A$393,0)),"SEM CADASTRO")</f>
      </c>
      <c r="V778" s="36">
        <f>IFERROR(INDEX(Paletes!$D$5:$D$393,MATCH(B778,Paletes!$A$5:$A$393,0)),0)</f>
      </c>
      <c r="W778" s="43">
        <f>IF(V778=0,0,J778/V778)</f>
      </c>
      <c r="X778" s="43">
        <f>IF(V778=0,0,MAX(M778,0)/V778)</f>
      </c>
    </row>
    <row r="779" spans="1:24" x14ac:dyDescent="0.25">
      <c r="A779" s="20" t="str">
        <f>B779&amp;"."&amp;IFERROR(MID(D779,FIND("(",D779)+1,FIND(")",D779)-FIND("(",D779)-1),"")</f>
        <v>2344.13521</v>
      </c>
      <c r="B779" s="21">
        <v>2344</v>
      </c>
      <c r="C779" s="20" t="s">
        <v>623</v>
      </c>
      <c r="D779" s="20" t="s">
        <v>1155</v>
      </c>
      <c r="E779" s="20">
        <v>81974</v>
      </c>
      <c r="F779" s="20" t="s">
        <v>26</v>
      </c>
      <c r="G779" s="20" t="s">
        <v>51</v>
      </c>
      <c r="H779" s="22">
        <f>IFERROR(INDEX(Linha!$B$5:$B$788,MATCH(A779,Linha!$A$5:$A$788,0)),"NÃO CADASTRADO")</f>
      </c>
      <c r="I779" s="22">
        <f>IFERROR(INDEX(Linha!$C$5:$C$788,MATCH(A779,Linha!$A$5:$A$788,0)),"-")</f>
      </c>
      <c r="J779" s="23">
        <v>0</v>
      </c>
      <c r="K779" s="24">
        <f>IFERROR(INDEX(Linha!$D$5:$D$788,MATCH(A779,Linha!$A$5:$A$788,0))*1,0)</f>
      </c>
      <c r="L779" s="24">
        <f>SUMIFS(Reservas!$K$5:$K$3669,Reservas!$A$5:$A$3669,A779)</f>
      </c>
      <c r="M779" s="25">
        <f>J779-L779</f>
      </c>
      <c r="N779" s="26">
        <v>50.21</v>
      </c>
      <c r="O779" s="25">
        <f>J779*N779</f>
      </c>
      <c r="P779" s="25">
        <f>L779*N779</f>
      </c>
      <c r="Q779" s="27">
        <v>202.02315649</v>
      </c>
      <c r="R779" s="28">
        <f>J779*Q779</f>
      </c>
      <c r="S779" s="28">
        <f>L779*Q779</f>
      </c>
      <c r="T779" s="29">
        <f>IF(J779=0,0,L779/J779)</f>
      </c>
      <c r="U779" s="30">
        <f>IFERROR(INDEX(Paletes!$C$5:$C$393,MATCH(B779,Paletes!$A$5:$A$393,0)),"SEM CADASTRO")</f>
      </c>
      <c r="V779" s="24">
        <f>IFERROR(INDEX(Paletes!$D$5:$D$393,MATCH(B779,Paletes!$A$5:$A$393,0)),0)</f>
      </c>
      <c r="W779" s="31">
        <f>IF(V779=0,0,J779/V779)</f>
      </c>
      <c r="X779" s="31">
        <f>IF(V779=0,0,MAX(M779,0)/V779)</f>
      </c>
    </row>
    <row r="780" spans="1:24" x14ac:dyDescent="0.25">
      <c r="A780" s="32" t="str">
        <f>B780&amp;"."&amp;IFERROR(MID(D780,FIND("(",D780)+1,FIND(")",D780)-FIND("(",D780)-1),"")</f>
        <v>74551.31309</v>
      </c>
      <c r="B780" s="33">
        <v>74551</v>
      </c>
      <c r="C780" s="32" t="s">
        <v>495</v>
      </c>
      <c r="D780" s="32" t="s">
        <v>1156</v>
      </c>
      <c r="E780" s="32">
        <v>82383</v>
      </c>
      <c r="F780" s="32" t="s">
        <v>25</v>
      </c>
      <c r="G780" s="32" t="s">
        <v>51</v>
      </c>
      <c r="H780" s="34">
        <f>IFERROR(INDEX(Linha!$B$5:$B$788,MATCH(A780,Linha!$A$5:$A$788,0)),"NÃO CADASTRADO")</f>
      </c>
      <c r="I780" s="34">
        <f>IFERROR(INDEX(Linha!$C$5:$C$788,MATCH(A780,Linha!$A$5:$A$788,0)),"-")</f>
      </c>
      <c r="J780" s="35">
        <v>133</v>
      </c>
      <c r="K780" s="36">
        <f>IFERROR(INDEX(Linha!$D$5:$D$788,MATCH(A780,Linha!$A$5:$A$788,0))*1,0)</f>
      </c>
      <c r="L780" s="36">
        <f>SUMIFS(Reservas!$K$5:$K$3669,Reservas!$A$5:$A$3669,A780)</f>
      </c>
      <c r="M780" s="37">
        <f>J780-L780</f>
      </c>
      <c r="N780" s="38">
        <v>53.274</v>
      </c>
      <c r="O780" s="37">
        <f>J780*N780</f>
      </c>
      <c r="P780" s="37">
        <f>L780*N780</f>
      </c>
      <c r="Q780" s="39">
        <v>293.98877246</v>
      </c>
      <c r="R780" s="40">
        <f>J780*Q780</f>
      </c>
      <c r="S780" s="40">
        <f>L780*Q780</f>
      </c>
      <c r="T780" s="41">
        <f>IF(J780=0,0,L780/J780)</f>
      </c>
      <c r="U780" s="42">
        <f>IFERROR(INDEX(Paletes!$C$5:$C$393,MATCH(B780,Paletes!$A$5:$A$393,0)),"SEM CADASTRO")</f>
      </c>
      <c r="V780" s="36">
        <f>IFERROR(INDEX(Paletes!$D$5:$D$393,MATCH(B780,Paletes!$A$5:$A$393,0)),0)</f>
      </c>
      <c r="W780" s="43">
        <f>IF(V780=0,0,J780/V780)</f>
      </c>
      <c r="X780" s="43">
        <f>IF(V780=0,0,MAX(M780,0)/V780)</f>
      </c>
    </row>
    <row r="781" spans="1:24" x14ac:dyDescent="0.25">
      <c r="A781" s="20" t="str">
        <f>B781&amp;"."&amp;IFERROR(MID(D781,FIND("(",D781)+1,FIND(")",D781)-FIND("(",D781)-1),"")</f>
        <v>2190.13810</v>
      </c>
      <c r="B781" s="21">
        <v>2190</v>
      </c>
      <c r="C781" s="20" t="s">
        <v>497</v>
      </c>
      <c r="D781" s="20" t="s">
        <v>1157</v>
      </c>
      <c r="E781" s="20">
        <v>82388</v>
      </c>
      <c r="F781" s="20" t="s">
        <v>26</v>
      </c>
      <c r="G781" s="20" t="s">
        <v>51</v>
      </c>
      <c r="H781" s="22">
        <f>IFERROR(INDEX(Linha!$B$5:$B$788,MATCH(A781,Linha!$A$5:$A$788,0)),"NÃO CADASTRADO")</f>
      </c>
      <c r="I781" s="22">
        <f>IFERROR(INDEX(Linha!$C$5:$C$788,MATCH(A781,Linha!$A$5:$A$788,0)),"-")</f>
      </c>
      <c r="J781" s="23">
        <v>123</v>
      </c>
      <c r="K781" s="24">
        <f>IFERROR(INDEX(Linha!$D$5:$D$788,MATCH(A781,Linha!$A$5:$A$788,0))*1,0)</f>
      </c>
      <c r="L781" s="24">
        <f>SUMIFS(Reservas!$K$5:$K$3669,Reservas!$A$5:$A$3669,A781)</f>
      </c>
      <c r="M781" s="25">
        <f>J781-L781</f>
      </c>
      <c r="N781" s="26">
        <v>10.725</v>
      </c>
      <c r="O781" s="25">
        <f>J781*N781</f>
      </c>
      <c r="P781" s="25">
        <f>L781*N781</f>
      </c>
      <c r="Q781" s="27">
        <v>65.23186622</v>
      </c>
      <c r="R781" s="28">
        <f>J781*Q781</f>
      </c>
      <c r="S781" s="28">
        <f>L781*Q781</f>
      </c>
      <c r="T781" s="29">
        <f>IF(J781=0,0,L781/J781)</f>
      </c>
      <c r="U781" s="30">
        <f>IFERROR(INDEX(Paletes!$C$5:$C$393,MATCH(B781,Paletes!$A$5:$A$393,0)),"SEM CADASTRO")</f>
      </c>
      <c r="V781" s="24">
        <f>IFERROR(INDEX(Paletes!$D$5:$D$393,MATCH(B781,Paletes!$A$5:$A$393,0)),0)</f>
      </c>
      <c r="W781" s="31">
        <f>IF(V781=0,0,J781/V781)</f>
      </c>
      <c r="X781" s="31">
        <f>IF(V781=0,0,MAX(M781,0)/V781)</f>
      </c>
    </row>
    <row r="782" spans="1:24" x14ac:dyDescent="0.25">
      <c r="A782" s="32" t="str">
        <f>B782&amp;"."&amp;IFERROR(MID(D782,FIND("(",D782)+1,FIND(")",D782)-FIND("(",D782)-1),"")</f>
        <v>2246.12518</v>
      </c>
      <c r="B782" s="33">
        <v>2246</v>
      </c>
      <c r="C782" s="32" t="s">
        <v>196</v>
      </c>
      <c r="D782" s="32" t="s">
        <v>1158</v>
      </c>
      <c r="E782" s="32">
        <v>87025</v>
      </c>
      <c r="F782" s="32" t="s">
        <v>26</v>
      </c>
      <c r="G782" s="32" t="s">
        <v>51</v>
      </c>
      <c r="H782" s="34">
        <f>IFERROR(INDEX(Linha!$B$5:$B$788,MATCH(A782,Linha!$A$5:$A$788,0)),"NÃO CADASTRADO")</f>
      </c>
      <c r="I782" s="34">
        <f>IFERROR(INDEX(Linha!$C$5:$C$788,MATCH(A782,Linha!$A$5:$A$788,0)),"-")</f>
      </c>
      <c r="J782" s="35">
        <v>0</v>
      </c>
      <c r="K782" s="36">
        <f>IFERROR(INDEX(Linha!$D$5:$D$788,MATCH(A782,Linha!$A$5:$A$788,0))*1,0)</f>
      </c>
      <c r="L782" s="36">
        <f>SUMIFS(Reservas!$K$5:$K$3669,Reservas!$A$5:$A$3669,A782)</f>
      </c>
      <c r="M782" s="37">
        <f>J782-L782</f>
      </c>
      <c r="N782" s="38">
        <v>15.307</v>
      </c>
      <c r="O782" s="37">
        <f>J782*N782</f>
      </c>
      <c r="P782" s="37">
        <f>L782*N782</f>
      </c>
      <c r="Q782" s="39">
        <v>50.45882635</v>
      </c>
      <c r="R782" s="40">
        <f>J782*Q782</f>
      </c>
      <c r="S782" s="40">
        <f>L782*Q782</f>
      </c>
      <c r="T782" s="41">
        <f>IF(J782=0,0,L782/J782)</f>
      </c>
      <c r="U782" s="42">
        <f>IFERROR(INDEX(Paletes!$C$5:$C$393,MATCH(B782,Paletes!$A$5:$A$393,0)),"SEM CADASTRO")</f>
      </c>
      <c r="V782" s="36">
        <f>IFERROR(INDEX(Paletes!$D$5:$D$393,MATCH(B782,Paletes!$A$5:$A$393,0)),0)</f>
      </c>
      <c r="W782" s="43">
        <f>IF(V782=0,0,J782/V782)</f>
      </c>
      <c r="X782" s="43">
        <f>IF(V782=0,0,MAX(M782,0)/V782)</f>
      </c>
    </row>
    <row r="783" spans="1:24" x14ac:dyDescent="0.25">
      <c r="A783" s="20" t="str">
        <f>B783&amp;"."&amp;IFERROR(MID(D783,FIND("(",D783)+1,FIND(")",D783)-FIND("(",D783)-1),"")</f>
        <v>72661.13084</v>
      </c>
      <c r="B783" s="21">
        <v>72661</v>
      </c>
      <c r="C783" s="20" t="s">
        <v>794</v>
      </c>
      <c r="D783" s="20" t="s">
        <v>1159</v>
      </c>
      <c r="E783" s="20">
        <v>87914</v>
      </c>
      <c r="F783" s="20" t="s">
        <v>26</v>
      </c>
      <c r="G783" s="20" t="s">
        <v>51</v>
      </c>
      <c r="H783" s="22">
        <f>IFERROR(INDEX(Linha!$B$5:$B$788,MATCH(A783,Linha!$A$5:$A$788,0)),"NÃO CADASTRADO")</f>
      </c>
      <c r="I783" s="22">
        <f>IFERROR(INDEX(Linha!$C$5:$C$788,MATCH(A783,Linha!$A$5:$A$788,0)),"-")</f>
      </c>
      <c r="J783" s="23">
        <v>460</v>
      </c>
      <c r="K783" s="24">
        <f>IFERROR(INDEX(Linha!$D$5:$D$788,MATCH(A783,Linha!$A$5:$A$788,0))*1,0)</f>
      </c>
      <c r="L783" s="24">
        <f>SUMIFS(Reservas!$K$5:$K$3669,Reservas!$A$5:$A$3669,A783)</f>
      </c>
      <c r="M783" s="25">
        <f>J783-L783</f>
      </c>
      <c r="N783" s="26">
        <v>19.987</v>
      </c>
      <c r="O783" s="25">
        <f>J783*N783</f>
      </c>
      <c r="P783" s="25">
        <f>L783*N783</f>
      </c>
      <c r="Q783" s="27">
        <v>166.32272983</v>
      </c>
      <c r="R783" s="28">
        <f>J783*Q783</f>
      </c>
      <c r="S783" s="28">
        <f>L783*Q783</f>
      </c>
      <c r="T783" s="29">
        <f>IF(J783=0,0,L783/J783)</f>
      </c>
      <c r="U783" s="30">
        <f>IFERROR(INDEX(Paletes!$C$5:$C$393,MATCH(B783,Paletes!$A$5:$A$393,0)),"SEM CADASTRO")</f>
      </c>
      <c r="V783" s="24">
        <f>IFERROR(INDEX(Paletes!$D$5:$D$393,MATCH(B783,Paletes!$A$5:$A$393,0)),0)</f>
      </c>
      <c r="W783" s="31">
        <f>IF(V783=0,0,J783/V783)</f>
      </c>
      <c r="X783" s="31">
        <f>IF(V783=0,0,MAX(M783,0)/V783)</f>
      </c>
    </row>
    <row r="784" spans="1:24" x14ac:dyDescent="0.25">
      <c r="A784" s="32" t="str">
        <f>B784&amp;"."&amp;IFERROR(MID(D784,FIND("(",D784)+1,FIND(")",D784)-FIND("(",D784)-1),"")</f>
        <v>73547.49167</v>
      </c>
      <c r="B784" s="33">
        <v>73547</v>
      </c>
      <c r="C784" s="32" t="s">
        <v>202</v>
      </c>
      <c r="D784" s="32" t="s">
        <v>1160</v>
      </c>
      <c r="E784" s="32">
        <v>88033</v>
      </c>
      <c r="F784" s="32" t="s">
        <v>25</v>
      </c>
      <c r="G784" s="32" t="s">
        <v>51</v>
      </c>
      <c r="H784" s="34">
        <f>IFERROR(INDEX(Linha!$B$5:$B$788,MATCH(A784,Linha!$A$5:$A$788,0)),"NÃO CADASTRADO")</f>
      </c>
      <c r="I784" s="34">
        <f>IFERROR(INDEX(Linha!$C$5:$C$788,MATCH(A784,Linha!$A$5:$A$788,0)),"-")</f>
      </c>
      <c r="J784" s="35">
        <v>94</v>
      </c>
      <c r="K784" s="36">
        <f>IFERROR(INDEX(Linha!$D$5:$D$788,MATCH(A784,Linha!$A$5:$A$788,0))*1,0)</f>
      </c>
      <c r="L784" s="36">
        <f>SUMIFS(Reservas!$K$5:$K$3669,Reservas!$A$5:$A$3669,A784)</f>
      </c>
      <c r="M784" s="37">
        <f>J784-L784</f>
      </c>
      <c r="N784" s="38">
        <v>11.115</v>
      </c>
      <c r="O784" s="37">
        <f>J784*N784</f>
      </c>
      <c r="P784" s="37">
        <f>L784*N784</f>
      </c>
      <c r="Q784" s="39">
        <v>67.97750571</v>
      </c>
      <c r="R784" s="40">
        <f>J784*Q784</f>
      </c>
      <c r="S784" s="40">
        <f>L784*Q784</f>
      </c>
      <c r="T784" s="41">
        <f>IF(J784=0,0,L784/J784)</f>
      </c>
      <c r="U784" s="42">
        <f>IFERROR(INDEX(Paletes!$C$5:$C$393,MATCH(B784,Paletes!$A$5:$A$393,0)),"SEM CADASTRO")</f>
      </c>
      <c r="V784" s="36">
        <f>IFERROR(INDEX(Paletes!$D$5:$D$393,MATCH(B784,Paletes!$A$5:$A$393,0)),0)</f>
      </c>
      <c r="W784" s="43">
        <f>IF(V784=0,0,J784/V784)</f>
      </c>
      <c r="X784" s="43">
        <f>IF(V784=0,0,MAX(M784,0)/V784)</f>
      </c>
    </row>
    <row r="785" spans="1:24" x14ac:dyDescent="0.25">
      <c r="A785" s="20" t="str">
        <f>B785&amp;"."&amp;IFERROR(MID(D785,FIND("(",D785)+1,FIND(")",D785)-FIND("(",D785)-1),"")</f>
        <v>72566.13848</v>
      </c>
      <c r="B785" s="21">
        <v>72566</v>
      </c>
      <c r="C785" s="20" t="s">
        <v>629</v>
      </c>
      <c r="D785" s="20" t="s">
        <v>1161</v>
      </c>
      <c r="E785" s="20">
        <v>88119</v>
      </c>
      <c r="F785" s="20" t="s">
        <v>26</v>
      </c>
      <c r="G785" s="20" t="s">
        <v>51</v>
      </c>
      <c r="H785" s="22">
        <f>IFERROR(INDEX(Linha!$B$5:$B$788,MATCH(A785,Linha!$A$5:$A$788,0)),"NÃO CADASTRADO")</f>
      </c>
      <c r="I785" s="22">
        <f>IFERROR(INDEX(Linha!$C$5:$C$788,MATCH(A785,Linha!$A$5:$A$788,0)),"-")</f>
      </c>
      <c r="J785" s="23">
        <v>337</v>
      </c>
      <c r="K785" s="24">
        <f>IFERROR(INDEX(Linha!$D$5:$D$788,MATCH(A785,Linha!$A$5:$A$788,0))*1,0)</f>
      </c>
      <c r="L785" s="24">
        <f>SUMIFS(Reservas!$K$5:$K$3669,Reservas!$A$5:$A$3669,A785)</f>
      </c>
      <c r="M785" s="25">
        <f>J785-L785</f>
      </c>
      <c r="N785" s="26">
        <v>45.82</v>
      </c>
      <c r="O785" s="25">
        <f>J785*N785</f>
      </c>
      <c r="P785" s="25">
        <f>L785*N785</f>
      </c>
      <c r="Q785" s="27">
        <v>135.20606588</v>
      </c>
      <c r="R785" s="28">
        <f>J785*Q785</f>
      </c>
      <c r="S785" s="28">
        <f>L785*Q785</f>
      </c>
      <c r="T785" s="29">
        <f>IF(J785=0,0,L785/J785)</f>
      </c>
      <c r="U785" s="30">
        <f>IFERROR(INDEX(Paletes!$C$5:$C$393,MATCH(B785,Paletes!$A$5:$A$393,0)),"SEM CADASTRO")</f>
      </c>
      <c r="V785" s="24">
        <f>IFERROR(INDEX(Paletes!$D$5:$D$393,MATCH(B785,Paletes!$A$5:$A$393,0)),0)</f>
      </c>
      <c r="W785" s="31">
        <f>IF(V785=0,0,J785/V785)</f>
      </c>
      <c r="X785" s="31">
        <f>IF(V785=0,0,MAX(M785,0)/V785)</f>
      </c>
    </row>
    <row r="786" spans="1:24" x14ac:dyDescent="0.25">
      <c r="A786" s="32" t="str">
        <f>B786&amp;"."&amp;IFERROR(MID(D786,FIND("(",D786)+1,FIND(")",D786)-FIND("(",D786)-1),"")</f>
        <v>87562.93213</v>
      </c>
      <c r="B786" s="33">
        <v>87562</v>
      </c>
      <c r="C786" s="32" t="s">
        <v>209</v>
      </c>
      <c r="D786" s="32" t="s">
        <v>1162</v>
      </c>
      <c r="E786" s="32">
        <v>105092</v>
      </c>
      <c r="F786" s="32" t="s">
        <v>26</v>
      </c>
      <c r="G786" s="32" t="s">
        <v>51</v>
      </c>
      <c r="H786" s="34">
        <f>IFERROR(INDEX(Linha!$B$5:$B$788,MATCH(A786,Linha!$A$5:$A$788,0)),"NÃO CADASTRADO")</f>
      </c>
      <c r="I786" s="34">
        <f>IFERROR(INDEX(Linha!$C$5:$C$788,MATCH(A786,Linha!$A$5:$A$788,0)),"-")</f>
      </c>
      <c r="J786" s="35">
        <v>163</v>
      </c>
      <c r="K786" s="36">
        <f>IFERROR(INDEX(Linha!$D$5:$D$788,MATCH(A786,Linha!$A$5:$A$788,0))*1,0)</f>
      </c>
      <c r="L786" s="36">
        <f>SUMIFS(Reservas!$K$5:$K$3669,Reservas!$A$5:$A$3669,A786)</f>
      </c>
      <c r="M786" s="37">
        <f>J786-L786</f>
      </c>
      <c r="N786" s="38">
        <v>61.425</v>
      </c>
      <c r="O786" s="37">
        <f>J786*N786</f>
      </c>
      <c r="P786" s="37">
        <f>L786*N786</f>
      </c>
      <c r="Q786" s="39">
        <v>212.49975539</v>
      </c>
      <c r="R786" s="40">
        <f>J786*Q786</f>
      </c>
      <c r="S786" s="40">
        <f>L786*Q786</f>
      </c>
      <c r="T786" s="41">
        <f>IF(J786=0,0,L786/J786)</f>
      </c>
      <c r="U786" s="42">
        <f>IFERROR(INDEX(Paletes!$C$5:$C$393,MATCH(B786,Paletes!$A$5:$A$393,0)),"SEM CADASTRO")</f>
      </c>
      <c r="V786" s="36">
        <f>IFERROR(INDEX(Paletes!$D$5:$D$393,MATCH(B786,Paletes!$A$5:$A$393,0)),0)</f>
      </c>
      <c r="W786" s="43">
        <f>IF(V786=0,0,J786/V786)</f>
      </c>
      <c r="X786" s="43">
        <f>IF(V786=0,0,MAX(M786,0)/V786)</f>
      </c>
    </row>
    <row r="787" spans="1:24" x14ac:dyDescent="0.25">
      <c r="A787" s="20" t="str">
        <f>B787&amp;"."&amp;IFERROR(MID(D787,FIND("(",D787)+1,FIND(")",D787)-FIND("(",D787)-1),"")</f>
        <v>73226.</v>
      </c>
      <c r="B787" s="21">
        <v>73226</v>
      </c>
      <c r="C787" s="20" t="s">
        <v>1163</v>
      </c>
      <c r="D787" s="20" t="s">
        <v>89</v>
      </c>
      <c r="E787" s="20">
        <v>91012</v>
      </c>
      <c r="F787" s="20" t="s">
        <v>24</v>
      </c>
      <c r="G787" s="20" t="s">
        <v>51</v>
      </c>
      <c r="H787" s="22">
        <f>IFERROR(INDEX(Linha!$B$5:$B$788,MATCH(A787,Linha!$A$5:$A$788,0)),"NÃO CADASTRADO")</f>
      </c>
      <c r="I787" s="22">
        <f>IFERROR(INDEX(Linha!$C$5:$C$788,MATCH(A787,Linha!$A$5:$A$788,0)),"-")</f>
      </c>
      <c r="J787" s="23">
        <v>2186</v>
      </c>
      <c r="K787" s="24">
        <f>IFERROR(INDEX(Linha!$D$5:$D$788,MATCH(A787,Linha!$A$5:$A$788,0))*1,0)</f>
      </c>
      <c r="L787" s="24">
        <f>SUMIFS(Reservas!$K$5:$K$3669,Reservas!$A$5:$A$3669,A787)</f>
      </c>
      <c r="M787" s="25">
        <f>J787-L787</f>
      </c>
      <c r="N787" s="26">
        <v>12.675</v>
      </c>
      <c r="O787" s="25">
        <f>J787*N787</f>
      </c>
      <c r="P787" s="25">
        <f>L787*N787</f>
      </c>
      <c r="Q787" s="27">
        <v>46.72281822</v>
      </c>
      <c r="R787" s="28">
        <f>J787*Q787</f>
      </c>
      <c r="S787" s="28">
        <f>L787*Q787</f>
      </c>
      <c r="T787" s="29">
        <f>IF(J787=0,0,L787/J787)</f>
      </c>
      <c r="U787" s="30">
        <f>IFERROR(INDEX(Paletes!$C$5:$C$393,MATCH(B787,Paletes!$A$5:$A$393,0)),"SEM CADASTRO")</f>
      </c>
      <c r="V787" s="24">
        <f>IFERROR(INDEX(Paletes!$D$5:$D$393,MATCH(B787,Paletes!$A$5:$A$393,0)),0)</f>
      </c>
      <c r="W787" s="31">
        <f>IF(V787=0,0,J787/V787)</f>
      </c>
      <c r="X787" s="31">
        <f>IF(V787=0,0,MAX(M787,0)/V787)</f>
      </c>
    </row>
    <row r="788" spans="1:24" x14ac:dyDescent="0.25">
      <c r="A788" s="32" t="str">
        <f>B788&amp;"."&amp;IFERROR(MID(D788,FIND("(",D788)+1,FIND(")",D788)-FIND("(",D788)-1),"")</f>
        <v>77143.12590</v>
      </c>
      <c r="B788" s="33">
        <v>77143</v>
      </c>
      <c r="C788" s="32" t="s">
        <v>516</v>
      </c>
      <c r="D788" s="32" t="s">
        <v>1164</v>
      </c>
      <c r="E788" s="32">
        <v>91504</v>
      </c>
      <c r="F788" s="32" t="s">
        <v>26</v>
      </c>
      <c r="G788" s="32" t="s">
        <v>51</v>
      </c>
      <c r="H788" s="34">
        <f>IFERROR(INDEX(Linha!$B$5:$B$788,MATCH(A788,Linha!$A$5:$A$788,0)),"NÃO CADASTRADO")</f>
      </c>
      <c r="I788" s="34">
        <f>IFERROR(INDEX(Linha!$C$5:$C$788,MATCH(A788,Linha!$A$5:$A$788,0)),"-")</f>
      </c>
      <c r="J788" s="35">
        <v>274</v>
      </c>
      <c r="K788" s="36">
        <f>IFERROR(INDEX(Linha!$D$5:$D$788,MATCH(A788,Linha!$A$5:$A$788,0))*1,0)</f>
      </c>
      <c r="L788" s="36">
        <f>SUMIFS(Reservas!$K$5:$K$3669,Reservas!$A$5:$A$3669,A788)</f>
      </c>
      <c r="M788" s="37">
        <f>J788-L788</f>
      </c>
      <c r="N788" s="38">
        <v>27.3</v>
      </c>
      <c r="O788" s="37">
        <f>J788*N788</f>
      </c>
      <c r="P788" s="37">
        <f>L788*N788</f>
      </c>
      <c r="Q788" s="39">
        <v>172.65447788</v>
      </c>
      <c r="R788" s="40">
        <f>J788*Q788</f>
      </c>
      <c r="S788" s="40">
        <f>L788*Q788</f>
      </c>
      <c r="T788" s="41">
        <f>IF(J788=0,0,L788/J788)</f>
      </c>
      <c r="U788" s="42">
        <f>IFERROR(INDEX(Paletes!$C$5:$C$393,MATCH(B788,Paletes!$A$5:$A$393,0)),"SEM CADASTRO")</f>
      </c>
      <c r="V788" s="36">
        <f>IFERROR(INDEX(Paletes!$D$5:$D$393,MATCH(B788,Paletes!$A$5:$A$393,0)),0)</f>
      </c>
      <c r="W788" s="43">
        <f>IF(V788=0,0,J788/V788)</f>
      </c>
      <c r="X788" s="43">
        <f>IF(V788=0,0,MAX(M788,0)/V788)</f>
      </c>
    </row>
    <row r="789" spans="1:24" x14ac:dyDescent="0.25">
      <c r="A789" s="20" t="str">
        <f>B789&amp;"."&amp;IFERROR(MID(D789,FIND("(",D789)+1,FIND(")",D789)-FIND("(",D789)-1),"")</f>
        <v>81938.31499</v>
      </c>
      <c r="B789" s="21">
        <v>81938</v>
      </c>
      <c r="C789" s="20" t="s">
        <v>362</v>
      </c>
      <c r="D789" s="20" t="s">
        <v>1165</v>
      </c>
      <c r="E789" s="20">
        <v>93683</v>
      </c>
      <c r="F789" s="20" t="s">
        <v>24</v>
      </c>
      <c r="G789" s="20" t="s">
        <v>51</v>
      </c>
      <c r="H789" s="22">
        <f>IFERROR(INDEX(Linha!$B$5:$B$788,MATCH(A789,Linha!$A$5:$A$788,0)),"NÃO CADASTRADO")</f>
      </c>
      <c r="I789" s="22">
        <f>IFERROR(INDEX(Linha!$C$5:$C$788,MATCH(A789,Linha!$A$5:$A$788,0)),"-")</f>
      </c>
      <c r="J789" s="23">
        <v>0</v>
      </c>
      <c r="K789" s="24">
        <f>IFERROR(INDEX(Linha!$D$5:$D$788,MATCH(A789,Linha!$A$5:$A$788,0))*1,0)</f>
      </c>
      <c r="L789" s="24">
        <f>SUMIFS(Reservas!$K$5:$K$3669,Reservas!$A$5:$A$3669,A789)</f>
      </c>
      <c r="M789" s="25">
        <f>J789-L789</f>
      </c>
      <c r="N789" s="26">
        <v>38.512</v>
      </c>
      <c r="O789" s="25">
        <f>J789*N789</f>
      </c>
      <c r="P789" s="25">
        <f>L789*N789</f>
      </c>
      <c r="Q789" s="27">
        <v>32.36235381</v>
      </c>
      <c r="R789" s="28">
        <f>J789*Q789</f>
      </c>
      <c r="S789" s="28">
        <f>L789*Q789</f>
      </c>
      <c r="T789" s="29">
        <f>IF(J789=0,0,L789/J789)</f>
      </c>
      <c r="U789" s="30">
        <f>IFERROR(INDEX(Paletes!$C$5:$C$393,MATCH(B789,Paletes!$A$5:$A$393,0)),"SEM CADASTRO")</f>
      </c>
      <c r="V789" s="24">
        <f>IFERROR(INDEX(Paletes!$D$5:$D$393,MATCH(B789,Paletes!$A$5:$A$393,0)),0)</f>
      </c>
      <c r="W789" s="31">
        <f>IF(V789=0,0,J789/V789)</f>
      </c>
      <c r="X789" s="31">
        <f>IF(V789=0,0,MAX(M789,0)/V789)</f>
      </c>
    </row>
  </sheetData>
  <autoFilter ref="A4:X789"/>
  <mergeCells count="2">
    <mergeCell ref="A1:X1"/>
    <mergeCell ref="A2:X2"/>
  </mergeCells>
  <conditionalFormatting sqref="H5:H789">
    <cfRule type="containsText" dxfId="0" priority="1">
      <formula>NOT(ISERROR(SEARCH("FORA",H5)))</formula>
    </cfRule>
    <cfRule type="containsText" dxfId="1" priority="2">
      <formula>NOT(ISERROR(SEARCH("NÃO CADASTRADO",H5)))</formula>
    </cfRule>
    <cfRule type="containsText" dxfId="2" priority="3">
      <formula>NOT(ISERROR(SEARCH("EM LINHA",H5)))</formula>
    </cfRule>
  </conditionalFormatting>
  <conditionalFormatting sqref="M5:M789">
    <cfRule type="cellIs" dxfId="3" priority="4" operator="lessThan">
      <formula>0</formula>
    </cfRule>
  </conditionalFormatting>
  <conditionalFormatting sqref="T5:T789">
    <cfRule type="dataBar" priority="5">
      <dataBar>
        <cfvo type="num" val="0"/>
        <cfvo type="num" val="1"/>
        <color rgb="FF5FA8A3"/>
      </dataBar>
      <extLst>
        <ext xmlns:x14="http://schemas.microsoft.com/office/spreadsheetml/2009/9/main" uri="{B025F937-C7B1-47D3-B67F-A62EFF666E3E}">
          <x14:id>{87DE6D88-60D5-4A9A-AF44-C75C0E4BF233}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DE6D88-60D5-4A9A-AF44-C75C0E4BF233}">
            <x14:dataBar minLength="0" maxLength="100">
              <x14:cfvo type="num">
                <xm:f>0</xm:f>
              </x14:cfvo>
              <x14:cfvo type="num">
                <xm:f>1</xm:f>
              </x14:cfvo>
            </x14:dataBar>
          </x14:cfRule>
          <xm:sqref>T5:T789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6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0" customWidth="1"/>
    <col min="3" max="3" width="10" customWidth="1"/>
    <col min="4" max="4" width="50" customWidth="1"/>
    <col min="5" max="5" width="28" customWidth="1"/>
    <col min="6" max="6" width="24" customWidth="1"/>
    <col min="7" max="7" width="10" customWidth="1"/>
    <col min="8" max="8" width="12" customWidth="1"/>
    <col min="9" max="9" width="14" customWidth="1"/>
    <col min="10" max="10" width="11" customWidth="1"/>
    <col min="11" max="12" width="12" customWidth="1"/>
  </cols>
  <sheetData>
    <row r="1" ht="24" customHeight="1" spans="1:12" x14ac:dyDescent="0.25">
      <c r="A1" s="1" t="s">
        <v>1166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1167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32" customHeight="1" spans="1:12" x14ac:dyDescent="0.25">
      <c r="A4" s="44" t="s">
        <v>32</v>
      </c>
      <c r="B4" s="44" t="s">
        <v>1168</v>
      </c>
      <c r="C4" s="44" t="s">
        <v>1169</v>
      </c>
      <c r="D4" s="44" t="s">
        <v>1170</v>
      </c>
      <c r="E4" s="44" t="s">
        <v>1171</v>
      </c>
      <c r="F4" s="44" t="s">
        <v>1172</v>
      </c>
      <c r="G4" s="44" t="s">
        <v>1173</v>
      </c>
      <c r="H4" s="44" t="s">
        <v>1174</v>
      </c>
      <c r="I4" s="44" t="s">
        <v>11</v>
      </c>
      <c r="J4" s="44" t="s">
        <v>1175</v>
      </c>
      <c r="K4" s="44" t="s">
        <v>1176</v>
      </c>
      <c r="L4" s="44" t="s">
        <v>1177</v>
      </c>
    </row>
    <row r="5" spans="1:12" x14ac:dyDescent="0.25">
      <c r="A5" s="45">
        <f>C5&amp;"."&amp;IFERROR(MID(E5,FIND("(",E5)+1,FIND(")",E5)-FIND("(",E5)-1),"")</f>
      </c>
      <c r="B5" s="46" t="s">
        <v>1178</v>
      </c>
      <c r="C5" s="46">
        <v>100336</v>
      </c>
      <c r="D5" s="46" t="s">
        <v>1179</v>
      </c>
      <c r="E5" s="46" t="s">
        <v>1180</v>
      </c>
      <c r="F5" s="46" t="s">
        <v>24</v>
      </c>
      <c r="G5" s="47">
        <v>39</v>
      </c>
      <c r="H5" s="48">
        <v>249.101</v>
      </c>
      <c r="I5" s="48">
        <v>12455.062</v>
      </c>
      <c r="J5" s="49">
        <v>50</v>
      </c>
      <c r="K5" s="49">
        <v>30</v>
      </c>
      <c r="L5" s="49">
        <v>20</v>
      </c>
    </row>
    <row r="6" spans="1:12" x14ac:dyDescent="0.25">
      <c r="A6" s="45">
        <f>C6&amp;"."&amp;IFERROR(MID(E6,FIND("(",E6)+1,FIND(")",E6)-FIND("(",E6)-1),"")</f>
      </c>
      <c r="B6" s="46" t="s">
        <v>1178</v>
      </c>
      <c r="C6" s="46">
        <v>101</v>
      </c>
      <c r="D6" s="46" t="s">
        <v>305</v>
      </c>
      <c r="E6" s="46" t="s">
        <v>1181</v>
      </c>
      <c r="F6" s="46" t="s">
        <v>26</v>
      </c>
      <c r="G6" s="47">
        <v>68.5</v>
      </c>
      <c r="H6" s="48">
        <v>202.467</v>
      </c>
      <c r="I6" s="48">
        <v>3441.947</v>
      </c>
      <c r="J6" s="49">
        <v>17</v>
      </c>
      <c r="K6" s="49">
        <v>17</v>
      </c>
      <c r="L6" s="49">
        <v>0</v>
      </c>
    </row>
    <row r="7" spans="1:12" x14ac:dyDescent="0.25">
      <c r="A7" s="45">
        <f>C7&amp;"."&amp;IFERROR(MID(E7,FIND("(",E7)+1,FIND(")",E7)-FIND("(",E7)-1),"")</f>
      </c>
      <c r="B7" s="46" t="s">
        <v>1178</v>
      </c>
      <c r="C7" s="46">
        <v>101</v>
      </c>
      <c r="D7" s="46" t="s">
        <v>305</v>
      </c>
      <c r="E7" s="46" t="s">
        <v>1182</v>
      </c>
      <c r="F7" s="46" t="s">
        <v>26</v>
      </c>
      <c r="G7" s="47">
        <v>68.5</v>
      </c>
      <c r="H7" s="48">
        <v>214.067</v>
      </c>
      <c r="I7" s="48">
        <v>62721.501</v>
      </c>
      <c r="J7" s="49">
        <v>293</v>
      </c>
      <c r="K7" s="49">
        <v>248</v>
      </c>
      <c r="L7" s="49">
        <v>45</v>
      </c>
    </row>
    <row r="8" spans="1:12" x14ac:dyDescent="0.25">
      <c r="A8" s="45">
        <f>C8&amp;"."&amp;IFERROR(MID(E8,FIND("(",E8)+1,FIND(")",E8)-FIND("(",E8)-1),"")</f>
      </c>
      <c r="B8" s="46" t="s">
        <v>1178</v>
      </c>
      <c r="C8" s="46">
        <v>102</v>
      </c>
      <c r="D8" s="46" t="s">
        <v>58</v>
      </c>
      <c r="E8" s="46" t="s">
        <v>1183</v>
      </c>
      <c r="F8" s="46" t="s">
        <v>26</v>
      </c>
      <c r="G8" s="47">
        <v>39.6</v>
      </c>
      <c r="H8" s="48">
        <v>140.904</v>
      </c>
      <c r="I8" s="48">
        <v>31985.188</v>
      </c>
      <c r="J8" s="49">
        <v>227</v>
      </c>
      <c r="K8" s="49">
        <v>132</v>
      </c>
      <c r="L8" s="49">
        <v>95</v>
      </c>
    </row>
    <row r="9" spans="1:12" x14ac:dyDescent="0.25">
      <c r="A9" s="45">
        <f>C9&amp;"."&amp;IFERROR(MID(E9,FIND("(",E9)+1,FIND(")",E9)-FIND("(",E9)-1),"")</f>
      </c>
      <c r="B9" s="46" t="s">
        <v>1178</v>
      </c>
      <c r="C9" s="46">
        <v>102</v>
      </c>
      <c r="D9" s="46" t="s">
        <v>58</v>
      </c>
      <c r="E9" s="46" t="s">
        <v>1184</v>
      </c>
      <c r="F9" s="46" t="s">
        <v>26</v>
      </c>
      <c r="G9" s="47">
        <v>39.6</v>
      </c>
      <c r="H9" s="48">
        <v>149.652</v>
      </c>
      <c r="I9" s="48">
        <v>10924.587</v>
      </c>
      <c r="J9" s="49">
        <v>73</v>
      </c>
      <c r="K9" s="49">
        <v>18</v>
      </c>
      <c r="L9" s="49">
        <v>55</v>
      </c>
    </row>
    <row r="10" spans="1:12" x14ac:dyDescent="0.25">
      <c r="A10" s="45">
        <f>C10&amp;"."&amp;IFERROR(MID(E10,FIND("(",E10)+1,FIND(")",E10)-FIND("(",E10)-1),"")</f>
      </c>
      <c r="B10" s="46" t="s">
        <v>1178</v>
      </c>
      <c r="C10" s="46">
        <v>102</v>
      </c>
      <c r="D10" s="46" t="s">
        <v>58</v>
      </c>
      <c r="E10" s="46" t="s">
        <v>1185</v>
      </c>
      <c r="F10" s="46" t="s">
        <v>26</v>
      </c>
      <c r="G10" s="47">
        <v>39.6</v>
      </c>
      <c r="H10" s="48">
        <v>143.741</v>
      </c>
      <c r="I10" s="48">
        <v>28748.152</v>
      </c>
      <c r="J10" s="49">
        <v>200</v>
      </c>
      <c r="K10" s="49">
        <v>115</v>
      </c>
      <c r="L10" s="49">
        <v>85</v>
      </c>
    </row>
    <row r="11" spans="1:12" x14ac:dyDescent="0.25">
      <c r="A11" s="45">
        <f>C11&amp;"."&amp;IFERROR(MID(E11,FIND("(",E11)+1,FIND(")",E11)-FIND("(",E11)-1),"")</f>
      </c>
      <c r="B11" s="46" t="s">
        <v>1178</v>
      </c>
      <c r="C11" s="46">
        <v>102</v>
      </c>
      <c r="D11" s="46" t="s">
        <v>58</v>
      </c>
      <c r="E11" s="46" t="s">
        <v>1186</v>
      </c>
      <c r="F11" s="46" t="s">
        <v>26</v>
      </c>
      <c r="G11" s="47">
        <v>39.6</v>
      </c>
      <c r="H11" s="48">
        <v>126.24</v>
      </c>
      <c r="I11" s="48">
        <v>126.24</v>
      </c>
      <c r="J11" s="49">
        <v>1</v>
      </c>
      <c r="K11" s="49">
        <v>0</v>
      </c>
      <c r="L11" s="49">
        <v>1</v>
      </c>
    </row>
    <row r="12" spans="1:12" x14ac:dyDescent="0.25">
      <c r="A12" s="45">
        <f>C12&amp;"."&amp;IFERROR(MID(E12,FIND("(",E12)+1,FIND(")",E12)-FIND("(",E12)-1),"")</f>
      </c>
      <c r="B12" s="46" t="s">
        <v>1178</v>
      </c>
      <c r="C12" s="46">
        <v>103</v>
      </c>
      <c r="D12" s="46" t="s">
        <v>1187</v>
      </c>
      <c r="E12" s="46" t="s">
        <v>1188</v>
      </c>
      <c r="F12" s="46" t="s">
        <v>26</v>
      </c>
      <c r="G12" s="47">
        <v>1.56</v>
      </c>
      <c r="H12" s="48">
        <v>7.507</v>
      </c>
      <c r="I12" s="48">
        <v>30.026</v>
      </c>
      <c r="J12" s="49">
        <v>4</v>
      </c>
      <c r="K12" s="49">
        <v>0</v>
      </c>
      <c r="L12" s="49">
        <v>4</v>
      </c>
    </row>
    <row r="13" spans="1:12" x14ac:dyDescent="0.25">
      <c r="A13" s="45">
        <f>C13&amp;"."&amp;IFERROR(MID(E13,FIND("(",E13)+1,FIND(")",E13)-FIND("(",E13)-1),"")</f>
      </c>
      <c r="B13" s="46" t="s">
        <v>1178</v>
      </c>
      <c r="C13" s="46">
        <v>103</v>
      </c>
      <c r="D13" s="46" t="s">
        <v>1187</v>
      </c>
      <c r="E13" s="46" t="s">
        <v>1189</v>
      </c>
      <c r="F13" s="46" t="s">
        <v>26</v>
      </c>
      <c r="G13" s="47">
        <v>1.56</v>
      </c>
      <c r="H13" s="48">
        <v>4.97</v>
      </c>
      <c r="I13" s="48">
        <v>9.94</v>
      </c>
      <c r="J13" s="49">
        <v>2</v>
      </c>
      <c r="K13" s="49">
        <v>0</v>
      </c>
      <c r="L13" s="49">
        <v>2</v>
      </c>
    </row>
    <row r="14" spans="1:12" x14ac:dyDescent="0.25">
      <c r="A14" s="45">
        <f>C14&amp;"."&amp;IFERROR(MID(E14,FIND("(",E14)+1,FIND(")",E14)-FIND("(",E14)-1),"")</f>
      </c>
      <c r="B14" s="46" t="s">
        <v>1178</v>
      </c>
      <c r="C14" s="46">
        <v>103</v>
      </c>
      <c r="D14" s="46" t="s">
        <v>1187</v>
      </c>
      <c r="E14" s="46" t="s">
        <v>1190</v>
      </c>
      <c r="F14" s="46" t="s">
        <v>26</v>
      </c>
      <c r="G14" s="47">
        <v>1.56</v>
      </c>
      <c r="H14" s="48">
        <v>2.775</v>
      </c>
      <c r="I14" s="48">
        <v>24.976</v>
      </c>
      <c r="J14" s="49">
        <v>9</v>
      </c>
      <c r="K14" s="49">
        <v>0</v>
      </c>
      <c r="L14" s="49">
        <v>9</v>
      </c>
    </row>
    <row r="15" spans="1:12" x14ac:dyDescent="0.25">
      <c r="A15" s="45">
        <f>C15&amp;"."&amp;IFERROR(MID(E15,FIND("(",E15)+1,FIND(")",E15)-FIND("(",E15)-1),"")</f>
      </c>
      <c r="B15" s="46" t="s">
        <v>1178</v>
      </c>
      <c r="C15" s="46">
        <v>104</v>
      </c>
      <c r="D15" s="46" t="s">
        <v>1191</v>
      </c>
      <c r="E15" s="46" t="s">
        <v>1192</v>
      </c>
      <c r="F15" s="46" t="s">
        <v>26</v>
      </c>
      <c r="G15" s="47">
        <v>1.56</v>
      </c>
      <c r="H15" s="48">
        <v>9.542</v>
      </c>
      <c r="I15" s="48">
        <v>19.085</v>
      </c>
      <c r="J15" s="49">
        <v>2</v>
      </c>
      <c r="K15" s="49">
        <v>1</v>
      </c>
      <c r="L15" s="49">
        <v>1</v>
      </c>
    </row>
    <row r="16" spans="1:12" x14ac:dyDescent="0.25">
      <c r="A16" s="45">
        <f>C16&amp;"."&amp;IFERROR(MID(E16,FIND("(",E16)+1,FIND(")",E16)-FIND("(",E16)-1),"")</f>
      </c>
      <c r="B16" s="46" t="s">
        <v>1178</v>
      </c>
      <c r="C16" s="46">
        <v>104</v>
      </c>
      <c r="D16" s="46" t="s">
        <v>1191</v>
      </c>
      <c r="E16" s="46" t="s">
        <v>1193</v>
      </c>
      <c r="F16" s="46" t="s">
        <v>26</v>
      </c>
      <c r="G16" s="47">
        <v>1.56</v>
      </c>
      <c r="H16" s="48">
        <v>4.495</v>
      </c>
      <c r="I16" s="48">
        <v>22.476</v>
      </c>
      <c r="J16" s="49">
        <v>5</v>
      </c>
      <c r="K16" s="49">
        <v>0</v>
      </c>
      <c r="L16" s="49">
        <v>5</v>
      </c>
    </row>
    <row r="17" spans="1:12" x14ac:dyDescent="0.25">
      <c r="A17" s="45">
        <f>C17&amp;"."&amp;IFERROR(MID(E17,FIND("(",E17)+1,FIND(")",E17)-FIND("(",E17)-1),"")</f>
      </c>
      <c r="B17" s="46" t="s">
        <v>1178</v>
      </c>
      <c r="C17" s="46">
        <v>105</v>
      </c>
      <c r="D17" s="46" t="s">
        <v>1194</v>
      </c>
      <c r="E17" s="46" t="s">
        <v>1195</v>
      </c>
      <c r="F17" s="46" t="s">
        <v>26</v>
      </c>
      <c r="G17" s="47">
        <v>1.4</v>
      </c>
      <c r="H17" s="48">
        <v>4.042</v>
      </c>
      <c r="I17" s="48">
        <v>20.209</v>
      </c>
      <c r="J17" s="49">
        <v>5</v>
      </c>
      <c r="K17" s="49">
        <v>0</v>
      </c>
      <c r="L17" s="49">
        <v>5</v>
      </c>
    </row>
    <row r="18" spans="1:12" x14ac:dyDescent="0.25">
      <c r="A18" s="45">
        <f>C18&amp;"."&amp;IFERROR(MID(E18,FIND("(",E18)+1,FIND(")",E18)-FIND("(",E18)-1),"")</f>
      </c>
      <c r="B18" s="46" t="s">
        <v>1178</v>
      </c>
      <c r="C18" s="46">
        <v>105</v>
      </c>
      <c r="D18" s="46" t="s">
        <v>1194</v>
      </c>
      <c r="E18" s="46" t="s">
        <v>1196</v>
      </c>
      <c r="F18" s="46" t="s">
        <v>26</v>
      </c>
      <c r="G18" s="47">
        <v>1.4</v>
      </c>
      <c r="H18" s="48">
        <v>9.507</v>
      </c>
      <c r="I18" s="48">
        <v>95.07</v>
      </c>
      <c r="J18" s="49">
        <v>10</v>
      </c>
      <c r="K18" s="49">
        <v>1</v>
      </c>
      <c r="L18" s="49">
        <v>9</v>
      </c>
    </row>
    <row r="19" spans="1:12" x14ac:dyDescent="0.25">
      <c r="A19" s="45">
        <f>C19&amp;"."&amp;IFERROR(MID(E19,FIND("(",E19)+1,FIND(")",E19)-FIND("(",E19)-1),"")</f>
      </c>
      <c r="B19" s="46" t="s">
        <v>1178</v>
      </c>
      <c r="C19" s="46">
        <v>105</v>
      </c>
      <c r="D19" s="46" t="s">
        <v>1194</v>
      </c>
      <c r="E19" s="46" t="s">
        <v>1197</v>
      </c>
      <c r="F19" s="46" t="s">
        <v>26</v>
      </c>
      <c r="G19" s="47">
        <v>1.4</v>
      </c>
      <c r="H19" s="48">
        <v>11.025</v>
      </c>
      <c r="I19" s="48">
        <v>55.126</v>
      </c>
      <c r="J19" s="49">
        <v>5</v>
      </c>
      <c r="K19" s="49">
        <v>0</v>
      </c>
      <c r="L19" s="49">
        <v>5</v>
      </c>
    </row>
    <row r="20" spans="1:12" x14ac:dyDescent="0.25">
      <c r="A20" s="45">
        <f>C20&amp;"."&amp;IFERROR(MID(E20,FIND("(",E20)+1,FIND(")",E20)-FIND("(",E20)-1),"")</f>
      </c>
      <c r="B20" s="46" t="s">
        <v>1178</v>
      </c>
      <c r="C20" s="46">
        <v>106</v>
      </c>
      <c r="D20" s="46" t="s">
        <v>1198</v>
      </c>
      <c r="E20" s="46" t="s">
        <v>1199</v>
      </c>
      <c r="F20" s="46" t="s">
        <v>26</v>
      </c>
      <c r="G20" s="47">
        <v>5.77</v>
      </c>
      <c r="H20" s="48">
        <v>16.167</v>
      </c>
      <c r="I20" s="48">
        <v>1131.682</v>
      </c>
      <c r="J20" s="49">
        <v>70</v>
      </c>
      <c r="K20" s="49">
        <v>24</v>
      </c>
      <c r="L20" s="49">
        <v>46</v>
      </c>
    </row>
    <row r="21" spans="1:12" x14ac:dyDescent="0.25">
      <c r="A21" s="45">
        <f>C21&amp;"."&amp;IFERROR(MID(E21,FIND("(",E21)+1,FIND(")",E21)-FIND("(",E21)-1),"")</f>
      </c>
      <c r="B21" s="46" t="s">
        <v>1178</v>
      </c>
      <c r="C21" s="46">
        <v>106</v>
      </c>
      <c r="D21" s="46" t="s">
        <v>1198</v>
      </c>
      <c r="E21" s="46" t="s">
        <v>1200</v>
      </c>
      <c r="F21" s="46" t="s">
        <v>26</v>
      </c>
      <c r="G21" s="47">
        <v>5.77</v>
      </c>
      <c r="H21" s="48">
        <v>15.301</v>
      </c>
      <c r="I21" s="48">
        <v>2647.131</v>
      </c>
      <c r="J21" s="49">
        <v>173</v>
      </c>
      <c r="K21" s="49">
        <v>83</v>
      </c>
      <c r="L21" s="49">
        <v>90</v>
      </c>
    </row>
    <row r="22" spans="1:12" x14ac:dyDescent="0.25">
      <c r="A22" s="45">
        <f>C22&amp;"."&amp;IFERROR(MID(E22,FIND("(",E22)+1,FIND(")",E22)-FIND("(",E22)-1),"")</f>
      </c>
      <c r="B22" s="46" t="s">
        <v>1178</v>
      </c>
      <c r="C22" s="46">
        <v>106</v>
      </c>
      <c r="D22" s="46" t="s">
        <v>1198</v>
      </c>
      <c r="E22" s="46" t="s">
        <v>1201</v>
      </c>
      <c r="F22" s="46" t="s">
        <v>26</v>
      </c>
      <c r="G22" s="47">
        <v>5.77</v>
      </c>
      <c r="H22" s="48">
        <v>17.964</v>
      </c>
      <c r="I22" s="48">
        <v>1419.124</v>
      </c>
      <c r="J22" s="49">
        <v>79</v>
      </c>
      <c r="K22" s="49">
        <v>31</v>
      </c>
      <c r="L22" s="49">
        <v>48</v>
      </c>
    </row>
    <row r="23" spans="1:12" x14ac:dyDescent="0.25">
      <c r="A23" s="45">
        <f>C23&amp;"."&amp;IFERROR(MID(E23,FIND("(",E23)+1,FIND(")",E23)-FIND("(",E23)-1),"")</f>
      </c>
      <c r="B23" s="46" t="s">
        <v>1178</v>
      </c>
      <c r="C23" s="46">
        <v>106</v>
      </c>
      <c r="D23" s="46" t="s">
        <v>1198</v>
      </c>
      <c r="E23" s="46" t="s">
        <v>1202</v>
      </c>
      <c r="F23" s="46" t="s">
        <v>26</v>
      </c>
      <c r="G23" s="47">
        <v>5.77</v>
      </c>
      <c r="H23" s="48">
        <v>18.028</v>
      </c>
      <c r="I23" s="48">
        <v>36.057</v>
      </c>
      <c r="J23" s="49">
        <v>2</v>
      </c>
      <c r="K23" s="49">
        <v>0</v>
      </c>
      <c r="L23" s="49">
        <v>2</v>
      </c>
    </row>
    <row r="24" spans="1:12" x14ac:dyDescent="0.25">
      <c r="A24" s="45">
        <f>C24&amp;"."&amp;IFERROR(MID(E24,FIND("(",E24)+1,FIND(")",E24)-FIND("(",E24)-1),"")</f>
      </c>
      <c r="B24" s="46" t="s">
        <v>1178</v>
      </c>
      <c r="C24" s="46">
        <v>108</v>
      </c>
      <c r="D24" s="46" t="s">
        <v>1203</v>
      </c>
      <c r="E24" s="46" t="s">
        <v>1204</v>
      </c>
      <c r="F24" s="46" t="s">
        <v>26</v>
      </c>
      <c r="G24" s="47">
        <v>4.63</v>
      </c>
      <c r="H24" s="48">
        <v>13.37</v>
      </c>
      <c r="I24" s="48">
        <v>13.37</v>
      </c>
      <c r="J24" s="49">
        <v>1</v>
      </c>
      <c r="K24" s="49">
        <v>0</v>
      </c>
      <c r="L24" s="49">
        <v>1</v>
      </c>
    </row>
    <row r="25" spans="1:12" x14ac:dyDescent="0.25">
      <c r="A25" s="45">
        <f>C25&amp;"."&amp;IFERROR(MID(E25,FIND("(",E25)+1,FIND(")",E25)-FIND("(",E25)-1),"")</f>
      </c>
      <c r="B25" s="46" t="s">
        <v>1178</v>
      </c>
      <c r="C25" s="46">
        <v>108</v>
      </c>
      <c r="D25" s="46" t="s">
        <v>1203</v>
      </c>
      <c r="E25" s="46" t="s">
        <v>1205</v>
      </c>
      <c r="F25" s="46" t="s">
        <v>26</v>
      </c>
      <c r="G25" s="47">
        <v>4.63</v>
      </c>
      <c r="H25" s="48">
        <v>13.34</v>
      </c>
      <c r="I25" s="48">
        <v>53.361</v>
      </c>
      <c r="J25" s="49">
        <v>4</v>
      </c>
      <c r="K25" s="49">
        <v>4</v>
      </c>
      <c r="L25" s="49">
        <v>0</v>
      </c>
    </row>
    <row r="26" spans="1:12" x14ac:dyDescent="0.25">
      <c r="A26" s="45">
        <f>C26&amp;"."&amp;IFERROR(MID(E26,FIND("(",E26)+1,FIND(")",E26)-FIND("(",E26)-1),"")</f>
      </c>
      <c r="B26" s="46" t="s">
        <v>1178</v>
      </c>
      <c r="C26" s="46">
        <v>108</v>
      </c>
      <c r="D26" s="46" t="s">
        <v>1203</v>
      </c>
      <c r="E26" s="46" t="s">
        <v>1206</v>
      </c>
      <c r="F26" s="46" t="s">
        <v>26</v>
      </c>
      <c r="G26" s="47">
        <v>4.63</v>
      </c>
      <c r="H26" s="48">
        <v>13.477</v>
      </c>
      <c r="I26" s="48">
        <v>795.121</v>
      </c>
      <c r="J26" s="49">
        <v>59</v>
      </c>
      <c r="K26" s="49">
        <v>10</v>
      </c>
      <c r="L26" s="49">
        <v>49</v>
      </c>
    </row>
    <row r="27" spans="1:12" x14ac:dyDescent="0.25">
      <c r="A27" s="45">
        <f>C27&amp;"."&amp;IFERROR(MID(E27,FIND("(",E27)+1,FIND(")",E27)-FIND("(",E27)-1),"")</f>
      </c>
      <c r="B27" s="46" t="s">
        <v>1178</v>
      </c>
      <c r="C27" s="46">
        <v>108</v>
      </c>
      <c r="D27" s="46" t="s">
        <v>1203</v>
      </c>
      <c r="E27" s="46" t="s">
        <v>1207</v>
      </c>
      <c r="F27" s="46" t="s">
        <v>26</v>
      </c>
      <c r="G27" s="47">
        <v>4.63</v>
      </c>
      <c r="H27" s="48">
        <v>12.934</v>
      </c>
      <c r="I27" s="48">
        <v>77.602</v>
      </c>
      <c r="J27" s="49">
        <v>6</v>
      </c>
      <c r="K27" s="49">
        <v>6</v>
      </c>
      <c r="L27" s="49">
        <v>0</v>
      </c>
    </row>
    <row r="28" spans="1:12" x14ac:dyDescent="0.25">
      <c r="A28" s="45">
        <f>C28&amp;"."&amp;IFERROR(MID(E28,FIND("(",E28)+1,FIND(")",E28)-FIND("(",E28)-1),"")</f>
      </c>
      <c r="B28" s="46" t="s">
        <v>1178</v>
      </c>
      <c r="C28" s="46">
        <v>110</v>
      </c>
      <c r="D28" s="46" t="s">
        <v>1208</v>
      </c>
      <c r="E28" s="46" t="s">
        <v>1209</v>
      </c>
      <c r="F28" s="46" t="s">
        <v>26</v>
      </c>
      <c r="G28" s="47">
        <v>1.52</v>
      </c>
      <c r="H28" s="48">
        <v>7.13</v>
      </c>
      <c r="I28" s="48">
        <v>7.13</v>
      </c>
      <c r="J28" s="49">
        <v>1</v>
      </c>
      <c r="K28" s="49">
        <v>0</v>
      </c>
      <c r="L28" s="49">
        <v>1</v>
      </c>
    </row>
    <row r="29" spans="1:12" x14ac:dyDescent="0.25">
      <c r="A29" s="45">
        <f>C29&amp;"."&amp;IFERROR(MID(E29,FIND("(",E29)+1,FIND(")",E29)-FIND("(",E29)-1),"")</f>
      </c>
      <c r="B29" s="46" t="s">
        <v>1178</v>
      </c>
      <c r="C29" s="46">
        <v>110</v>
      </c>
      <c r="D29" s="46" t="s">
        <v>1208</v>
      </c>
      <c r="E29" s="46" t="s">
        <v>1210</v>
      </c>
      <c r="F29" s="46" t="s">
        <v>26</v>
      </c>
      <c r="G29" s="47">
        <v>1.52</v>
      </c>
      <c r="H29" s="48">
        <v>4.48</v>
      </c>
      <c r="I29" s="48">
        <v>22.4</v>
      </c>
      <c r="J29" s="49">
        <v>5</v>
      </c>
      <c r="K29" s="49">
        <v>0</v>
      </c>
      <c r="L29" s="49">
        <v>5</v>
      </c>
    </row>
    <row r="30" spans="1:12" x14ac:dyDescent="0.25">
      <c r="A30" s="45">
        <f>C30&amp;"."&amp;IFERROR(MID(E30,FIND("(",E30)+1,FIND(")",E30)-FIND("(",E30)-1),"")</f>
      </c>
      <c r="B30" s="46" t="s">
        <v>1178</v>
      </c>
      <c r="C30" s="46">
        <v>110</v>
      </c>
      <c r="D30" s="46" t="s">
        <v>1208</v>
      </c>
      <c r="E30" s="46" t="s">
        <v>1211</v>
      </c>
      <c r="F30" s="46" t="s">
        <v>26</v>
      </c>
      <c r="G30" s="47">
        <v>1.52</v>
      </c>
      <c r="H30" s="48">
        <v>7.627</v>
      </c>
      <c r="I30" s="48">
        <v>68.64</v>
      </c>
      <c r="J30" s="49">
        <v>9</v>
      </c>
      <c r="K30" s="49">
        <v>3</v>
      </c>
      <c r="L30" s="49">
        <v>6</v>
      </c>
    </row>
    <row r="31" spans="1:12" x14ac:dyDescent="0.25">
      <c r="A31" s="45">
        <f>C31&amp;"."&amp;IFERROR(MID(E31,FIND("(",E31)+1,FIND(")",E31)-FIND("(",E31)-1),"")</f>
      </c>
      <c r="B31" s="46" t="s">
        <v>1178</v>
      </c>
      <c r="C31" s="46">
        <v>112</v>
      </c>
      <c r="D31" s="46" t="s">
        <v>1212</v>
      </c>
      <c r="E31" s="46" t="s">
        <v>1213</v>
      </c>
      <c r="F31" s="46" t="s">
        <v>26</v>
      </c>
      <c r="G31" s="47">
        <v>0.92</v>
      </c>
      <c r="H31" s="48">
        <v>5.941</v>
      </c>
      <c r="I31" s="48">
        <v>11.882</v>
      </c>
      <c r="J31" s="49">
        <v>2</v>
      </c>
      <c r="K31" s="49">
        <v>2</v>
      </c>
      <c r="L31" s="49">
        <v>0</v>
      </c>
    </row>
    <row r="32" spans="1:12" x14ac:dyDescent="0.25">
      <c r="A32" s="45">
        <f>C32&amp;"."&amp;IFERROR(MID(E32,FIND("(",E32)+1,FIND(")",E32)-FIND("(",E32)-1),"")</f>
      </c>
      <c r="B32" s="46" t="s">
        <v>1178</v>
      </c>
      <c r="C32" s="46">
        <v>112</v>
      </c>
      <c r="D32" s="46" t="s">
        <v>1212</v>
      </c>
      <c r="E32" s="46" t="s">
        <v>1214</v>
      </c>
      <c r="F32" s="46" t="s">
        <v>26</v>
      </c>
      <c r="G32" s="47">
        <v>0.92</v>
      </c>
      <c r="H32" s="48">
        <v>5.537</v>
      </c>
      <c r="I32" s="48">
        <v>138.437</v>
      </c>
      <c r="J32" s="49">
        <v>25</v>
      </c>
      <c r="K32" s="49">
        <v>13</v>
      </c>
      <c r="L32" s="49">
        <v>12</v>
      </c>
    </row>
    <row r="33" spans="1:12" x14ac:dyDescent="0.25">
      <c r="A33" s="45">
        <f>C33&amp;"."&amp;IFERROR(MID(E33,FIND("(",E33)+1,FIND(")",E33)-FIND("(",E33)-1),"")</f>
      </c>
      <c r="B33" s="46" t="s">
        <v>1178</v>
      </c>
      <c r="C33" s="46">
        <v>112</v>
      </c>
      <c r="D33" s="46" t="s">
        <v>1212</v>
      </c>
      <c r="E33" s="46" t="s">
        <v>1215</v>
      </c>
      <c r="F33" s="46" t="s">
        <v>26</v>
      </c>
      <c r="G33" s="47">
        <v>0.92</v>
      </c>
      <c r="H33" s="48">
        <v>5.078</v>
      </c>
      <c r="I33" s="48">
        <v>40.621</v>
      </c>
      <c r="J33" s="49">
        <v>8</v>
      </c>
      <c r="K33" s="49">
        <v>4</v>
      </c>
      <c r="L33" s="49">
        <v>4</v>
      </c>
    </row>
    <row r="34" spans="1:12" x14ac:dyDescent="0.25">
      <c r="A34" s="45">
        <f>C34&amp;"."&amp;IFERROR(MID(E34,FIND("(",E34)+1,FIND(")",E34)-FIND("(",E34)-1),"")</f>
      </c>
      <c r="B34" s="46" t="s">
        <v>1178</v>
      </c>
      <c r="C34" s="46">
        <v>112</v>
      </c>
      <c r="D34" s="46" t="s">
        <v>1212</v>
      </c>
      <c r="E34" s="46" t="s">
        <v>1216</v>
      </c>
      <c r="F34" s="46" t="s">
        <v>26</v>
      </c>
      <c r="G34" s="47">
        <v>0.92</v>
      </c>
      <c r="H34" s="48">
        <v>13.41</v>
      </c>
      <c r="I34" s="48">
        <v>13.41</v>
      </c>
      <c r="J34" s="49">
        <v>1</v>
      </c>
      <c r="K34" s="49">
        <v>0</v>
      </c>
      <c r="L34" s="49">
        <v>1</v>
      </c>
    </row>
    <row r="35" spans="1:12" x14ac:dyDescent="0.25">
      <c r="A35" s="45">
        <f>C35&amp;"."&amp;IFERROR(MID(E35,FIND("(",E35)+1,FIND(")",E35)-FIND("(",E35)-1),"")</f>
      </c>
      <c r="B35" s="46" t="s">
        <v>1178</v>
      </c>
      <c r="C35" s="46">
        <v>115</v>
      </c>
      <c r="D35" s="46" t="s">
        <v>1217</v>
      </c>
      <c r="E35" s="46" t="s">
        <v>1218</v>
      </c>
      <c r="F35" s="46" t="s">
        <v>26</v>
      </c>
      <c r="G35" s="47">
        <v>0.29</v>
      </c>
      <c r="H35" s="48">
        <v>1.419</v>
      </c>
      <c r="I35" s="48">
        <v>5.675</v>
      </c>
      <c r="J35" s="49">
        <v>4</v>
      </c>
      <c r="K35" s="49">
        <v>1</v>
      </c>
      <c r="L35" s="49">
        <v>3</v>
      </c>
    </row>
    <row r="36" spans="1:12" x14ac:dyDescent="0.25">
      <c r="A36" s="45">
        <f>C36&amp;"."&amp;IFERROR(MID(E36,FIND("(",E36)+1,FIND(")",E36)-FIND("(",E36)-1),"")</f>
      </c>
      <c r="B36" s="46" t="s">
        <v>1178</v>
      </c>
      <c r="C36" s="46">
        <v>115</v>
      </c>
      <c r="D36" s="46" t="s">
        <v>1217</v>
      </c>
      <c r="E36" s="46" t="s">
        <v>1219</v>
      </c>
      <c r="F36" s="46" t="s">
        <v>26</v>
      </c>
      <c r="G36" s="47">
        <v>0.29</v>
      </c>
      <c r="H36" s="48">
        <v>1.081</v>
      </c>
      <c r="I36" s="48">
        <v>1.081</v>
      </c>
      <c r="J36" s="49">
        <v>1</v>
      </c>
      <c r="K36" s="49">
        <v>0</v>
      </c>
      <c r="L36" s="49">
        <v>1</v>
      </c>
    </row>
    <row r="37" spans="1:12" x14ac:dyDescent="0.25">
      <c r="A37" s="45">
        <f>C37&amp;"."&amp;IFERROR(MID(E37,FIND("(",E37)+1,FIND(")",E37)-FIND("(",E37)-1),"")</f>
      </c>
      <c r="B37" s="46" t="s">
        <v>1178</v>
      </c>
      <c r="C37" s="46">
        <v>115</v>
      </c>
      <c r="D37" s="46" t="s">
        <v>1217</v>
      </c>
      <c r="E37" s="46" t="s">
        <v>1220</v>
      </c>
      <c r="F37" s="46" t="s">
        <v>26</v>
      </c>
      <c r="G37" s="47">
        <v>0.29</v>
      </c>
      <c r="H37" s="48">
        <v>1.399</v>
      </c>
      <c r="I37" s="48">
        <v>6.994</v>
      </c>
      <c r="J37" s="49">
        <v>5</v>
      </c>
      <c r="K37" s="49">
        <v>1</v>
      </c>
      <c r="L37" s="49">
        <v>4</v>
      </c>
    </row>
    <row r="38" spans="1:12" x14ac:dyDescent="0.25">
      <c r="A38" s="45">
        <f>C38&amp;"."&amp;IFERROR(MID(E38,FIND("(",E38)+1,FIND(")",E38)-FIND("(",E38)-1),"")</f>
      </c>
      <c r="B38" s="46" t="s">
        <v>1178</v>
      </c>
      <c r="C38" s="46">
        <v>118</v>
      </c>
      <c r="D38" s="46" t="s">
        <v>1221</v>
      </c>
      <c r="E38" s="46" t="s">
        <v>1222</v>
      </c>
      <c r="F38" s="46" t="s">
        <v>26</v>
      </c>
      <c r="G38" s="47">
        <v>0.38</v>
      </c>
      <c r="H38" s="48">
        <v>0.852</v>
      </c>
      <c r="I38" s="48">
        <v>3.406</v>
      </c>
      <c r="J38" s="49">
        <v>4</v>
      </c>
      <c r="K38" s="49">
        <v>0</v>
      </c>
      <c r="L38" s="49">
        <v>4</v>
      </c>
    </row>
    <row r="39" spans="1:12" x14ac:dyDescent="0.25">
      <c r="A39" s="45">
        <f>C39&amp;"."&amp;IFERROR(MID(E39,FIND("(",E39)+1,FIND(")",E39)-FIND("(",E39)-1),"")</f>
      </c>
      <c r="B39" s="46" t="s">
        <v>1178</v>
      </c>
      <c r="C39" s="46">
        <v>118</v>
      </c>
      <c r="D39" s="46" t="s">
        <v>1221</v>
      </c>
      <c r="E39" s="46" t="s">
        <v>1223</v>
      </c>
      <c r="F39" s="46" t="s">
        <v>26</v>
      </c>
      <c r="G39" s="47">
        <v>0.38</v>
      </c>
      <c r="H39" s="48">
        <v>0.993</v>
      </c>
      <c r="I39" s="48">
        <v>11.921</v>
      </c>
      <c r="J39" s="49">
        <v>12</v>
      </c>
      <c r="K39" s="49">
        <v>0</v>
      </c>
      <c r="L39" s="49">
        <v>12</v>
      </c>
    </row>
    <row r="40" spans="1:12" x14ac:dyDescent="0.25">
      <c r="A40" s="45">
        <f>C40&amp;"."&amp;IFERROR(MID(E40,FIND("(",E40)+1,FIND(")",E40)-FIND("(",E40)-1),"")</f>
      </c>
      <c r="B40" s="46" t="s">
        <v>1178</v>
      </c>
      <c r="C40" s="46">
        <v>121</v>
      </c>
      <c r="D40" s="46" t="s">
        <v>1224</v>
      </c>
      <c r="E40" s="46" t="s">
        <v>1225</v>
      </c>
      <c r="F40" s="46" t="s">
        <v>26</v>
      </c>
      <c r="G40" s="47">
        <v>1.23</v>
      </c>
      <c r="H40" s="48">
        <v>17.945</v>
      </c>
      <c r="I40" s="48">
        <v>143.559</v>
      </c>
      <c r="J40" s="49">
        <v>8</v>
      </c>
      <c r="K40" s="49">
        <v>1</v>
      </c>
      <c r="L40" s="49">
        <v>7</v>
      </c>
    </row>
    <row r="41" spans="1:12" x14ac:dyDescent="0.25">
      <c r="A41" s="45">
        <f>C41&amp;"."&amp;IFERROR(MID(E41,FIND("(",E41)+1,FIND(")",E41)-FIND("(",E41)-1),"")</f>
      </c>
      <c r="B41" s="46" t="s">
        <v>1178</v>
      </c>
      <c r="C41" s="46">
        <v>121</v>
      </c>
      <c r="D41" s="46" t="s">
        <v>1224</v>
      </c>
      <c r="E41" s="46" t="s">
        <v>1226</v>
      </c>
      <c r="F41" s="46" t="s">
        <v>26</v>
      </c>
      <c r="G41" s="47">
        <v>1.23</v>
      </c>
      <c r="H41" s="48">
        <v>16.755</v>
      </c>
      <c r="I41" s="48">
        <v>150.798</v>
      </c>
      <c r="J41" s="49">
        <v>9</v>
      </c>
      <c r="K41" s="49">
        <v>0</v>
      </c>
      <c r="L41" s="49">
        <v>9</v>
      </c>
    </row>
    <row r="42" spans="1:12" x14ac:dyDescent="0.25">
      <c r="A42" s="45">
        <f>C42&amp;"."&amp;IFERROR(MID(E42,FIND("(",E42)+1,FIND(")",E42)-FIND("(",E42)-1),"")</f>
      </c>
      <c r="B42" s="46" t="s">
        <v>1178</v>
      </c>
      <c r="C42" s="46">
        <v>122</v>
      </c>
      <c r="D42" s="46" t="s">
        <v>1227</v>
      </c>
      <c r="E42" s="46" t="s">
        <v>1228</v>
      </c>
      <c r="F42" s="46" t="s">
        <v>26</v>
      </c>
      <c r="G42" s="47">
        <v>6.05</v>
      </c>
      <c r="H42" s="48">
        <v>17.66</v>
      </c>
      <c r="I42" s="48">
        <v>35.32</v>
      </c>
      <c r="J42" s="49">
        <v>2</v>
      </c>
      <c r="K42" s="49">
        <v>1</v>
      </c>
      <c r="L42" s="49">
        <v>1</v>
      </c>
    </row>
    <row r="43" spans="1:12" x14ac:dyDescent="0.25">
      <c r="A43" s="45">
        <f>C43&amp;"."&amp;IFERROR(MID(E43,FIND("(",E43)+1,FIND(")",E43)-FIND("(",E43)-1),"")</f>
      </c>
      <c r="B43" s="46" t="s">
        <v>1178</v>
      </c>
      <c r="C43" s="46">
        <v>122</v>
      </c>
      <c r="D43" s="46" t="s">
        <v>1227</v>
      </c>
      <c r="E43" s="46" t="s">
        <v>1229</v>
      </c>
      <c r="F43" s="46" t="s">
        <v>26</v>
      </c>
      <c r="G43" s="47">
        <v>6.05</v>
      </c>
      <c r="H43" s="48">
        <v>15.933</v>
      </c>
      <c r="I43" s="48">
        <v>143.393</v>
      </c>
      <c r="J43" s="49">
        <v>9</v>
      </c>
      <c r="K43" s="49">
        <v>0</v>
      </c>
      <c r="L43" s="49">
        <v>9</v>
      </c>
    </row>
    <row r="44" spans="1:12" x14ac:dyDescent="0.25">
      <c r="A44" s="45">
        <f>C44&amp;"."&amp;IFERROR(MID(E44,FIND("(",E44)+1,FIND(")",E44)-FIND("(",E44)-1),"")</f>
      </c>
      <c r="B44" s="46" t="s">
        <v>1178</v>
      </c>
      <c r="C44" s="46">
        <v>124</v>
      </c>
      <c r="D44" s="46" t="s">
        <v>1230</v>
      </c>
      <c r="E44" s="46" t="s">
        <v>1231</v>
      </c>
      <c r="F44" s="46" t="s">
        <v>26</v>
      </c>
      <c r="G44" s="47">
        <v>0.72</v>
      </c>
      <c r="H44" s="48">
        <v>1.888</v>
      </c>
      <c r="I44" s="48">
        <v>11.329</v>
      </c>
      <c r="J44" s="49">
        <v>6</v>
      </c>
      <c r="K44" s="49">
        <v>1</v>
      </c>
      <c r="L44" s="49">
        <v>5</v>
      </c>
    </row>
    <row r="45" spans="1:12" x14ac:dyDescent="0.25">
      <c r="A45" s="45">
        <f>C45&amp;"."&amp;IFERROR(MID(E45,FIND("(",E45)+1,FIND(")",E45)-FIND("(",E45)-1),"")</f>
      </c>
      <c r="B45" s="46" t="s">
        <v>1178</v>
      </c>
      <c r="C45" s="46">
        <v>125</v>
      </c>
      <c r="D45" s="46" t="s">
        <v>1232</v>
      </c>
      <c r="E45" s="46" t="s">
        <v>1233</v>
      </c>
      <c r="F45" s="46" t="s">
        <v>26</v>
      </c>
      <c r="G45" s="47">
        <v>0.72</v>
      </c>
      <c r="H45" s="48">
        <v>2.126</v>
      </c>
      <c r="I45" s="48">
        <v>2.126</v>
      </c>
      <c r="J45" s="49">
        <v>1</v>
      </c>
      <c r="K45" s="49">
        <v>1</v>
      </c>
      <c r="L45" s="49">
        <v>0</v>
      </c>
    </row>
    <row r="46" spans="1:12" x14ac:dyDescent="0.25">
      <c r="A46" s="45">
        <f>C46&amp;"."&amp;IFERROR(MID(E46,FIND("(",E46)+1,FIND(")",E46)-FIND("(",E46)-1),"")</f>
      </c>
      <c r="B46" s="46" t="s">
        <v>1178</v>
      </c>
      <c r="C46" s="46">
        <v>125</v>
      </c>
      <c r="D46" s="46" t="s">
        <v>1232</v>
      </c>
      <c r="E46" s="46" t="s">
        <v>1234</v>
      </c>
      <c r="F46" s="46" t="s">
        <v>26</v>
      </c>
      <c r="G46" s="47">
        <v>0.72</v>
      </c>
      <c r="H46" s="48">
        <v>2.896</v>
      </c>
      <c r="I46" s="48">
        <v>11.585</v>
      </c>
      <c r="J46" s="49">
        <v>4</v>
      </c>
      <c r="K46" s="49">
        <v>0</v>
      </c>
      <c r="L46" s="49">
        <v>4</v>
      </c>
    </row>
    <row r="47" spans="1:12" x14ac:dyDescent="0.25">
      <c r="A47" s="45">
        <f>C47&amp;"."&amp;IFERROR(MID(E47,FIND("(",E47)+1,FIND(")",E47)-FIND("(",E47)-1),"")</f>
      </c>
      <c r="B47" s="46" t="s">
        <v>1178</v>
      </c>
      <c r="C47" s="46">
        <v>125</v>
      </c>
      <c r="D47" s="46" t="s">
        <v>1232</v>
      </c>
      <c r="E47" s="46" t="s">
        <v>1235</v>
      </c>
      <c r="F47" s="46" t="s">
        <v>26</v>
      </c>
      <c r="G47" s="47">
        <v>0.72</v>
      </c>
      <c r="H47" s="48">
        <v>2.47</v>
      </c>
      <c r="I47" s="48">
        <v>14.82</v>
      </c>
      <c r="J47" s="49">
        <v>6</v>
      </c>
      <c r="K47" s="49">
        <v>0</v>
      </c>
      <c r="L47" s="49">
        <v>6</v>
      </c>
    </row>
    <row r="48" spans="1:12" x14ac:dyDescent="0.25">
      <c r="A48" s="45">
        <f>C48&amp;"."&amp;IFERROR(MID(E48,FIND("(",E48)+1,FIND(")",E48)-FIND("(",E48)-1),"")</f>
      </c>
      <c r="B48" s="46" t="s">
        <v>1178</v>
      </c>
      <c r="C48" s="46">
        <v>127</v>
      </c>
      <c r="D48" s="46" t="s">
        <v>1236</v>
      </c>
      <c r="E48" s="46" t="s">
        <v>1237</v>
      </c>
      <c r="F48" s="46" t="s">
        <v>26</v>
      </c>
      <c r="G48" s="47">
        <v>0.35</v>
      </c>
      <c r="H48" s="48">
        <v>1.12</v>
      </c>
      <c r="I48" s="48">
        <v>2.24</v>
      </c>
      <c r="J48" s="49">
        <v>2</v>
      </c>
      <c r="K48" s="49">
        <v>0</v>
      </c>
      <c r="L48" s="49">
        <v>2</v>
      </c>
    </row>
    <row r="49" spans="1:12" x14ac:dyDescent="0.25">
      <c r="A49" s="45">
        <f>C49&amp;"."&amp;IFERROR(MID(E49,FIND("(",E49)+1,FIND(")",E49)-FIND("(",E49)-1),"")</f>
      </c>
      <c r="B49" s="46" t="s">
        <v>1178</v>
      </c>
      <c r="C49" s="46">
        <v>127</v>
      </c>
      <c r="D49" s="46" t="s">
        <v>1236</v>
      </c>
      <c r="E49" s="46" t="s">
        <v>1238</v>
      </c>
      <c r="F49" s="46" t="s">
        <v>26</v>
      </c>
      <c r="G49" s="47">
        <v>0.35</v>
      </c>
      <c r="H49" s="48">
        <v>1.17</v>
      </c>
      <c r="I49" s="48">
        <v>17.545</v>
      </c>
      <c r="J49" s="49">
        <v>15</v>
      </c>
      <c r="K49" s="49">
        <v>15</v>
      </c>
      <c r="L49" s="49">
        <v>0</v>
      </c>
    </row>
    <row r="50" spans="1:12" x14ac:dyDescent="0.25">
      <c r="A50" s="45">
        <f>C50&amp;"."&amp;IFERROR(MID(E50,FIND("(",E50)+1,FIND(")",E50)-FIND("(",E50)-1),"")</f>
      </c>
      <c r="B50" s="46" t="s">
        <v>1178</v>
      </c>
      <c r="C50" s="46">
        <v>127</v>
      </c>
      <c r="D50" s="46" t="s">
        <v>1236</v>
      </c>
      <c r="E50" s="46" t="s">
        <v>1239</v>
      </c>
      <c r="F50" s="46" t="s">
        <v>26</v>
      </c>
      <c r="G50" s="47">
        <v>0.35</v>
      </c>
      <c r="H50" s="48">
        <v>1.331</v>
      </c>
      <c r="I50" s="48">
        <v>1.331</v>
      </c>
      <c r="J50" s="49">
        <v>1</v>
      </c>
      <c r="K50" s="49">
        <v>0</v>
      </c>
      <c r="L50" s="49">
        <v>1</v>
      </c>
    </row>
    <row r="51" spans="1:12" x14ac:dyDescent="0.25">
      <c r="A51" s="45">
        <f>C51&amp;"."&amp;IFERROR(MID(E51,FIND("(",E51)+1,FIND(")",E51)-FIND("(",E51)-1),"")</f>
      </c>
      <c r="B51" s="46" t="s">
        <v>1178</v>
      </c>
      <c r="C51" s="46">
        <v>128</v>
      </c>
      <c r="D51" s="46" t="s">
        <v>1240</v>
      </c>
      <c r="E51" s="46" t="s">
        <v>1241</v>
      </c>
      <c r="F51" s="46" t="s">
        <v>26</v>
      </c>
      <c r="G51" s="47">
        <v>0.35</v>
      </c>
      <c r="H51" s="48">
        <v>1.331</v>
      </c>
      <c r="I51" s="48">
        <v>1.331</v>
      </c>
      <c r="J51" s="49">
        <v>1</v>
      </c>
      <c r="K51" s="49">
        <v>0</v>
      </c>
      <c r="L51" s="49">
        <v>1</v>
      </c>
    </row>
    <row r="52" spans="1:12" x14ac:dyDescent="0.25">
      <c r="A52" s="45">
        <f>C52&amp;"."&amp;IFERROR(MID(E52,FIND("(",E52)+1,FIND(")",E52)-FIND("(",E52)-1),"")</f>
      </c>
      <c r="B52" s="46" t="s">
        <v>1178</v>
      </c>
      <c r="C52" s="46">
        <v>128</v>
      </c>
      <c r="D52" s="46" t="s">
        <v>1240</v>
      </c>
      <c r="E52" s="46" t="s">
        <v>1242</v>
      </c>
      <c r="F52" s="46" t="s">
        <v>26</v>
      </c>
      <c r="G52" s="47">
        <v>0.35</v>
      </c>
      <c r="H52" s="48">
        <v>1.146</v>
      </c>
      <c r="I52" s="48">
        <v>24.061</v>
      </c>
      <c r="J52" s="49">
        <v>21</v>
      </c>
      <c r="K52" s="49">
        <v>21</v>
      </c>
      <c r="L52" s="49">
        <v>0</v>
      </c>
    </row>
    <row r="53" spans="1:12" x14ac:dyDescent="0.25">
      <c r="A53" s="45">
        <f>C53&amp;"."&amp;IFERROR(MID(E53,FIND("(",E53)+1,FIND(")",E53)-FIND("(",E53)-1),"")</f>
      </c>
      <c r="B53" s="46" t="s">
        <v>1178</v>
      </c>
      <c r="C53" s="46">
        <v>130</v>
      </c>
      <c r="D53" s="46" t="s">
        <v>1243</v>
      </c>
      <c r="E53" s="46" t="s">
        <v>1244</v>
      </c>
      <c r="F53" s="46" t="s">
        <v>26</v>
      </c>
      <c r="G53" s="47">
        <v>1.36</v>
      </c>
      <c r="H53" s="48">
        <v>3.56</v>
      </c>
      <c r="I53" s="48">
        <v>17.8</v>
      </c>
      <c r="J53" s="49">
        <v>5</v>
      </c>
      <c r="K53" s="49">
        <v>0</v>
      </c>
      <c r="L53" s="49">
        <v>5</v>
      </c>
    </row>
    <row r="54" spans="1:12" x14ac:dyDescent="0.25">
      <c r="A54" s="45">
        <f>C54&amp;"."&amp;IFERROR(MID(E54,FIND("(",E54)+1,FIND(")",E54)-FIND("(",E54)-1),"")</f>
      </c>
      <c r="B54" s="46" t="s">
        <v>1178</v>
      </c>
      <c r="C54" s="46">
        <v>130</v>
      </c>
      <c r="D54" s="46" t="s">
        <v>1243</v>
      </c>
      <c r="E54" s="46" t="s">
        <v>1245</v>
      </c>
      <c r="F54" s="46" t="s">
        <v>26</v>
      </c>
      <c r="G54" s="47">
        <v>1.36</v>
      </c>
      <c r="H54" s="48">
        <v>3.75</v>
      </c>
      <c r="I54" s="48">
        <v>22.5</v>
      </c>
      <c r="J54" s="49">
        <v>6</v>
      </c>
      <c r="K54" s="49">
        <v>1</v>
      </c>
      <c r="L54" s="49">
        <v>5</v>
      </c>
    </row>
    <row r="55" spans="1:12" x14ac:dyDescent="0.25">
      <c r="A55" s="45">
        <f>C55&amp;"."&amp;IFERROR(MID(E55,FIND("(",E55)+1,FIND(")",E55)-FIND("(",E55)-1),"")</f>
      </c>
      <c r="B55" s="46" t="s">
        <v>1178</v>
      </c>
      <c r="C55" s="46">
        <v>130</v>
      </c>
      <c r="D55" s="46" t="s">
        <v>1243</v>
      </c>
      <c r="E55" s="46" t="s">
        <v>1246</v>
      </c>
      <c r="F55" s="46" t="s">
        <v>26</v>
      </c>
      <c r="G55" s="47">
        <v>1.36</v>
      </c>
      <c r="H55" s="48">
        <v>3.647</v>
      </c>
      <c r="I55" s="48">
        <v>14.587</v>
      </c>
      <c r="J55" s="49">
        <v>4</v>
      </c>
      <c r="K55" s="49">
        <v>0</v>
      </c>
      <c r="L55" s="49">
        <v>4</v>
      </c>
    </row>
    <row r="56" spans="1:12" x14ac:dyDescent="0.25">
      <c r="A56" s="45">
        <f>C56&amp;"."&amp;IFERROR(MID(E56,FIND("(",E56)+1,FIND(")",E56)-FIND("(",E56)-1),"")</f>
      </c>
      <c r="B56" s="46" t="s">
        <v>1178</v>
      </c>
      <c r="C56" s="46">
        <v>135</v>
      </c>
      <c r="D56" s="46" t="s">
        <v>1247</v>
      </c>
      <c r="E56" s="46" t="s">
        <v>1248</v>
      </c>
      <c r="F56" s="46" t="s">
        <v>26</v>
      </c>
      <c r="G56" s="47">
        <v>0.32</v>
      </c>
      <c r="H56" s="48">
        <v>0.694</v>
      </c>
      <c r="I56" s="48">
        <v>2.777</v>
      </c>
      <c r="J56" s="49">
        <v>4</v>
      </c>
      <c r="K56" s="49">
        <v>4</v>
      </c>
      <c r="L56" s="49">
        <v>0</v>
      </c>
    </row>
    <row r="57" spans="1:12" x14ac:dyDescent="0.25">
      <c r="A57" s="45">
        <f>C57&amp;"."&amp;IFERROR(MID(E57,FIND("(",E57)+1,FIND(")",E57)-FIND("(",E57)-1),"")</f>
      </c>
      <c r="B57" s="46" t="s">
        <v>1178</v>
      </c>
      <c r="C57" s="46">
        <v>138</v>
      </c>
      <c r="D57" s="46" t="s">
        <v>1249</v>
      </c>
      <c r="E57" s="46" t="s">
        <v>1250</v>
      </c>
      <c r="F57" s="46" t="s">
        <v>26</v>
      </c>
      <c r="G57" s="47">
        <v>6.05</v>
      </c>
      <c r="H57" s="48">
        <v>17.66</v>
      </c>
      <c r="I57" s="48">
        <v>17.66</v>
      </c>
      <c r="J57" s="49">
        <v>1</v>
      </c>
      <c r="K57" s="49">
        <v>0</v>
      </c>
      <c r="L57" s="49">
        <v>1</v>
      </c>
    </row>
    <row r="58" spans="1:12" x14ac:dyDescent="0.25">
      <c r="A58" s="45">
        <f>C58&amp;"."&amp;IFERROR(MID(E58,FIND("(",E58)+1,FIND(")",E58)-FIND("(",E58)-1),"")</f>
      </c>
      <c r="B58" s="46" t="s">
        <v>1178</v>
      </c>
      <c r="C58" s="46">
        <v>138</v>
      </c>
      <c r="D58" s="46" t="s">
        <v>1249</v>
      </c>
      <c r="E58" s="46" t="s">
        <v>1251</v>
      </c>
      <c r="F58" s="46" t="s">
        <v>26</v>
      </c>
      <c r="G58" s="47">
        <v>6.05</v>
      </c>
      <c r="H58" s="48">
        <v>12.674</v>
      </c>
      <c r="I58" s="48">
        <v>12.674</v>
      </c>
      <c r="J58" s="49">
        <v>1</v>
      </c>
      <c r="K58" s="49">
        <v>1</v>
      </c>
      <c r="L58" s="49">
        <v>0</v>
      </c>
    </row>
    <row r="59" spans="1:12" x14ac:dyDescent="0.25">
      <c r="A59" s="45">
        <f>C59&amp;"."&amp;IFERROR(MID(E59,FIND("(",E59)+1,FIND(")",E59)-FIND("(",E59)-1),"")</f>
      </c>
      <c r="B59" s="46" t="s">
        <v>1178</v>
      </c>
      <c r="C59" s="46">
        <v>140</v>
      </c>
      <c r="D59" s="46" t="s">
        <v>1252</v>
      </c>
      <c r="E59" s="46" t="s">
        <v>1253</v>
      </c>
      <c r="F59" s="46" t="s">
        <v>26</v>
      </c>
      <c r="G59" s="47">
        <v>7.82</v>
      </c>
      <c r="H59" s="48">
        <v>20.085</v>
      </c>
      <c r="I59" s="48">
        <v>682.9</v>
      </c>
      <c r="J59" s="49">
        <v>34</v>
      </c>
      <c r="K59" s="49">
        <v>18</v>
      </c>
      <c r="L59" s="49">
        <v>16</v>
      </c>
    </row>
    <row r="60" spans="1:12" x14ac:dyDescent="0.25">
      <c r="A60" s="45">
        <f>C60&amp;"."&amp;IFERROR(MID(E60,FIND("(",E60)+1,FIND(")",E60)-FIND("(",E60)-1),"")</f>
      </c>
      <c r="B60" s="46" t="s">
        <v>1178</v>
      </c>
      <c r="C60" s="46">
        <v>140</v>
      </c>
      <c r="D60" s="46" t="s">
        <v>1252</v>
      </c>
      <c r="E60" s="46" t="s">
        <v>1254</v>
      </c>
      <c r="F60" s="46" t="s">
        <v>26</v>
      </c>
      <c r="G60" s="47">
        <v>7.82</v>
      </c>
      <c r="H60" s="48">
        <v>20.272</v>
      </c>
      <c r="I60" s="48">
        <v>324.346</v>
      </c>
      <c r="J60" s="49">
        <v>16</v>
      </c>
      <c r="K60" s="49">
        <v>11</v>
      </c>
      <c r="L60" s="49">
        <v>5</v>
      </c>
    </row>
    <row r="61" spans="1:12" x14ac:dyDescent="0.25">
      <c r="A61" s="45">
        <f>C61&amp;"."&amp;IFERROR(MID(E61,FIND("(",E61)+1,FIND(")",E61)-FIND("(",E61)-1),"")</f>
      </c>
      <c r="B61" s="46" t="s">
        <v>1178</v>
      </c>
      <c r="C61" s="46">
        <v>140</v>
      </c>
      <c r="D61" s="46" t="s">
        <v>1252</v>
      </c>
      <c r="E61" s="46" t="s">
        <v>1255</v>
      </c>
      <c r="F61" s="46" t="s">
        <v>26</v>
      </c>
      <c r="G61" s="47">
        <v>7.82</v>
      </c>
      <c r="H61" s="48">
        <v>18.372</v>
      </c>
      <c r="I61" s="48">
        <v>18.372</v>
      </c>
      <c r="J61" s="49">
        <v>1</v>
      </c>
      <c r="K61" s="49">
        <v>1</v>
      </c>
      <c r="L61" s="49">
        <v>0</v>
      </c>
    </row>
    <row r="62" spans="1:12" x14ac:dyDescent="0.25">
      <c r="A62" s="45">
        <f>C62&amp;"."&amp;IFERROR(MID(E62,FIND("(",E62)+1,FIND(")",E62)-FIND("(",E62)-1),"")</f>
      </c>
      <c r="B62" s="46" t="s">
        <v>1178</v>
      </c>
      <c r="C62" s="46">
        <v>141</v>
      </c>
      <c r="D62" s="46" t="s">
        <v>1256</v>
      </c>
      <c r="E62" s="46" t="s">
        <v>1257</v>
      </c>
      <c r="F62" s="46" t="s">
        <v>26</v>
      </c>
      <c r="G62" s="47">
        <v>7.82</v>
      </c>
      <c r="H62" s="48">
        <v>20.286</v>
      </c>
      <c r="I62" s="48">
        <v>344.859</v>
      </c>
      <c r="J62" s="49">
        <v>17</v>
      </c>
      <c r="K62" s="49">
        <v>12</v>
      </c>
      <c r="L62" s="49">
        <v>5</v>
      </c>
    </row>
    <row r="63" spans="1:12" x14ac:dyDescent="0.25">
      <c r="A63" s="45">
        <f>C63&amp;"."&amp;IFERROR(MID(E63,FIND("(",E63)+1,FIND(")",E63)-FIND("(",E63)-1),"")</f>
      </c>
      <c r="B63" s="46" t="s">
        <v>1178</v>
      </c>
      <c r="C63" s="46">
        <v>141</v>
      </c>
      <c r="D63" s="46" t="s">
        <v>1256</v>
      </c>
      <c r="E63" s="46" t="s">
        <v>1258</v>
      </c>
      <c r="F63" s="46" t="s">
        <v>26</v>
      </c>
      <c r="G63" s="47">
        <v>7.82</v>
      </c>
      <c r="H63" s="48">
        <v>20.082</v>
      </c>
      <c r="I63" s="48">
        <v>20.082</v>
      </c>
      <c r="J63" s="49">
        <v>1</v>
      </c>
      <c r="K63" s="49">
        <v>1</v>
      </c>
      <c r="L63" s="49">
        <v>0</v>
      </c>
    </row>
    <row r="64" spans="1:12" x14ac:dyDescent="0.25">
      <c r="A64" s="45">
        <f>C64&amp;"."&amp;IFERROR(MID(E64,FIND("(",E64)+1,FIND(")",E64)-FIND("(",E64)-1),"")</f>
      </c>
      <c r="B64" s="46" t="s">
        <v>1178</v>
      </c>
      <c r="C64" s="46">
        <v>141</v>
      </c>
      <c r="D64" s="46" t="s">
        <v>1256</v>
      </c>
      <c r="E64" s="46" t="s">
        <v>1259</v>
      </c>
      <c r="F64" s="46" t="s">
        <v>26</v>
      </c>
      <c r="G64" s="47">
        <v>7.82</v>
      </c>
      <c r="H64" s="48">
        <v>19.633</v>
      </c>
      <c r="I64" s="48">
        <v>922.745</v>
      </c>
      <c r="J64" s="49">
        <v>47</v>
      </c>
      <c r="K64" s="49">
        <v>28</v>
      </c>
      <c r="L64" s="49">
        <v>19</v>
      </c>
    </row>
    <row r="65" spans="1:12" x14ac:dyDescent="0.25">
      <c r="A65" s="45">
        <f>C65&amp;"."&amp;IFERROR(MID(E65,FIND("(",E65)+1,FIND(")",E65)-FIND("(",E65)-1),"")</f>
      </c>
      <c r="B65" s="46" t="s">
        <v>1178</v>
      </c>
      <c r="C65" s="46">
        <v>143</v>
      </c>
      <c r="D65" s="46" t="s">
        <v>1260</v>
      </c>
      <c r="E65" s="46" t="s">
        <v>1261</v>
      </c>
      <c r="F65" s="46" t="s">
        <v>26</v>
      </c>
      <c r="G65" s="47">
        <v>4.35</v>
      </c>
      <c r="H65" s="48">
        <v>10.038</v>
      </c>
      <c r="I65" s="48">
        <v>40.15</v>
      </c>
      <c r="J65" s="49">
        <v>4</v>
      </c>
      <c r="K65" s="49">
        <v>0</v>
      </c>
      <c r="L65" s="49">
        <v>4</v>
      </c>
    </row>
    <row r="66" spans="1:12" x14ac:dyDescent="0.25">
      <c r="A66" s="45">
        <f>C66&amp;"."&amp;IFERROR(MID(E66,FIND("(",E66)+1,FIND(")",E66)-FIND("(",E66)-1),"")</f>
      </c>
      <c r="B66" s="46" t="s">
        <v>1178</v>
      </c>
      <c r="C66" s="46">
        <v>143</v>
      </c>
      <c r="D66" s="46" t="s">
        <v>1260</v>
      </c>
      <c r="E66" s="46" t="s">
        <v>1262</v>
      </c>
      <c r="F66" s="46" t="s">
        <v>26</v>
      </c>
      <c r="G66" s="47">
        <v>4.35</v>
      </c>
      <c r="H66" s="48">
        <v>6.51</v>
      </c>
      <c r="I66" s="48">
        <v>52.081</v>
      </c>
      <c r="J66" s="49">
        <v>8</v>
      </c>
      <c r="K66" s="49">
        <v>1</v>
      </c>
      <c r="L66" s="49">
        <v>7</v>
      </c>
    </row>
    <row r="67" spans="1:12" x14ac:dyDescent="0.25">
      <c r="A67" s="45">
        <f>C67&amp;"."&amp;IFERROR(MID(E67,FIND("(",E67)+1,FIND(")",E67)-FIND("(",E67)-1),"")</f>
      </c>
      <c r="B67" s="46" t="s">
        <v>1178</v>
      </c>
      <c r="C67" s="46">
        <v>145</v>
      </c>
      <c r="D67" s="46" t="s">
        <v>1263</v>
      </c>
      <c r="E67" s="46" t="s">
        <v>1264</v>
      </c>
      <c r="F67" s="46" t="s">
        <v>26</v>
      </c>
      <c r="G67" s="47">
        <v>1.45</v>
      </c>
      <c r="H67" s="48">
        <v>4.05</v>
      </c>
      <c r="I67" s="48">
        <v>8.101</v>
      </c>
      <c r="J67" s="49">
        <v>2</v>
      </c>
      <c r="K67" s="49">
        <v>0</v>
      </c>
      <c r="L67" s="49">
        <v>2</v>
      </c>
    </row>
    <row r="68" spans="1:12" x14ac:dyDescent="0.25">
      <c r="A68" s="45">
        <f>C68&amp;"."&amp;IFERROR(MID(E68,FIND("(",E68)+1,FIND(")",E68)-FIND("(",E68)-1),"")</f>
      </c>
      <c r="B68" s="46" t="s">
        <v>1178</v>
      </c>
      <c r="C68" s="46">
        <v>145</v>
      </c>
      <c r="D68" s="46" t="s">
        <v>1263</v>
      </c>
      <c r="E68" s="46" t="s">
        <v>1265</v>
      </c>
      <c r="F68" s="46" t="s">
        <v>26</v>
      </c>
      <c r="G68" s="47">
        <v>1.45</v>
      </c>
      <c r="H68" s="48">
        <v>3.107</v>
      </c>
      <c r="I68" s="48">
        <v>388.324</v>
      </c>
      <c r="J68" s="49">
        <v>125</v>
      </c>
      <c r="K68" s="49">
        <v>64</v>
      </c>
      <c r="L68" s="49">
        <v>61</v>
      </c>
    </row>
    <row r="69" spans="1:12" x14ac:dyDescent="0.25">
      <c r="A69" s="45">
        <f>C69&amp;"."&amp;IFERROR(MID(E69,FIND("(",E69)+1,FIND(")",E69)-FIND("(",E69)-1),"")</f>
      </c>
      <c r="B69" s="46" t="s">
        <v>1178</v>
      </c>
      <c r="C69" s="46">
        <v>146</v>
      </c>
      <c r="D69" s="46" t="s">
        <v>1266</v>
      </c>
      <c r="E69" s="46" t="s">
        <v>1267</v>
      </c>
      <c r="F69" s="46" t="s">
        <v>26</v>
      </c>
      <c r="G69" s="47">
        <v>0.5</v>
      </c>
      <c r="H69" s="48">
        <v>2.025</v>
      </c>
      <c r="I69" s="48">
        <v>32.406</v>
      </c>
      <c r="J69" s="49">
        <v>16</v>
      </c>
      <c r="K69" s="49">
        <v>7</v>
      </c>
      <c r="L69" s="49">
        <v>9</v>
      </c>
    </row>
    <row r="70" spans="1:12" x14ac:dyDescent="0.25">
      <c r="A70" s="45">
        <f>C70&amp;"."&amp;IFERROR(MID(E70,FIND("(",E70)+1,FIND(")",E70)-FIND("(",E70)-1),"")</f>
      </c>
      <c r="B70" s="46" t="s">
        <v>1178</v>
      </c>
      <c r="C70" s="46">
        <v>146</v>
      </c>
      <c r="D70" s="46" t="s">
        <v>1266</v>
      </c>
      <c r="E70" s="46" t="s">
        <v>1268</v>
      </c>
      <c r="F70" s="46" t="s">
        <v>26</v>
      </c>
      <c r="G70" s="47">
        <v>0.5</v>
      </c>
      <c r="H70" s="48">
        <v>1.83</v>
      </c>
      <c r="I70" s="48">
        <v>1.83</v>
      </c>
      <c r="J70" s="49">
        <v>1</v>
      </c>
      <c r="K70" s="49">
        <v>0</v>
      </c>
      <c r="L70" s="49">
        <v>1</v>
      </c>
    </row>
    <row r="71" spans="1:12" x14ac:dyDescent="0.25">
      <c r="A71" s="45">
        <f>C71&amp;"."&amp;IFERROR(MID(E71,FIND("(",E71)+1,FIND(")",E71)-FIND("(",E71)-1),"")</f>
      </c>
      <c r="B71" s="46" t="s">
        <v>1178</v>
      </c>
      <c r="C71" s="46">
        <v>146</v>
      </c>
      <c r="D71" s="46" t="s">
        <v>1266</v>
      </c>
      <c r="E71" s="46" t="s">
        <v>1269</v>
      </c>
      <c r="F71" s="46" t="s">
        <v>26</v>
      </c>
      <c r="G71" s="47">
        <v>0.5</v>
      </c>
      <c r="H71" s="48">
        <v>1.557</v>
      </c>
      <c r="I71" s="48">
        <v>4.671</v>
      </c>
      <c r="J71" s="49">
        <v>3</v>
      </c>
      <c r="K71" s="49">
        <v>1</v>
      </c>
      <c r="L71" s="49">
        <v>2</v>
      </c>
    </row>
    <row r="72" spans="1:12" x14ac:dyDescent="0.25">
      <c r="A72" s="45">
        <f>C72&amp;"."&amp;IFERROR(MID(E72,FIND("(",E72)+1,FIND(")",E72)-FIND("(",E72)-1),"")</f>
      </c>
      <c r="B72" s="46" t="s">
        <v>1178</v>
      </c>
      <c r="C72" s="46">
        <v>147</v>
      </c>
      <c r="D72" s="46" t="s">
        <v>1270</v>
      </c>
      <c r="E72" s="46" t="s">
        <v>1271</v>
      </c>
      <c r="F72" s="46" t="s">
        <v>26</v>
      </c>
      <c r="G72" s="47">
        <v>1.6</v>
      </c>
      <c r="H72" s="48">
        <v>5.618</v>
      </c>
      <c r="I72" s="48">
        <v>11.235</v>
      </c>
      <c r="J72" s="49">
        <v>2</v>
      </c>
      <c r="K72" s="49">
        <v>0</v>
      </c>
      <c r="L72" s="49">
        <v>2</v>
      </c>
    </row>
    <row r="73" spans="1:12" x14ac:dyDescent="0.25">
      <c r="A73" s="45">
        <f>C73&amp;"."&amp;IFERROR(MID(E73,FIND("(",E73)+1,FIND(")",E73)-FIND("(",E73)-1),"")</f>
      </c>
      <c r="B73" s="46" t="s">
        <v>1178</v>
      </c>
      <c r="C73" s="46">
        <v>147</v>
      </c>
      <c r="D73" s="46" t="s">
        <v>1270</v>
      </c>
      <c r="E73" s="46" t="s">
        <v>1272</v>
      </c>
      <c r="F73" s="46" t="s">
        <v>26</v>
      </c>
      <c r="G73" s="47">
        <v>1.6</v>
      </c>
      <c r="H73" s="48">
        <v>5.058</v>
      </c>
      <c r="I73" s="48">
        <v>5.058</v>
      </c>
      <c r="J73" s="49">
        <v>1</v>
      </c>
      <c r="K73" s="49">
        <v>0</v>
      </c>
      <c r="L73" s="49">
        <v>1</v>
      </c>
    </row>
    <row r="74" spans="1:12" x14ac:dyDescent="0.25">
      <c r="A74" s="45">
        <f>C74&amp;"."&amp;IFERROR(MID(E74,FIND("(",E74)+1,FIND(")",E74)-FIND("(",E74)-1),"")</f>
      </c>
      <c r="B74" s="46" t="s">
        <v>1178</v>
      </c>
      <c r="C74" s="46">
        <v>147</v>
      </c>
      <c r="D74" s="46" t="s">
        <v>1270</v>
      </c>
      <c r="E74" s="46" t="s">
        <v>1273</v>
      </c>
      <c r="F74" s="46" t="s">
        <v>26</v>
      </c>
      <c r="G74" s="47">
        <v>1.6</v>
      </c>
      <c r="H74" s="48">
        <v>6.488</v>
      </c>
      <c r="I74" s="48">
        <v>19.463</v>
      </c>
      <c r="J74" s="49">
        <v>3</v>
      </c>
      <c r="K74" s="49">
        <v>2</v>
      </c>
      <c r="L74" s="49">
        <v>1</v>
      </c>
    </row>
    <row r="75" spans="1:12" x14ac:dyDescent="0.25">
      <c r="A75" s="45">
        <f>C75&amp;"."&amp;IFERROR(MID(E75,FIND("(",E75)+1,FIND(")",E75)-FIND("(",E75)-1),"")</f>
      </c>
      <c r="B75" s="46" t="s">
        <v>1178</v>
      </c>
      <c r="C75" s="46">
        <v>148</v>
      </c>
      <c r="D75" s="46" t="s">
        <v>1274</v>
      </c>
      <c r="E75" s="46" t="s">
        <v>1275</v>
      </c>
      <c r="F75" s="46" t="s">
        <v>26</v>
      </c>
      <c r="G75" s="47">
        <v>2.23</v>
      </c>
      <c r="H75" s="48">
        <v>5.921</v>
      </c>
      <c r="I75" s="48">
        <v>112.506</v>
      </c>
      <c r="J75" s="49">
        <v>19</v>
      </c>
      <c r="K75" s="49">
        <v>12</v>
      </c>
      <c r="L75" s="49">
        <v>7</v>
      </c>
    </row>
    <row r="76" spans="1:12" x14ac:dyDescent="0.25">
      <c r="A76" s="45">
        <f>C76&amp;"."&amp;IFERROR(MID(E76,FIND("(",E76)+1,FIND(")",E76)-FIND("(",E76)-1),"")</f>
      </c>
      <c r="B76" s="46" t="s">
        <v>1178</v>
      </c>
      <c r="C76" s="46">
        <v>148</v>
      </c>
      <c r="D76" s="46" t="s">
        <v>1274</v>
      </c>
      <c r="E76" s="46" t="s">
        <v>1276</v>
      </c>
      <c r="F76" s="46" t="s">
        <v>26</v>
      </c>
      <c r="G76" s="47">
        <v>2.23</v>
      </c>
      <c r="H76" s="48">
        <v>8.59</v>
      </c>
      <c r="I76" s="48">
        <v>25.77</v>
      </c>
      <c r="J76" s="49">
        <v>3</v>
      </c>
      <c r="K76" s="49">
        <v>0</v>
      </c>
      <c r="L76" s="49">
        <v>3</v>
      </c>
    </row>
    <row r="77" spans="1:12" x14ac:dyDescent="0.25">
      <c r="A77" s="45">
        <f>C77&amp;"."&amp;IFERROR(MID(E77,FIND("(",E77)+1,FIND(")",E77)-FIND("(",E77)-1),"")</f>
      </c>
      <c r="B77" s="46" t="s">
        <v>1178</v>
      </c>
      <c r="C77" s="46">
        <v>148</v>
      </c>
      <c r="D77" s="46" t="s">
        <v>1274</v>
      </c>
      <c r="E77" s="46" t="s">
        <v>1277</v>
      </c>
      <c r="F77" s="46" t="s">
        <v>26</v>
      </c>
      <c r="G77" s="47">
        <v>2.23</v>
      </c>
      <c r="H77" s="48">
        <v>6.221</v>
      </c>
      <c r="I77" s="48">
        <v>18.662</v>
      </c>
      <c r="J77" s="49">
        <v>3</v>
      </c>
      <c r="K77" s="49">
        <v>2</v>
      </c>
      <c r="L77" s="49">
        <v>1</v>
      </c>
    </row>
    <row r="78" spans="1:12" x14ac:dyDescent="0.25">
      <c r="A78" s="45">
        <f>C78&amp;"."&amp;IFERROR(MID(E78,FIND("(",E78)+1,FIND(")",E78)-FIND("(",E78)-1),"")</f>
      </c>
      <c r="B78" s="46" t="s">
        <v>1178</v>
      </c>
      <c r="C78" s="46">
        <v>149</v>
      </c>
      <c r="D78" s="46" t="s">
        <v>1278</v>
      </c>
      <c r="E78" s="46" t="s">
        <v>1279</v>
      </c>
      <c r="F78" s="46" t="s">
        <v>26</v>
      </c>
      <c r="G78" s="47">
        <v>0.26</v>
      </c>
      <c r="H78" s="48">
        <v>1.028</v>
      </c>
      <c r="I78" s="48">
        <v>5.14</v>
      </c>
      <c r="J78" s="49">
        <v>5</v>
      </c>
      <c r="K78" s="49">
        <v>2</v>
      </c>
      <c r="L78" s="49">
        <v>3</v>
      </c>
    </row>
    <row r="79" spans="1:12" x14ac:dyDescent="0.25">
      <c r="A79" s="45">
        <f>C79&amp;"."&amp;IFERROR(MID(E79,FIND("(",E79)+1,FIND(")",E79)-FIND("(",E79)-1),"")</f>
      </c>
      <c r="B79" s="46" t="s">
        <v>1178</v>
      </c>
      <c r="C79" s="46">
        <v>149</v>
      </c>
      <c r="D79" s="46" t="s">
        <v>1278</v>
      </c>
      <c r="E79" s="46" t="s">
        <v>1280</v>
      </c>
      <c r="F79" s="46" t="s">
        <v>26</v>
      </c>
      <c r="G79" s="47">
        <v>0.26</v>
      </c>
      <c r="H79" s="48">
        <v>0.78</v>
      </c>
      <c r="I79" s="48">
        <v>0.78</v>
      </c>
      <c r="J79" s="49">
        <v>1</v>
      </c>
      <c r="K79" s="49">
        <v>0</v>
      </c>
      <c r="L79" s="49">
        <v>1</v>
      </c>
    </row>
    <row r="80" spans="1:12" x14ac:dyDescent="0.25">
      <c r="A80" s="45">
        <f>C80&amp;"."&amp;IFERROR(MID(E80,FIND("(",E80)+1,FIND(")",E80)-FIND("(",E80)-1),"")</f>
      </c>
      <c r="B80" s="46" t="s">
        <v>1178</v>
      </c>
      <c r="C80" s="46">
        <v>152</v>
      </c>
      <c r="D80" s="46" t="s">
        <v>1281</v>
      </c>
      <c r="E80" s="46" t="s">
        <v>1282</v>
      </c>
      <c r="F80" s="46" t="s">
        <v>26</v>
      </c>
      <c r="G80" s="47">
        <v>0.42</v>
      </c>
      <c r="H80" s="48">
        <v>8.175</v>
      </c>
      <c r="I80" s="48">
        <v>8.175</v>
      </c>
      <c r="J80" s="49">
        <v>1</v>
      </c>
      <c r="K80" s="49">
        <v>1</v>
      </c>
      <c r="L80" s="49">
        <v>0</v>
      </c>
    </row>
    <row r="81" spans="1:12" x14ac:dyDescent="0.25">
      <c r="A81" s="45">
        <f>C81&amp;"."&amp;IFERROR(MID(E81,FIND("(",E81)+1,FIND(")",E81)-FIND("(",E81)-1),"")</f>
      </c>
      <c r="B81" s="46" t="s">
        <v>1178</v>
      </c>
      <c r="C81" s="46">
        <v>153</v>
      </c>
      <c r="D81" s="46" t="s">
        <v>474</v>
      </c>
      <c r="E81" s="46" t="s">
        <v>1248</v>
      </c>
      <c r="F81" s="46" t="s">
        <v>26</v>
      </c>
      <c r="G81" s="47">
        <v>3.2</v>
      </c>
      <c r="H81" s="48">
        <v>26.205</v>
      </c>
      <c r="I81" s="48">
        <v>21907.618</v>
      </c>
      <c r="J81" s="49">
        <v>836</v>
      </c>
      <c r="K81" s="49">
        <v>367</v>
      </c>
      <c r="L81" s="49">
        <v>469</v>
      </c>
    </row>
    <row r="82" spans="1:12" x14ac:dyDescent="0.25">
      <c r="A82" s="45">
        <f>C82&amp;"."&amp;IFERROR(MID(E82,FIND("(",E82)+1,FIND(")",E82)-FIND("(",E82)-1),"")</f>
      </c>
      <c r="B82" s="46" t="s">
        <v>1178</v>
      </c>
      <c r="C82" s="46">
        <v>154</v>
      </c>
      <c r="D82" s="46" t="s">
        <v>670</v>
      </c>
      <c r="E82" s="46" t="s">
        <v>1283</v>
      </c>
      <c r="F82" s="46" t="s">
        <v>23</v>
      </c>
      <c r="G82" s="47">
        <v>0.72</v>
      </c>
      <c r="H82" s="48">
        <v>6.306</v>
      </c>
      <c r="I82" s="48">
        <v>29431.864</v>
      </c>
      <c r="J82" s="49">
        <v>4667</v>
      </c>
      <c r="K82" s="49">
        <v>1239</v>
      </c>
      <c r="L82" s="49">
        <v>3428</v>
      </c>
    </row>
    <row r="83" spans="1:12" x14ac:dyDescent="0.25">
      <c r="A83" s="45">
        <f>C83&amp;"."&amp;IFERROR(MID(E83,FIND("(",E83)+1,FIND(")",E83)-FIND("(",E83)-1),"")</f>
      </c>
      <c r="B83" s="46" t="s">
        <v>1178</v>
      </c>
      <c r="C83" s="46">
        <v>154</v>
      </c>
      <c r="D83" s="46" t="s">
        <v>670</v>
      </c>
      <c r="E83" s="46" t="s">
        <v>1284</v>
      </c>
      <c r="F83" s="46" t="s">
        <v>23</v>
      </c>
      <c r="G83" s="47">
        <v>0.72</v>
      </c>
      <c r="H83" s="48">
        <v>6.387</v>
      </c>
      <c r="I83" s="48">
        <v>3391.44</v>
      </c>
      <c r="J83" s="49">
        <v>531</v>
      </c>
      <c r="K83" s="49">
        <v>127</v>
      </c>
      <c r="L83" s="49">
        <v>404</v>
      </c>
    </row>
    <row r="84" spans="1:12" x14ac:dyDescent="0.25">
      <c r="A84" s="45">
        <f>C84&amp;"."&amp;IFERROR(MID(E84,FIND("(",E84)+1,FIND(")",E84)-FIND("(",E84)-1),"")</f>
      </c>
      <c r="B84" s="46" t="s">
        <v>1178</v>
      </c>
      <c r="C84" s="46">
        <v>154</v>
      </c>
      <c r="D84" s="46" t="s">
        <v>670</v>
      </c>
      <c r="E84" s="46" t="s">
        <v>1285</v>
      </c>
      <c r="F84" s="46" t="s">
        <v>23</v>
      </c>
      <c r="G84" s="47">
        <v>0.72</v>
      </c>
      <c r="H84" s="48">
        <v>7.05</v>
      </c>
      <c r="I84" s="48">
        <v>1741.292</v>
      </c>
      <c r="J84" s="49">
        <v>247</v>
      </c>
      <c r="K84" s="49">
        <v>50</v>
      </c>
      <c r="L84" s="49">
        <v>197</v>
      </c>
    </row>
    <row r="85" spans="1:12" x14ac:dyDescent="0.25">
      <c r="A85" s="45">
        <f>C85&amp;"."&amp;IFERROR(MID(E85,FIND("(",E85)+1,FIND(")",E85)-FIND("(",E85)-1),"")</f>
      </c>
      <c r="B85" s="46" t="s">
        <v>1178</v>
      </c>
      <c r="C85" s="46">
        <v>156</v>
      </c>
      <c r="D85" s="46" t="s">
        <v>65</v>
      </c>
      <c r="E85" s="46" t="s">
        <v>1286</v>
      </c>
      <c r="F85" s="46" t="s">
        <v>24</v>
      </c>
      <c r="G85" s="47">
        <v>18.3</v>
      </c>
      <c r="H85" s="48">
        <v>103.283</v>
      </c>
      <c r="I85" s="48">
        <v>29538.999</v>
      </c>
      <c r="J85" s="49">
        <v>286</v>
      </c>
      <c r="K85" s="49">
        <v>113</v>
      </c>
      <c r="L85" s="49">
        <v>173</v>
      </c>
    </row>
    <row r="86" spans="1:12" x14ac:dyDescent="0.25">
      <c r="A86" s="45">
        <f>C86&amp;"."&amp;IFERROR(MID(E86,FIND("(",E86)+1,FIND(")",E86)-FIND("(",E86)-1),"")</f>
      </c>
      <c r="B86" s="46" t="s">
        <v>1178</v>
      </c>
      <c r="C86" s="46">
        <v>156</v>
      </c>
      <c r="D86" s="46" t="s">
        <v>65</v>
      </c>
      <c r="E86" s="46" t="s">
        <v>1287</v>
      </c>
      <c r="F86" s="46" t="s">
        <v>24</v>
      </c>
      <c r="G86" s="47">
        <v>18.3</v>
      </c>
      <c r="H86" s="48">
        <v>76.317</v>
      </c>
      <c r="I86" s="48">
        <v>2213.2</v>
      </c>
      <c r="J86" s="49">
        <v>29</v>
      </c>
      <c r="K86" s="49">
        <v>0</v>
      </c>
      <c r="L86" s="49">
        <v>29</v>
      </c>
    </row>
    <row r="87" spans="1:12" x14ac:dyDescent="0.25">
      <c r="A87" s="45">
        <f>C87&amp;"."&amp;IFERROR(MID(E87,FIND("(",E87)+1,FIND(")",E87)-FIND("(",E87)-1),"")</f>
      </c>
      <c r="B87" s="46" t="s">
        <v>1178</v>
      </c>
      <c r="C87" s="46">
        <v>156</v>
      </c>
      <c r="D87" s="46" t="s">
        <v>65</v>
      </c>
      <c r="E87" s="46" t="s">
        <v>1288</v>
      </c>
      <c r="F87" s="46" t="s">
        <v>24</v>
      </c>
      <c r="G87" s="47">
        <v>18.3</v>
      </c>
      <c r="H87" s="48">
        <v>105.438</v>
      </c>
      <c r="I87" s="48">
        <v>20665.906</v>
      </c>
      <c r="J87" s="49">
        <v>196</v>
      </c>
      <c r="K87" s="49">
        <v>137</v>
      </c>
      <c r="L87" s="49">
        <v>59</v>
      </c>
    </row>
    <row r="88" spans="1:12" x14ac:dyDescent="0.25">
      <c r="A88" s="45">
        <f>C88&amp;"."&amp;IFERROR(MID(E88,FIND("(",E88)+1,FIND(")",E88)-FIND("(",E88)-1),"")</f>
      </c>
      <c r="B88" s="46" t="s">
        <v>1178</v>
      </c>
      <c r="C88" s="46">
        <v>156</v>
      </c>
      <c r="D88" s="46" t="s">
        <v>65</v>
      </c>
      <c r="E88" s="46" t="s">
        <v>1289</v>
      </c>
      <c r="F88" s="46" t="s">
        <v>24</v>
      </c>
      <c r="G88" s="47">
        <v>18.3</v>
      </c>
      <c r="H88" s="48">
        <v>105.434</v>
      </c>
      <c r="I88" s="48">
        <v>25409.538</v>
      </c>
      <c r="J88" s="49">
        <v>241</v>
      </c>
      <c r="K88" s="49">
        <v>162</v>
      </c>
      <c r="L88" s="49">
        <v>79</v>
      </c>
    </row>
    <row r="89" spans="1:12" x14ac:dyDescent="0.25">
      <c r="A89" s="45">
        <f>C89&amp;"."&amp;IFERROR(MID(E89,FIND("(",E89)+1,FIND(")",E89)-FIND("(",E89)-1),"")</f>
      </c>
      <c r="B89" s="46" t="s">
        <v>1178</v>
      </c>
      <c r="C89" s="46">
        <v>156</v>
      </c>
      <c r="D89" s="46" t="s">
        <v>65</v>
      </c>
      <c r="E89" s="46" t="s">
        <v>1290</v>
      </c>
      <c r="F89" s="46" t="s">
        <v>24</v>
      </c>
      <c r="G89" s="47">
        <v>18.3</v>
      </c>
      <c r="H89" s="48">
        <v>87.142</v>
      </c>
      <c r="I89" s="48">
        <v>1655.689</v>
      </c>
      <c r="J89" s="49">
        <v>19</v>
      </c>
      <c r="K89" s="49">
        <v>0</v>
      </c>
      <c r="L89" s="49">
        <v>19</v>
      </c>
    </row>
    <row r="90" spans="1:12" x14ac:dyDescent="0.25">
      <c r="A90" s="45">
        <f>C90&amp;"."&amp;IFERROR(MID(E90,FIND("(",E90)+1,FIND(")",E90)-FIND("(",E90)-1),"")</f>
      </c>
      <c r="B90" s="46" t="s">
        <v>1178</v>
      </c>
      <c r="C90" s="46">
        <v>160</v>
      </c>
      <c r="D90" s="46" t="s">
        <v>1291</v>
      </c>
      <c r="E90" s="46" t="s">
        <v>1292</v>
      </c>
      <c r="F90" s="46" t="s">
        <v>24</v>
      </c>
      <c r="G90" s="47">
        <v>2.43</v>
      </c>
      <c r="H90" s="48">
        <v>13.231</v>
      </c>
      <c r="I90" s="48">
        <v>145.538</v>
      </c>
      <c r="J90" s="49">
        <v>11</v>
      </c>
      <c r="K90" s="49">
        <v>0</v>
      </c>
      <c r="L90" s="49">
        <v>11</v>
      </c>
    </row>
    <row r="91" spans="1:12" x14ac:dyDescent="0.25">
      <c r="A91" s="45">
        <f>C91&amp;"."&amp;IFERROR(MID(E91,FIND("(",E91)+1,FIND(")",E91)-FIND("(",E91)-1),"")</f>
      </c>
      <c r="B91" s="46" t="s">
        <v>1178</v>
      </c>
      <c r="C91" s="46">
        <v>160</v>
      </c>
      <c r="D91" s="46" t="s">
        <v>1291</v>
      </c>
      <c r="E91" s="46" t="s">
        <v>1293</v>
      </c>
      <c r="F91" s="46" t="s">
        <v>24</v>
      </c>
      <c r="G91" s="47">
        <v>2.43</v>
      </c>
      <c r="H91" s="48">
        <v>7.89</v>
      </c>
      <c r="I91" s="48">
        <v>7.89</v>
      </c>
      <c r="J91" s="49">
        <v>1</v>
      </c>
      <c r="K91" s="49">
        <v>0</v>
      </c>
      <c r="L91" s="49">
        <v>1</v>
      </c>
    </row>
    <row r="92" spans="1:12" x14ac:dyDescent="0.25">
      <c r="A92" s="45">
        <f>C92&amp;"."&amp;IFERROR(MID(E92,FIND("(",E92)+1,FIND(")",E92)-FIND("(",E92)-1),"")</f>
      </c>
      <c r="B92" s="46" t="s">
        <v>1178</v>
      </c>
      <c r="C92" s="46">
        <v>160</v>
      </c>
      <c r="D92" s="46" t="s">
        <v>1291</v>
      </c>
      <c r="E92" s="46" t="s">
        <v>1294</v>
      </c>
      <c r="F92" s="46" t="s">
        <v>24</v>
      </c>
      <c r="G92" s="47">
        <v>2.43</v>
      </c>
      <c r="H92" s="48">
        <v>10.872</v>
      </c>
      <c r="I92" s="48">
        <v>173.96</v>
      </c>
      <c r="J92" s="49">
        <v>16</v>
      </c>
      <c r="K92" s="49">
        <v>0</v>
      </c>
      <c r="L92" s="49">
        <v>16</v>
      </c>
    </row>
    <row r="93" spans="1:12" x14ac:dyDescent="0.25">
      <c r="A93" s="45">
        <f>C93&amp;"."&amp;IFERROR(MID(E93,FIND("(",E93)+1,FIND(")",E93)-FIND("(",E93)-1),"")</f>
      </c>
      <c r="B93" s="46" t="s">
        <v>1178</v>
      </c>
      <c r="C93" s="46">
        <v>161</v>
      </c>
      <c r="D93" s="46" t="s">
        <v>169</v>
      </c>
      <c r="E93" s="46" t="s">
        <v>1295</v>
      </c>
      <c r="F93" s="46" t="s">
        <v>25</v>
      </c>
      <c r="G93" s="47">
        <v>45</v>
      </c>
      <c r="H93" s="48">
        <v>170.346</v>
      </c>
      <c r="I93" s="48">
        <v>14479.414</v>
      </c>
      <c r="J93" s="49">
        <v>85</v>
      </c>
      <c r="K93" s="49">
        <v>46</v>
      </c>
      <c r="L93" s="49">
        <v>39</v>
      </c>
    </row>
    <row r="94" spans="1:12" x14ac:dyDescent="0.25">
      <c r="A94" s="45">
        <f>C94&amp;"."&amp;IFERROR(MID(E94,FIND("(",E94)+1,FIND(")",E94)-FIND("(",E94)-1),"")</f>
      </c>
      <c r="B94" s="46" t="s">
        <v>1178</v>
      </c>
      <c r="C94" s="46">
        <v>162</v>
      </c>
      <c r="D94" s="46" t="s">
        <v>1296</v>
      </c>
      <c r="E94" s="46" t="s">
        <v>1248</v>
      </c>
      <c r="F94" s="46" t="s">
        <v>25</v>
      </c>
      <c r="G94" s="47">
        <v>1.48</v>
      </c>
      <c r="H94" s="48">
        <v>5.463</v>
      </c>
      <c r="I94" s="48">
        <v>21.852</v>
      </c>
      <c r="J94" s="49">
        <v>4</v>
      </c>
      <c r="K94" s="49">
        <v>0</v>
      </c>
      <c r="L94" s="49">
        <v>4</v>
      </c>
    </row>
    <row r="95" spans="1:12" x14ac:dyDescent="0.25">
      <c r="A95" s="45">
        <f>C95&amp;"."&amp;IFERROR(MID(E95,FIND("(",E95)+1,FIND(")",E95)-FIND("(",E95)-1),"")</f>
      </c>
      <c r="B95" s="46" t="s">
        <v>1178</v>
      </c>
      <c r="C95" s="46">
        <v>164</v>
      </c>
      <c r="D95" s="46" t="s">
        <v>1297</v>
      </c>
      <c r="E95" s="46" t="s">
        <v>1298</v>
      </c>
      <c r="F95" s="46" t="s">
        <v>25</v>
      </c>
      <c r="G95" s="47">
        <v>1.08</v>
      </c>
      <c r="H95" s="48">
        <v>4.516</v>
      </c>
      <c r="I95" s="48">
        <v>36.131</v>
      </c>
      <c r="J95" s="49">
        <v>8</v>
      </c>
      <c r="K95" s="49">
        <v>1</v>
      </c>
      <c r="L95" s="49">
        <v>7</v>
      </c>
    </row>
    <row r="96" spans="1:12" x14ac:dyDescent="0.25">
      <c r="A96" s="45">
        <f>C96&amp;"."&amp;IFERROR(MID(E96,FIND("(",E96)+1,FIND(")",E96)-FIND("(",E96)-1),"")</f>
      </c>
      <c r="B96" s="46" t="s">
        <v>1178</v>
      </c>
      <c r="C96" s="46">
        <v>166</v>
      </c>
      <c r="D96" s="46" t="s">
        <v>1299</v>
      </c>
      <c r="E96" s="46" t="s">
        <v>1300</v>
      </c>
      <c r="F96" s="46" t="s">
        <v>24</v>
      </c>
      <c r="G96" s="47">
        <v>1.7</v>
      </c>
      <c r="H96" s="48">
        <v>6.199</v>
      </c>
      <c r="I96" s="48">
        <v>105.382</v>
      </c>
      <c r="J96" s="49">
        <v>17</v>
      </c>
      <c r="K96" s="49">
        <v>0</v>
      </c>
      <c r="L96" s="49">
        <v>17</v>
      </c>
    </row>
    <row r="97" spans="1:12" x14ac:dyDescent="0.25">
      <c r="A97" s="45">
        <f>C97&amp;"."&amp;IFERROR(MID(E97,FIND("(",E97)+1,FIND(")",E97)-FIND("(",E97)-1),"")</f>
      </c>
      <c r="B97" s="46" t="s">
        <v>1178</v>
      </c>
      <c r="C97" s="46">
        <v>166</v>
      </c>
      <c r="D97" s="46" t="s">
        <v>1299</v>
      </c>
      <c r="E97" s="46" t="s">
        <v>1301</v>
      </c>
      <c r="F97" s="46" t="s">
        <v>24</v>
      </c>
      <c r="G97" s="47">
        <v>1.7</v>
      </c>
      <c r="H97" s="48">
        <v>6.35</v>
      </c>
      <c r="I97" s="48">
        <v>12.7</v>
      </c>
      <c r="J97" s="49">
        <v>2</v>
      </c>
      <c r="K97" s="49">
        <v>0</v>
      </c>
      <c r="L97" s="49">
        <v>2</v>
      </c>
    </row>
    <row r="98" spans="1:12" x14ac:dyDescent="0.25">
      <c r="A98" s="45">
        <f>C98&amp;"."&amp;IFERROR(MID(E98,FIND("(",E98)+1,FIND(")",E98)-FIND("(",E98)-1),"")</f>
      </c>
      <c r="B98" s="46" t="s">
        <v>1178</v>
      </c>
      <c r="C98" s="46">
        <v>168</v>
      </c>
      <c r="D98" s="46" t="s">
        <v>1302</v>
      </c>
      <c r="E98" s="46" t="s">
        <v>1303</v>
      </c>
      <c r="F98" s="46" t="s">
        <v>24</v>
      </c>
      <c r="G98" s="47">
        <v>1.7</v>
      </c>
      <c r="H98" s="48">
        <v>6.35</v>
      </c>
      <c r="I98" s="48">
        <v>12.7</v>
      </c>
      <c r="J98" s="49">
        <v>2</v>
      </c>
      <c r="K98" s="49">
        <v>0</v>
      </c>
      <c r="L98" s="49">
        <v>2</v>
      </c>
    </row>
    <row r="99" spans="1:12" x14ac:dyDescent="0.25">
      <c r="A99" s="45">
        <f>C99&amp;"."&amp;IFERROR(MID(E99,FIND("(",E99)+1,FIND(")",E99)-FIND("(",E99)-1),"")</f>
      </c>
      <c r="B99" s="46" t="s">
        <v>1178</v>
      </c>
      <c r="C99" s="46">
        <v>168</v>
      </c>
      <c r="D99" s="46" t="s">
        <v>1302</v>
      </c>
      <c r="E99" s="46" t="s">
        <v>1304</v>
      </c>
      <c r="F99" s="46" t="s">
        <v>24</v>
      </c>
      <c r="G99" s="47">
        <v>1.7</v>
      </c>
      <c r="H99" s="48">
        <v>6.35</v>
      </c>
      <c r="I99" s="48">
        <v>12.7</v>
      </c>
      <c r="J99" s="49">
        <v>2</v>
      </c>
      <c r="K99" s="49">
        <v>0</v>
      </c>
      <c r="L99" s="49">
        <v>2</v>
      </c>
    </row>
    <row r="100" spans="1:12" x14ac:dyDescent="0.25">
      <c r="A100" s="45">
        <f>C100&amp;"."&amp;IFERROR(MID(E100,FIND("(",E100)+1,FIND(")",E100)-FIND("(",E100)-1),"")</f>
      </c>
      <c r="B100" s="46" t="s">
        <v>1178</v>
      </c>
      <c r="C100" s="46">
        <v>168</v>
      </c>
      <c r="D100" s="46" t="s">
        <v>1302</v>
      </c>
      <c r="E100" s="46" t="s">
        <v>1305</v>
      </c>
      <c r="F100" s="46" t="s">
        <v>24</v>
      </c>
      <c r="G100" s="47">
        <v>1.7</v>
      </c>
      <c r="H100" s="48">
        <v>5.75</v>
      </c>
      <c r="I100" s="48">
        <v>97.744</v>
      </c>
      <c r="J100" s="49">
        <v>17</v>
      </c>
      <c r="K100" s="49">
        <v>0</v>
      </c>
      <c r="L100" s="49">
        <v>17</v>
      </c>
    </row>
    <row r="101" spans="1:12" x14ac:dyDescent="0.25">
      <c r="A101" s="45">
        <f>C101&amp;"."&amp;IFERROR(MID(E101,FIND("(",E101)+1,FIND(")",E101)-FIND("(",E101)-1),"")</f>
      </c>
      <c r="B101" s="46" t="s">
        <v>1178</v>
      </c>
      <c r="C101" s="46">
        <v>171</v>
      </c>
      <c r="D101" s="46" t="s">
        <v>1306</v>
      </c>
      <c r="E101" s="46" t="s">
        <v>1307</v>
      </c>
      <c r="F101" s="46" t="s">
        <v>24</v>
      </c>
      <c r="G101" s="47">
        <v>0.6</v>
      </c>
      <c r="H101" s="48">
        <v>3.126</v>
      </c>
      <c r="I101" s="48">
        <v>43.758</v>
      </c>
      <c r="J101" s="49">
        <v>14</v>
      </c>
      <c r="K101" s="49">
        <v>0</v>
      </c>
      <c r="L101" s="49">
        <v>14</v>
      </c>
    </row>
    <row r="102" spans="1:12" x14ac:dyDescent="0.25">
      <c r="A102" s="45">
        <f>C102&amp;"."&amp;IFERROR(MID(E102,FIND("(",E102)+1,FIND(")",E102)-FIND("(",E102)-1),"")</f>
      </c>
      <c r="B102" s="46" t="s">
        <v>1178</v>
      </c>
      <c r="C102" s="46">
        <v>171</v>
      </c>
      <c r="D102" s="46" t="s">
        <v>1306</v>
      </c>
      <c r="E102" s="46" t="s">
        <v>1308</v>
      </c>
      <c r="F102" s="46" t="s">
        <v>24</v>
      </c>
      <c r="G102" s="47">
        <v>0.6</v>
      </c>
      <c r="H102" s="48">
        <v>1.827</v>
      </c>
      <c r="I102" s="48">
        <v>5.482</v>
      </c>
      <c r="J102" s="49">
        <v>3</v>
      </c>
      <c r="K102" s="49">
        <v>0</v>
      </c>
      <c r="L102" s="49">
        <v>3</v>
      </c>
    </row>
    <row r="103" spans="1:12" x14ac:dyDescent="0.25">
      <c r="A103" s="45">
        <f>C103&amp;"."&amp;IFERROR(MID(E103,FIND("(",E103)+1,FIND(")",E103)-FIND("(",E103)-1),"")</f>
      </c>
      <c r="B103" s="46" t="s">
        <v>1178</v>
      </c>
      <c r="C103" s="46">
        <v>171</v>
      </c>
      <c r="D103" s="46" t="s">
        <v>1306</v>
      </c>
      <c r="E103" s="46" t="s">
        <v>1309</v>
      </c>
      <c r="F103" s="46" t="s">
        <v>24</v>
      </c>
      <c r="G103" s="47">
        <v>0.6</v>
      </c>
      <c r="H103" s="48">
        <v>3.641</v>
      </c>
      <c r="I103" s="48">
        <v>54.617</v>
      </c>
      <c r="J103" s="49">
        <v>15</v>
      </c>
      <c r="K103" s="49">
        <v>5</v>
      </c>
      <c r="L103" s="49">
        <v>10</v>
      </c>
    </row>
    <row r="104" spans="1:12" x14ac:dyDescent="0.25">
      <c r="A104" s="45">
        <f>C104&amp;"."&amp;IFERROR(MID(E104,FIND("(",E104)+1,FIND(")",E104)-FIND("(",E104)-1),"")</f>
      </c>
      <c r="B104" s="46" t="s">
        <v>1178</v>
      </c>
      <c r="C104" s="46">
        <v>171</v>
      </c>
      <c r="D104" s="46" t="s">
        <v>1306</v>
      </c>
      <c r="E104" s="46" t="s">
        <v>1310</v>
      </c>
      <c r="F104" s="46" t="s">
        <v>24</v>
      </c>
      <c r="G104" s="47">
        <v>0.6</v>
      </c>
      <c r="H104" s="48">
        <v>3.32</v>
      </c>
      <c r="I104" s="48">
        <v>29.883</v>
      </c>
      <c r="J104" s="49">
        <v>9</v>
      </c>
      <c r="K104" s="49">
        <v>0</v>
      </c>
      <c r="L104" s="49">
        <v>9</v>
      </c>
    </row>
    <row r="105" spans="1:12" x14ac:dyDescent="0.25">
      <c r="A105" s="45">
        <f>C105&amp;"."&amp;IFERROR(MID(E105,FIND("(",E105)+1,FIND(")",E105)-FIND("(",E105)-1),"")</f>
      </c>
      <c r="B105" s="46" t="s">
        <v>1178</v>
      </c>
      <c r="C105" s="46">
        <v>172</v>
      </c>
      <c r="D105" s="46" t="s">
        <v>1311</v>
      </c>
      <c r="E105" s="46" t="s">
        <v>1312</v>
      </c>
      <c r="F105" s="46" t="s">
        <v>25</v>
      </c>
      <c r="G105" s="47">
        <v>1</v>
      </c>
      <c r="H105" s="48">
        <v>4.379</v>
      </c>
      <c r="I105" s="48">
        <v>26.277</v>
      </c>
      <c r="J105" s="49">
        <v>6</v>
      </c>
      <c r="K105" s="49">
        <v>0</v>
      </c>
      <c r="L105" s="49">
        <v>6</v>
      </c>
    </row>
    <row r="106" spans="1:12" x14ac:dyDescent="0.25">
      <c r="A106" s="45">
        <f>C106&amp;"."&amp;IFERROR(MID(E106,FIND("(",E106)+1,FIND(")",E106)-FIND("(",E106)-1),"")</f>
      </c>
      <c r="B106" s="46" t="s">
        <v>1178</v>
      </c>
      <c r="C106" s="46">
        <v>172</v>
      </c>
      <c r="D106" s="46" t="s">
        <v>1311</v>
      </c>
      <c r="E106" s="46" t="s">
        <v>1313</v>
      </c>
      <c r="F106" s="46" t="s">
        <v>25</v>
      </c>
      <c r="G106" s="47">
        <v>1</v>
      </c>
      <c r="H106" s="48">
        <v>15.2</v>
      </c>
      <c r="I106" s="48">
        <v>15.2</v>
      </c>
      <c r="J106" s="49">
        <v>1</v>
      </c>
      <c r="K106" s="49">
        <v>0</v>
      </c>
      <c r="L106" s="49">
        <v>1</v>
      </c>
    </row>
    <row r="107" spans="1:12" x14ac:dyDescent="0.25">
      <c r="A107" s="45">
        <f>C107&amp;"."&amp;IFERROR(MID(E107,FIND("(",E107)+1,FIND(")",E107)-FIND("(",E107)-1),"")</f>
      </c>
      <c r="B107" s="46" t="s">
        <v>1178</v>
      </c>
      <c r="C107" s="46">
        <v>173</v>
      </c>
      <c r="D107" s="46" t="s">
        <v>1314</v>
      </c>
      <c r="E107" s="46" t="s">
        <v>1315</v>
      </c>
      <c r="F107" s="46" t="s">
        <v>25</v>
      </c>
      <c r="G107" s="47">
        <v>0.8</v>
      </c>
      <c r="H107" s="48">
        <v>4.374</v>
      </c>
      <c r="I107" s="48">
        <v>13.121</v>
      </c>
      <c r="J107" s="49">
        <v>3</v>
      </c>
      <c r="K107" s="49">
        <v>0</v>
      </c>
      <c r="L107" s="49">
        <v>3</v>
      </c>
    </row>
    <row r="108" spans="1:12" x14ac:dyDescent="0.25">
      <c r="A108" s="45">
        <f>C108&amp;"."&amp;IFERROR(MID(E108,FIND("(",E108)+1,FIND(")",E108)-FIND("(",E108)-1),"")</f>
      </c>
      <c r="B108" s="46" t="s">
        <v>1178</v>
      </c>
      <c r="C108" s="46">
        <v>173</v>
      </c>
      <c r="D108" s="46" t="s">
        <v>1314</v>
      </c>
      <c r="E108" s="46" t="s">
        <v>1316</v>
      </c>
      <c r="F108" s="46" t="s">
        <v>25</v>
      </c>
      <c r="G108" s="47">
        <v>0.8</v>
      </c>
      <c r="H108" s="48">
        <v>15.2</v>
      </c>
      <c r="I108" s="48">
        <v>15.2</v>
      </c>
      <c r="J108" s="49">
        <v>1</v>
      </c>
      <c r="K108" s="49">
        <v>0</v>
      </c>
      <c r="L108" s="49">
        <v>1</v>
      </c>
    </row>
    <row r="109" spans="1:12" x14ac:dyDescent="0.25">
      <c r="A109" s="45">
        <f>C109&amp;"."&amp;IFERROR(MID(E109,FIND("(",E109)+1,FIND(")",E109)-FIND("(",E109)-1),"")</f>
      </c>
      <c r="B109" s="46" t="s">
        <v>1178</v>
      </c>
      <c r="C109" s="46">
        <v>174</v>
      </c>
      <c r="D109" s="46" t="s">
        <v>1317</v>
      </c>
      <c r="E109" s="46" t="s">
        <v>1318</v>
      </c>
      <c r="F109" s="46" t="s">
        <v>24</v>
      </c>
      <c r="G109" s="47">
        <v>0.37</v>
      </c>
      <c r="H109" s="48">
        <v>1.028</v>
      </c>
      <c r="I109" s="48">
        <v>9.254</v>
      </c>
      <c r="J109" s="49">
        <v>9</v>
      </c>
      <c r="K109" s="49">
        <v>0</v>
      </c>
      <c r="L109" s="49">
        <v>9</v>
      </c>
    </row>
    <row r="110" spans="1:12" x14ac:dyDescent="0.25">
      <c r="A110" s="45">
        <f>C110&amp;"."&amp;IFERROR(MID(E110,FIND("(",E110)+1,FIND(")",E110)-FIND("(",E110)-1),"")</f>
      </c>
      <c r="B110" s="46" t="s">
        <v>1178</v>
      </c>
      <c r="C110" s="46">
        <v>174</v>
      </c>
      <c r="D110" s="46" t="s">
        <v>1317</v>
      </c>
      <c r="E110" s="46" t="s">
        <v>1319</v>
      </c>
      <c r="F110" s="46" t="s">
        <v>24</v>
      </c>
      <c r="G110" s="47">
        <v>0.37</v>
      </c>
      <c r="H110" s="48">
        <v>1.54</v>
      </c>
      <c r="I110" s="48">
        <v>6.16</v>
      </c>
      <c r="J110" s="49">
        <v>4</v>
      </c>
      <c r="K110" s="49">
        <v>0</v>
      </c>
      <c r="L110" s="49">
        <v>4</v>
      </c>
    </row>
    <row r="111" spans="1:12" x14ac:dyDescent="0.25">
      <c r="A111" s="45">
        <f>C111&amp;"."&amp;IFERROR(MID(E111,FIND("(",E111)+1,FIND(")",E111)-FIND("(",E111)-1),"")</f>
      </c>
      <c r="B111" s="46" t="s">
        <v>1178</v>
      </c>
      <c r="C111" s="46">
        <v>178</v>
      </c>
      <c r="D111" s="46" t="s">
        <v>1320</v>
      </c>
      <c r="E111" s="46" t="s">
        <v>1321</v>
      </c>
      <c r="F111" s="46" t="s">
        <v>24</v>
      </c>
      <c r="G111" s="47">
        <v>0.37</v>
      </c>
      <c r="H111" s="48">
        <v>1.54</v>
      </c>
      <c r="I111" s="48">
        <v>1.54</v>
      </c>
      <c r="J111" s="49">
        <v>1</v>
      </c>
      <c r="K111" s="49">
        <v>0</v>
      </c>
      <c r="L111" s="49">
        <v>1</v>
      </c>
    </row>
    <row r="112" spans="1:12" x14ac:dyDescent="0.25">
      <c r="A112" s="45">
        <f>C112&amp;"."&amp;IFERROR(MID(E112,FIND("(",E112)+1,FIND(")",E112)-FIND("(",E112)-1),"")</f>
      </c>
      <c r="B112" s="46" t="s">
        <v>1178</v>
      </c>
      <c r="C112" s="46">
        <v>178</v>
      </c>
      <c r="D112" s="46" t="s">
        <v>1320</v>
      </c>
      <c r="E112" s="46" t="s">
        <v>1322</v>
      </c>
      <c r="F112" s="46" t="s">
        <v>24</v>
      </c>
      <c r="G112" s="47">
        <v>0.37</v>
      </c>
      <c r="H112" s="48">
        <v>1.003</v>
      </c>
      <c r="I112" s="48">
        <v>16.043</v>
      </c>
      <c r="J112" s="49">
        <v>16</v>
      </c>
      <c r="K112" s="49">
        <v>0</v>
      </c>
      <c r="L112" s="49">
        <v>16</v>
      </c>
    </row>
    <row r="113" spans="1:12" x14ac:dyDescent="0.25">
      <c r="A113" s="45">
        <f>C113&amp;"."&amp;IFERROR(MID(E113,FIND("(",E113)+1,FIND(")",E113)-FIND("(",E113)-1),"")</f>
      </c>
      <c r="B113" s="46" t="s">
        <v>1178</v>
      </c>
      <c r="C113" s="46">
        <v>179</v>
      </c>
      <c r="D113" s="46" t="s">
        <v>1323</v>
      </c>
      <c r="E113" s="46" t="s">
        <v>1324</v>
      </c>
      <c r="F113" s="46" t="s">
        <v>25</v>
      </c>
      <c r="G113" s="47">
        <v>26.01</v>
      </c>
      <c r="H113" s="48">
        <v>57.973</v>
      </c>
      <c r="I113" s="48">
        <v>57.973</v>
      </c>
      <c r="J113" s="49">
        <v>1</v>
      </c>
      <c r="K113" s="49">
        <v>0</v>
      </c>
      <c r="L113" s="49">
        <v>1</v>
      </c>
    </row>
    <row r="114" spans="1:12" x14ac:dyDescent="0.25">
      <c r="A114" s="45">
        <f>C114&amp;"."&amp;IFERROR(MID(E114,FIND("(",E114)+1,FIND(")",E114)-FIND("(",E114)-1),"")</f>
      </c>
      <c r="B114" s="46" t="s">
        <v>1178</v>
      </c>
      <c r="C114" s="46">
        <v>183</v>
      </c>
      <c r="D114" s="46" t="s">
        <v>1325</v>
      </c>
      <c r="E114" s="46" t="s">
        <v>1326</v>
      </c>
      <c r="F114" s="46" t="s">
        <v>24</v>
      </c>
      <c r="G114" s="47">
        <v>0</v>
      </c>
      <c r="H114" s="48">
        <v>2.832</v>
      </c>
      <c r="I114" s="48">
        <v>2.832</v>
      </c>
      <c r="J114" s="49">
        <v>1</v>
      </c>
      <c r="K114" s="49">
        <v>0</v>
      </c>
      <c r="L114" s="49">
        <v>1</v>
      </c>
    </row>
    <row r="115" spans="1:12" x14ac:dyDescent="0.25">
      <c r="A115" s="45">
        <f>C115&amp;"."&amp;IFERROR(MID(E115,FIND("(",E115)+1,FIND(")",E115)-FIND("(",E115)-1),"")</f>
      </c>
      <c r="B115" s="46" t="s">
        <v>1178</v>
      </c>
      <c r="C115" s="46">
        <v>183</v>
      </c>
      <c r="D115" s="46" t="s">
        <v>1325</v>
      </c>
      <c r="E115" s="46" t="s">
        <v>1327</v>
      </c>
      <c r="F115" s="46" t="s">
        <v>24</v>
      </c>
      <c r="G115" s="47">
        <v>0</v>
      </c>
      <c r="H115" s="48">
        <v>2.892</v>
      </c>
      <c r="I115" s="48">
        <v>8.676</v>
      </c>
      <c r="J115" s="49">
        <v>3</v>
      </c>
      <c r="K115" s="49">
        <v>0</v>
      </c>
      <c r="L115" s="49">
        <v>3</v>
      </c>
    </row>
    <row r="116" spans="1:12" x14ac:dyDescent="0.25">
      <c r="A116" s="45">
        <f>C116&amp;"."&amp;IFERROR(MID(E116,FIND("(",E116)+1,FIND(")",E116)-FIND("(",E116)-1),"")</f>
      </c>
      <c r="B116" s="46" t="s">
        <v>1178</v>
      </c>
      <c r="C116" s="46">
        <v>183</v>
      </c>
      <c r="D116" s="46" t="s">
        <v>1325</v>
      </c>
      <c r="E116" s="46" t="s">
        <v>1328</v>
      </c>
      <c r="F116" s="46" t="s">
        <v>24</v>
      </c>
      <c r="G116" s="47">
        <v>0</v>
      </c>
      <c r="H116" s="48">
        <v>2.941</v>
      </c>
      <c r="I116" s="48">
        <v>5.881</v>
      </c>
      <c r="J116" s="49">
        <v>2</v>
      </c>
      <c r="K116" s="49">
        <v>0</v>
      </c>
      <c r="L116" s="49">
        <v>2</v>
      </c>
    </row>
    <row r="117" spans="1:12" x14ac:dyDescent="0.25">
      <c r="A117" s="45">
        <f>C117&amp;"."&amp;IFERROR(MID(E117,FIND("(",E117)+1,FIND(")",E117)-FIND("(",E117)-1),"")</f>
      </c>
      <c r="B117" s="46" t="s">
        <v>1178</v>
      </c>
      <c r="C117" s="46">
        <v>184</v>
      </c>
      <c r="D117" s="46" t="s">
        <v>469</v>
      </c>
      <c r="E117" s="46" t="s">
        <v>1329</v>
      </c>
      <c r="F117" s="46" t="s">
        <v>26</v>
      </c>
      <c r="G117" s="47">
        <v>48.25</v>
      </c>
      <c r="H117" s="48">
        <v>146.738</v>
      </c>
      <c r="I117" s="48">
        <v>10271.683</v>
      </c>
      <c r="J117" s="49">
        <v>70</v>
      </c>
      <c r="K117" s="49">
        <v>70</v>
      </c>
      <c r="L117" s="49">
        <v>0</v>
      </c>
    </row>
    <row r="118" spans="1:12" x14ac:dyDescent="0.25">
      <c r="A118" s="45">
        <f>C118&amp;"."&amp;IFERROR(MID(E118,FIND("(",E118)+1,FIND(")",E118)-FIND("(",E118)-1),"")</f>
      </c>
      <c r="B118" s="46" t="s">
        <v>1178</v>
      </c>
      <c r="C118" s="46">
        <v>184</v>
      </c>
      <c r="D118" s="46" t="s">
        <v>469</v>
      </c>
      <c r="E118" s="46" t="s">
        <v>1330</v>
      </c>
      <c r="F118" s="46" t="s">
        <v>26</v>
      </c>
      <c r="G118" s="47">
        <v>48.25</v>
      </c>
      <c r="H118" s="48">
        <v>148.123</v>
      </c>
      <c r="I118" s="48">
        <v>75690.916</v>
      </c>
      <c r="J118" s="49">
        <v>511</v>
      </c>
      <c r="K118" s="49">
        <v>511</v>
      </c>
      <c r="L118" s="49">
        <v>0</v>
      </c>
    </row>
    <row r="119" spans="1:12" x14ac:dyDescent="0.25">
      <c r="A119" s="45">
        <f>C119&amp;"."&amp;IFERROR(MID(E119,FIND("(",E119)+1,FIND(")",E119)-FIND("(",E119)-1),"")</f>
      </c>
      <c r="B119" s="46" t="s">
        <v>1178</v>
      </c>
      <c r="C119" s="46">
        <v>185</v>
      </c>
      <c r="D119" s="46" t="s">
        <v>386</v>
      </c>
      <c r="E119" s="46" t="s">
        <v>1331</v>
      </c>
      <c r="F119" s="46" t="s">
        <v>26</v>
      </c>
      <c r="G119" s="47">
        <v>28.8</v>
      </c>
      <c r="H119" s="48">
        <v>104.697</v>
      </c>
      <c r="I119" s="48">
        <v>33502.93</v>
      </c>
      <c r="J119" s="49">
        <v>320</v>
      </c>
      <c r="K119" s="49">
        <v>312</v>
      </c>
      <c r="L119" s="49">
        <v>8</v>
      </c>
    </row>
    <row r="120" spans="1:12" x14ac:dyDescent="0.25">
      <c r="A120" s="45">
        <f>C120&amp;"."&amp;IFERROR(MID(E120,FIND("(",E120)+1,FIND(")",E120)-FIND("(",E120)-1),"")</f>
      </c>
      <c r="B120" s="46" t="s">
        <v>1178</v>
      </c>
      <c r="C120" s="46">
        <v>185</v>
      </c>
      <c r="D120" s="46" t="s">
        <v>386</v>
      </c>
      <c r="E120" s="46" t="s">
        <v>1332</v>
      </c>
      <c r="F120" s="46" t="s">
        <v>26</v>
      </c>
      <c r="G120" s="47">
        <v>28.8</v>
      </c>
      <c r="H120" s="48">
        <v>109.39</v>
      </c>
      <c r="I120" s="48">
        <v>8532.441</v>
      </c>
      <c r="J120" s="49">
        <v>78</v>
      </c>
      <c r="K120" s="49">
        <v>70</v>
      </c>
      <c r="L120" s="49">
        <v>8</v>
      </c>
    </row>
    <row r="121" spans="1:12" x14ac:dyDescent="0.25">
      <c r="A121" s="45">
        <f>C121&amp;"."&amp;IFERROR(MID(E121,FIND("(",E121)+1,FIND(")",E121)-FIND("(",E121)-1),"")</f>
      </c>
      <c r="B121" s="46" t="s">
        <v>1178</v>
      </c>
      <c r="C121" s="46">
        <v>185</v>
      </c>
      <c r="D121" s="46" t="s">
        <v>386</v>
      </c>
      <c r="E121" s="46" t="s">
        <v>1333</v>
      </c>
      <c r="F121" s="46" t="s">
        <v>26</v>
      </c>
      <c r="G121" s="47">
        <v>28.8</v>
      </c>
      <c r="H121" s="48">
        <v>103.122</v>
      </c>
      <c r="I121" s="48">
        <v>20830.592</v>
      </c>
      <c r="J121" s="49">
        <v>202</v>
      </c>
      <c r="K121" s="49">
        <v>199</v>
      </c>
      <c r="L121" s="49">
        <v>3</v>
      </c>
    </row>
    <row r="122" spans="1:12" x14ac:dyDescent="0.25">
      <c r="A122" s="45">
        <f>C122&amp;"."&amp;IFERROR(MID(E122,FIND("(",E122)+1,FIND(")",E122)-FIND("(",E122)-1),"")</f>
      </c>
      <c r="B122" s="46" t="s">
        <v>1178</v>
      </c>
      <c r="C122" s="46">
        <v>186</v>
      </c>
      <c r="D122" s="46" t="s">
        <v>1334</v>
      </c>
      <c r="E122" s="46" t="s">
        <v>1335</v>
      </c>
      <c r="F122" s="46" t="s">
        <v>26</v>
      </c>
      <c r="G122" s="47">
        <v>0.28</v>
      </c>
      <c r="H122" s="48">
        <v>6.38</v>
      </c>
      <c r="I122" s="48">
        <v>51.04</v>
      </c>
      <c r="J122" s="49">
        <v>8</v>
      </c>
      <c r="K122" s="49">
        <v>0</v>
      </c>
      <c r="L122" s="49">
        <v>8</v>
      </c>
    </row>
    <row r="123" spans="1:12" x14ac:dyDescent="0.25">
      <c r="A123" s="45">
        <f>C123&amp;"."&amp;IFERROR(MID(E123,FIND("(",E123)+1,FIND(")",E123)-FIND("(",E123)-1),"")</f>
      </c>
      <c r="B123" s="46" t="s">
        <v>1178</v>
      </c>
      <c r="C123" s="46">
        <v>187</v>
      </c>
      <c r="D123" s="46" t="s">
        <v>376</v>
      </c>
      <c r="E123" s="46" t="s">
        <v>1336</v>
      </c>
      <c r="F123" s="46" t="s">
        <v>23</v>
      </c>
      <c r="G123" s="47">
        <v>0.56</v>
      </c>
      <c r="H123" s="48">
        <v>4.714</v>
      </c>
      <c r="I123" s="48">
        <v>11864.206</v>
      </c>
      <c r="J123" s="49">
        <v>2517</v>
      </c>
      <c r="K123" s="49">
        <v>877</v>
      </c>
      <c r="L123" s="49">
        <v>1640</v>
      </c>
    </row>
    <row r="124" spans="1:12" x14ac:dyDescent="0.25">
      <c r="A124" s="45">
        <f>C124&amp;"."&amp;IFERROR(MID(E124,FIND("(",E124)+1,FIND(")",E124)-FIND("(",E124)-1),"")</f>
      </c>
      <c r="B124" s="46" t="s">
        <v>1178</v>
      </c>
      <c r="C124" s="46">
        <v>187</v>
      </c>
      <c r="D124" s="46" t="s">
        <v>376</v>
      </c>
      <c r="E124" s="46" t="s">
        <v>1337</v>
      </c>
      <c r="F124" s="46" t="s">
        <v>23</v>
      </c>
      <c r="G124" s="47">
        <v>0.56</v>
      </c>
      <c r="H124" s="48">
        <v>5.385</v>
      </c>
      <c r="I124" s="48">
        <v>263.869</v>
      </c>
      <c r="J124" s="49">
        <v>49</v>
      </c>
      <c r="K124" s="49">
        <v>0</v>
      </c>
      <c r="L124" s="49">
        <v>49</v>
      </c>
    </row>
    <row r="125" spans="1:12" x14ac:dyDescent="0.25">
      <c r="A125" s="45">
        <f>C125&amp;"."&amp;IFERROR(MID(E125,FIND("(",E125)+1,FIND(")",E125)-FIND("(",E125)-1),"")</f>
      </c>
      <c r="B125" s="46" t="s">
        <v>1178</v>
      </c>
      <c r="C125" s="46">
        <v>187</v>
      </c>
      <c r="D125" s="46" t="s">
        <v>376</v>
      </c>
      <c r="E125" s="46" t="s">
        <v>1338</v>
      </c>
      <c r="F125" s="46" t="s">
        <v>23</v>
      </c>
      <c r="G125" s="47">
        <v>0.56</v>
      </c>
      <c r="H125" s="48">
        <v>4.95</v>
      </c>
      <c r="I125" s="48">
        <v>3964.825</v>
      </c>
      <c r="J125" s="49">
        <v>801</v>
      </c>
      <c r="K125" s="49">
        <v>191</v>
      </c>
      <c r="L125" s="49">
        <v>610</v>
      </c>
    </row>
    <row r="126" spans="1:12" x14ac:dyDescent="0.25">
      <c r="A126" s="45">
        <f>C126&amp;"."&amp;IFERROR(MID(E126,FIND("(",E126)+1,FIND(")",E126)-FIND("(",E126)-1),"")</f>
      </c>
      <c r="B126" s="46" t="s">
        <v>1178</v>
      </c>
      <c r="C126" s="46">
        <v>188</v>
      </c>
      <c r="D126" s="46" t="s">
        <v>1339</v>
      </c>
      <c r="E126" s="46" t="s">
        <v>1248</v>
      </c>
      <c r="F126" s="46" t="s">
        <v>24</v>
      </c>
      <c r="G126" s="47">
        <v>0.41</v>
      </c>
      <c r="H126" s="48">
        <v>1.53</v>
      </c>
      <c r="I126" s="48">
        <v>1.53</v>
      </c>
      <c r="J126" s="49">
        <v>1</v>
      </c>
      <c r="K126" s="49">
        <v>0</v>
      </c>
      <c r="L126" s="49">
        <v>1</v>
      </c>
    </row>
    <row r="127" spans="1:12" x14ac:dyDescent="0.25">
      <c r="A127" s="45">
        <f>C127&amp;"."&amp;IFERROR(MID(E127,FIND("(",E127)+1,FIND(")",E127)-FIND("(",E127)-1),"")</f>
      </c>
      <c r="B127" s="46" t="s">
        <v>1178</v>
      </c>
      <c r="C127" s="46">
        <v>190</v>
      </c>
      <c r="D127" s="46" t="s">
        <v>1340</v>
      </c>
      <c r="E127" s="46" t="s">
        <v>1341</v>
      </c>
      <c r="F127" s="46" t="s">
        <v>24</v>
      </c>
      <c r="G127" s="47">
        <v>0.32</v>
      </c>
      <c r="H127" s="48">
        <v>1.26</v>
      </c>
      <c r="I127" s="48">
        <v>10.08</v>
      </c>
      <c r="J127" s="49">
        <v>8</v>
      </c>
      <c r="K127" s="49">
        <v>0</v>
      </c>
      <c r="L127" s="49">
        <v>8</v>
      </c>
    </row>
    <row r="128" spans="1:12" x14ac:dyDescent="0.25">
      <c r="A128" s="45">
        <f>C128&amp;"."&amp;IFERROR(MID(E128,FIND("(",E128)+1,FIND(")",E128)-FIND("(",E128)-1),"")</f>
      </c>
      <c r="B128" s="46" t="s">
        <v>1178</v>
      </c>
      <c r="C128" s="46">
        <v>192</v>
      </c>
      <c r="D128" s="46" t="s">
        <v>1342</v>
      </c>
      <c r="E128" s="46" t="s">
        <v>1343</v>
      </c>
      <c r="F128" s="46" t="s">
        <v>26</v>
      </c>
      <c r="G128" s="47">
        <v>0.91</v>
      </c>
      <c r="H128" s="48">
        <v>2.558</v>
      </c>
      <c r="I128" s="48">
        <v>10.231</v>
      </c>
      <c r="J128" s="49">
        <v>4</v>
      </c>
      <c r="K128" s="49">
        <v>2</v>
      </c>
      <c r="L128" s="49">
        <v>2</v>
      </c>
    </row>
    <row r="129" spans="1:12" x14ac:dyDescent="0.25">
      <c r="A129" s="45">
        <f>C129&amp;"."&amp;IFERROR(MID(E129,FIND("(",E129)+1,FIND(")",E129)-FIND("(",E129)-1),"")</f>
      </c>
      <c r="B129" s="46" t="s">
        <v>1178</v>
      </c>
      <c r="C129" s="46">
        <v>192</v>
      </c>
      <c r="D129" s="46" t="s">
        <v>1342</v>
      </c>
      <c r="E129" s="46" t="s">
        <v>1344</v>
      </c>
      <c r="F129" s="46" t="s">
        <v>26</v>
      </c>
      <c r="G129" s="47">
        <v>0.91</v>
      </c>
      <c r="H129" s="48">
        <v>2.614</v>
      </c>
      <c r="I129" s="48">
        <v>5.229</v>
      </c>
      <c r="J129" s="49">
        <v>2</v>
      </c>
      <c r="K129" s="49">
        <v>0</v>
      </c>
      <c r="L129" s="49">
        <v>2</v>
      </c>
    </row>
    <row r="130" spans="1:12" x14ac:dyDescent="0.25">
      <c r="A130" s="45">
        <f>C130&amp;"."&amp;IFERROR(MID(E130,FIND("(",E130)+1,FIND(")",E130)-FIND("(",E130)-1),"")</f>
      </c>
      <c r="B130" s="46" t="s">
        <v>1178</v>
      </c>
      <c r="C130" s="46">
        <v>192</v>
      </c>
      <c r="D130" s="46" t="s">
        <v>1342</v>
      </c>
      <c r="E130" s="46" t="s">
        <v>1345</v>
      </c>
      <c r="F130" s="46" t="s">
        <v>26</v>
      </c>
      <c r="G130" s="47">
        <v>0.91</v>
      </c>
      <c r="H130" s="48">
        <v>2.37</v>
      </c>
      <c r="I130" s="48">
        <v>9.48</v>
      </c>
      <c r="J130" s="49">
        <v>4</v>
      </c>
      <c r="K130" s="49">
        <v>0</v>
      </c>
      <c r="L130" s="49">
        <v>4</v>
      </c>
    </row>
    <row r="131" spans="1:12" x14ac:dyDescent="0.25">
      <c r="A131" s="45">
        <f>C131&amp;"."&amp;IFERROR(MID(E131,FIND("(",E131)+1,FIND(")",E131)-FIND("(",E131)-1),"")</f>
      </c>
      <c r="B131" s="46" t="s">
        <v>1178</v>
      </c>
      <c r="C131" s="46">
        <v>194</v>
      </c>
      <c r="D131" s="46" t="s">
        <v>1346</v>
      </c>
      <c r="E131" s="46" t="s">
        <v>1347</v>
      </c>
      <c r="F131" s="46" t="s">
        <v>26</v>
      </c>
      <c r="G131" s="47">
        <v>1.28</v>
      </c>
      <c r="H131" s="48">
        <v>9.173</v>
      </c>
      <c r="I131" s="48">
        <v>376.089</v>
      </c>
      <c r="J131" s="49">
        <v>41</v>
      </c>
      <c r="K131" s="49">
        <v>2</v>
      </c>
      <c r="L131" s="49">
        <v>39</v>
      </c>
    </row>
    <row r="132" spans="1:12" x14ac:dyDescent="0.25">
      <c r="A132" s="45">
        <f>C132&amp;"."&amp;IFERROR(MID(E132,FIND("(",E132)+1,FIND(")",E132)-FIND("(",E132)-1),"")</f>
      </c>
      <c r="B132" s="46" t="s">
        <v>1178</v>
      </c>
      <c r="C132" s="46">
        <v>194</v>
      </c>
      <c r="D132" s="46" t="s">
        <v>1346</v>
      </c>
      <c r="E132" s="46" t="s">
        <v>1348</v>
      </c>
      <c r="F132" s="46" t="s">
        <v>26</v>
      </c>
      <c r="G132" s="47">
        <v>1.28</v>
      </c>
      <c r="H132" s="48">
        <v>11.615</v>
      </c>
      <c r="I132" s="48">
        <v>104.531</v>
      </c>
      <c r="J132" s="49">
        <v>9</v>
      </c>
      <c r="K132" s="49">
        <v>2</v>
      </c>
      <c r="L132" s="49">
        <v>7</v>
      </c>
    </row>
    <row r="133" spans="1:12" x14ac:dyDescent="0.25">
      <c r="A133" s="45">
        <f>C133&amp;"."&amp;IFERROR(MID(E133,FIND("(",E133)+1,FIND(")",E133)-FIND("(",E133)-1),"")</f>
      </c>
      <c r="B133" s="46" t="s">
        <v>1178</v>
      </c>
      <c r="C133" s="46">
        <v>194</v>
      </c>
      <c r="D133" s="46" t="s">
        <v>1346</v>
      </c>
      <c r="E133" s="46" t="s">
        <v>1349</v>
      </c>
      <c r="F133" s="46" t="s">
        <v>26</v>
      </c>
      <c r="G133" s="47">
        <v>1.28</v>
      </c>
      <c r="H133" s="48">
        <v>12.754</v>
      </c>
      <c r="I133" s="48">
        <v>51.018</v>
      </c>
      <c r="J133" s="49">
        <v>4</v>
      </c>
      <c r="K133" s="49">
        <v>0</v>
      </c>
      <c r="L133" s="49">
        <v>4</v>
      </c>
    </row>
    <row r="134" spans="1:12" x14ac:dyDescent="0.25">
      <c r="A134" s="45">
        <f>C134&amp;"."&amp;IFERROR(MID(E134,FIND("(",E134)+1,FIND(")",E134)-FIND("(",E134)-1),"")</f>
      </c>
      <c r="B134" s="46" t="s">
        <v>1178</v>
      </c>
      <c r="C134" s="46">
        <v>195</v>
      </c>
      <c r="D134" s="46" t="s">
        <v>1350</v>
      </c>
      <c r="E134" s="46" t="s">
        <v>1351</v>
      </c>
      <c r="F134" s="46" t="s">
        <v>26</v>
      </c>
      <c r="G134" s="47">
        <v>1.03</v>
      </c>
      <c r="H134" s="48">
        <v>4.664</v>
      </c>
      <c r="I134" s="48">
        <v>23.321</v>
      </c>
      <c r="J134" s="49">
        <v>5</v>
      </c>
      <c r="K134" s="49">
        <v>1</v>
      </c>
      <c r="L134" s="49">
        <v>4</v>
      </c>
    </row>
    <row r="135" spans="1:12" x14ac:dyDescent="0.25">
      <c r="A135" s="45">
        <f>C135&amp;"."&amp;IFERROR(MID(E135,FIND("(",E135)+1,FIND(")",E135)-FIND("(",E135)-1),"")</f>
      </c>
      <c r="B135" s="46" t="s">
        <v>1178</v>
      </c>
      <c r="C135" s="46">
        <v>195</v>
      </c>
      <c r="D135" s="46" t="s">
        <v>1350</v>
      </c>
      <c r="E135" s="46" t="s">
        <v>1352</v>
      </c>
      <c r="F135" s="46" t="s">
        <v>26</v>
      </c>
      <c r="G135" s="47">
        <v>1.03</v>
      </c>
      <c r="H135" s="48">
        <v>5.283</v>
      </c>
      <c r="I135" s="48">
        <v>47.548</v>
      </c>
      <c r="J135" s="49">
        <v>9</v>
      </c>
      <c r="K135" s="49">
        <v>0</v>
      </c>
      <c r="L135" s="49">
        <v>9</v>
      </c>
    </row>
    <row r="136" spans="1:12" x14ac:dyDescent="0.25">
      <c r="A136" s="45">
        <f>C136&amp;"."&amp;IFERROR(MID(E136,FIND("(",E136)+1,FIND(")",E136)-FIND("(",E136)-1),"")</f>
      </c>
      <c r="B136" s="46" t="s">
        <v>1178</v>
      </c>
      <c r="C136" s="46">
        <v>198</v>
      </c>
      <c r="D136" s="46" t="s">
        <v>1353</v>
      </c>
      <c r="E136" s="46" t="s">
        <v>1354</v>
      </c>
      <c r="F136" s="46" t="s">
        <v>26</v>
      </c>
      <c r="G136" s="47">
        <v>4.44</v>
      </c>
      <c r="H136" s="48">
        <v>6.838</v>
      </c>
      <c r="I136" s="48">
        <v>20.515</v>
      </c>
      <c r="J136" s="49">
        <v>3</v>
      </c>
      <c r="K136" s="49">
        <v>0</v>
      </c>
      <c r="L136" s="49">
        <v>3</v>
      </c>
    </row>
    <row r="137" spans="1:12" x14ac:dyDescent="0.25">
      <c r="A137" s="45">
        <f>C137&amp;"."&amp;IFERROR(MID(E137,FIND("(",E137)+1,FIND(")",E137)-FIND("(",E137)-1),"")</f>
      </c>
      <c r="B137" s="46" t="s">
        <v>1178</v>
      </c>
      <c r="C137" s="46">
        <v>198</v>
      </c>
      <c r="D137" s="46" t="s">
        <v>1353</v>
      </c>
      <c r="E137" s="46" t="s">
        <v>1355</v>
      </c>
      <c r="F137" s="46" t="s">
        <v>26</v>
      </c>
      <c r="G137" s="47">
        <v>4.44</v>
      </c>
      <c r="H137" s="48">
        <v>11.76</v>
      </c>
      <c r="I137" s="48">
        <v>35.28</v>
      </c>
      <c r="J137" s="49">
        <v>3</v>
      </c>
      <c r="K137" s="49">
        <v>0</v>
      </c>
      <c r="L137" s="49">
        <v>3</v>
      </c>
    </row>
    <row r="138" spans="1:12" x14ac:dyDescent="0.25">
      <c r="A138" s="45">
        <f>C138&amp;"."&amp;IFERROR(MID(E138,FIND("(",E138)+1,FIND(")",E138)-FIND("(",E138)-1),"")</f>
      </c>
      <c r="B138" s="46" t="s">
        <v>1178</v>
      </c>
      <c r="C138" s="46">
        <v>198</v>
      </c>
      <c r="D138" s="46" t="s">
        <v>1353</v>
      </c>
      <c r="E138" s="46" t="s">
        <v>1356</v>
      </c>
      <c r="F138" s="46" t="s">
        <v>26</v>
      </c>
      <c r="G138" s="47">
        <v>4.44</v>
      </c>
      <c r="H138" s="48">
        <v>9.76</v>
      </c>
      <c r="I138" s="48">
        <v>97.598</v>
      </c>
      <c r="J138" s="49">
        <v>10</v>
      </c>
      <c r="K138" s="49">
        <v>0</v>
      </c>
      <c r="L138" s="49">
        <v>10</v>
      </c>
    </row>
    <row r="139" spans="1:12" x14ac:dyDescent="0.25">
      <c r="A139" s="45">
        <f>C139&amp;"."&amp;IFERROR(MID(E139,FIND("(",E139)+1,FIND(")",E139)-FIND("(",E139)-1),"")</f>
      </c>
      <c r="B139" s="46" t="s">
        <v>1178</v>
      </c>
      <c r="C139" s="46">
        <v>199</v>
      </c>
      <c r="D139" s="46" t="s">
        <v>1357</v>
      </c>
      <c r="E139" s="46" t="s">
        <v>1358</v>
      </c>
      <c r="F139" s="46" t="s">
        <v>26</v>
      </c>
      <c r="G139" s="47">
        <v>4.44</v>
      </c>
      <c r="H139" s="48">
        <v>9.828</v>
      </c>
      <c r="I139" s="48">
        <v>29.484</v>
      </c>
      <c r="J139" s="49">
        <v>3</v>
      </c>
      <c r="K139" s="49">
        <v>0</v>
      </c>
      <c r="L139" s="49">
        <v>3</v>
      </c>
    </row>
    <row r="140" spans="1:12" x14ac:dyDescent="0.25">
      <c r="A140" s="45">
        <f>C140&amp;"."&amp;IFERROR(MID(E140,FIND("(",E140)+1,FIND(")",E140)-FIND("(",E140)-1),"")</f>
      </c>
      <c r="B140" s="46" t="s">
        <v>1178</v>
      </c>
      <c r="C140" s="46">
        <v>199</v>
      </c>
      <c r="D140" s="46" t="s">
        <v>1357</v>
      </c>
      <c r="E140" s="46" t="s">
        <v>1359</v>
      </c>
      <c r="F140" s="46" t="s">
        <v>26</v>
      </c>
      <c r="G140" s="47">
        <v>4.44</v>
      </c>
      <c r="H140" s="48">
        <v>11.76</v>
      </c>
      <c r="I140" s="48">
        <v>11.76</v>
      </c>
      <c r="J140" s="49">
        <v>1</v>
      </c>
      <c r="K140" s="49">
        <v>0</v>
      </c>
      <c r="L140" s="49">
        <v>1</v>
      </c>
    </row>
    <row r="141" spans="1:12" x14ac:dyDescent="0.25">
      <c r="A141" s="45">
        <f>C141&amp;"."&amp;IFERROR(MID(E141,FIND("(",E141)+1,FIND(")",E141)-FIND("(",E141)-1),"")</f>
      </c>
      <c r="B141" s="46" t="s">
        <v>1178</v>
      </c>
      <c r="C141" s="46">
        <v>200</v>
      </c>
      <c r="D141" s="46" t="s">
        <v>1360</v>
      </c>
      <c r="E141" s="46" t="s">
        <v>1361</v>
      </c>
      <c r="F141" s="46" t="s">
        <v>24</v>
      </c>
      <c r="G141" s="47">
        <v>0.77</v>
      </c>
      <c r="H141" s="48">
        <v>4.17</v>
      </c>
      <c r="I141" s="48">
        <v>8.34</v>
      </c>
      <c r="J141" s="49">
        <v>2</v>
      </c>
      <c r="K141" s="49">
        <v>0</v>
      </c>
      <c r="L141" s="49">
        <v>2</v>
      </c>
    </row>
    <row r="142" spans="1:12" x14ac:dyDescent="0.25">
      <c r="A142" s="45">
        <f>C142&amp;"."&amp;IFERROR(MID(E142,FIND("(",E142)+1,FIND(")",E142)-FIND("(",E142)-1),"")</f>
      </c>
      <c r="B142" s="46" t="s">
        <v>1178</v>
      </c>
      <c r="C142" s="46">
        <v>200</v>
      </c>
      <c r="D142" s="46" t="s">
        <v>1360</v>
      </c>
      <c r="E142" s="46" t="s">
        <v>1362</v>
      </c>
      <c r="F142" s="46" t="s">
        <v>24</v>
      </c>
      <c r="G142" s="47">
        <v>0.77</v>
      </c>
      <c r="H142" s="48">
        <v>4.187</v>
      </c>
      <c r="I142" s="48">
        <v>54.431</v>
      </c>
      <c r="J142" s="49">
        <v>13</v>
      </c>
      <c r="K142" s="49">
        <v>0</v>
      </c>
      <c r="L142" s="49">
        <v>13</v>
      </c>
    </row>
    <row r="143" spans="1:12" x14ac:dyDescent="0.25">
      <c r="A143" s="45">
        <f>C143&amp;"."&amp;IFERROR(MID(E143,FIND("(",E143)+1,FIND(")",E143)-FIND("(",E143)-1),"")</f>
      </c>
      <c r="B143" s="46" t="s">
        <v>1178</v>
      </c>
      <c r="C143" s="46">
        <v>200</v>
      </c>
      <c r="D143" s="46" t="s">
        <v>1360</v>
      </c>
      <c r="E143" s="46" t="s">
        <v>1363</v>
      </c>
      <c r="F143" s="46" t="s">
        <v>24</v>
      </c>
      <c r="G143" s="47">
        <v>0.77</v>
      </c>
      <c r="H143" s="48">
        <v>4.194</v>
      </c>
      <c r="I143" s="48">
        <v>37.745</v>
      </c>
      <c r="J143" s="49">
        <v>9</v>
      </c>
      <c r="K143" s="49">
        <v>0</v>
      </c>
      <c r="L143" s="49">
        <v>9</v>
      </c>
    </row>
    <row r="144" spans="1:12" x14ac:dyDescent="0.25">
      <c r="A144" s="45">
        <f>C144&amp;"."&amp;IFERROR(MID(E144,FIND("(",E144)+1,FIND(")",E144)-FIND("(",E144)-1),"")</f>
      </c>
      <c r="B144" s="46" t="s">
        <v>1178</v>
      </c>
      <c r="C144" s="46">
        <v>201</v>
      </c>
      <c r="D144" s="46" t="s">
        <v>1364</v>
      </c>
      <c r="E144" s="46" t="s">
        <v>1365</v>
      </c>
      <c r="F144" s="46" t="s">
        <v>26</v>
      </c>
      <c r="G144" s="47">
        <v>4.44</v>
      </c>
      <c r="H144" s="48">
        <v>8.199</v>
      </c>
      <c r="I144" s="48">
        <v>24.598</v>
      </c>
      <c r="J144" s="49">
        <v>3</v>
      </c>
      <c r="K144" s="49">
        <v>1</v>
      </c>
      <c r="L144" s="49">
        <v>2</v>
      </c>
    </row>
    <row r="145" spans="1:12" x14ac:dyDescent="0.25">
      <c r="A145" s="45">
        <f>C145&amp;"."&amp;IFERROR(MID(E145,FIND("(",E145)+1,FIND(")",E145)-FIND("(",E145)-1),"")</f>
      </c>
      <c r="B145" s="46" t="s">
        <v>1178</v>
      </c>
      <c r="C145" s="46">
        <v>201</v>
      </c>
      <c r="D145" s="46" t="s">
        <v>1364</v>
      </c>
      <c r="E145" s="46" t="s">
        <v>1366</v>
      </c>
      <c r="F145" s="46" t="s">
        <v>26</v>
      </c>
      <c r="G145" s="47">
        <v>4.44</v>
      </c>
      <c r="H145" s="48">
        <v>12.9</v>
      </c>
      <c r="I145" s="48">
        <v>64.5</v>
      </c>
      <c r="J145" s="49">
        <v>5</v>
      </c>
      <c r="K145" s="49">
        <v>0</v>
      </c>
      <c r="L145" s="49">
        <v>5</v>
      </c>
    </row>
    <row r="146" spans="1:12" x14ac:dyDescent="0.25">
      <c r="A146" s="45">
        <f>C146&amp;"."&amp;IFERROR(MID(E146,FIND("(",E146)+1,FIND(")",E146)-FIND("(",E146)-1),"")</f>
      </c>
      <c r="B146" s="46" t="s">
        <v>1178</v>
      </c>
      <c r="C146" s="46">
        <v>206</v>
      </c>
      <c r="D146" s="46" t="s">
        <v>1367</v>
      </c>
      <c r="E146" s="46" t="s">
        <v>1368</v>
      </c>
      <c r="F146" s="46" t="s">
        <v>24</v>
      </c>
      <c r="G146" s="47">
        <v>0.41</v>
      </c>
      <c r="H146" s="48">
        <v>1.87</v>
      </c>
      <c r="I146" s="48">
        <v>1.87</v>
      </c>
      <c r="J146" s="49">
        <v>1</v>
      </c>
      <c r="K146" s="49">
        <v>0</v>
      </c>
      <c r="L146" s="49">
        <v>1</v>
      </c>
    </row>
    <row r="147" spans="1:12" x14ac:dyDescent="0.25">
      <c r="A147" s="45">
        <f>C147&amp;"."&amp;IFERROR(MID(E147,FIND("(",E147)+1,FIND(")",E147)-FIND("(",E147)-1),"")</f>
      </c>
      <c r="B147" s="46" t="s">
        <v>1178</v>
      </c>
      <c r="C147" s="46">
        <v>206</v>
      </c>
      <c r="D147" s="46" t="s">
        <v>1367</v>
      </c>
      <c r="E147" s="46" t="s">
        <v>1369</v>
      </c>
      <c r="F147" s="46" t="s">
        <v>24</v>
      </c>
      <c r="G147" s="47">
        <v>0.41</v>
      </c>
      <c r="H147" s="48">
        <v>1.87</v>
      </c>
      <c r="I147" s="48">
        <v>16.83</v>
      </c>
      <c r="J147" s="49">
        <v>9</v>
      </c>
      <c r="K147" s="49">
        <v>0</v>
      </c>
      <c r="L147" s="49">
        <v>9</v>
      </c>
    </row>
    <row r="148" spans="1:12" x14ac:dyDescent="0.25">
      <c r="A148" s="45">
        <f>C148&amp;"."&amp;IFERROR(MID(E148,FIND("(",E148)+1,FIND(")",E148)-FIND("(",E148)-1),"")</f>
      </c>
      <c r="B148" s="46" t="s">
        <v>1178</v>
      </c>
      <c r="C148" s="46">
        <v>206</v>
      </c>
      <c r="D148" s="46" t="s">
        <v>1367</v>
      </c>
      <c r="E148" s="46" t="s">
        <v>1370</v>
      </c>
      <c r="F148" s="46" t="s">
        <v>24</v>
      </c>
      <c r="G148" s="47">
        <v>0.41</v>
      </c>
      <c r="H148" s="48">
        <v>1.87</v>
      </c>
      <c r="I148" s="48">
        <v>5.61</v>
      </c>
      <c r="J148" s="49">
        <v>3</v>
      </c>
      <c r="K148" s="49">
        <v>1</v>
      </c>
      <c r="L148" s="49">
        <v>2</v>
      </c>
    </row>
    <row r="149" spans="1:12" x14ac:dyDescent="0.25">
      <c r="A149" s="45">
        <f>C149&amp;"."&amp;IFERROR(MID(E149,FIND("(",E149)+1,FIND(")",E149)-FIND("(",E149)-1),"")</f>
      </c>
      <c r="B149" s="46" t="s">
        <v>1178</v>
      </c>
      <c r="C149" s="46">
        <v>207</v>
      </c>
      <c r="D149" s="46" t="s">
        <v>1371</v>
      </c>
      <c r="E149" s="46" t="s">
        <v>1372</v>
      </c>
      <c r="F149" s="46" t="s">
        <v>24</v>
      </c>
      <c r="G149" s="47">
        <v>0.77</v>
      </c>
      <c r="H149" s="48">
        <v>4.17</v>
      </c>
      <c r="I149" s="48">
        <v>8.34</v>
      </c>
      <c r="J149" s="49">
        <v>2</v>
      </c>
      <c r="K149" s="49">
        <v>0</v>
      </c>
      <c r="L149" s="49">
        <v>2</v>
      </c>
    </row>
    <row r="150" spans="1:12" x14ac:dyDescent="0.25">
      <c r="A150" s="45">
        <f>C150&amp;"."&amp;IFERROR(MID(E150,FIND("(",E150)+1,FIND(")",E150)-FIND("(",E150)-1),"")</f>
      </c>
      <c r="B150" s="46" t="s">
        <v>1178</v>
      </c>
      <c r="C150" s="46">
        <v>207</v>
      </c>
      <c r="D150" s="46" t="s">
        <v>1371</v>
      </c>
      <c r="E150" s="46" t="s">
        <v>1373</v>
      </c>
      <c r="F150" s="46" t="s">
        <v>24</v>
      </c>
      <c r="G150" s="47">
        <v>0.77</v>
      </c>
      <c r="H150" s="48">
        <v>4.179</v>
      </c>
      <c r="I150" s="48">
        <v>58.511</v>
      </c>
      <c r="J150" s="49">
        <v>14</v>
      </c>
      <c r="K150" s="49">
        <v>1</v>
      </c>
      <c r="L150" s="49">
        <v>13</v>
      </c>
    </row>
    <row r="151" spans="1:12" x14ac:dyDescent="0.25">
      <c r="A151" s="45">
        <f>C151&amp;"."&amp;IFERROR(MID(E151,FIND("(",E151)+1,FIND(")",E151)-FIND("(",E151)-1),"")</f>
      </c>
      <c r="B151" s="46" t="s">
        <v>1178</v>
      </c>
      <c r="C151" s="46">
        <v>207</v>
      </c>
      <c r="D151" s="46" t="s">
        <v>1371</v>
      </c>
      <c r="E151" s="46" t="s">
        <v>1374</v>
      </c>
      <c r="F151" s="46" t="s">
        <v>24</v>
      </c>
      <c r="G151" s="47">
        <v>0.77</v>
      </c>
      <c r="H151" s="48">
        <v>4.065</v>
      </c>
      <c r="I151" s="48">
        <v>28.457</v>
      </c>
      <c r="J151" s="49">
        <v>7</v>
      </c>
      <c r="K151" s="49">
        <v>0</v>
      </c>
      <c r="L151" s="49">
        <v>7</v>
      </c>
    </row>
    <row r="152" spans="1:12" x14ac:dyDescent="0.25">
      <c r="A152" s="45">
        <f>C152&amp;"."&amp;IFERROR(MID(E152,FIND("(",E152)+1,FIND(")",E152)-FIND("(",E152)-1),"")</f>
      </c>
      <c r="B152" s="46" t="s">
        <v>1178</v>
      </c>
      <c r="C152" s="46">
        <v>208</v>
      </c>
      <c r="D152" s="46" t="s">
        <v>1375</v>
      </c>
      <c r="E152" s="46" t="s">
        <v>1376</v>
      </c>
      <c r="F152" s="46" t="s">
        <v>24</v>
      </c>
      <c r="G152" s="47">
        <v>0</v>
      </c>
      <c r="H152" s="48">
        <v>2.64</v>
      </c>
      <c r="I152" s="48">
        <v>2.64</v>
      </c>
      <c r="J152" s="49">
        <v>1</v>
      </c>
      <c r="K152" s="49">
        <v>0</v>
      </c>
      <c r="L152" s="49">
        <v>1</v>
      </c>
    </row>
    <row r="153" spans="1:12" x14ac:dyDescent="0.25">
      <c r="A153" s="45">
        <f>C153&amp;"."&amp;IFERROR(MID(E153,FIND("(",E153)+1,FIND(")",E153)-FIND("(",E153)-1),"")</f>
      </c>
      <c r="B153" s="46" t="s">
        <v>1178</v>
      </c>
      <c r="C153" s="46">
        <v>208</v>
      </c>
      <c r="D153" s="46" t="s">
        <v>1375</v>
      </c>
      <c r="E153" s="46" t="s">
        <v>1377</v>
      </c>
      <c r="F153" s="46" t="s">
        <v>24</v>
      </c>
      <c r="G153" s="47">
        <v>0</v>
      </c>
      <c r="H153" s="48">
        <v>2.807</v>
      </c>
      <c r="I153" s="48">
        <v>11.23</v>
      </c>
      <c r="J153" s="49">
        <v>4</v>
      </c>
      <c r="K153" s="49">
        <v>0</v>
      </c>
      <c r="L153" s="49">
        <v>4</v>
      </c>
    </row>
    <row r="154" spans="1:12" x14ac:dyDescent="0.25">
      <c r="A154" s="45">
        <f>C154&amp;"."&amp;IFERROR(MID(E154,FIND("(",E154)+1,FIND(")",E154)-FIND("(",E154)-1),"")</f>
      </c>
      <c r="B154" s="46" t="s">
        <v>1178</v>
      </c>
      <c r="C154" s="46">
        <v>208</v>
      </c>
      <c r="D154" s="46" t="s">
        <v>1375</v>
      </c>
      <c r="E154" s="46" t="s">
        <v>1378</v>
      </c>
      <c r="F154" s="46" t="s">
        <v>24</v>
      </c>
      <c r="G154" s="47">
        <v>0</v>
      </c>
      <c r="H154" s="48">
        <v>2.674</v>
      </c>
      <c r="I154" s="48">
        <v>5.349</v>
      </c>
      <c r="J154" s="49">
        <v>2</v>
      </c>
      <c r="K154" s="49">
        <v>0</v>
      </c>
      <c r="L154" s="49">
        <v>2</v>
      </c>
    </row>
    <row r="155" spans="1:12" x14ac:dyDescent="0.25">
      <c r="A155" s="45">
        <f>C155&amp;"."&amp;IFERROR(MID(E155,FIND("(",E155)+1,FIND(")",E155)-FIND("(",E155)-1),"")</f>
      </c>
      <c r="B155" s="46" t="s">
        <v>1178</v>
      </c>
      <c r="C155" s="46">
        <v>2084</v>
      </c>
      <c r="D155" s="46" t="s">
        <v>905</v>
      </c>
      <c r="E155" s="46" t="s">
        <v>1379</v>
      </c>
      <c r="F155" s="46" t="s">
        <v>26</v>
      </c>
      <c r="G155" s="47">
        <v>35.8</v>
      </c>
      <c r="H155" s="48">
        <v>162.19</v>
      </c>
      <c r="I155" s="48">
        <v>43142.455</v>
      </c>
      <c r="J155" s="49">
        <v>266</v>
      </c>
      <c r="K155" s="49">
        <v>66</v>
      </c>
      <c r="L155" s="49">
        <v>200</v>
      </c>
    </row>
    <row r="156" spans="1:12" x14ac:dyDescent="0.25">
      <c r="A156" s="45">
        <f>C156&amp;"."&amp;IFERROR(MID(E156,FIND("(",E156)+1,FIND(")",E156)-FIND("(",E156)-1),"")</f>
      </c>
      <c r="B156" s="46" t="s">
        <v>1178</v>
      </c>
      <c r="C156" s="46">
        <v>2084</v>
      </c>
      <c r="D156" s="46" t="s">
        <v>905</v>
      </c>
      <c r="E156" s="46" t="s">
        <v>1380</v>
      </c>
      <c r="F156" s="46" t="s">
        <v>26</v>
      </c>
      <c r="G156" s="47">
        <v>35.8</v>
      </c>
      <c r="H156" s="48">
        <v>156.95</v>
      </c>
      <c r="I156" s="48">
        <v>161658.082</v>
      </c>
      <c r="J156" s="49">
        <v>1030</v>
      </c>
      <c r="K156" s="49">
        <v>626</v>
      </c>
      <c r="L156" s="49">
        <v>404</v>
      </c>
    </row>
    <row r="157" spans="1:12" x14ac:dyDescent="0.25">
      <c r="A157" s="45">
        <f>C157&amp;"."&amp;IFERROR(MID(E157,FIND("(",E157)+1,FIND(")",E157)-FIND("(",E157)-1),"")</f>
      </c>
      <c r="B157" s="46" t="s">
        <v>1178</v>
      </c>
      <c r="C157" s="46">
        <v>2085</v>
      </c>
      <c r="D157" s="46" t="s">
        <v>244</v>
      </c>
      <c r="E157" s="46" t="s">
        <v>1381</v>
      </c>
      <c r="F157" s="46" t="s">
        <v>26</v>
      </c>
      <c r="G157" s="47">
        <v>41</v>
      </c>
      <c r="H157" s="48">
        <v>160.212</v>
      </c>
      <c r="I157" s="48">
        <v>139864.651</v>
      </c>
      <c r="J157" s="49">
        <v>873</v>
      </c>
      <c r="K157" s="49">
        <v>626</v>
      </c>
      <c r="L157" s="49">
        <v>247</v>
      </c>
    </row>
    <row r="158" spans="1:12" x14ac:dyDescent="0.25">
      <c r="A158" s="45">
        <f>C158&amp;"."&amp;IFERROR(MID(E158,FIND("(",E158)+1,FIND(")",E158)-FIND("(",E158)-1),"")</f>
      </c>
      <c r="B158" s="46" t="s">
        <v>1178</v>
      </c>
      <c r="C158" s="46">
        <v>2085</v>
      </c>
      <c r="D158" s="46" t="s">
        <v>244</v>
      </c>
      <c r="E158" s="46" t="s">
        <v>1382</v>
      </c>
      <c r="F158" s="46" t="s">
        <v>26</v>
      </c>
      <c r="G158" s="47">
        <v>41</v>
      </c>
      <c r="H158" s="48">
        <v>131.211</v>
      </c>
      <c r="I158" s="48">
        <v>29391.194</v>
      </c>
      <c r="J158" s="49">
        <v>224</v>
      </c>
      <c r="K158" s="49">
        <v>66</v>
      </c>
      <c r="L158" s="49">
        <v>158</v>
      </c>
    </row>
    <row r="159" spans="1:12" x14ac:dyDescent="0.25">
      <c r="A159" s="45">
        <f>C159&amp;"."&amp;IFERROR(MID(E159,FIND("(",E159)+1,FIND(")",E159)-FIND("(",E159)-1),"")</f>
      </c>
      <c r="B159" s="46" t="s">
        <v>1178</v>
      </c>
      <c r="C159" s="46">
        <v>2086</v>
      </c>
      <c r="D159" s="46" t="s">
        <v>307</v>
      </c>
      <c r="E159" s="46" t="s">
        <v>1383</v>
      </c>
      <c r="F159" s="46" t="s">
        <v>26</v>
      </c>
      <c r="G159" s="47">
        <v>36.5</v>
      </c>
      <c r="H159" s="48">
        <v>115.113</v>
      </c>
      <c r="I159" s="48">
        <v>25324.82</v>
      </c>
      <c r="J159" s="49">
        <v>220</v>
      </c>
      <c r="K159" s="49">
        <v>129</v>
      </c>
      <c r="L159" s="49">
        <v>91</v>
      </c>
    </row>
    <row r="160" spans="1:12" x14ac:dyDescent="0.25">
      <c r="A160" s="45">
        <f>C160&amp;"."&amp;IFERROR(MID(E160,FIND("(",E160)+1,FIND(")",E160)-FIND("(",E160)-1),"")</f>
      </c>
      <c r="B160" s="46" t="s">
        <v>1178</v>
      </c>
      <c r="C160" s="46">
        <v>2086</v>
      </c>
      <c r="D160" s="46" t="s">
        <v>307</v>
      </c>
      <c r="E160" s="46" t="s">
        <v>1384</v>
      </c>
      <c r="F160" s="46" t="s">
        <v>26</v>
      </c>
      <c r="G160" s="47">
        <v>36.5</v>
      </c>
      <c r="H160" s="48">
        <v>114.836</v>
      </c>
      <c r="I160" s="48">
        <v>36747.636</v>
      </c>
      <c r="J160" s="49">
        <v>320</v>
      </c>
      <c r="K160" s="49">
        <v>191</v>
      </c>
      <c r="L160" s="49">
        <v>129</v>
      </c>
    </row>
    <row r="161" spans="1:12" x14ac:dyDescent="0.25">
      <c r="A161" s="45">
        <f>C161&amp;"."&amp;IFERROR(MID(E161,FIND("(",E161)+1,FIND(")",E161)-FIND("(",E161)-1),"")</f>
      </c>
      <c r="B161" s="46" t="s">
        <v>1178</v>
      </c>
      <c r="C161" s="46">
        <v>2086</v>
      </c>
      <c r="D161" s="46" t="s">
        <v>307</v>
      </c>
      <c r="E161" s="46" t="s">
        <v>1385</v>
      </c>
      <c r="F161" s="46" t="s">
        <v>26</v>
      </c>
      <c r="G161" s="47">
        <v>36.5</v>
      </c>
      <c r="H161" s="48">
        <v>124.988</v>
      </c>
      <c r="I161" s="48">
        <v>55494.819</v>
      </c>
      <c r="J161" s="49">
        <v>444</v>
      </c>
      <c r="K161" s="49">
        <v>306</v>
      </c>
      <c r="L161" s="49">
        <v>138</v>
      </c>
    </row>
    <row r="162" spans="1:12" x14ac:dyDescent="0.25">
      <c r="A162" s="45">
        <f>C162&amp;"."&amp;IFERROR(MID(E162,FIND("(",E162)+1,FIND(")",E162)-FIND("(",E162)-1),"")</f>
      </c>
      <c r="B162" s="46" t="s">
        <v>1178</v>
      </c>
      <c r="C162" s="46">
        <v>2086</v>
      </c>
      <c r="D162" s="46" t="s">
        <v>307</v>
      </c>
      <c r="E162" s="46" t="s">
        <v>1386</v>
      </c>
      <c r="F162" s="46" t="s">
        <v>26</v>
      </c>
      <c r="G162" s="47">
        <v>36.5</v>
      </c>
      <c r="H162" s="48">
        <v>113.282</v>
      </c>
      <c r="I162" s="48">
        <v>30246.407</v>
      </c>
      <c r="J162" s="49">
        <v>267</v>
      </c>
      <c r="K162" s="49">
        <v>66</v>
      </c>
      <c r="L162" s="49">
        <v>201</v>
      </c>
    </row>
    <row r="163" spans="1:12" x14ac:dyDescent="0.25">
      <c r="A163" s="45">
        <f>C163&amp;"."&amp;IFERROR(MID(E163,FIND("(",E163)+1,FIND(")",E163)-FIND("(",E163)-1),"")</f>
      </c>
      <c r="B163" s="46" t="s">
        <v>1178</v>
      </c>
      <c r="C163" s="46">
        <v>210</v>
      </c>
      <c r="D163" s="46" t="s">
        <v>1387</v>
      </c>
      <c r="E163" s="46" t="s">
        <v>1248</v>
      </c>
      <c r="F163" s="46" t="s">
        <v>24</v>
      </c>
      <c r="G163" s="47">
        <v>0.26</v>
      </c>
      <c r="H163" s="48">
        <v>0.92</v>
      </c>
      <c r="I163" s="48">
        <v>5.52</v>
      </c>
      <c r="J163" s="49">
        <v>6</v>
      </c>
      <c r="K163" s="49">
        <v>0</v>
      </c>
      <c r="L163" s="49">
        <v>6</v>
      </c>
    </row>
    <row r="164" spans="1:12" x14ac:dyDescent="0.25">
      <c r="A164" s="45">
        <f>C164&amp;"."&amp;IFERROR(MID(E164,FIND("(",E164)+1,FIND(")",E164)-FIND("(",E164)-1),"")</f>
      </c>
      <c r="B164" s="46" t="s">
        <v>1178</v>
      </c>
      <c r="C164" s="46">
        <v>2102</v>
      </c>
      <c r="D164" s="46" t="s">
        <v>155</v>
      </c>
      <c r="E164" s="46" t="s">
        <v>1388</v>
      </c>
      <c r="F164" s="46" t="s">
        <v>26</v>
      </c>
      <c r="G164" s="47">
        <v>51.3</v>
      </c>
      <c r="H164" s="48">
        <v>226.845</v>
      </c>
      <c r="I164" s="48">
        <v>95728.728</v>
      </c>
      <c r="J164" s="49">
        <v>422</v>
      </c>
      <c r="K164" s="49">
        <v>151</v>
      </c>
      <c r="L164" s="49">
        <v>271</v>
      </c>
    </row>
    <row r="165" spans="1:12" x14ac:dyDescent="0.25">
      <c r="A165" s="45">
        <f>C165&amp;"."&amp;IFERROR(MID(E165,FIND("(",E165)+1,FIND(")",E165)-FIND("(",E165)-1),"")</f>
      </c>
      <c r="B165" s="46" t="s">
        <v>1178</v>
      </c>
      <c r="C165" s="46">
        <v>2102</v>
      </c>
      <c r="D165" s="46" t="s">
        <v>155</v>
      </c>
      <c r="E165" s="46" t="s">
        <v>1389</v>
      </c>
      <c r="F165" s="46" t="s">
        <v>26</v>
      </c>
      <c r="G165" s="47">
        <v>51.3</v>
      </c>
      <c r="H165" s="48">
        <v>212.853</v>
      </c>
      <c r="I165" s="48">
        <v>1064.266</v>
      </c>
      <c r="J165" s="49">
        <v>5</v>
      </c>
      <c r="K165" s="49">
        <v>0</v>
      </c>
      <c r="L165" s="49">
        <v>5</v>
      </c>
    </row>
    <row r="166" spans="1:12" x14ac:dyDescent="0.25">
      <c r="A166" s="45">
        <f>C166&amp;"."&amp;IFERROR(MID(E166,FIND("(",E166)+1,FIND(")",E166)-FIND("(",E166)-1),"")</f>
      </c>
      <c r="B166" s="46" t="s">
        <v>1178</v>
      </c>
      <c r="C166" s="46">
        <v>2103</v>
      </c>
      <c r="D166" s="46" t="s">
        <v>1028</v>
      </c>
      <c r="E166" s="46" t="s">
        <v>1390</v>
      </c>
      <c r="F166" s="46" t="s">
        <v>26</v>
      </c>
      <c r="G166" s="47">
        <v>35.05</v>
      </c>
      <c r="H166" s="48">
        <v>101.669</v>
      </c>
      <c r="I166" s="48">
        <v>44124.485</v>
      </c>
      <c r="J166" s="49">
        <v>434</v>
      </c>
      <c r="K166" s="49">
        <v>151</v>
      </c>
      <c r="L166" s="49">
        <v>283</v>
      </c>
    </row>
    <row r="167" spans="1:12" x14ac:dyDescent="0.25">
      <c r="A167" s="45">
        <f>C167&amp;"."&amp;IFERROR(MID(E167,FIND("(",E167)+1,FIND(")",E167)-FIND("(",E167)-1),"")</f>
      </c>
      <c r="B167" s="46" t="s">
        <v>1178</v>
      </c>
      <c r="C167" s="46">
        <v>2104</v>
      </c>
      <c r="D167" s="46" t="s">
        <v>1030</v>
      </c>
      <c r="E167" s="46" t="s">
        <v>1391</v>
      </c>
      <c r="F167" s="46" t="s">
        <v>26</v>
      </c>
      <c r="G167" s="47">
        <v>53</v>
      </c>
      <c r="H167" s="48">
        <v>156.459</v>
      </c>
      <c r="I167" s="48">
        <v>58828.63</v>
      </c>
      <c r="J167" s="49">
        <v>376</v>
      </c>
      <c r="K167" s="49">
        <v>151</v>
      </c>
      <c r="L167" s="49">
        <v>225</v>
      </c>
    </row>
    <row r="168" spans="1:12" x14ac:dyDescent="0.25">
      <c r="A168" s="45">
        <f>C168&amp;"."&amp;IFERROR(MID(E168,FIND("(",E168)+1,FIND(")",E168)-FIND("(",E168)-1),"")</f>
      </c>
      <c r="B168" s="46" t="s">
        <v>1178</v>
      </c>
      <c r="C168" s="46">
        <v>2104</v>
      </c>
      <c r="D168" s="46" t="s">
        <v>1030</v>
      </c>
      <c r="E168" s="46" t="s">
        <v>1392</v>
      </c>
      <c r="F168" s="46" t="s">
        <v>26</v>
      </c>
      <c r="G168" s="47">
        <v>53</v>
      </c>
      <c r="H168" s="48">
        <v>143.331</v>
      </c>
      <c r="I168" s="48">
        <v>1719.974</v>
      </c>
      <c r="J168" s="49">
        <v>12</v>
      </c>
      <c r="K168" s="49">
        <v>0</v>
      </c>
      <c r="L168" s="49">
        <v>12</v>
      </c>
    </row>
    <row r="169" spans="1:12" x14ac:dyDescent="0.25">
      <c r="A169" s="45">
        <f>C169&amp;"."&amp;IFERROR(MID(E169,FIND("(",E169)+1,FIND(")",E169)-FIND("(",E169)-1),"")</f>
      </c>
      <c r="B169" s="46" t="s">
        <v>1178</v>
      </c>
      <c r="C169" s="46">
        <v>2105</v>
      </c>
      <c r="D169" s="46" t="s">
        <v>261</v>
      </c>
      <c r="E169" s="46" t="s">
        <v>1393</v>
      </c>
      <c r="F169" s="46" t="s">
        <v>26</v>
      </c>
      <c r="G169" s="47">
        <v>50.65</v>
      </c>
      <c r="H169" s="48">
        <v>154.753</v>
      </c>
      <c r="I169" s="48">
        <v>51996.952</v>
      </c>
      <c r="J169" s="49">
        <v>336</v>
      </c>
      <c r="K169" s="49">
        <v>130</v>
      </c>
      <c r="L169" s="49">
        <v>206</v>
      </c>
    </row>
    <row r="170" spans="1:12" x14ac:dyDescent="0.25">
      <c r="A170" s="45">
        <f>C170&amp;"."&amp;IFERROR(MID(E170,FIND("(",E170)+1,FIND(")",E170)-FIND("(",E170)-1),"")</f>
      </c>
      <c r="B170" s="46" t="s">
        <v>1178</v>
      </c>
      <c r="C170" s="46">
        <v>2105</v>
      </c>
      <c r="D170" s="46" t="s">
        <v>261</v>
      </c>
      <c r="E170" s="46" t="s">
        <v>1394</v>
      </c>
      <c r="F170" s="46" t="s">
        <v>26</v>
      </c>
      <c r="G170" s="47">
        <v>50.65</v>
      </c>
      <c r="H170" s="48">
        <v>150.175</v>
      </c>
      <c r="I170" s="48">
        <v>12614.725</v>
      </c>
      <c r="J170" s="49">
        <v>84</v>
      </c>
      <c r="K170" s="49">
        <v>22</v>
      </c>
      <c r="L170" s="49">
        <v>62</v>
      </c>
    </row>
    <row r="171" spans="1:12" x14ac:dyDescent="0.25">
      <c r="A171" s="45">
        <f>C171&amp;"."&amp;IFERROR(MID(E171,FIND("(",E171)+1,FIND(")",E171)-FIND("(",E171)-1),"")</f>
      </c>
      <c r="B171" s="46" t="s">
        <v>1178</v>
      </c>
      <c r="C171" s="46">
        <v>2105</v>
      </c>
      <c r="D171" s="46" t="s">
        <v>261</v>
      </c>
      <c r="E171" s="46" t="s">
        <v>1395</v>
      </c>
      <c r="F171" s="46" t="s">
        <v>26</v>
      </c>
      <c r="G171" s="47">
        <v>50.65</v>
      </c>
      <c r="H171" s="48">
        <v>151.096</v>
      </c>
      <c r="I171" s="48">
        <v>1208.768</v>
      </c>
      <c r="J171" s="49">
        <v>8</v>
      </c>
      <c r="K171" s="49">
        <v>0</v>
      </c>
      <c r="L171" s="49">
        <v>8</v>
      </c>
    </row>
    <row r="172" spans="1:12" x14ac:dyDescent="0.25">
      <c r="A172" s="45">
        <f>C172&amp;"."&amp;IFERROR(MID(E172,FIND("(",E172)+1,FIND(")",E172)-FIND("(",E172)-1),"")</f>
      </c>
      <c r="B172" s="46" t="s">
        <v>1178</v>
      </c>
      <c r="C172" s="46">
        <v>2107</v>
      </c>
      <c r="D172" s="46" t="s">
        <v>913</v>
      </c>
      <c r="E172" s="46" t="s">
        <v>1396</v>
      </c>
      <c r="F172" s="46" t="s">
        <v>26</v>
      </c>
      <c r="G172" s="47">
        <v>52.3</v>
      </c>
      <c r="H172" s="48">
        <v>147.249</v>
      </c>
      <c r="I172" s="48">
        <v>2061.49</v>
      </c>
      <c r="J172" s="49">
        <v>14</v>
      </c>
      <c r="K172" s="49">
        <v>0</v>
      </c>
      <c r="L172" s="49">
        <v>14</v>
      </c>
    </row>
    <row r="173" spans="1:12" x14ac:dyDescent="0.25">
      <c r="A173" s="45">
        <f>C173&amp;"."&amp;IFERROR(MID(E173,FIND("(",E173)+1,FIND(")",E173)-FIND("(",E173)-1),"")</f>
      </c>
      <c r="B173" s="46" t="s">
        <v>1178</v>
      </c>
      <c r="C173" s="46">
        <v>2107</v>
      </c>
      <c r="D173" s="46" t="s">
        <v>913</v>
      </c>
      <c r="E173" s="46" t="s">
        <v>1397</v>
      </c>
      <c r="F173" s="46" t="s">
        <v>26</v>
      </c>
      <c r="G173" s="47">
        <v>52.3</v>
      </c>
      <c r="H173" s="48">
        <v>157.901</v>
      </c>
      <c r="I173" s="48">
        <v>78319.027</v>
      </c>
      <c r="J173" s="49">
        <v>496</v>
      </c>
      <c r="K173" s="49">
        <v>478</v>
      </c>
      <c r="L173" s="49">
        <v>18</v>
      </c>
    </row>
    <row r="174" spans="1:12" x14ac:dyDescent="0.25">
      <c r="A174" s="45">
        <f>C174&amp;"."&amp;IFERROR(MID(E174,FIND("(",E174)+1,FIND(")",E174)-FIND("(",E174)-1),"")</f>
      </c>
      <c r="B174" s="46" t="s">
        <v>1178</v>
      </c>
      <c r="C174" s="46">
        <v>2108</v>
      </c>
      <c r="D174" s="46" t="s">
        <v>321</v>
      </c>
      <c r="E174" s="46" t="s">
        <v>1398</v>
      </c>
      <c r="F174" s="46" t="s">
        <v>26</v>
      </c>
      <c r="G174" s="47">
        <v>49.8</v>
      </c>
      <c r="H174" s="48">
        <v>160.701</v>
      </c>
      <c r="I174" s="48">
        <v>76975.87</v>
      </c>
      <c r="J174" s="49">
        <v>479</v>
      </c>
      <c r="K174" s="49">
        <v>479</v>
      </c>
      <c r="L174" s="49">
        <v>0</v>
      </c>
    </row>
    <row r="175" spans="1:12" x14ac:dyDescent="0.25">
      <c r="A175" s="45">
        <f>C175&amp;"."&amp;IFERROR(MID(E175,FIND("(",E175)+1,FIND(")",E175)-FIND("(",E175)-1),"")</f>
      </c>
      <c r="B175" s="46" t="s">
        <v>1178</v>
      </c>
      <c r="C175" s="46">
        <v>2109</v>
      </c>
      <c r="D175" s="46" t="s">
        <v>160</v>
      </c>
      <c r="E175" s="46" t="s">
        <v>1399</v>
      </c>
      <c r="F175" s="46" t="s">
        <v>26</v>
      </c>
      <c r="G175" s="47">
        <v>45.3</v>
      </c>
      <c r="H175" s="48">
        <v>167.145</v>
      </c>
      <c r="I175" s="48">
        <v>81566.537</v>
      </c>
      <c r="J175" s="49">
        <v>488</v>
      </c>
      <c r="K175" s="49">
        <v>478</v>
      </c>
      <c r="L175" s="49">
        <v>10</v>
      </c>
    </row>
    <row r="176" spans="1:12" x14ac:dyDescent="0.25">
      <c r="A176" s="45">
        <f>C176&amp;"."&amp;IFERROR(MID(E176,FIND("(",E176)+1,FIND(")",E176)-FIND("(",E176)-1),"")</f>
      </c>
      <c r="B176" s="46" t="s">
        <v>1178</v>
      </c>
      <c r="C176" s="46">
        <v>2109</v>
      </c>
      <c r="D176" s="46" t="s">
        <v>160</v>
      </c>
      <c r="E176" s="46" t="s">
        <v>1400</v>
      </c>
      <c r="F176" s="46" t="s">
        <v>26</v>
      </c>
      <c r="G176" s="47">
        <v>45.3</v>
      </c>
      <c r="H176" s="48">
        <v>167.019</v>
      </c>
      <c r="I176" s="48">
        <v>2672.301</v>
      </c>
      <c r="J176" s="49">
        <v>16</v>
      </c>
      <c r="K176" s="49">
        <v>0</v>
      </c>
      <c r="L176" s="49">
        <v>16</v>
      </c>
    </row>
    <row r="177" spans="1:12" x14ac:dyDescent="0.25">
      <c r="A177" s="45">
        <f>C177&amp;"."&amp;IFERROR(MID(E177,FIND("(",E177)+1,FIND(")",E177)-FIND("(",E177)-1),"")</f>
      </c>
      <c r="B177" s="46" t="s">
        <v>1178</v>
      </c>
      <c r="C177" s="46">
        <v>2109</v>
      </c>
      <c r="D177" s="46" t="s">
        <v>160</v>
      </c>
      <c r="E177" s="46" t="s">
        <v>1401</v>
      </c>
      <c r="F177" s="46" t="s">
        <v>26</v>
      </c>
      <c r="G177" s="47">
        <v>45.3</v>
      </c>
      <c r="H177" s="48">
        <v>160.504</v>
      </c>
      <c r="I177" s="48">
        <v>160.504</v>
      </c>
      <c r="J177" s="49">
        <v>1</v>
      </c>
      <c r="K177" s="49">
        <v>0</v>
      </c>
      <c r="L177" s="49">
        <v>1</v>
      </c>
    </row>
    <row r="178" spans="1:12" x14ac:dyDescent="0.25">
      <c r="A178" s="45">
        <f>C178&amp;"."&amp;IFERROR(MID(E178,FIND("(",E178)+1,FIND(")",E178)-FIND("(",E178)-1),"")</f>
      </c>
      <c r="B178" s="46" t="s">
        <v>1178</v>
      </c>
      <c r="C178" s="46">
        <v>211</v>
      </c>
      <c r="D178" s="46" t="s">
        <v>1402</v>
      </c>
      <c r="E178" s="46" t="s">
        <v>1248</v>
      </c>
      <c r="F178" s="46" t="s">
        <v>24</v>
      </c>
      <c r="G178" s="47">
        <v>0.3</v>
      </c>
      <c r="H178" s="48">
        <v>1.386</v>
      </c>
      <c r="I178" s="48">
        <v>13.857</v>
      </c>
      <c r="J178" s="49">
        <v>10</v>
      </c>
      <c r="K178" s="49">
        <v>2</v>
      </c>
      <c r="L178" s="49">
        <v>8</v>
      </c>
    </row>
    <row r="179" spans="1:12" x14ac:dyDescent="0.25">
      <c r="A179" s="45">
        <f>C179&amp;"."&amp;IFERROR(MID(E179,FIND("(",E179)+1,FIND(")",E179)-FIND("(",E179)-1),"")</f>
      </c>
      <c r="B179" s="46" t="s">
        <v>1178</v>
      </c>
      <c r="C179" s="46">
        <v>2110</v>
      </c>
      <c r="D179" s="46" t="s">
        <v>323</v>
      </c>
      <c r="E179" s="46" t="s">
        <v>1403</v>
      </c>
      <c r="F179" s="46" t="s">
        <v>26</v>
      </c>
      <c r="G179" s="47">
        <v>56.9</v>
      </c>
      <c r="H179" s="48">
        <v>157.543</v>
      </c>
      <c r="I179" s="48">
        <v>17959.95</v>
      </c>
      <c r="J179" s="49">
        <v>114</v>
      </c>
      <c r="K179" s="49">
        <v>114</v>
      </c>
      <c r="L179" s="49">
        <v>0</v>
      </c>
    </row>
    <row r="180" spans="1:12" x14ac:dyDescent="0.25">
      <c r="A180" s="45">
        <f>C180&amp;"."&amp;IFERROR(MID(E180,FIND("(",E180)+1,FIND(")",E180)-FIND("(",E180)-1),"")</f>
      </c>
      <c r="B180" s="46" t="s">
        <v>1178</v>
      </c>
      <c r="C180" s="46">
        <v>2110</v>
      </c>
      <c r="D180" s="46" t="s">
        <v>323</v>
      </c>
      <c r="E180" s="46" t="s">
        <v>1404</v>
      </c>
      <c r="F180" s="46" t="s">
        <v>26</v>
      </c>
      <c r="G180" s="47">
        <v>56.9</v>
      </c>
      <c r="H180" s="48">
        <v>164.117</v>
      </c>
      <c r="I180" s="48">
        <v>60559.295</v>
      </c>
      <c r="J180" s="49">
        <v>369</v>
      </c>
      <c r="K180" s="49">
        <v>365</v>
      </c>
      <c r="L180" s="49">
        <v>4</v>
      </c>
    </row>
    <row r="181" spans="1:12" x14ac:dyDescent="0.25">
      <c r="A181" s="45">
        <f>C181&amp;"."&amp;IFERROR(MID(E181,FIND("(",E181)+1,FIND(")",E181)-FIND("(",E181)-1),"")</f>
      </c>
      <c r="B181" s="46" t="s">
        <v>1178</v>
      </c>
      <c r="C181" s="46">
        <v>2111</v>
      </c>
      <c r="D181" s="46" t="s">
        <v>539</v>
      </c>
      <c r="E181" s="46" t="s">
        <v>1248</v>
      </c>
      <c r="F181" s="46" t="s">
        <v>26</v>
      </c>
      <c r="G181" s="47">
        <v>9.15</v>
      </c>
      <c r="H181" s="48">
        <v>67.803</v>
      </c>
      <c r="I181" s="48">
        <v>34308.462</v>
      </c>
      <c r="J181" s="49">
        <v>506</v>
      </c>
      <c r="K181" s="49">
        <v>113</v>
      </c>
      <c r="L181" s="49">
        <v>393</v>
      </c>
    </row>
    <row r="182" spans="1:12" x14ac:dyDescent="0.25">
      <c r="A182" s="45">
        <f>C182&amp;"."&amp;IFERROR(MID(E182,FIND("(",E182)+1,FIND(")",E182)-FIND("(",E182)-1),"")</f>
      </c>
      <c r="B182" s="46" t="s">
        <v>1178</v>
      </c>
      <c r="C182" s="46">
        <v>212</v>
      </c>
      <c r="D182" s="46" t="s">
        <v>1405</v>
      </c>
      <c r="E182" s="46" t="s">
        <v>1406</v>
      </c>
      <c r="F182" s="46" t="s">
        <v>26</v>
      </c>
      <c r="G182" s="47">
        <v>1.08</v>
      </c>
      <c r="H182" s="48">
        <v>3.586</v>
      </c>
      <c r="I182" s="48">
        <v>14.344</v>
      </c>
      <c r="J182" s="49">
        <v>4</v>
      </c>
      <c r="K182" s="49">
        <v>2</v>
      </c>
      <c r="L182" s="49">
        <v>2</v>
      </c>
    </row>
    <row r="183" spans="1:12" x14ac:dyDescent="0.25">
      <c r="A183" s="45">
        <f>C183&amp;"."&amp;IFERROR(MID(E183,FIND("(",E183)+1,FIND(")",E183)-FIND("(",E183)-1),"")</f>
      </c>
      <c r="B183" s="46" t="s">
        <v>1178</v>
      </c>
      <c r="C183" s="46">
        <v>212</v>
      </c>
      <c r="D183" s="46" t="s">
        <v>1405</v>
      </c>
      <c r="E183" s="46" t="s">
        <v>1407</v>
      </c>
      <c r="F183" s="46" t="s">
        <v>26</v>
      </c>
      <c r="G183" s="47">
        <v>1.08</v>
      </c>
      <c r="H183" s="48">
        <v>3.181</v>
      </c>
      <c r="I183" s="48">
        <v>12.724</v>
      </c>
      <c r="J183" s="49">
        <v>4</v>
      </c>
      <c r="K183" s="49">
        <v>1</v>
      </c>
      <c r="L183" s="49">
        <v>3</v>
      </c>
    </row>
    <row r="184" spans="1:12" x14ac:dyDescent="0.25">
      <c r="A184" s="45">
        <f>C184&amp;"."&amp;IFERROR(MID(E184,FIND("(",E184)+1,FIND(")",E184)-FIND("(",E184)-1),"")</f>
      </c>
      <c r="B184" s="46" t="s">
        <v>1178</v>
      </c>
      <c r="C184" s="46">
        <v>212</v>
      </c>
      <c r="D184" s="46" t="s">
        <v>1405</v>
      </c>
      <c r="E184" s="46" t="s">
        <v>1408</v>
      </c>
      <c r="F184" s="46" t="s">
        <v>26</v>
      </c>
      <c r="G184" s="47">
        <v>1.08</v>
      </c>
      <c r="H184" s="48">
        <v>4.15</v>
      </c>
      <c r="I184" s="48">
        <v>62.256</v>
      </c>
      <c r="J184" s="49">
        <v>15</v>
      </c>
      <c r="K184" s="49">
        <v>3</v>
      </c>
      <c r="L184" s="49">
        <v>12</v>
      </c>
    </row>
    <row r="185" spans="1:12" x14ac:dyDescent="0.25">
      <c r="A185" s="45">
        <f>C185&amp;"."&amp;IFERROR(MID(E185,FIND("(",E185)+1,FIND(")",E185)-FIND("(",E185)-1),"")</f>
      </c>
      <c r="B185" s="46" t="s">
        <v>1178</v>
      </c>
      <c r="C185" s="46">
        <v>213</v>
      </c>
      <c r="D185" s="46" t="s">
        <v>1409</v>
      </c>
      <c r="E185" s="46" t="s">
        <v>1410</v>
      </c>
      <c r="F185" s="46" t="s">
        <v>24</v>
      </c>
      <c r="G185" s="47">
        <v>0.26</v>
      </c>
      <c r="H185" s="48">
        <v>0.592</v>
      </c>
      <c r="I185" s="48">
        <v>1.775</v>
      </c>
      <c r="J185" s="49">
        <v>3</v>
      </c>
      <c r="K185" s="49">
        <v>0</v>
      </c>
      <c r="L185" s="49">
        <v>3</v>
      </c>
    </row>
    <row r="186" spans="1:12" x14ac:dyDescent="0.25">
      <c r="A186" s="45">
        <f>C186&amp;"."&amp;IFERROR(MID(E186,FIND("(",E186)+1,FIND(")",E186)-FIND("(",E186)-1),"")</f>
      </c>
      <c r="B186" s="46" t="s">
        <v>1178</v>
      </c>
      <c r="C186" s="46">
        <v>213</v>
      </c>
      <c r="D186" s="46" t="s">
        <v>1409</v>
      </c>
      <c r="E186" s="46" t="s">
        <v>1411</v>
      </c>
      <c r="F186" s="46" t="s">
        <v>24</v>
      </c>
      <c r="G186" s="47">
        <v>0.26</v>
      </c>
      <c r="H186" s="48">
        <v>0.839</v>
      </c>
      <c r="I186" s="48">
        <v>3.355</v>
      </c>
      <c r="J186" s="49">
        <v>4</v>
      </c>
      <c r="K186" s="49">
        <v>0</v>
      </c>
      <c r="L186" s="49">
        <v>4</v>
      </c>
    </row>
    <row r="187" spans="1:12" x14ac:dyDescent="0.25">
      <c r="A187" s="45">
        <f>C187&amp;"."&amp;IFERROR(MID(E187,FIND("(",E187)+1,FIND(")",E187)-FIND("(",E187)-1),"")</f>
      </c>
      <c r="B187" s="46" t="s">
        <v>1178</v>
      </c>
      <c r="C187" s="46">
        <v>216</v>
      </c>
      <c r="D187" s="46" t="s">
        <v>741</v>
      </c>
      <c r="E187" s="46" t="s">
        <v>1412</v>
      </c>
      <c r="F187" s="46" t="s">
        <v>25</v>
      </c>
      <c r="G187" s="47">
        <v>6.8</v>
      </c>
      <c r="H187" s="48">
        <v>45.593</v>
      </c>
      <c r="I187" s="48">
        <v>5197.589</v>
      </c>
      <c r="J187" s="49">
        <v>114</v>
      </c>
      <c r="K187" s="49">
        <v>0</v>
      </c>
      <c r="L187" s="49">
        <v>114</v>
      </c>
    </row>
    <row r="188" spans="1:12" x14ac:dyDescent="0.25">
      <c r="A188" s="45">
        <f>C188&amp;"."&amp;IFERROR(MID(E188,FIND("(",E188)+1,FIND(")",E188)-FIND("(",E188)-1),"")</f>
      </c>
      <c r="B188" s="46" t="s">
        <v>1178</v>
      </c>
      <c r="C188" s="46">
        <v>216</v>
      </c>
      <c r="D188" s="46" t="s">
        <v>741</v>
      </c>
      <c r="E188" s="46" t="s">
        <v>1413</v>
      </c>
      <c r="F188" s="46" t="s">
        <v>25</v>
      </c>
      <c r="G188" s="47">
        <v>6.8</v>
      </c>
      <c r="H188" s="48">
        <v>45.333</v>
      </c>
      <c r="I188" s="48">
        <v>7026.597</v>
      </c>
      <c r="J188" s="49">
        <v>155</v>
      </c>
      <c r="K188" s="49">
        <v>0</v>
      </c>
      <c r="L188" s="49">
        <v>155</v>
      </c>
    </row>
    <row r="189" spans="1:12" x14ac:dyDescent="0.25">
      <c r="A189" s="45">
        <f>C189&amp;"."&amp;IFERROR(MID(E189,FIND("(",E189)+1,FIND(")",E189)-FIND("(",E189)-1),"")</f>
      </c>
      <c r="B189" s="46" t="s">
        <v>1178</v>
      </c>
      <c r="C189" s="46">
        <v>2161</v>
      </c>
      <c r="D189" s="46" t="s">
        <v>81</v>
      </c>
      <c r="E189" s="46" t="s">
        <v>1414</v>
      </c>
      <c r="F189" s="46" t="s">
        <v>24</v>
      </c>
      <c r="G189" s="47">
        <v>26</v>
      </c>
      <c r="H189" s="48">
        <v>67.389</v>
      </c>
      <c r="I189" s="48">
        <v>12938.653</v>
      </c>
      <c r="J189" s="49">
        <v>192</v>
      </c>
      <c r="K189" s="49">
        <v>84</v>
      </c>
      <c r="L189" s="49">
        <v>108</v>
      </c>
    </row>
    <row r="190" spans="1:12" x14ac:dyDescent="0.25">
      <c r="A190" s="45">
        <f>C190&amp;"."&amp;IFERROR(MID(E190,FIND("(",E190)+1,FIND(")",E190)-FIND("(",E190)-1),"")</f>
      </c>
      <c r="B190" s="46" t="s">
        <v>1178</v>
      </c>
      <c r="C190" s="46">
        <v>2161</v>
      </c>
      <c r="D190" s="46" t="s">
        <v>81</v>
      </c>
      <c r="E190" s="46" t="s">
        <v>1415</v>
      </c>
      <c r="F190" s="46" t="s">
        <v>24</v>
      </c>
      <c r="G190" s="47">
        <v>26</v>
      </c>
      <c r="H190" s="48">
        <v>79.842</v>
      </c>
      <c r="I190" s="48">
        <v>73055.479</v>
      </c>
      <c r="J190" s="49">
        <v>915</v>
      </c>
      <c r="K190" s="49">
        <v>323</v>
      </c>
      <c r="L190" s="49">
        <v>592</v>
      </c>
    </row>
    <row r="191" spans="1:12" x14ac:dyDescent="0.25">
      <c r="A191" s="45">
        <f>C191&amp;"."&amp;IFERROR(MID(E191,FIND("(",E191)+1,FIND(")",E191)-FIND("(",E191)-1),"")</f>
      </c>
      <c r="B191" s="46" t="s">
        <v>1178</v>
      </c>
      <c r="C191" s="46">
        <v>2161</v>
      </c>
      <c r="D191" s="46" t="s">
        <v>81</v>
      </c>
      <c r="E191" s="46" t="s">
        <v>1416</v>
      </c>
      <c r="F191" s="46" t="s">
        <v>24</v>
      </c>
      <c r="G191" s="47">
        <v>26</v>
      </c>
      <c r="H191" s="48">
        <v>74.027</v>
      </c>
      <c r="I191" s="48">
        <v>296.109</v>
      </c>
      <c r="J191" s="49">
        <v>4</v>
      </c>
      <c r="K191" s="49">
        <v>0</v>
      </c>
      <c r="L191" s="49">
        <v>4</v>
      </c>
    </row>
    <row r="192" spans="1:12" x14ac:dyDescent="0.25">
      <c r="A192" s="45">
        <f>C192&amp;"."&amp;IFERROR(MID(E192,FIND("(",E192)+1,FIND(")",E192)-FIND("(",E192)-1),"")</f>
      </c>
      <c r="B192" s="46" t="s">
        <v>1178</v>
      </c>
      <c r="C192" s="46">
        <v>2162</v>
      </c>
      <c r="D192" s="46" t="s">
        <v>391</v>
      </c>
      <c r="E192" s="46" t="s">
        <v>1417</v>
      </c>
      <c r="F192" s="46" t="s">
        <v>24</v>
      </c>
      <c r="G192" s="47">
        <v>13.3</v>
      </c>
      <c r="H192" s="48">
        <v>52.353</v>
      </c>
      <c r="I192" s="48">
        <v>104.706</v>
      </c>
      <c r="J192" s="49">
        <v>2</v>
      </c>
      <c r="K192" s="49">
        <v>0</v>
      </c>
      <c r="L192" s="49">
        <v>2</v>
      </c>
    </row>
    <row r="193" spans="1:12" x14ac:dyDescent="0.25">
      <c r="A193" s="45">
        <f>C193&amp;"."&amp;IFERROR(MID(E193,FIND("(",E193)+1,FIND(")",E193)-FIND("(",E193)-1),"")</f>
      </c>
      <c r="B193" s="46" t="s">
        <v>1178</v>
      </c>
      <c r="C193" s="46">
        <v>2162</v>
      </c>
      <c r="D193" s="46" t="s">
        <v>391</v>
      </c>
      <c r="E193" s="46" t="s">
        <v>1418</v>
      </c>
      <c r="F193" s="46" t="s">
        <v>24</v>
      </c>
      <c r="G193" s="47">
        <v>13.3</v>
      </c>
      <c r="H193" s="48">
        <v>48.319</v>
      </c>
      <c r="I193" s="48">
        <v>9325.616</v>
      </c>
      <c r="J193" s="49">
        <v>193</v>
      </c>
      <c r="K193" s="49">
        <v>84</v>
      </c>
      <c r="L193" s="49">
        <v>109</v>
      </c>
    </row>
    <row r="194" spans="1:12" x14ac:dyDescent="0.25">
      <c r="A194" s="45">
        <f>C194&amp;"."&amp;IFERROR(MID(E194,FIND("(",E194)+1,FIND(")",E194)-FIND("(",E194)-1),"")</f>
      </c>
      <c r="B194" s="46" t="s">
        <v>1178</v>
      </c>
      <c r="C194" s="46">
        <v>2162</v>
      </c>
      <c r="D194" s="46" t="s">
        <v>391</v>
      </c>
      <c r="E194" s="46" t="s">
        <v>1419</v>
      </c>
      <c r="F194" s="46" t="s">
        <v>24</v>
      </c>
      <c r="G194" s="47">
        <v>13.3</v>
      </c>
      <c r="H194" s="48">
        <v>47.695</v>
      </c>
      <c r="I194" s="48">
        <v>43593.395</v>
      </c>
      <c r="J194" s="49">
        <v>914</v>
      </c>
      <c r="K194" s="49">
        <v>323</v>
      </c>
      <c r="L194" s="49">
        <v>591</v>
      </c>
    </row>
    <row r="195" spans="1:12" x14ac:dyDescent="0.25">
      <c r="A195" s="45">
        <f>C195&amp;"."&amp;IFERROR(MID(E195,FIND("(",E195)+1,FIND(")",E195)-FIND("(",E195)-1),"")</f>
      </c>
      <c r="B195" s="46" t="s">
        <v>1178</v>
      </c>
      <c r="C195" s="46">
        <v>2163</v>
      </c>
      <c r="D195" s="46" t="s">
        <v>61</v>
      </c>
      <c r="E195" s="46" t="s">
        <v>1420</v>
      </c>
      <c r="F195" s="46" t="s">
        <v>24</v>
      </c>
      <c r="G195" s="47">
        <v>18.4</v>
      </c>
      <c r="H195" s="48">
        <v>81.747</v>
      </c>
      <c r="I195" s="48">
        <v>74635.21</v>
      </c>
      <c r="J195" s="49">
        <v>913</v>
      </c>
      <c r="K195" s="49">
        <v>323</v>
      </c>
      <c r="L195" s="49">
        <v>590</v>
      </c>
    </row>
    <row r="196" spans="1:12" x14ac:dyDescent="0.25">
      <c r="A196" s="45">
        <f>C196&amp;"."&amp;IFERROR(MID(E196,FIND("(",E196)+1,FIND(")",E196)-FIND("(",E196)-1),"")</f>
      </c>
      <c r="B196" s="46" t="s">
        <v>1178</v>
      </c>
      <c r="C196" s="46">
        <v>2163</v>
      </c>
      <c r="D196" s="46" t="s">
        <v>61</v>
      </c>
      <c r="E196" s="46" t="s">
        <v>1421</v>
      </c>
      <c r="F196" s="46" t="s">
        <v>24</v>
      </c>
      <c r="G196" s="47">
        <v>18.4</v>
      </c>
      <c r="H196" s="48">
        <v>83.378</v>
      </c>
      <c r="I196" s="48">
        <v>15758.517</v>
      </c>
      <c r="J196" s="49">
        <v>189</v>
      </c>
      <c r="K196" s="49">
        <v>84</v>
      </c>
      <c r="L196" s="49">
        <v>105</v>
      </c>
    </row>
    <row r="197" spans="1:12" x14ac:dyDescent="0.25">
      <c r="A197" s="45">
        <f>C197&amp;"."&amp;IFERROR(MID(E197,FIND("(",E197)+1,FIND(")",E197)-FIND("(",E197)-1),"")</f>
      </c>
      <c r="B197" s="46" t="s">
        <v>1178</v>
      </c>
      <c r="C197" s="46">
        <v>2163</v>
      </c>
      <c r="D197" s="46" t="s">
        <v>61</v>
      </c>
      <c r="E197" s="46" t="s">
        <v>1422</v>
      </c>
      <c r="F197" s="46" t="s">
        <v>24</v>
      </c>
      <c r="G197" s="47">
        <v>18.4</v>
      </c>
      <c r="H197" s="48">
        <v>85.198</v>
      </c>
      <c r="I197" s="48">
        <v>511.19</v>
      </c>
      <c r="J197" s="49">
        <v>6</v>
      </c>
      <c r="K197" s="49">
        <v>0</v>
      </c>
      <c r="L197" s="49">
        <v>6</v>
      </c>
    </row>
    <row r="198" spans="1:12" x14ac:dyDescent="0.25">
      <c r="A198" s="45">
        <f>C198&amp;"."&amp;IFERROR(MID(E198,FIND("(",E198)+1,FIND(")",E198)-FIND("(",E198)-1),"")</f>
      </c>
      <c r="B198" s="46" t="s">
        <v>1178</v>
      </c>
      <c r="C198" s="46">
        <v>217</v>
      </c>
      <c r="D198" s="46" t="s">
        <v>132</v>
      </c>
      <c r="E198" s="46" t="s">
        <v>1423</v>
      </c>
      <c r="F198" s="46" t="s">
        <v>25</v>
      </c>
      <c r="G198" s="47">
        <v>11.8</v>
      </c>
      <c r="H198" s="48">
        <v>65.374</v>
      </c>
      <c r="I198" s="48">
        <v>26214.909</v>
      </c>
      <c r="J198" s="49">
        <v>401</v>
      </c>
      <c r="K198" s="49">
        <v>235</v>
      </c>
      <c r="L198" s="49">
        <v>166</v>
      </c>
    </row>
    <row r="199" spans="1:12" x14ac:dyDescent="0.25">
      <c r="A199" s="45">
        <f>C199&amp;"."&amp;IFERROR(MID(E199,FIND("(",E199)+1,FIND(")",E199)-FIND("(",E199)-1),"")</f>
      </c>
      <c r="B199" s="46" t="s">
        <v>1178</v>
      </c>
      <c r="C199" s="46">
        <v>217</v>
      </c>
      <c r="D199" s="46" t="s">
        <v>132</v>
      </c>
      <c r="E199" s="46" t="s">
        <v>1424</v>
      </c>
      <c r="F199" s="46" t="s">
        <v>25</v>
      </c>
      <c r="G199" s="47">
        <v>11.8</v>
      </c>
      <c r="H199" s="48">
        <v>61.506</v>
      </c>
      <c r="I199" s="48">
        <v>135435.343</v>
      </c>
      <c r="J199" s="49">
        <v>2202</v>
      </c>
      <c r="K199" s="49">
        <v>805</v>
      </c>
      <c r="L199" s="49">
        <v>1397</v>
      </c>
    </row>
    <row r="200" spans="1:12" x14ac:dyDescent="0.25">
      <c r="A200" s="45">
        <f>C200&amp;"."&amp;IFERROR(MID(E200,FIND("(",E200)+1,FIND(")",E200)-FIND("(",E200)-1),"")</f>
      </c>
      <c r="B200" s="46" t="s">
        <v>1178</v>
      </c>
      <c r="C200" s="46">
        <v>217</v>
      </c>
      <c r="D200" s="46" t="s">
        <v>132</v>
      </c>
      <c r="E200" s="46" t="s">
        <v>1425</v>
      </c>
      <c r="F200" s="46" t="s">
        <v>25</v>
      </c>
      <c r="G200" s="47">
        <v>11.8</v>
      </c>
      <c r="H200" s="48">
        <v>60.696</v>
      </c>
      <c r="I200" s="48">
        <v>72592.081</v>
      </c>
      <c r="J200" s="49">
        <v>1196</v>
      </c>
      <c r="K200" s="49">
        <v>512</v>
      </c>
      <c r="L200" s="49">
        <v>684</v>
      </c>
    </row>
    <row r="201" spans="1:12" x14ac:dyDescent="0.25">
      <c r="A201" s="45">
        <f>C201&amp;"."&amp;IFERROR(MID(E201,FIND("(",E201)+1,FIND(")",E201)-FIND("(",E201)-1),"")</f>
      </c>
      <c r="B201" s="46" t="s">
        <v>1178</v>
      </c>
      <c r="C201" s="46">
        <v>217</v>
      </c>
      <c r="D201" s="46" t="s">
        <v>132</v>
      </c>
      <c r="E201" s="46" t="s">
        <v>1426</v>
      </c>
      <c r="F201" s="46" t="s">
        <v>25</v>
      </c>
      <c r="G201" s="47">
        <v>11.8</v>
      </c>
      <c r="H201" s="48">
        <v>63.251</v>
      </c>
      <c r="I201" s="48">
        <v>159646.183</v>
      </c>
      <c r="J201" s="49">
        <v>2524</v>
      </c>
      <c r="K201" s="49">
        <v>1153</v>
      </c>
      <c r="L201" s="49">
        <v>1371</v>
      </c>
    </row>
    <row r="202" spans="1:12" x14ac:dyDescent="0.25">
      <c r="A202" s="45">
        <f>C202&amp;"."&amp;IFERROR(MID(E202,FIND("(",E202)+1,FIND(")",E202)-FIND("(",E202)-1),"")</f>
      </c>
      <c r="B202" s="46" t="s">
        <v>1178</v>
      </c>
      <c r="C202" s="46">
        <v>217</v>
      </c>
      <c r="D202" s="46" t="s">
        <v>132</v>
      </c>
      <c r="E202" s="46" t="s">
        <v>1427</v>
      </c>
      <c r="F202" s="46" t="s">
        <v>25</v>
      </c>
      <c r="G202" s="47">
        <v>11.8</v>
      </c>
      <c r="H202" s="48">
        <v>63.37</v>
      </c>
      <c r="I202" s="48">
        <v>66284.74</v>
      </c>
      <c r="J202" s="49">
        <v>1046</v>
      </c>
      <c r="K202" s="49">
        <v>444</v>
      </c>
      <c r="L202" s="49">
        <v>602</v>
      </c>
    </row>
    <row r="203" spans="1:12" x14ac:dyDescent="0.25">
      <c r="A203" s="45">
        <f>C203&amp;"."&amp;IFERROR(MID(E203,FIND("(",E203)+1,FIND(")",E203)-FIND("(",E203)-1),"")</f>
      </c>
      <c r="B203" s="46" t="s">
        <v>1178</v>
      </c>
      <c r="C203" s="46">
        <v>217</v>
      </c>
      <c r="D203" s="46" t="s">
        <v>132</v>
      </c>
      <c r="E203" s="46" t="s">
        <v>1428</v>
      </c>
      <c r="F203" s="46" t="s">
        <v>25</v>
      </c>
      <c r="G203" s="47">
        <v>11.8</v>
      </c>
      <c r="H203" s="48">
        <v>69.027</v>
      </c>
      <c r="I203" s="48">
        <v>16290.302</v>
      </c>
      <c r="J203" s="49">
        <v>236</v>
      </c>
      <c r="K203" s="49">
        <v>0</v>
      </c>
      <c r="L203" s="49">
        <v>236</v>
      </c>
    </row>
    <row r="204" spans="1:12" x14ac:dyDescent="0.25">
      <c r="A204" s="45">
        <f>C204&amp;"."&amp;IFERROR(MID(E204,FIND("(",E204)+1,FIND(")",E204)-FIND("(",E204)-1),"")</f>
      </c>
      <c r="B204" s="46" t="s">
        <v>1178</v>
      </c>
      <c r="C204" s="46">
        <v>217</v>
      </c>
      <c r="D204" s="46" t="s">
        <v>132</v>
      </c>
      <c r="E204" s="46" t="s">
        <v>1429</v>
      </c>
      <c r="F204" s="46" t="s">
        <v>25</v>
      </c>
      <c r="G204" s="47">
        <v>11.8</v>
      </c>
      <c r="H204" s="48">
        <v>67.67</v>
      </c>
      <c r="I204" s="48">
        <v>24767.356</v>
      </c>
      <c r="J204" s="49">
        <v>366</v>
      </c>
      <c r="K204" s="49">
        <v>199</v>
      </c>
      <c r="L204" s="49">
        <v>167</v>
      </c>
    </row>
    <row r="205" spans="1:12" x14ac:dyDescent="0.25">
      <c r="A205" s="45">
        <f>C205&amp;"."&amp;IFERROR(MID(E205,FIND("(",E205)+1,FIND(")",E205)-FIND("(",E205)-1),"")</f>
      </c>
      <c r="B205" s="46" t="s">
        <v>1178</v>
      </c>
      <c r="C205" s="46">
        <v>217</v>
      </c>
      <c r="D205" s="46" t="s">
        <v>132</v>
      </c>
      <c r="E205" s="46" t="s">
        <v>1430</v>
      </c>
      <c r="F205" s="46" t="s">
        <v>25</v>
      </c>
      <c r="G205" s="47">
        <v>11.8</v>
      </c>
      <c r="H205" s="48">
        <v>64.188</v>
      </c>
      <c r="I205" s="48">
        <v>2888.444</v>
      </c>
      <c r="J205" s="49">
        <v>45</v>
      </c>
      <c r="K205" s="49">
        <v>0</v>
      </c>
      <c r="L205" s="49">
        <v>45</v>
      </c>
    </row>
    <row r="206" spans="1:12" x14ac:dyDescent="0.25">
      <c r="A206" s="45">
        <f>C206&amp;"."&amp;IFERROR(MID(E206,FIND("(",E206)+1,FIND(")",E206)-FIND("(",E206)-1),"")</f>
      </c>
      <c r="B206" s="46" t="s">
        <v>1178</v>
      </c>
      <c r="C206" s="46">
        <v>2176</v>
      </c>
      <c r="D206" s="46" t="s">
        <v>339</v>
      </c>
      <c r="E206" s="46" t="s">
        <v>1431</v>
      </c>
      <c r="F206" s="46" t="s">
        <v>26</v>
      </c>
      <c r="G206" s="47">
        <v>58.5</v>
      </c>
      <c r="H206" s="48">
        <v>170.916</v>
      </c>
      <c r="I206" s="48">
        <v>11280.444</v>
      </c>
      <c r="J206" s="49">
        <v>66</v>
      </c>
      <c r="K206" s="49">
        <v>22</v>
      </c>
      <c r="L206" s="49">
        <v>44</v>
      </c>
    </row>
    <row r="207" spans="1:12" x14ac:dyDescent="0.25">
      <c r="A207" s="45">
        <f>C207&amp;"."&amp;IFERROR(MID(E207,FIND("(",E207)+1,FIND(")",E207)-FIND("(",E207)-1),"")</f>
      </c>
      <c r="B207" s="46" t="s">
        <v>1178</v>
      </c>
      <c r="C207" s="46">
        <v>2176</v>
      </c>
      <c r="D207" s="46" t="s">
        <v>339</v>
      </c>
      <c r="E207" s="46" t="s">
        <v>1432</v>
      </c>
      <c r="F207" s="46" t="s">
        <v>26</v>
      </c>
      <c r="G207" s="47">
        <v>58.5</v>
      </c>
      <c r="H207" s="48">
        <v>168.056</v>
      </c>
      <c r="I207" s="48">
        <v>1176.391</v>
      </c>
      <c r="J207" s="49">
        <v>7</v>
      </c>
      <c r="K207" s="49">
        <v>5</v>
      </c>
      <c r="L207" s="49">
        <v>2</v>
      </c>
    </row>
    <row r="208" spans="1:12" x14ac:dyDescent="0.25">
      <c r="A208" s="45">
        <f>C208&amp;"."&amp;IFERROR(MID(E208,FIND("(",E208)+1,FIND(")",E208)-FIND("(",E208)-1),"")</f>
      </c>
      <c r="B208" s="46" t="s">
        <v>1178</v>
      </c>
      <c r="C208" s="46">
        <v>2176</v>
      </c>
      <c r="D208" s="46" t="s">
        <v>339</v>
      </c>
      <c r="E208" s="46" t="s">
        <v>1433</v>
      </c>
      <c r="F208" s="46" t="s">
        <v>26</v>
      </c>
      <c r="G208" s="47">
        <v>58.5</v>
      </c>
      <c r="H208" s="48">
        <v>184.052</v>
      </c>
      <c r="I208" s="48">
        <v>21165.98</v>
      </c>
      <c r="J208" s="49">
        <v>115</v>
      </c>
      <c r="K208" s="49">
        <v>115</v>
      </c>
      <c r="L208" s="49">
        <v>0</v>
      </c>
    </row>
    <row r="209" spans="1:12" x14ac:dyDescent="0.25">
      <c r="A209" s="45">
        <f>C209&amp;"."&amp;IFERROR(MID(E209,FIND("(",E209)+1,FIND(")",E209)-FIND("(",E209)-1),"")</f>
      </c>
      <c r="B209" s="46" t="s">
        <v>1178</v>
      </c>
      <c r="C209" s="46">
        <v>2179</v>
      </c>
      <c r="D209" s="46" t="s">
        <v>184</v>
      </c>
      <c r="E209" s="46" t="s">
        <v>1434</v>
      </c>
      <c r="F209" s="46" t="s">
        <v>26</v>
      </c>
      <c r="G209" s="47">
        <v>60</v>
      </c>
      <c r="H209" s="48">
        <v>220.786</v>
      </c>
      <c r="I209" s="48">
        <v>35546.512</v>
      </c>
      <c r="J209" s="49">
        <v>161</v>
      </c>
      <c r="K209" s="49">
        <v>117</v>
      </c>
      <c r="L209" s="49">
        <v>44</v>
      </c>
    </row>
    <row r="210" spans="1:12" x14ac:dyDescent="0.25">
      <c r="A210" s="45">
        <f>C210&amp;"."&amp;IFERROR(MID(E210,FIND("(",E210)+1,FIND(")",E210)-FIND("(",E210)-1),"")</f>
      </c>
      <c r="B210" s="46" t="s">
        <v>1178</v>
      </c>
      <c r="C210" s="46">
        <v>2179</v>
      </c>
      <c r="D210" s="46" t="s">
        <v>184</v>
      </c>
      <c r="E210" s="46" t="s">
        <v>1435</v>
      </c>
      <c r="F210" s="46" t="s">
        <v>26</v>
      </c>
      <c r="G210" s="47">
        <v>60</v>
      </c>
      <c r="H210" s="48">
        <v>232.34</v>
      </c>
      <c r="I210" s="48">
        <v>13940.42</v>
      </c>
      <c r="J210" s="49">
        <v>60</v>
      </c>
      <c r="K210" s="49">
        <v>22</v>
      </c>
      <c r="L210" s="49">
        <v>38</v>
      </c>
    </row>
    <row r="211" spans="1:12" x14ac:dyDescent="0.25">
      <c r="A211" s="45">
        <f>C211&amp;"."&amp;IFERROR(MID(E211,FIND("(",E211)+1,FIND(")",E211)-FIND("(",E211)-1),"")</f>
      </c>
      <c r="B211" s="46" t="s">
        <v>1178</v>
      </c>
      <c r="C211" s="46">
        <v>2179</v>
      </c>
      <c r="D211" s="46" t="s">
        <v>184</v>
      </c>
      <c r="E211" s="46" t="s">
        <v>1436</v>
      </c>
      <c r="F211" s="46" t="s">
        <v>26</v>
      </c>
      <c r="G211" s="47">
        <v>60</v>
      </c>
      <c r="H211" s="48">
        <v>242.998</v>
      </c>
      <c r="I211" s="48">
        <v>1700.984</v>
      </c>
      <c r="J211" s="49">
        <v>7</v>
      </c>
      <c r="K211" s="49">
        <v>5</v>
      </c>
      <c r="L211" s="49">
        <v>2</v>
      </c>
    </row>
    <row r="212" spans="1:12" x14ac:dyDescent="0.25">
      <c r="A212" s="45">
        <f>C212&amp;"."&amp;IFERROR(MID(E212,FIND("(",E212)+1,FIND(")",E212)-FIND("(",E212)-1),"")</f>
      </c>
      <c r="B212" s="46" t="s">
        <v>1178</v>
      </c>
      <c r="C212" s="46">
        <v>2181</v>
      </c>
      <c r="D212" s="46" t="s">
        <v>186</v>
      </c>
      <c r="E212" s="46" t="s">
        <v>1437</v>
      </c>
      <c r="F212" s="46" t="s">
        <v>26</v>
      </c>
      <c r="G212" s="47">
        <v>50.65</v>
      </c>
      <c r="H212" s="48">
        <v>166.447</v>
      </c>
      <c r="I212" s="48">
        <v>24301.322</v>
      </c>
      <c r="J212" s="49">
        <v>146</v>
      </c>
      <c r="K212" s="49">
        <v>115</v>
      </c>
      <c r="L212" s="49">
        <v>31</v>
      </c>
    </row>
    <row r="213" spans="1:12" x14ac:dyDescent="0.25">
      <c r="A213" s="45">
        <f>C213&amp;"."&amp;IFERROR(MID(E213,FIND("(",E213)+1,FIND(")",E213)-FIND("(",E213)-1),"")</f>
      </c>
      <c r="B213" s="46" t="s">
        <v>1178</v>
      </c>
      <c r="C213" s="46">
        <v>2181</v>
      </c>
      <c r="D213" s="46" t="s">
        <v>186</v>
      </c>
      <c r="E213" s="46" t="s">
        <v>1438</v>
      </c>
      <c r="F213" s="46" t="s">
        <v>26</v>
      </c>
      <c r="G213" s="47">
        <v>50.65</v>
      </c>
      <c r="H213" s="48">
        <v>200.613</v>
      </c>
      <c r="I213" s="48">
        <v>1203.679</v>
      </c>
      <c r="J213" s="49">
        <v>6</v>
      </c>
      <c r="K213" s="49">
        <v>5</v>
      </c>
      <c r="L213" s="49">
        <v>1</v>
      </c>
    </row>
    <row r="214" spans="1:12" x14ac:dyDescent="0.25">
      <c r="A214" s="45">
        <f>C214&amp;"."&amp;IFERROR(MID(E214,FIND("(",E214)+1,FIND(")",E214)-FIND("(",E214)-1),"")</f>
      </c>
      <c r="B214" s="46" t="s">
        <v>1178</v>
      </c>
      <c r="C214" s="46">
        <v>2181</v>
      </c>
      <c r="D214" s="46" t="s">
        <v>186</v>
      </c>
      <c r="E214" s="46" t="s">
        <v>1439</v>
      </c>
      <c r="F214" s="46" t="s">
        <v>26</v>
      </c>
      <c r="G214" s="47">
        <v>50.65</v>
      </c>
      <c r="H214" s="48">
        <v>188.82</v>
      </c>
      <c r="I214" s="48">
        <v>9063.35</v>
      </c>
      <c r="J214" s="49">
        <v>48</v>
      </c>
      <c r="K214" s="49">
        <v>22</v>
      </c>
      <c r="L214" s="49">
        <v>26</v>
      </c>
    </row>
    <row r="215" spans="1:12" x14ac:dyDescent="0.25">
      <c r="A215" s="45">
        <f>C215&amp;"."&amp;IFERROR(MID(E215,FIND("(",E215)+1,FIND(")",E215)-FIND("(",E215)-1),"")</f>
      </c>
      <c r="B215" s="46" t="s">
        <v>1178</v>
      </c>
      <c r="C215" s="46">
        <v>2183</v>
      </c>
      <c r="D215" s="46" t="s">
        <v>190</v>
      </c>
      <c r="E215" s="46" t="s">
        <v>1440</v>
      </c>
      <c r="F215" s="46" t="s">
        <v>26</v>
      </c>
      <c r="G215" s="47">
        <v>64</v>
      </c>
      <c r="H215" s="48">
        <v>283.674</v>
      </c>
      <c r="I215" s="48">
        <v>42834.794</v>
      </c>
      <c r="J215" s="49">
        <v>151</v>
      </c>
      <c r="K215" s="49">
        <v>115</v>
      </c>
      <c r="L215" s="49">
        <v>36</v>
      </c>
    </row>
    <row r="216" spans="1:12" x14ac:dyDescent="0.25">
      <c r="A216" s="45">
        <f>C216&amp;"."&amp;IFERROR(MID(E216,FIND("(",E216)+1,FIND(")",E216)-FIND("(",E216)-1),"")</f>
      </c>
      <c r="B216" s="46" t="s">
        <v>1178</v>
      </c>
      <c r="C216" s="46">
        <v>2183</v>
      </c>
      <c r="D216" s="46" t="s">
        <v>190</v>
      </c>
      <c r="E216" s="46" t="s">
        <v>1441</v>
      </c>
      <c r="F216" s="46" t="s">
        <v>26</v>
      </c>
      <c r="G216" s="47">
        <v>64</v>
      </c>
      <c r="H216" s="48">
        <v>283.538</v>
      </c>
      <c r="I216" s="48">
        <v>1417.692</v>
      </c>
      <c r="J216" s="49">
        <v>5</v>
      </c>
      <c r="K216" s="49">
        <v>5</v>
      </c>
      <c r="L216" s="49">
        <v>0</v>
      </c>
    </row>
    <row r="217" spans="1:12" x14ac:dyDescent="0.25">
      <c r="A217" s="45">
        <f>C217&amp;"."&amp;IFERROR(MID(E217,FIND("(",E217)+1,FIND(")",E217)-FIND("(",E217)-1),"")</f>
      </c>
      <c r="B217" s="46" t="s">
        <v>1178</v>
      </c>
      <c r="C217" s="46">
        <v>2183</v>
      </c>
      <c r="D217" s="46" t="s">
        <v>190</v>
      </c>
      <c r="E217" s="46" t="s">
        <v>1442</v>
      </c>
      <c r="F217" s="46" t="s">
        <v>26</v>
      </c>
      <c r="G217" s="47">
        <v>64</v>
      </c>
      <c r="H217" s="48">
        <v>254.948</v>
      </c>
      <c r="I217" s="48">
        <v>5608.861</v>
      </c>
      <c r="J217" s="49">
        <v>22</v>
      </c>
      <c r="K217" s="49">
        <v>22</v>
      </c>
      <c r="L217" s="49">
        <v>0</v>
      </c>
    </row>
    <row r="218" spans="1:12" x14ac:dyDescent="0.25">
      <c r="A218" s="45">
        <f>C218&amp;"."&amp;IFERROR(MID(E218,FIND("(",E218)+1,FIND(")",E218)-FIND("(",E218)-1),"")</f>
      </c>
      <c r="B218" s="46" t="s">
        <v>1178</v>
      </c>
      <c r="C218" s="46">
        <v>2185</v>
      </c>
      <c r="D218" s="46" t="s">
        <v>188</v>
      </c>
      <c r="E218" s="46" t="s">
        <v>1443</v>
      </c>
      <c r="F218" s="46" t="s">
        <v>26</v>
      </c>
      <c r="G218" s="47">
        <v>65</v>
      </c>
      <c r="H218" s="48">
        <v>221.42</v>
      </c>
      <c r="I218" s="48">
        <v>14170.909</v>
      </c>
      <c r="J218" s="49">
        <v>64</v>
      </c>
      <c r="K218" s="49">
        <v>58</v>
      </c>
      <c r="L218" s="49">
        <v>6</v>
      </c>
    </row>
    <row r="219" spans="1:12" x14ac:dyDescent="0.25">
      <c r="A219" s="45">
        <f>C219&amp;"."&amp;IFERROR(MID(E219,FIND("(",E219)+1,FIND(")",E219)-FIND("(",E219)-1),"")</f>
      </c>
      <c r="B219" s="46" t="s">
        <v>1178</v>
      </c>
      <c r="C219" s="46">
        <v>2185</v>
      </c>
      <c r="D219" s="46" t="s">
        <v>188</v>
      </c>
      <c r="E219" s="46" t="s">
        <v>1444</v>
      </c>
      <c r="F219" s="46" t="s">
        <v>26</v>
      </c>
      <c r="G219" s="47">
        <v>65</v>
      </c>
      <c r="H219" s="48">
        <v>202.441</v>
      </c>
      <c r="I219" s="48">
        <v>12956.204</v>
      </c>
      <c r="J219" s="49">
        <v>64</v>
      </c>
      <c r="K219" s="49">
        <v>58</v>
      </c>
      <c r="L219" s="49">
        <v>6</v>
      </c>
    </row>
    <row r="220" spans="1:12" x14ac:dyDescent="0.25">
      <c r="A220" s="45">
        <f>C220&amp;"."&amp;IFERROR(MID(E220,FIND("(",E220)+1,FIND(")",E220)-FIND("(",E220)-1),"")</f>
      </c>
      <c r="B220" s="46" t="s">
        <v>1178</v>
      </c>
      <c r="C220" s="46">
        <v>2185</v>
      </c>
      <c r="D220" s="46" t="s">
        <v>188</v>
      </c>
      <c r="E220" s="46" t="s">
        <v>1445</v>
      </c>
      <c r="F220" s="46" t="s">
        <v>26</v>
      </c>
      <c r="G220" s="47">
        <v>65</v>
      </c>
      <c r="H220" s="48">
        <v>235.385</v>
      </c>
      <c r="I220" s="48">
        <v>1412.308</v>
      </c>
      <c r="J220" s="49">
        <v>6</v>
      </c>
      <c r="K220" s="49">
        <v>5</v>
      </c>
      <c r="L220" s="49">
        <v>1</v>
      </c>
    </row>
    <row r="221" spans="1:12" x14ac:dyDescent="0.25">
      <c r="A221" s="45">
        <f>C221&amp;"."&amp;IFERROR(MID(E221,FIND("(",E221)+1,FIND(")",E221)-FIND("(",E221)-1),"")</f>
      </c>
      <c r="B221" s="46" t="s">
        <v>1178</v>
      </c>
      <c r="C221" s="46">
        <v>2185</v>
      </c>
      <c r="D221" s="46" t="s">
        <v>188</v>
      </c>
      <c r="E221" s="46" t="s">
        <v>1446</v>
      </c>
      <c r="F221" s="46" t="s">
        <v>26</v>
      </c>
      <c r="G221" s="47">
        <v>65</v>
      </c>
      <c r="H221" s="48">
        <v>206.564</v>
      </c>
      <c r="I221" s="48">
        <v>7436.316</v>
      </c>
      <c r="J221" s="49">
        <v>36</v>
      </c>
      <c r="K221" s="49">
        <v>22</v>
      </c>
      <c r="L221" s="49">
        <v>14</v>
      </c>
    </row>
    <row r="222" spans="1:12" x14ac:dyDescent="0.25">
      <c r="A222" s="45">
        <f>C222&amp;"."&amp;IFERROR(MID(E222,FIND("(",E222)+1,FIND(")",E222)-FIND("(",E222)-1),"")</f>
      </c>
      <c r="B222" s="46" t="s">
        <v>1178</v>
      </c>
      <c r="C222" s="46">
        <v>2186</v>
      </c>
      <c r="D222" s="46" t="s">
        <v>380</v>
      </c>
      <c r="E222" s="46" t="s">
        <v>1248</v>
      </c>
      <c r="F222" s="46" t="s">
        <v>26</v>
      </c>
      <c r="G222" s="47">
        <v>4</v>
      </c>
      <c r="H222" s="48">
        <v>14.971</v>
      </c>
      <c r="I222" s="48">
        <v>15240.364</v>
      </c>
      <c r="J222" s="49">
        <v>1018</v>
      </c>
      <c r="K222" s="49">
        <v>143</v>
      </c>
      <c r="L222" s="49">
        <v>875</v>
      </c>
    </row>
    <row r="223" spans="1:12" x14ac:dyDescent="0.25">
      <c r="A223" s="45">
        <f>C223&amp;"."&amp;IFERROR(MID(E223,FIND("(",E223)+1,FIND(")",E223)-FIND("(",E223)-1),"")</f>
      </c>
      <c r="B223" s="46" t="s">
        <v>1178</v>
      </c>
      <c r="C223" s="46">
        <v>2188</v>
      </c>
      <c r="D223" s="46" t="s">
        <v>565</v>
      </c>
      <c r="E223" s="46" t="s">
        <v>1248</v>
      </c>
      <c r="F223" s="46" t="s">
        <v>26</v>
      </c>
      <c r="G223" s="47">
        <v>15.3</v>
      </c>
      <c r="H223" s="48">
        <v>103.597</v>
      </c>
      <c r="I223" s="48">
        <v>7355.359</v>
      </c>
      <c r="J223" s="49">
        <v>71</v>
      </c>
      <c r="K223" s="49">
        <v>34</v>
      </c>
      <c r="L223" s="49">
        <v>37</v>
      </c>
    </row>
    <row r="224" spans="1:12" x14ac:dyDescent="0.25">
      <c r="A224" s="45">
        <f>C224&amp;"."&amp;IFERROR(MID(E224,FIND("(",E224)+1,FIND(")",E224)-FIND("(",E224)-1),"")</f>
      </c>
      <c r="B224" s="46" t="s">
        <v>1178</v>
      </c>
      <c r="C224" s="46">
        <v>2190</v>
      </c>
      <c r="D224" s="46" t="s">
        <v>497</v>
      </c>
      <c r="E224" s="46" t="s">
        <v>1447</v>
      </c>
      <c r="F224" s="46" t="s">
        <v>26</v>
      </c>
      <c r="G224" s="47">
        <v>11</v>
      </c>
      <c r="H224" s="48">
        <v>65.232</v>
      </c>
      <c r="I224" s="48">
        <v>8088.751</v>
      </c>
      <c r="J224" s="49">
        <v>124</v>
      </c>
      <c r="K224" s="49">
        <v>0</v>
      </c>
      <c r="L224" s="49">
        <v>124</v>
      </c>
    </row>
    <row r="225" spans="1:12" x14ac:dyDescent="0.25">
      <c r="A225" s="45">
        <f>C225&amp;"."&amp;IFERROR(MID(E225,FIND("(",E225)+1,FIND(")",E225)-FIND("(",E225)-1),"")</f>
      </c>
      <c r="B225" s="46" t="s">
        <v>1178</v>
      </c>
      <c r="C225" s="46">
        <v>2190</v>
      </c>
      <c r="D225" s="46" t="s">
        <v>497</v>
      </c>
      <c r="E225" s="46" t="s">
        <v>1448</v>
      </c>
      <c r="F225" s="46" t="s">
        <v>26</v>
      </c>
      <c r="G225" s="47">
        <v>11</v>
      </c>
      <c r="H225" s="48">
        <v>81.828</v>
      </c>
      <c r="I225" s="48">
        <v>9655.674</v>
      </c>
      <c r="J225" s="49">
        <v>118</v>
      </c>
      <c r="K225" s="49">
        <v>28</v>
      </c>
      <c r="L225" s="49">
        <v>90</v>
      </c>
    </row>
    <row r="226" spans="1:12" x14ac:dyDescent="0.25">
      <c r="A226" s="45">
        <f>C226&amp;"."&amp;IFERROR(MID(E226,FIND("(",E226)+1,FIND(")",E226)-FIND("(",E226)-1),"")</f>
      </c>
      <c r="B226" s="46" t="s">
        <v>1178</v>
      </c>
      <c r="C226" s="46">
        <v>2190</v>
      </c>
      <c r="D226" s="46" t="s">
        <v>497</v>
      </c>
      <c r="E226" s="46" t="s">
        <v>1449</v>
      </c>
      <c r="F226" s="46" t="s">
        <v>26</v>
      </c>
      <c r="G226" s="47">
        <v>11</v>
      </c>
      <c r="H226" s="48">
        <v>72.003</v>
      </c>
      <c r="I226" s="48">
        <v>1224.053</v>
      </c>
      <c r="J226" s="49">
        <v>17</v>
      </c>
      <c r="K226" s="49">
        <v>1</v>
      </c>
      <c r="L226" s="49">
        <v>16</v>
      </c>
    </row>
    <row r="227" spans="1:12" x14ac:dyDescent="0.25">
      <c r="A227" s="45">
        <f>C227&amp;"."&amp;IFERROR(MID(E227,FIND("(",E227)+1,FIND(")",E227)-FIND("(",E227)-1),"")</f>
      </c>
      <c r="B227" s="46" t="s">
        <v>1178</v>
      </c>
      <c r="C227" s="46">
        <v>2192</v>
      </c>
      <c r="D227" s="46" t="s">
        <v>110</v>
      </c>
      <c r="E227" s="46" t="s">
        <v>1450</v>
      </c>
      <c r="F227" s="46" t="s">
        <v>26</v>
      </c>
      <c r="G227" s="47">
        <v>13.5</v>
      </c>
      <c r="H227" s="48">
        <v>40.341</v>
      </c>
      <c r="I227" s="48">
        <v>443.75</v>
      </c>
      <c r="J227" s="49">
        <v>11</v>
      </c>
      <c r="K227" s="49">
        <v>0</v>
      </c>
      <c r="L227" s="49">
        <v>11</v>
      </c>
    </row>
    <row r="228" spans="1:12" x14ac:dyDescent="0.25">
      <c r="A228" s="45">
        <f>C228&amp;"."&amp;IFERROR(MID(E228,FIND("(",E228)+1,FIND(")",E228)-FIND("(",E228)-1),"")</f>
      </c>
      <c r="B228" s="46" t="s">
        <v>1178</v>
      </c>
      <c r="C228" s="46">
        <v>2192</v>
      </c>
      <c r="D228" s="46" t="s">
        <v>110</v>
      </c>
      <c r="E228" s="46" t="s">
        <v>1451</v>
      </c>
      <c r="F228" s="46" t="s">
        <v>26</v>
      </c>
      <c r="G228" s="47">
        <v>13.5</v>
      </c>
      <c r="H228" s="48">
        <v>50.785</v>
      </c>
      <c r="I228" s="48">
        <v>558.64</v>
      </c>
      <c r="J228" s="49">
        <v>11</v>
      </c>
      <c r="K228" s="49">
        <v>0</v>
      </c>
      <c r="L228" s="49">
        <v>11</v>
      </c>
    </row>
    <row r="229" spans="1:12" x14ac:dyDescent="0.25">
      <c r="A229" s="45">
        <f>C229&amp;"."&amp;IFERROR(MID(E229,FIND("(",E229)+1,FIND(")",E229)-FIND("(",E229)-1),"")</f>
      </c>
      <c r="B229" s="46" t="s">
        <v>1178</v>
      </c>
      <c r="C229" s="46">
        <v>2192</v>
      </c>
      <c r="D229" s="46" t="s">
        <v>110</v>
      </c>
      <c r="E229" s="46" t="s">
        <v>1452</v>
      </c>
      <c r="F229" s="46" t="s">
        <v>26</v>
      </c>
      <c r="G229" s="47">
        <v>13.5</v>
      </c>
      <c r="H229" s="48">
        <v>54.575</v>
      </c>
      <c r="I229" s="48">
        <v>2510.439</v>
      </c>
      <c r="J229" s="49">
        <v>46</v>
      </c>
      <c r="K229" s="49">
        <v>12</v>
      </c>
      <c r="L229" s="49">
        <v>34</v>
      </c>
    </row>
    <row r="230" spans="1:12" x14ac:dyDescent="0.25">
      <c r="A230" s="45">
        <f>C230&amp;"."&amp;IFERROR(MID(E230,FIND("(",E230)+1,FIND(")",E230)-FIND("(",E230)-1),"")</f>
      </c>
      <c r="B230" s="46" t="s">
        <v>1178</v>
      </c>
      <c r="C230" s="46">
        <v>2194</v>
      </c>
      <c r="D230" s="46" t="s">
        <v>378</v>
      </c>
      <c r="E230" s="46" t="s">
        <v>1453</v>
      </c>
      <c r="F230" s="46" t="s">
        <v>23</v>
      </c>
      <c r="G230" s="47">
        <v>1.12</v>
      </c>
      <c r="H230" s="48">
        <v>8.894</v>
      </c>
      <c r="I230" s="48">
        <v>462.502</v>
      </c>
      <c r="J230" s="49">
        <v>52</v>
      </c>
      <c r="K230" s="49">
        <v>0</v>
      </c>
      <c r="L230" s="49">
        <v>52</v>
      </c>
    </row>
    <row r="231" spans="1:12" x14ac:dyDescent="0.25">
      <c r="A231" s="45">
        <f>C231&amp;"."&amp;IFERROR(MID(E231,FIND("(",E231)+1,FIND(")",E231)-FIND("(",E231)-1),"")</f>
      </c>
      <c r="B231" s="46" t="s">
        <v>1178</v>
      </c>
      <c r="C231" s="46">
        <v>2194</v>
      </c>
      <c r="D231" s="46" t="s">
        <v>378</v>
      </c>
      <c r="E231" s="46" t="s">
        <v>1454</v>
      </c>
      <c r="F231" s="46" t="s">
        <v>23</v>
      </c>
      <c r="G231" s="47">
        <v>1.12</v>
      </c>
      <c r="H231" s="48">
        <v>8.055</v>
      </c>
      <c r="I231" s="48">
        <v>3205.768</v>
      </c>
      <c r="J231" s="49">
        <v>398</v>
      </c>
      <c r="K231" s="49">
        <v>56</v>
      </c>
      <c r="L231" s="49">
        <v>342</v>
      </c>
    </row>
    <row r="232" spans="1:12" x14ac:dyDescent="0.25">
      <c r="A232" s="45">
        <f>C232&amp;"."&amp;IFERROR(MID(E232,FIND("(",E232)+1,FIND(")",E232)-FIND("(",E232)-1),"")</f>
      </c>
      <c r="B232" s="46" t="s">
        <v>1178</v>
      </c>
      <c r="C232" s="46">
        <v>2194</v>
      </c>
      <c r="D232" s="46" t="s">
        <v>378</v>
      </c>
      <c r="E232" s="46" t="s">
        <v>1455</v>
      </c>
      <c r="F232" s="46" t="s">
        <v>23</v>
      </c>
      <c r="G232" s="47">
        <v>1.12</v>
      </c>
      <c r="H232" s="48">
        <v>7.976</v>
      </c>
      <c r="I232" s="48">
        <v>34892.892</v>
      </c>
      <c r="J232" s="49">
        <v>4375</v>
      </c>
      <c r="K232" s="49">
        <v>994</v>
      </c>
      <c r="L232" s="49">
        <v>3381</v>
      </c>
    </row>
    <row r="233" spans="1:12" x14ac:dyDescent="0.25">
      <c r="A233" s="45">
        <f>C233&amp;"."&amp;IFERROR(MID(E233,FIND("(",E233)+1,FIND(")",E233)-FIND("(",E233)-1),"")</f>
      </c>
      <c r="B233" s="46" t="s">
        <v>1178</v>
      </c>
      <c r="C233" s="46">
        <v>222</v>
      </c>
      <c r="D233" s="46" t="s">
        <v>1456</v>
      </c>
      <c r="E233" s="46" t="s">
        <v>1248</v>
      </c>
      <c r="F233" s="46" t="s">
        <v>25</v>
      </c>
      <c r="G233" s="47">
        <v>0.32</v>
      </c>
      <c r="H233" s="48">
        <v>0.812</v>
      </c>
      <c r="I233" s="48">
        <v>63.325</v>
      </c>
      <c r="J233" s="49">
        <v>78</v>
      </c>
      <c r="K233" s="49">
        <v>19</v>
      </c>
      <c r="L233" s="49">
        <v>59</v>
      </c>
    </row>
    <row r="234" spans="1:12" x14ac:dyDescent="0.25">
      <c r="A234" s="45">
        <f>C234&amp;"."&amp;IFERROR(MID(E234,FIND("(",E234)+1,FIND(")",E234)-FIND("(",E234)-1),"")</f>
      </c>
      <c r="B234" s="46" t="s">
        <v>1178</v>
      </c>
      <c r="C234" s="46">
        <v>2237</v>
      </c>
      <c r="D234" s="46" t="s">
        <v>483</v>
      </c>
      <c r="E234" s="46" t="s">
        <v>1457</v>
      </c>
      <c r="F234" s="46" t="s">
        <v>26</v>
      </c>
      <c r="G234" s="47">
        <v>47</v>
      </c>
      <c r="H234" s="48">
        <v>167.692</v>
      </c>
      <c r="I234" s="48">
        <v>54499.84</v>
      </c>
      <c r="J234" s="49">
        <v>325</v>
      </c>
      <c r="K234" s="49">
        <v>173</v>
      </c>
      <c r="L234" s="49">
        <v>152</v>
      </c>
    </row>
    <row r="235" spans="1:12" x14ac:dyDescent="0.25">
      <c r="A235" s="45">
        <f>C235&amp;"."&amp;IFERROR(MID(E235,FIND("(",E235)+1,FIND(")",E235)-FIND("(",E235)-1),"")</f>
      </c>
      <c r="B235" s="46" t="s">
        <v>1178</v>
      </c>
      <c r="C235" s="46">
        <v>2238</v>
      </c>
      <c r="D235" s="46" t="s">
        <v>330</v>
      </c>
      <c r="E235" s="46" t="s">
        <v>1458</v>
      </c>
      <c r="F235" s="46" t="s">
        <v>26</v>
      </c>
      <c r="G235" s="47">
        <v>45</v>
      </c>
      <c r="H235" s="48">
        <v>143.382</v>
      </c>
      <c r="I235" s="48">
        <v>47029.174</v>
      </c>
      <c r="J235" s="49">
        <v>328</v>
      </c>
      <c r="K235" s="49">
        <v>172</v>
      </c>
      <c r="L235" s="49">
        <v>156</v>
      </c>
    </row>
    <row r="236" spans="1:12" x14ac:dyDescent="0.25">
      <c r="A236" s="45">
        <f>C236&amp;"."&amp;IFERROR(MID(E236,FIND("(",E236)+1,FIND(")",E236)-FIND("(",E236)-1),"")</f>
      </c>
      <c r="B236" s="46" t="s">
        <v>1178</v>
      </c>
      <c r="C236" s="46">
        <v>2238</v>
      </c>
      <c r="D236" s="46" t="s">
        <v>330</v>
      </c>
      <c r="E236" s="46" t="s">
        <v>1459</v>
      </c>
      <c r="F236" s="46" t="s">
        <v>26</v>
      </c>
      <c r="G236" s="47">
        <v>45</v>
      </c>
      <c r="H236" s="48">
        <v>227.901</v>
      </c>
      <c r="I236" s="48">
        <v>2734.814</v>
      </c>
      <c r="J236" s="49">
        <v>12</v>
      </c>
      <c r="K236" s="49">
        <v>0</v>
      </c>
      <c r="L236" s="49">
        <v>12</v>
      </c>
    </row>
    <row r="237" spans="1:12" x14ac:dyDescent="0.25">
      <c r="A237" s="45">
        <f>C237&amp;"."&amp;IFERROR(MID(E237,FIND("(",E237)+1,FIND(")",E237)-FIND("(",E237)-1),"")</f>
      </c>
      <c r="B237" s="46" t="s">
        <v>1178</v>
      </c>
      <c r="C237" s="46">
        <v>2239</v>
      </c>
      <c r="D237" s="46" t="s">
        <v>167</v>
      </c>
      <c r="E237" s="46" t="s">
        <v>1460</v>
      </c>
      <c r="F237" s="46" t="s">
        <v>26</v>
      </c>
      <c r="G237" s="47">
        <v>40.5</v>
      </c>
      <c r="H237" s="48">
        <v>117.471</v>
      </c>
      <c r="I237" s="48">
        <v>18207.953</v>
      </c>
      <c r="J237" s="49">
        <v>155</v>
      </c>
      <c r="K237" s="49">
        <v>42</v>
      </c>
      <c r="L237" s="49">
        <v>113</v>
      </c>
    </row>
    <row r="238" spans="1:12" x14ac:dyDescent="0.25">
      <c r="A238" s="45">
        <f>C238&amp;"."&amp;IFERROR(MID(E238,FIND("(",E238)+1,FIND(")",E238)-FIND("(",E238)-1),"")</f>
      </c>
      <c r="B238" s="46" t="s">
        <v>1178</v>
      </c>
      <c r="C238" s="46">
        <v>2239</v>
      </c>
      <c r="D238" s="46" t="s">
        <v>167</v>
      </c>
      <c r="E238" s="46" t="s">
        <v>1461</v>
      </c>
      <c r="F238" s="46" t="s">
        <v>26</v>
      </c>
      <c r="G238" s="47">
        <v>40.5</v>
      </c>
      <c r="H238" s="48">
        <v>118.953</v>
      </c>
      <c r="I238" s="48">
        <v>20459.85</v>
      </c>
      <c r="J238" s="49">
        <v>172</v>
      </c>
      <c r="K238" s="49">
        <v>131</v>
      </c>
      <c r="L238" s="49">
        <v>41</v>
      </c>
    </row>
    <row r="239" spans="1:12" x14ac:dyDescent="0.25">
      <c r="A239" s="45">
        <f>C239&amp;"."&amp;IFERROR(MID(E239,FIND("(",E239)+1,FIND(")",E239)-FIND("(",E239)-1),"")</f>
      </c>
      <c r="B239" s="46" t="s">
        <v>1178</v>
      </c>
      <c r="C239" s="46">
        <v>2239</v>
      </c>
      <c r="D239" s="46" t="s">
        <v>167</v>
      </c>
      <c r="E239" s="46" t="s">
        <v>1462</v>
      </c>
      <c r="F239" s="46" t="s">
        <v>26</v>
      </c>
      <c r="G239" s="47">
        <v>40.5</v>
      </c>
      <c r="H239" s="48">
        <v>89.345</v>
      </c>
      <c r="I239" s="48">
        <v>178.69</v>
      </c>
      <c r="J239" s="49">
        <v>2</v>
      </c>
      <c r="K239" s="49">
        <v>0</v>
      </c>
      <c r="L239" s="49">
        <v>2</v>
      </c>
    </row>
    <row r="240" spans="1:12" x14ac:dyDescent="0.25">
      <c r="A240" s="45">
        <f>C240&amp;"."&amp;IFERROR(MID(E240,FIND("(",E240)+1,FIND(")",E240)-FIND("(",E240)-1),"")</f>
      </c>
      <c r="B240" s="46" t="s">
        <v>1178</v>
      </c>
      <c r="C240" s="46">
        <v>2240</v>
      </c>
      <c r="D240" s="46" t="s">
        <v>919</v>
      </c>
      <c r="E240" s="46" t="s">
        <v>1248</v>
      </c>
      <c r="F240" s="46" t="s">
        <v>26</v>
      </c>
      <c r="G240" s="47">
        <v>7</v>
      </c>
      <c r="H240" s="48">
        <v>45.497</v>
      </c>
      <c r="I240" s="48">
        <v>16196.985</v>
      </c>
      <c r="J240" s="49">
        <v>356</v>
      </c>
      <c r="K240" s="49">
        <v>135</v>
      </c>
      <c r="L240" s="49">
        <v>221</v>
      </c>
    </row>
    <row r="241" spans="1:12" x14ac:dyDescent="0.25">
      <c r="A241" s="45">
        <f>C241&amp;"."&amp;IFERROR(MID(E241,FIND("(",E241)+1,FIND(")",E241)-FIND("(",E241)-1),"")</f>
      </c>
      <c r="B241" s="46" t="s">
        <v>1178</v>
      </c>
      <c r="C241" s="46">
        <v>2246</v>
      </c>
      <c r="D241" s="46" t="s">
        <v>196</v>
      </c>
      <c r="E241" s="46" t="s">
        <v>1463</v>
      </c>
      <c r="F241" s="46" t="s">
        <v>26</v>
      </c>
      <c r="G241" s="47">
        <v>15.7</v>
      </c>
      <c r="H241" s="48">
        <v>41.59</v>
      </c>
      <c r="I241" s="48">
        <v>11437.25</v>
      </c>
      <c r="J241" s="49">
        <v>275</v>
      </c>
      <c r="K241" s="49">
        <v>54</v>
      </c>
      <c r="L241" s="49">
        <v>221</v>
      </c>
    </row>
    <row r="242" spans="1:12" x14ac:dyDescent="0.25">
      <c r="A242" s="45">
        <f>C242&amp;"."&amp;IFERROR(MID(E242,FIND("(",E242)+1,FIND(")",E242)-FIND("(",E242)-1),"")</f>
      </c>
      <c r="B242" s="46" t="s">
        <v>1178</v>
      </c>
      <c r="C242" s="46">
        <v>2246</v>
      </c>
      <c r="D242" s="46" t="s">
        <v>196</v>
      </c>
      <c r="E242" s="46" t="s">
        <v>1464</v>
      </c>
      <c r="F242" s="46" t="s">
        <v>26</v>
      </c>
      <c r="G242" s="47">
        <v>15.7</v>
      </c>
      <c r="H242" s="48">
        <v>34.195</v>
      </c>
      <c r="I242" s="48">
        <v>15456.288</v>
      </c>
      <c r="J242" s="49">
        <v>452</v>
      </c>
      <c r="K242" s="49">
        <v>424</v>
      </c>
      <c r="L242" s="49">
        <v>28</v>
      </c>
    </row>
    <row r="243" spans="1:12" x14ac:dyDescent="0.25">
      <c r="A243" s="45">
        <f>C243&amp;"."&amp;IFERROR(MID(E243,FIND("(",E243)+1,FIND(")",E243)-FIND("(",E243)-1),"")</f>
      </c>
      <c r="B243" s="46" t="s">
        <v>1178</v>
      </c>
      <c r="C243" s="46">
        <v>2284</v>
      </c>
      <c r="D243" s="46" t="s">
        <v>981</v>
      </c>
      <c r="E243" s="46" t="s">
        <v>1465</v>
      </c>
      <c r="F243" s="46" t="s">
        <v>26</v>
      </c>
      <c r="G243" s="47">
        <v>17.5</v>
      </c>
      <c r="H243" s="48">
        <v>57.952</v>
      </c>
      <c r="I243" s="48">
        <v>57.952</v>
      </c>
      <c r="J243" s="49">
        <v>1</v>
      </c>
      <c r="K243" s="49">
        <v>0</v>
      </c>
      <c r="L243" s="49">
        <v>1</v>
      </c>
    </row>
    <row r="244" spans="1:12" x14ac:dyDescent="0.25">
      <c r="A244" s="45">
        <f>C244&amp;"."&amp;IFERROR(MID(E244,FIND("(",E244)+1,FIND(")",E244)-FIND("(",E244)-1),"")</f>
      </c>
      <c r="B244" s="46" t="s">
        <v>1178</v>
      </c>
      <c r="C244" s="46">
        <v>230</v>
      </c>
      <c r="D244" s="46" t="s">
        <v>1466</v>
      </c>
      <c r="E244" s="46" t="s">
        <v>1467</v>
      </c>
      <c r="F244" s="46" t="s">
        <v>25</v>
      </c>
      <c r="G244" s="47">
        <v>0.42</v>
      </c>
      <c r="H244" s="48">
        <v>2.985</v>
      </c>
      <c r="I244" s="48">
        <v>68.653</v>
      </c>
      <c r="J244" s="49">
        <v>23</v>
      </c>
      <c r="K244" s="49">
        <v>14</v>
      </c>
      <c r="L244" s="49">
        <v>9</v>
      </c>
    </row>
    <row r="245" spans="1:12" x14ac:dyDescent="0.25">
      <c r="A245" s="45">
        <f>C245&amp;"."&amp;IFERROR(MID(E245,FIND("(",E245)+1,FIND(")",E245)-FIND("(",E245)-1),"")</f>
      </c>
      <c r="B245" s="46" t="s">
        <v>1178</v>
      </c>
      <c r="C245" s="46">
        <v>230</v>
      </c>
      <c r="D245" s="46" t="s">
        <v>1466</v>
      </c>
      <c r="E245" s="46" t="s">
        <v>1468</v>
      </c>
      <c r="F245" s="46" t="s">
        <v>25</v>
      </c>
      <c r="G245" s="47">
        <v>0.42</v>
      </c>
      <c r="H245" s="48">
        <v>3.666</v>
      </c>
      <c r="I245" s="48">
        <v>7.331</v>
      </c>
      <c r="J245" s="49">
        <v>2</v>
      </c>
      <c r="K245" s="49">
        <v>0</v>
      </c>
      <c r="L245" s="49">
        <v>2</v>
      </c>
    </row>
    <row r="246" spans="1:12" x14ac:dyDescent="0.25">
      <c r="A246" s="45">
        <f>C246&amp;"."&amp;IFERROR(MID(E246,FIND("(",E246)+1,FIND(")",E246)-FIND("(",E246)-1),"")</f>
      </c>
      <c r="B246" s="46" t="s">
        <v>1178</v>
      </c>
      <c r="C246" s="46">
        <v>2308</v>
      </c>
      <c r="D246" s="46" t="s">
        <v>207</v>
      </c>
      <c r="E246" s="46" t="s">
        <v>1469</v>
      </c>
      <c r="F246" s="46" t="s">
        <v>23</v>
      </c>
      <c r="G246" s="47">
        <v>0.72</v>
      </c>
      <c r="H246" s="48">
        <v>8.323</v>
      </c>
      <c r="I246" s="48">
        <v>2288.798</v>
      </c>
      <c r="J246" s="49">
        <v>275</v>
      </c>
      <c r="K246" s="49">
        <v>44</v>
      </c>
      <c r="L246" s="49">
        <v>231</v>
      </c>
    </row>
    <row r="247" spans="1:12" x14ac:dyDescent="0.25">
      <c r="A247" s="45">
        <f>C247&amp;"."&amp;IFERROR(MID(E247,FIND("(",E247)+1,FIND(")",E247)-FIND("(",E247)-1),"")</f>
      </c>
      <c r="B247" s="46" t="s">
        <v>1178</v>
      </c>
      <c r="C247" s="46">
        <v>2308</v>
      </c>
      <c r="D247" s="46" t="s">
        <v>207</v>
      </c>
      <c r="E247" s="46" t="s">
        <v>1470</v>
      </c>
      <c r="F247" s="46" t="s">
        <v>23</v>
      </c>
      <c r="G247" s="47">
        <v>0.72</v>
      </c>
      <c r="H247" s="48">
        <v>7.434</v>
      </c>
      <c r="I247" s="48">
        <v>275.057</v>
      </c>
      <c r="J247" s="49">
        <v>37</v>
      </c>
      <c r="K247" s="49">
        <v>16</v>
      </c>
      <c r="L247" s="49">
        <v>21</v>
      </c>
    </row>
    <row r="248" spans="1:12" x14ac:dyDescent="0.25">
      <c r="A248" s="45">
        <f>C248&amp;"."&amp;IFERROR(MID(E248,FIND("(",E248)+1,FIND(")",E248)-FIND("(",E248)-1),"")</f>
      </c>
      <c r="B248" s="46" t="s">
        <v>1178</v>
      </c>
      <c r="C248" s="46">
        <v>2308</v>
      </c>
      <c r="D248" s="46" t="s">
        <v>207</v>
      </c>
      <c r="E248" s="46" t="s">
        <v>1471</v>
      </c>
      <c r="F248" s="46" t="s">
        <v>23</v>
      </c>
      <c r="G248" s="47">
        <v>0.72</v>
      </c>
      <c r="H248" s="48">
        <v>48.797</v>
      </c>
      <c r="I248" s="48">
        <v>2586.246</v>
      </c>
      <c r="J248" s="49">
        <v>53</v>
      </c>
      <c r="K248" s="49">
        <v>0</v>
      </c>
      <c r="L248" s="49">
        <v>53</v>
      </c>
    </row>
    <row r="249" spans="1:12" x14ac:dyDescent="0.25">
      <c r="A249" s="45">
        <f>C249&amp;"."&amp;IFERROR(MID(E249,FIND("(",E249)+1,FIND(")",E249)-FIND("(",E249)-1),"")</f>
      </c>
      <c r="B249" s="46" t="s">
        <v>1178</v>
      </c>
      <c r="C249" s="46">
        <v>2317</v>
      </c>
      <c r="D249" s="46" t="s">
        <v>769</v>
      </c>
      <c r="E249" s="46" t="s">
        <v>1472</v>
      </c>
      <c r="F249" s="46" t="s">
        <v>26</v>
      </c>
      <c r="G249" s="47">
        <v>60.9</v>
      </c>
      <c r="H249" s="48">
        <v>295.804</v>
      </c>
      <c r="I249" s="48">
        <v>170974.63</v>
      </c>
      <c r="J249" s="49">
        <v>578</v>
      </c>
      <c r="K249" s="49">
        <v>103</v>
      </c>
      <c r="L249" s="49">
        <v>475</v>
      </c>
    </row>
    <row r="250" spans="1:12" x14ac:dyDescent="0.25">
      <c r="A250" s="45">
        <f>C250&amp;"."&amp;IFERROR(MID(E250,FIND("(",E250)+1,FIND(")",E250)-FIND("(",E250)-1),"")</f>
      </c>
      <c r="B250" s="46" t="s">
        <v>1178</v>
      </c>
      <c r="C250" s="46">
        <v>2317</v>
      </c>
      <c r="D250" s="46" t="s">
        <v>769</v>
      </c>
      <c r="E250" s="46" t="s">
        <v>1473</v>
      </c>
      <c r="F250" s="46" t="s">
        <v>26</v>
      </c>
      <c r="G250" s="47">
        <v>60.9</v>
      </c>
      <c r="H250" s="48">
        <v>291.583</v>
      </c>
      <c r="I250" s="48">
        <v>2041.08</v>
      </c>
      <c r="J250" s="49">
        <v>7</v>
      </c>
      <c r="K250" s="49">
        <v>1</v>
      </c>
      <c r="L250" s="49">
        <v>6</v>
      </c>
    </row>
    <row r="251" spans="1:12" x14ac:dyDescent="0.25">
      <c r="A251" s="45">
        <f>C251&amp;"."&amp;IFERROR(MID(E251,FIND("(",E251)+1,FIND(")",E251)-FIND("(",E251)-1),"")</f>
      </c>
      <c r="B251" s="46" t="s">
        <v>1178</v>
      </c>
      <c r="C251" s="46">
        <v>2318</v>
      </c>
      <c r="D251" s="46" t="s">
        <v>771</v>
      </c>
      <c r="E251" s="46" t="s">
        <v>1474</v>
      </c>
      <c r="F251" s="46" t="s">
        <v>26</v>
      </c>
      <c r="G251" s="47">
        <v>39.15</v>
      </c>
      <c r="H251" s="48">
        <v>119.411</v>
      </c>
      <c r="I251" s="48">
        <v>716.469</v>
      </c>
      <c r="J251" s="49">
        <v>6</v>
      </c>
      <c r="K251" s="49">
        <v>1</v>
      </c>
      <c r="L251" s="49">
        <v>5</v>
      </c>
    </row>
    <row r="252" spans="1:12" x14ac:dyDescent="0.25">
      <c r="A252" s="45">
        <f>C252&amp;"."&amp;IFERROR(MID(E252,FIND("(",E252)+1,FIND(")",E252)-FIND("(",E252)-1),"")</f>
      </c>
      <c r="B252" s="46" t="s">
        <v>1178</v>
      </c>
      <c r="C252" s="46">
        <v>2318</v>
      </c>
      <c r="D252" s="46" t="s">
        <v>771</v>
      </c>
      <c r="E252" s="46" t="s">
        <v>1475</v>
      </c>
      <c r="F252" s="46" t="s">
        <v>26</v>
      </c>
      <c r="G252" s="47">
        <v>39.15</v>
      </c>
      <c r="H252" s="48">
        <v>121.202</v>
      </c>
      <c r="I252" s="48">
        <v>70782.061</v>
      </c>
      <c r="J252" s="49">
        <v>584</v>
      </c>
      <c r="K252" s="49">
        <v>103</v>
      </c>
      <c r="L252" s="49">
        <v>481</v>
      </c>
    </row>
    <row r="253" spans="1:12" x14ac:dyDescent="0.25">
      <c r="A253" s="45">
        <f>C253&amp;"."&amp;IFERROR(MID(E253,FIND("(",E253)+1,FIND(")",E253)-FIND("(",E253)-1),"")</f>
      </c>
      <c r="B253" s="46" t="s">
        <v>1178</v>
      </c>
      <c r="C253" s="46">
        <v>2319</v>
      </c>
      <c r="D253" s="46" t="s">
        <v>478</v>
      </c>
      <c r="E253" s="46" t="s">
        <v>1476</v>
      </c>
      <c r="F253" s="46" t="s">
        <v>26</v>
      </c>
      <c r="G253" s="47">
        <v>48.8</v>
      </c>
      <c r="H253" s="48">
        <v>136.75</v>
      </c>
      <c r="I253" s="48">
        <v>80408.808</v>
      </c>
      <c r="J253" s="49">
        <v>588</v>
      </c>
      <c r="K253" s="49">
        <v>103</v>
      </c>
      <c r="L253" s="49">
        <v>485</v>
      </c>
    </row>
    <row r="254" spans="1:12" x14ac:dyDescent="0.25">
      <c r="A254" s="45">
        <f>C254&amp;"."&amp;IFERROR(MID(E254,FIND("(",E254)+1,FIND(")",E254)-FIND("(",E254)-1),"")</f>
      </c>
      <c r="B254" s="46" t="s">
        <v>1178</v>
      </c>
      <c r="C254" s="46">
        <v>2319</v>
      </c>
      <c r="D254" s="46" t="s">
        <v>478</v>
      </c>
      <c r="E254" s="46" t="s">
        <v>1477</v>
      </c>
      <c r="F254" s="46" t="s">
        <v>26</v>
      </c>
      <c r="G254" s="47">
        <v>48.8</v>
      </c>
      <c r="H254" s="48">
        <v>139.92</v>
      </c>
      <c r="I254" s="48">
        <v>699.599</v>
      </c>
      <c r="J254" s="49">
        <v>5</v>
      </c>
      <c r="K254" s="49">
        <v>1</v>
      </c>
      <c r="L254" s="49">
        <v>4</v>
      </c>
    </row>
    <row r="255" spans="1:12" x14ac:dyDescent="0.25">
      <c r="A255" s="45">
        <f>C255&amp;"."&amp;IFERROR(MID(E255,FIND("(",E255)+1,FIND(")",E255)-FIND("(",E255)-1),"")</f>
      </c>
      <c r="B255" s="46" t="s">
        <v>1178</v>
      </c>
      <c r="C255" s="46">
        <v>232</v>
      </c>
      <c r="D255" s="46" t="s">
        <v>1478</v>
      </c>
      <c r="E255" s="46" t="s">
        <v>1479</v>
      </c>
      <c r="F255" s="46" t="s">
        <v>25</v>
      </c>
      <c r="G255" s="47">
        <v>0.19</v>
      </c>
      <c r="H255" s="48">
        <v>3.999</v>
      </c>
      <c r="I255" s="48">
        <v>43.985</v>
      </c>
      <c r="J255" s="49">
        <v>11</v>
      </c>
      <c r="K255" s="49">
        <v>0</v>
      </c>
      <c r="L255" s="49">
        <v>11</v>
      </c>
    </row>
    <row r="256" spans="1:12" x14ac:dyDescent="0.25">
      <c r="A256" s="45">
        <f>C256&amp;"."&amp;IFERROR(MID(E256,FIND("(",E256)+1,FIND(")",E256)-FIND("(",E256)-1),"")</f>
      </c>
      <c r="B256" s="46" t="s">
        <v>1178</v>
      </c>
      <c r="C256" s="46">
        <v>232</v>
      </c>
      <c r="D256" s="46" t="s">
        <v>1478</v>
      </c>
      <c r="E256" s="46" t="s">
        <v>1480</v>
      </c>
      <c r="F256" s="46" t="s">
        <v>25</v>
      </c>
      <c r="G256" s="47">
        <v>0.19</v>
      </c>
      <c r="H256" s="48">
        <v>5.738</v>
      </c>
      <c r="I256" s="48">
        <v>470.529</v>
      </c>
      <c r="J256" s="49">
        <v>82</v>
      </c>
      <c r="K256" s="49">
        <v>47</v>
      </c>
      <c r="L256" s="49">
        <v>35</v>
      </c>
    </row>
    <row r="257" spans="1:12" x14ac:dyDescent="0.25">
      <c r="A257" s="45">
        <f>C257&amp;"."&amp;IFERROR(MID(E257,FIND("(",E257)+1,FIND(")",E257)-FIND("(",E257)-1),"")</f>
      </c>
      <c r="B257" s="46" t="s">
        <v>1178</v>
      </c>
      <c r="C257" s="46">
        <v>2320</v>
      </c>
      <c r="D257" s="46" t="s">
        <v>325</v>
      </c>
      <c r="E257" s="46" t="s">
        <v>1481</v>
      </c>
      <c r="F257" s="46" t="s">
        <v>26</v>
      </c>
      <c r="G257" s="47">
        <v>59.1</v>
      </c>
      <c r="H257" s="48">
        <v>184.988</v>
      </c>
      <c r="I257" s="48">
        <v>103223.395</v>
      </c>
      <c r="J257" s="49">
        <v>558</v>
      </c>
      <c r="K257" s="49">
        <v>104</v>
      </c>
      <c r="L257" s="49">
        <v>454</v>
      </c>
    </row>
    <row r="258" spans="1:12" x14ac:dyDescent="0.25">
      <c r="A258" s="45">
        <f>C258&amp;"."&amp;IFERROR(MID(E258,FIND("(",E258)+1,FIND(")",E258)-FIND("(",E258)-1),"")</f>
      </c>
      <c r="B258" s="46" t="s">
        <v>1178</v>
      </c>
      <c r="C258" s="46">
        <v>2320</v>
      </c>
      <c r="D258" s="46" t="s">
        <v>325</v>
      </c>
      <c r="E258" s="46" t="s">
        <v>1482</v>
      </c>
      <c r="F258" s="46" t="s">
        <v>26</v>
      </c>
      <c r="G258" s="47">
        <v>59.1</v>
      </c>
      <c r="H258" s="48">
        <v>184.125</v>
      </c>
      <c r="I258" s="48">
        <v>2025.37</v>
      </c>
      <c r="J258" s="49">
        <v>11</v>
      </c>
      <c r="K258" s="49">
        <v>1</v>
      </c>
      <c r="L258" s="49">
        <v>10</v>
      </c>
    </row>
    <row r="259" spans="1:12" x14ac:dyDescent="0.25">
      <c r="A259" s="45">
        <f>C259&amp;"."&amp;IFERROR(MID(E259,FIND("(",E259)+1,FIND(")",E259)-FIND("(",E259)-1),"")</f>
      </c>
      <c r="B259" s="46" t="s">
        <v>1178</v>
      </c>
      <c r="C259" s="46">
        <v>2321</v>
      </c>
      <c r="D259" s="46" t="s">
        <v>988</v>
      </c>
      <c r="E259" s="46" t="s">
        <v>1248</v>
      </c>
      <c r="F259" s="46" t="s">
        <v>26</v>
      </c>
      <c r="G259" s="47">
        <v>16.6</v>
      </c>
      <c r="H259" s="48">
        <v>84.46</v>
      </c>
      <c r="I259" s="48">
        <v>56334.68</v>
      </c>
      <c r="J259" s="49">
        <v>667</v>
      </c>
      <c r="K259" s="49">
        <v>119</v>
      </c>
      <c r="L259" s="49">
        <v>548</v>
      </c>
    </row>
    <row r="260" spans="1:12" x14ac:dyDescent="0.25">
      <c r="A260" s="45">
        <f>C260&amp;"."&amp;IFERROR(MID(E260,FIND("(",E260)+1,FIND(")",E260)-FIND("(",E260)-1),"")</f>
      </c>
      <c r="B260" s="46" t="s">
        <v>1178</v>
      </c>
      <c r="C260" s="46">
        <v>234</v>
      </c>
      <c r="D260" s="46" t="s">
        <v>1483</v>
      </c>
      <c r="E260" s="46" t="s">
        <v>1484</v>
      </c>
      <c r="F260" s="46" t="s">
        <v>25</v>
      </c>
      <c r="G260" s="47">
        <v>0.56</v>
      </c>
      <c r="H260" s="48">
        <v>3.219</v>
      </c>
      <c r="I260" s="48">
        <v>19.316</v>
      </c>
      <c r="J260" s="49">
        <v>6</v>
      </c>
      <c r="K260" s="49">
        <v>0</v>
      </c>
      <c r="L260" s="49">
        <v>6</v>
      </c>
    </row>
    <row r="261" spans="1:12" x14ac:dyDescent="0.25">
      <c r="A261" s="45">
        <f>C261&amp;"."&amp;IFERROR(MID(E261,FIND("(",E261)+1,FIND(")",E261)-FIND("(",E261)-1),"")</f>
      </c>
      <c r="B261" s="46" t="s">
        <v>1178</v>
      </c>
      <c r="C261" s="46">
        <v>234</v>
      </c>
      <c r="D261" s="46" t="s">
        <v>1483</v>
      </c>
      <c r="E261" s="46" t="s">
        <v>1485</v>
      </c>
      <c r="F261" s="46" t="s">
        <v>25</v>
      </c>
      <c r="G261" s="47">
        <v>0.56</v>
      </c>
      <c r="H261" s="48">
        <v>3.46</v>
      </c>
      <c r="I261" s="48">
        <v>183.377</v>
      </c>
      <c r="J261" s="49">
        <v>53</v>
      </c>
      <c r="K261" s="49">
        <v>25</v>
      </c>
      <c r="L261" s="49">
        <v>28</v>
      </c>
    </row>
    <row r="262" spans="1:12" x14ac:dyDescent="0.25">
      <c r="A262" s="45">
        <f>C262&amp;"."&amp;IFERROR(MID(E262,FIND("(",E262)+1,FIND(")",E262)-FIND("(",E262)-1),"")</f>
      </c>
      <c r="B262" s="46" t="s">
        <v>1178</v>
      </c>
      <c r="C262" s="46">
        <v>2344</v>
      </c>
      <c r="D262" s="46" t="s">
        <v>623</v>
      </c>
      <c r="E262" s="46" t="s">
        <v>1486</v>
      </c>
      <c r="F262" s="46" t="s">
        <v>26</v>
      </c>
      <c r="G262" s="47">
        <v>51.5</v>
      </c>
      <c r="H262" s="48">
        <v>205.834</v>
      </c>
      <c r="I262" s="48">
        <v>9468.364</v>
      </c>
      <c r="J262" s="49">
        <v>46</v>
      </c>
      <c r="K262" s="49">
        <v>39</v>
      </c>
      <c r="L262" s="49">
        <v>7</v>
      </c>
    </row>
    <row r="263" spans="1:12" x14ac:dyDescent="0.25">
      <c r="A263" s="45">
        <f>C263&amp;"."&amp;IFERROR(MID(E263,FIND("(",E263)+1,FIND(")",E263)-FIND("(",E263)-1),"")</f>
      </c>
      <c r="B263" s="46" t="s">
        <v>1178</v>
      </c>
      <c r="C263" s="46">
        <v>2344</v>
      </c>
      <c r="D263" s="46" t="s">
        <v>623</v>
      </c>
      <c r="E263" s="46" t="s">
        <v>1487</v>
      </c>
      <c r="F263" s="46" t="s">
        <v>26</v>
      </c>
      <c r="G263" s="47">
        <v>51.5</v>
      </c>
      <c r="H263" s="48">
        <v>182.132</v>
      </c>
      <c r="I263" s="48">
        <v>2549.846</v>
      </c>
      <c r="J263" s="49">
        <v>14</v>
      </c>
      <c r="K263" s="49">
        <v>4</v>
      </c>
      <c r="L263" s="49">
        <v>10</v>
      </c>
    </row>
    <row r="264" spans="1:12" x14ac:dyDescent="0.25">
      <c r="A264" s="45">
        <f>C264&amp;"."&amp;IFERROR(MID(E264,FIND("(",E264)+1,FIND(")",E264)-FIND("(",E264)-1),"")</f>
      </c>
      <c r="B264" s="46" t="s">
        <v>1178</v>
      </c>
      <c r="C264" s="46">
        <v>2345</v>
      </c>
      <c r="D264" s="46" t="s">
        <v>165</v>
      </c>
      <c r="E264" s="46" t="s">
        <v>1488</v>
      </c>
      <c r="F264" s="46" t="s">
        <v>26</v>
      </c>
      <c r="G264" s="47">
        <v>56.8</v>
      </c>
      <c r="H264" s="48">
        <v>148.778</v>
      </c>
      <c r="I264" s="48">
        <v>4612.121</v>
      </c>
      <c r="J264" s="49">
        <v>31</v>
      </c>
      <c r="K264" s="49">
        <v>4</v>
      </c>
      <c r="L264" s="49">
        <v>27</v>
      </c>
    </row>
    <row r="265" spans="1:12" x14ac:dyDescent="0.25">
      <c r="A265" s="45">
        <f>C265&amp;"."&amp;IFERROR(MID(E265,FIND("(",E265)+1,FIND(")",E265)-FIND("(",E265)-1),"")</f>
      </c>
      <c r="B265" s="46" t="s">
        <v>1178</v>
      </c>
      <c r="C265" s="46">
        <v>2345</v>
      </c>
      <c r="D265" s="46" t="s">
        <v>165</v>
      </c>
      <c r="E265" s="46" t="s">
        <v>1489</v>
      </c>
      <c r="F265" s="46" t="s">
        <v>26</v>
      </c>
      <c r="G265" s="47">
        <v>56.8</v>
      </c>
      <c r="H265" s="48">
        <v>151.859</v>
      </c>
      <c r="I265" s="48">
        <v>8504.121</v>
      </c>
      <c r="J265" s="49">
        <v>56</v>
      </c>
      <c r="K265" s="49">
        <v>39</v>
      </c>
      <c r="L265" s="49">
        <v>17</v>
      </c>
    </row>
    <row r="266" spans="1:12" x14ac:dyDescent="0.25">
      <c r="A266" s="45">
        <f>C266&amp;"."&amp;IFERROR(MID(E266,FIND("(",E266)+1,FIND(")",E266)-FIND("(",E266)-1),"")</f>
      </c>
      <c r="B266" s="46" t="s">
        <v>1178</v>
      </c>
      <c r="C266" s="46">
        <v>2348</v>
      </c>
      <c r="D266" s="46" t="s">
        <v>493</v>
      </c>
      <c r="E266" s="46" t="s">
        <v>1490</v>
      </c>
      <c r="F266" s="46" t="s">
        <v>26</v>
      </c>
      <c r="G266" s="47">
        <v>13.5</v>
      </c>
      <c r="H266" s="48">
        <v>126.793</v>
      </c>
      <c r="I266" s="48">
        <v>16483.137</v>
      </c>
      <c r="J266" s="49">
        <v>130</v>
      </c>
      <c r="K266" s="49">
        <v>5</v>
      </c>
      <c r="L266" s="49">
        <v>125</v>
      </c>
    </row>
    <row r="267" spans="1:12" x14ac:dyDescent="0.25">
      <c r="A267" s="45">
        <f>C267&amp;"."&amp;IFERROR(MID(E267,FIND("(",E267)+1,FIND(")",E267)-FIND("(",E267)-1),"")</f>
      </c>
      <c r="B267" s="46" t="s">
        <v>1178</v>
      </c>
      <c r="C267" s="46">
        <v>2348</v>
      </c>
      <c r="D267" s="46" t="s">
        <v>493</v>
      </c>
      <c r="E267" s="46" t="s">
        <v>1491</v>
      </c>
      <c r="F267" s="46" t="s">
        <v>26</v>
      </c>
      <c r="G267" s="47">
        <v>13.5</v>
      </c>
      <c r="H267" s="48">
        <v>125.874</v>
      </c>
      <c r="I267" s="48">
        <v>60671.239</v>
      </c>
      <c r="J267" s="49">
        <v>482</v>
      </c>
      <c r="K267" s="49">
        <v>110</v>
      </c>
      <c r="L267" s="49">
        <v>372</v>
      </c>
    </row>
    <row r="268" spans="1:12" x14ac:dyDescent="0.25">
      <c r="A268" s="45">
        <f>C268&amp;"."&amp;IFERROR(MID(E268,FIND("(",E268)+1,FIND(")",E268)-FIND("(",E268)-1),"")</f>
      </c>
      <c r="B268" s="46" t="s">
        <v>1178</v>
      </c>
      <c r="C268" s="46">
        <v>2350</v>
      </c>
      <c r="D268" s="46" t="s">
        <v>192</v>
      </c>
      <c r="E268" s="46" t="s">
        <v>1492</v>
      </c>
      <c r="F268" s="46" t="s">
        <v>26</v>
      </c>
      <c r="G268" s="47">
        <v>29.05</v>
      </c>
      <c r="H268" s="48">
        <v>105.867</v>
      </c>
      <c r="I268" s="48">
        <v>635.2</v>
      </c>
      <c r="J268" s="49">
        <v>6</v>
      </c>
      <c r="K268" s="49">
        <v>6</v>
      </c>
      <c r="L268" s="49">
        <v>0</v>
      </c>
    </row>
    <row r="269" spans="1:12" x14ac:dyDescent="0.25">
      <c r="A269" s="45">
        <f>C269&amp;"."&amp;IFERROR(MID(E269,FIND("(",E269)+1,FIND(")",E269)-FIND("(",E269)-1),"")</f>
      </c>
      <c r="B269" s="46" t="s">
        <v>1178</v>
      </c>
      <c r="C269" s="46">
        <v>2350</v>
      </c>
      <c r="D269" s="46" t="s">
        <v>192</v>
      </c>
      <c r="E269" s="46" t="s">
        <v>1493</v>
      </c>
      <c r="F269" s="46" t="s">
        <v>26</v>
      </c>
      <c r="G269" s="47">
        <v>29.05</v>
      </c>
      <c r="H269" s="48">
        <v>105.778</v>
      </c>
      <c r="I269" s="48">
        <v>5077.321</v>
      </c>
      <c r="J269" s="49">
        <v>48</v>
      </c>
      <c r="K269" s="49">
        <v>4</v>
      </c>
      <c r="L269" s="49">
        <v>44</v>
      </c>
    </row>
    <row r="270" spans="1:12" x14ac:dyDescent="0.25">
      <c r="A270" s="45">
        <f>C270&amp;"."&amp;IFERROR(MID(E270,FIND("(",E270)+1,FIND(")",E270)-FIND("(",E270)-1),"")</f>
      </c>
      <c r="B270" s="46" t="s">
        <v>1178</v>
      </c>
      <c r="C270" s="46">
        <v>2351</v>
      </c>
      <c r="D270" s="46" t="s">
        <v>1494</v>
      </c>
      <c r="E270" s="46" t="s">
        <v>1248</v>
      </c>
      <c r="F270" s="46" t="s">
        <v>1495</v>
      </c>
      <c r="G270" s="47">
        <v>0</v>
      </c>
      <c r="H270" s="48">
        <v>0.681</v>
      </c>
      <c r="I270" s="48">
        <v>115.775</v>
      </c>
      <c r="J270" s="49">
        <v>170</v>
      </c>
      <c r="K270" s="49">
        <v>105</v>
      </c>
      <c r="L270" s="49">
        <v>65</v>
      </c>
    </row>
    <row r="271" spans="1:12" x14ac:dyDescent="0.25">
      <c r="A271" s="45">
        <f>C271&amp;"."&amp;IFERROR(MID(E271,FIND("(",E271)+1,FIND(")",E271)-FIND("(",E271)-1),"")</f>
      </c>
      <c r="B271" s="46" t="s">
        <v>1178</v>
      </c>
      <c r="C271" s="46">
        <v>2354</v>
      </c>
      <c r="D271" s="46" t="s">
        <v>869</v>
      </c>
      <c r="E271" s="46" t="s">
        <v>1496</v>
      </c>
      <c r="F271" s="46" t="s">
        <v>26</v>
      </c>
      <c r="G271" s="47">
        <v>69</v>
      </c>
      <c r="H271" s="48">
        <v>240.485</v>
      </c>
      <c r="I271" s="48">
        <v>1923.878</v>
      </c>
      <c r="J271" s="49">
        <v>8</v>
      </c>
      <c r="K271" s="49">
        <v>0</v>
      </c>
      <c r="L271" s="49">
        <v>8</v>
      </c>
    </row>
    <row r="272" spans="1:12" x14ac:dyDescent="0.25">
      <c r="A272" s="45">
        <f>C272&amp;"."&amp;IFERROR(MID(E272,FIND("(",E272)+1,FIND(")",E272)-FIND("(",E272)-1),"")</f>
      </c>
      <c r="B272" s="46" t="s">
        <v>1178</v>
      </c>
      <c r="C272" s="46">
        <v>2355</v>
      </c>
      <c r="D272" s="46" t="s">
        <v>118</v>
      </c>
      <c r="E272" s="46" t="s">
        <v>1497</v>
      </c>
      <c r="F272" s="46" t="s">
        <v>26</v>
      </c>
      <c r="G272" s="47">
        <v>72.2</v>
      </c>
      <c r="H272" s="48">
        <v>254.622</v>
      </c>
      <c r="I272" s="48">
        <v>2036.977</v>
      </c>
      <c r="J272" s="49">
        <v>8</v>
      </c>
      <c r="K272" s="49">
        <v>0</v>
      </c>
      <c r="L272" s="49">
        <v>8</v>
      </c>
    </row>
    <row r="273" spans="1:12" x14ac:dyDescent="0.25">
      <c r="A273" s="45">
        <f>C273&amp;"."&amp;IFERROR(MID(E273,FIND("(",E273)+1,FIND(")",E273)-FIND("(",E273)-1),"")</f>
      </c>
      <c r="B273" s="46" t="s">
        <v>1178</v>
      </c>
      <c r="C273" s="46">
        <v>236</v>
      </c>
      <c r="D273" s="46" t="s">
        <v>1498</v>
      </c>
      <c r="E273" s="46" t="s">
        <v>1248</v>
      </c>
      <c r="F273" s="46" t="s">
        <v>25</v>
      </c>
      <c r="G273" s="47">
        <v>0.32</v>
      </c>
      <c r="H273" s="48">
        <v>0.873</v>
      </c>
      <c r="I273" s="48">
        <v>27.049</v>
      </c>
      <c r="J273" s="49">
        <v>31</v>
      </c>
      <c r="K273" s="49">
        <v>31</v>
      </c>
      <c r="L273" s="49">
        <v>0</v>
      </c>
    </row>
    <row r="274" spans="1:12" x14ac:dyDescent="0.25">
      <c r="A274" s="45">
        <f>C274&amp;"."&amp;IFERROR(MID(E274,FIND("(",E274)+1,FIND(")",E274)-FIND("(",E274)-1),"")</f>
      </c>
      <c r="B274" s="46" t="s">
        <v>1178</v>
      </c>
      <c r="C274" s="46">
        <v>2379</v>
      </c>
      <c r="D274" s="46" t="s">
        <v>711</v>
      </c>
      <c r="E274" s="46" t="s">
        <v>1499</v>
      </c>
      <c r="F274" s="46" t="s">
        <v>24</v>
      </c>
      <c r="G274" s="47">
        <v>35.5</v>
      </c>
      <c r="H274" s="48">
        <v>133.126</v>
      </c>
      <c r="I274" s="48">
        <v>2396.272</v>
      </c>
      <c r="J274" s="49">
        <v>18</v>
      </c>
      <c r="K274" s="49">
        <v>0</v>
      </c>
      <c r="L274" s="49">
        <v>18</v>
      </c>
    </row>
    <row r="275" spans="1:12" x14ac:dyDescent="0.25">
      <c r="A275" s="45">
        <f>C275&amp;"."&amp;IFERROR(MID(E275,FIND("(",E275)+1,FIND(")",E275)-FIND("(",E275)-1),"")</f>
      </c>
      <c r="B275" s="46" t="s">
        <v>1178</v>
      </c>
      <c r="C275" s="46">
        <v>238</v>
      </c>
      <c r="D275" s="46" t="s">
        <v>1500</v>
      </c>
      <c r="E275" s="46" t="s">
        <v>1501</v>
      </c>
      <c r="F275" s="46" t="s">
        <v>25</v>
      </c>
      <c r="G275" s="47">
        <v>2.75</v>
      </c>
      <c r="H275" s="48">
        <v>8.931</v>
      </c>
      <c r="I275" s="48">
        <v>107.176</v>
      </c>
      <c r="J275" s="49">
        <v>12</v>
      </c>
      <c r="K275" s="49">
        <v>5</v>
      </c>
      <c r="L275" s="49">
        <v>7</v>
      </c>
    </row>
    <row r="276" spans="1:12" x14ac:dyDescent="0.25">
      <c r="A276" s="45">
        <f>C276&amp;"."&amp;IFERROR(MID(E276,FIND("(",E276)+1,FIND(")",E276)-FIND("(",E276)-1),"")</f>
      </c>
      <c r="B276" s="46" t="s">
        <v>1178</v>
      </c>
      <c r="C276" s="46">
        <v>238</v>
      </c>
      <c r="D276" s="46" t="s">
        <v>1500</v>
      </c>
      <c r="E276" s="46" t="s">
        <v>1502</v>
      </c>
      <c r="F276" s="46" t="s">
        <v>25</v>
      </c>
      <c r="G276" s="47">
        <v>2.75</v>
      </c>
      <c r="H276" s="48">
        <v>8.134</v>
      </c>
      <c r="I276" s="48">
        <v>146.415</v>
      </c>
      <c r="J276" s="49">
        <v>18</v>
      </c>
      <c r="K276" s="49">
        <v>9</v>
      </c>
      <c r="L276" s="49">
        <v>9</v>
      </c>
    </row>
    <row r="277" spans="1:12" x14ac:dyDescent="0.25">
      <c r="A277" s="45">
        <f>C277&amp;"."&amp;IFERROR(MID(E277,FIND("(",E277)+1,FIND(")",E277)-FIND("(",E277)-1),"")</f>
      </c>
      <c r="B277" s="46" t="s">
        <v>1178</v>
      </c>
      <c r="C277" s="46">
        <v>238</v>
      </c>
      <c r="D277" s="46" t="s">
        <v>1500</v>
      </c>
      <c r="E277" s="46" t="s">
        <v>1503</v>
      </c>
      <c r="F277" s="46" t="s">
        <v>25</v>
      </c>
      <c r="G277" s="47">
        <v>2.75</v>
      </c>
      <c r="H277" s="48">
        <v>15.13</v>
      </c>
      <c r="I277" s="48">
        <v>166.43</v>
      </c>
      <c r="J277" s="49">
        <v>11</v>
      </c>
      <c r="K277" s="49">
        <v>0</v>
      </c>
      <c r="L277" s="49">
        <v>11</v>
      </c>
    </row>
    <row r="278" spans="1:12" x14ac:dyDescent="0.25">
      <c r="A278" s="45">
        <f>C278&amp;"."&amp;IFERROR(MID(E278,FIND("(",E278)+1,FIND(")",E278)-FIND("(",E278)-1),"")</f>
      </c>
      <c r="B278" s="46" t="s">
        <v>1178</v>
      </c>
      <c r="C278" s="46">
        <v>238</v>
      </c>
      <c r="D278" s="46" t="s">
        <v>1500</v>
      </c>
      <c r="E278" s="46" t="s">
        <v>1504</v>
      </c>
      <c r="F278" s="46" t="s">
        <v>25</v>
      </c>
      <c r="G278" s="47">
        <v>2.75</v>
      </c>
      <c r="H278" s="48">
        <v>7.963</v>
      </c>
      <c r="I278" s="48">
        <v>47.778</v>
      </c>
      <c r="J278" s="49">
        <v>6</v>
      </c>
      <c r="K278" s="49">
        <v>1</v>
      </c>
      <c r="L278" s="49">
        <v>5</v>
      </c>
    </row>
    <row r="279" spans="1:12" x14ac:dyDescent="0.25">
      <c r="A279" s="45">
        <f>C279&amp;"."&amp;IFERROR(MID(E279,FIND("(",E279)+1,FIND(")",E279)-FIND("(",E279)-1),"")</f>
      </c>
      <c r="B279" s="46" t="s">
        <v>1178</v>
      </c>
      <c r="C279" s="46">
        <v>238</v>
      </c>
      <c r="D279" s="46" t="s">
        <v>1500</v>
      </c>
      <c r="E279" s="46" t="s">
        <v>1505</v>
      </c>
      <c r="F279" s="46" t="s">
        <v>25</v>
      </c>
      <c r="G279" s="47">
        <v>2.75</v>
      </c>
      <c r="H279" s="48">
        <v>7.872</v>
      </c>
      <c r="I279" s="48">
        <v>125.956</v>
      </c>
      <c r="J279" s="49">
        <v>16</v>
      </c>
      <c r="K279" s="49">
        <v>3</v>
      </c>
      <c r="L279" s="49">
        <v>13</v>
      </c>
    </row>
    <row r="280" spans="1:12" x14ac:dyDescent="0.25">
      <c r="A280" s="45">
        <f>C280&amp;"."&amp;IFERROR(MID(E280,FIND("(",E280)+1,FIND(")",E280)-FIND("(",E280)-1),"")</f>
      </c>
      <c r="B280" s="46" t="s">
        <v>1178</v>
      </c>
      <c r="C280" s="46">
        <v>238</v>
      </c>
      <c r="D280" s="46" t="s">
        <v>1500</v>
      </c>
      <c r="E280" s="46" t="s">
        <v>1506</v>
      </c>
      <c r="F280" s="46" t="s">
        <v>25</v>
      </c>
      <c r="G280" s="47">
        <v>2.75</v>
      </c>
      <c r="H280" s="48">
        <v>11.824</v>
      </c>
      <c r="I280" s="48">
        <v>47.296</v>
      </c>
      <c r="J280" s="49">
        <v>4</v>
      </c>
      <c r="K280" s="49">
        <v>0</v>
      </c>
      <c r="L280" s="49">
        <v>4</v>
      </c>
    </row>
    <row r="281" spans="1:12" x14ac:dyDescent="0.25">
      <c r="A281" s="45">
        <f>C281&amp;"."&amp;IFERROR(MID(E281,FIND("(",E281)+1,FIND(")",E281)-FIND("(",E281)-1),"")</f>
      </c>
      <c r="B281" s="46" t="s">
        <v>1178</v>
      </c>
      <c r="C281" s="46">
        <v>238</v>
      </c>
      <c r="D281" s="46" t="s">
        <v>1500</v>
      </c>
      <c r="E281" s="46" t="s">
        <v>1507</v>
      </c>
      <c r="F281" s="46" t="s">
        <v>25</v>
      </c>
      <c r="G281" s="47">
        <v>2.75</v>
      </c>
      <c r="H281" s="48">
        <v>8.804</v>
      </c>
      <c r="I281" s="48">
        <v>17.608</v>
      </c>
      <c r="J281" s="49">
        <v>2</v>
      </c>
      <c r="K281" s="49">
        <v>0</v>
      </c>
      <c r="L281" s="49">
        <v>2</v>
      </c>
    </row>
    <row r="282" spans="1:12" x14ac:dyDescent="0.25">
      <c r="A282" s="45">
        <f>C282&amp;"."&amp;IFERROR(MID(E282,FIND("(",E282)+1,FIND(")",E282)-FIND("(",E282)-1),"")</f>
      </c>
      <c r="B282" s="46" t="s">
        <v>1178</v>
      </c>
      <c r="C282" s="46">
        <v>238</v>
      </c>
      <c r="D282" s="46" t="s">
        <v>1500</v>
      </c>
      <c r="E282" s="46" t="s">
        <v>1508</v>
      </c>
      <c r="F282" s="46" t="s">
        <v>25</v>
      </c>
      <c r="G282" s="47">
        <v>2.75</v>
      </c>
      <c r="H282" s="48">
        <v>9.015</v>
      </c>
      <c r="I282" s="48">
        <v>72.12</v>
      </c>
      <c r="J282" s="49">
        <v>8</v>
      </c>
      <c r="K282" s="49">
        <v>4</v>
      </c>
      <c r="L282" s="49">
        <v>4</v>
      </c>
    </row>
    <row r="283" spans="1:12" x14ac:dyDescent="0.25">
      <c r="A283" s="45">
        <f>C283&amp;"."&amp;IFERROR(MID(E283,FIND("(",E283)+1,FIND(")",E283)-FIND("(",E283)-1),"")</f>
      </c>
      <c r="B283" s="46" t="s">
        <v>1178</v>
      </c>
      <c r="C283" s="46">
        <v>238</v>
      </c>
      <c r="D283" s="46" t="s">
        <v>1500</v>
      </c>
      <c r="E283" s="46" t="s">
        <v>1509</v>
      </c>
      <c r="F283" s="46" t="s">
        <v>25</v>
      </c>
      <c r="G283" s="47">
        <v>2.75</v>
      </c>
      <c r="H283" s="48">
        <v>8.313</v>
      </c>
      <c r="I283" s="48">
        <v>232.77</v>
      </c>
      <c r="J283" s="49">
        <v>28</v>
      </c>
      <c r="K283" s="49">
        <v>6</v>
      </c>
      <c r="L283" s="49">
        <v>22</v>
      </c>
    </row>
    <row r="284" spans="1:12" x14ac:dyDescent="0.25">
      <c r="A284" s="45">
        <f>C284&amp;"."&amp;IFERROR(MID(E284,FIND("(",E284)+1,FIND(")",E284)-FIND("(",E284)-1),"")</f>
      </c>
      <c r="B284" s="46" t="s">
        <v>1178</v>
      </c>
      <c r="C284" s="46">
        <v>2391</v>
      </c>
      <c r="D284" s="46" t="s">
        <v>843</v>
      </c>
      <c r="E284" s="46" t="s">
        <v>1510</v>
      </c>
      <c r="F284" s="46" t="s">
        <v>26</v>
      </c>
      <c r="G284" s="47">
        <v>63</v>
      </c>
      <c r="H284" s="48">
        <v>248.159</v>
      </c>
      <c r="I284" s="48">
        <v>70725.369</v>
      </c>
      <c r="J284" s="49">
        <v>285</v>
      </c>
      <c r="K284" s="49">
        <v>244</v>
      </c>
      <c r="L284" s="49">
        <v>41</v>
      </c>
    </row>
    <row r="285" spans="1:12" x14ac:dyDescent="0.25">
      <c r="A285" s="45">
        <f>C285&amp;"."&amp;IFERROR(MID(E285,FIND("(",E285)+1,FIND(")",E285)-FIND("(",E285)-1),"")</f>
      </c>
      <c r="B285" s="46" t="s">
        <v>1178</v>
      </c>
      <c r="C285" s="46">
        <v>2396</v>
      </c>
      <c r="D285" s="46" t="s">
        <v>845</v>
      </c>
      <c r="E285" s="46" t="s">
        <v>1511</v>
      </c>
      <c r="F285" s="46" t="s">
        <v>26</v>
      </c>
      <c r="G285" s="47">
        <v>40.9</v>
      </c>
      <c r="H285" s="48">
        <v>140.921</v>
      </c>
      <c r="I285" s="48">
        <v>41430.87</v>
      </c>
      <c r="J285" s="49">
        <v>294</v>
      </c>
      <c r="K285" s="49">
        <v>244</v>
      </c>
      <c r="L285" s="49">
        <v>50</v>
      </c>
    </row>
    <row r="286" spans="1:12" x14ac:dyDescent="0.25">
      <c r="A286" s="45">
        <f>C286&amp;"."&amp;IFERROR(MID(E286,FIND("(",E286)+1,FIND(")",E286)-FIND("(",E286)-1),"")</f>
      </c>
      <c r="B286" s="46" t="s">
        <v>1178</v>
      </c>
      <c r="C286" s="46">
        <v>2399</v>
      </c>
      <c r="D286" s="46" t="s">
        <v>237</v>
      </c>
      <c r="E286" s="46" t="s">
        <v>1512</v>
      </c>
      <c r="F286" s="46" t="s">
        <v>26</v>
      </c>
      <c r="G286" s="47">
        <v>46.88</v>
      </c>
      <c r="H286" s="48">
        <v>157.043</v>
      </c>
      <c r="I286" s="48">
        <v>45385.54</v>
      </c>
      <c r="J286" s="49">
        <v>289</v>
      </c>
      <c r="K286" s="49">
        <v>244</v>
      </c>
      <c r="L286" s="49">
        <v>45</v>
      </c>
    </row>
    <row r="287" spans="1:12" x14ac:dyDescent="0.25">
      <c r="A287" s="45">
        <f>C287&amp;"."&amp;IFERROR(MID(E287,FIND("(",E287)+1,FIND(")",E287)-FIND("(",E287)-1),"")</f>
      </c>
      <c r="B287" s="46" t="s">
        <v>1178</v>
      </c>
      <c r="C287" s="46">
        <v>2400</v>
      </c>
      <c r="D287" s="46" t="s">
        <v>239</v>
      </c>
      <c r="E287" s="46" t="s">
        <v>1513</v>
      </c>
      <c r="F287" s="46" t="s">
        <v>26</v>
      </c>
      <c r="G287" s="47">
        <v>38.92</v>
      </c>
      <c r="H287" s="48">
        <v>198.229</v>
      </c>
      <c r="I287" s="48">
        <v>56693.482</v>
      </c>
      <c r="J287" s="49">
        <v>286</v>
      </c>
      <c r="K287" s="49">
        <v>244</v>
      </c>
      <c r="L287" s="49">
        <v>42</v>
      </c>
    </row>
    <row r="288" spans="1:12" x14ac:dyDescent="0.25">
      <c r="A288" s="45">
        <f>C288&amp;"."&amp;IFERROR(MID(E288,FIND("(",E288)+1,FIND(")",E288)-FIND("(",E288)-1),"")</f>
      </c>
      <c r="B288" s="46" t="s">
        <v>1178</v>
      </c>
      <c r="C288" s="46">
        <v>2401</v>
      </c>
      <c r="D288" s="46" t="s">
        <v>874</v>
      </c>
      <c r="E288" s="46" t="s">
        <v>1248</v>
      </c>
      <c r="F288" s="46" t="s">
        <v>26</v>
      </c>
      <c r="G288" s="47">
        <v>27.56</v>
      </c>
      <c r="H288" s="48">
        <v>199.656</v>
      </c>
      <c r="I288" s="48">
        <v>24557.726</v>
      </c>
      <c r="J288" s="49">
        <v>123</v>
      </c>
      <c r="K288" s="49">
        <v>123</v>
      </c>
      <c r="L288" s="49">
        <v>0</v>
      </c>
    </row>
    <row r="289" spans="1:12" x14ac:dyDescent="0.25">
      <c r="A289" s="45">
        <f>C289&amp;"."&amp;IFERROR(MID(E289,FIND("(",E289)+1,FIND(")",E289)-FIND("(",E289)-1),"")</f>
      </c>
      <c r="B289" s="46" t="s">
        <v>1178</v>
      </c>
      <c r="C289" s="46">
        <v>2403</v>
      </c>
      <c r="D289" s="46" t="s">
        <v>397</v>
      </c>
      <c r="E289" s="46" t="s">
        <v>1514</v>
      </c>
      <c r="F289" s="46" t="s">
        <v>26</v>
      </c>
      <c r="G289" s="47">
        <v>60.48</v>
      </c>
      <c r="H289" s="48">
        <v>261.11</v>
      </c>
      <c r="I289" s="48">
        <v>49610.979</v>
      </c>
      <c r="J289" s="49">
        <v>190</v>
      </c>
      <c r="K289" s="49">
        <v>171</v>
      </c>
      <c r="L289" s="49">
        <v>19</v>
      </c>
    </row>
    <row r="290" spans="1:12" x14ac:dyDescent="0.25">
      <c r="A290" s="45">
        <f>C290&amp;"."&amp;IFERROR(MID(E290,FIND("(",E290)+1,FIND(")",E290)-FIND("(",E290)-1),"")</f>
      </c>
      <c r="B290" s="46" t="s">
        <v>1178</v>
      </c>
      <c r="C290" s="46">
        <v>2404</v>
      </c>
      <c r="D290" s="46" t="s">
        <v>545</v>
      </c>
      <c r="E290" s="46" t="s">
        <v>1515</v>
      </c>
      <c r="F290" s="46" t="s">
        <v>26</v>
      </c>
      <c r="G290" s="47">
        <v>46</v>
      </c>
      <c r="H290" s="48">
        <v>194.18</v>
      </c>
      <c r="I290" s="48">
        <v>16699.512</v>
      </c>
      <c r="J290" s="49">
        <v>86</v>
      </c>
      <c r="K290" s="49">
        <v>50</v>
      </c>
      <c r="L290" s="49">
        <v>36</v>
      </c>
    </row>
    <row r="291" spans="1:12" x14ac:dyDescent="0.25">
      <c r="A291" s="45">
        <f>C291&amp;"."&amp;IFERROR(MID(E291,FIND("(",E291)+1,FIND(")",E291)-FIND("(",E291)-1),"")</f>
      </c>
      <c r="B291" s="46" t="s">
        <v>1178</v>
      </c>
      <c r="C291" s="46">
        <v>2406</v>
      </c>
      <c r="D291" s="46" t="s">
        <v>678</v>
      </c>
      <c r="E291" s="46" t="s">
        <v>1516</v>
      </c>
      <c r="F291" s="46" t="s">
        <v>26</v>
      </c>
      <c r="G291" s="47">
        <v>66</v>
      </c>
      <c r="H291" s="48">
        <v>351.894</v>
      </c>
      <c r="I291" s="48">
        <v>93603.698</v>
      </c>
      <c r="J291" s="49">
        <v>266</v>
      </c>
      <c r="K291" s="49">
        <v>200</v>
      </c>
      <c r="L291" s="49">
        <v>66</v>
      </c>
    </row>
    <row r="292" spans="1:12" x14ac:dyDescent="0.25">
      <c r="A292" s="45">
        <f>C292&amp;"."&amp;IFERROR(MID(E292,FIND("(",E292)+1,FIND(")",E292)-FIND("(",E292)-1),"")</f>
      </c>
      <c r="B292" s="46" t="s">
        <v>1178</v>
      </c>
      <c r="C292" s="46">
        <v>2406</v>
      </c>
      <c r="D292" s="46" t="s">
        <v>678</v>
      </c>
      <c r="E292" s="46" t="s">
        <v>1517</v>
      </c>
      <c r="F292" s="46" t="s">
        <v>26</v>
      </c>
      <c r="G292" s="47">
        <v>66</v>
      </c>
      <c r="H292" s="48">
        <v>328.085</v>
      </c>
      <c r="I292" s="48">
        <v>21981.686</v>
      </c>
      <c r="J292" s="49">
        <v>67</v>
      </c>
      <c r="K292" s="49">
        <v>62</v>
      </c>
      <c r="L292" s="49">
        <v>5</v>
      </c>
    </row>
    <row r="293" spans="1:12" x14ac:dyDescent="0.25">
      <c r="A293" s="45">
        <f>C293&amp;"."&amp;IFERROR(MID(E293,FIND("(",E293)+1,FIND(")",E293)-FIND("(",E293)-1),"")</f>
      </c>
      <c r="B293" s="46" t="s">
        <v>1178</v>
      </c>
      <c r="C293" s="46">
        <v>2407</v>
      </c>
      <c r="D293" s="46" t="s">
        <v>400</v>
      </c>
      <c r="E293" s="46" t="s">
        <v>1518</v>
      </c>
      <c r="F293" s="46" t="s">
        <v>26</v>
      </c>
      <c r="G293" s="47">
        <v>56.6</v>
      </c>
      <c r="H293" s="48">
        <v>185.613</v>
      </c>
      <c r="I293" s="48">
        <v>13549.761</v>
      </c>
      <c r="J293" s="49">
        <v>73</v>
      </c>
      <c r="K293" s="49">
        <v>62</v>
      </c>
      <c r="L293" s="49">
        <v>11</v>
      </c>
    </row>
    <row r="294" spans="1:12" x14ac:dyDescent="0.25">
      <c r="A294" s="45">
        <f>C294&amp;"."&amp;IFERROR(MID(E294,FIND("(",E294)+1,FIND(")",E294)-FIND("(",E294)-1),"")</f>
      </c>
      <c r="B294" s="46" t="s">
        <v>1178</v>
      </c>
      <c r="C294" s="46">
        <v>2407</v>
      </c>
      <c r="D294" s="46" t="s">
        <v>400</v>
      </c>
      <c r="E294" s="46" t="s">
        <v>1519</v>
      </c>
      <c r="F294" s="46" t="s">
        <v>26</v>
      </c>
      <c r="G294" s="47">
        <v>56.6</v>
      </c>
      <c r="H294" s="48">
        <v>160.067</v>
      </c>
      <c r="I294" s="48">
        <v>41777.538</v>
      </c>
      <c r="J294" s="49">
        <v>261</v>
      </c>
      <c r="K294" s="49">
        <v>200</v>
      </c>
      <c r="L294" s="49">
        <v>61</v>
      </c>
    </row>
    <row r="295" spans="1:12" x14ac:dyDescent="0.25">
      <c r="A295" s="45">
        <f>C295&amp;"."&amp;IFERROR(MID(E295,FIND("(",E295)+1,FIND(")",E295)-FIND("(",E295)-1),"")</f>
      </c>
      <c r="B295" s="46" t="s">
        <v>1178</v>
      </c>
      <c r="C295" s="46">
        <v>2408</v>
      </c>
      <c r="D295" s="46" t="s">
        <v>242</v>
      </c>
      <c r="E295" s="46" t="s">
        <v>1520</v>
      </c>
      <c r="F295" s="46" t="s">
        <v>26</v>
      </c>
      <c r="G295" s="47">
        <v>58</v>
      </c>
      <c r="H295" s="48">
        <v>228.441</v>
      </c>
      <c r="I295" s="48">
        <v>14163.367</v>
      </c>
      <c r="J295" s="49">
        <v>62</v>
      </c>
      <c r="K295" s="49">
        <v>62</v>
      </c>
      <c r="L295" s="49">
        <v>0</v>
      </c>
    </row>
    <row r="296" spans="1:12" x14ac:dyDescent="0.25">
      <c r="A296" s="45">
        <f>C296&amp;"."&amp;IFERROR(MID(E296,FIND("(",E296)+1,FIND(")",E296)-FIND("(",E296)-1),"")</f>
      </c>
      <c r="B296" s="46" t="s">
        <v>1178</v>
      </c>
      <c r="C296" s="46">
        <v>2408</v>
      </c>
      <c r="D296" s="46" t="s">
        <v>242</v>
      </c>
      <c r="E296" s="46" t="s">
        <v>1521</v>
      </c>
      <c r="F296" s="46" t="s">
        <v>26</v>
      </c>
      <c r="G296" s="47">
        <v>58</v>
      </c>
      <c r="H296" s="48">
        <v>213.753</v>
      </c>
      <c r="I296" s="48">
        <v>60705.82</v>
      </c>
      <c r="J296" s="49">
        <v>284</v>
      </c>
      <c r="K296" s="49">
        <v>200</v>
      </c>
      <c r="L296" s="49">
        <v>84</v>
      </c>
    </row>
    <row r="297" spans="1:12" x14ac:dyDescent="0.25">
      <c r="A297" s="45">
        <f>C297&amp;"."&amp;IFERROR(MID(E297,FIND("(",E297)+1,FIND(")",E297)-FIND("(",E297)-1),"")</f>
      </c>
      <c r="B297" s="46" t="s">
        <v>1178</v>
      </c>
      <c r="C297" s="46">
        <v>2409</v>
      </c>
      <c r="D297" s="46" t="s">
        <v>848</v>
      </c>
      <c r="E297" s="46" t="s">
        <v>1522</v>
      </c>
      <c r="F297" s="46" t="s">
        <v>26</v>
      </c>
      <c r="G297" s="47">
        <v>58.5</v>
      </c>
      <c r="H297" s="48">
        <v>187.824</v>
      </c>
      <c r="I297" s="48">
        <v>53905.466</v>
      </c>
      <c r="J297" s="49">
        <v>287</v>
      </c>
      <c r="K297" s="49">
        <v>200</v>
      </c>
      <c r="L297" s="49">
        <v>87</v>
      </c>
    </row>
    <row r="298" spans="1:12" x14ac:dyDescent="0.25">
      <c r="A298" s="45">
        <f>C298&amp;"."&amp;IFERROR(MID(E298,FIND("(",E298)+1,FIND(")",E298)-FIND("(",E298)-1),"")</f>
      </c>
      <c r="B298" s="46" t="s">
        <v>1178</v>
      </c>
      <c r="C298" s="46">
        <v>2409</v>
      </c>
      <c r="D298" s="46" t="s">
        <v>848</v>
      </c>
      <c r="E298" s="46" t="s">
        <v>1523</v>
      </c>
      <c r="F298" s="46" t="s">
        <v>26</v>
      </c>
      <c r="G298" s="47">
        <v>58.5</v>
      </c>
      <c r="H298" s="48">
        <v>154.835</v>
      </c>
      <c r="I298" s="48">
        <v>10993.297</v>
      </c>
      <c r="J298" s="49">
        <v>71</v>
      </c>
      <c r="K298" s="49">
        <v>63</v>
      </c>
      <c r="L298" s="49">
        <v>8</v>
      </c>
    </row>
    <row r="299" spans="1:12" x14ac:dyDescent="0.25">
      <c r="A299" s="45">
        <f>C299&amp;"."&amp;IFERROR(MID(E299,FIND("(",E299)+1,FIND(")",E299)-FIND("(",E299)-1),"")</f>
      </c>
      <c r="B299" s="46" t="s">
        <v>1178</v>
      </c>
      <c r="C299" s="46">
        <v>2410</v>
      </c>
      <c r="D299" s="46" t="s">
        <v>833</v>
      </c>
      <c r="E299" s="46" t="s">
        <v>1248</v>
      </c>
      <c r="F299" s="46" t="s">
        <v>26</v>
      </c>
      <c r="G299" s="47">
        <v>15.4</v>
      </c>
      <c r="H299" s="48">
        <v>109.705</v>
      </c>
      <c r="I299" s="48">
        <v>17662.52</v>
      </c>
      <c r="J299" s="49">
        <v>161</v>
      </c>
      <c r="K299" s="49">
        <v>82</v>
      </c>
      <c r="L299" s="49">
        <v>79</v>
      </c>
    </row>
    <row r="300" spans="1:12" x14ac:dyDescent="0.25">
      <c r="A300" s="45">
        <f>C300&amp;"."&amp;IFERROR(MID(E300,FIND("(",E300)+1,FIND(")",E300)-FIND("(",E300)-1),"")</f>
      </c>
      <c r="B300" s="46" t="s">
        <v>1178</v>
      </c>
      <c r="C300" s="46">
        <v>264</v>
      </c>
      <c r="D300" s="46" t="s">
        <v>548</v>
      </c>
      <c r="E300" s="46" t="s">
        <v>1524</v>
      </c>
      <c r="F300" s="46" t="s">
        <v>25</v>
      </c>
      <c r="G300" s="47">
        <v>28.7</v>
      </c>
      <c r="H300" s="48">
        <v>119.561</v>
      </c>
      <c r="I300" s="48">
        <v>67193.242</v>
      </c>
      <c r="J300" s="49">
        <v>562</v>
      </c>
      <c r="K300" s="49">
        <v>468</v>
      </c>
      <c r="L300" s="49">
        <v>94</v>
      </c>
    </row>
    <row r="301" spans="1:12" x14ac:dyDescent="0.25">
      <c r="A301" s="45">
        <f>C301&amp;"."&amp;IFERROR(MID(E301,FIND("(",E301)+1,FIND(")",E301)-FIND("(",E301)-1),"")</f>
      </c>
      <c r="B301" s="46" t="s">
        <v>1178</v>
      </c>
      <c r="C301" s="46">
        <v>265</v>
      </c>
      <c r="D301" s="46" t="s">
        <v>1525</v>
      </c>
      <c r="E301" s="46" t="s">
        <v>1526</v>
      </c>
      <c r="F301" s="46" t="s">
        <v>25</v>
      </c>
      <c r="G301" s="47">
        <v>0</v>
      </c>
      <c r="H301" s="48">
        <v>6.896</v>
      </c>
      <c r="I301" s="48">
        <v>6.896</v>
      </c>
      <c r="J301" s="49">
        <v>1</v>
      </c>
      <c r="K301" s="49">
        <v>0</v>
      </c>
      <c r="L301" s="49">
        <v>1</v>
      </c>
    </row>
    <row r="302" spans="1:12" x14ac:dyDescent="0.25">
      <c r="A302" s="45">
        <f>C302&amp;"."&amp;IFERROR(MID(E302,FIND("(",E302)+1,FIND(")",E302)-FIND("(",E302)-1),"")</f>
      </c>
      <c r="B302" s="46" t="s">
        <v>1178</v>
      </c>
      <c r="C302" s="46">
        <v>266</v>
      </c>
      <c r="D302" s="46" t="s">
        <v>1527</v>
      </c>
      <c r="E302" s="46" t="s">
        <v>1528</v>
      </c>
      <c r="F302" s="46" t="s">
        <v>24</v>
      </c>
      <c r="G302" s="47">
        <v>4.2</v>
      </c>
      <c r="H302" s="48">
        <v>14.42</v>
      </c>
      <c r="I302" s="48">
        <v>14.42</v>
      </c>
      <c r="J302" s="49">
        <v>1</v>
      </c>
      <c r="K302" s="49">
        <v>0</v>
      </c>
      <c r="L302" s="49">
        <v>1</v>
      </c>
    </row>
    <row r="303" spans="1:12" x14ac:dyDescent="0.25">
      <c r="A303" s="45">
        <f>C303&amp;"."&amp;IFERROR(MID(E303,FIND("(",E303)+1,FIND(")",E303)-FIND("(",E303)-1),"")</f>
      </c>
      <c r="B303" s="46" t="s">
        <v>1178</v>
      </c>
      <c r="C303" s="46">
        <v>266</v>
      </c>
      <c r="D303" s="46" t="s">
        <v>1527</v>
      </c>
      <c r="E303" s="46" t="s">
        <v>1529</v>
      </c>
      <c r="F303" s="46" t="s">
        <v>24</v>
      </c>
      <c r="G303" s="47">
        <v>4.2</v>
      </c>
      <c r="H303" s="48">
        <v>15.988</v>
      </c>
      <c r="I303" s="48">
        <v>63.954</v>
      </c>
      <c r="J303" s="49">
        <v>4</v>
      </c>
      <c r="K303" s="49">
        <v>2</v>
      </c>
      <c r="L303" s="49">
        <v>2</v>
      </c>
    </row>
    <row r="304" spans="1:12" x14ac:dyDescent="0.25">
      <c r="A304" s="45">
        <f>C304&amp;"."&amp;IFERROR(MID(E304,FIND("(",E304)+1,FIND(")",E304)-FIND("(",E304)-1),"")</f>
      </c>
      <c r="B304" s="46" t="s">
        <v>1178</v>
      </c>
      <c r="C304" s="46">
        <v>267</v>
      </c>
      <c r="D304" s="46" t="s">
        <v>1530</v>
      </c>
      <c r="E304" s="46" t="s">
        <v>1531</v>
      </c>
      <c r="F304" s="46" t="s">
        <v>25</v>
      </c>
      <c r="G304" s="47">
        <v>0.95</v>
      </c>
      <c r="H304" s="48">
        <v>3.29</v>
      </c>
      <c r="I304" s="48">
        <v>3.29</v>
      </c>
      <c r="J304" s="49">
        <v>1</v>
      </c>
      <c r="K304" s="49">
        <v>0</v>
      </c>
      <c r="L304" s="49">
        <v>1</v>
      </c>
    </row>
    <row r="305" spans="1:12" x14ac:dyDescent="0.25">
      <c r="A305" s="45">
        <f>C305&amp;"."&amp;IFERROR(MID(E305,FIND("(",E305)+1,FIND(")",E305)-FIND("(",E305)-1),"")</f>
      </c>
      <c r="B305" s="46" t="s">
        <v>1178</v>
      </c>
      <c r="C305" s="46">
        <v>267</v>
      </c>
      <c r="D305" s="46" t="s">
        <v>1530</v>
      </c>
      <c r="E305" s="46" t="s">
        <v>1532</v>
      </c>
      <c r="F305" s="46" t="s">
        <v>25</v>
      </c>
      <c r="G305" s="47">
        <v>0.95</v>
      </c>
      <c r="H305" s="48">
        <v>2.943</v>
      </c>
      <c r="I305" s="48">
        <v>2.943</v>
      </c>
      <c r="J305" s="49">
        <v>1</v>
      </c>
      <c r="K305" s="49">
        <v>0</v>
      </c>
      <c r="L305" s="49">
        <v>1</v>
      </c>
    </row>
    <row r="306" spans="1:12" x14ac:dyDescent="0.25">
      <c r="A306" s="45">
        <f>C306&amp;"."&amp;IFERROR(MID(E306,FIND("(",E306)+1,FIND(")",E306)-FIND("(",E306)-1),"")</f>
      </c>
      <c r="B306" s="46" t="s">
        <v>1178</v>
      </c>
      <c r="C306" s="46">
        <v>268</v>
      </c>
      <c r="D306" s="46" t="s">
        <v>1533</v>
      </c>
      <c r="E306" s="46" t="s">
        <v>1534</v>
      </c>
      <c r="F306" s="46" t="s">
        <v>25</v>
      </c>
      <c r="G306" s="47">
        <v>1.51</v>
      </c>
      <c r="H306" s="48">
        <v>5.464</v>
      </c>
      <c r="I306" s="48">
        <v>16.391</v>
      </c>
      <c r="J306" s="49">
        <v>3</v>
      </c>
      <c r="K306" s="49">
        <v>0</v>
      </c>
      <c r="L306" s="49">
        <v>3</v>
      </c>
    </row>
    <row r="307" spans="1:12" x14ac:dyDescent="0.25">
      <c r="A307" s="45">
        <f>C307&amp;"."&amp;IFERROR(MID(E307,FIND("(",E307)+1,FIND(")",E307)-FIND("(",E307)-1),"")</f>
      </c>
      <c r="B307" s="46" t="s">
        <v>1178</v>
      </c>
      <c r="C307" s="46">
        <v>269</v>
      </c>
      <c r="D307" s="46" t="s">
        <v>1535</v>
      </c>
      <c r="E307" s="46" t="s">
        <v>1536</v>
      </c>
      <c r="F307" s="46" t="s">
        <v>24</v>
      </c>
      <c r="G307" s="47">
        <v>4.2</v>
      </c>
      <c r="H307" s="48">
        <v>16.487</v>
      </c>
      <c r="I307" s="48">
        <v>65.946</v>
      </c>
      <c r="J307" s="49">
        <v>4</v>
      </c>
      <c r="K307" s="49">
        <v>2</v>
      </c>
      <c r="L307" s="49">
        <v>2</v>
      </c>
    </row>
    <row r="308" spans="1:12" x14ac:dyDescent="0.25">
      <c r="A308" s="45">
        <f>C308&amp;"."&amp;IFERROR(MID(E308,FIND("(",E308)+1,FIND(")",E308)-FIND("(",E308)-1),"")</f>
      </c>
      <c r="B308" s="46" t="s">
        <v>1178</v>
      </c>
      <c r="C308" s="46">
        <v>269</v>
      </c>
      <c r="D308" s="46" t="s">
        <v>1535</v>
      </c>
      <c r="E308" s="46" t="s">
        <v>1537</v>
      </c>
      <c r="F308" s="46" t="s">
        <v>24</v>
      </c>
      <c r="G308" s="47">
        <v>4.2</v>
      </c>
      <c r="H308" s="48">
        <v>14.42</v>
      </c>
      <c r="I308" s="48">
        <v>28.84</v>
      </c>
      <c r="J308" s="49">
        <v>2</v>
      </c>
      <c r="K308" s="49">
        <v>0</v>
      </c>
      <c r="L308" s="49">
        <v>2</v>
      </c>
    </row>
    <row r="309" spans="1:12" x14ac:dyDescent="0.25">
      <c r="A309" s="45">
        <f>C309&amp;"."&amp;IFERROR(MID(E309,FIND("(",E309)+1,FIND(")",E309)-FIND("(",E309)-1),"")</f>
      </c>
      <c r="B309" s="46" t="s">
        <v>1178</v>
      </c>
      <c r="C309" s="46">
        <v>270</v>
      </c>
      <c r="D309" s="46" t="s">
        <v>1538</v>
      </c>
      <c r="E309" s="46" t="s">
        <v>1539</v>
      </c>
      <c r="F309" s="46" t="s">
        <v>25</v>
      </c>
      <c r="G309" s="47">
        <v>15.42</v>
      </c>
      <c r="H309" s="48">
        <v>42.027</v>
      </c>
      <c r="I309" s="48">
        <v>126.081</v>
      </c>
      <c r="J309" s="49">
        <v>3</v>
      </c>
      <c r="K309" s="49">
        <v>1</v>
      </c>
      <c r="L309" s="49">
        <v>2</v>
      </c>
    </row>
    <row r="310" spans="1:12" x14ac:dyDescent="0.25">
      <c r="A310" s="45">
        <f>C310&amp;"."&amp;IFERROR(MID(E310,FIND("(",E310)+1,FIND(")",E310)-FIND("(",E310)-1),"")</f>
      </c>
      <c r="B310" s="46" t="s">
        <v>1178</v>
      </c>
      <c r="C310" s="46">
        <v>271</v>
      </c>
      <c r="D310" s="46" t="s">
        <v>1540</v>
      </c>
      <c r="E310" s="46" t="s">
        <v>1541</v>
      </c>
      <c r="F310" s="46" t="s">
        <v>24</v>
      </c>
      <c r="G310" s="47">
        <v>7.11</v>
      </c>
      <c r="H310" s="48">
        <v>13.439</v>
      </c>
      <c r="I310" s="48">
        <v>215.027</v>
      </c>
      <c r="J310" s="49">
        <v>16</v>
      </c>
      <c r="K310" s="49">
        <v>2</v>
      </c>
      <c r="L310" s="49">
        <v>14</v>
      </c>
    </row>
    <row r="311" spans="1:12" x14ac:dyDescent="0.25">
      <c r="A311" s="45">
        <f>C311&amp;"."&amp;IFERROR(MID(E311,FIND("(",E311)+1,FIND(")",E311)-FIND("(",E311)-1),"")</f>
      </c>
      <c r="B311" s="46" t="s">
        <v>1178</v>
      </c>
      <c r="C311" s="46">
        <v>271</v>
      </c>
      <c r="D311" s="46" t="s">
        <v>1540</v>
      </c>
      <c r="E311" s="46" t="s">
        <v>1542</v>
      </c>
      <c r="F311" s="46" t="s">
        <v>24</v>
      </c>
      <c r="G311" s="47">
        <v>7.11</v>
      </c>
      <c r="H311" s="48">
        <v>14.47</v>
      </c>
      <c r="I311" s="48">
        <v>115.762</v>
      </c>
      <c r="J311" s="49">
        <v>8</v>
      </c>
      <c r="K311" s="49">
        <v>0</v>
      </c>
      <c r="L311" s="49">
        <v>8</v>
      </c>
    </row>
    <row r="312" spans="1:12" x14ac:dyDescent="0.25">
      <c r="A312" s="45">
        <f>C312&amp;"."&amp;IFERROR(MID(E312,FIND("(",E312)+1,FIND(")",E312)-FIND("(",E312)-1),"")</f>
      </c>
      <c r="B312" s="46" t="s">
        <v>1178</v>
      </c>
      <c r="C312" s="46">
        <v>271</v>
      </c>
      <c r="D312" s="46" t="s">
        <v>1540</v>
      </c>
      <c r="E312" s="46" t="s">
        <v>1543</v>
      </c>
      <c r="F312" s="46" t="s">
        <v>24</v>
      </c>
      <c r="G312" s="47">
        <v>7.11</v>
      </c>
      <c r="H312" s="48">
        <v>21.35</v>
      </c>
      <c r="I312" s="48">
        <v>21.35</v>
      </c>
      <c r="J312" s="49">
        <v>1</v>
      </c>
      <c r="K312" s="49">
        <v>0</v>
      </c>
      <c r="L312" s="49">
        <v>1</v>
      </c>
    </row>
    <row r="313" spans="1:12" x14ac:dyDescent="0.25">
      <c r="A313" s="45">
        <f>C313&amp;"."&amp;IFERROR(MID(E313,FIND("(",E313)+1,FIND(")",E313)-FIND("(",E313)-1),"")</f>
      </c>
      <c r="B313" s="46" t="s">
        <v>1178</v>
      </c>
      <c r="C313" s="46">
        <v>272</v>
      </c>
      <c r="D313" s="46" t="s">
        <v>1544</v>
      </c>
      <c r="E313" s="46" t="s">
        <v>1545</v>
      </c>
      <c r="F313" s="46" t="s">
        <v>24</v>
      </c>
      <c r="G313" s="47">
        <v>7.11</v>
      </c>
      <c r="H313" s="48">
        <v>16.642</v>
      </c>
      <c r="I313" s="48">
        <v>216.344</v>
      </c>
      <c r="J313" s="49">
        <v>13</v>
      </c>
      <c r="K313" s="49">
        <v>1</v>
      </c>
      <c r="L313" s="49">
        <v>12</v>
      </c>
    </row>
    <row r="314" spans="1:12" x14ac:dyDescent="0.25">
      <c r="A314" s="45">
        <f>C314&amp;"."&amp;IFERROR(MID(E314,FIND("(",E314)+1,FIND(")",E314)-FIND("(",E314)-1),"")</f>
      </c>
      <c r="B314" s="46" t="s">
        <v>1178</v>
      </c>
      <c r="C314" s="46">
        <v>272</v>
      </c>
      <c r="D314" s="46" t="s">
        <v>1544</v>
      </c>
      <c r="E314" s="46" t="s">
        <v>1546</v>
      </c>
      <c r="F314" s="46" t="s">
        <v>24</v>
      </c>
      <c r="G314" s="47">
        <v>7.11</v>
      </c>
      <c r="H314" s="48">
        <v>15.856</v>
      </c>
      <c r="I314" s="48">
        <v>285.4</v>
      </c>
      <c r="J314" s="49">
        <v>18</v>
      </c>
      <c r="K314" s="49">
        <v>1</v>
      </c>
      <c r="L314" s="49">
        <v>17</v>
      </c>
    </row>
    <row r="315" spans="1:12" x14ac:dyDescent="0.25">
      <c r="A315" s="45">
        <f>C315&amp;"."&amp;IFERROR(MID(E315,FIND("(",E315)+1,FIND(")",E315)-FIND("(",E315)-1),"")</f>
      </c>
      <c r="B315" s="46" t="s">
        <v>1178</v>
      </c>
      <c r="C315" s="46">
        <v>272</v>
      </c>
      <c r="D315" s="46" t="s">
        <v>1544</v>
      </c>
      <c r="E315" s="46" t="s">
        <v>1547</v>
      </c>
      <c r="F315" s="46" t="s">
        <v>24</v>
      </c>
      <c r="G315" s="47">
        <v>7.11</v>
      </c>
      <c r="H315" s="48">
        <v>24.5</v>
      </c>
      <c r="I315" s="48">
        <v>24.5</v>
      </c>
      <c r="J315" s="49">
        <v>1</v>
      </c>
      <c r="K315" s="49">
        <v>0</v>
      </c>
      <c r="L315" s="49">
        <v>1</v>
      </c>
    </row>
    <row r="316" spans="1:12" x14ac:dyDescent="0.25">
      <c r="A316" s="45">
        <f>C316&amp;"."&amp;IFERROR(MID(E316,FIND("(",E316)+1,FIND(")",E316)-FIND("(",E316)-1),"")</f>
      </c>
      <c r="B316" s="46" t="s">
        <v>1178</v>
      </c>
      <c r="C316" s="46">
        <v>274</v>
      </c>
      <c r="D316" s="46" t="s">
        <v>158</v>
      </c>
      <c r="E316" s="46" t="s">
        <v>1548</v>
      </c>
      <c r="F316" s="46" t="s">
        <v>26</v>
      </c>
      <c r="G316" s="47">
        <v>51</v>
      </c>
      <c r="H316" s="48">
        <v>203.972</v>
      </c>
      <c r="I316" s="48">
        <v>296983.548</v>
      </c>
      <c r="J316" s="49">
        <v>1456</v>
      </c>
      <c r="K316" s="49">
        <v>741</v>
      </c>
      <c r="L316" s="49">
        <v>715</v>
      </c>
    </row>
    <row r="317" spans="1:12" x14ac:dyDescent="0.25">
      <c r="A317" s="45">
        <f>C317&amp;"."&amp;IFERROR(MID(E317,FIND("(",E317)+1,FIND(")",E317)-FIND("(",E317)-1),"")</f>
      </c>
      <c r="B317" s="46" t="s">
        <v>1178</v>
      </c>
      <c r="C317" s="46">
        <v>274</v>
      </c>
      <c r="D317" s="46" t="s">
        <v>158</v>
      </c>
      <c r="E317" s="46" t="s">
        <v>1549</v>
      </c>
      <c r="F317" s="46" t="s">
        <v>26</v>
      </c>
      <c r="G317" s="47">
        <v>51</v>
      </c>
      <c r="H317" s="48">
        <v>208.748</v>
      </c>
      <c r="I317" s="48">
        <v>75566.62</v>
      </c>
      <c r="J317" s="49">
        <v>362</v>
      </c>
      <c r="K317" s="49">
        <v>245</v>
      </c>
      <c r="L317" s="49">
        <v>117</v>
      </c>
    </row>
    <row r="318" spans="1:12" x14ac:dyDescent="0.25">
      <c r="A318" s="45">
        <f>C318&amp;"."&amp;IFERROR(MID(E318,FIND("(",E318)+1,FIND(")",E318)-FIND("(",E318)-1),"")</f>
      </c>
      <c r="B318" s="46" t="s">
        <v>1178</v>
      </c>
      <c r="C318" s="46">
        <v>275</v>
      </c>
      <c r="D318" s="46" t="s">
        <v>384</v>
      </c>
      <c r="E318" s="46" t="s">
        <v>1550</v>
      </c>
      <c r="F318" s="46" t="s">
        <v>26</v>
      </c>
      <c r="G318" s="47">
        <v>61.2</v>
      </c>
      <c r="H318" s="48">
        <v>182.896</v>
      </c>
      <c r="I318" s="48">
        <v>61087.134</v>
      </c>
      <c r="J318" s="49">
        <v>334</v>
      </c>
      <c r="K318" s="49">
        <v>245</v>
      </c>
      <c r="L318" s="49">
        <v>89</v>
      </c>
    </row>
    <row r="319" spans="1:12" x14ac:dyDescent="0.25">
      <c r="A319" s="45">
        <f>C319&amp;"."&amp;IFERROR(MID(E319,FIND("(",E319)+1,FIND(")",E319)-FIND("(",E319)-1),"")</f>
      </c>
      <c r="B319" s="46" t="s">
        <v>1178</v>
      </c>
      <c r="C319" s="46">
        <v>275</v>
      </c>
      <c r="D319" s="46" t="s">
        <v>384</v>
      </c>
      <c r="E319" s="46" t="s">
        <v>1551</v>
      </c>
      <c r="F319" s="46" t="s">
        <v>26</v>
      </c>
      <c r="G319" s="47">
        <v>61.2</v>
      </c>
      <c r="H319" s="48">
        <v>207.497</v>
      </c>
      <c r="I319" s="48">
        <v>286967.779</v>
      </c>
      <c r="J319" s="49">
        <v>1383</v>
      </c>
      <c r="K319" s="49">
        <v>741</v>
      </c>
      <c r="L319" s="49">
        <v>642</v>
      </c>
    </row>
    <row r="320" spans="1:12" x14ac:dyDescent="0.25">
      <c r="A320" s="45">
        <f>C320&amp;"."&amp;IFERROR(MID(E320,FIND("(",E320)+1,FIND(")",E320)-FIND("(",E320)-1),"")</f>
      </c>
      <c r="B320" s="46" t="s">
        <v>1178</v>
      </c>
      <c r="C320" s="46">
        <v>276</v>
      </c>
      <c r="D320" s="46" t="s">
        <v>1033</v>
      </c>
      <c r="E320" s="46" t="s">
        <v>1552</v>
      </c>
      <c r="F320" s="46" t="s">
        <v>26</v>
      </c>
      <c r="G320" s="47">
        <v>53</v>
      </c>
      <c r="H320" s="48">
        <v>185.681</v>
      </c>
      <c r="I320" s="48">
        <v>137589.407</v>
      </c>
      <c r="J320" s="49">
        <v>741</v>
      </c>
      <c r="K320" s="49">
        <v>455</v>
      </c>
      <c r="L320" s="49">
        <v>286</v>
      </c>
    </row>
    <row r="321" spans="1:12" x14ac:dyDescent="0.25">
      <c r="A321" s="45">
        <f>C321&amp;"."&amp;IFERROR(MID(E321,FIND("(",E321)+1,FIND(")",E321)-FIND("(",E321)-1),"")</f>
      </c>
      <c r="B321" s="46" t="s">
        <v>1178</v>
      </c>
      <c r="C321" s="46">
        <v>276</v>
      </c>
      <c r="D321" s="46" t="s">
        <v>1033</v>
      </c>
      <c r="E321" s="46" t="s">
        <v>1553</v>
      </c>
      <c r="F321" s="46" t="s">
        <v>26</v>
      </c>
      <c r="G321" s="47">
        <v>53</v>
      </c>
      <c r="H321" s="48">
        <v>158.885</v>
      </c>
      <c r="I321" s="48">
        <v>61806.223</v>
      </c>
      <c r="J321" s="49">
        <v>389</v>
      </c>
      <c r="K321" s="49">
        <v>245</v>
      </c>
      <c r="L321" s="49">
        <v>144</v>
      </c>
    </row>
    <row r="322" spans="1:12" x14ac:dyDescent="0.25">
      <c r="A322" s="45">
        <f>C322&amp;"."&amp;IFERROR(MID(E322,FIND("(",E322)+1,FIND(")",E322)-FIND("(",E322)-1),"")</f>
      </c>
      <c r="B322" s="46" t="s">
        <v>1178</v>
      </c>
      <c r="C322" s="46">
        <v>276</v>
      </c>
      <c r="D322" s="46" t="s">
        <v>1033</v>
      </c>
      <c r="E322" s="46" t="s">
        <v>1554</v>
      </c>
      <c r="F322" s="46" t="s">
        <v>26</v>
      </c>
      <c r="G322" s="47">
        <v>53</v>
      </c>
      <c r="H322" s="48">
        <v>157.028</v>
      </c>
      <c r="I322" s="48">
        <v>105208.812</v>
      </c>
      <c r="J322" s="49">
        <v>670</v>
      </c>
      <c r="K322" s="49">
        <v>286</v>
      </c>
      <c r="L322" s="49">
        <v>384</v>
      </c>
    </row>
    <row r="323" spans="1:12" x14ac:dyDescent="0.25">
      <c r="A323" s="45">
        <f>C323&amp;"."&amp;IFERROR(MID(E323,FIND("(",E323)+1,FIND(")",E323)-FIND("(",E323)-1),"")</f>
      </c>
      <c r="B323" s="46" t="s">
        <v>1178</v>
      </c>
      <c r="C323" s="46">
        <v>305</v>
      </c>
      <c r="D323" s="46" t="s">
        <v>1555</v>
      </c>
      <c r="E323" s="46" t="s">
        <v>1556</v>
      </c>
      <c r="F323" s="46" t="s">
        <v>25</v>
      </c>
      <c r="G323" s="47">
        <v>2.5</v>
      </c>
      <c r="H323" s="48">
        <v>21.173</v>
      </c>
      <c r="I323" s="48">
        <v>190.561</v>
      </c>
      <c r="J323" s="49">
        <v>9</v>
      </c>
      <c r="K323" s="49">
        <v>3</v>
      </c>
      <c r="L323" s="49">
        <v>6</v>
      </c>
    </row>
    <row r="324" spans="1:12" x14ac:dyDescent="0.25">
      <c r="A324" s="45">
        <f>C324&amp;"."&amp;IFERROR(MID(E324,FIND("(",E324)+1,FIND(")",E324)-FIND("(",E324)-1),"")</f>
      </c>
      <c r="B324" s="46" t="s">
        <v>1178</v>
      </c>
      <c r="C324" s="46">
        <v>305</v>
      </c>
      <c r="D324" s="46" t="s">
        <v>1555</v>
      </c>
      <c r="E324" s="46" t="s">
        <v>1557</v>
      </c>
      <c r="F324" s="46" t="s">
        <v>25</v>
      </c>
      <c r="G324" s="47">
        <v>2.5</v>
      </c>
      <c r="H324" s="48">
        <v>23.005</v>
      </c>
      <c r="I324" s="48">
        <v>161.033</v>
      </c>
      <c r="J324" s="49">
        <v>7</v>
      </c>
      <c r="K324" s="49">
        <v>0</v>
      </c>
      <c r="L324" s="49">
        <v>7</v>
      </c>
    </row>
    <row r="325" spans="1:12" x14ac:dyDescent="0.25">
      <c r="A325" s="45">
        <f>C325&amp;"."&amp;IFERROR(MID(E325,FIND("(",E325)+1,FIND(")",E325)-FIND("(",E325)-1),"")</f>
      </c>
      <c r="B325" s="46" t="s">
        <v>1178</v>
      </c>
      <c r="C325" s="46">
        <v>305</v>
      </c>
      <c r="D325" s="46" t="s">
        <v>1555</v>
      </c>
      <c r="E325" s="46" t="s">
        <v>1558</v>
      </c>
      <c r="F325" s="46" t="s">
        <v>25</v>
      </c>
      <c r="G325" s="47">
        <v>2.5</v>
      </c>
      <c r="H325" s="48">
        <v>27.689</v>
      </c>
      <c r="I325" s="48">
        <v>27.689</v>
      </c>
      <c r="J325" s="49">
        <v>1</v>
      </c>
      <c r="K325" s="49">
        <v>0</v>
      </c>
      <c r="L325" s="49">
        <v>1</v>
      </c>
    </row>
    <row r="326" spans="1:12" x14ac:dyDescent="0.25">
      <c r="A326" s="45">
        <f>C326&amp;"."&amp;IFERROR(MID(E326,FIND("(",E326)+1,FIND(")",E326)-FIND("(",E326)-1),"")</f>
      </c>
      <c r="B326" s="46" t="s">
        <v>1178</v>
      </c>
      <c r="C326" s="46">
        <v>305</v>
      </c>
      <c r="D326" s="46" t="s">
        <v>1555</v>
      </c>
      <c r="E326" s="46" t="s">
        <v>1559</v>
      </c>
      <c r="F326" s="46" t="s">
        <v>25</v>
      </c>
      <c r="G326" s="47">
        <v>2.5</v>
      </c>
      <c r="H326" s="48">
        <v>21.698</v>
      </c>
      <c r="I326" s="48">
        <v>216.979</v>
      </c>
      <c r="J326" s="49">
        <v>10</v>
      </c>
      <c r="K326" s="49">
        <v>2</v>
      </c>
      <c r="L326" s="49">
        <v>8</v>
      </c>
    </row>
    <row r="327" spans="1:12" x14ac:dyDescent="0.25">
      <c r="A327" s="45">
        <f>C327&amp;"."&amp;IFERROR(MID(E327,FIND("(",E327)+1,FIND(")",E327)-FIND("(",E327)-1),"")</f>
      </c>
      <c r="B327" s="46" t="s">
        <v>1178</v>
      </c>
      <c r="C327" s="46">
        <v>305</v>
      </c>
      <c r="D327" s="46" t="s">
        <v>1555</v>
      </c>
      <c r="E327" s="46" t="s">
        <v>1560</v>
      </c>
      <c r="F327" s="46" t="s">
        <v>25</v>
      </c>
      <c r="G327" s="47">
        <v>2.5</v>
      </c>
      <c r="H327" s="48">
        <v>22.397</v>
      </c>
      <c r="I327" s="48">
        <v>89.589</v>
      </c>
      <c r="J327" s="49">
        <v>4</v>
      </c>
      <c r="K327" s="49">
        <v>4</v>
      </c>
      <c r="L327" s="49">
        <v>0</v>
      </c>
    </row>
    <row r="328" spans="1:12" x14ac:dyDescent="0.25">
      <c r="A328" s="45">
        <f>C328&amp;"."&amp;IFERROR(MID(E328,FIND("(",E328)+1,FIND(")",E328)-FIND("(",E328)-1),"")</f>
      </c>
      <c r="B328" s="46" t="s">
        <v>1178</v>
      </c>
      <c r="C328" s="46">
        <v>305</v>
      </c>
      <c r="D328" s="46" t="s">
        <v>1555</v>
      </c>
      <c r="E328" s="46" t="s">
        <v>1561</v>
      </c>
      <c r="F328" s="46" t="s">
        <v>25</v>
      </c>
      <c r="G328" s="47">
        <v>2.5</v>
      </c>
      <c r="H328" s="48">
        <v>20.75</v>
      </c>
      <c r="I328" s="48">
        <v>103.75</v>
      </c>
      <c r="J328" s="49">
        <v>5</v>
      </c>
      <c r="K328" s="49">
        <v>0</v>
      </c>
      <c r="L328" s="49">
        <v>5</v>
      </c>
    </row>
    <row r="329" spans="1:12" x14ac:dyDescent="0.25">
      <c r="A329" s="45">
        <f>C329&amp;"."&amp;IFERROR(MID(E329,FIND("(",E329)+1,FIND(")",E329)-FIND("(",E329)-1),"")</f>
      </c>
      <c r="B329" s="46" t="s">
        <v>1178</v>
      </c>
      <c r="C329" s="46">
        <v>305</v>
      </c>
      <c r="D329" s="46" t="s">
        <v>1555</v>
      </c>
      <c r="E329" s="46" t="s">
        <v>1562</v>
      </c>
      <c r="F329" s="46" t="s">
        <v>25</v>
      </c>
      <c r="G329" s="47">
        <v>2.5</v>
      </c>
      <c r="H329" s="48">
        <v>20.856</v>
      </c>
      <c r="I329" s="48">
        <v>125.138</v>
      </c>
      <c r="J329" s="49">
        <v>6</v>
      </c>
      <c r="K329" s="49">
        <v>4</v>
      </c>
      <c r="L329" s="49">
        <v>2</v>
      </c>
    </row>
    <row r="330" spans="1:12" x14ac:dyDescent="0.25">
      <c r="A330" s="45">
        <f>C330&amp;"."&amp;IFERROR(MID(E330,FIND("(",E330)+1,FIND(")",E330)-FIND("(",E330)-1),"")</f>
      </c>
      <c r="B330" s="46" t="s">
        <v>1178</v>
      </c>
      <c r="C330" s="46">
        <v>305</v>
      </c>
      <c r="D330" s="46" t="s">
        <v>1555</v>
      </c>
      <c r="E330" s="46" t="s">
        <v>1563</v>
      </c>
      <c r="F330" s="46" t="s">
        <v>25</v>
      </c>
      <c r="G330" s="47">
        <v>2.5</v>
      </c>
      <c r="H330" s="48">
        <v>28.714</v>
      </c>
      <c r="I330" s="48">
        <v>172.285</v>
      </c>
      <c r="J330" s="49">
        <v>6</v>
      </c>
      <c r="K330" s="49">
        <v>0</v>
      </c>
      <c r="L330" s="49">
        <v>6</v>
      </c>
    </row>
    <row r="331" spans="1:12" x14ac:dyDescent="0.25">
      <c r="A331" s="45">
        <f>C331&amp;"."&amp;IFERROR(MID(E331,FIND("(",E331)+1,FIND(")",E331)-FIND("(",E331)-1),"")</f>
      </c>
      <c r="B331" s="46" t="s">
        <v>1178</v>
      </c>
      <c r="C331" s="46">
        <v>305</v>
      </c>
      <c r="D331" s="46" t="s">
        <v>1555</v>
      </c>
      <c r="E331" s="46" t="s">
        <v>1564</v>
      </c>
      <c r="F331" s="46" t="s">
        <v>25</v>
      </c>
      <c r="G331" s="47">
        <v>2.5</v>
      </c>
      <c r="H331" s="48">
        <v>20.693</v>
      </c>
      <c r="I331" s="48">
        <v>248.316</v>
      </c>
      <c r="J331" s="49">
        <v>12</v>
      </c>
      <c r="K331" s="49">
        <v>10</v>
      </c>
      <c r="L331" s="49">
        <v>2</v>
      </c>
    </row>
    <row r="332" spans="1:12" x14ac:dyDescent="0.25">
      <c r="A332" s="45">
        <f>C332&amp;"."&amp;IFERROR(MID(E332,FIND("(",E332)+1,FIND(")",E332)-FIND("(",E332)-1),"")</f>
      </c>
      <c r="B332" s="46" t="s">
        <v>1178</v>
      </c>
      <c r="C332" s="46">
        <v>307</v>
      </c>
      <c r="D332" s="46" t="s">
        <v>1565</v>
      </c>
      <c r="E332" s="46" t="s">
        <v>1566</v>
      </c>
      <c r="F332" s="46" t="s">
        <v>26</v>
      </c>
      <c r="G332" s="47">
        <v>0.6</v>
      </c>
      <c r="H332" s="48">
        <v>9.182</v>
      </c>
      <c r="I332" s="48">
        <v>27.546</v>
      </c>
      <c r="J332" s="49">
        <v>3</v>
      </c>
      <c r="K332" s="49">
        <v>2</v>
      </c>
      <c r="L332" s="49">
        <v>1</v>
      </c>
    </row>
    <row r="333" spans="1:12" x14ac:dyDescent="0.25">
      <c r="A333" s="45">
        <f>C333&amp;"."&amp;IFERROR(MID(E333,FIND("(",E333)+1,FIND(")",E333)-FIND("(",E333)-1),"")</f>
      </c>
      <c r="B333" s="46" t="s">
        <v>1178</v>
      </c>
      <c r="C333" s="46">
        <v>307</v>
      </c>
      <c r="D333" s="46" t="s">
        <v>1565</v>
      </c>
      <c r="E333" s="46" t="s">
        <v>1567</v>
      </c>
      <c r="F333" s="46" t="s">
        <v>26</v>
      </c>
      <c r="G333" s="47">
        <v>0.6</v>
      </c>
      <c r="H333" s="48">
        <v>9.553</v>
      </c>
      <c r="I333" s="48">
        <v>19.107</v>
      </c>
      <c r="J333" s="49">
        <v>2</v>
      </c>
      <c r="K333" s="49">
        <v>1</v>
      </c>
      <c r="L333" s="49">
        <v>1</v>
      </c>
    </row>
    <row r="334" spans="1:12" x14ac:dyDescent="0.25">
      <c r="A334" s="45">
        <f>C334&amp;"."&amp;IFERROR(MID(E334,FIND("(",E334)+1,FIND(")",E334)-FIND("(",E334)-1),"")</f>
      </c>
      <c r="B334" s="46" t="s">
        <v>1178</v>
      </c>
      <c r="C334" s="46">
        <v>308</v>
      </c>
      <c r="D334" s="46" t="s">
        <v>868</v>
      </c>
      <c r="E334" s="46" t="s">
        <v>1248</v>
      </c>
      <c r="F334" s="46" t="s">
        <v>26</v>
      </c>
      <c r="G334" s="47">
        <v>8.2</v>
      </c>
      <c r="H334" s="48">
        <v>61.257</v>
      </c>
      <c r="I334" s="48">
        <v>48515.211</v>
      </c>
      <c r="J334" s="49">
        <v>792</v>
      </c>
      <c r="K334" s="49">
        <v>482</v>
      </c>
      <c r="L334" s="49">
        <v>310</v>
      </c>
    </row>
    <row r="335" spans="1:12" x14ac:dyDescent="0.25">
      <c r="A335" s="45">
        <f>C335&amp;"."&amp;IFERROR(MID(E335,FIND("(",E335)+1,FIND(")",E335)-FIND("(",E335)-1),"")</f>
      </c>
      <c r="B335" s="46" t="s">
        <v>1178</v>
      </c>
      <c r="C335" s="46">
        <v>309</v>
      </c>
      <c r="D335" s="46" t="s">
        <v>1568</v>
      </c>
      <c r="E335" s="46" t="s">
        <v>1569</v>
      </c>
      <c r="F335" s="46" t="s">
        <v>26</v>
      </c>
      <c r="G335" s="47">
        <v>1.71</v>
      </c>
      <c r="H335" s="48">
        <v>4.845</v>
      </c>
      <c r="I335" s="48">
        <v>9.691</v>
      </c>
      <c r="J335" s="49">
        <v>2</v>
      </c>
      <c r="K335" s="49">
        <v>0</v>
      </c>
      <c r="L335" s="49">
        <v>2</v>
      </c>
    </row>
    <row r="336" spans="1:12" x14ac:dyDescent="0.25">
      <c r="A336" s="45">
        <f>C336&amp;"."&amp;IFERROR(MID(E336,FIND("(",E336)+1,FIND(")",E336)-FIND("(",E336)-1),"")</f>
      </c>
      <c r="B336" s="46" t="s">
        <v>1178</v>
      </c>
      <c r="C336" s="46">
        <v>309</v>
      </c>
      <c r="D336" s="46" t="s">
        <v>1568</v>
      </c>
      <c r="E336" s="46" t="s">
        <v>1570</v>
      </c>
      <c r="F336" s="46" t="s">
        <v>26</v>
      </c>
      <c r="G336" s="47">
        <v>1.71</v>
      </c>
      <c r="H336" s="48">
        <v>5.38</v>
      </c>
      <c r="I336" s="48">
        <v>21.52</v>
      </c>
      <c r="J336" s="49">
        <v>4</v>
      </c>
      <c r="K336" s="49">
        <v>0</v>
      </c>
      <c r="L336" s="49">
        <v>4</v>
      </c>
    </row>
    <row r="337" spans="1:12" x14ac:dyDescent="0.25">
      <c r="A337" s="45">
        <f>C337&amp;"."&amp;IFERROR(MID(E337,FIND("(",E337)+1,FIND(")",E337)-FIND("(",E337)-1),"")</f>
      </c>
      <c r="B337" s="46" t="s">
        <v>1178</v>
      </c>
      <c r="C337" s="46">
        <v>310</v>
      </c>
      <c r="D337" s="46" t="s">
        <v>1571</v>
      </c>
      <c r="E337" s="46" t="s">
        <v>1248</v>
      </c>
      <c r="F337" s="46" t="s">
        <v>26</v>
      </c>
      <c r="G337" s="47">
        <v>1.71</v>
      </c>
      <c r="H337" s="48">
        <v>3.99</v>
      </c>
      <c r="I337" s="48">
        <v>7.981</v>
      </c>
      <c r="J337" s="49">
        <v>2</v>
      </c>
      <c r="K337" s="49">
        <v>0</v>
      </c>
      <c r="L337" s="49">
        <v>2</v>
      </c>
    </row>
    <row r="338" spans="1:12" x14ac:dyDescent="0.25">
      <c r="A338" s="45">
        <f>C338&amp;"."&amp;IFERROR(MID(E338,FIND("(",E338)+1,FIND(")",E338)-FIND("(",E338)-1),"")</f>
      </c>
      <c r="B338" s="46" t="s">
        <v>1178</v>
      </c>
      <c r="C338" s="46">
        <v>314</v>
      </c>
      <c r="D338" s="46" t="s">
        <v>1572</v>
      </c>
      <c r="E338" s="46" t="s">
        <v>1248</v>
      </c>
      <c r="F338" s="46" t="s">
        <v>26</v>
      </c>
      <c r="G338" s="47">
        <v>0.33</v>
      </c>
      <c r="H338" s="48">
        <v>1.306</v>
      </c>
      <c r="I338" s="48">
        <v>1.306</v>
      </c>
      <c r="J338" s="49">
        <v>1</v>
      </c>
      <c r="K338" s="49">
        <v>0</v>
      </c>
      <c r="L338" s="49">
        <v>1</v>
      </c>
    </row>
    <row r="339" spans="1:12" x14ac:dyDescent="0.25">
      <c r="A339" s="45">
        <f>C339&amp;"."&amp;IFERROR(MID(E339,FIND("(",E339)+1,FIND(")",E339)-FIND("(",E339)-1),"")</f>
      </c>
      <c r="B339" s="46" t="s">
        <v>1178</v>
      </c>
      <c r="C339" s="46">
        <v>318</v>
      </c>
      <c r="D339" s="46" t="s">
        <v>1573</v>
      </c>
      <c r="E339" s="46" t="s">
        <v>1248</v>
      </c>
      <c r="F339" s="46" t="s">
        <v>26</v>
      </c>
      <c r="G339" s="47">
        <v>0.19</v>
      </c>
      <c r="H339" s="48">
        <v>1.499</v>
      </c>
      <c r="I339" s="48">
        <v>50.975</v>
      </c>
      <c r="J339" s="49">
        <v>34</v>
      </c>
      <c r="K339" s="49">
        <v>27</v>
      </c>
      <c r="L339" s="49">
        <v>7</v>
      </c>
    </row>
    <row r="340" spans="1:12" x14ac:dyDescent="0.25">
      <c r="A340" s="45">
        <f>C340&amp;"."&amp;IFERROR(MID(E340,FIND("(",E340)+1,FIND(")",E340)-FIND("(",E340)-1),"")</f>
      </c>
      <c r="B340" s="46" t="s">
        <v>1178</v>
      </c>
      <c r="C340" s="46">
        <v>328</v>
      </c>
      <c r="D340" s="46" t="s">
        <v>1574</v>
      </c>
      <c r="E340" s="46" t="s">
        <v>1575</v>
      </c>
      <c r="F340" s="46" t="s">
        <v>26</v>
      </c>
      <c r="G340" s="47">
        <v>1.12</v>
      </c>
      <c r="H340" s="48">
        <v>4.09</v>
      </c>
      <c r="I340" s="48">
        <v>20.45</v>
      </c>
      <c r="J340" s="49">
        <v>5</v>
      </c>
      <c r="K340" s="49">
        <v>0</v>
      </c>
      <c r="L340" s="49">
        <v>5</v>
      </c>
    </row>
    <row r="341" spans="1:12" x14ac:dyDescent="0.25">
      <c r="A341" s="45">
        <f>C341&amp;"."&amp;IFERROR(MID(E341,FIND("(",E341)+1,FIND(")",E341)-FIND("(",E341)-1),"")</f>
      </c>
      <c r="B341" s="46" t="s">
        <v>1178</v>
      </c>
      <c r="C341" s="46">
        <v>328</v>
      </c>
      <c r="D341" s="46" t="s">
        <v>1574</v>
      </c>
      <c r="E341" s="46" t="s">
        <v>1576</v>
      </c>
      <c r="F341" s="46" t="s">
        <v>26</v>
      </c>
      <c r="G341" s="47">
        <v>1.12</v>
      </c>
      <c r="H341" s="48">
        <v>3.343</v>
      </c>
      <c r="I341" s="48">
        <v>6.686</v>
      </c>
      <c r="J341" s="49">
        <v>2</v>
      </c>
      <c r="K341" s="49">
        <v>1</v>
      </c>
      <c r="L341" s="49">
        <v>1</v>
      </c>
    </row>
    <row r="342" spans="1:12" x14ac:dyDescent="0.25">
      <c r="A342" s="45">
        <f>C342&amp;"."&amp;IFERROR(MID(E342,FIND("(",E342)+1,FIND(")",E342)-FIND("(",E342)-1),"")</f>
      </c>
      <c r="B342" s="46" t="s">
        <v>1178</v>
      </c>
      <c r="C342" s="46">
        <v>328</v>
      </c>
      <c r="D342" s="46" t="s">
        <v>1574</v>
      </c>
      <c r="E342" s="46" t="s">
        <v>1577</v>
      </c>
      <c r="F342" s="46" t="s">
        <v>26</v>
      </c>
      <c r="G342" s="47">
        <v>1.12</v>
      </c>
      <c r="H342" s="48">
        <v>5.208</v>
      </c>
      <c r="I342" s="48">
        <v>15.623</v>
      </c>
      <c r="J342" s="49">
        <v>3</v>
      </c>
      <c r="K342" s="49">
        <v>1</v>
      </c>
      <c r="L342" s="49">
        <v>2</v>
      </c>
    </row>
    <row r="343" spans="1:12" x14ac:dyDescent="0.25">
      <c r="A343" s="45">
        <f>C343&amp;"."&amp;IFERROR(MID(E343,FIND("(",E343)+1,FIND(")",E343)-FIND("(",E343)-1),"")</f>
      </c>
      <c r="B343" s="46" t="s">
        <v>1178</v>
      </c>
      <c r="C343" s="46">
        <v>338</v>
      </c>
      <c r="D343" s="46" t="s">
        <v>1578</v>
      </c>
      <c r="E343" s="46" t="s">
        <v>1579</v>
      </c>
      <c r="F343" s="46" t="s">
        <v>26</v>
      </c>
      <c r="G343" s="47">
        <v>0.19</v>
      </c>
      <c r="H343" s="48">
        <v>2.522</v>
      </c>
      <c r="I343" s="48">
        <v>30.269</v>
      </c>
      <c r="J343" s="49">
        <v>12</v>
      </c>
      <c r="K343" s="49">
        <v>7</v>
      </c>
      <c r="L343" s="49">
        <v>5</v>
      </c>
    </row>
    <row r="344" spans="1:12" x14ac:dyDescent="0.25">
      <c r="A344" s="45">
        <f>C344&amp;"."&amp;IFERROR(MID(E344,FIND("(",E344)+1,FIND(")",E344)-FIND("(",E344)-1),"")</f>
      </c>
      <c r="B344" s="46" t="s">
        <v>1178</v>
      </c>
      <c r="C344" s="46">
        <v>338</v>
      </c>
      <c r="D344" s="46" t="s">
        <v>1578</v>
      </c>
      <c r="E344" s="46" t="s">
        <v>1580</v>
      </c>
      <c r="F344" s="46" t="s">
        <v>26</v>
      </c>
      <c r="G344" s="47">
        <v>0.19</v>
      </c>
      <c r="H344" s="48">
        <v>1.306</v>
      </c>
      <c r="I344" s="48">
        <v>32.66</v>
      </c>
      <c r="J344" s="49">
        <v>25</v>
      </c>
      <c r="K344" s="49">
        <v>18</v>
      </c>
      <c r="L344" s="49">
        <v>7</v>
      </c>
    </row>
    <row r="345" spans="1:12" x14ac:dyDescent="0.25">
      <c r="A345" s="45">
        <f>C345&amp;"."&amp;IFERROR(MID(E345,FIND("(",E345)+1,FIND(")",E345)-FIND("(",E345)-1),"")</f>
      </c>
      <c r="B345" s="46" t="s">
        <v>1178</v>
      </c>
      <c r="C345" s="46">
        <v>342</v>
      </c>
      <c r="D345" s="46" t="s">
        <v>1581</v>
      </c>
      <c r="E345" s="46" t="s">
        <v>1582</v>
      </c>
      <c r="F345" s="46" t="s">
        <v>26</v>
      </c>
      <c r="G345" s="47">
        <v>1.71</v>
      </c>
      <c r="H345" s="48">
        <v>5.55</v>
      </c>
      <c r="I345" s="48">
        <v>38.852</v>
      </c>
      <c r="J345" s="49">
        <v>7</v>
      </c>
      <c r="K345" s="49">
        <v>1</v>
      </c>
      <c r="L345" s="49">
        <v>6</v>
      </c>
    </row>
    <row r="346" spans="1:12" x14ac:dyDescent="0.25">
      <c r="A346" s="45">
        <f>C346&amp;"."&amp;IFERROR(MID(E346,FIND("(",E346)+1,FIND(")",E346)-FIND("(",E346)-1),"")</f>
      </c>
      <c r="B346" s="46" t="s">
        <v>1178</v>
      </c>
      <c r="C346" s="46">
        <v>342</v>
      </c>
      <c r="D346" s="46" t="s">
        <v>1581</v>
      </c>
      <c r="E346" s="46" t="s">
        <v>1583</v>
      </c>
      <c r="F346" s="46" t="s">
        <v>26</v>
      </c>
      <c r="G346" s="47">
        <v>1.71</v>
      </c>
      <c r="H346" s="48">
        <v>5.68</v>
      </c>
      <c r="I346" s="48">
        <v>34.08</v>
      </c>
      <c r="J346" s="49">
        <v>6</v>
      </c>
      <c r="K346" s="49">
        <v>0</v>
      </c>
      <c r="L346" s="49">
        <v>6</v>
      </c>
    </row>
    <row r="347" spans="1:12" x14ac:dyDescent="0.25">
      <c r="A347" s="45">
        <f>C347&amp;"."&amp;IFERROR(MID(E347,FIND("(",E347)+1,FIND(")",E347)-FIND("(",E347)-1),"")</f>
      </c>
      <c r="B347" s="46" t="s">
        <v>1178</v>
      </c>
      <c r="C347" s="46">
        <v>72561</v>
      </c>
      <c r="D347" s="46" t="s">
        <v>1584</v>
      </c>
      <c r="E347" s="46" t="s">
        <v>1248</v>
      </c>
      <c r="F347" s="46" t="s">
        <v>1495</v>
      </c>
      <c r="G347" s="47">
        <v>0</v>
      </c>
      <c r="H347" s="48">
        <v>0.669</v>
      </c>
      <c r="I347" s="48">
        <v>119.694</v>
      </c>
      <c r="J347" s="49">
        <v>179</v>
      </c>
      <c r="K347" s="49">
        <v>167</v>
      </c>
      <c r="L347" s="49">
        <v>12</v>
      </c>
    </row>
    <row r="348" spans="1:12" x14ac:dyDescent="0.25">
      <c r="A348" s="45">
        <f>C348&amp;"."&amp;IFERROR(MID(E348,FIND("(",E348)+1,FIND(")",E348)-FIND("(",E348)-1),"")</f>
      </c>
      <c r="B348" s="46" t="s">
        <v>1178</v>
      </c>
      <c r="C348" s="46">
        <v>72562</v>
      </c>
      <c r="D348" s="46" t="s">
        <v>1585</v>
      </c>
      <c r="E348" s="46" t="s">
        <v>1248</v>
      </c>
      <c r="F348" s="46" t="s">
        <v>1495</v>
      </c>
      <c r="G348" s="47">
        <v>0</v>
      </c>
      <c r="H348" s="48">
        <v>0.222</v>
      </c>
      <c r="I348" s="48">
        <v>2.437</v>
      </c>
      <c r="J348" s="49">
        <v>11</v>
      </c>
      <c r="K348" s="49">
        <v>0</v>
      </c>
      <c r="L348" s="49">
        <v>11</v>
      </c>
    </row>
    <row r="349" spans="1:12" x14ac:dyDescent="0.25">
      <c r="A349" s="45">
        <f>C349&amp;"."&amp;IFERROR(MID(E349,FIND("(",E349)+1,FIND(")",E349)-FIND("(",E349)-1),"")</f>
      </c>
      <c r="B349" s="46" t="s">
        <v>1178</v>
      </c>
      <c r="C349" s="46">
        <v>72563</v>
      </c>
      <c r="D349" s="46" t="s">
        <v>1586</v>
      </c>
      <c r="E349" s="46" t="s">
        <v>1248</v>
      </c>
      <c r="F349" s="46" t="s">
        <v>1495</v>
      </c>
      <c r="G349" s="47">
        <v>0</v>
      </c>
      <c r="H349" s="48">
        <v>3.176</v>
      </c>
      <c r="I349" s="48">
        <v>25.41</v>
      </c>
      <c r="J349" s="49">
        <v>8</v>
      </c>
      <c r="K349" s="49">
        <v>0</v>
      </c>
      <c r="L349" s="49">
        <v>8</v>
      </c>
    </row>
    <row r="350" spans="1:12" x14ac:dyDescent="0.25">
      <c r="A350" s="45">
        <f>C350&amp;"."&amp;IFERROR(MID(E350,FIND("(",E350)+1,FIND(")",E350)-FIND("(",E350)-1),"")</f>
      </c>
      <c r="B350" s="46" t="s">
        <v>1178</v>
      </c>
      <c r="C350" s="46">
        <v>72566</v>
      </c>
      <c r="D350" s="46" t="s">
        <v>629</v>
      </c>
      <c r="E350" s="46" t="s">
        <v>1587</v>
      </c>
      <c r="F350" s="46" t="s">
        <v>26</v>
      </c>
      <c r="G350" s="47">
        <v>47</v>
      </c>
      <c r="H350" s="48">
        <v>135.224</v>
      </c>
      <c r="I350" s="48">
        <v>66935.856</v>
      </c>
      <c r="J350" s="49">
        <v>495</v>
      </c>
      <c r="K350" s="49">
        <v>481</v>
      </c>
      <c r="L350" s="49">
        <v>14</v>
      </c>
    </row>
    <row r="351" spans="1:12" x14ac:dyDescent="0.25">
      <c r="A351" s="45">
        <f>C351&amp;"."&amp;IFERROR(MID(E351,FIND("(",E351)+1,FIND(")",E351)-FIND("(",E351)-1),"")</f>
      </c>
      <c r="B351" s="46" t="s">
        <v>1178</v>
      </c>
      <c r="C351" s="46">
        <v>72566</v>
      </c>
      <c r="D351" s="46" t="s">
        <v>629</v>
      </c>
      <c r="E351" s="46" t="s">
        <v>1588</v>
      </c>
      <c r="F351" s="46" t="s">
        <v>26</v>
      </c>
      <c r="G351" s="47">
        <v>47</v>
      </c>
      <c r="H351" s="48">
        <v>125.705</v>
      </c>
      <c r="I351" s="48">
        <v>43116.763</v>
      </c>
      <c r="J351" s="49">
        <v>343</v>
      </c>
      <c r="K351" s="49">
        <v>288</v>
      </c>
      <c r="L351" s="49">
        <v>55</v>
      </c>
    </row>
    <row r="352" spans="1:12" x14ac:dyDescent="0.25">
      <c r="A352" s="45">
        <f>C352&amp;"."&amp;IFERROR(MID(E352,FIND("(",E352)+1,FIND(")",E352)-FIND("(",E352)-1),"")</f>
      </c>
      <c r="B352" s="46" t="s">
        <v>1178</v>
      </c>
      <c r="C352" s="46">
        <v>72567</v>
      </c>
      <c r="D352" s="46" t="s">
        <v>205</v>
      </c>
      <c r="E352" s="46" t="s">
        <v>1589</v>
      </c>
      <c r="F352" s="46" t="s">
        <v>26</v>
      </c>
      <c r="G352" s="47">
        <v>33.5</v>
      </c>
      <c r="H352" s="48">
        <v>131.434</v>
      </c>
      <c r="I352" s="48">
        <v>65716.911</v>
      </c>
      <c r="J352" s="49">
        <v>500</v>
      </c>
      <c r="K352" s="49">
        <v>482</v>
      </c>
      <c r="L352" s="49">
        <v>18</v>
      </c>
    </row>
    <row r="353" spans="1:12" x14ac:dyDescent="0.25">
      <c r="A353" s="45">
        <f>C353&amp;"."&amp;IFERROR(MID(E353,FIND("(",E353)+1,FIND(")",E353)-FIND("(",E353)-1),"")</f>
      </c>
      <c r="B353" s="46" t="s">
        <v>1178</v>
      </c>
      <c r="C353" s="46">
        <v>72567</v>
      </c>
      <c r="D353" s="46" t="s">
        <v>205</v>
      </c>
      <c r="E353" s="46" t="s">
        <v>1590</v>
      </c>
      <c r="F353" s="46" t="s">
        <v>26</v>
      </c>
      <c r="G353" s="47">
        <v>33.5</v>
      </c>
      <c r="H353" s="48">
        <v>138.048</v>
      </c>
      <c r="I353" s="48">
        <v>45970.059</v>
      </c>
      <c r="J353" s="49">
        <v>333</v>
      </c>
      <c r="K353" s="49">
        <v>288</v>
      </c>
      <c r="L353" s="49">
        <v>45</v>
      </c>
    </row>
    <row r="354" spans="1:12" x14ac:dyDescent="0.25">
      <c r="A354" s="45">
        <f>C354&amp;"."&amp;IFERROR(MID(E354,FIND("(",E354)+1,FIND(")",E354)-FIND("(",E354)-1),"")</f>
      </c>
      <c r="B354" s="46" t="s">
        <v>1178</v>
      </c>
      <c r="C354" s="46">
        <v>72568</v>
      </c>
      <c r="D354" s="46" t="s">
        <v>797</v>
      </c>
      <c r="E354" s="46" t="s">
        <v>1591</v>
      </c>
      <c r="F354" s="46" t="s">
        <v>26</v>
      </c>
      <c r="G354" s="47">
        <v>39</v>
      </c>
      <c r="H354" s="48">
        <v>179.806</v>
      </c>
      <c r="I354" s="48">
        <v>11327.755</v>
      </c>
      <c r="J354" s="49">
        <v>63</v>
      </c>
      <c r="K354" s="49">
        <v>0</v>
      </c>
      <c r="L354" s="49">
        <v>63</v>
      </c>
    </row>
    <row r="355" spans="1:12" x14ac:dyDescent="0.25">
      <c r="A355" s="45">
        <f>C355&amp;"."&amp;IFERROR(MID(E355,FIND("(",E355)+1,FIND(")",E355)-FIND("(",E355)-1),"")</f>
      </c>
      <c r="B355" s="46" t="s">
        <v>1178</v>
      </c>
      <c r="C355" s="46">
        <v>72568</v>
      </c>
      <c r="D355" s="46" t="s">
        <v>797</v>
      </c>
      <c r="E355" s="46" t="s">
        <v>1592</v>
      </c>
      <c r="F355" s="46" t="s">
        <v>26</v>
      </c>
      <c r="G355" s="47">
        <v>39</v>
      </c>
      <c r="H355" s="48">
        <v>157.469</v>
      </c>
      <c r="I355" s="48">
        <v>157.469</v>
      </c>
      <c r="J355" s="49">
        <v>1</v>
      </c>
      <c r="K355" s="49">
        <v>1</v>
      </c>
      <c r="L355" s="49">
        <v>0</v>
      </c>
    </row>
    <row r="356" spans="1:12" x14ac:dyDescent="0.25">
      <c r="A356" s="45">
        <f>C356&amp;"."&amp;IFERROR(MID(E356,FIND("(",E356)+1,FIND(")",E356)-FIND("(",E356)-1),"")</f>
      </c>
      <c r="B356" s="46" t="s">
        <v>1178</v>
      </c>
      <c r="C356" s="46">
        <v>72569</v>
      </c>
      <c r="D356" s="46" t="s">
        <v>501</v>
      </c>
      <c r="E356" s="46" t="s">
        <v>1593</v>
      </c>
      <c r="F356" s="46" t="s">
        <v>26</v>
      </c>
      <c r="G356" s="47">
        <v>28.5</v>
      </c>
      <c r="H356" s="48">
        <v>115.214</v>
      </c>
      <c r="I356" s="48">
        <v>39979.111</v>
      </c>
      <c r="J356" s="49">
        <v>347</v>
      </c>
      <c r="K356" s="49">
        <v>289</v>
      </c>
      <c r="L356" s="49">
        <v>58</v>
      </c>
    </row>
    <row r="357" spans="1:12" x14ac:dyDescent="0.25">
      <c r="A357" s="45">
        <f>C357&amp;"."&amp;IFERROR(MID(E357,FIND("(",E357)+1,FIND(")",E357)-FIND("(",E357)-1),"")</f>
      </c>
      <c r="B357" s="46" t="s">
        <v>1178</v>
      </c>
      <c r="C357" s="46">
        <v>72569</v>
      </c>
      <c r="D357" s="46" t="s">
        <v>501</v>
      </c>
      <c r="E357" s="46" t="s">
        <v>1594</v>
      </c>
      <c r="F357" s="46" t="s">
        <v>26</v>
      </c>
      <c r="G357" s="47">
        <v>28.5</v>
      </c>
      <c r="H357" s="48">
        <v>109.705</v>
      </c>
      <c r="I357" s="48">
        <v>52768.291</v>
      </c>
      <c r="J357" s="49">
        <v>481</v>
      </c>
      <c r="K357" s="49">
        <v>481</v>
      </c>
      <c r="L357" s="49">
        <v>0</v>
      </c>
    </row>
    <row r="358" spans="1:12" x14ac:dyDescent="0.25">
      <c r="A358" s="45">
        <f>C358&amp;"."&amp;IFERROR(MID(E358,FIND("(",E358)+1,FIND(")",E358)-FIND("(",E358)-1),"")</f>
      </c>
      <c r="B358" s="46" t="s">
        <v>1178</v>
      </c>
      <c r="C358" s="46">
        <v>72571</v>
      </c>
      <c r="D358" s="46" t="s">
        <v>1595</v>
      </c>
      <c r="E358" s="46" t="s">
        <v>1248</v>
      </c>
      <c r="F358" s="46" t="s">
        <v>1495</v>
      </c>
      <c r="G358" s="47">
        <v>0</v>
      </c>
      <c r="H358" s="48">
        <v>3.176</v>
      </c>
      <c r="I358" s="48">
        <v>31.762</v>
      </c>
      <c r="J358" s="49">
        <v>10</v>
      </c>
      <c r="K358" s="49">
        <v>4</v>
      </c>
      <c r="L358" s="49">
        <v>6</v>
      </c>
    </row>
    <row r="359" spans="1:12" x14ac:dyDescent="0.25">
      <c r="A359" s="45">
        <f>C359&amp;"."&amp;IFERROR(MID(E359,FIND("(",E359)+1,FIND(")",E359)-FIND("(",E359)-1),"")</f>
      </c>
      <c r="B359" s="46" t="s">
        <v>1178</v>
      </c>
      <c r="C359" s="46">
        <v>72572</v>
      </c>
      <c r="D359" s="46" t="s">
        <v>503</v>
      </c>
      <c r="E359" s="46" t="s">
        <v>1596</v>
      </c>
      <c r="F359" s="46" t="s">
        <v>26</v>
      </c>
      <c r="G359" s="47">
        <v>17.56</v>
      </c>
      <c r="H359" s="48">
        <v>154.782</v>
      </c>
      <c r="I359" s="48">
        <v>110514.054</v>
      </c>
      <c r="J359" s="49">
        <v>714</v>
      </c>
      <c r="K359" s="49">
        <v>516</v>
      </c>
      <c r="L359" s="49">
        <v>198</v>
      </c>
    </row>
    <row r="360" spans="1:12" x14ac:dyDescent="0.25">
      <c r="A360" s="45">
        <f>C360&amp;"."&amp;IFERROR(MID(E360,FIND("(",E360)+1,FIND(")",E360)-FIND("(",E360)-1),"")</f>
      </c>
      <c r="B360" s="46" t="s">
        <v>1178</v>
      </c>
      <c r="C360" s="46">
        <v>72572</v>
      </c>
      <c r="D360" s="46" t="s">
        <v>503</v>
      </c>
      <c r="E360" s="46" t="s">
        <v>1597</v>
      </c>
      <c r="F360" s="46" t="s">
        <v>26</v>
      </c>
      <c r="G360" s="47">
        <v>17.56</v>
      </c>
      <c r="H360" s="48">
        <v>155.156</v>
      </c>
      <c r="I360" s="48">
        <v>46546.779</v>
      </c>
      <c r="J360" s="49">
        <v>300</v>
      </c>
      <c r="K360" s="49">
        <v>300</v>
      </c>
      <c r="L360" s="49">
        <v>0</v>
      </c>
    </row>
    <row r="361" spans="1:12" x14ac:dyDescent="0.25">
      <c r="A361" s="45">
        <f>C361&amp;"."&amp;IFERROR(MID(E361,FIND("(",E361)+1,FIND(")",E361)-FIND("(",E361)-1),"")</f>
      </c>
      <c r="B361" s="46" t="s">
        <v>1178</v>
      </c>
      <c r="C361" s="46">
        <v>72594</v>
      </c>
      <c r="D361" s="46" t="s">
        <v>790</v>
      </c>
      <c r="E361" s="46" t="s">
        <v>1598</v>
      </c>
      <c r="F361" s="46" t="s">
        <v>26</v>
      </c>
      <c r="G361" s="47">
        <v>72.8</v>
      </c>
      <c r="H361" s="48">
        <v>259.931</v>
      </c>
      <c r="I361" s="48">
        <v>10917.116</v>
      </c>
      <c r="J361" s="49">
        <v>42</v>
      </c>
      <c r="K361" s="49">
        <v>42</v>
      </c>
      <c r="L361" s="49">
        <v>0</v>
      </c>
    </row>
    <row r="362" spans="1:12" x14ac:dyDescent="0.25">
      <c r="A362" s="45">
        <f>C362&amp;"."&amp;IFERROR(MID(E362,FIND("(",E362)+1,FIND(")",E362)-FIND("(",E362)-1),"")</f>
      </c>
      <c r="B362" s="46" t="s">
        <v>1178</v>
      </c>
      <c r="C362" s="46">
        <v>72594</v>
      </c>
      <c r="D362" s="46" t="s">
        <v>790</v>
      </c>
      <c r="E362" s="46" t="s">
        <v>1599</v>
      </c>
      <c r="F362" s="46" t="s">
        <v>26</v>
      </c>
      <c r="G362" s="47">
        <v>72.8</v>
      </c>
      <c r="H362" s="48">
        <v>256.681</v>
      </c>
      <c r="I362" s="48">
        <v>218178.855</v>
      </c>
      <c r="J362" s="49">
        <v>850</v>
      </c>
      <c r="K362" s="49">
        <v>850</v>
      </c>
      <c r="L362" s="49">
        <v>0</v>
      </c>
    </row>
    <row r="363" spans="1:12" x14ac:dyDescent="0.25">
      <c r="A363" s="45">
        <f>C363&amp;"."&amp;IFERROR(MID(E363,FIND("(",E363)+1,FIND(")",E363)-FIND("(",E363)-1),"")</f>
      </c>
      <c r="B363" s="46" t="s">
        <v>1178</v>
      </c>
      <c r="C363" s="46">
        <v>72595</v>
      </c>
      <c r="D363" s="46" t="s">
        <v>194</v>
      </c>
      <c r="E363" s="46" t="s">
        <v>1600</v>
      </c>
      <c r="F363" s="46" t="s">
        <v>26</v>
      </c>
      <c r="G363" s="47">
        <v>63.7</v>
      </c>
      <c r="H363" s="48">
        <v>221.689</v>
      </c>
      <c r="I363" s="48">
        <v>23499.065</v>
      </c>
      <c r="J363" s="49">
        <v>106</v>
      </c>
      <c r="K363" s="49">
        <v>106</v>
      </c>
      <c r="L363" s="49">
        <v>0</v>
      </c>
    </row>
    <row r="364" spans="1:12" x14ac:dyDescent="0.25">
      <c r="A364" s="45">
        <f>C364&amp;"."&amp;IFERROR(MID(E364,FIND("(",E364)+1,FIND(")",E364)-FIND("(",E364)-1),"")</f>
      </c>
      <c r="B364" s="46" t="s">
        <v>1178</v>
      </c>
      <c r="C364" s="46">
        <v>72595</v>
      </c>
      <c r="D364" s="46" t="s">
        <v>194</v>
      </c>
      <c r="E364" s="46" t="s">
        <v>1601</v>
      </c>
      <c r="F364" s="46" t="s">
        <v>26</v>
      </c>
      <c r="G364" s="47">
        <v>63.7</v>
      </c>
      <c r="H364" s="48">
        <v>195.223</v>
      </c>
      <c r="I364" s="48">
        <v>85507.63</v>
      </c>
      <c r="J364" s="49">
        <v>438</v>
      </c>
      <c r="K364" s="49">
        <v>438</v>
      </c>
      <c r="L364" s="49">
        <v>0</v>
      </c>
    </row>
    <row r="365" spans="1:12" x14ac:dyDescent="0.25">
      <c r="A365" s="45">
        <f>C365&amp;"."&amp;IFERROR(MID(E365,FIND("(",E365)+1,FIND(")",E365)-FIND("(",E365)-1),"")</f>
      </c>
      <c r="B365" s="46" t="s">
        <v>1178</v>
      </c>
      <c r="C365" s="46">
        <v>72595</v>
      </c>
      <c r="D365" s="46" t="s">
        <v>194</v>
      </c>
      <c r="E365" s="46" t="s">
        <v>1602</v>
      </c>
      <c r="F365" s="46" t="s">
        <v>26</v>
      </c>
      <c r="G365" s="47">
        <v>63.7</v>
      </c>
      <c r="H365" s="48">
        <v>202.692</v>
      </c>
      <c r="I365" s="48">
        <v>217690.765</v>
      </c>
      <c r="J365" s="49">
        <v>1074</v>
      </c>
      <c r="K365" s="49">
        <v>1074</v>
      </c>
      <c r="L365" s="49">
        <v>0</v>
      </c>
    </row>
    <row r="366" spans="1:12" x14ac:dyDescent="0.25">
      <c r="A366" s="45">
        <f>C366&amp;"."&amp;IFERROR(MID(E366,FIND("(",E366)+1,FIND(")",E366)-FIND("(",E366)-1),"")</f>
      </c>
      <c r="B366" s="46" t="s">
        <v>1178</v>
      </c>
      <c r="C366" s="46">
        <v>72596</v>
      </c>
      <c r="D366" s="46" t="s">
        <v>472</v>
      </c>
      <c r="E366" s="46" t="s">
        <v>1248</v>
      </c>
      <c r="F366" s="46" t="s">
        <v>26</v>
      </c>
      <c r="G366" s="47">
        <v>6.28</v>
      </c>
      <c r="H366" s="48">
        <v>49.357</v>
      </c>
      <c r="I366" s="48">
        <v>150539.373</v>
      </c>
      <c r="J366" s="49">
        <v>3050</v>
      </c>
      <c r="K366" s="49">
        <v>2382</v>
      </c>
      <c r="L366" s="49">
        <v>668</v>
      </c>
    </row>
    <row r="367" spans="1:12" x14ac:dyDescent="0.25">
      <c r="A367" s="45">
        <f>C367&amp;"."&amp;IFERROR(MID(E367,FIND("(",E367)+1,FIND(")",E367)-FIND("(",E367)-1),"")</f>
      </c>
      <c r="B367" s="46" t="s">
        <v>1178</v>
      </c>
      <c r="C367" s="46">
        <v>72661</v>
      </c>
      <c r="D367" s="46" t="s">
        <v>794</v>
      </c>
      <c r="E367" s="46" t="s">
        <v>1603</v>
      </c>
      <c r="F367" s="46" t="s">
        <v>26</v>
      </c>
      <c r="G367" s="47">
        <v>20.5</v>
      </c>
      <c r="H367" s="48">
        <v>164.412</v>
      </c>
      <c r="I367" s="48">
        <v>112293.704</v>
      </c>
      <c r="J367" s="49">
        <v>683</v>
      </c>
      <c r="K367" s="49">
        <v>102</v>
      </c>
      <c r="L367" s="49">
        <v>581</v>
      </c>
    </row>
    <row r="368" spans="1:12" x14ac:dyDescent="0.25">
      <c r="A368" s="45">
        <f>C368&amp;"."&amp;IFERROR(MID(E368,FIND("(",E368)+1,FIND(")",E368)-FIND("(",E368)-1),"")</f>
      </c>
      <c r="B368" s="46" t="s">
        <v>1178</v>
      </c>
      <c r="C368" s="46">
        <v>72661</v>
      </c>
      <c r="D368" s="46" t="s">
        <v>794</v>
      </c>
      <c r="E368" s="46" t="s">
        <v>1604</v>
      </c>
      <c r="F368" s="46" t="s">
        <v>26</v>
      </c>
      <c r="G368" s="47">
        <v>20.5</v>
      </c>
      <c r="H368" s="48">
        <v>166.311</v>
      </c>
      <c r="I368" s="48">
        <v>88145.024</v>
      </c>
      <c r="J368" s="49">
        <v>530</v>
      </c>
      <c r="K368" s="49">
        <v>530</v>
      </c>
      <c r="L368" s="49">
        <v>0</v>
      </c>
    </row>
    <row r="369" spans="1:12" x14ac:dyDescent="0.25">
      <c r="A369" s="45">
        <f>C369&amp;"."&amp;IFERROR(MID(E369,FIND("(",E369)+1,FIND(")",E369)-FIND("(",E369)-1),"")</f>
      </c>
      <c r="B369" s="46" t="s">
        <v>1178</v>
      </c>
      <c r="C369" s="46">
        <v>72663</v>
      </c>
      <c r="D369" s="46" t="s">
        <v>200</v>
      </c>
      <c r="E369" s="46" t="s">
        <v>1605</v>
      </c>
      <c r="F369" s="46" t="s">
        <v>26</v>
      </c>
      <c r="G369" s="47">
        <v>40.48</v>
      </c>
      <c r="H369" s="48">
        <v>160.645</v>
      </c>
      <c r="I369" s="48">
        <v>8996.141</v>
      </c>
      <c r="J369" s="49">
        <v>56</v>
      </c>
      <c r="K369" s="49">
        <v>4</v>
      </c>
      <c r="L369" s="49">
        <v>52</v>
      </c>
    </row>
    <row r="370" spans="1:12" x14ac:dyDescent="0.25">
      <c r="A370" s="45">
        <f>C370&amp;"."&amp;IFERROR(MID(E370,FIND("(",E370)+1,FIND(")",E370)-FIND("(",E370)-1),"")</f>
      </c>
      <c r="B370" s="46" t="s">
        <v>1178</v>
      </c>
      <c r="C370" s="46">
        <v>72663</v>
      </c>
      <c r="D370" s="46" t="s">
        <v>200</v>
      </c>
      <c r="E370" s="46" t="s">
        <v>1606</v>
      </c>
      <c r="F370" s="46" t="s">
        <v>26</v>
      </c>
      <c r="G370" s="47">
        <v>40.48</v>
      </c>
      <c r="H370" s="48">
        <v>170.661</v>
      </c>
      <c r="I370" s="48">
        <v>26964.401</v>
      </c>
      <c r="J370" s="49">
        <v>158</v>
      </c>
      <c r="K370" s="49">
        <v>133</v>
      </c>
      <c r="L370" s="49">
        <v>25</v>
      </c>
    </row>
    <row r="371" spans="1:12" x14ac:dyDescent="0.25">
      <c r="A371" s="45">
        <f>C371&amp;"."&amp;IFERROR(MID(E371,FIND("(",E371)+1,FIND(")",E371)-FIND("(",E371)-1),"")</f>
      </c>
      <c r="B371" s="46" t="s">
        <v>1178</v>
      </c>
      <c r="C371" s="46">
        <v>72748</v>
      </c>
      <c r="D371" s="46" t="s">
        <v>1607</v>
      </c>
      <c r="E371" s="46" t="s">
        <v>1248</v>
      </c>
      <c r="F371" s="46" t="s">
        <v>1495</v>
      </c>
      <c r="G371" s="47">
        <v>0</v>
      </c>
      <c r="H371" s="48">
        <v>21.088</v>
      </c>
      <c r="I371" s="48">
        <v>84.354</v>
      </c>
      <c r="J371" s="49">
        <v>4</v>
      </c>
      <c r="K371" s="49">
        <v>0</v>
      </c>
      <c r="L371" s="49">
        <v>4</v>
      </c>
    </row>
    <row r="372" spans="1:12" x14ac:dyDescent="0.25">
      <c r="A372" s="45">
        <f>C372&amp;"."&amp;IFERROR(MID(E372,FIND("(",E372)+1,FIND(")",E372)-FIND("(",E372)-1),"")</f>
      </c>
      <c r="B372" s="46" t="s">
        <v>1178</v>
      </c>
      <c r="C372" s="46">
        <v>72761</v>
      </c>
      <c r="D372" s="46" t="s">
        <v>693</v>
      </c>
      <c r="E372" s="46" t="s">
        <v>1608</v>
      </c>
      <c r="F372" s="46" t="s">
        <v>26</v>
      </c>
      <c r="G372" s="47">
        <v>9.7</v>
      </c>
      <c r="H372" s="48">
        <v>35.73</v>
      </c>
      <c r="I372" s="48">
        <v>2179.513</v>
      </c>
      <c r="J372" s="49">
        <v>61</v>
      </c>
      <c r="K372" s="49">
        <v>0</v>
      </c>
      <c r="L372" s="49">
        <v>61</v>
      </c>
    </row>
    <row r="373" spans="1:12" x14ac:dyDescent="0.25">
      <c r="A373" s="45">
        <f>C373&amp;"."&amp;IFERROR(MID(E373,FIND("(",E373)+1,FIND(")",E373)-FIND("(",E373)-1),"")</f>
      </c>
      <c r="B373" s="46" t="s">
        <v>1178</v>
      </c>
      <c r="C373" s="46">
        <v>72761</v>
      </c>
      <c r="D373" s="46" t="s">
        <v>693</v>
      </c>
      <c r="E373" s="46" t="s">
        <v>1609</v>
      </c>
      <c r="F373" s="46" t="s">
        <v>26</v>
      </c>
      <c r="G373" s="47">
        <v>9.7</v>
      </c>
      <c r="H373" s="48">
        <v>46.413</v>
      </c>
      <c r="I373" s="48">
        <v>40471.9</v>
      </c>
      <c r="J373" s="49">
        <v>872</v>
      </c>
      <c r="K373" s="49">
        <v>266</v>
      </c>
      <c r="L373" s="49">
        <v>606</v>
      </c>
    </row>
    <row r="374" spans="1:12" x14ac:dyDescent="0.25">
      <c r="A374" s="45">
        <f>C374&amp;"."&amp;IFERROR(MID(E374,FIND("(",E374)+1,FIND(")",E374)-FIND("(",E374)-1),"")</f>
      </c>
      <c r="B374" s="46" t="s">
        <v>1178</v>
      </c>
      <c r="C374" s="46">
        <v>72777</v>
      </c>
      <c r="D374" s="46" t="s">
        <v>198</v>
      </c>
      <c r="E374" s="46" t="s">
        <v>1610</v>
      </c>
      <c r="F374" s="46" t="s">
        <v>26</v>
      </c>
      <c r="G374" s="47">
        <v>40</v>
      </c>
      <c r="H374" s="48">
        <v>90.225</v>
      </c>
      <c r="I374" s="48">
        <v>3969.889</v>
      </c>
      <c r="J374" s="49">
        <v>44</v>
      </c>
      <c r="K374" s="49">
        <v>30</v>
      </c>
      <c r="L374" s="49">
        <v>14</v>
      </c>
    </row>
    <row r="375" spans="1:12" x14ac:dyDescent="0.25">
      <c r="A375" s="45">
        <f>C375&amp;"."&amp;IFERROR(MID(E375,FIND("(",E375)+1,FIND(")",E375)-FIND("(",E375)-1),"")</f>
      </c>
      <c r="B375" s="46" t="s">
        <v>1178</v>
      </c>
      <c r="C375" s="46">
        <v>72777</v>
      </c>
      <c r="D375" s="46" t="s">
        <v>198</v>
      </c>
      <c r="E375" s="46" t="s">
        <v>1611</v>
      </c>
      <c r="F375" s="46" t="s">
        <v>26</v>
      </c>
      <c r="G375" s="47">
        <v>40</v>
      </c>
      <c r="H375" s="48">
        <v>79.973</v>
      </c>
      <c r="I375" s="48">
        <v>5198.252</v>
      </c>
      <c r="J375" s="49">
        <v>65</v>
      </c>
      <c r="K375" s="49">
        <v>1</v>
      </c>
      <c r="L375" s="49">
        <v>64</v>
      </c>
    </row>
    <row r="376" spans="1:12" x14ac:dyDescent="0.25">
      <c r="A376" s="45">
        <f>C376&amp;"."&amp;IFERROR(MID(E376,FIND("(",E376)+1,FIND(")",E376)-FIND("(",E376)-1),"")</f>
      </c>
      <c r="B376" s="46" t="s">
        <v>1178</v>
      </c>
      <c r="C376" s="46">
        <v>72779</v>
      </c>
      <c r="D376" s="46" t="s">
        <v>1053</v>
      </c>
      <c r="E376" s="46" t="s">
        <v>1248</v>
      </c>
      <c r="F376" s="46" t="s">
        <v>26</v>
      </c>
      <c r="G376" s="47">
        <v>12.9</v>
      </c>
      <c r="H376" s="48">
        <v>79.882</v>
      </c>
      <c r="I376" s="48">
        <v>399.412</v>
      </c>
      <c r="J376" s="49">
        <v>5</v>
      </c>
      <c r="K376" s="49">
        <v>0</v>
      </c>
      <c r="L376" s="49">
        <v>5</v>
      </c>
    </row>
    <row r="377" spans="1:12" x14ac:dyDescent="0.25">
      <c r="A377" s="45">
        <f>C377&amp;"."&amp;IFERROR(MID(E377,FIND("(",E377)+1,FIND(")",E377)-FIND("(",E377)-1),"")</f>
      </c>
      <c r="B377" s="46" t="s">
        <v>1178</v>
      </c>
      <c r="C377" s="46">
        <v>72816</v>
      </c>
      <c r="D377" s="46" t="s">
        <v>883</v>
      </c>
      <c r="E377" s="46" t="s">
        <v>1612</v>
      </c>
      <c r="F377" s="46" t="s">
        <v>24</v>
      </c>
      <c r="G377" s="47">
        <v>47</v>
      </c>
      <c r="H377" s="48">
        <v>190.562</v>
      </c>
      <c r="I377" s="48">
        <v>1143.375</v>
      </c>
      <c r="J377" s="49">
        <v>6</v>
      </c>
      <c r="K377" s="49">
        <v>0</v>
      </c>
      <c r="L377" s="49">
        <v>6</v>
      </c>
    </row>
    <row r="378" spans="1:12" x14ac:dyDescent="0.25">
      <c r="A378" s="45">
        <f>C378&amp;"."&amp;IFERROR(MID(E378,FIND("(",E378)+1,FIND(")",E378)-FIND("(",E378)-1),"")</f>
      </c>
      <c r="B378" s="46" t="s">
        <v>1178</v>
      </c>
      <c r="C378" s="46">
        <v>72824</v>
      </c>
      <c r="D378" s="46" t="s">
        <v>1613</v>
      </c>
      <c r="E378" s="46" t="s">
        <v>1248</v>
      </c>
      <c r="F378" s="46" t="s">
        <v>1495</v>
      </c>
      <c r="G378" s="47">
        <v>0</v>
      </c>
      <c r="H378" s="48">
        <v>2.546</v>
      </c>
      <c r="I378" s="48">
        <v>10.184</v>
      </c>
      <c r="J378" s="49">
        <v>4</v>
      </c>
      <c r="K378" s="49">
        <v>0</v>
      </c>
      <c r="L378" s="49">
        <v>4</v>
      </c>
    </row>
    <row r="379" spans="1:12" x14ac:dyDescent="0.25">
      <c r="A379" s="45">
        <f>C379&amp;"."&amp;IFERROR(MID(E379,FIND("(",E379)+1,FIND(")",E379)-FIND("(",E379)-1),"")</f>
      </c>
      <c r="B379" s="46" t="s">
        <v>1178</v>
      </c>
      <c r="C379" s="46">
        <v>72826</v>
      </c>
      <c r="D379" s="46" t="s">
        <v>1614</v>
      </c>
      <c r="E379" s="46" t="s">
        <v>1248</v>
      </c>
      <c r="F379" s="46" t="s">
        <v>1495</v>
      </c>
      <c r="G379" s="47">
        <v>0</v>
      </c>
      <c r="H379" s="48">
        <v>1.404</v>
      </c>
      <c r="I379" s="48">
        <v>14.043</v>
      </c>
      <c r="J379" s="49">
        <v>10</v>
      </c>
      <c r="K379" s="49">
        <v>0</v>
      </c>
      <c r="L379" s="49">
        <v>10</v>
      </c>
    </row>
    <row r="380" spans="1:12" x14ac:dyDescent="0.25">
      <c r="A380" s="45">
        <f>C380&amp;"."&amp;IFERROR(MID(E380,FIND("(",E380)+1,FIND(")",E380)-FIND("(",E380)-1),"")</f>
      </c>
      <c r="B380" s="46" t="s">
        <v>1178</v>
      </c>
      <c r="C380" s="46">
        <v>72828</v>
      </c>
      <c r="D380" s="46" t="s">
        <v>1615</v>
      </c>
      <c r="E380" s="46" t="s">
        <v>1248</v>
      </c>
      <c r="F380" s="46" t="s">
        <v>1495</v>
      </c>
      <c r="G380" s="47">
        <v>0</v>
      </c>
      <c r="H380" s="48">
        <v>3.07</v>
      </c>
      <c r="I380" s="48">
        <v>55.258</v>
      </c>
      <c r="J380" s="49">
        <v>18</v>
      </c>
      <c r="K380" s="49">
        <v>0</v>
      </c>
      <c r="L380" s="49">
        <v>18</v>
      </c>
    </row>
    <row r="381" spans="1:12" x14ac:dyDescent="0.25">
      <c r="A381" s="45">
        <f>C381&amp;"."&amp;IFERROR(MID(E381,FIND("(",E381)+1,FIND(")",E381)-FIND("(",E381)-1),"")</f>
      </c>
      <c r="B381" s="46" t="s">
        <v>1178</v>
      </c>
      <c r="C381" s="46">
        <v>72832</v>
      </c>
      <c r="D381" s="46" t="s">
        <v>1616</v>
      </c>
      <c r="E381" s="46" t="s">
        <v>1248</v>
      </c>
      <c r="F381" s="46" t="s">
        <v>1495</v>
      </c>
      <c r="G381" s="47">
        <v>0</v>
      </c>
      <c r="H381" s="48">
        <v>3.896</v>
      </c>
      <c r="I381" s="48">
        <v>31.166</v>
      </c>
      <c r="J381" s="49">
        <v>8</v>
      </c>
      <c r="K381" s="49">
        <v>0</v>
      </c>
      <c r="L381" s="49">
        <v>8</v>
      </c>
    </row>
    <row r="382" spans="1:12" x14ac:dyDescent="0.25">
      <c r="A382" s="45">
        <f>C382&amp;"."&amp;IFERROR(MID(E382,FIND("(",E382)+1,FIND(")",E382)-FIND("(",E382)-1),"")</f>
      </c>
      <c r="B382" s="46" t="s">
        <v>1178</v>
      </c>
      <c r="C382" s="46">
        <v>72840</v>
      </c>
      <c r="D382" s="46" t="s">
        <v>1617</v>
      </c>
      <c r="E382" s="46" t="s">
        <v>1248</v>
      </c>
      <c r="F382" s="46" t="s">
        <v>1495</v>
      </c>
      <c r="G382" s="47">
        <v>0.06</v>
      </c>
      <c r="H382" s="48">
        <v>2.213</v>
      </c>
      <c r="I382" s="48">
        <v>57.525</v>
      </c>
      <c r="J382" s="49">
        <v>26</v>
      </c>
      <c r="K382" s="49">
        <v>1</v>
      </c>
      <c r="L382" s="49">
        <v>25</v>
      </c>
    </row>
    <row r="383" spans="1:12" x14ac:dyDescent="0.25">
      <c r="A383" s="45">
        <f>C383&amp;"."&amp;IFERROR(MID(E383,FIND("(",E383)+1,FIND(")",E383)-FIND("(",E383)-1),"")</f>
      </c>
      <c r="B383" s="46" t="s">
        <v>1178</v>
      </c>
      <c r="C383" s="46">
        <v>72843</v>
      </c>
      <c r="D383" s="46" t="s">
        <v>1618</v>
      </c>
      <c r="E383" s="46" t="s">
        <v>1248</v>
      </c>
      <c r="F383" s="46" t="s">
        <v>1495</v>
      </c>
      <c r="G383" s="47">
        <v>0.07</v>
      </c>
      <c r="H383" s="48">
        <v>2.189</v>
      </c>
      <c r="I383" s="48">
        <v>61.306</v>
      </c>
      <c r="J383" s="49">
        <v>28</v>
      </c>
      <c r="K383" s="49">
        <v>1</v>
      </c>
      <c r="L383" s="49">
        <v>27</v>
      </c>
    </row>
    <row r="384" spans="1:12" x14ac:dyDescent="0.25">
      <c r="A384" s="45">
        <f>C384&amp;"."&amp;IFERROR(MID(E384,FIND("(",E384)+1,FIND(")",E384)-FIND("(",E384)-1),"")</f>
      </c>
      <c r="B384" s="46" t="s">
        <v>1178</v>
      </c>
      <c r="C384" s="46">
        <v>72845</v>
      </c>
      <c r="D384" s="46" t="s">
        <v>1619</v>
      </c>
      <c r="E384" s="46" t="s">
        <v>1248</v>
      </c>
      <c r="F384" s="46" t="s">
        <v>1495</v>
      </c>
      <c r="G384" s="47">
        <v>0</v>
      </c>
      <c r="H384" s="48">
        <v>2.528</v>
      </c>
      <c r="I384" s="48">
        <v>65.737</v>
      </c>
      <c r="J384" s="49">
        <v>26</v>
      </c>
      <c r="K384" s="49">
        <v>2</v>
      </c>
      <c r="L384" s="49">
        <v>24</v>
      </c>
    </row>
    <row r="385" spans="1:12" x14ac:dyDescent="0.25">
      <c r="A385" s="45">
        <f>C385&amp;"."&amp;IFERROR(MID(E385,FIND("(",E385)+1,FIND(")",E385)-FIND("(",E385)-1),"")</f>
      </c>
      <c r="B385" s="46" t="s">
        <v>1178</v>
      </c>
      <c r="C385" s="46">
        <v>72847</v>
      </c>
      <c r="D385" s="46" t="s">
        <v>1620</v>
      </c>
      <c r="E385" s="46" t="s">
        <v>1248</v>
      </c>
      <c r="F385" s="46" t="s">
        <v>1495</v>
      </c>
      <c r="G385" s="47">
        <v>0</v>
      </c>
      <c r="H385" s="48">
        <v>2.422</v>
      </c>
      <c r="I385" s="48">
        <v>123.532</v>
      </c>
      <c r="J385" s="49">
        <v>51</v>
      </c>
      <c r="K385" s="49">
        <v>27</v>
      </c>
      <c r="L385" s="49">
        <v>24</v>
      </c>
    </row>
    <row r="386" spans="1:12" x14ac:dyDescent="0.25">
      <c r="A386" s="45">
        <f>C386&amp;"."&amp;IFERROR(MID(E386,FIND("(",E386)+1,FIND(")",E386)-FIND("(",E386)-1),"")</f>
      </c>
      <c r="B386" s="46" t="s">
        <v>1178</v>
      </c>
      <c r="C386" s="46">
        <v>72848</v>
      </c>
      <c r="D386" s="46" t="s">
        <v>1621</v>
      </c>
      <c r="E386" s="46" t="s">
        <v>1248</v>
      </c>
      <c r="F386" s="46" t="s">
        <v>1495</v>
      </c>
      <c r="G386" s="47">
        <v>0</v>
      </c>
      <c r="H386" s="48">
        <v>2.274</v>
      </c>
      <c r="I386" s="48">
        <v>31.829</v>
      </c>
      <c r="J386" s="49">
        <v>14</v>
      </c>
      <c r="K386" s="49">
        <v>0</v>
      </c>
      <c r="L386" s="49">
        <v>14</v>
      </c>
    </row>
    <row r="387" spans="1:12" x14ac:dyDescent="0.25">
      <c r="A387" s="45">
        <f>C387&amp;"."&amp;IFERROR(MID(E387,FIND("(",E387)+1,FIND(")",E387)-FIND("(",E387)-1),"")</f>
      </c>
      <c r="B387" s="46" t="s">
        <v>1178</v>
      </c>
      <c r="C387" s="46">
        <v>72849</v>
      </c>
      <c r="D387" s="46" t="s">
        <v>1622</v>
      </c>
      <c r="E387" s="46" t="s">
        <v>1248</v>
      </c>
      <c r="F387" s="46" t="s">
        <v>1495</v>
      </c>
      <c r="G387" s="47">
        <v>0</v>
      </c>
      <c r="H387" s="48">
        <v>1.323</v>
      </c>
      <c r="I387" s="48">
        <v>27.784</v>
      </c>
      <c r="J387" s="49">
        <v>21</v>
      </c>
      <c r="K387" s="49">
        <v>0</v>
      </c>
      <c r="L387" s="49">
        <v>21</v>
      </c>
    </row>
    <row r="388" spans="1:12" x14ac:dyDescent="0.25">
      <c r="A388" s="45">
        <f>C388&amp;"."&amp;IFERROR(MID(E388,FIND("(",E388)+1,FIND(")",E388)-FIND("(",E388)-1),"")</f>
      </c>
      <c r="B388" s="46" t="s">
        <v>1178</v>
      </c>
      <c r="C388" s="46">
        <v>72850</v>
      </c>
      <c r="D388" s="46" t="s">
        <v>1623</v>
      </c>
      <c r="E388" s="46" t="s">
        <v>1248</v>
      </c>
      <c r="F388" s="46" t="s">
        <v>1495</v>
      </c>
      <c r="G388" s="47">
        <v>0</v>
      </c>
      <c r="H388" s="48">
        <v>1.419</v>
      </c>
      <c r="I388" s="48">
        <v>34.047</v>
      </c>
      <c r="J388" s="49">
        <v>24</v>
      </c>
      <c r="K388" s="49">
        <v>1</v>
      </c>
      <c r="L388" s="49">
        <v>23</v>
      </c>
    </row>
    <row r="389" spans="1:12" x14ac:dyDescent="0.25">
      <c r="A389" s="45">
        <f>C389&amp;"."&amp;IFERROR(MID(E389,FIND("(",E389)+1,FIND(")",E389)-FIND("(",E389)-1),"")</f>
      </c>
      <c r="B389" s="46" t="s">
        <v>1178</v>
      </c>
      <c r="C389" s="46">
        <v>72851</v>
      </c>
      <c r="D389" s="46" t="s">
        <v>1624</v>
      </c>
      <c r="E389" s="46" t="s">
        <v>1248</v>
      </c>
      <c r="F389" s="46" t="s">
        <v>1495</v>
      </c>
      <c r="G389" s="47">
        <v>0</v>
      </c>
      <c r="H389" s="48">
        <v>1.755</v>
      </c>
      <c r="I389" s="48">
        <v>7.018</v>
      </c>
      <c r="J389" s="49">
        <v>4</v>
      </c>
      <c r="K389" s="49">
        <v>0</v>
      </c>
      <c r="L389" s="49">
        <v>4</v>
      </c>
    </row>
    <row r="390" spans="1:12" x14ac:dyDescent="0.25">
      <c r="A390" s="45">
        <f>C390&amp;"."&amp;IFERROR(MID(E390,FIND("(",E390)+1,FIND(")",E390)-FIND("(",E390)-1),"")</f>
      </c>
      <c r="B390" s="46" t="s">
        <v>1178</v>
      </c>
      <c r="C390" s="46">
        <v>72853</v>
      </c>
      <c r="D390" s="46" t="s">
        <v>1625</v>
      </c>
      <c r="E390" s="46" t="s">
        <v>1248</v>
      </c>
      <c r="F390" s="46" t="s">
        <v>1495</v>
      </c>
      <c r="G390" s="47">
        <v>0.05</v>
      </c>
      <c r="H390" s="48">
        <v>2.078</v>
      </c>
      <c r="I390" s="48">
        <v>45.707</v>
      </c>
      <c r="J390" s="49">
        <v>22</v>
      </c>
      <c r="K390" s="49">
        <v>22</v>
      </c>
      <c r="L390" s="49">
        <v>0</v>
      </c>
    </row>
    <row r="391" spans="1:12" x14ac:dyDescent="0.25">
      <c r="A391" s="45">
        <f>C391&amp;"."&amp;IFERROR(MID(E391,FIND("(",E391)+1,FIND(")",E391)-FIND("(",E391)-1),"")</f>
      </c>
      <c r="B391" s="46" t="s">
        <v>1178</v>
      </c>
      <c r="C391" s="46">
        <v>72855</v>
      </c>
      <c r="D391" s="46" t="s">
        <v>1626</v>
      </c>
      <c r="E391" s="46" t="s">
        <v>1248</v>
      </c>
      <c r="F391" s="46" t="s">
        <v>1495</v>
      </c>
      <c r="G391" s="47">
        <v>0.09</v>
      </c>
      <c r="H391" s="48">
        <v>2.785</v>
      </c>
      <c r="I391" s="48">
        <v>64.054</v>
      </c>
      <c r="J391" s="49">
        <v>23</v>
      </c>
      <c r="K391" s="49">
        <v>0</v>
      </c>
      <c r="L391" s="49">
        <v>23</v>
      </c>
    </row>
    <row r="392" spans="1:12" x14ac:dyDescent="0.25">
      <c r="A392" s="45">
        <f>C392&amp;"."&amp;IFERROR(MID(E392,FIND("(",E392)+1,FIND(")",E392)-FIND("(",E392)-1),"")</f>
      </c>
      <c r="B392" s="46" t="s">
        <v>1178</v>
      </c>
      <c r="C392" s="46">
        <v>72856</v>
      </c>
      <c r="D392" s="46" t="s">
        <v>1627</v>
      </c>
      <c r="E392" s="46" t="s">
        <v>1248</v>
      </c>
      <c r="F392" s="46" t="s">
        <v>1495</v>
      </c>
      <c r="G392" s="47">
        <v>0</v>
      </c>
      <c r="H392" s="48">
        <v>1.365</v>
      </c>
      <c r="I392" s="48">
        <v>12.285</v>
      </c>
      <c r="J392" s="49">
        <v>9</v>
      </c>
      <c r="K392" s="49">
        <v>1</v>
      </c>
      <c r="L392" s="49">
        <v>8</v>
      </c>
    </row>
    <row r="393" spans="1:12" x14ac:dyDescent="0.25">
      <c r="A393" s="45">
        <f>C393&amp;"."&amp;IFERROR(MID(E393,FIND("(",E393)+1,FIND(")",E393)-FIND("(",E393)-1),"")</f>
      </c>
      <c r="B393" s="46" t="s">
        <v>1178</v>
      </c>
      <c r="C393" s="46">
        <v>72862</v>
      </c>
      <c r="D393" s="46" t="s">
        <v>1628</v>
      </c>
      <c r="E393" s="46" t="s">
        <v>1248</v>
      </c>
      <c r="F393" s="46" t="s">
        <v>1495</v>
      </c>
      <c r="G393" s="47">
        <v>0</v>
      </c>
      <c r="H393" s="48">
        <v>0.946</v>
      </c>
      <c r="I393" s="48">
        <v>22.705</v>
      </c>
      <c r="J393" s="49">
        <v>24</v>
      </c>
      <c r="K393" s="49">
        <v>1</v>
      </c>
      <c r="L393" s="49">
        <v>23</v>
      </c>
    </row>
    <row r="394" spans="1:12" x14ac:dyDescent="0.25">
      <c r="A394" s="45">
        <f>C394&amp;"."&amp;IFERROR(MID(E394,FIND("(",E394)+1,FIND(")",E394)-FIND("(",E394)-1),"")</f>
      </c>
      <c r="B394" s="46" t="s">
        <v>1178</v>
      </c>
      <c r="C394" s="46">
        <v>72865</v>
      </c>
      <c r="D394" s="46" t="s">
        <v>1629</v>
      </c>
      <c r="E394" s="46" t="s">
        <v>1248</v>
      </c>
      <c r="F394" s="46" t="s">
        <v>1495</v>
      </c>
      <c r="G394" s="47">
        <v>0</v>
      </c>
      <c r="H394" s="48">
        <v>1.034</v>
      </c>
      <c r="I394" s="48">
        <v>19.642</v>
      </c>
      <c r="J394" s="49">
        <v>19</v>
      </c>
      <c r="K394" s="49">
        <v>9</v>
      </c>
      <c r="L394" s="49">
        <v>10</v>
      </c>
    </row>
    <row r="395" spans="1:12" x14ac:dyDescent="0.25">
      <c r="A395" s="45">
        <f>C395&amp;"."&amp;IFERROR(MID(E395,FIND("(",E395)+1,FIND(")",E395)-FIND("(",E395)-1),"")</f>
      </c>
      <c r="B395" s="46" t="s">
        <v>1178</v>
      </c>
      <c r="C395" s="46">
        <v>72866</v>
      </c>
      <c r="D395" s="46" t="s">
        <v>258</v>
      </c>
      <c r="E395" s="46" t="s">
        <v>1630</v>
      </c>
      <c r="F395" s="46" t="s">
        <v>24</v>
      </c>
      <c r="G395" s="47">
        <v>36.88</v>
      </c>
      <c r="H395" s="48">
        <v>155.063</v>
      </c>
      <c r="I395" s="48">
        <v>155.063</v>
      </c>
      <c r="J395" s="49">
        <v>1</v>
      </c>
      <c r="K395" s="49">
        <v>0</v>
      </c>
      <c r="L395" s="49">
        <v>1</v>
      </c>
    </row>
    <row r="396" spans="1:12" x14ac:dyDescent="0.25">
      <c r="A396" s="45">
        <f>C396&amp;"."&amp;IFERROR(MID(E396,FIND("(",E396)+1,FIND(")",E396)-FIND("(",E396)-1),"")</f>
      </c>
      <c r="B396" s="46" t="s">
        <v>1178</v>
      </c>
      <c r="C396" s="46">
        <v>72868</v>
      </c>
      <c r="D396" s="46" t="s">
        <v>1631</v>
      </c>
      <c r="E396" s="46" t="s">
        <v>1248</v>
      </c>
      <c r="F396" s="46" t="s">
        <v>1495</v>
      </c>
      <c r="G396" s="47">
        <v>0</v>
      </c>
      <c r="H396" s="48">
        <v>2.368</v>
      </c>
      <c r="I396" s="48">
        <v>7.103</v>
      </c>
      <c r="J396" s="49">
        <v>3</v>
      </c>
      <c r="K396" s="49">
        <v>3</v>
      </c>
      <c r="L396" s="49">
        <v>0</v>
      </c>
    </row>
    <row r="397" spans="1:12" x14ac:dyDescent="0.25">
      <c r="A397" s="45">
        <f>C397&amp;"."&amp;IFERROR(MID(E397,FIND("(",E397)+1,FIND(")",E397)-FIND("(",E397)-1),"")</f>
      </c>
      <c r="B397" s="46" t="s">
        <v>1178</v>
      </c>
      <c r="C397" s="46">
        <v>72879</v>
      </c>
      <c r="D397" s="46" t="s">
        <v>407</v>
      </c>
      <c r="E397" s="46" t="s">
        <v>1632</v>
      </c>
      <c r="F397" s="46" t="s">
        <v>24</v>
      </c>
      <c r="G397" s="47">
        <v>33</v>
      </c>
      <c r="H397" s="48">
        <v>139.347</v>
      </c>
      <c r="I397" s="48">
        <v>139.347</v>
      </c>
      <c r="J397" s="49">
        <v>1</v>
      </c>
      <c r="K397" s="49">
        <v>0</v>
      </c>
      <c r="L397" s="49">
        <v>1</v>
      </c>
    </row>
    <row r="398" spans="1:12" x14ac:dyDescent="0.25">
      <c r="A398" s="45">
        <f>C398&amp;"."&amp;IFERROR(MID(E398,FIND("(",E398)+1,FIND(")",E398)-FIND("(",E398)-1),"")</f>
      </c>
      <c r="B398" s="46" t="s">
        <v>1178</v>
      </c>
      <c r="C398" s="46">
        <v>72880</v>
      </c>
      <c r="D398" s="46" t="s">
        <v>1633</v>
      </c>
      <c r="E398" s="46" t="s">
        <v>1248</v>
      </c>
      <c r="F398" s="46" t="s">
        <v>1495</v>
      </c>
      <c r="G398" s="47">
        <v>0</v>
      </c>
      <c r="H398" s="48">
        <v>3.511</v>
      </c>
      <c r="I398" s="48">
        <v>17.554</v>
      </c>
      <c r="J398" s="49">
        <v>5</v>
      </c>
      <c r="K398" s="49">
        <v>0</v>
      </c>
      <c r="L398" s="49">
        <v>5</v>
      </c>
    </row>
    <row r="399" spans="1:12" x14ac:dyDescent="0.25">
      <c r="A399" s="45">
        <f>C399&amp;"."&amp;IFERROR(MID(E399,FIND("(",E399)+1,FIND(")",E399)-FIND("(",E399)-1),"")</f>
      </c>
      <c r="B399" s="46" t="s">
        <v>1178</v>
      </c>
      <c r="C399" s="46">
        <v>72940</v>
      </c>
      <c r="D399" s="46" t="s">
        <v>1634</v>
      </c>
      <c r="E399" s="46" t="s">
        <v>1248</v>
      </c>
      <c r="F399" s="46" t="s">
        <v>1495</v>
      </c>
      <c r="G399" s="47">
        <v>0</v>
      </c>
      <c r="H399" s="48">
        <v>3.656</v>
      </c>
      <c r="I399" s="48">
        <v>65.801</v>
      </c>
      <c r="J399" s="49">
        <v>18</v>
      </c>
      <c r="K399" s="49">
        <v>0</v>
      </c>
      <c r="L399" s="49">
        <v>18</v>
      </c>
    </row>
    <row r="400" spans="1:12" x14ac:dyDescent="0.25">
      <c r="A400" s="45">
        <f>C400&amp;"."&amp;IFERROR(MID(E400,FIND("(",E400)+1,FIND(")",E400)-FIND("(",E400)-1),"")</f>
      </c>
      <c r="B400" s="46" t="s">
        <v>1178</v>
      </c>
      <c r="C400" s="46">
        <v>72946</v>
      </c>
      <c r="D400" s="46" t="s">
        <v>1635</v>
      </c>
      <c r="E400" s="46" t="s">
        <v>1248</v>
      </c>
      <c r="F400" s="46" t="s">
        <v>1495</v>
      </c>
      <c r="G400" s="47">
        <v>0</v>
      </c>
      <c r="H400" s="48">
        <v>15.825</v>
      </c>
      <c r="I400" s="48">
        <v>189.906</v>
      </c>
      <c r="J400" s="49">
        <v>12</v>
      </c>
      <c r="K400" s="49">
        <v>0</v>
      </c>
      <c r="L400" s="49">
        <v>12</v>
      </c>
    </row>
    <row r="401" spans="1:12" x14ac:dyDescent="0.25">
      <c r="A401" s="45">
        <f>C401&amp;"."&amp;IFERROR(MID(E401,FIND("(",E401)+1,FIND(")",E401)-FIND("(",E401)-1),"")</f>
      </c>
      <c r="B401" s="46" t="s">
        <v>1178</v>
      </c>
      <c r="C401" s="46">
        <v>72951</v>
      </c>
      <c r="D401" s="46" t="s">
        <v>1636</v>
      </c>
      <c r="E401" s="46" t="s">
        <v>1248</v>
      </c>
      <c r="F401" s="46" t="s">
        <v>1495</v>
      </c>
      <c r="G401" s="47">
        <v>0</v>
      </c>
      <c r="H401" s="48">
        <v>16.093</v>
      </c>
      <c r="I401" s="48">
        <v>128.742</v>
      </c>
      <c r="J401" s="49">
        <v>8</v>
      </c>
      <c r="K401" s="49">
        <v>0</v>
      </c>
      <c r="L401" s="49">
        <v>8</v>
      </c>
    </row>
    <row r="402" spans="1:12" x14ac:dyDescent="0.25">
      <c r="A402" s="45">
        <f>C402&amp;"."&amp;IFERROR(MID(E402,FIND("(",E402)+1,FIND(")",E402)-FIND("(",E402)-1),"")</f>
      </c>
      <c r="B402" s="46" t="s">
        <v>1178</v>
      </c>
      <c r="C402" s="46">
        <v>72964</v>
      </c>
      <c r="D402" s="46" t="s">
        <v>1637</v>
      </c>
      <c r="E402" s="46" t="s">
        <v>1248</v>
      </c>
      <c r="F402" s="46" t="s">
        <v>1495</v>
      </c>
      <c r="G402" s="47">
        <v>0.1</v>
      </c>
      <c r="H402" s="48">
        <v>6.385</v>
      </c>
      <c r="I402" s="48">
        <v>127.691</v>
      </c>
      <c r="J402" s="49">
        <v>20</v>
      </c>
      <c r="K402" s="49">
        <v>0</v>
      </c>
      <c r="L402" s="49">
        <v>20</v>
      </c>
    </row>
    <row r="403" spans="1:12" x14ac:dyDescent="0.25">
      <c r="A403" s="45">
        <f>C403&amp;"."&amp;IFERROR(MID(E403,FIND("(",E403)+1,FIND(")",E403)-FIND("(",E403)-1),"")</f>
      </c>
      <c r="B403" s="46" t="s">
        <v>1178</v>
      </c>
      <c r="C403" s="46">
        <v>72966</v>
      </c>
      <c r="D403" s="46" t="s">
        <v>1638</v>
      </c>
      <c r="E403" s="46" t="s">
        <v>1248</v>
      </c>
      <c r="F403" s="46" t="s">
        <v>1495</v>
      </c>
      <c r="G403" s="47">
        <v>0</v>
      </c>
      <c r="H403" s="48">
        <v>6.72</v>
      </c>
      <c r="I403" s="48">
        <v>26.882</v>
      </c>
      <c r="J403" s="49">
        <v>4</v>
      </c>
      <c r="K403" s="49">
        <v>0</v>
      </c>
      <c r="L403" s="49">
        <v>4</v>
      </c>
    </row>
    <row r="404" spans="1:12" x14ac:dyDescent="0.25">
      <c r="A404" s="45">
        <f>C404&amp;"."&amp;IFERROR(MID(E404,FIND("(",E404)+1,FIND(")",E404)-FIND("(",E404)-1),"")</f>
      </c>
      <c r="B404" s="46" t="s">
        <v>1178</v>
      </c>
      <c r="C404" s="46">
        <v>72970</v>
      </c>
      <c r="D404" s="46" t="s">
        <v>1639</v>
      </c>
      <c r="E404" s="46" t="s">
        <v>1248</v>
      </c>
      <c r="F404" s="46" t="s">
        <v>1495</v>
      </c>
      <c r="G404" s="47">
        <v>0</v>
      </c>
      <c r="H404" s="48">
        <v>6.156</v>
      </c>
      <c r="I404" s="48">
        <v>24.625</v>
      </c>
      <c r="J404" s="49">
        <v>4</v>
      </c>
      <c r="K404" s="49">
        <v>0</v>
      </c>
      <c r="L404" s="49">
        <v>4</v>
      </c>
    </row>
    <row r="405" spans="1:12" x14ac:dyDescent="0.25">
      <c r="A405" s="45">
        <f>C405&amp;"."&amp;IFERROR(MID(E405,FIND("(",E405)+1,FIND(")",E405)-FIND("(",E405)-1),"")</f>
      </c>
      <c r="B405" s="46" t="s">
        <v>1178</v>
      </c>
      <c r="C405" s="46">
        <v>72975</v>
      </c>
      <c r="D405" s="46" t="s">
        <v>1640</v>
      </c>
      <c r="E405" s="46" t="s">
        <v>1248</v>
      </c>
      <c r="F405" s="46" t="s">
        <v>1495</v>
      </c>
      <c r="G405" s="47">
        <v>0</v>
      </c>
      <c r="H405" s="48">
        <v>6.62</v>
      </c>
      <c r="I405" s="48">
        <v>125.786</v>
      </c>
      <c r="J405" s="49">
        <v>19</v>
      </c>
      <c r="K405" s="49">
        <v>0</v>
      </c>
      <c r="L405" s="49">
        <v>19</v>
      </c>
    </row>
    <row r="406" spans="1:12" x14ac:dyDescent="0.25">
      <c r="A406" s="45">
        <f>C406&amp;"."&amp;IFERROR(MID(E406,FIND("(",E406)+1,FIND(")",E406)-FIND("(",E406)-1),"")</f>
      </c>
      <c r="B406" s="46" t="s">
        <v>1178</v>
      </c>
      <c r="C406" s="46">
        <v>73026</v>
      </c>
      <c r="D406" s="46" t="s">
        <v>948</v>
      </c>
      <c r="E406" s="46" t="s">
        <v>1641</v>
      </c>
      <c r="F406" s="46" t="s">
        <v>23</v>
      </c>
      <c r="G406" s="47">
        <v>0.4</v>
      </c>
      <c r="H406" s="48">
        <v>3.413</v>
      </c>
      <c r="I406" s="48">
        <v>474.383</v>
      </c>
      <c r="J406" s="49">
        <v>139</v>
      </c>
      <c r="K406" s="49">
        <v>64</v>
      </c>
      <c r="L406" s="49">
        <v>75</v>
      </c>
    </row>
    <row r="407" spans="1:12" x14ac:dyDescent="0.25">
      <c r="A407" s="45">
        <f>C407&amp;"."&amp;IFERROR(MID(E407,FIND("(",E407)+1,FIND(")",E407)-FIND("(",E407)-1),"")</f>
      </c>
      <c r="B407" s="46" t="s">
        <v>1178</v>
      </c>
      <c r="C407" s="46">
        <v>73026</v>
      </c>
      <c r="D407" s="46" t="s">
        <v>948</v>
      </c>
      <c r="E407" s="46" t="s">
        <v>1642</v>
      </c>
      <c r="F407" s="46" t="s">
        <v>23</v>
      </c>
      <c r="G407" s="47">
        <v>0.4</v>
      </c>
      <c r="H407" s="48">
        <v>3.679</v>
      </c>
      <c r="I407" s="48">
        <v>58.871</v>
      </c>
      <c r="J407" s="49">
        <v>16</v>
      </c>
      <c r="K407" s="49">
        <v>3</v>
      </c>
      <c r="L407" s="49">
        <v>13</v>
      </c>
    </row>
    <row r="408" spans="1:12" x14ac:dyDescent="0.25">
      <c r="A408" s="45">
        <f>C408&amp;"."&amp;IFERROR(MID(E408,FIND("(",E408)+1,FIND(")",E408)-FIND("(",E408)-1),"")</f>
      </c>
      <c r="B408" s="46" t="s">
        <v>1178</v>
      </c>
      <c r="C408" s="46">
        <v>73026</v>
      </c>
      <c r="D408" s="46" t="s">
        <v>948</v>
      </c>
      <c r="E408" s="46" t="s">
        <v>1643</v>
      </c>
      <c r="F408" s="46" t="s">
        <v>23</v>
      </c>
      <c r="G408" s="47">
        <v>0.4</v>
      </c>
      <c r="H408" s="48">
        <v>3.298</v>
      </c>
      <c r="I408" s="48">
        <v>1612.707</v>
      </c>
      <c r="J408" s="49">
        <v>489</v>
      </c>
      <c r="K408" s="49">
        <v>257</v>
      </c>
      <c r="L408" s="49">
        <v>232</v>
      </c>
    </row>
    <row r="409" spans="1:12" x14ac:dyDescent="0.25">
      <c r="A409" s="45">
        <f>C409&amp;"."&amp;IFERROR(MID(E409,FIND("(",E409)+1,FIND(")",E409)-FIND("(",E409)-1),"")</f>
      </c>
      <c r="B409" s="46" t="s">
        <v>1178</v>
      </c>
      <c r="C409" s="46">
        <v>73035</v>
      </c>
      <c r="D409" s="46" t="s">
        <v>1644</v>
      </c>
      <c r="E409" s="46" t="s">
        <v>1248</v>
      </c>
      <c r="F409" s="46" t="s">
        <v>26</v>
      </c>
      <c r="G409" s="47">
        <v>0</v>
      </c>
      <c r="H409" s="48">
        <v>5.34</v>
      </c>
      <c r="I409" s="48">
        <v>16.02</v>
      </c>
      <c r="J409" s="49">
        <v>3</v>
      </c>
      <c r="K409" s="49">
        <v>3</v>
      </c>
      <c r="L409" s="49">
        <v>0</v>
      </c>
    </row>
    <row r="410" spans="1:12" x14ac:dyDescent="0.25">
      <c r="A410" s="45">
        <f>C410&amp;"."&amp;IFERROR(MID(E410,FIND("(",E410)+1,FIND(")",E410)-FIND("(",E410)-1),"")</f>
      </c>
      <c r="B410" s="46" t="s">
        <v>1178</v>
      </c>
      <c r="C410" s="46">
        <v>73048</v>
      </c>
      <c r="D410" s="46" t="s">
        <v>1645</v>
      </c>
      <c r="E410" s="46" t="s">
        <v>1248</v>
      </c>
      <c r="F410" s="46" t="s">
        <v>1495</v>
      </c>
      <c r="G410" s="47">
        <v>0</v>
      </c>
      <c r="H410" s="48">
        <v>1.153</v>
      </c>
      <c r="I410" s="48">
        <v>10.376</v>
      </c>
      <c r="J410" s="49">
        <v>9</v>
      </c>
      <c r="K410" s="49">
        <v>0</v>
      </c>
      <c r="L410" s="49">
        <v>9</v>
      </c>
    </row>
    <row r="411" spans="1:12" x14ac:dyDescent="0.25">
      <c r="A411" s="45">
        <f>C411&amp;"."&amp;IFERROR(MID(E411,FIND("(",E411)+1,FIND(")",E411)-FIND("(",E411)-1),"")</f>
      </c>
      <c r="B411" s="46" t="s">
        <v>1178</v>
      </c>
      <c r="C411" s="46">
        <v>73077</v>
      </c>
      <c r="D411" s="46" t="s">
        <v>79</v>
      </c>
      <c r="E411" s="46" t="s">
        <v>1646</v>
      </c>
      <c r="F411" s="46" t="s">
        <v>24</v>
      </c>
      <c r="G411" s="47">
        <v>26</v>
      </c>
      <c r="H411" s="48">
        <v>77.551</v>
      </c>
      <c r="I411" s="48">
        <v>4342.883</v>
      </c>
      <c r="J411" s="49">
        <v>56</v>
      </c>
      <c r="K411" s="49">
        <v>14</v>
      </c>
      <c r="L411" s="49">
        <v>42</v>
      </c>
    </row>
    <row r="412" spans="1:12" x14ac:dyDescent="0.25">
      <c r="A412" s="45">
        <f>C412&amp;"."&amp;IFERROR(MID(E412,FIND("(",E412)+1,FIND(")",E412)-FIND("(",E412)-1),"")</f>
      </c>
      <c r="B412" s="46" t="s">
        <v>1178</v>
      </c>
      <c r="C412" s="46">
        <v>73077</v>
      </c>
      <c r="D412" s="46" t="s">
        <v>79</v>
      </c>
      <c r="E412" s="46" t="s">
        <v>1647</v>
      </c>
      <c r="F412" s="46" t="s">
        <v>24</v>
      </c>
      <c r="G412" s="47">
        <v>26</v>
      </c>
      <c r="H412" s="48">
        <v>85.187</v>
      </c>
      <c r="I412" s="48">
        <v>44297.402</v>
      </c>
      <c r="J412" s="49">
        <v>520</v>
      </c>
      <c r="K412" s="49">
        <v>257</v>
      </c>
      <c r="L412" s="49">
        <v>263</v>
      </c>
    </row>
    <row r="413" spans="1:12" x14ac:dyDescent="0.25">
      <c r="A413" s="45">
        <f>C413&amp;"."&amp;IFERROR(MID(E413,FIND("(",E413)+1,FIND(")",E413)-FIND("(",E413)-1),"")</f>
      </c>
      <c r="B413" s="46" t="s">
        <v>1178</v>
      </c>
      <c r="C413" s="46">
        <v>73077</v>
      </c>
      <c r="D413" s="46" t="s">
        <v>79</v>
      </c>
      <c r="E413" s="46" t="s">
        <v>1648</v>
      </c>
      <c r="F413" s="46" t="s">
        <v>24</v>
      </c>
      <c r="G413" s="47">
        <v>26</v>
      </c>
      <c r="H413" s="48">
        <v>68.611</v>
      </c>
      <c r="I413" s="48">
        <v>12555.831</v>
      </c>
      <c r="J413" s="49">
        <v>183</v>
      </c>
      <c r="K413" s="49">
        <v>42</v>
      </c>
      <c r="L413" s="49">
        <v>141</v>
      </c>
    </row>
    <row r="414" spans="1:12" x14ac:dyDescent="0.25">
      <c r="A414" s="45">
        <f>C414&amp;"."&amp;IFERROR(MID(E414,FIND("(",E414)+1,FIND(")",E414)-FIND("(",E414)-1),"")</f>
      </c>
      <c r="B414" s="46" t="s">
        <v>1178</v>
      </c>
      <c r="C414" s="46">
        <v>73081</v>
      </c>
      <c r="D414" s="46" t="s">
        <v>228</v>
      </c>
      <c r="E414" s="46" t="s">
        <v>1649</v>
      </c>
      <c r="F414" s="46" t="s">
        <v>24</v>
      </c>
      <c r="G414" s="47">
        <v>19.26</v>
      </c>
      <c r="H414" s="48">
        <v>128.188</v>
      </c>
      <c r="I414" s="48">
        <v>6922.156</v>
      </c>
      <c r="J414" s="49">
        <v>54</v>
      </c>
      <c r="K414" s="49">
        <v>14</v>
      </c>
      <c r="L414" s="49">
        <v>40</v>
      </c>
    </row>
    <row r="415" spans="1:12" x14ac:dyDescent="0.25">
      <c r="A415" s="45">
        <f>C415&amp;"."&amp;IFERROR(MID(E415,FIND("(",E415)+1,FIND(")",E415)-FIND("(",E415)-1),"")</f>
      </c>
      <c r="B415" s="46" t="s">
        <v>1178</v>
      </c>
      <c r="C415" s="46">
        <v>73081</v>
      </c>
      <c r="D415" s="46" t="s">
        <v>228</v>
      </c>
      <c r="E415" s="46" t="s">
        <v>1650</v>
      </c>
      <c r="F415" s="46" t="s">
        <v>24</v>
      </c>
      <c r="G415" s="47">
        <v>19.26</v>
      </c>
      <c r="H415" s="48">
        <v>128.24</v>
      </c>
      <c r="I415" s="48">
        <v>23211.484</v>
      </c>
      <c r="J415" s="49">
        <v>181</v>
      </c>
      <c r="K415" s="49">
        <v>42</v>
      </c>
      <c r="L415" s="49">
        <v>139</v>
      </c>
    </row>
    <row r="416" spans="1:12" x14ac:dyDescent="0.25">
      <c r="A416" s="45">
        <f>C416&amp;"."&amp;IFERROR(MID(E416,FIND("(",E416)+1,FIND(")",E416)-FIND("(",E416)-1),"")</f>
      </c>
      <c r="B416" s="46" t="s">
        <v>1178</v>
      </c>
      <c r="C416" s="46">
        <v>73081</v>
      </c>
      <c r="D416" s="46" t="s">
        <v>228</v>
      </c>
      <c r="E416" s="46" t="s">
        <v>1651</v>
      </c>
      <c r="F416" s="46" t="s">
        <v>24</v>
      </c>
      <c r="G416" s="47">
        <v>19.26</v>
      </c>
      <c r="H416" s="48">
        <v>134.269</v>
      </c>
      <c r="I416" s="48">
        <v>70625.478</v>
      </c>
      <c r="J416" s="49">
        <v>526</v>
      </c>
      <c r="K416" s="49">
        <v>256</v>
      </c>
      <c r="L416" s="49">
        <v>270</v>
      </c>
    </row>
    <row r="417" spans="1:12" x14ac:dyDescent="0.25">
      <c r="A417" s="45">
        <f>C417&amp;"."&amp;IFERROR(MID(E417,FIND("(",E417)+1,FIND(")",E417)-FIND("(",E417)-1),"")</f>
      </c>
      <c r="B417" s="46" t="s">
        <v>1178</v>
      </c>
      <c r="C417" s="46">
        <v>73083</v>
      </c>
      <c r="D417" s="46" t="s">
        <v>388</v>
      </c>
      <c r="E417" s="46" t="s">
        <v>1652</v>
      </c>
      <c r="F417" s="46" t="s">
        <v>24</v>
      </c>
      <c r="G417" s="47">
        <v>11.62</v>
      </c>
      <c r="H417" s="48">
        <v>39.792</v>
      </c>
      <c r="I417" s="48">
        <v>20532.816</v>
      </c>
      <c r="J417" s="49">
        <v>516</v>
      </c>
      <c r="K417" s="49">
        <v>256</v>
      </c>
      <c r="L417" s="49">
        <v>260</v>
      </c>
    </row>
    <row r="418" spans="1:12" x14ac:dyDescent="0.25">
      <c r="A418" s="45">
        <f>C418&amp;"."&amp;IFERROR(MID(E418,FIND("(",E418)+1,FIND(")",E418)-FIND("(",E418)-1),"")</f>
      </c>
      <c r="B418" s="46" t="s">
        <v>1178</v>
      </c>
      <c r="C418" s="46">
        <v>73083</v>
      </c>
      <c r="D418" s="46" t="s">
        <v>388</v>
      </c>
      <c r="E418" s="46" t="s">
        <v>1653</v>
      </c>
      <c r="F418" s="46" t="s">
        <v>24</v>
      </c>
      <c r="G418" s="47">
        <v>11.62</v>
      </c>
      <c r="H418" s="48">
        <v>40.071</v>
      </c>
      <c r="I418" s="48">
        <v>7052.438</v>
      </c>
      <c r="J418" s="49">
        <v>176</v>
      </c>
      <c r="K418" s="49">
        <v>42</v>
      </c>
      <c r="L418" s="49">
        <v>134</v>
      </c>
    </row>
    <row r="419" spans="1:12" x14ac:dyDescent="0.25">
      <c r="A419" s="45">
        <f>C419&amp;"."&amp;IFERROR(MID(E419,FIND("(",E419)+1,FIND(")",E419)-FIND("(",E419)-1),"")</f>
      </c>
      <c r="B419" s="46" t="s">
        <v>1178</v>
      </c>
      <c r="C419" s="46">
        <v>73083</v>
      </c>
      <c r="D419" s="46" t="s">
        <v>388</v>
      </c>
      <c r="E419" s="46" t="s">
        <v>1654</v>
      </c>
      <c r="F419" s="46" t="s">
        <v>24</v>
      </c>
      <c r="G419" s="47">
        <v>11.62</v>
      </c>
      <c r="H419" s="48">
        <v>40.635</v>
      </c>
      <c r="I419" s="48">
        <v>2194.292</v>
      </c>
      <c r="J419" s="49">
        <v>54</v>
      </c>
      <c r="K419" s="49">
        <v>14</v>
      </c>
      <c r="L419" s="49">
        <v>40</v>
      </c>
    </row>
    <row r="420" spans="1:12" x14ac:dyDescent="0.25">
      <c r="A420" s="45">
        <f>C420&amp;"."&amp;IFERROR(MID(E420,FIND("(",E420)+1,FIND(")",E420)-FIND("(",E420)-1),"")</f>
      </c>
      <c r="B420" s="46" t="s">
        <v>1178</v>
      </c>
      <c r="C420" s="46">
        <v>73106</v>
      </c>
      <c r="D420" s="46" t="s">
        <v>1655</v>
      </c>
      <c r="E420" s="46" t="s">
        <v>1248</v>
      </c>
      <c r="F420" s="46" t="s">
        <v>1495</v>
      </c>
      <c r="G420" s="47">
        <v>0</v>
      </c>
      <c r="H420" s="48">
        <v>0.108</v>
      </c>
      <c r="I420" s="48">
        <v>4.635</v>
      </c>
      <c r="J420" s="49">
        <v>43</v>
      </c>
      <c r="K420" s="49">
        <v>1</v>
      </c>
      <c r="L420" s="49">
        <v>42</v>
      </c>
    </row>
    <row r="421" spans="1:12" x14ac:dyDescent="0.25">
      <c r="A421" s="45">
        <f>C421&amp;"."&amp;IFERROR(MID(E421,FIND("(",E421)+1,FIND(")",E421)-FIND("(",E421)-1),"")</f>
      </c>
      <c r="B421" s="46" t="s">
        <v>1178</v>
      </c>
      <c r="C421" s="46">
        <v>73107</v>
      </c>
      <c r="D421" s="46" t="s">
        <v>1656</v>
      </c>
      <c r="E421" s="46" t="s">
        <v>1248</v>
      </c>
      <c r="F421" s="46" t="s">
        <v>1495</v>
      </c>
      <c r="G421" s="47">
        <v>0</v>
      </c>
      <c r="H421" s="48">
        <v>0.038</v>
      </c>
      <c r="I421" s="48">
        <v>0.456</v>
      </c>
      <c r="J421" s="49">
        <v>12</v>
      </c>
      <c r="K421" s="49">
        <v>0</v>
      </c>
      <c r="L421" s="49">
        <v>12</v>
      </c>
    </row>
    <row r="422" spans="1:12" x14ac:dyDescent="0.25">
      <c r="A422" s="45">
        <f>C422&amp;"."&amp;IFERROR(MID(E422,FIND("(",E422)+1,FIND(")",E422)-FIND("(",E422)-1),"")</f>
      </c>
      <c r="B422" s="46" t="s">
        <v>1178</v>
      </c>
      <c r="C422" s="46">
        <v>73122</v>
      </c>
      <c r="D422" s="46" t="s">
        <v>179</v>
      </c>
      <c r="E422" s="46" t="s">
        <v>1657</v>
      </c>
      <c r="F422" s="46" t="s">
        <v>24</v>
      </c>
      <c r="G422" s="47">
        <v>53</v>
      </c>
      <c r="H422" s="48">
        <v>304.022</v>
      </c>
      <c r="I422" s="48">
        <v>36786.621</v>
      </c>
      <c r="J422" s="49">
        <v>121</v>
      </c>
      <c r="K422" s="49">
        <v>111</v>
      </c>
      <c r="L422" s="49">
        <v>10</v>
      </c>
    </row>
    <row r="423" spans="1:12" x14ac:dyDescent="0.25">
      <c r="A423" s="45">
        <f>C423&amp;"."&amp;IFERROR(MID(E423,FIND("(",E423)+1,FIND(")",E423)-FIND("(",E423)-1),"")</f>
      </c>
      <c r="B423" s="46" t="s">
        <v>1178</v>
      </c>
      <c r="C423" s="46">
        <v>73122</v>
      </c>
      <c r="D423" s="46" t="s">
        <v>179</v>
      </c>
      <c r="E423" s="46" t="s">
        <v>1658</v>
      </c>
      <c r="F423" s="46" t="s">
        <v>24</v>
      </c>
      <c r="G423" s="47">
        <v>53</v>
      </c>
      <c r="H423" s="48">
        <v>271.468</v>
      </c>
      <c r="I423" s="48">
        <v>14659.265</v>
      </c>
      <c r="J423" s="49">
        <v>54</v>
      </c>
      <c r="K423" s="49">
        <v>0</v>
      </c>
      <c r="L423" s="49">
        <v>54</v>
      </c>
    </row>
    <row r="424" spans="1:12" x14ac:dyDescent="0.25">
      <c r="A424" s="45">
        <f>C424&amp;"."&amp;IFERROR(MID(E424,FIND("(",E424)+1,FIND(")",E424)-FIND("(",E424)-1),"")</f>
      </c>
      <c r="B424" s="46" t="s">
        <v>1178</v>
      </c>
      <c r="C424" s="46">
        <v>73122</v>
      </c>
      <c r="D424" s="46" t="s">
        <v>179</v>
      </c>
      <c r="E424" s="46" t="s">
        <v>1659</v>
      </c>
      <c r="F424" s="46" t="s">
        <v>24</v>
      </c>
      <c r="G424" s="47">
        <v>53</v>
      </c>
      <c r="H424" s="48">
        <v>311.993</v>
      </c>
      <c r="I424" s="48">
        <v>623.985</v>
      </c>
      <c r="J424" s="49">
        <v>2</v>
      </c>
      <c r="K424" s="49">
        <v>2</v>
      </c>
      <c r="L424" s="49">
        <v>0</v>
      </c>
    </row>
    <row r="425" spans="1:12" x14ac:dyDescent="0.25">
      <c r="A425" s="45">
        <f>C425&amp;"."&amp;IFERROR(MID(E425,FIND("(",E425)+1,FIND(")",E425)-FIND("(",E425)-1),"")</f>
      </c>
      <c r="B425" s="46" t="s">
        <v>1178</v>
      </c>
      <c r="C425" s="46">
        <v>73122</v>
      </c>
      <c r="D425" s="46" t="s">
        <v>179</v>
      </c>
      <c r="E425" s="46" t="s">
        <v>1660</v>
      </c>
      <c r="F425" s="46" t="s">
        <v>24</v>
      </c>
      <c r="G425" s="47">
        <v>53</v>
      </c>
      <c r="H425" s="48">
        <v>283.319</v>
      </c>
      <c r="I425" s="48">
        <v>6233.024</v>
      </c>
      <c r="J425" s="49">
        <v>22</v>
      </c>
      <c r="K425" s="49">
        <v>0</v>
      </c>
      <c r="L425" s="49">
        <v>22</v>
      </c>
    </row>
    <row r="426" spans="1:12" x14ac:dyDescent="0.25">
      <c r="A426" s="45">
        <f>C426&amp;"."&amp;IFERROR(MID(E426,FIND("(",E426)+1,FIND(")",E426)-FIND("(",E426)-1),"")</f>
      </c>
      <c r="B426" s="46" t="s">
        <v>1178</v>
      </c>
      <c r="C426" s="46">
        <v>73123</v>
      </c>
      <c r="D426" s="46" t="s">
        <v>182</v>
      </c>
      <c r="E426" s="46" t="s">
        <v>1661</v>
      </c>
      <c r="F426" s="46" t="s">
        <v>24</v>
      </c>
      <c r="G426" s="47">
        <v>53</v>
      </c>
      <c r="H426" s="48">
        <v>234.915</v>
      </c>
      <c r="I426" s="48">
        <v>5637.953</v>
      </c>
      <c r="J426" s="49">
        <v>24</v>
      </c>
      <c r="K426" s="49">
        <v>11</v>
      </c>
      <c r="L426" s="49">
        <v>13</v>
      </c>
    </row>
    <row r="427" spans="1:12" x14ac:dyDescent="0.25">
      <c r="A427" s="45">
        <f>C427&amp;"."&amp;IFERROR(MID(E427,FIND("(",E427)+1,FIND(")",E427)-FIND("(",E427)-1),"")</f>
      </c>
      <c r="B427" s="46" t="s">
        <v>1178</v>
      </c>
      <c r="C427" s="46">
        <v>73125</v>
      </c>
      <c r="D427" s="46" t="s">
        <v>1662</v>
      </c>
      <c r="E427" s="46" t="s">
        <v>1248</v>
      </c>
      <c r="F427" s="46" t="s">
        <v>1495</v>
      </c>
      <c r="G427" s="47">
        <v>0</v>
      </c>
      <c r="H427" s="48">
        <v>1.191</v>
      </c>
      <c r="I427" s="48">
        <v>2.381</v>
      </c>
      <c r="J427" s="49">
        <v>2</v>
      </c>
      <c r="K427" s="49">
        <v>0</v>
      </c>
      <c r="L427" s="49">
        <v>2</v>
      </c>
    </row>
    <row r="428" spans="1:12" x14ac:dyDescent="0.25">
      <c r="A428" s="45">
        <f>C428&amp;"."&amp;IFERROR(MID(E428,FIND("(",E428)+1,FIND(")",E428)-FIND("(",E428)-1),"")</f>
      </c>
      <c r="B428" s="46" t="s">
        <v>1178</v>
      </c>
      <c r="C428" s="46">
        <v>73126</v>
      </c>
      <c r="D428" s="46" t="s">
        <v>352</v>
      </c>
      <c r="E428" s="46" t="s">
        <v>1663</v>
      </c>
      <c r="F428" s="46" t="s">
        <v>24</v>
      </c>
      <c r="G428" s="47">
        <v>45</v>
      </c>
      <c r="H428" s="48">
        <v>211.225</v>
      </c>
      <c r="I428" s="48">
        <v>6125.521</v>
      </c>
      <c r="J428" s="49">
        <v>29</v>
      </c>
      <c r="K428" s="49">
        <v>4</v>
      </c>
      <c r="L428" s="49">
        <v>25</v>
      </c>
    </row>
    <row r="429" spans="1:12" x14ac:dyDescent="0.25">
      <c r="A429" s="45">
        <f>C429&amp;"."&amp;IFERROR(MID(E429,FIND("(",E429)+1,FIND(")",E429)-FIND("(",E429)-1),"")</f>
      </c>
      <c r="B429" s="46" t="s">
        <v>1178</v>
      </c>
      <c r="C429" s="46">
        <v>73126</v>
      </c>
      <c r="D429" s="46" t="s">
        <v>352</v>
      </c>
      <c r="E429" s="46" t="s">
        <v>1664</v>
      </c>
      <c r="F429" s="46" t="s">
        <v>24</v>
      </c>
      <c r="G429" s="47">
        <v>45</v>
      </c>
      <c r="H429" s="48">
        <v>193.324</v>
      </c>
      <c r="I429" s="48">
        <v>59350.531</v>
      </c>
      <c r="J429" s="49">
        <v>307</v>
      </c>
      <c r="K429" s="49">
        <v>69</v>
      </c>
      <c r="L429" s="49">
        <v>238</v>
      </c>
    </row>
    <row r="430" spans="1:12" x14ac:dyDescent="0.25">
      <c r="A430" s="45">
        <f>C430&amp;"."&amp;IFERROR(MID(E430,FIND("(",E430)+1,FIND(")",E430)-FIND("(",E430)-1),"")</f>
      </c>
      <c r="B430" s="46" t="s">
        <v>1178</v>
      </c>
      <c r="C430" s="46">
        <v>73127</v>
      </c>
      <c r="D430" s="46" t="s">
        <v>1665</v>
      </c>
      <c r="E430" s="46" t="s">
        <v>1248</v>
      </c>
      <c r="F430" s="46" t="s">
        <v>1495</v>
      </c>
      <c r="G430" s="47">
        <v>0</v>
      </c>
      <c r="H430" s="48">
        <v>17.676</v>
      </c>
      <c r="I430" s="48">
        <v>335.838</v>
      </c>
      <c r="J430" s="49">
        <v>19</v>
      </c>
      <c r="K430" s="49">
        <v>2</v>
      </c>
      <c r="L430" s="49">
        <v>17</v>
      </c>
    </row>
    <row r="431" spans="1:12" x14ac:dyDescent="0.25">
      <c r="A431" s="45">
        <f>C431&amp;"."&amp;IFERROR(MID(E431,FIND("(",E431)+1,FIND(")",E431)-FIND("(",E431)-1),"")</f>
      </c>
      <c r="B431" s="46" t="s">
        <v>1178</v>
      </c>
      <c r="C431" s="46">
        <v>73128</v>
      </c>
      <c r="D431" s="46" t="s">
        <v>1666</v>
      </c>
      <c r="E431" s="46" t="s">
        <v>1248</v>
      </c>
      <c r="F431" s="46" t="s">
        <v>1495</v>
      </c>
      <c r="G431" s="47">
        <v>0.6</v>
      </c>
      <c r="H431" s="48">
        <v>19.111</v>
      </c>
      <c r="I431" s="48">
        <v>936.427</v>
      </c>
      <c r="J431" s="49">
        <v>49</v>
      </c>
      <c r="K431" s="49">
        <v>24</v>
      </c>
      <c r="L431" s="49">
        <v>25</v>
      </c>
    </row>
    <row r="432" spans="1:12" x14ac:dyDescent="0.25">
      <c r="A432" s="45">
        <f>C432&amp;"."&amp;IFERROR(MID(E432,FIND("(",E432)+1,FIND(")",E432)-FIND("(",E432)-1),"")</f>
      </c>
      <c r="B432" s="46" t="s">
        <v>1178</v>
      </c>
      <c r="C432" s="46">
        <v>73129</v>
      </c>
      <c r="D432" s="46" t="s">
        <v>1667</v>
      </c>
      <c r="E432" s="46" t="s">
        <v>1248</v>
      </c>
      <c r="F432" s="46" t="s">
        <v>1495</v>
      </c>
      <c r="G432" s="47">
        <v>0</v>
      </c>
      <c r="H432" s="48">
        <v>6.134</v>
      </c>
      <c r="I432" s="48">
        <v>61.338</v>
      </c>
      <c r="J432" s="49">
        <v>10</v>
      </c>
      <c r="K432" s="49">
        <v>0</v>
      </c>
      <c r="L432" s="49">
        <v>10</v>
      </c>
    </row>
    <row r="433" spans="1:12" x14ac:dyDescent="0.25">
      <c r="A433" s="45">
        <f>C433&amp;"."&amp;IFERROR(MID(E433,FIND("(",E433)+1,FIND(")",E433)-FIND("(",E433)-1),"")</f>
      </c>
      <c r="B433" s="46" t="s">
        <v>1178</v>
      </c>
      <c r="C433" s="46">
        <v>73132</v>
      </c>
      <c r="D433" s="46" t="s">
        <v>1668</v>
      </c>
      <c r="E433" s="46" t="s">
        <v>1248</v>
      </c>
      <c r="F433" s="46" t="s">
        <v>1495</v>
      </c>
      <c r="G433" s="47">
        <v>0</v>
      </c>
      <c r="H433" s="48">
        <v>13.454</v>
      </c>
      <c r="I433" s="48">
        <v>322.89</v>
      </c>
      <c r="J433" s="49">
        <v>24</v>
      </c>
      <c r="K433" s="49">
        <v>1</v>
      </c>
      <c r="L433" s="49">
        <v>23</v>
      </c>
    </row>
    <row r="434" spans="1:12" x14ac:dyDescent="0.25">
      <c r="A434" s="45">
        <f>C434&amp;"."&amp;IFERROR(MID(E434,FIND("(",E434)+1,FIND(")",E434)-FIND("(",E434)-1),"")</f>
      </c>
      <c r="B434" s="46" t="s">
        <v>1178</v>
      </c>
      <c r="C434" s="46">
        <v>73133</v>
      </c>
      <c r="D434" s="46" t="s">
        <v>1669</v>
      </c>
      <c r="E434" s="46" t="s">
        <v>1248</v>
      </c>
      <c r="F434" s="46" t="s">
        <v>1495</v>
      </c>
      <c r="G434" s="47">
        <v>0.2</v>
      </c>
      <c r="H434" s="48">
        <v>5.679</v>
      </c>
      <c r="I434" s="48">
        <v>153.333</v>
      </c>
      <c r="J434" s="49">
        <v>27</v>
      </c>
      <c r="K434" s="49">
        <v>0</v>
      </c>
      <c r="L434" s="49">
        <v>27</v>
      </c>
    </row>
    <row r="435" spans="1:12" x14ac:dyDescent="0.25">
      <c r="A435" s="45">
        <f>C435&amp;"."&amp;IFERROR(MID(E435,FIND("(",E435)+1,FIND(")",E435)-FIND("(",E435)-1),"")</f>
      </c>
      <c r="B435" s="46" t="s">
        <v>1178</v>
      </c>
      <c r="C435" s="46">
        <v>73134</v>
      </c>
      <c r="D435" s="46" t="s">
        <v>1670</v>
      </c>
      <c r="E435" s="46" t="s">
        <v>1248</v>
      </c>
      <c r="F435" s="46" t="s">
        <v>1495</v>
      </c>
      <c r="G435" s="47">
        <v>0.6</v>
      </c>
      <c r="H435" s="48">
        <v>0.698</v>
      </c>
      <c r="I435" s="48">
        <v>18.85</v>
      </c>
      <c r="J435" s="49">
        <v>27</v>
      </c>
      <c r="K435" s="49">
        <v>17</v>
      </c>
      <c r="L435" s="49">
        <v>10</v>
      </c>
    </row>
    <row r="436" spans="1:12" x14ac:dyDescent="0.25">
      <c r="A436" s="45">
        <f>C436&amp;"."&amp;IFERROR(MID(E436,FIND("(",E436)+1,FIND(")",E436)-FIND("(",E436)-1),"")</f>
      </c>
      <c r="B436" s="46" t="s">
        <v>1178</v>
      </c>
      <c r="C436" s="46">
        <v>73140</v>
      </c>
      <c r="D436" s="46" t="s">
        <v>1671</v>
      </c>
      <c r="E436" s="46" t="s">
        <v>1248</v>
      </c>
      <c r="F436" s="46" t="s">
        <v>1495</v>
      </c>
      <c r="G436" s="47">
        <v>0.35</v>
      </c>
      <c r="H436" s="48">
        <v>16.462</v>
      </c>
      <c r="I436" s="48">
        <v>279.849</v>
      </c>
      <c r="J436" s="49">
        <v>17</v>
      </c>
      <c r="K436" s="49">
        <v>3</v>
      </c>
      <c r="L436" s="49">
        <v>14</v>
      </c>
    </row>
    <row r="437" spans="1:12" x14ac:dyDescent="0.25">
      <c r="A437" s="45">
        <f>C437&amp;"."&amp;IFERROR(MID(E437,FIND("(",E437)+1,FIND(")",E437)-FIND("(",E437)-1),"")</f>
      </c>
      <c r="B437" s="46" t="s">
        <v>1178</v>
      </c>
      <c r="C437" s="46">
        <v>73141</v>
      </c>
      <c r="D437" s="46" t="s">
        <v>610</v>
      </c>
      <c r="E437" s="46" t="s">
        <v>1672</v>
      </c>
      <c r="F437" s="46" t="s">
        <v>24</v>
      </c>
      <c r="G437" s="47">
        <v>20</v>
      </c>
      <c r="H437" s="48">
        <v>60.871</v>
      </c>
      <c r="I437" s="48">
        <v>22705.015</v>
      </c>
      <c r="J437" s="49">
        <v>373</v>
      </c>
      <c r="K437" s="49">
        <v>136</v>
      </c>
      <c r="L437" s="49">
        <v>237</v>
      </c>
    </row>
    <row r="438" spans="1:12" x14ac:dyDescent="0.25">
      <c r="A438" s="45">
        <f>C438&amp;"."&amp;IFERROR(MID(E438,FIND("(",E438)+1,FIND(")",E438)-FIND("(",E438)-1),"")</f>
      </c>
      <c r="B438" s="46" t="s">
        <v>1178</v>
      </c>
      <c r="C438" s="46">
        <v>73141</v>
      </c>
      <c r="D438" s="46" t="s">
        <v>610</v>
      </c>
      <c r="E438" s="46" t="s">
        <v>1673</v>
      </c>
      <c r="F438" s="46" t="s">
        <v>24</v>
      </c>
      <c r="G438" s="47">
        <v>20</v>
      </c>
      <c r="H438" s="48">
        <v>57.815</v>
      </c>
      <c r="I438" s="48">
        <v>1040.679</v>
      </c>
      <c r="J438" s="49">
        <v>18</v>
      </c>
      <c r="K438" s="49">
        <v>0</v>
      </c>
      <c r="L438" s="49">
        <v>18</v>
      </c>
    </row>
    <row r="439" spans="1:12" x14ac:dyDescent="0.25">
      <c r="A439" s="45">
        <f>C439&amp;"."&amp;IFERROR(MID(E439,FIND("(",E439)+1,FIND(")",E439)-FIND("(",E439)-1),"")</f>
      </c>
      <c r="B439" s="46" t="s">
        <v>1178</v>
      </c>
      <c r="C439" s="46">
        <v>73141</v>
      </c>
      <c r="D439" s="46" t="s">
        <v>610</v>
      </c>
      <c r="E439" s="46" t="s">
        <v>1674</v>
      </c>
      <c r="F439" s="46" t="s">
        <v>24</v>
      </c>
      <c r="G439" s="47">
        <v>20</v>
      </c>
      <c r="H439" s="48">
        <v>65.811</v>
      </c>
      <c r="I439" s="48">
        <v>57321.674</v>
      </c>
      <c r="J439" s="49">
        <v>871</v>
      </c>
      <c r="K439" s="49">
        <v>318</v>
      </c>
      <c r="L439" s="49">
        <v>553</v>
      </c>
    </row>
    <row r="440" spans="1:12" x14ac:dyDescent="0.25">
      <c r="A440" s="45">
        <f>C440&amp;"."&amp;IFERROR(MID(E440,FIND("(",E440)+1,FIND(")",E440)-FIND("(",E440)-1),"")</f>
      </c>
      <c r="B440" s="46" t="s">
        <v>1178</v>
      </c>
      <c r="C440" s="46">
        <v>73143</v>
      </c>
      <c r="D440" s="46" t="s">
        <v>1675</v>
      </c>
      <c r="E440" s="46" t="s">
        <v>1248</v>
      </c>
      <c r="F440" s="46" t="s">
        <v>1495</v>
      </c>
      <c r="G440" s="47">
        <v>0</v>
      </c>
      <c r="H440" s="48">
        <v>13.949</v>
      </c>
      <c r="I440" s="48">
        <v>418.463</v>
      </c>
      <c r="J440" s="49">
        <v>30</v>
      </c>
      <c r="K440" s="49">
        <v>0</v>
      </c>
      <c r="L440" s="49">
        <v>30</v>
      </c>
    </row>
    <row r="441" spans="1:12" x14ac:dyDescent="0.25">
      <c r="A441" s="45">
        <f>C441&amp;"."&amp;IFERROR(MID(E441,FIND("(",E441)+1,FIND(")",E441)-FIND("(",E441)-1),"")</f>
      </c>
      <c r="B441" s="46" t="s">
        <v>1178</v>
      </c>
      <c r="C441" s="46">
        <v>73144</v>
      </c>
      <c r="D441" s="46" t="s">
        <v>1676</v>
      </c>
      <c r="E441" s="46" t="s">
        <v>1248</v>
      </c>
      <c r="F441" s="46" t="s">
        <v>1495</v>
      </c>
      <c r="G441" s="47">
        <v>0</v>
      </c>
      <c r="H441" s="48">
        <v>50.548</v>
      </c>
      <c r="I441" s="48">
        <v>101.095</v>
      </c>
      <c r="J441" s="49">
        <v>2</v>
      </c>
      <c r="K441" s="49">
        <v>0</v>
      </c>
      <c r="L441" s="49">
        <v>2</v>
      </c>
    </row>
    <row r="442" spans="1:12" x14ac:dyDescent="0.25">
      <c r="A442" s="45">
        <f>C442&amp;"."&amp;IFERROR(MID(E442,FIND("(",E442)+1,FIND(")",E442)-FIND("(",E442)-1),"")</f>
      </c>
      <c r="B442" s="46" t="s">
        <v>1178</v>
      </c>
      <c r="C442" s="46">
        <v>73145</v>
      </c>
      <c r="D442" s="46" t="s">
        <v>63</v>
      </c>
      <c r="E442" s="46" t="s">
        <v>1677</v>
      </c>
      <c r="F442" s="46" t="s">
        <v>24</v>
      </c>
      <c r="G442" s="47">
        <v>17.6</v>
      </c>
      <c r="H442" s="48">
        <v>88.896</v>
      </c>
      <c r="I442" s="48">
        <v>78050.714</v>
      </c>
      <c r="J442" s="49">
        <v>878</v>
      </c>
      <c r="K442" s="49">
        <v>318</v>
      </c>
      <c r="L442" s="49">
        <v>560</v>
      </c>
    </row>
    <row r="443" spans="1:12" x14ac:dyDescent="0.25">
      <c r="A443" s="45">
        <f>C443&amp;"."&amp;IFERROR(MID(E443,FIND("(",E443)+1,FIND(")",E443)-FIND("(",E443)-1),"")</f>
      </c>
      <c r="B443" s="46" t="s">
        <v>1178</v>
      </c>
      <c r="C443" s="46">
        <v>73145</v>
      </c>
      <c r="D443" s="46" t="s">
        <v>63</v>
      </c>
      <c r="E443" s="46" t="s">
        <v>1678</v>
      </c>
      <c r="F443" s="46" t="s">
        <v>24</v>
      </c>
      <c r="G443" s="47">
        <v>17.6</v>
      </c>
      <c r="H443" s="48">
        <v>84.927</v>
      </c>
      <c r="I443" s="48">
        <v>1783.47</v>
      </c>
      <c r="J443" s="49">
        <v>21</v>
      </c>
      <c r="K443" s="49">
        <v>0</v>
      </c>
      <c r="L443" s="49">
        <v>21</v>
      </c>
    </row>
    <row r="444" spans="1:12" x14ac:dyDescent="0.25">
      <c r="A444" s="45">
        <f>C444&amp;"."&amp;IFERROR(MID(E444,FIND("(",E444)+1,FIND(")",E444)-FIND("(",E444)-1),"")</f>
      </c>
      <c r="B444" s="46" t="s">
        <v>1178</v>
      </c>
      <c r="C444" s="46">
        <v>73145</v>
      </c>
      <c r="D444" s="46" t="s">
        <v>63</v>
      </c>
      <c r="E444" s="46" t="s">
        <v>1679</v>
      </c>
      <c r="F444" s="46" t="s">
        <v>24</v>
      </c>
      <c r="G444" s="47">
        <v>17.6</v>
      </c>
      <c r="H444" s="48">
        <v>89.151</v>
      </c>
      <c r="I444" s="48">
        <v>32807.695</v>
      </c>
      <c r="J444" s="49">
        <v>368</v>
      </c>
      <c r="K444" s="49">
        <v>136</v>
      </c>
      <c r="L444" s="49">
        <v>232</v>
      </c>
    </row>
    <row r="445" spans="1:12" x14ac:dyDescent="0.25">
      <c r="A445" s="45">
        <f>C445&amp;"."&amp;IFERROR(MID(E445,FIND("(",E445)+1,FIND(")",E445)-FIND("(",E445)-1),"")</f>
      </c>
      <c r="B445" s="46" t="s">
        <v>1178</v>
      </c>
      <c r="C445" s="46">
        <v>73146</v>
      </c>
      <c r="D445" s="46" t="s">
        <v>1680</v>
      </c>
      <c r="E445" s="46" t="s">
        <v>1248</v>
      </c>
      <c r="F445" s="46" t="s">
        <v>1495</v>
      </c>
      <c r="G445" s="47">
        <v>0.4</v>
      </c>
      <c r="H445" s="48">
        <v>18.048</v>
      </c>
      <c r="I445" s="48">
        <v>523.406</v>
      </c>
      <c r="J445" s="49">
        <v>29</v>
      </c>
      <c r="K445" s="49">
        <v>6</v>
      </c>
      <c r="L445" s="49">
        <v>23</v>
      </c>
    </row>
    <row r="446" spans="1:12" x14ac:dyDescent="0.25">
      <c r="A446" s="45">
        <f>C446&amp;"."&amp;IFERROR(MID(E446,FIND("(",E446)+1,FIND(")",E446)-FIND("(",E446)-1),"")</f>
      </c>
      <c r="B446" s="46" t="s">
        <v>1178</v>
      </c>
      <c r="C446" s="46">
        <v>73147</v>
      </c>
      <c r="D446" s="46" t="s">
        <v>1681</v>
      </c>
      <c r="E446" s="46" t="s">
        <v>1248</v>
      </c>
      <c r="F446" s="46" t="s">
        <v>1495</v>
      </c>
      <c r="G446" s="47">
        <v>0</v>
      </c>
      <c r="H446" s="48">
        <v>10.605</v>
      </c>
      <c r="I446" s="48">
        <v>148.473</v>
      </c>
      <c r="J446" s="49">
        <v>14</v>
      </c>
      <c r="K446" s="49">
        <v>0</v>
      </c>
      <c r="L446" s="49">
        <v>14</v>
      </c>
    </row>
    <row r="447" spans="1:12" x14ac:dyDescent="0.25">
      <c r="A447" s="45">
        <f>C447&amp;"."&amp;IFERROR(MID(E447,FIND("(",E447)+1,FIND(")",E447)-FIND("(",E447)-1),"")</f>
      </c>
      <c r="B447" s="46" t="s">
        <v>1178</v>
      </c>
      <c r="C447" s="46">
        <v>73148</v>
      </c>
      <c r="D447" s="46" t="s">
        <v>1682</v>
      </c>
      <c r="E447" s="46" t="s">
        <v>1248</v>
      </c>
      <c r="F447" s="46" t="s">
        <v>1495</v>
      </c>
      <c r="G447" s="47">
        <v>0</v>
      </c>
      <c r="H447" s="48">
        <v>9.89</v>
      </c>
      <c r="I447" s="48">
        <v>168.123</v>
      </c>
      <c r="J447" s="49">
        <v>17</v>
      </c>
      <c r="K447" s="49">
        <v>1</v>
      </c>
      <c r="L447" s="49">
        <v>16</v>
      </c>
    </row>
    <row r="448" spans="1:12" x14ac:dyDescent="0.25">
      <c r="A448" s="45">
        <f>C448&amp;"."&amp;IFERROR(MID(E448,FIND("(",E448)+1,FIND(")",E448)-FIND("(",E448)-1),"")</f>
      </c>
      <c r="B448" s="46" t="s">
        <v>1178</v>
      </c>
      <c r="C448" s="46">
        <v>73152</v>
      </c>
      <c r="D448" s="46" t="s">
        <v>673</v>
      </c>
      <c r="E448" s="46" t="s">
        <v>1683</v>
      </c>
      <c r="F448" s="46" t="s">
        <v>24</v>
      </c>
      <c r="G448" s="47">
        <v>8.9</v>
      </c>
      <c r="H448" s="48">
        <v>33.024</v>
      </c>
      <c r="I448" s="48">
        <v>12284.936</v>
      </c>
      <c r="J448" s="49">
        <v>372</v>
      </c>
      <c r="K448" s="49">
        <v>136</v>
      </c>
      <c r="L448" s="49">
        <v>236</v>
      </c>
    </row>
    <row r="449" spans="1:12" x14ac:dyDescent="0.25">
      <c r="A449" s="45">
        <f>C449&amp;"."&amp;IFERROR(MID(E449,FIND("(",E449)+1,FIND(")",E449)-FIND("(",E449)-1),"")</f>
      </c>
      <c r="B449" s="46" t="s">
        <v>1178</v>
      </c>
      <c r="C449" s="46">
        <v>73152</v>
      </c>
      <c r="D449" s="46" t="s">
        <v>673</v>
      </c>
      <c r="E449" s="46" t="s">
        <v>1684</v>
      </c>
      <c r="F449" s="46" t="s">
        <v>24</v>
      </c>
      <c r="G449" s="47">
        <v>8.9</v>
      </c>
      <c r="H449" s="48">
        <v>33.873</v>
      </c>
      <c r="I449" s="48">
        <v>406.472</v>
      </c>
      <c r="J449" s="49">
        <v>12</v>
      </c>
      <c r="K449" s="49">
        <v>0</v>
      </c>
      <c r="L449" s="49">
        <v>12</v>
      </c>
    </row>
    <row r="450" spans="1:12" x14ac:dyDescent="0.25">
      <c r="A450" s="45">
        <f>C450&amp;"."&amp;IFERROR(MID(E450,FIND("(",E450)+1,FIND(")",E450)-FIND("(",E450)-1),"")</f>
      </c>
      <c r="B450" s="46" t="s">
        <v>1178</v>
      </c>
      <c r="C450" s="46">
        <v>73152</v>
      </c>
      <c r="D450" s="46" t="s">
        <v>673</v>
      </c>
      <c r="E450" s="46" t="s">
        <v>1685</v>
      </c>
      <c r="F450" s="46" t="s">
        <v>24</v>
      </c>
      <c r="G450" s="47">
        <v>8.9</v>
      </c>
      <c r="H450" s="48">
        <v>28.132</v>
      </c>
      <c r="I450" s="48">
        <v>24755.975</v>
      </c>
      <c r="J450" s="49">
        <v>880</v>
      </c>
      <c r="K450" s="49">
        <v>318</v>
      </c>
      <c r="L450" s="49">
        <v>562</v>
      </c>
    </row>
    <row r="451" spans="1:12" x14ac:dyDescent="0.25">
      <c r="A451" s="45">
        <f>C451&amp;"."&amp;IFERROR(MID(E451,FIND("(",E451)+1,FIND(")",E451)-FIND("(",E451)-1),"")</f>
      </c>
      <c r="B451" s="46" t="s">
        <v>1178</v>
      </c>
      <c r="C451" s="46">
        <v>73157</v>
      </c>
      <c r="D451" s="46" t="s">
        <v>542</v>
      </c>
      <c r="E451" s="46" t="s">
        <v>1686</v>
      </c>
      <c r="F451" s="46" t="s">
        <v>24</v>
      </c>
      <c r="G451" s="47">
        <v>36.1</v>
      </c>
      <c r="H451" s="48">
        <v>128.872</v>
      </c>
      <c r="I451" s="48">
        <v>34795.435</v>
      </c>
      <c r="J451" s="49">
        <v>270</v>
      </c>
      <c r="K451" s="49">
        <v>225</v>
      </c>
      <c r="L451" s="49">
        <v>45</v>
      </c>
    </row>
    <row r="452" spans="1:12" x14ac:dyDescent="0.25">
      <c r="A452" s="45">
        <f>C452&amp;"."&amp;IFERROR(MID(E452,FIND("(",E452)+1,FIND(")",E452)-FIND("(",E452)-1),"")</f>
      </c>
      <c r="B452" s="46" t="s">
        <v>1178</v>
      </c>
      <c r="C452" s="46">
        <v>73157</v>
      </c>
      <c r="D452" s="46" t="s">
        <v>542</v>
      </c>
      <c r="E452" s="46" t="s">
        <v>1687</v>
      </c>
      <c r="F452" s="46" t="s">
        <v>24</v>
      </c>
      <c r="G452" s="47">
        <v>36.1</v>
      </c>
      <c r="H452" s="48">
        <v>131.841</v>
      </c>
      <c r="I452" s="48">
        <v>4878.131</v>
      </c>
      <c r="J452" s="49">
        <v>37</v>
      </c>
      <c r="K452" s="49">
        <v>0</v>
      </c>
      <c r="L452" s="49">
        <v>37</v>
      </c>
    </row>
    <row r="453" spans="1:12" x14ac:dyDescent="0.25">
      <c r="A453" s="45">
        <f>C453&amp;"."&amp;IFERROR(MID(E453,FIND("(",E453)+1,FIND(")",E453)-FIND("(",E453)-1),"")</f>
      </c>
      <c r="B453" s="46" t="s">
        <v>1178</v>
      </c>
      <c r="C453" s="46">
        <v>73157</v>
      </c>
      <c r="D453" s="46" t="s">
        <v>542</v>
      </c>
      <c r="E453" s="46" t="s">
        <v>1688</v>
      </c>
      <c r="F453" s="46" t="s">
        <v>24</v>
      </c>
      <c r="G453" s="47">
        <v>36.1</v>
      </c>
      <c r="H453" s="48">
        <v>128.38</v>
      </c>
      <c r="I453" s="48">
        <v>34405.778</v>
      </c>
      <c r="J453" s="49">
        <v>268</v>
      </c>
      <c r="K453" s="49">
        <v>97</v>
      </c>
      <c r="L453" s="49">
        <v>171</v>
      </c>
    </row>
    <row r="454" spans="1:12" x14ac:dyDescent="0.25">
      <c r="A454" s="45">
        <f>C454&amp;"."&amp;IFERROR(MID(E454,FIND("(",E454)+1,FIND(")",E454)-FIND("(",E454)-1),"")</f>
      </c>
      <c r="B454" s="46" t="s">
        <v>1178</v>
      </c>
      <c r="C454" s="46">
        <v>73159</v>
      </c>
      <c r="D454" s="46" t="s">
        <v>1689</v>
      </c>
      <c r="E454" s="46" t="s">
        <v>1248</v>
      </c>
      <c r="F454" s="46" t="s">
        <v>1495</v>
      </c>
      <c r="G454" s="47">
        <v>0.36</v>
      </c>
      <c r="H454" s="48">
        <v>2.223</v>
      </c>
      <c r="I454" s="48">
        <v>613.681</v>
      </c>
      <c r="J454" s="49">
        <v>276</v>
      </c>
      <c r="K454" s="49">
        <v>81</v>
      </c>
      <c r="L454" s="49">
        <v>195</v>
      </c>
    </row>
    <row r="455" spans="1:12" x14ac:dyDescent="0.25">
      <c r="A455" s="45">
        <f>C455&amp;"."&amp;IFERROR(MID(E455,FIND("(",E455)+1,FIND(")",E455)-FIND("(",E455)-1),"")</f>
      </c>
      <c r="B455" s="46" t="s">
        <v>1178</v>
      </c>
      <c r="C455" s="46">
        <v>73166</v>
      </c>
      <c r="D455" s="46" t="s">
        <v>499</v>
      </c>
      <c r="E455" s="46" t="s">
        <v>1690</v>
      </c>
      <c r="F455" s="46" t="s">
        <v>24</v>
      </c>
      <c r="G455" s="47">
        <v>20</v>
      </c>
      <c r="H455" s="48">
        <v>103.655</v>
      </c>
      <c r="I455" s="48">
        <v>26742.985</v>
      </c>
      <c r="J455" s="49">
        <v>258</v>
      </c>
      <c r="K455" s="49">
        <v>199</v>
      </c>
      <c r="L455" s="49">
        <v>59</v>
      </c>
    </row>
    <row r="456" spans="1:12" x14ac:dyDescent="0.25">
      <c r="A456" s="45">
        <f>C456&amp;"."&amp;IFERROR(MID(E456,FIND("(",E456)+1,FIND(")",E456)-FIND("(",E456)-1),"")</f>
      </c>
      <c r="B456" s="46" t="s">
        <v>1178</v>
      </c>
      <c r="C456" s="46">
        <v>73166</v>
      </c>
      <c r="D456" s="46" t="s">
        <v>499</v>
      </c>
      <c r="E456" s="46" t="s">
        <v>1691</v>
      </c>
      <c r="F456" s="46" t="s">
        <v>24</v>
      </c>
      <c r="G456" s="47">
        <v>20</v>
      </c>
      <c r="H456" s="48">
        <v>88.379</v>
      </c>
      <c r="I456" s="48">
        <v>20415.446</v>
      </c>
      <c r="J456" s="49">
        <v>231</v>
      </c>
      <c r="K456" s="49">
        <v>203</v>
      </c>
      <c r="L456" s="49">
        <v>28</v>
      </c>
    </row>
    <row r="457" spans="1:12" x14ac:dyDescent="0.25">
      <c r="A457" s="45">
        <f>C457&amp;"."&amp;IFERROR(MID(E457,FIND("(",E457)+1,FIND(")",E457)-FIND("(",E457)-1),"")</f>
      </c>
      <c r="B457" s="46" t="s">
        <v>1178</v>
      </c>
      <c r="C457" s="46">
        <v>73166</v>
      </c>
      <c r="D457" s="46" t="s">
        <v>499</v>
      </c>
      <c r="E457" s="46" t="s">
        <v>1692</v>
      </c>
      <c r="F457" s="46" t="s">
        <v>24</v>
      </c>
      <c r="G457" s="47">
        <v>20</v>
      </c>
      <c r="H457" s="48">
        <v>89.34</v>
      </c>
      <c r="I457" s="48">
        <v>1876.139</v>
      </c>
      <c r="J457" s="49">
        <v>21</v>
      </c>
      <c r="K457" s="49">
        <v>11</v>
      </c>
      <c r="L457" s="49">
        <v>10</v>
      </c>
    </row>
    <row r="458" spans="1:12" x14ac:dyDescent="0.25">
      <c r="A458" s="45">
        <f>C458&amp;"."&amp;IFERROR(MID(E458,FIND("(",E458)+1,FIND(")",E458)-FIND("(",E458)-1),"")</f>
      </c>
      <c r="B458" s="46" t="s">
        <v>1178</v>
      </c>
      <c r="C458" s="46">
        <v>73167</v>
      </c>
      <c r="D458" s="46" t="s">
        <v>1693</v>
      </c>
      <c r="E458" s="46" t="s">
        <v>1248</v>
      </c>
      <c r="F458" s="46" t="s">
        <v>1495</v>
      </c>
      <c r="G458" s="47">
        <v>0.57</v>
      </c>
      <c r="H458" s="48">
        <v>3.604</v>
      </c>
      <c r="I458" s="48">
        <v>320.718</v>
      </c>
      <c r="J458" s="49">
        <v>89</v>
      </c>
      <c r="K458" s="49">
        <v>5</v>
      </c>
      <c r="L458" s="49">
        <v>84</v>
      </c>
    </row>
    <row r="459" spans="1:12" x14ac:dyDescent="0.25">
      <c r="A459" s="45">
        <f>C459&amp;"."&amp;IFERROR(MID(E459,FIND("(",E459)+1,FIND(")",E459)-FIND("(",E459)-1),"")</f>
      </c>
      <c r="B459" s="46" t="s">
        <v>1178</v>
      </c>
      <c r="C459" s="46">
        <v>73168</v>
      </c>
      <c r="D459" s="46" t="s">
        <v>1694</v>
      </c>
      <c r="E459" s="46" t="s">
        <v>1248</v>
      </c>
      <c r="F459" s="46" t="s">
        <v>1495</v>
      </c>
      <c r="G459" s="47">
        <v>0.3</v>
      </c>
      <c r="H459" s="48">
        <v>4.466</v>
      </c>
      <c r="I459" s="48">
        <v>745.749</v>
      </c>
      <c r="J459" s="49">
        <v>167</v>
      </c>
      <c r="K459" s="49">
        <v>30</v>
      </c>
      <c r="L459" s="49">
        <v>137</v>
      </c>
    </row>
    <row r="460" spans="1:12" x14ac:dyDescent="0.25">
      <c r="A460" s="45">
        <f>C460&amp;"."&amp;IFERROR(MID(E460,FIND("(",E460)+1,FIND(")",E460)-FIND("(",E460)-1),"")</f>
      </c>
      <c r="B460" s="46" t="s">
        <v>1178</v>
      </c>
      <c r="C460" s="46">
        <v>73174</v>
      </c>
      <c r="D460" s="46" t="s">
        <v>767</v>
      </c>
      <c r="E460" s="46" t="s">
        <v>1695</v>
      </c>
      <c r="F460" s="46" t="s">
        <v>24</v>
      </c>
      <c r="G460" s="47">
        <v>19</v>
      </c>
      <c r="H460" s="48">
        <v>55.161</v>
      </c>
      <c r="I460" s="48">
        <v>24215.879</v>
      </c>
      <c r="J460" s="49">
        <v>439</v>
      </c>
      <c r="K460" s="49">
        <v>205</v>
      </c>
      <c r="L460" s="49">
        <v>234</v>
      </c>
    </row>
    <row r="461" spans="1:12" x14ac:dyDescent="0.25">
      <c r="A461" s="45">
        <f>C461&amp;"."&amp;IFERROR(MID(E461,FIND("(",E461)+1,FIND(")",E461)-FIND("(",E461)-1),"")</f>
      </c>
      <c r="B461" s="46" t="s">
        <v>1178</v>
      </c>
      <c r="C461" s="46">
        <v>73174</v>
      </c>
      <c r="D461" s="46" t="s">
        <v>767</v>
      </c>
      <c r="E461" s="46" t="s">
        <v>1696</v>
      </c>
      <c r="F461" s="46" t="s">
        <v>24</v>
      </c>
      <c r="G461" s="47">
        <v>19</v>
      </c>
      <c r="H461" s="48">
        <v>72.948</v>
      </c>
      <c r="I461" s="48">
        <v>5762.879</v>
      </c>
      <c r="J461" s="49">
        <v>79</v>
      </c>
      <c r="K461" s="49">
        <v>38</v>
      </c>
      <c r="L461" s="49">
        <v>41</v>
      </c>
    </row>
    <row r="462" spans="1:12" x14ac:dyDescent="0.25">
      <c r="A462" s="45">
        <f>C462&amp;"."&amp;IFERROR(MID(E462,FIND("(",E462)+1,FIND(")",E462)-FIND("(",E462)-1),"")</f>
      </c>
      <c r="B462" s="46" t="s">
        <v>1178</v>
      </c>
      <c r="C462" s="46">
        <v>73174</v>
      </c>
      <c r="D462" s="46" t="s">
        <v>767</v>
      </c>
      <c r="E462" s="46" t="s">
        <v>1697</v>
      </c>
      <c r="F462" s="46" t="s">
        <v>24</v>
      </c>
      <c r="G462" s="47">
        <v>19</v>
      </c>
      <c r="H462" s="48">
        <v>51.263</v>
      </c>
      <c r="I462" s="48">
        <v>10201.359</v>
      </c>
      <c r="J462" s="49">
        <v>199</v>
      </c>
      <c r="K462" s="49">
        <v>75</v>
      </c>
      <c r="L462" s="49">
        <v>124</v>
      </c>
    </row>
    <row r="463" spans="1:12" x14ac:dyDescent="0.25">
      <c r="A463" s="45">
        <f>C463&amp;"."&amp;IFERROR(MID(E463,FIND("(",E463)+1,FIND(")",E463)-FIND("(",E463)-1),"")</f>
      </c>
      <c r="B463" s="46" t="s">
        <v>1178</v>
      </c>
      <c r="C463" s="46">
        <v>73175</v>
      </c>
      <c r="D463" s="46" t="s">
        <v>232</v>
      </c>
      <c r="E463" s="46" t="s">
        <v>1698</v>
      </c>
      <c r="F463" s="46" t="s">
        <v>24</v>
      </c>
      <c r="G463" s="47">
        <v>16.5</v>
      </c>
      <c r="H463" s="48">
        <v>124.063</v>
      </c>
      <c r="I463" s="48">
        <v>54215.624</v>
      </c>
      <c r="J463" s="49">
        <v>437</v>
      </c>
      <c r="K463" s="49">
        <v>205</v>
      </c>
      <c r="L463" s="49">
        <v>232</v>
      </c>
    </row>
    <row r="464" spans="1:12" x14ac:dyDescent="0.25">
      <c r="A464" s="45">
        <f>C464&amp;"."&amp;IFERROR(MID(E464,FIND("(",E464)+1,FIND(")",E464)-FIND("(",E464)-1),"")</f>
      </c>
      <c r="B464" s="46" t="s">
        <v>1178</v>
      </c>
      <c r="C464" s="46">
        <v>73175</v>
      </c>
      <c r="D464" s="46" t="s">
        <v>232</v>
      </c>
      <c r="E464" s="46" t="s">
        <v>1699</v>
      </c>
      <c r="F464" s="46" t="s">
        <v>24</v>
      </c>
      <c r="G464" s="47">
        <v>16.5</v>
      </c>
      <c r="H464" s="48">
        <v>116.252</v>
      </c>
      <c r="I464" s="48">
        <v>9067.654</v>
      </c>
      <c r="J464" s="49">
        <v>78</v>
      </c>
      <c r="K464" s="49">
        <v>38</v>
      </c>
      <c r="L464" s="49">
        <v>40</v>
      </c>
    </row>
    <row r="465" spans="1:12" x14ac:dyDescent="0.25">
      <c r="A465" s="45">
        <f>C465&amp;"."&amp;IFERROR(MID(E465,FIND("(",E465)+1,FIND(")",E465)-FIND("(",E465)-1),"")</f>
      </c>
      <c r="B465" s="46" t="s">
        <v>1178</v>
      </c>
      <c r="C465" s="46">
        <v>73175</v>
      </c>
      <c r="D465" s="46" t="s">
        <v>232</v>
      </c>
      <c r="E465" s="46" t="s">
        <v>1700</v>
      </c>
      <c r="F465" s="46" t="s">
        <v>24</v>
      </c>
      <c r="G465" s="47">
        <v>16.5</v>
      </c>
      <c r="H465" s="48">
        <v>115.583</v>
      </c>
      <c r="I465" s="48">
        <v>23001.046</v>
      </c>
      <c r="J465" s="49">
        <v>199</v>
      </c>
      <c r="K465" s="49">
        <v>75</v>
      </c>
      <c r="L465" s="49">
        <v>124</v>
      </c>
    </row>
    <row r="466" spans="1:12" x14ac:dyDescent="0.25">
      <c r="A466" s="45">
        <f>C466&amp;"."&amp;IFERROR(MID(E466,FIND("(",E466)+1,FIND(")",E466)-FIND("(",E466)-1),"")</f>
      </c>
      <c r="B466" s="46" t="s">
        <v>1178</v>
      </c>
      <c r="C466" s="46">
        <v>73176</v>
      </c>
      <c r="D466" s="46" t="s">
        <v>230</v>
      </c>
      <c r="E466" s="46" t="s">
        <v>1701</v>
      </c>
      <c r="F466" s="46" t="s">
        <v>24</v>
      </c>
      <c r="G466" s="47">
        <v>7</v>
      </c>
      <c r="H466" s="48">
        <v>27.08</v>
      </c>
      <c r="I466" s="48">
        <v>11861.151</v>
      </c>
      <c r="J466" s="49">
        <v>438</v>
      </c>
      <c r="K466" s="49">
        <v>205</v>
      </c>
      <c r="L466" s="49">
        <v>233</v>
      </c>
    </row>
    <row r="467" spans="1:12" x14ac:dyDescent="0.25">
      <c r="A467" s="45">
        <f>C467&amp;"."&amp;IFERROR(MID(E467,FIND("(",E467)+1,FIND(")",E467)-FIND("(",E467)-1),"")</f>
      </c>
      <c r="B467" s="46" t="s">
        <v>1178</v>
      </c>
      <c r="C467" s="46">
        <v>73176</v>
      </c>
      <c r="D467" s="46" t="s">
        <v>230</v>
      </c>
      <c r="E467" s="46" t="s">
        <v>1702</v>
      </c>
      <c r="F467" s="46" t="s">
        <v>24</v>
      </c>
      <c r="G467" s="47">
        <v>7</v>
      </c>
      <c r="H467" s="48">
        <v>28.986</v>
      </c>
      <c r="I467" s="48">
        <v>4289.932</v>
      </c>
      <c r="J467" s="49">
        <v>148</v>
      </c>
      <c r="K467" s="49">
        <v>75</v>
      </c>
      <c r="L467" s="49">
        <v>73</v>
      </c>
    </row>
    <row r="468" spans="1:12" x14ac:dyDescent="0.25">
      <c r="A468" s="45">
        <f>C468&amp;"."&amp;IFERROR(MID(E468,FIND("(",E468)+1,FIND(")",E468)-FIND("(",E468)-1),"")</f>
      </c>
      <c r="B468" s="46" t="s">
        <v>1178</v>
      </c>
      <c r="C468" s="46">
        <v>73176</v>
      </c>
      <c r="D468" s="46" t="s">
        <v>230</v>
      </c>
      <c r="E468" s="46" t="s">
        <v>1703</v>
      </c>
      <c r="F468" s="46" t="s">
        <v>24</v>
      </c>
      <c r="G468" s="47">
        <v>7</v>
      </c>
      <c r="H468" s="48">
        <v>27.097</v>
      </c>
      <c r="I468" s="48">
        <v>2113.584</v>
      </c>
      <c r="J468" s="49">
        <v>78</v>
      </c>
      <c r="K468" s="49">
        <v>38</v>
      </c>
      <c r="L468" s="49">
        <v>40</v>
      </c>
    </row>
    <row r="469" spans="1:12" x14ac:dyDescent="0.25">
      <c r="A469" s="45">
        <f>C469&amp;"."&amp;IFERROR(MID(E469,FIND("(",E469)+1,FIND(")",E469)-FIND("(",E469)-1),"")</f>
      </c>
      <c r="B469" s="46" t="s">
        <v>1178</v>
      </c>
      <c r="C469" s="46">
        <v>73182</v>
      </c>
      <c r="D469" s="46" t="s">
        <v>1704</v>
      </c>
      <c r="E469" s="46" t="s">
        <v>1248</v>
      </c>
      <c r="F469" s="46" t="s">
        <v>1495</v>
      </c>
      <c r="G469" s="47">
        <v>0</v>
      </c>
      <c r="H469" s="48">
        <v>6.274</v>
      </c>
      <c r="I469" s="48">
        <v>18.822</v>
      </c>
      <c r="J469" s="49">
        <v>3</v>
      </c>
      <c r="K469" s="49">
        <v>0</v>
      </c>
      <c r="L469" s="49">
        <v>3</v>
      </c>
    </row>
    <row r="470" spans="1:12" x14ac:dyDescent="0.25">
      <c r="A470" s="45">
        <f>C470&amp;"."&amp;IFERROR(MID(E470,FIND("(",E470)+1,FIND(")",E470)-FIND("(",E470)-1),"")</f>
      </c>
      <c r="B470" s="46" t="s">
        <v>1178</v>
      </c>
      <c r="C470" s="46">
        <v>73183</v>
      </c>
      <c r="D470" s="46" t="s">
        <v>1705</v>
      </c>
      <c r="E470" s="46" t="s">
        <v>1248</v>
      </c>
      <c r="F470" s="46" t="s">
        <v>1495</v>
      </c>
      <c r="G470" s="47">
        <v>0</v>
      </c>
      <c r="H470" s="48">
        <v>4.827</v>
      </c>
      <c r="I470" s="48">
        <v>19.308</v>
      </c>
      <c r="J470" s="49">
        <v>4</v>
      </c>
      <c r="K470" s="49">
        <v>0</v>
      </c>
      <c r="L470" s="49">
        <v>4</v>
      </c>
    </row>
    <row r="471" spans="1:12" x14ac:dyDescent="0.25">
      <c r="A471" s="45">
        <f>C471&amp;"."&amp;IFERROR(MID(E471,FIND("(",E471)+1,FIND(")",E471)-FIND("(",E471)-1),"")</f>
      </c>
      <c r="B471" s="46" t="s">
        <v>1178</v>
      </c>
      <c r="C471" s="46">
        <v>73184</v>
      </c>
      <c r="D471" s="46" t="s">
        <v>1706</v>
      </c>
      <c r="E471" s="46" t="s">
        <v>1248</v>
      </c>
      <c r="F471" s="46" t="s">
        <v>1495</v>
      </c>
      <c r="G471" s="47">
        <v>0</v>
      </c>
      <c r="H471" s="48">
        <v>8.686</v>
      </c>
      <c r="I471" s="48">
        <v>69.487</v>
      </c>
      <c r="J471" s="49">
        <v>8</v>
      </c>
      <c r="K471" s="49">
        <v>2</v>
      </c>
      <c r="L471" s="49">
        <v>6</v>
      </c>
    </row>
    <row r="472" spans="1:12" x14ac:dyDescent="0.25">
      <c r="A472" s="45">
        <f>C472&amp;"."&amp;IFERROR(MID(E472,FIND("(",E472)+1,FIND(")",E472)-FIND("(",E472)-1),"")</f>
      </c>
      <c r="B472" s="46" t="s">
        <v>1178</v>
      </c>
      <c r="C472" s="46">
        <v>73185</v>
      </c>
      <c r="D472" s="46" t="s">
        <v>1707</v>
      </c>
      <c r="E472" s="46" t="s">
        <v>1248</v>
      </c>
      <c r="F472" s="46" t="s">
        <v>1495</v>
      </c>
      <c r="G472" s="47">
        <v>0</v>
      </c>
      <c r="H472" s="48">
        <v>7.409</v>
      </c>
      <c r="I472" s="48">
        <v>96.314</v>
      </c>
      <c r="J472" s="49">
        <v>13</v>
      </c>
      <c r="K472" s="49">
        <v>2</v>
      </c>
      <c r="L472" s="49">
        <v>11</v>
      </c>
    </row>
    <row r="473" spans="1:12" x14ac:dyDescent="0.25">
      <c r="A473" s="45">
        <f>C473&amp;"."&amp;IFERROR(MID(E473,FIND("(",E473)+1,FIND(")",E473)-FIND("(",E473)-1),"")</f>
      </c>
      <c r="B473" s="46" t="s">
        <v>1178</v>
      </c>
      <c r="C473" s="46">
        <v>73186</v>
      </c>
      <c r="D473" s="46" t="s">
        <v>1708</v>
      </c>
      <c r="E473" s="46" t="s">
        <v>1248</v>
      </c>
      <c r="F473" s="46" t="s">
        <v>1495</v>
      </c>
      <c r="G473" s="47">
        <v>0.04</v>
      </c>
      <c r="H473" s="48">
        <v>8.759</v>
      </c>
      <c r="I473" s="48">
        <v>236.483</v>
      </c>
      <c r="J473" s="49">
        <v>27</v>
      </c>
      <c r="K473" s="49">
        <v>4</v>
      </c>
      <c r="L473" s="49">
        <v>23</v>
      </c>
    </row>
    <row r="474" spans="1:12" x14ac:dyDescent="0.25">
      <c r="A474" s="45">
        <f>C474&amp;"."&amp;IFERROR(MID(E474,FIND("(",E474)+1,FIND(")",E474)-FIND("(",E474)-1),"")</f>
      </c>
      <c r="B474" s="46" t="s">
        <v>1178</v>
      </c>
      <c r="C474" s="46">
        <v>73188</v>
      </c>
      <c r="D474" s="46" t="s">
        <v>1709</v>
      </c>
      <c r="E474" s="46" t="s">
        <v>1248</v>
      </c>
      <c r="F474" s="46" t="s">
        <v>1495</v>
      </c>
      <c r="G474" s="47">
        <v>0</v>
      </c>
      <c r="H474" s="48">
        <v>6.344</v>
      </c>
      <c r="I474" s="48">
        <v>6.344</v>
      </c>
      <c r="J474" s="49">
        <v>1</v>
      </c>
      <c r="K474" s="49">
        <v>0</v>
      </c>
      <c r="L474" s="49">
        <v>1</v>
      </c>
    </row>
    <row r="475" spans="1:12" x14ac:dyDescent="0.25">
      <c r="A475" s="45">
        <f>C475&amp;"."&amp;IFERROR(MID(E475,FIND("(",E475)+1,FIND(")",E475)-FIND("(",E475)-1),"")</f>
      </c>
      <c r="B475" s="46" t="s">
        <v>1178</v>
      </c>
      <c r="C475" s="46">
        <v>73189</v>
      </c>
      <c r="D475" s="46" t="s">
        <v>215</v>
      </c>
      <c r="E475" s="46" t="s">
        <v>1710</v>
      </c>
      <c r="F475" s="46" t="s">
        <v>24</v>
      </c>
      <c r="G475" s="47">
        <v>33</v>
      </c>
      <c r="H475" s="48">
        <v>138.582</v>
      </c>
      <c r="I475" s="48">
        <v>99640.38</v>
      </c>
      <c r="J475" s="49">
        <v>719</v>
      </c>
      <c r="K475" s="49">
        <v>579</v>
      </c>
      <c r="L475" s="49">
        <v>140</v>
      </c>
    </row>
    <row r="476" spans="1:12" x14ac:dyDescent="0.25">
      <c r="A476" s="45">
        <f>C476&amp;"."&amp;IFERROR(MID(E476,FIND("(",E476)+1,FIND(")",E476)-FIND("(",E476)-1),"")</f>
      </c>
      <c r="B476" s="46" t="s">
        <v>1178</v>
      </c>
      <c r="C476" s="46">
        <v>73189</v>
      </c>
      <c r="D476" s="46" t="s">
        <v>215</v>
      </c>
      <c r="E476" s="46" t="s">
        <v>1711</v>
      </c>
      <c r="F476" s="46" t="s">
        <v>24</v>
      </c>
      <c r="G476" s="47">
        <v>33</v>
      </c>
      <c r="H476" s="48">
        <v>154.588</v>
      </c>
      <c r="I476" s="48">
        <v>221370.729</v>
      </c>
      <c r="J476" s="49">
        <v>1432</v>
      </c>
      <c r="K476" s="49">
        <v>1251</v>
      </c>
      <c r="L476" s="49">
        <v>181</v>
      </c>
    </row>
    <row r="477" spans="1:12" x14ac:dyDescent="0.25">
      <c r="A477" s="45">
        <f>C477&amp;"."&amp;IFERROR(MID(E477,FIND("(",E477)+1,FIND(")",E477)-FIND("(",E477)-1),"")</f>
      </c>
      <c r="B477" s="46" t="s">
        <v>1178</v>
      </c>
      <c r="C477" s="46">
        <v>73189</v>
      </c>
      <c r="D477" s="46" t="s">
        <v>215</v>
      </c>
      <c r="E477" s="46" t="s">
        <v>1712</v>
      </c>
      <c r="F477" s="46" t="s">
        <v>24</v>
      </c>
      <c r="G477" s="47">
        <v>33</v>
      </c>
      <c r="H477" s="48">
        <v>146.551</v>
      </c>
      <c r="I477" s="48">
        <v>2931.027</v>
      </c>
      <c r="J477" s="49">
        <v>20</v>
      </c>
      <c r="K477" s="49">
        <v>20</v>
      </c>
      <c r="L477" s="49">
        <v>0</v>
      </c>
    </row>
    <row r="478" spans="1:12" x14ac:dyDescent="0.25">
      <c r="A478" s="45">
        <f>C478&amp;"."&amp;IFERROR(MID(E478,FIND("(",E478)+1,FIND(")",E478)-FIND("(",E478)-1),"")</f>
      </c>
      <c r="B478" s="46" t="s">
        <v>1178</v>
      </c>
      <c r="C478" s="46">
        <v>73190</v>
      </c>
      <c r="D478" s="46" t="s">
        <v>1713</v>
      </c>
      <c r="E478" s="46" t="s">
        <v>1248</v>
      </c>
      <c r="F478" s="46" t="s">
        <v>1495</v>
      </c>
      <c r="G478" s="47">
        <v>0</v>
      </c>
      <c r="H478" s="48">
        <v>8.844</v>
      </c>
      <c r="I478" s="48">
        <v>97.282</v>
      </c>
      <c r="J478" s="49">
        <v>11</v>
      </c>
      <c r="K478" s="49">
        <v>0</v>
      </c>
      <c r="L478" s="49">
        <v>11</v>
      </c>
    </row>
    <row r="479" spans="1:12" x14ac:dyDescent="0.25">
      <c r="A479" s="45">
        <f>C479&amp;"."&amp;IFERROR(MID(E479,FIND("(",E479)+1,FIND(")",E479)-FIND("(",E479)-1),"")</f>
      </c>
      <c r="B479" s="46" t="s">
        <v>1178</v>
      </c>
      <c r="C479" s="46">
        <v>73199</v>
      </c>
      <c r="D479" s="46" t="s">
        <v>1714</v>
      </c>
      <c r="E479" s="46" t="s">
        <v>1248</v>
      </c>
      <c r="F479" s="46" t="s">
        <v>1495</v>
      </c>
      <c r="G479" s="47">
        <v>0</v>
      </c>
      <c r="H479" s="48">
        <v>0.735</v>
      </c>
      <c r="I479" s="48">
        <v>2.204</v>
      </c>
      <c r="J479" s="49">
        <v>3</v>
      </c>
      <c r="K479" s="49">
        <v>0</v>
      </c>
      <c r="L479" s="49">
        <v>3</v>
      </c>
    </row>
    <row r="480" spans="1:12" x14ac:dyDescent="0.25">
      <c r="A480" s="45">
        <f>C480&amp;"."&amp;IFERROR(MID(E480,FIND("(",E480)+1,FIND(")",E480)-FIND("(",E480)-1),"")</f>
      </c>
      <c r="B480" s="46" t="s">
        <v>1178</v>
      </c>
      <c r="C480" s="46">
        <v>73205</v>
      </c>
      <c r="D480" s="46" t="s">
        <v>1715</v>
      </c>
      <c r="E480" s="46" t="s">
        <v>1248</v>
      </c>
      <c r="F480" s="46" t="s">
        <v>1495</v>
      </c>
      <c r="G480" s="47">
        <v>0.1</v>
      </c>
      <c r="H480" s="48">
        <v>5.869</v>
      </c>
      <c r="I480" s="48">
        <v>58.692</v>
      </c>
      <c r="J480" s="49">
        <v>10</v>
      </c>
      <c r="K480" s="49">
        <v>0</v>
      </c>
      <c r="L480" s="49">
        <v>10</v>
      </c>
    </row>
    <row r="481" spans="1:12" x14ac:dyDescent="0.25">
      <c r="A481" s="45">
        <f>C481&amp;"."&amp;IFERROR(MID(E481,FIND("(",E481)+1,FIND(")",E481)-FIND("(",E481)-1),"")</f>
      </c>
      <c r="B481" s="46" t="s">
        <v>1178</v>
      </c>
      <c r="C481" s="46">
        <v>73207</v>
      </c>
      <c r="D481" s="46" t="s">
        <v>1716</v>
      </c>
      <c r="E481" s="46" t="s">
        <v>1248</v>
      </c>
      <c r="F481" s="46" t="s">
        <v>1495</v>
      </c>
      <c r="G481" s="47">
        <v>0</v>
      </c>
      <c r="H481" s="48">
        <v>5.303</v>
      </c>
      <c r="I481" s="48">
        <v>31.817</v>
      </c>
      <c r="J481" s="49">
        <v>6</v>
      </c>
      <c r="K481" s="49">
        <v>0</v>
      </c>
      <c r="L481" s="49">
        <v>6</v>
      </c>
    </row>
    <row r="482" spans="1:12" x14ac:dyDescent="0.25">
      <c r="A482" s="45">
        <f>C482&amp;"."&amp;IFERROR(MID(E482,FIND("(",E482)+1,FIND(")",E482)-FIND("(",E482)-1),"")</f>
      </c>
      <c r="B482" s="46" t="s">
        <v>1178</v>
      </c>
      <c r="C482" s="46">
        <v>73209</v>
      </c>
      <c r="D482" s="46" t="s">
        <v>1717</v>
      </c>
      <c r="E482" s="46" t="s">
        <v>1248</v>
      </c>
      <c r="F482" s="46" t="s">
        <v>1495</v>
      </c>
      <c r="G482" s="47">
        <v>0</v>
      </c>
      <c r="H482" s="48">
        <v>5.849</v>
      </c>
      <c r="I482" s="48">
        <v>23.396</v>
      </c>
      <c r="J482" s="49">
        <v>4</v>
      </c>
      <c r="K482" s="49">
        <v>0</v>
      </c>
      <c r="L482" s="49">
        <v>4</v>
      </c>
    </row>
    <row r="483" spans="1:12" x14ac:dyDescent="0.25">
      <c r="A483" s="45">
        <f>C483&amp;"."&amp;IFERROR(MID(E483,FIND("(",E483)+1,FIND(")",E483)-FIND("(",E483)-1),"")</f>
      </c>
      <c r="B483" s="46" t="s">
        <v>1178</v>
      </c>
      <c r="C483" s="46">
        <v>73212</v>
      </c>
      <c r="D483" s="46" t="s">
        <v>1718</v>
      </c>
      <c r="E483" s="46" t="s">
        <v>1248</v>
      </c>
      <c r="F483" s="46" t="s">
        <v>1495</v>
      </c>
      <c r="G483" s="47">
        <v>0.04</v>
      </c>
      <c r="H483" s="48">
        <v>5.787</v>
      </c>
      <c r="I483" s="48">
        <v>11.574</v>
      </c>
      <c r="J483" s="49">
        <v>2</v>
      </c>
      <c r="K483" s="49">
        <v>1</v>
      </c>
      <c r="L483" s="49">
        <v>1</v>
      </c>
    </row>
    <row r="484" spans="1:12" x14ac:dyDescent="0.25">
      <c r="A484" s="45">
        <f>C484&amp;"."&amp;IFERROR(MID(E484,FIND("(",E484)+1,FIND(")",E484)-FIND("(",E484)-1),"")</f>
      </c>
      <c r="B484" s="46" t="s">
        <v>1178</v>
      </c>
      <c r="C484" s="46">
        <v>73215</v>
      </c>
      <c r="D484" s="46" t="s">
        <v>1719</v>
      </c>
      <c r="E484" s="46" t="s">
        <v>1248</v>
      </c>
      <c r="F484" s="46" t="s">
        <v>1495</v>
      </c>
      <c r="G484" s="47">
        <v>0</v>
      </c>
      <c r="H484" s="48">
        <v>10.734</v>
      </c>
      <c r="I484" s="48">
        <v>171.747</v>
      </c>
      <c r="J484" s="49">
        <v>16</v>
      </c>
      <c r="K484" s="49">
        <v>1</v>
      </c>
      <c r="L484" s="49">
        <v>15</v>
      </c>
    </row>
    <row r="485" spans="1:12" x14ac:dyDescent="0.25">
      <c r="A485" s="45">
        <f>C485&amp;"."&amp;IFERROR(MID(E485,FIND("(",E485)+1,FIND(")",E485)-FIND("(",E485)-1),"")</f>
      </c>
      <c r="B485" s="46" t="s">
        <v>1178</v>
      </c>
      <c r="C485" s="46">
        <v>73225</v>
      </c>
      <c r="D485" s="46" t="s">
        <v>1720</v>
      </c>
      <c r="E485" s="46" t="s">
        <v>1248</v>
      </c>
      <c r="F485" s="46" t="s">
        <v>1495</v>
      </c>
      <c r="G485" s="47">
        <v>0</v>
      </c>
      <c r="H485" s="48">
        <v>17.135</v>
      </c>
      <c r="I485" s="48">
        <v>205.618</v>
      </c>
      <c r="J485" s="49">
        <v>12</v>
      </c>
      <c r="K485" s="49">
        <v>0</v>
      </c>
      <c r="L485" s="49">
        <v>12</v>
      </c>
    </row>
    <row r="486" spans="1:12" x14ac:dyDescent="0.25">
      <c r="A486" s="45">
        <f>C486&amp;"."&amp;IFERROR(MID(E486,FIND("(",E486)+1,FIND(")",E486)-FIND("(",E486)-1),"")</f>
      </c>
      <c r="B486" s="46" t="s">
        <v>1178</v>
      </c>
      <c r="C486" s="46">
        <v>73226</v>
      </c>
      <c r="D486" s="46" t="s">
        <v>1163</v>
      </c>
      <c r="E486" s="46" t="s">
        <v>1248</v>
      </c>
      <c r="F486" s="46" t="s">
        <v>24</v>
      </c>
      <c r="G486" s="47">
        <v>13</v>
      </c>
      <c r="H486" s="48">
        <v>46.721</v>
      </c>
      <c r="I486" s="48">
        <v>146238.229</v>
      </c>
      <c r="J486" s="49">
        <v>3130</v>
      </c>
      <c r="K486" s="49">
        <v>1886</v>
      </c>
      <c r="L486" s="49">
        <v>1244</v>
      </c>
    </row>
    <row r="487" spans="1:12" x14ac:dyDescent="0.25">
      <c r="A487" s="45">
        <f>C487&amp;"."&amp;IFERROR(MID(E487,FIND("(",E487)+1,FIND(")",E487)-FIND("(",E487)-1),"")</f>
      </c>
      <c r="B487" s="46" t="s">
        <v>1178</v>
      </c>
      <c r="C487" s="46">
        <v>73228</v>
      </c>
      <c r="D487" s="46" t="s">
        <v>1721</v>
      </c>
      <c r="E487" s="46" t="s">
        <v>1248</v>
      </c>
      <c r="F487" s="46" t="s">
        <v>1495</v>
      </c>
      <c r="G487" s="47">
        <v>0.1</v>
      </c>
      <c r="H487" s="48">
        <v>24.847</v>
      </c>
      <c r="I487" s="48">
        <v>74.542</v>
      </c>
      <c r="J487" s="49">
        <v>3</v>
      </c>
      <c r="K487" s="49">
        <v>0</v>
      </c>
      <c r="L487" s="49">
        <v>3</v>
      </c>
    </row>
    <row r="488" spans="1:12" x14ac:dyDescent="0.25">
      <c r="A488" s="45">
        <f>C488&amp;"."&amp;IFERROR(MID(E488,FIND("(",E488)+1,FIND(")",E488)-FIND("(",E488)-1),"")</f>
      </c>
      <c r="B488" s="46" t="s">
        <v>1178</v>
      </c>
      <c r="C488" s="46">
        <v>73229</v>
      </c>
      <c r="D488" s="46" t="s">
        <v>1722</v>
      </c>
      <c r="E488" s="46" t="s">
        <v>1248</v>
      </c>
      <c r="F488" s="46" t="s">
        <v>1495</v>
      </c>
      <c r="G488" s="47">
        <v>0</v>
      </c>
      <c r="H488" s="48">
        <v>21.979</v>
      </c>
      <c r="I488" s="48">
        <v>395.617</v>
      </c>
      <c r="J488" s="49">
        <v>18</v>
      </c>
      <c r="K488" s="49">
        <v>0</v>
      </c>
      <c r="L488" s="49">
        <v>18</v>
      </c>
    </row>
    <row r="489" spans="1:12" x14ac:dyDescent="0.25">
      <c r="A489" s="45">
        <f>C489&amp;"."&amp;IFERROR(MID(E489,FIND("(",E489)+1,FIND(")",E489)-FIND("(",E489)-1),"")</f>
      </c>
      <c r="B489" s="46" t="s">
        <v>1178</v>
      </c>
      <c r="C489" s="46">
        <v>73230</v>
      </c>
      <c r="D489" s="46" t="s">
        <v>1723</v>
      </c>
      <c r="E489" s="46" t="s">
        <v>1248</v>
      </c>
      <c r="F489" s="46" t="s">
        <v>1495</v>
      </c>
      <c r="G489" s="47">
        <v>0.1</v>
      </c>
      <c r="H489" s="48">
        <v>23.068</v>
      </c>
      <c r="I489" s="48">
        <v>507.497</v>
      </c>
      <c r="J489" s="49">
        <v>22</v>
      </c>
      <c r="K489" s="49">
        <v>0</v>
      </c>
      <c r="L489" s="49">
        <v>22</v>
      </c>
    </row>
    <row r="490" spans="1:12" x14ac:dyDescent="0.25">
      <c r="A490" s="45">
        <f>C490&amp;"."&amp;IFERROR(MID(E490,FIND("(",E490)+1,FIND(")",E490)-FIND("(",E490)-1),"")</f>
      </c>
      <c r="B490" s="46" t="s">
        <v>1178</v>
      </c>
      <c r="C490" s="46">
        <v>73232</v>
      </c>
      <c r="D490" s="46" t="s">
        <v>1724</v>
      </c>
      <c r="E490" s="46" t="s">
        <v>1248</v>
      </c>
      <c r="F490" s="46" t="s">
        <v>1495</v>
      </c>
      <c r="G490" s="47">
        <v>0</v>
      </c>
      <c r="H490" s="48">
        <v>10.503</v>
      </c>
      <c r="I490" s="48">
        <v>210.065</v>
      </c>
      <c r="J490" s="49">
        <v>20</v>
      </c>
      <c r="K490" s="49">
        <v>0</v>
      </c>
      <c r="L490" s="49">
        <v>20</v>
      </c>
    </row>
    <row r="491" spans="1:12" x14ac:dyDescent="0.25">
      <c r="A491" s="45">
        <f>C491&amp;"."&amp;IFERROR(MID(E491,FIND("(",E491)+1,FIND(")",E491)-FIND("(",E491)-1),"")</f>
      </c>
      <c r="B491" s="46" t="s">
        <v>1178</v>
      </c>
      <c r="C491" s="46">
        <v>73233</v>
      </c>
      <c r="D491" s="46" t="s">
        <v>702</v>
      </c>
      <c r="E491" s="46" t="s">
        <v>1725</v>
      </c>
      <c r="F491" s="46" t="s">
        <v>25</v>
      </c>
      <c r="G491" s="47">
        <v>15.72</v>
      </c>
      <c r="H491" s="48">
        <v>63.332</v>
      </c>
      <c r="I491" s="48">
        <v>63.332</v>
      </c>
      <c r="J491" s="49">
        <v>1</v>
      </c>
      <c r="K491" s="49">
        <v>1</v>
      </c>
      <c r="L491" s="49">
        <v>0</v>
      </c>
    </row>
    <row r="492" spans="1:12" x14ac:dyDescent="0.25">
      <c r="A492" s="45">
        <f>C492&amp;"."&amp;IFERROR(MID(E492,FIND("(",E492)+1,FIND(")",E492)-FIND("(",E492)-1),"")</f>
      </c>
      <c r="B492" s="46" t="s">
        <v>1178</v>
      </c>
      <c r="C492" s="46">
        <v>73234</v>
      </c>
      <c r="D492" s="46" t="s">
        <v>1726</v>
      </c>
      <c r="E492" s="46" t="s">
        <v>1248</v>
      </c>
      <c r="F492" s="46" t="s">
        <v>1495</v>
      </c>
      <c r="G492" s="47">
        <v>0</v>
      </c>
      <c r="H492" s="48">
        <v>10.137</v>
      </c>
      <c r="I492" s="48">
        <v>223.024</v>
      </c>
      <c r="J492" s="49">
        <v>22</v>
      </c>
      <c r="K492" s="49">
        <v>0</v>
      </c>
      <c r="L492" s="49">
        <v>22</v>
      </c>
    </row>
    <row r="493" spans="1:12" x14ac:dyDescent="0.25">
      <c r="A493" s="45">
        <f>C493&amp;"."&amp;IFERROR(MID(E493,FIND("(",E493)+1,FIND(")",E493)-FIND("(",E493)-1),"")</f>
      </c>
      <c r="B493" s="46" t="s">
        <v>1178</v>
      </c>
      <c r="C493" s="46">
        <v>73235</v>
      </c>
      <c r="D493" s="46" t="s">
        <v>1727</v>
      </c>
      <c r="E493" s="46" t="s">
        <v>1248</v>
      </c>
      <c r="F493" s="46" t="s">
        <v>1495</v>
      </c>
      <c r="G493" s="47">
        <v>0</v>
      </c>
      <c r="H493" s="48">
        <v>9.41</v>
      </c>
      <c r="I493" s="48">
        <v>75.278</v>
      </c>
      <c r="J493" s="49">
        <v>8</v>
      </c>
      <c r="K493" s="49">
        <v>0</v>
      </c>
      <c r="L493" s="49">
        <v>8</v>
      </c>
    </row>
    <row r="494" spans="1:12" x14ac:dyDescent="0.25">
      <c r="A494" s="45">
        <f>C494&amp;"."&amp;IFERROR(MID(E494,FIND("(",E494)+1,FIND(")",E494)-FIND("(",E494)-1),"")</f>
      </c>
      <c r="B494" s="46" t="s">
        <v>1178</v>
      </c>
      <c r="C494" s="46">
        <v>73236</v>
      </c>
      <c r="D494" s="46" t="s">
        <v>1728</v>
      </c>
      <c r="E494" s="46" t="s">
        <v>1248</v>
      </c>
      <c r="F494" s="46" t="s">
        <v>1495</v>
      </c>
      <c r="G494" s="47">
        <v>0.1</v>
      </c>
      <c r="H494" s="48">
        <v>42.323</v>
      </c>
      <c r="I494" s="48">
        <v>338.587</v>
      </c>
      <c r="J494" s="49">
        <v>8</v>
      </c>
      <c r="K494" s="49">
        <v>0</v>
      </c>
      <c r="L494" s="49">
        <v>8</v>
      </c>
    </row>
    <row r="495" spans="1:12" x14ac:dyDescent="0.25">
      <c r="A495" s="45">
        <f>C495&amp;"."&amp;IFERROR(MID(E495,FIND("(",E495)+1,FIND(")",E495)-FIND("(",E495)-1),"")</f>
      </c>
      <c r="B495" s="46" t="s">
        <v>1178</v>
      </c>
      <c r="C495" s="46">
        <v>73237</v>
      </c>
      <c r="D495" s="46" t="s">
        <v>1729</v>
      </c>
      <c r="E495" s="46" t="s">
        <v>1248</v>
      </c>
      <c r="F495" s="46" t="s">
        <v>1495</v>
      </c>
      <c r="G495" s="47">
        <v>0</v>
      </c>
      <c r="H495" s="48">
        <v>41.083</v>
      </c>
      <c r="I495" s="48">
        <v>369.748</v>
      </c>
      <c r="J495" s="49">
        <v>9</v>
      </c>
      <c r="K495" s="49">
        <v>0</v>
      </c>
      <c r="L495" s="49">
        <v>9</v>
      </c>
    </row>
    <row r="496" spans="1:12" x14ac:dyDescent="0.25">
      <c r="A496" s="45">
        <f>C496&amp;"."&amp;IFERROR(MID(E496,FIND("(",E496)+1,FIND(")",E496)-FIND("(",E496)-1),"")</f>
      </c>
      <c r="B496" s="46" t="s">
        <v>1178</v>
      </c>
      <c r="C496" s="46">
        <v>73238</v>
      </c>
      <c r="D496" s="46" t="s">
        <v>1730</v>
      </c>
      <c r="E496" s="46" t="s">
        <v>1248</v>
      </c>
      <c r="F496" s="46" t="s">
        <v>1495</v>
      </c>
      <c r="G496" s="47">
        <v>0</v>
      </c>
      <c r="H496" s="48">
        <v>41.913</v>
      </c>
      <c r="I496" s="48">
        <v>251.479</v>
      </c>
      <c r="J496" s="49">
        <v>6</v>
      </c>
      <c r="K496" s="49">
        <v>0</v>
      </c>
      <c r="L496" s="49">
        <v>6</v>
      </c>
    </row>
    <row r="497" spans="1:12" x14ac:dyDescent="0.25">
      <c r="A497" s="45">
        <f>C497&amp;"."&amp;IFERROR(MID(E497,FIND("(",E497)+1,FIND(")",E497)-FIND("(",E497)-1),"")</f>
      </c>
      <c r="B497" s="46" t="s">
        <v>1178</v>
      </c>
      <c r="C497" s="46">
        <v>73239</v>
      </c>
      <c r="D497" s="46" t="s">
        <v>1731</v>
      </c>
      <c r="E497" s="46" t="s">
        <v>1248</v>
      </c>
      <c r="F497" s="46" t="s">
        <v>1495</v>
      </c>
      <c r="G497" s="47">
        <v>0.1</v>
      </c>
      <c r="H497" s="48">
        <v>8.138</v>
      </c>
      <c r="I497" s="48">
        <v>187.172</v>
      </c>
      <c r="J497" s="49">
        <v>23</v>
      </c>
      <c r="K497" s="49">
        <v>4</v>
      </c>
      <c r="L497" s="49">
        <v>19</v>
      </c>
    </row>
    <row r="498" spans="1:12" x14ac:dyDescent="0.25">
      <c r="A498" s="45">
        <f>C498&amp;"."&amp;IFERROR(MID(E498,FIND("(",E498)+1,FIND(")",E498)-FIND("(",E498)-1),"")</f>
      </c>
      <c r="B498" s="46" t="s">
        <v>1178</v>
      </c>
      <c r="C498" s="46">
        <v>73240</v>
      </c>
      <c r="D498" s="46" t="s">
        <v>1732</v>
      </c>
      <c r="E498" s="46" t="s">
        <v>1248</v>
      </c>
      <c r="F498" s="46" t="s">
        <v>1495</v>
      </c>
      <c r="G498" s="47">
        <v>0</v>
      </c>
      <c r="H498" s="48">
        <v>6.93</v>
      </c>
      <c r="I498" s="48">
        <v>41.578</v>
      </c>
      <c r="J498" s="49">
        <v>6</v>
      </c>
      <c r="K498" s="49">
        <v>1</v>
      </c>
      <c r="L498" s="49">
        <v>5</v>
      </c>
    </row>
    <row r="499" spans="1:12" x14ac:dyDescent="0.25">
      <c r="A499" s="45">
        <f>C499&amp;"."&amp;IFERROR(MID(E499,FIND("(",E499)+1,FIND(")",E499)-FIND("(",E499)-1),"")</f>
      </c>
      <c r="B499" s="46" t="s">
        <v>1178</v>
      </c>
      <c r="C499" s="46">
        <v>73242</v>
      </c>
      <c r="D499" s="46" t="s">
        <v>1733</v>
      </c>
      <c r="E499" s="46" t="s">
        <v>1248</v>
      </c>
      <c r="F499" s="46" t="s">
        <v>1495</v>
      </c>
      <c r="G499" s="47">
        <v>0</v>
      </c>
      <c r="H499" s="48">
        <v>15.752</v>
      </c>
      <c r="I499" s="48">
        <v>236.276</v>
      </c>
      <c r="J499" s="49">
        <v>15</v>
      </c>
      <c r="K499" s="49">
        <v>0</v>
      </c>
      <c r="L499" s="49">
        <v>15</v>
      </c>
    </row>
    <row r="500" spans="1:12" x14ac:dyDescent="0.25">
      <c r="A500" s="45">
        <f>C500&amp;"."&amp;IFERROR(MID(E500,FIND("(",E500)+1,FIND(")",E500)-FIND("(",E500)-1),"")</f>
      </c>
      <c r="B500" s="46" t="s">
        <v>1178</v>
      </c>
      <c r="C500" s="46">
        <v>73243</v>
      </c>
      <c r="D500" s="46" t="s">
        <v>1734</v>
      </c>
      <c r="E500" s="46" t="s">
        <v>1248</v>
      </c>
      <c r="F500" s="46" t="s">
        <v>1495</v>
      </c>
      <c r="G500" s="47">
        <v>0</v>
      </c>
      <c r="H500" s="48">
        <v>0.98</v>
      </c>
      <c r="I500" s="48">
        <v>87.261</v>
      </c>
      <c r="J500" s="49">
        <v>89</v>
      </c>
      <c r="K500" s="49">
        <v>0</v>
      </c>
      <c r="L500" s="49">
        <v>89</v>
      </c>
    </row>
    <row r="501" spans="1:12" x14ac:dyDescent="0.25">
      <c r="A501" s="45">
        <f>C501&amp;"."&amp;IFERROR(MID(E501,FIND("(",E501)+1,FIND(")",E501)-FIND("(",E501)-1),"")</f>
      </c>
      <c r="B501" s="46" t="s">
        <v>1178</v>
      </c>
      <c r="C501" s="46">
        <v>73244</v>
      </c>
      <c r="D501" s="46" t="s">
        <v>1735</v>
      </c>
      <c r="E501" s="46" t="s">
        <v>1248</v>
      </c>
      <c r="F501" s="46" t="s">
        <v>1495</v>
      </c>
      <c r="G501" s="47">
        <v>0</v>
      </c>
      <c r="H501" s="48">
        <v>0.926</v>
      </c>
      <c r="I501" s="48">
        <v>17.586</v>
      </c>
      <c r="J501" s="49">
        <v>19</v>
      </c>
      <c r="K501" s="49">
        <v>0</v>
      </c>
      <c r="L501" s="49">
        <v>19</v>
      </c>
    </row>
    <row r="502" spans="1:12" x14ac:dyDescent="0.25">
      <c r="A502" s="45">
        <f>C502&amp;"."&amp;IFERROR(MID(E502,FIND("(",E502)+1,FIND(")",E502)-FIND("(",E502)-1),"")</f>
      </c>
      <c r="B502" s="46" t="s">
        <v>1178</v>
      </c>
      <c r="C502" s="46">
        <v>73245</v>
      </c>
      <c r="D502" s="46" t="s">
        <v>1736</v>
      </c>
      <c r="E502" s="46" t="s">
        <v>1248</v>
      </c>
      <c r="F502" s="46" t="s">
        <v>1495</v>
      </c>
      <c r="G502" s="47">
        <v>0</v>
      </c>
      <c r="H502" s="48">
        <v>2.663</v>
      </c>
      <c r="I502" s="48">
        <v>15.978</v>
      </c>
      <c r="J502" s="49">
        <v>6</v>
      </c>
      <c r="K502" s="49">
        <v>0</v>
      </c>
      <c r="L502" s="49">
        <v>6</v>
      </c>
    </row>
    <row r="503" spans="1:12" x14ac:dyDescent="0.25">
      <c r="A503" s="45">
        <f>C503&amp;"."&amp;IFERROR(MID(E503,FIND("(",E503)+1,FIND(")",E503)-FIND("(",E503)-1),"")</f>
      </c>
      <c r="B503" s="46" t="s">
        <v>1178</v>
      </c>
      <c r="C503" s="46">
        <v>73246</v>
      </c>
      <c r="D503" s="46" t="s">
        <v>1737</v>
      </c>
      <c r="E503" s="46" t="s">
        <v>1248</v>
      </c>
      <c r="F503" s="46" t="s">
        <v>1495</v>
      </c>
      <c r="G503" s="47">
        <v>0.1</v>
      </c>
      <c r="H503" s="48">
        <v>2.469</v>
      </c>
      <c r="I503" s="48">
        <v>79.014</v>
      </c>
      <c r="J503" s="49">
        <v>32</v>
      </c>
      <c r="K503" s="49">
        <v>0</v>
      </c>
      <c r="L503" s="49">
        <v>32</v>
      </c>
    </row>
    <row r="504" spans="1:12" x14ac:dyDescent="0.25">
      <c r="A504" s="45">
        <f>C504&amp;"."&amp;IFERROR(MID(E504,FIND("(",E504)+1,FIND(")",E504)-FIND("(",E504)-1),"")</f>
      </c>
      <c r="B504" s="46" t="s">
        <v>1178</v>
      </c>
      <c r="C504" s="46">
        <v>73252</v>
      </c>
      <c r="D504" s="46" t="s">
        <v>1738</v>
      </c>
      <c r="E504" s="46" t="s">
        <v>1248</v>
      </c>
      <c r="F504" s="46" t="s">
        <v>1495</v>
      </c>
      <c r="G504" s="47">
        <v>0</v>
      </c>
      <c r="H504" s="48">
        <v>4.056</v>
      </c>
      <c r="I504" s="48">
        <v>73.015</v>
      </c>
      <c r="J504" s="49">
        <v>18</v>
      </c>
      <c r="K504" s="49">
        <v>0</v>
      </c>
      <c r="L504" s="49">
        <v>18</v>
      </c>
    </row>
    <row r="505" spans="1:12" x14ac:dyDescent="0.25">
      <c r="A505" s="45">
        <f>C505&amp;"."&amp;IFERROR(MID(E505,FIND("(",E505)+1,FIND(")",E505)-FIND("(",E505)-1),"")</f>
      </c>
      <c r="B505" s="46" t="s">
        <v>1178</v>
      </c>
      <c r="C505" s="46">
        <v>73254</v>
      </c>
      <c r="D505" s="46" t="s">
        <v>1739</v>
      </c>
      <c r="E505" s="46" t="s">
        <v>1248</v>
      </c>
      <c r="F505" s="46" t="s">
        <v>1495</v>
      </c>
      <c r="G505" s="47">
        <v>0.1</v>
      </c>
      <c r="H505" s="48">
        <v>4.52</v>
      </c>
      <c r="I505" s="48">
        <v>144.634</v>
      </c>
      <c r="J505" s="49">
        <v>32</v>
      </c>
      <c r="K505" s="49">
        <v>0</v>
      </c>
      <c r="L505" s="49">
        <v>32</v>
      </c>
    </row>
    <row r="506" spans="1:12" x14ac:dyDescent="0.25">
      <c r="A506" s="45">
        <f>C506&amp;"."&amp;IFERROR(MID(E506,FIND("(",E506)+1,FIND(")",E506)-FIND("(",E506)-1),"")</f>
      </c>
      <c r="B506" s="46" t="s">
        <v>1178</v>
      </c>
      <c r="C506" s="46">
        <v>73258</v>
      </c>
      <c r="D506" s="46" t="s">
        <v>1740</v>
      </c>
      <c r="E506" s="46" t="s">
        <v>1248</v>
      </c>
      <c r="F506" s="46" t="s">
        <v>1495</v>
      </c>
      <c r="G506" s="47">
        <v>0</v>
      </c>
      <c r="H506" s="48">
        <v>0.901</v>
      </c>
      <c r="I506" s="48">
        <v>89.205</v>
      </c>
      <c r="J506" s="49">
        <v>99</v>
      </c>
      <c r="K506" s="49">
        <v>7</v>
      </c>
      <c r="L506" s="49">
        <v>92</v>
      </c>
    </row>
    <row r="507" spans="1:12" x14ac:dyDescent="0.25">
      <c r="A507" s="45">
        <f>C507&amp;"."&amp;IFERROR(MID(E507,FIND("(",E507)+1,FIND(")",E507)-FIND("(",E507)-1),"")</f>
      </c>
      <c r="B507" s="46" t="s">
        <v>1178</v>
      </c>
      <c r="C507" s="46">
        <v>73259</v>
      </c>
      <c r="D507" s="46" t="s">
        <v>303</v>
      </c>
      <c r="E507" s="46" t="s">
        <v>1741</v>
      </c>
      <c r="F507" s="46" t="s">
        <v>24</v>
      </c>
      <c r="G507" s="47">
        <v>58</v>
      </c>
      <c r="H507" s="48">
        <v>224.73</v>
      </c>
      <c r="I507" s="48">
        <v>186301.131</v>
      </c>
      <c r="J507" s="49">
        <v>829</v>
      </c>
      <c r="K507" s="49">
        <v>175</v>
      </c>
      <c r="L507" s="49">
        <v>654</v>
      </c>
    </row>
    <row r="508" spans="1:12" x14ac:dyDescent="0.25">
      <c r="A508" s="45">
        <f>C508&amp;"."&amp;IFERROR(MID(E508,FIND("(",E508)+1,FIND(")",E508)-FIND("(",E508)-1),"")</f>
      </c>
      <c r="B508" s="46" t="s">
        <v>1178</v>
      </c>
      <c r="C508" s="46">
        <v>73259</v>
      </c>
      <c r="D508" s="46" t="s">
        <v>303</v>
      </c>
      <c r="E508" s="46" t="s">
        <v>1742</v>
      </c>
      <c r="F508" s="46" t="s">
        <v>24</v>
      </c>
      <c r="G508" s="47">
        <v>58</v>
      </c>
      <c r="H508" s="48">
        <v>224.506</v>
      </c>
      <c r="I508" s="48">
        <v>64657.857</v>
      </c>
      <c r="J508" s="49">
        <v>288</v>
      </c>
      <c r="K508" s="49">
        <v>52</v>
      </c>
      <c r="L508" s="49">
        <v>236</v>
      </c>
    </row>
    <row r="509" spans="1:12" x14ac:dyDescent="0.25">
      <c r="A509" s="45">
        <f>C509&amp;"."&amp;IFERROR(MID(E509,FIND("(",E509)+1,FIND(")",E509)-FIND("(",E509)-1),"")</f>
      </c>
      <c r="B509" s="46" t="s">
        <v>1178</v>
      </c>
      <c r="C509" s="46">
        <v>73260</v>
      </c>
      <c r="D509" s="46" t="s">
        <v>1743</v>
      </c>
      <c r="E509" s="46" t="s">
        <v>1248</v>
      </c>
      <c r="F509" s="46" t="s">
        <v>1495</v>
      </c>
      <c r="G509" s="47">
        <v>0</v>
      </c>
      <c r="H509" s="48">
        <v>1.919</v>
      </c>
      <c r="I509" s="48">
        <v>57.573</v>
      </c>
      <c r="J509" s="49">
        <v>30</v>
      </c>
      <c r="K509" s="49">
        <v>0</v>
      </c>
      <c r="L509" s="49">
        <v>30</v>
      </c>
    </row>
    <row r="510" spans="1:12" x14ac:dyDescent="0.25">
      <c r="A510" s="45">
        <f>C510&amp;"."&amp;IFERROR(MID(E510,FIND("(",E510)+1,FIND(")",E510)-FIND("(",E510)-1),"")</f>
      </c>
      <c r="B510" s="46" t="s">
        <v>1178</v>
      </c>
      <c r="C510" s="46">
        <v>73261</v>
      </c>
      <c r="D510" s="46" t="s">
        <v>1744</v>
      </c>
      <c r="E510" s="46" t="s">
        <v>1248</v>
      </c>
      <c r="F510" s="46" t="s">
        <v>1495</v>
      </c>
      <c r="G510" s="47">
        <v>0.02</v>
      </c>
      <c r="H510" s="48">
        <v>0.783</v>
      </c>
      <c r="I510" s="48">
        <v>158.866</v>
      </c>
      <c r="J510" s="49">
        <v>203</v>
      </c>
      <c r="K510" s="49">
        <v>29</v>
      </c>
      <c r="L510" s="49">
        <v>174</v>
      </c>
    </row>
    <row r="511" spans="1:12" x14ac:dyDescent="0.25">
      <c r="A511" s="45">
        <f>C511&amp;"."&amp;IFERROR(MID(E511,FIND("(",E511)+1,FIND(")",E511)-FIND("(",E511)-1),"")</f>
      </c>
      <c r="B511" s="46" t="s">
        <v>1178</v>
      </c>
      <c r="C511" s="46">
        <v>73262</v>
      </c>
      <c r="D511" s="46" t="s">
        <v>1745</v>
      </c>
      <c r="E511" s="46" t="s">
        <v>1248</v>
      </c>
      <c r="F511" s="46" t="s">
        <v>1495</v>
      </c>
      <c r="G511" s="47">
        <v>0</v>
      </c>
      <c r="H511" s="48">
        <v>1.901</v>
      </c>
      <c r="I511" s="48">
        <v>53.217</v>
      </c>
      <c r="J511" s="49">
        <v>28</v>
      </c>
      <c r="K511" s="49">
        <v>0</v>
      </c>
      <c r="L511" s="49">
        <v>28</v>
      </c>
    </row>
    <row r="512" spans="1:12" x14ac:dyDescent="0.25">
      <c r="A512" s="45">
        <f>C512&amp;"."&amp;IFERROR(MID(E512,FIND("(",E512)+1,FIND(")",E512)-FIND("(",E512)-1),"")</f>
      </c>
      <c r="B512" s="46" t="s">
        <v>1178</v>
      </c>
      <c r="C512" s="46">
        <v>73273</v>
      </c>
      <c r="D512" s="46" t="s">
        <v>1746</v>
      </c>
      <c r="E512" s="46" t="s">
        <v>1248</v>
      </c>
      <c r="F512" s="46" t="s">
        <v>1495</v>
      </c>
      <c r="G512" s="47">
        <v>0.02</v>
      </c>
      <c r="H512" s="48">
        <v>1.271</v>
      </c>
      <c r="I512" s="48">
        <v>230.044</v>
      </c>
      <c r="J512" s="49">
        <v>181</v>
      </c>
      <c r="K512" s="49">
        <v>1</v>
      </c>
      <c r="L512" s="49">
        <v>180</v>
      </c>
    </row>
    <row r="513" spans="1:12" x14ac:dyDescent="0.25">
      <c r="A513" s="45">
        <f>C513&amp;"."&amp;IFERROR(MID(E513,FIND("(",E513)+1,FIND(")",E513)-FIND("(",E513)-1),"")</f>
      </c>
      <c r="B513" s="46" t="s">
        <v>1178</v>
      </c>
      <c r="C513" s="46">
        <v>73276</v>
      </c>
      <c r="D513" s="46" t="s">
        <v>235</v>
      </c>
      <c r="E513" s="46" t="s">
        <v>1747</v>
      </c>
      <c r="F513" s="46" t="s">
        <v>24</v>
      </c>
      <c r="G513" s="47">
        <v>30.53</v>
      </c>
      <c r="H513" s="48">
        <v>99.512</v>
      </c>
      <c r="I513" s="48">
        <v>6169.77</v>
      </c>
      <c r="J513" s="49">
        <v>62</v>
      </c>
      <c r="K513" s="49">
        <v>29</v>
      </c>
      <c r="L513" s="49">
        <v>33</v>
      </c>
    </row>
    <row r="514" spans="1:12" x14ac:dyDescent="0.25">
      <c r="A514" s="45">
        <f>C514&amp;"."&amp;IFERROR(MID(E514,FIND("(",E514)+1,FIND(")",E514)-FIND("(",E514)-1),"")</f>
      </c>
      <c r="B514" s="46" t="s">
        <v>1178</v>
      </c>
      <c r="C514" s="46">
        <v>73276</v>
      </c>
      <c r="D514" s="46" t="s">
        <v>235</v>
      </c>
      <c r="E514" s="46" t="s">
        <v>1748</v>
      </c>
      <c r="F514" s="46" t="s">
        <v>24</v>
      </c>
      <c r="G514" s="47">
        <v>30.53</v>
      </c>
      <c r="H514" s="48">
        <v>107.194</v>
      </c>
      <c r="I514" s="48">
        <v>33873.149</v>
      </c>
      <c r="J514" s="49">
        <v>316</v>
      </c>
      <c r="K514" s="49">
        <v>287</v>
      </c>
      <c r="L514" s="49">
        <v>29</v>
      </c>
    </row>
    <row r="515" spans="1:12" x14ac:dyDescent="0.25">
      <c r="A515" s="45">
        <f>C515&amp;"."&amp;IFERROR(MID(E515,FIND("(",E515)+1,FIND(")",E515)-FIND("(",E515)-1),"")</f>
      </c>
      <c r="B515" s="46" t="s">
        <v>1178</v>
      </c>
      <c r="C515" s="46">
        <v>73276</v>
      </c>
      <c r="D515" s="46" t="s">
        <v>235</v>
      </c>
      <c r="E515" s="46" t="s">
        <v>1749</v>
      </c>
      <c r="F515" s="46" t="s">
        <v>24</v>
      </c>
      <c r="G515" s="47">
        <v>30.53</v>
      </c>
      <c r="H515" s="48">
        <v>108.954</v>
      </c>
      <c r="I515" s="48">
        <v>25386.294</v>
      </c>
      <c r="J515" s="49">
        <v>233</v>
      </c>
      <c r="K515" s="49">
        <v>159</v>
      </c>
      <c r="L515" s="49">
        <v>74</v>
      </c>
    </row>
    <row r="516" spans="1:12" x14ac:dyDescent="0.25">
      <c r="A516" s="45">
        <f>C516&amp;"."&amp;IFERROR(MID(E516,FIND("(",E516)+1,FIND(")",E516)-FIND("(",E516)-1),"")</f>
      </c>
      <c r="B516" s="46" t="s">
        <v>1178</v>
      </c>
      <c r="C516" s="46">
        <v>73277</v>
      </c>
      <c r="D516" s="46" t="s">
        <v>394</v>
      </c>
      <c r="E516" s="46" t="s">
        <v>1750</v>
      </c>
      <c r="F516" s="46" t="s">
        <v>24</v>
      </c>
      <c r="G516" s="47">
        <v>42.78</v>
      </c>
      <c r="H516" s="48">
        <v>189.226</v>
      </c>
      <c r="I516" s="48">
        <v>36331.316</v>
      </c>
      <c r="J516" s="49">
        <v>192</v>
      </c>
      <c r="K516" s="49">
        <v>169</v>
      </c>
      <c r="L516" s="49">
        <v>23</v>
      </c>
    </row>
    <row r="517" spans="1:12" x14ac:dyDescent="0.25">
      <c r="A517" s="45">
        <f>C517&amp;"."&amp;IFERROR(MID(E517,FIND("(",E517)+1,FIND(")",E517)-FIND("(",E517)-1),"")</f>
      </c>
      <c r="B517" s="46" t="s">
        <v>1178</v>
      </c>
      <c r="C517" s="46">
        <v>73277</v>
      </c>
      <c r="D517" s="46" t="s">
        <v>394</v>
      </c>
      <c r="E517" s="46" t="s">
        <v>1751</v>
      </c>
      <c r="F517" s="46" t="s">
        <v>24</v>
      </c>
      <c r="G517" s="47">
        <v>42.78</v>
      </c>
      <c r="H517" s="48">
        <v>187.113</v>
      </c>
      <c r="I517" s="48">
        <v>22079.348</v>
      </c>
      <c r="J517" s="49">
        <v>118</v>
      </c>
      <c r="K517" s="49">
        <v>118</v>
      </c>
      <c r="L517" s="49">
        <v>0</v>
      </c>
    </row>
    <row r="518" spans="1:12" x14ac:dyDescent="0.25">
      <c r="A518" s="45">
        <f>C518&amp;"."&amp;IFERROR(MID(E518,FIND("(",E518)+1,FIND(")",E518)-FIND("(",E518)-1),"")</f>
      </c>
      <c r="B518" s="46" t="s">
        <v>1178</v>
      </c>
      <c r="C518" s="46">
        <v>73277</v>
      </c>
      <c r="D518" s="46" t="s">
        <v>394</v>
      </c>
      <c r="E518" s="46" t="s">
        <v>1752</v>
      </c>
      <c r="F518" s="46" t="s">
        <v>24</v>
      </c>
      <c r="G518" s="47">
        <v>42.78</v>
      </c>
      <c r="H518" s="48">
        <v>177.513</v>
      </c>
      <c r="I518" s="48">
        <v>39763.009</v>
      </c>
      <c r="J518" s="49">
        <v>224</v>
      </c>
      <c r="K518" s="49">
        <v>159</v>
      </c>
      <c r="L518" s="49">
        <v>65</v>
      </c>
    </row>
    <row r="519" spans="1:12" x14ac:dyDescent="0.25">
      <c r="A519" s="45">
        <f>C519&amp;"."&amp;IFERROR(MID(E519,FIND("(",E519)+1,FIND(")",E519)-FIND("(",E519)-1),"")</f>
      </c>
      <c r="B519" s="46" t="s">
        <v>1178</v>
      </c>
      <c r="C519" s="46">
        <v>73277</v>
      </c>
      <c r="D519" s="46" t="s">
        <v>394</v>
      </c>
      <c r="E519" s="46" t="s">
        <v>1753</v>
      </c>
      <c r="F519" s="46" t="s">
        <v>24</v>
      </c>
      <c r="G519" s="47">
        <v>42.78</v>
      </c>
      <c r="H519" s="48">
        <v>178.86</v>
      </c>
      <c r="I519" s="48">
        <v>8048.696</v>
      </c>
      <c r="J519" s="49">
        <v>45</v>
      </c>
      <c r="K519" s="49">
        <v>14</v>
      </c>
      <c r="L519" s="49">
        <v>31</v>
      </c>
    </row>
    <row r="520" spans="1:12" x14ac:dyDescent="0.25">
      <c r="A520" s="45">
        <f>C520&amp;"."&amp;IFERROR(MID(E520,FIND("(",E520)+1,FIND(")",E520)-FIND("(",E520)-1),"")</f>
      </c>
      <c r="B520" s="46" t="s">
        <v>1178</v>
      </c>
      <c r="C520" s="46">
        <v>73277</v>
      </c>
      <c r="D520" s="46" t="s">
        <v>394</v>
      </c>
      <c r="E520" s="46" t="s">
        <v>1754</v>
      </c>
      <c r="F520" s="46" t="s">
        <v>24</v>
      </c>
      <c r="G520" s="47">
        <v>42.78</v>
      </c>
      <c r="H520" s="48">
        <v>173.829</v>
      </c>
      <c r="I520" s="48">
        <v>2607.435</v>
      </c>
      <c r="J520" s="49">
        <v>15</v>
      </c>
      <c r="K520" s="49">
        <v>15</v>
      </c>
      <c r="L520" s="49">
        <v>0</v>
      </c>
    </row>
    <row r="521" spans="1:12" x14ac:dyDescent="0.25">
      <c r="A521" s="45">
        <f>C521&amp;"."&amp;IFERROR(MID(E521,FIND("(",E521)+1,FIND(")",E521)-FIND("(",E521)-1),"")</f>
      </c>
      <c r="B521" s="46" t="s">
        <v>1178</v>
      </c>
      <c r="C521" s="46">
        <v>73279</v>
      </c>
      <c r="D521" s="46" t="s">
        <v>381</v>
      </c>
      <c r="E521" s="46" t="s">
        <v>1755</v>
      </c>
      <c r="F521" s="46" t="s">
        <v>24</v>
      </c>
      <c r="G521" s="47">
        <v>28</v>
      </c>
      <c r="H521" s="48">
        <v>92.671</v>
      </c>
      <c r="I521" s="48">
        <v>28635.233</v>
      </c>
      <c r="J521" s="49">
        <v>309</v>
      </c>
      <c r="K521" s="49">
        <v>180</v>
      </c>
      <c r="L521" s="49">
        <v>129</v>
      </c>
    </row>
    <row r="522" spans="1:12" x14ac:dyDescent="0.25">
      <c r="A522" s="45">
        <f>C522&amp;"."&amp;IFERROR(MID(E522,FIND("(",E522)+1,FIND(")",E522)-FIND("(",E522)-1),"")</f>
      </c>
      <c r="B522" s="46" t="s">
        <v>1178</v>
      </c>
      <c r="C522" s="46">
        <v>73279</v>
      </c>
      <c r="D522" s="46" t="s">
        <v>381</v>
      </c>
      <c r="E522" s="46" t="s">
        <v>1756</v>
      </c>
      <c r="F522" s="46" t="s">
        <v>24</v>
      </c>
      <c r="G522" s="47">
        <v>28</v>
      </c>
      <c r="H522" s="48">
        <v>92.39</v>
      </c>
      <c r="I522" s="48">
        <v>4804.299</v>
      </c>
      <c r="J522" s="49">
        <v>52</v>
      </c>
      <c r="K522" s="49">
        <v>0</v>
      </c>
      <c r="L522" s="49">
        <v>52</v>
      </c>
    </row>
    <row r="523" spans="1:12" x14ac:dyDescent="0.25">
      <c r="A523" s="45">
        <f>C523&amp;"."&amp;IFERROR(MID(E523,FIND("(",E523)+1,FIND(")",E523)-FIND("(",E523)-1),"")</f>
      </c>
      <c r="B523" s="46" t="s">
        <v>1178</v>
      </c>
      <c r="C523" s="46">
        <v>73279</v>
      </c>
      <c r="D523" s="46" t="s">
        <v>381</v>
      </c>
      <c r="E523" s="46" t="s">
        <v>1757</v>
      </c>
      <c r="F523" s="46" t="s">
        <v>24</v>
      </c>
      <c r="G523" s="47">
        <v>28</v>
      </c>
      <c r="H523" s="48">
        <v>93.146</v>
      </c>
      <c r="I523" s="48">
        <v>81037.443</v>
      </c>
      <c r="J523" s="49">
        <v>870</v>
      </c>
      <c r="K523" s="49">
        <v>427</v>
      </c>
      <c r="L523" s="49">
        <v>443</v>
      </c>
    </row>
    <row r="524" spans="1:12" x14ac:dyDescent="0.25">
      <c r="A524" s="45">
        <f>C524&amp;"."&amp;IFERROR(MID(E524,FIND("(",E524)+1,FIND(")",E524)-FIND("(",E524)-1),"")</f>
      </c>
      <c r="B524" s="46" t="s">
        <v>1178</v>
      </c>
      <c r="C524" s="46">
        <v>73280</v>
      </c>
      <c r="D524" s="46" t="s">
        <v>152</v>
      </c>
      <c r="E524" s="46" t="s">
        <v>1758</v>
      </c>
      <c r="F524" s="46" t="s">
        <v>24</v>
      </c>
      <c r="G524" s="47">
        <v>46</v>
      </c>
      <c r="H524" s="48">
        <v>209.924</v>
      </c>
      <c r="I524" s="48">
        <v>147366.91</v>
      </c>
      <c r="J524" s="49">
        <v>702</v>
      </c>
      <c r="K524" s="49">
        <v>365</v>
      </c>
      <c r="L524" s="49">
        <v>337</v>
      </c>
    </row>
    <row r="525" spans="1:12" x14ac:dyDescent="0.25">
      <c r="A525" s="45">
        <f>C525&amp;"."&amp;IFERROR(MID(E525,FIND("(",E525)+1,FIND(")",E525)-FIND("(",E525)-1),"")</f>
      </c>
      <c r="B525" s="46" t="s">
        <v>1178</v>
      </c>
      <c r="C525" s="46">
        <v>73280</v>
      </c>
      <c r="D525" s="46" t="s">
        <v>152</v>
      </c>
      <c r="E525" s="46" t="s">
        <v>1759</v>
      </c>
      <c r="F525" s="46" t="s">
        <v>24</v>
      </c>
      <c r="G525" s="47">
        <v>46</v>
      </c>
      <c r="H525" s="48">
        <v>208.884</v>
      </c>
      <c r="I525" s="48">
        <v>34256.959</v>
      </c>
      <c r="J525" s="49">
        <v>164</v>
      </c>
      <c r="K525" s="49">
        <v>62</v>
      </c>
      <c r="L525" s="49">
        <v>102</v>
      </c>
    </row>
    <row r="526" spans="1:12" x14ac:dyDescent="0.25">
      <c r="A526" s="45">
        <f>C526&amp;"."&amp;IFERROR(MID(E526,FIND("(",E526)+1,FIND(")",E526)-FIND("(",E526)-1),"")</f>
      </c>
      <c r="B526" s="46" t="s">
        <v>1178</v>
      </c>
      <c r="C526" s="46">
        <v>73280</v>
      </c>
      <c r="D526" s="46" t="s">
        <v>152</v>
      </c>
      <c r="E526" s="46" t="s">
        <v>1760</v>
      </c>
      <c r="F526" s="46" t="s">
        <v>24</v>
      </c>
      <c r="G526" s="47">
        <v>46</v>
      </c>
      <c r="H526" s="48">
        <v>214.739</v>
      </c>
      <c r="I526" s="48">
        <v>4939.001</v>
      </c>
      <c r="J526" s="49">
        <v>23</v>
      </c>
      <c r="K526" s="49">
        <v>0</v>
      </c>
      <c r="L526" s="49">
        <v>23</v>
      </c>
    </row>
    <row r="527" spans="1:12" x14ac:dyDescent="0.25">
      <c r="A527" s="45">
        <f>C527&amp;"."&amp;IFERROR(MID(E527,FIND("(",E527)+1,FIND(")",E527)-FIND("(",E527)-1),"")</f>
      </c>
      <c r="B527" s="46" t="s">
        <v>1178</v>
      </c>
      <c r="C527" s="46">
        <v>73280</v>
      </c>
      <c r="D527" s="46" t="s">
        <v>152</v>
      </c>
      <c r="E527" s="46" t="s">
        <v>1761</v>
      </c>
      <c r="F527" s="46" t="s">
        <v>24</v>
      </c>
      <c r="G527" s="47">
        <v>46</v>
      </c>
      <c r="H527" s="48">
        <v>199.707</v>
      </c>
      <c r="I527" s="48">
        <v>64305.633</v>
      </c>
      <c r="J527" s="49">
        <v>322</v>
      </c>
      <c r="K527" s="49">
        <v>180</v>
      </c>
      <c r="L527" s="49">
        <v>142</v>
      </c>
    </row>
    <row r="528" spans="1:12" x14ac:dyDescent="0.25">
      <c r="A528" s="45">
        <f>C528&amp;"."&amp;IFERROR(MID(E528,FIND("(",E528)+1,FIND(")",E528)-FIND("(",E528)-1),"")</f>
      </c>
      <c r="B528" s="46" t="s">
        <v>1178</v>
      </c>
      <c r="C528" s="46">
        <v>73280</v>
      </c>
      <c r="D528" s="46" t="s">
        <v>152</v>
      </c>
      <c r="E528" s="46" t="s">
        <v>1762</v>
      </c>
      <c r="F528" s="46" t="s">
        <v>24</v>
      </c>
      <c r="G528" s="47">
        <v>46</v>
      </c>
      <c r="H528" s="48">
        <v>213.155</v>
      </c>
      <c r="I528" s="48">
        <v>6181.485</v>
      </c>
      <c r="J528" s="49">
        <v>29</v>
      </c>
      <c r="K528" s="49">
        <v>0</v>
      </c>
      <c r="L528" s="49">
        <v>29</v>
      </c>
    </row>
    <row r="529" spans="1:12" x14ac:dyDescent="0.25">
      <c r="A529" s="45">
        <f>C529&amp;"."&amp;IFERROR(MID(E529,FIND("(",E529)+1,FIND(")",E529)-FIND("(",E529)-1),"")</f>
      </c>
      <c r="B529" s="46" t="s">
        <v>1178</v>
      </c>
      <c r="C529" s="46">
        <v>73282</v>
      </c>
      <c r="D529" s="46" t="s">
        <v>68</v>
      </c>
      <c r="E529" s="46" t="s">
        <v>1763</v>
      </c>
      <c r="F529" s="46" t="s">
        <v>24</v>
      </c>
      <c r="G529" s="47">
        <v>42.1</v>
      </c>
      <c r="H529" s="48">
        <v>195.343</v>
      </c>
      <c r="I529" s="48">
        <v>67197.845</v>
      </c>
      <c r="J529" s="49">
        <v>344</v>
      </c>
      <c r="K529" s="49">
        <v>69</v>
      </c>
      <c r="L529" s="49">
        <v>275</v>
      </c>
    </row>
    <row r="530" spans="1:12" x14ac:dyDescent="0.25">
      <c r="A530" s="45">
        <f>C530&amp;"."&amp;IFERROR(MID(E530,FIND("(",E530)+1,FIND(")",E530)-FIND("(",E530)-1),"")</f>
      </c>
      <c r="B530" s="46" t="s">
        <v>1178</v>
      </c>
      <c r="C530" s="46">
        <v>73282</v>
      </c>
      <c r="D530" s="46" t="s">
        <v>68</v>
      </c>
      <c r="E530" s="46" t="s">
        <v>1764</v>
      </c>
      <c r="F530" s="46" t="s">
        <v>24</v>
      </c>
      <c r="G530" s="47">
        <v>42.1</v>
      </c>
      <c r="H530" s="48">
        <v>197.295</v>
      </c>
      <c r="I530" s="48">
        <v>82074.597</v>
      </c>
      <c r="J530" s="49">
        <v>416</v>
      </c>
      <c r="K530" s="49">
        <v>125</v>
      </c>
      <c r="L530" s="49">
        <v>291</v>
      </c>
    </row>
    <row r="531" spans="1:12" x14ac:dyDescent="0.25">
      <c r="A531" s="45">
        <f>C531&amp;"."&amp;IFERROR(MID(E531,FIND("(",E531)+1,FIND(")",E531)-FIND("(",E531)-1),"")</f>
      </c>
      <c r="B531" s="46" t="s">
        <v>1178</v>
      </c>
      <c r="C531" s="46">
        <v>73283</v>
      </c>
      <c r="D531" s="46" t="s">
        <v>70</v>
      </c>
      <c r="E531" s="46" t="s">
        <v>1765</v>
      </c>
      <c r="F531" s="46" t="s">
        <v>24</v>
      </c>
      <c r="G531" s="47">
        <v>31.74</v>
      </c>
      <c r="H531" s="48">
        <v>142.73</v>
      </c>
      <c r="I531" s="48">
        <v>59660.958</v>
      </c>
      <c r="J531" s="49">
        <v>418</v>
      </c>
      <c r="K531" s="49">
        <v>125</v>
      </c>
      <c r="L531" s="49">
        <v>293</v>
      </c>
    </row>
    <row r="532" spans="1:12" x14ac:dyDescent="0.25">
      <c r="A532" s="45">
        <f>C532&amp;"."&amp;IFERROR(MID(E532,FIND("(",E532)+1,FIND(")",E532)-FIND("(",E532)-1),"")</f>
      </c>
      <c r="B532" s="46" t="s">
        <v>1178</v>
      </c>
      <c r="C532" s="46">
        <v>73283</v>
      </c>
      <c r="D532" s="46" t="s">
        <v>70</v>
      </c>
      <c r="E532" s="46" t="s">
        <v>1766</v>
      </c>
      <c r="F532" s="46" t="s">
        <v>24</v>
      </c>
      <c r="G532" s="47">
        <v>31.74</v>
      </c>
      <c r="H532" s="48">
        <v>138.365</v>
      </c>
      <c r="I532" s="48">
        <v>47874.245</v>
      </c>
      <c r="J532" s="49">
        <v>346</v>
      </c>
      <c r="K532" s="49">
        <v>69</v>
      </c>
      <c r="L532" s="49">
        <v>277</v>
      </c>
    </row>
    <row r="533" spans="1:12" x14ac:dyDescent="0.25">
      <c r="A533" s="45">
        <f>C533&amp;"."&amp;IFERROR(MID(E533,FIND("(",E533)+1,FIND(")",E533)-FIND("(",E533)-1),"")</f>
      </c>
      <c r="B533" s="46" t="s">
        <v>1178</v>
      </c>
      <c r="C533" s="46">
        <v>73285</v>
      </c>
      <c r="D533" s="46" t="s">
        <v>171</v>
      </c>
      <c r="E533" s="46" t="s">
        <v>1767</v>
      </c>
      <c r="F533" s="46" t="s">
        <v>24</v>
      </c>
      <c r="G533" s="47">
        <v>44.35</v>
      </c>
      <c r="H533" s="48">
        <v>177.297</v>
      </c>
      <c r="I533" s="48">
        <v>12588.078</v>
      </c>
      <c r="J533" s="49">
        <v>71</v>
      </c>
      <c r="K533" s="49">
        <v>45</v>
      </c>
      <c r="L533" s="49">
        <v>26</v>
      </c>
    </row>
    <row r="534" spans="1:12" x14ac:dyDescent="0.25">
      <c r="A534" s="45">
        <f>C534&amp;"."&amp;IFERROR(MID(E534,FIND("(",E534)+1,FIND(")",E534)-FIND("(",E534)-1),"")</f>
      </c>
      <c r="B534" s="46" t="s">
        <v>1178</v>
      </c>
      <c r="C534" s="46">
        <v>73285</v>
      </c>
      <c r="D534" s="46" t="s">
        <v>171</v>
      </c>
      <c r="E534" s="46" t="s">
        <v>1768</v>
      </c>
      <c r="F534" s="46" t="s">
        <v>24</v>
      </c>
      <c r="G534" s="47">
        <v>44.35</v>
      </c>
      <c r="H534" s="48">
        <v>183.854</v>
      </c>
      <c r="I534" s="48">
        <v>26291.175</v>
      </c>
      <c r="J534" s="49">
        <v>143</v>
      </c>
      <c r="K534" s="49">
        <v>76</v>
      </c>
      <c r="L534" s="49">
        <v>67</v>
      </c>
    </row>
    <row r="535" spans="1:12" x14ac:dyDescent="0.25">
      <c r="A535" s="45">
        <f>C535&amp;"."&amp;IFERROR(MID(E535,FIND("(",E535)+1,FIND(")",E535)-FIND("(",E535)-1),"")</f>
      </c>
      <c r="B535" s="46" t="s">
        <v>1178</v>
      </c>
      <c r="C535" s="46">
        <v>73285</v>
      </c>
      <c r="D535" s="46" t="s">
        <v>171</v>
      </c>
      <c r="E535" s="46" t="s">
        <v>1769</v>
      </c>
      <c r="F535" s="46" t="s">
        <v>24</v>
      </c>
      <c r="G535" s="47">
        <v>44.35</v>
      </c>
      <c r="H535" s="48">
        <v>181.585</v>
      </c>
      <c r="I535" s="48">
        <v>11258.248</v>
      </c>
      <c r="J535" s="49">
        <v>62</v>
      </c>
      <c r="K535" s="49">
        <v>62</v>
      </c>
      <c r="L535" s="49">
        <v>0</v>
      </c>
    </row>
    <row r="536" spans="1:12" x14ac:dyDescent="0.25">
      <c r="A536" s="45">
        <f>C536&amp;"."&amp;IFERROR(MID(E536,FIND("(",E536)+1,FIND(")",E536)-FIND("(",E536)-1),"")</f>
      </c>
      <c r="B536" s="46" t="s">
        <v>1178</v>
      </c>
      <c r="C536" s="46">
        <v>73285</v>
      </c>
      <c r="D536" s="46" t="s">
        <v>171</v>
      </c>
      <c r="E536" s="46" t="s">
        <v>1770</v>
      </c>
      <c r="F536" s="46" t="s">
        <v>24</v>
      </c>
      <c r="G536" s="47">
        <v>44.35</v>
      </c>
      <c r="H536" s="48">
        <v>179.995</v>
      </c>
      <c r="I536" s="48">
        <v>3959.9</v>
      </c>
      <c r="J536" s="49">
        <v>22</v>
      </c>
      <c r="K536" s="49">
        <v>22</v>
      </c>
      <c r="L536" s="49">
        <v>0</v>
      </c>
    </row>
    <row r="537" spans="1:12" x14ac:dyDescent="0.25">
      <c r="A537" s="45">
        <f>C537&amp;"."&amp;IFERROR(MID(E537,FIND("(",E537)+1,FIND(")",E537)-FIND("(",E537)-1),"")</f>
      </c>
      <c r="B537" s="46" t="s">
        <v>1178</v>
      </c>
      <c r="C537" s="46">
        <v>73285</v>
      </c>
      <c r="D537" s="46" t="s">
        <v>171</v>
      </c>
      <c r="E537" s="46" t="s">
        <v>1771</v>
      </c>
      <c r="F537" s="46" t="s">
        <v>24</v>
      </c>
      <c r="G537" s="47">
        <v>44.35</v>
      </c>
      <c r="H537" s="48">
        <v>186.657</v>
      </c>
      <c r="I537" s="48">
        <v>6719.659</v>
      </c>
      <c r="J537" s="49">
        <v>36</v>
      </c>
      <c r="K537" s="49">
        <v>36</v>
      </c>
      <c r="L537" s="49">
        <v>0</v>
      </c>
    </row>
    <row r="538" spans="1:12" x14ac:dyDescent="0.25">
      <c r="A538" s="45">
        <f>C538&amp;"."&amp;IFERROR(MID(E538,FIND("(",E538)+1,FIND(")",E538)-FIND("(",E538)-1),"")</f>
      </c>
      <c r="B538" s="46" t="s">
        <v>1178</v>
      </c>
      <c r="C538" s="46">
        <v>73286</v>
      </c>
      <c r="D538" s="46" t="s">
        <v>173</v>
      </c>
      <c r="E538" s="46" t="s">
        <v>1772</v>
      </c>
      <c r="F538" s="46" t="s">
        <v>24</v>
      </c>
      <c r="G538" s="47">
        <v>42.1</v>
      </c>
      <c r="H538" s="48">
        <v>147.486</v>
      </c>
      <c r="I538" s="48">
        <v>10471.53</v>
      </c>
      <c r="J538" s="49">
        <v>71</v>
      </c>
      <c r="K538" s="49">
        <v>45</v>
      </c>
      <c r="L538" s="49">
        <v>26</v>
      </c>
    </row>
    <row r="539" spans="1:12" x14ac:dyDescent="0.25">
      <c r="A539" s="45">
        <f>C539&amp;"."&amp;IFERROR(MID(E539,FIND("(",E539)+1,FIND(")",E539)-FIND("(",E539)-1),"")</f>
      </c>
      <c r="B539" s="46" t="s">
        <v>1178</v>
      </c>
      <c r="C539" s="46">
        <v>73286</v>
      </c>
      <c r="D539" s="46" t="s">
        <v>173</v>
      </c>
      <c r="E539" s="46" t="s">
        <v>1773</v>
      </c>
      <c r="F539" s="46" t="s">
        <v>24</v>
      </c>
      <c r="G539" s="47">
        <v>42.1</v>
      </c>
      <c r="H539" s="48">
        <v>134.876</v>
      </c>
      <c r="I539" s="48">
        <v>8766.92</v>
      </c>
      <c r="J539" s="49">
        <v>65</v>
      </c>
      <c r="K539" s="49">
        <v>62</v>
      </c>
      <c r="L539" s="49">
        <v>3</v>
      </c>
    </row>
    <row r="540" spans="1:12" x14ac:dyDescent="0.25">
      <c r="A540" s="45">
        <f>C540&amp;"."&amp;IFERROR(MID(E540,FIND("(",E540)+1,FIND(")",E540)-FIND("(",E540)-1),"")</f>
      </c>
      <c r="B540" s="46" t="s">
        <v>1178</v>
      </c>
      <c r="C540" s="46">
        <v>73286</v>
      </c>
      <c r="D540" s="46" t="s">
        <v>173</v>
      </c>
      <c r="E540" s="46" t="s">
        <v>1774</v>
      </c>
      <c r="F540" s="46" t="s">
        <v>24</v>
      </c>
      <c r="G540" s="47">
        <v>42.1</v>
      </c>
      <c r="H540" s="48">
        <v>145.257</v>
      </c>
      <c r="I540" s="48">
        <v>5665.014</v>
      </c>
      <c r="J540" s="49">
        <v>39</v>
      </c>
      <c r="K540" s="49">
        <v>36</v>
      </c>
      <c r="L540" s="49">
        <v>3</v>
      </c>
    </row>
    <row r="541" spans="1:12" x14ac:dyDescent="0.25">
      <c r="A541" s="45">
        <f>C541&amp;"."&amp;IFERROR(MID(E541,FIND("(",E541)+1,FIND(")",E541)-FIND("(",E541)-1),"")</f>
      </c>
      <c r="B541" s="46" t="s">
        <v>1178</v>
      </c>
      <c r="C541" s="46">
        <v>73286</v>
      </c>
      <c r="D541" s="46" t="s">
        <v>173</v>
      </c>
      <c r="E541" s="46" t="s">
        <v>1775</v>
      </c>
      <c r="F541" s="46" t="s">
        <v>24</v>
      </c>
      <c r="G541" s="47">
        <v>42.1</v>
      </c>
      <c r="H541" s="48">
        <v>147.66</v>
      </c>
      <c r="I541" s="48">
        <v>3248.517</v>
      </c>
      <c r="J541" s="49">
        <v>22</v>
      </c>
      <c r="K541" s="49">
        <v>22</v>
      </c>
      <c r="L541" s="49">
        <v>0</v>
      </c>
    </row>
    <row r="542" spans="1:12" x14ac:dyDescent="0.25">
      <c r="A542" s="45">
        <f>C542&amp;"."&amp;IFERROR(MID(E542,FIND("(",E542)+1,FIND(")",E542)-FIND("(",E542)-1),"")</f>
      </c>
      <c r="B542" s="46" t="s">
        <v>1178</v>
      </c>
      <c r="C542" s="46">
        <v>73286</v>
      </c>
      <c r="D542" s="46" t="s">
        <v>173</v>
      </c>
      <c r="E542" s="46" t="s">
        <v>1776</v>
      </c>
      <c r="F542" s="46" t="s">
        <v>24</v>
      </c>
      <c r="G542" s="47">
        <v>42.1</v>
      </c>
      <c r="H542" s="48">
        <v>142.397</v>
      </c>
      <c r="I542" s="48">
        <v>20932.378</v>
      </c>
      <c r="J542" s="49">
        <v>147</v>
      </c>
      <c r="K542" s="49">
        <v>75</v>
      </c>
      <c r="L542" s="49">
        <v>72</v>
      </c>
    </row>
    <row r="543" spans="1:12" x14ac:dyDescent="0.25">
      <c r="A543" s="45">
        <f>C543&amp;"."&amp;IFERROR(MID(E543,FIND("(",E543)+1,FIND(")",E543)-FIND("(",E543)-1),"")</f>
      </c>
      <c r="B543" s="46" t="s">
        <v>1178</v>
      </c>
      <c r="C543" s="46">
        <v>73290</v>
      </c>
      <c r="D543" s="46" t="s">
        <v>1777</v>
      </c>
      <c r="E543" s="46" t="s">
        <v>1248</v>
      </c>
      <c r="F543" s="46" t="s">
        <v>1495</v>
      </c>
      <c r="G543" s="47">
        <v>0</v>
      </c>
      <c r="H543" s="48">
        <v>0.022</v>
      </c>
      <c r="I543" s="48">
        <v>2.531</v>
      </c>
      <c r="J543" s="49">
        <v>113</v>
      </c>
      <c r="K543" s="49">
        <v>0</v>
      </c>
      <c r="L543" s="49">
        <v>113</v>
      </c>
    </row>
    <row r="544" spans="1:12" x14ac:dyDescent="0.25">
      <c r="A544" s="45">
        <f>C544&amp;"."&amp;IFERROR(MID(E544,FIND("(",E544)+1,FIND(")",E544)-FIND("(",E544)-1),"")</f>
      </c>
      <c r="B544" s="46" t="s">
        <v>1178</v>
      </c>
      <c r="C544" s="46">
        <v>73295</v>
      </c>
      <c r="D544" s="46" t="s">
        <v>1778</v>
      </c>
      <c r="E544" s="46" t="s">
        <v>1248</v>
      </c>
      <c r="F544" s="46" t="s">
        <v>1495</v>
      </c>
      <c r="G544" s="47">
        <v>0.4</v>
      </c>
      <c r="H544" s="48">
        <v>0.012</v>
      </c>
      <c r="I544" s="48">
        <v>0.213</v>
      </c>
      <c r="J544" s="49">
        <v>18</v>
      </c>
      <c r="K544" s="49">
        <v>1</v>
      </c>
      <c r="L544" s="49">
        <v>17</v>
      </c>
    </row>
    <row r="545" spans="1:12" x14ac:dyDescent="0.25">
      <c r="A545" s="45">
        <f>C545&amp;"."&amp;IFERROR(MID(E545,FIND("(",E545)+1,FIND(")",E545)-FIND("(",E545)-1),"")</f>
      </c>
      <c r="B545" s="46" t="s">
        <v>1178</v>
      </c>
      <c r="C545" s="46">
        <v>73296</v>
      </c>
      <c r="D545" s="46" t="s">
        <v>1779</v>
      </c>
      <c r="E545" s="46" t="s">
        <v>1248</v>
      </c>
      <c r="F545" s="46" t="s">
        <v>1495</v>
      </c>
      <c r="G545" s="47">
        <v>0</v>
      </c>
      <c r="H545" s="48">
        <v>0.014</v>
      </c>
      <c r="I545" s="48">
        <v>4.471</v>
      </c>
      <c r="J545" s="49">
        <v>324</v>
      </c>
      <c r="K545" s="49">
        <v>0</v>
      </c>
      <c r="L545" s="49">
        <v>324</v>
      </c>
    </row>
    <row r="546" spans="1:12" x14ac:dyDescent="0.25">
      <c r="A546" s="45">
        <f>C546&amp;"."&amp;IFERROR(MID(E546,FIND("(",E546)+1,FIND(")",E546)-FIND("(",E546)-1),"")</f>
      </c>
      <c r="B546" s="46" t="s">
        <v>1178</v>
      </c>
      <c r="C546" s="46">
        <v>73297</v>
      </c>
      <c r="D546" s="46" t="s">
        <v>1780</v>
      </c>
      <c r="E546" s="46" t="s">
        <v>1248</v>
      </c>
      <c r="F546" s="46" t="s">
        <v>1495</v>
      </c>
      <c r="G546" s="47">
        <v>1.2</v>
      </c>
      <c r="H546" s="48">
        <v>0.017</v>
      </c>
      <c r="I546" s="48">
        <v>1.142</v>
      </c>
      <c r="J546" s="49">
        <v>68</v>
      </c>
      <c r="K546" s="49">
        <v>0</v>
      </c>
      <c r="L546" s="49">
        <v>68</v>
      </c>
    </row>
    <row r="547" spans="1:12" x14ac:dyDescent="0.25">
      <c r="A547" s="45">
        <f>C547&amp;"."&amp;IFERROR(MID(E547,FIND("(",E547)+1,FIND(")",E547)-FIND("(",E547)-1),"")</f>
      </c>
      <c r="B547" s="46" t="s">
        <v>1178</v>
      </c>
      <c r="C547" s="46">
        <v>73298</v>
      </c>
      <c r="D547" s="46" t="s">
        <v>1781</v>
      </c>
      <c r="E547" s="46" t="s">
        <v>1248</v>
      </c>
      <c r="F547" s="46" t="s">
        <v>1495</v>
      </c>
      <c r="G547" s="47">
        <v>0</v>
      </c>
      <c r="H547" s="48">
        <v>0.059</v>
      </c>
      <c r="I547" s="48">
        <v>4.712</v>
      </c>
      <c r="J547" s="49">
        <v>80</v>
      </c>
      <c r="K547" s="49">
        <v>0</v>
      </c>
      <c r="L547" s="49">
        <v>80</v>
      </c>
    </row>
    <row r="548" spans="1:12" x14ac:dyDescent="0.25">
      <c r="A548" s="45">
        <f>C548&amp;"."&amp;IFERROR(MID(E548,FIND("(",E548)+1,FIND(")",E548)-FIND("(",E548)-1),"")</f>
      </c>
      <c r="B548" s="46" t="s">
        <v>1178</v>
      </c>
      <c r="C548" s="46">
        <v>73299</v>
      </c>
      <c r="D548" s="46" t="s">
        <v>1782</v>
      </c>
      <c r="E548" s="46" t="s">
        <v>1248</v>
      </c>
      <c r="F548" s="46" t="s">
        <v>1495</v>
      </c>
      <c r="G548" s="47">
        <v>0</v>
      </c>
      <c r="H548" s="48">
        <v>0.019</v>
      </c>
      <c r="I548" s="48">
        <v>1.523</v>
      </c>
      <c r="J548" s="49">
        <v>81</v>
      </c>
      <c r="K548" s="49">
        <v>0</v>
      </c>
      <c r="L548" s="49">
        <v>81</v>
      </c>
    </row>
    <row r="549" spans="1:12" x14ac:dyDescent="0.25">
      <c r="A549" s="45">
        <f>C549&amp;"."&amp;IFERROR(MID(E549,FIND("(",E549)+1,FIND(")",E549)-FIND("(",E549)-1),"")</f>
      </c>
      <c r="B549" s="46" t="s">
        <v>1178</v>
      </c>
      <c r="C549" s="46">
        <v>73300</v>
      </c>
      <c r="D549" s="46" t="s">
        <v>1783</v>
      </c>
      <c r="E549" s="46" t="s">
        <v>1248</v>
      </c>
      <c r="F549" s="46" t="s">
        <v>1495</v>
      </c>
      <c r="G549" s="47">
        <v>0.7</v>
      </c>
      <c r="H549" s="48">
        <v>0.062</v>
      </c>
      <c r="I549" s="48">
        <v>1.682</v>
      </c>
      <c r="J549" s="49">
        <v>27</v>
      </c>
      <c r="K549" s="49">
        <v>5</v>
      </c>
      <c r="L549" s="49">
        <v>22</v>
      </c>
    </row>
    <row r="550" spans="1:12" x14ac:dyDescent="0.25">
      <c r="A550" s="45">
        <f>C550&amp;"."&amp;IFERROR(MID(E550,FIND("(",E550)+1,FIND(")",E550)-FIND("(",E550)-1),"")</f>
      </c>
      <c r="B550" s="46" t="s">
        <v>1178</v>
      </c>
      <c r="C550" s="46">
        <v>73315</v>
      </c>
      <c r="D550" s="46" t="s">
        <v>1784</v>
      </c>
      <c r="E550" s="46" t="s">
        <v>1248</v>
      </c>
      <c r="F550" s="46" t="s">
        <v>1495</v>
      </c>
      <c r="G550" s="47">
        <v>9.6</v>
      </c>
      <c r="H550" s="48">
        <v>58.173</v>
      </c>
      <c r="I550" s="48">
        <v>523.556</v>
      </c>
      <c r="J550" s="49">
        <v>9</v>
      </c>
      <c r="K550" s="49">
        <v>7</v>
      </c>
      <c r="L550" s="49">
        <v>2</v>
      </c>
    </row>
    <row r="551" spans="1:12" x14ac:dyDescent="0.25">
      <c r="A551" s="45">
        <f>C551&amp;"."&amp;IFERROR(MID(E551,FIND("(",E551)+1,FIND(")",E551)-FIND("(",E551)-1),"")</f>
      </c>
      <c r="B551" s="46" t="s">
        <v>1178</v>
      </c>
      <c r="C551" s="46">
        <v>73316</v>
      </c>
      <c r="D551" s="46" t="s">
        <v>1785</v>
      </c>
      <c r="E551" s="46" t="s">
        <v>1248</v>
      </c>
      <c r="F551" s="46" t="s">
        <v>1495</v>
      </c>
      <c r="G551" s="47">
        <v>0</v>
      </c>
      <c r="H551" s="48">
        <v>111.472</v>
      </c>
      <c r="I551" s="48">
        <v>2229.448</v>
      </c>
      <c r="J551" s="49">
        <v>20</v>
      </c>
      <c r="K551" s="49">
        <v>1</v>
      </c>
      <c r="L551" s="49">
        <v>19</v>
      </c>
    </row>
    <row r="552" spans="1:12" x14ac:dyDescent="0.25">
      <c r="A552" s="45">
        <f>C552&amp;"."&amp;IFERROR(MID(E552,FIND("(",E552)+1,FIND(")",E552)-FIND("(",E552)-1),"")</f>
      </c>
      <c r="B552" s="46" t="s">
        <v>1178</v>
      </c>
      <c r="C552" s="46">
        <v>73320</v>
      </c>
      <c r="D552" s="46" t="s">
        <v>1786</v>
      </c>
      <c r="E552" s="46" t="s">
        <v>1248</v>
      </c>
      <c r="F552" s="46" t="s">
        <v>1495</v>
      </c>
      <c r="G552" s="47">
        <v>12.68</v>
      </c>
      <c r="H552" s="48">
        <v>79.039</v>
      </c>
      <c r="I552" s="48">
        <v>237.116</v>
      </c>
      <c r="J552" s="49">
        <v>3</v>
      </c>
      <c r="K552" s="49">
        <v>1</v>
      </c>
      <c r="L552" s="49">
        <v>2</v>
      </c>
    </row>
    <row r="553" spans="1:12" x14ac:dyDescent="0.25">
      <c r="A553" s="45">
        <f>C553&amp;"."&amp;IFERROR(MID(E553,FIND("(",E553)+1,FIND(")",E553)-FIND("(",E553)-1),"")</f>
      </c>
      <c r="B553" s="46" t="s">
        <v>1178</v>
      </c>
      <c r="C553" s="46">
        <v>73321</v>
      </c>
      <c r="D553" s="46" t="s">
        <v>1787</v>
      </c>
      <c r="E553" s="46" t="s">
        <v>1248</v>
      </c>
      <c r="F553" s="46" t="s">
        <v>1495</v>
      </c>
      <c r="G553" s="47">
        <v>15.3</v>
      </c>
      <c r="H553" s="48">
        <v>108.76</v>
      </c>
      <c r="I553" s="48">
        <v>1848.918</v>
      </c>
      <c r="J553" s="49">
        <v>17</v>
      </c>
      <c r="K553" s="49">
        <v>6</v>
      </c>
      <c r="L553" s="49">
        <v>11</v>
      </c>
    </row>
    <row r="554" spans="1:12" x14ac:dyDescent="0.25">
      <c r="A554" s="45">
        <f>C554&amp;"."&amp;IFERROR(MID(E554,FIND("(",E554)+1,FIND(")",E554)-FIND("(",E554)-1),"")</f>
      </c>
      <c r="B554" s="46" t="s">
        <v>1178</v>
      </c>
      <c r="C554" s="46">
        <v>73328</v>
      </c>
      <c r="D554" s="46" t="s">
        <v>1788</v>
      </c>
      <c r="E554" s="46" t="s">
        <v>1248</v>
      </c>
      <c r="F554" s="46" t="s">
        <v>1495</v>
      </c>
      <c r="G554" s="47">
        <v>16.9</v>
      </c>
      <c r="H554" s="48">
        <v>119.433</v>
      </c>
      <c r="I554" s="48">
        <v>238.867</v>
      </c>
      <c r="J554" s="49">
        <v>2</v>
      </c>
      <c r="K554" s="49">
        <v>0</v>
      </c>
      <c r="L554" s="49">
        <v>2</v>
      </c>
    </row>
    <row r="555" spans="1:12" x14ac:dyDescent="0.25">
      <c r="A555" s="45">
        <f>C555&amp;"."&amp;IFERROR(MID(E555,FIND("(",E555)+1,FIND(")",E555)-FIND("(",E555)-1),"")</f>
      </c>
      <c r="B555" s="46" t="s">
        <v>1178</v>
      </c>
      <c r="C555" s="46">
        <v>73329</v>
      </c>
      <c r="D555" s="46" t="s">
        <v>1789</v>
      </c>
      <c r="E555" s="46" t="s">
        <v>1248</v>
      </c>
      <c r="F555" s="46" t="s">
        <v>1495</v>
      </c>
      <c r="G555" s="47">
        <v>8.1</v>
      </c>
      <c r="H555" s="48">
        <v>60.541</v>
      </c>
      <c r="I555" s="48">
        <v>181.623</v>
      </c>
      <c r="J555" s="49">
        <v>3</v>
      </c>
      <c r="K555" s="49">
        <v>0</v>
      </c>
      <c r="L555" s="49">
        <v>3</v>
      </c>
    </row>
    <row r="556" spans="1:12" x14ac:dyDescent="0.25">
      <c r="A556" s="45">
        <f>C556&amp;"."&amp;IFERROR(MID(E556,FIND("(",E556)+1,FIND(")",E556)-FIND("(",E556)-1),"")</f>
      </c>
      <c r="B556" s="46" t="s">
        <v>1178</v>
      </c>
      <c r="C556" s="46">
        <v>73341</v>
      </c>
      <c r="D556" s="46" t="s">
        <v>1790</v>
      </c>
      <c r="E556" s="46" t="s">
        <v>1248</v>
      </c>
      <c r="F556" s="46" t="s">
        <v>1495</v>
      </c>
      <c r="G556" s="47">
        <v>10</v>
      </c>
      <c r="H556" s="48">
        <v>62.966</v>
      </c>
      <c r="I556" s="48">
        <v>503.728</v>
      </c>
      <c r="J556" s="49">
        <v>8</v>
      </c>
      <c r="K556" s="49">
        <v>0</v>
      </c>
      <c r="L556" s="49">
        <v>8</v>
      </c>
    </row>
    <row r="557" spans="1:12" x14ac:dyDescent="0.25">
      <c r="A557" s="45">
        <f>C557&amp;"."&amp;IFERROR(MID(E557,FIND("(",E557)+1,FIND(")",E557)-FIND("(",E557)-1),"")</f>
      </c>
      <c r="B557" s="46" t="s">
        <v>1178</v>
      </c>
      <c r="C557" s="46">
        <v>73343</v>
      </c>
      <c r="D557" s="46" t="s">
        <v>252</v>
      </c>
      <c r="E557" s="46" t="s">
        <v>1791</v>
      </c>
      <c r="F557" s="46" t="s">
        <v>25</v>
      </c>
      <c r="G557" s="47">
        <v>17</v>
      </c>
      <c r="H557" s="48">
        <v>65.029</v>
      </c>
      <c r="I557" s="48">
        <v>4552.014</v>
      </c>
      <c r="J557" s="49">
        <v>70</v>
      </c>
      <c r="K557" s="49">
        <v>10</v>
      </c>
      <c r="L557" s="49">
        <v>60</v>
      </c>
    </row>
    <row r="558" spans="1:12" x14ac:dyDescent="0.25">
      <c r="A558" s="45">
        <f>C558&amp;"."&amp;IFERROR(MID(E558,FIND("(",E558)+1,FIND(")",E558)-FIND("(",E558)-1),"")</f>
      </c>
      <c r="B558" s="46" t="s">
        <v>1178</v>
      </c>
      <c r="C558" s="46">
        <v>73344</v>
      </c>
      <c r="D558" s="46" t="s">
        <v>1046</v>
      </c>
      <c r="E558" s="46" t="s">
        <v>1792</v>
      </c>
      <c r="F558" s="46" t="s">
        <v>25</v>
      </c>
      <c r="G558" s="47">
        <v>22.5</v>
      </c>
      <c r="H558" s="48">
        <v>109.123</v>
      </c>
      <c r="I558" s="48">
        <v>39284.128</v>
      </c>
      <c r="J558" s="49">
        <v>360</v>
      </c>
      <c r="K558" s="49">
        <v>242</v>
      </c>
      <c r="L558" s="49">
        <v>118</v>
      </c>
    </row>
    <row r="559" spans="1:12" x14ac:dyDescent="0.25">
      <c r="A559" s="45">
        <f>C559&amp;"."&amp;IFERROR(MID(E559,FIND("(",E559)+1,FIND(")",E559)-FIND("(",E559)-1),"")</f>
      </c>
      <c r="B559" s="46" t="s">
        <v>1178</v>
      </c>
      <c r="C559" s="46">
        <v>73345</v>
      </c>
      <c r="D559" s="46" t="s">
        <v>688</v>
      </c>
      <c r="E559" s="46" t="s">
        <v>1793</v>
      </c>
      <c r="F559" s="46" t="s">
        <v>25</v>
      </c>
      <c r="G559" s="47">
        <v>12.15</v>
      </c>
      <c r="H559" s="48">
        <v>97.405</v>
      </c>
      <c r="I559" s="48">
        <v>876.642</v>
      </c>
      <c r="J559" s="49">
        <v>9</v>
      </c>
      <c r="K559" s="49">
        <v>7</v>
      </c>
      <c r="L559" s="49">
        <v>2</v>
      </c>
    </row>
    <row r="560" spans="1:12" x14ac:dyDescent="0.25">
      <c r="A560" s="45">
        <f>C560&amp;"."&amp;IFERROR(MID(E560,FIND("(",E560)+1,FIND(")",E560)-FIND("(",E560)-1),"")</f>
      </c>
      <c r="B560" s="46" t="s">
        <v>1178</v>
      </c>
      <c r="C560" s="46">
        <v>73346</v>
      </c>
      <c r="D560" s="46" t="s">
        <v>920</v>
      </c>
      <c r="E560" s="46" t="s">
        <v>1794</v>
      </c>
      <c r="F560" s="46" t="s">
        <v>25</v>
      </c>
      <c r="G560" s="47">
        <v>20.15</v>
      </c>
      <c r="H560" s="48">
        <v>163.767</v>
      </c>
      <c r="I560" s="48">
        <v>4749.252</v>
      </c>
      <c r="J560" s="49">
        <v>29</v>
      </c>
      <c r="K560" s="49">
        <v>29</v>
      </c>
      <c r="L560" s="49">
        <v>0</v>
      </c>
    </row>
    <row r="561" spans="1:12" x14ac:dyDescent="0.25">
      <c r="A561" s="45">
        <f>C561&amp;"."&amp;IFERROR(MID(E561,FIND("(",E561)+1,FIND(")",E561)-FIND("(",E561)-1),"")</f>
      </c>
      <c r="B561" s="46" t="s">
        <v>1178</v>
      </c>
      <c r="C561" s="46">
        <v>73347</v>
      </c>
      <c r="D561" s="46" t="s">
        <v>910</v>
      </c>
      <c r="E561" s="46" t="s">
        <v>1795</v>
      </c>
      <c r="F561" s="46" t="s">
        <v>25</v>
      </c>
      <c r="G561" s="47">
        <v>13</v>
      </c>
      <c r="H561" s="48">
        <v>66.606</v>
      </c>
      <c r="I561" s="48">
        <v>3330.32</v>
      </c>
      <c r="J561" s="49">
        <v>50</v>
      </c>
      <c r="K561" s="49">
        <v>0</v>
      </c>
      <c r="L561" s="49">
        <v>50</v>
      </c>
    </row>
    <row r="562" spans="1:12" x14ac:dyDescent="0.25">
      <c r="A562" s="45">
        <f>C562&amp;"."&amp;IFERROR(MID(E562,FIND("(",E562)+1,FIND(")",E562)-FIND("(",E562)-1),"")</f>
      </c>
      <c r="B562" s="46" t="s">
        <v>1178</v>
      </c>
      <c r="C562" s="46">
        <v>73347</v>
      </c>
      <c r="D562" s="46" t="s">
        <v>910</v>
      </c>
      <c r="E562" s="46" t="s">
        <v>1796</v>
      </c>
      <c r="F562" s="46" t="s">
        <v>25</v>
      </c>
      <c r="G562" s="47">
        <v>13</v>
      </c>
      <c r="H562" s="48">
        <v>64.303</v>
      </c>
      <c r="I562" s="48">
        <v>5015.606</v>
      </c>
      <c r="J562" s="49">
        <v>78</v>
      </c>
      <c r="K562" s="49">
        <v>67</v>
      </c>
      <c r="L562" s="49">
        <v>11</v>
      </c>
    </row>
    <row r="563" spans="1:12" x14ac:dyDescent="0.25">
      <c r="A563" s="45">
        <f>C563&amp;"."&amp;IFERROR(MID(E563,FIND("(",E563)+1,FIND(")",E563)-FIND("(",E563)-1),"")</f>
      </c>
      <c r="B563" s="46" t="s">
        <v>1178</v>
      </c>
      <c r="C563" s="46">
        <v>73347</v>
      </c>
      <c r="D563" s="46" t="s">
        <v>910</v>
      </c>
      <c r="E563" s="46" t="s">
        <v>1797</v>
      </c>
      <c r="F563" s="46" t="s">
        <v>25</v>
      </c>
      <c r="G563" s="47">
        <v>13</v>
      </c>
      <c r="H563" s="48">
        <v>84.173</v>
      </c>
      <c r="I563" s="48">
        <v>3956.15</v>
      </c>
      <c r="J563" s="49">
        <v>47</v>
      </c>
      <c r="K563" s="49">
        <v>16</v>
      </c>
      <c r="L563" s="49">
        <v>31</v>
      </c>
    </row>
    <row r="564" spans="1:12" x14ac:dyDescent="0.25">
      <c r="A564" s="45">
        <f>C564&amp;"."&amp;IFERROR(MID(E564,FIND("(",E564)+1,FIND(")",E564)-FIND("(",E564)-1),"")</f>
      </c>
      <c r="B564" s="46" t="s">
        <v>1178</v>
      </c>
      <c r="C564" s="46">
        <v>73348</v>
      </c>
      <c r="D564" s="46" t="s">
        <v>779</v>
      </c>
      <c r="E564" s="46" t="s">
        <v>1798</v>
      </c>
      <c r="F564" s="46" t="s">
        <v>25</v>
      </c>
      <c r="G564" s="47">
        <v>22.5</v>
      </c>
      <c r="H564" s="48">
        <v>128.805</v>
      </c>
      <c r="I564" s="48">
        <v>61440.207</v>
      </c>
      <c r="J564" s="49">
        <v>477</v>
      </c>
      <c r="K564" s="49">
        <v>477</v>
      </c>
      <c r="L564" s="49">
        <v>0</v>
      </c>
    </row>
    <row r="565" spans="1:12" x14ac:dyDescent="0.25">
      <c r="A565" s="45">
        <f>C565&amp;"."&amp;IFERROR(MID(E565,FIND("(",E565)+1,FIND(")",E565)-FIND("(",E565)-1),"")</f>
      </c>
      <c r="B565" s="46" t="s">
        <v>1178</v>
      </c>
      <c r="C565" s="46">
        <v>73349</v>
      </c>
      <c r="D565" s="46" t="s">
        <v>994</v>
      </c>
      <c r="E565" s="46" t="s">
        <v>1799</v>
      </c>
      <c r="F565" s="46" t="s">
        <v>25</v>
      </c>
      <c r="G565" s="47">
        <v>21.5</v>
      </c>
      <c r="H565" s="48">
        <v>112.202</v>
      </c>
      <c r="I565" s="48">
        <v>9873.819</v>
      </c>
      <c r="J565" s="49">
        <v>88</v>
      </c>
      <c r="K565" s="49">
        <v>5</v>
      </c>
      <c r="L565" s="49">
        <v>83</v>
      </c>
    </row>
    <row r="566" spans="1:12" x14ac:dyDescent="0.25">
      <c r="A566" s="45">
        <f>C566&amp;"."&amp;IFERROR(MID(E566,FIND("(",E566)+1,FIND(")",E566)-FIND("(",E566)-1),"")</f>
      </c>
      <c r="B566" s="46" t="s">
        <v>1178</v>
      </c>
      <c r="C566" s="46">
        <v>73350</v>
      </c>
      <c r="D566" s="46" t="s">
        <v>618</v>
      </c>
      <c r="E566" s="46" t="s">
        <v>1800</v>
      </c>
      <c r="F566" s="46" t="s">
        <v>25</v>
      </c>
      <c r="G566" s="47">
        <v>34.12</v>
      </c>
      <c r="H566" s="48">
        <v>175.929</v>
      </c>
      <c r="I566" s="48">
        <v>11611.305</v>
      </c>
      <c r="J566" s="49">
        <v>66</v>
      </c>
      <c r="K566" s="49">
        <v>66</v>
      </c>
      <c r="L566" s="49">
        <v>0</v>
      </c>
    </row>
    <row r="567" spans="1:12" x14ac:dyDescent="0.25">
      <c r="A567" s="45">
        <f>C567&amp;"."&amp;IFERROR(MID(E567,FIND("(",E567)+1,FIND(")",E567)-FIND("(",E567)-1),"")</f>
      </c>
      <c r="B567" s="46" t="s">
        <v>1178</v>
      </c>
      <c r="C567" s="46">
        <v>73351</v>
      </c>
      <c r="D567" s="46" t="s">
        <v>319</v>
      </c>
      <c r="E567" s="46" t="s">
        <v>1801</v>
      </c>
      <c r="F567" s="46" t="s">
        <v>25</v>
      </c>
      <c r="G567" s="47">
        <v>27</v>
      </c>
      <c r="H567" s="48">
        <v>133.742</v>
      </c>
      <c r="I567" s="48">
        <v>9228.18</v>
      </c>
      <c r="J567" s="49">
        <v>69</v>
      </c>
      <c r="K567" s="49">
        <v>25</v>
      </c>
      <c r="L567" s="49">
        <v>44</v>
      </c>
    </row>
    <row r="568" spans="1:12" x14ac:dyDescent="0.25">
      <c r="A568" s="45">
        <f>C568&amp;"."&amp;IFERROR(MID(E568,FIND("(",E568)+1,FIND(")",E568)-FIND("(",E568)-1),"")</f>
      </c>
      <c r="B568" s="46" t="s">
        <v>1178</v>
      </c>
      <c r="C568" s="46">
        <v>73351</v>
      </c>
      <c r="D568" s="46" t="s">
        <v>319</v>
      </c>
      <c r="E568" s="46" t="s">
        <v>1802</v>
      </c>
      <c r="F568" s="46" t="s">
        <v>25</v>
      </c>
      <c r="G568" s="47">
        <v>27</v>
      </c>
      <c r="H568" s="48">
        <v>118.507</v>
      </c>
      <c r="I568" s="48">
        <v>14813.317</v>
      </c>
      <c r="J568" s="49">
        <v>125</v>
      </c>
      <c r="K568" s="49">
        <v>34</v>
      </c>
      <c r="L568" s="49">
        <v>91</v>
      </c>
    </row>
    <row r="569" spans="1:12" x14ac:dyDescent="0.25">
      <c r="A569" s="45">
        <f>C569&amp;"."&amp;IFERROR(MID(E569,FIND("(",E569)+1,FIND(")",E569)-FIND("(",E569)-1),"")</f>
      </c>
      <c r="B569" s="46" t="s">
        <v>1178</v>
      </c>
      <c r="C569" s="46">
        <v>73351</v>
      </c>
      <c r="D569" s="46" t="s">
        <v>319</v>
      </c>
      <c r="E569" s="46" t="s">
        <v>1803</v>
      </c>
      <c r="F569" s="46" t="s">
        <v>25</v>
      </c>
      <c r="G569" s="47">
        <v>27</v>
      </c>
      <c r="H569" s="48">
        <v>134.882</v>
      </c>
      <c r="I569" s="48">
        <v>269.763</v>
      </c>
      <c r="J569" s="49">
        <v>2</v>
      </c>
      <c r="K569" s="49">
        <v>0</v>
      </c>
      <c r="L569" s="49">
        <v>2</v>
      </c>
    </row>
    <row r="570" spans="1:12" x14ac:dyDescent="0.25">
      <c r="A570" s="45">
        <f>C570&amp;"."&amp;IFERROR(MID(E570,FIND("(",E570)+1,FIND(")",E570)-FIND("(",E570)-1),"")</f>
      </c>
      <c r="B570" s="46" t="s">
        <v>1178</v>
      </c>
      <c r="C570" s="46">
        <v>73352</v>
      </c>
      <c r="D570" s="46" t="s">
        <v>175</v>
      </c>
      <c r="E570" s="46" t="s">
        <v>1804</v>
      </c>
      <c r="F570" s="46" t="s">
        <v>25</v>
      </c>
      <c r="G570" s="47">
        <v>42.08</v>
      </c>
      <c r="H570" s="48">
        <v>219.197</v>
      </c>
      <c r="I570" s="48">
        <v>190481.914</v>
      </c>
      <c r="J570" s="49">
        <v>869</v>
      </c>
      <c r="K570" s="49">
        <v>559</v>
      </c>
      <c r="L570" s="49">
        <v>310</v>
      </c>
    </row>
    <row r="571" spans="1:12" x14ac:dyDescent="0.25">
      <c r="A571" s="45">
        <f>C571&amp;"."&amp;IFERROR(MID(E571,FIND("(",E571)+1,FIND(")",E571)-FIND("(",E571)-1),"")</f>
      </c>
      <c r="B571" s="46" t="s">
        <v>1178</v>
      </c>
      <c r="C571" s="46">
        <v>73354</v>
      </c>
      <c r="D571" s="46" t="s">
        <v>872</v>
      </c>
      <c r="E571" s="46" t="s">
        <v>1805</v>
      </c>
      <c r="F571" s="46" t="s">
        <v>25</v>
      </c>
      <c r="G571" s="47">
        <v>44.55</v>
      </c>
      <c r="H571" s="48">
        <v>270.286</v>
      </c>
      <c r="I571" s="48">
        <v>2702.859</v>
      </c>
      <c r="J571" s="49">
        <v>10</v>
      </c>
      <c r="K571" s="49">
        <v>1</v>
      </c>
      <c r="L571" s="49">
        <v>9</v>
      </c>
    </row>
    <row r="572" spans="1:12" x14ac:dyDescent="0.25">
      <c r="A572" s="45">
        <f>C572&amp;"."&amp;IFERROR(MID(E572,FIND("(",E572)+1,FIND(")",E572)-FIND("(",E572)-1),"")</f>
      </c>
      <c r="B572" s="46" t="s">
        <v>1178</v>
      </c>
      <c r="C572" s="46">
        <v>73355</v>
      </c>
      <c r="D572" s="46" t="s">
        <v>72</v>
      </c>
      <c r="E572" s="46" t="s">
        <v>1806</v>
      </c>
      <c r="F572" s="46" t="s">
        <v>25</v>
      </c>
      <c r="G572" s="47">
        <v>29.88</v>
      </c>
      <c r="H572" s="48">
        <v>156.434</v>
      </c>
      <c r="I572" s="48">
        <v>19241.367</v>
      </c>
      <c r="J572" s="49">
        <v>123</v>
      </c>
      <c r="K572" s="49">
        <v>7</v>
      </c>
      <c r="L572" s="49">
        <v>116</v>
      </c>
    </row>
    <row r="573" spans="1:12" x14ac:dyDescent="0.25">
      <c r="A573" s="45">
        <f>C573&amp;"."&amp;IFERROR(MID(E573,FIND("(",E573)+1,FIND(")",E573)-FIND("(",E573)-1),"")</f>
      </c>
      <c r="B573" s="46" t="s">
        <v>1178</v>
      </c>
      <c r="C573" s="46">
        <v>73356</v>
      </c>
      <c r="D573" s="46" t="s">
        <v>547</v>
      </c>
      <c r="E573" s="46" t="s">
        <v>1248</v>
      </c>
      <c r="F573" s="46" t="s">
        <v>25</v>
      </c>
      <c r="G573" s="47">
        <v>23.34</v>
      </c>
      <c r="H573" s="48">
        <v>121.46</v>
      </c>
      <c r="I573" s="48">
        <v>17004.414</v>
      </c>
      <c r="J573" s="49">
        <v>140</v>
      </c>
      <c r="K573" s="49">
        <v>7</v>
      </c>
      <c r="L573" s="49">
        <v>133</v>
      </c>
    </row>
    <row r="574" spans="1:12" x14ac:dyDescent="0.25">
      <c r="A574" s="45">
        <f>C574&amp;"."&amp;IFERROR(MID(E574,FIND("(",E574)+1,FIND(")",E574)-FIND("(",E574)-1),"")</f>
      </c>
      <c r="B574" s="46" t="s">
        <v>1178</v>
      </c>
      <c r="C574" s="46">
        <v>73364</v>
      </c>
      <c r="D574" s="46" t="s">
        <v>612</v>
      </c>
      <c r="E574" s="46" t="s">
        <v>1807</v>
      </c>
      <c r="F574" s="46" t="s">
        <v>25</v>
      </c>
      <c r="G574" s="47">
        <v>15.7</v>
      </c>
      <c r="H574" s="48">
        <v>71.781</v>
      </c>
      <c r="I574" s="48">
        <v>25482.343</v>
      </c>
      <c r="J574" s="49">
        <v>355</v>
      </c>
      <c r="K574" s="49">
        <v>109</v>
      </c>
      <c r="L574" s="49">
        <v>246</v>
      </c>
    </row>
    <row r="575" spans="1:12" x14ac:dyDescent="0.25">
      <c r="A575" s="45">
        <f>C575&amp;"."&amp;IFERROR(MID(E575,FIND("(",E575)+1,FIND(")",E575)-FIND("(",E575)-1),"")</f>
      </c>
      <c r="B575" s="46" t="s">
        <v>1178</v>
      </c>
      <c r="C575" s="46">
        <v>73366</v>
      </c>
      <c r="D575" s="46" t="s">
        <v>466</v>
      </c>
      <c r="E575" s="46" t="s">
        <v>1808</v>
      </c>
      <c r="F575" s="46" t="s">
        <v>25</v>
      </c>
      <c r="G575" s="47">
        <v>16.65</v>
      </c>
      <c r="H575" s="48">
        <v>71.284</v>
      </c>
      <c r="I575" s="48">
        <v>855.408</v>
      </c>
      <c r="J575" s="49">
        <v>12</v>
      </c>
      <c r="K575" s="49">
        <v>5</v>
      </c>
      <c r="L575" s="49">
        <v>7</v>
      </c>
    </row>
    <row r="576" spans="1:12" x14ac:dyDescent="0.25">
      <c r="A576" s="45">
        <f>C576&amp;"."&amp;IFERROR(MID(E576,FIND("(",E576)+1,FIND(")",E576)-FIND("(",E576)-1),"")</f>
      </c>
      <c r="B576" s="46" t="s">
        <v>1178</v>
      </c>
      <c r="C576" s="46">
        <v>73371</v>
      </c>
      <c r="D576" s="46" t="s">
        <v>317</v>
      </c>
      <c r="E576" s="46" t="s">
        <v>1809</v>
      </c>
      <c r="F576" s="46" t="s">
        <v>25</v>
      </c>
      <c r="G576" s="47">
        <v>18.15</v>
      </c>
      <c r="H576" s="48">
        <v>71.773</v>
      </c>
      <c r="I576" s="48">
        <v>58566.94</v>
      </c>
      <c r="J576" s="49">
        <v>816</v>
      </c>
      <c r="K576" s="49">
        <v>407</v>
      </c>
      <c r="L576" s="49">
        <v>409</v>
      </c>
    </row>
    <row r="577" spans="1:12" x14ac:dyDescent="0.25">
      <c r="A577" s="45">
        <f>C577&amp;"."&amp;IFERROR(MID(E577,FIND("(",E577)+1,FIND(")",E577)-FIND("(",E577)-1),"")</f>
      </c>
      <c r="B577" s="46" t="s">
        <v>1178</v>
      </c>
      <c r="C577" s="46">
        <v>73371</v>
      </c>
      <c r="D577" s="46" t="s">
        <v>317</v>
      </c>
      <c r="E577" s="46" t="s">
        <v>1810</v>
      </c>
      <c r="F577" s="46" t="s">
        <v>25</v>
      </c>
      <c r="G577" s="47">
        <v>18.15</v>
      </c>
      <c r="H577" s="48">
        <v>79.284</v>
      </c>
      <c r="I577" s="48">
        <v>2933.49</v>
      </c>
      <c r="J577" s="49">
        <v>37</v>
      </c>
      <c r="K577" s="49">
        <v>0</v>
      </c>
      <c r="L577" s="49">
        <v>37</v>
      </c>
    </row>
    <row r="578" spans="1:12" x14ac:dyDescent="0.25">
      <c r="A578" s="45">
        <f>C578&amp;"."&amp;IFERROR(MID(E578,FIND("(",E578)+1,FIND(")",E578)-FIND("(",E578)-1),"")</f>
      </c>
      <c r="B578" s="46" t="s">
        <v>1178</v>
      </c>
      <c r="C578" s="46">
        <v>73371</v>
      </c>
      <c r="D578" s="46" t="s">
        <v>317</v>
      </c>
      <c r="E578" s="46" t="s">
        <v>1811</v>
      </c>
      <c r="F578" s="46" t="s">
        <v>25</v>
      </c>
      <c r="G578" s="47">
        <v>18.15</v>
      </c>
      <c r="H578" s="48">
        <v>78.544</v>
      </c>
      <c r="I578" s="48">
        <v>1256.696</v>
      </c>
      <c r="J578" s="49">
        <v>16</v>
      </c>
      <c r="K578" s="49">
        <v>0</v>
      </c>
      <c r="L578" s="49">
        <v>16</v>
      </c>
    </row>
    <row r="579" spans="1:12" x14ac:dyDescent="0.25">
      <c r="A579" s="45">
        <f>C579&amp;"."&amp;IFERROR(MID(E579,FIND("(",E579)+1,FIND(")",E579)-FIND("(",E579)-1),"")</f>
      </c>
      <c r="B579" s="46" t="s">
        <v>1178</v>
      </c>
      <c r="C579" s="46">
        <v>73375</v>
      </c>
      <c r="D579" s="46" t="s">
        <v>996</v>
      </c>
      <c r="E579" s="46" t="s">
        <v>1812</v>
      </c>
      <c r="F579" s="46" t="s">
        <v>25</v>
      </c>
      <c r="G579" s="47">
        <v>19.3</v>
      </c>
      <c r="H579" s="48">
        <v>99.845</v>
      </c>
      <c r="I579" s="48">
        <v>99.845</v>
      </c>
      <c r="J579" s="49">
        <v>1</v>
      </c>
      <c r="K579" s="49">
        <v>0</v>
      </c>
      <c r="L579" s="49">
        <v>1</v>
      </c>
    </row>
    <row r="580" spans="1:12" x14ac:dyDescent="0.25">
      <c r="A580" s="45">
        <f>C580&amp;"."&amp;IFERROR(MID(E580,FIND("(",E580)+1,FIND(")",E580)-FIND("(",E580)-1),"")</f>
      </c>
      <c r="B580" s="46" t="s">
        <v>1178</v>
      </c>
      <c r="C580" s="46">
        <v>73378</v>
      </c>
      <c r="D580" s="46" t="s">
        <v>315</v>
      </c>
      <c r="E580" s="46" t="s">
        <v>1813</v>
      </c>
      <c r="F580" s="46" t="s">
        <v>25</v>
      </c>
      <c r="G580" s="47">
        <v>30</v>
      </c>
      <c r="H580" s="48">
        <v>117.154</v>
      </c>
      <c r="I580" s="48">
        <v>29639.865</v>
      </c>
      <c r="J580" s="49">
        <v>253</v>
      </c>
      <c r="K580" s="49">
        <v>80</v>
      </c>
      <c r="L580" s="49">
        <v>173</v>
      </c>
    </row>
    <row r="581" spans="1:12" x14ac:dyDescent="0.25">
      <c r="A581" s="45">
        <f>C581&amp;"."&amp;IFERROR(MID(E581,FIND("(",E581)+1,FIND(")",E581)-FIND("(",E581)-1),"")</f>
      </c>
      <c r="B581" s="46" t="s">
        <v>1178</v>
      </c>
      <c r="C581" s="46">
        <v>73385</v>
      </c>
      <c r="D581" s="46" t="s">
        <v>475</v>
      </c>
      <c r="E581" s="46" t="s">
        <v>1814</v>
      </c>
      <c r="F581" s="46" t="s">
        <v>25</v>
      </c>
      <c r="G581" s="47">
        <v>12.65</v>
      </c>
      <c r="H581" s="48">
        <v>108.755</v>
      </c>
      <c r="I581" s="48">
        <v>46655.985</v>
      </c>
      <c r="J581" s="49">
        <v>429</v>
      </c>
      <c r="K581" s="49">
        <v>288</v>
      </c>
      <c r="L581" s="49">
        <v>141</v>
      </c>
    </row>
    <row r="582" spans="1:12" x14ac:dyDescent="0.25">
      <c r="A582" s="45">
        <f>C582&amp;"."&amp;IFERROR(MID(E582,FIND("(",E582)+1,FIND(")",E582)-FIND("(",E582)-1),"")</f>
      </c>
      <c r="B582" s="46" t="s">
        <v>1178</v>
      </c>
      <c r="C582" s="46">
        <v>73388</v>
      </c>
      <c r="D582" s="46" t="s">
        <v>108</v>
      </c>
      <c r="E582" s="46" t="s">
        <v>1815</v>
      </c>
      <c r="F582" s="46" t="s">
        <v>25</v>
      </c>
      <c r="G582" s="47">
        <v>16.2</v>
      </c>
      <c r="H582" s="48">
        <v>95.839</v>
      </c>
      <c r="I582" s="48">
        <v>17730.277</v>
      </c>
      <c r="J582" s="49">
        <v>185</v>
      </c>
      <c r="K582" s="49">
        <v>185</v>
      </c>
      <c r="L582" s="49">
        <v>0</v>
      </c>
    </row>
    <row r="583" spans="1:12" x14ac:dyDescent="0.25">
      <c r="A583" s="45">
        <f>C583&amp;"."&amp;IFERROR(MID(E583,FIND("(",E583)+1,FIND(")",E583)-FIND("(",E583)-1),"")</f>
      </c>
      <c r="B583" s="46" t="s">
        <v>1178</v>
      </c>
      <c r="C583" s="46">
        <v>73389</v>
      </c>
      <c r="D583" s="46" t="s">
        <v>1816</v>
      </c>
      <c r="E583" s="46" t="s">
        <v>1248</v>
      </c>
      <c r="F583" s="46" t="s">
        <v>1495</v>
      </c>
      <c r="G583" s="47">
        <v>4.7</v>
      </c>
      <c r="H583" s="48">
        <v>30.529</v>
      </c>
      <c r="I583" s="48">
        <v>213.703</v>
      </c>
      <c r="J583" s="49">
        <v>7</v>
      </c>
      <c r="K583" s="49">
        <v>0</v>
      </c>
      <c r="L583" s="49">
        <v>7</v>
      </c>
    </row>
    <row r="584" spans="1:12" x14ac:dyDescent="0.25">
      <c r="A584" s="45">
        <f>C584&amp;"."&amp;IFERROR(MID(E584,FIND("(",E584)+1,FIND(")",E584)-FIND("(",E584)-1),"")</f>
      </c>
      <c r="B584" s="46" t="s">
        <v>1178</v>
      </c>
      <c r="C584" s="46">
        <v>73391</v>
      </c>
      <c r="D584" s="46" t="s">
        <v>1817</v>
      </c>
      <c r="E584" s="46" t="s">
        <v>1248</v>
      </c>
      <c r="F584" s="46" t="s">
        <v>1495</v>
      </c>
      <c r="G584" s="47">
        <v>1.56</v>
      </c>
      <c r="H584" s="48">
        <v>10.035</v>
      </c>
      <c r="I584" s="48">
        <v>100.354</v>
      </c>
      <c r="J584" s="49">
        <v>10</v>
      </c>
      <c r="K584" s="49">
        <v>4</v>
      </c>
      <c r="L584" s="49">
        <v>6</v>
      </c>
    </row>
    <row r="585" spans="1:12" x14ac:dyDescent="0.25">
      <c r="A585" s="45">
        <f>C585&amp;"."&amp;IFERROR(MID(E585,FIND("(",E585)+1,FIND(")",E585)-FIND("(",E585)-1),"")</f>
      </c>
      <c r="B585" s="46" t="s">
        <v>1178</v>
      </c>
      <c r="C585" s="46">
        <v>73397</v>
      </c>
      <c r="D585" s="46" t="s">
        <v>1818</v>
      </c>
      <c r="E585" s="46" t="s">
        <v>1248</v>
      </c>
      <c r="F585" s="46" t="s">
        <v>1495</v>
      </c>
      <c r="G585" s="47">
        <v>1.52</v>
      </c>
      <c r="H585" s="48">
        <v>8.33</v>
      </c>
      <c r="I585" s="48">
        <v>8.33</v>
      </c>
      <c r="J585" s="49">
        <v>1</v>
      </c>
      <c r="K585" s="49">
        <v>0</v>
      </c>
      <c r="L585" s="49">
        <v>1</v>
      </c>
    </row>
    <row r="586" spans="1:12" x14ac:dyDescent="0.25">
      <c r="A586" s="45">
        <f>C586&amp;"."&amp;IFERROR(MID(E586,FIND("(",E586)+1,FIND(")",E586)-FIND("(",E586)-1),"")</f>
      </c>
      <c r="B586" s="46" t="s">
        <v>1178</v>
      </c>
      <c r="C586" s="46">
        <v>73400</v>
      </c>
      <c r="D586" s="46" t="s">
        <v>1819</v>
      </c>
      <c r="E586" s="46" t="s">
        <v>1248</v>
      </c>
      <c r="F586" s="46" t="s">
        <v>1495</v>
      </c>
      <c r="G586" s="47">
        <v>2.03</v>
      </c>
      <c r="H586" s="48">
        <v>13.438</v>
      </c>
      <c r="I586" s="48">
        <v>201.572</v>
      </c>
      <c r="J586" s="49">
        <v>15</v>
      </c>
      <c r="K586" s="49">
        <v>12</v>
      </c>
      <c r="L586" s="49">
        <v>3</v>
      </c>
    </row>
    <row r="587" spans="1:12" x14ac:dyDescent="0.25">
      <c r="A587" s="45">
        <f>C587&amp;"."&amp;IFERROR(MID(E587,FIND("(",E587)+1,FIND(")",E587)-FIND("(",E587)-1),"")</f>
      </c>
      <c r="B587" s="46" t="s">
        <v>1178</v>
      </c>
      <c r="C587" s="46">
        <v>73410</v>
      </c>
      <c r="D587" s="46" t="s">
        <v>1820</v>
      </c>
      <c r="E587" s="46" t="s">
        <v>1248</v>
      </c>
      <c r="F587" s="46" t="s">
        <v>1495</v>
      </c>
      <c r="G587" s="47">
        <v>0</v>
      </c>
      <c r="H587" s="48">
        <v>58.869</v>
      </c>
      <c r="I587" s="48">
        <v>235.478</v>
      </c>
      <c r="J587" s="49">
        <v>4</v>
      </c>
      <c r="K587" s="49">
        <v>0</v>
      </c>
      <c r="L587" s="49">
        <v>4</v>
      </c>
    </row>
    <row r="588" spans="1:12" x14ac:dyDescent="0.25">
      <c r="A588" s="45">
        <f>C588&amp;"."&amp;IFERROR(MID(E588,FIND("(",E588)+1,FIND(")",E588)-FIND("(",E588)-1),"")</f>
      </c>
      <c r="B588" s="46" t="s">
        <v>1178</v>
      </c>
      <c r="C588" s="46">
        <v>73412</v>
      </c>
      <c r="D588" s="46" t="s">
        <v>1821</v>
      </c>
      <c r="E588" s="46" t="s">
        <v>1248</v>
      </c>
      <c r="F588" s="46" t="s">
        <v>1495</v>
      </c>
      <c r="G588" s="47">
        <v>3.98</v>
      </c>
      <c r="H588" s="48">
        <v>27.007</v>
      </c>
      <c r="I588" s="48">
        <v>378.095</v>
      </c>
      <c r="J588" s="49">
        <v>14</v>
      </c>
      <c r="K588" s="49">
        <v>5</v>
      </c>
      <c r="L588" s="49">
        <v>9</v>
      </c>
    </row>
    <row r="589" spans="1:12" x14ac:dyDescent="0.25">
      <c r="A589" s="45">
        <f>C589&amp;"."&amp;IFERROR(MID(E589,FIND("(",E589)+1,FIND(")",E589)-FIND("(",E589)-1),"")</f>
      </c>
      <c r="B589" s="46" t="s">
        <v>1178</v>
      </c>
      <c r="C589" s="46">
        <v>73413</v>
      </c>
      <c r="D589" s="46" t="s">
        <v>1822</v>
      </c>
      <c r="E589" s="46" t="s">
        <v>1248</v>
      </c>
      <c r="F589" s="46" t="s">
        <v>1495</v>
      </c>
      <c r="G589" s="47">
        <v>10.93</v>
      </c>
      <c r="H589" s="48">
        <v>57.259</v>
      </c>
      <c r="I589" s="48">
        <v>744.369</v>
      </c>
      <c r="J589" s="49">
        <v>13</v>
      </c>
      <c r="K589" s="49">
        <v>0</v>
      </c>
      <c r="L589" s="49">
        <v>13</v>
      </c>
    </row>
    <row r="590" spans="1:12" x14ac:dyDescent="0.25">
      <c r="A590" s="45">
        <f>C590&amp;"."&amp;IFERROR(MID(E590,FIND("(",E590)+1,FIND(")",E590)-FIND("(",E590)-1),"")</f>
      </c>
      <c r="B590" s="46" t="s">
        <v>1178</v>
      </c>
      <c r="C590" s="46">
        <v>73415</v>
      </c>
      <c r="D590" s="46" t="s">
        <v>1823</v>
      </c>
      <c r="E590" s="46" t="s">
        <v>1248</v>
      </c>
      <c r="F590" s="46" t="s">
        <v>1495</v>
      </c>
      <c r="G590" s="47">
        <v>1.17</v>
      </c>
      <c r="H590" s="48">
        <v>8.449</v>
      </c>
      <c r="I590" s="48">
        <v>50.691</v>
      </c>
      <c r="J590" s="49">
        <v>6</v>
      </c>
      <c r="K590" s="49">
        <v>0</v>
      </c>
      <c r="L590" s="49">
        <v>6</v>
      </c>
    </row>
    <row r="591" spans="1:12" x14ac:dyDescent="0.25">
      <c r="A591" s="45">
        <f>C591&amp;"."&amp;IFERROR(MID(E591,FIND("(",E591)+1,FIND(")",E591)-FIND("(",E591)-1),"")</f>
      </c>
      <c r="B591" s="46" t="s">
        <v>1178</v>
      </c>
      <c r="C591" s="46">
        <v>73423</v>
      </c>
      <c r="D591" s="46" t="s">
        <v>1824</v>
      </c>
      <c r="E591" s="46" t="s">
        <v>1248</v>
      </c>
      <c r="F591" s="46" t="s">
        <v>1495</v>
      </c>
      <c r="G591" s="47">
        <v>1.59</v>
      </c>
      <c r="H591" s="48">
        <v>10.255</v>
      </c>
      <c r="I591" s="48">
        <v>10.255</v>
      </c>
      <c r="J591" s="49">
        <v>1</v>
      </c>
      <c r="K591" s="49">
        <v>1</v>
      </c>
      <c r="L591" s="49">
        <v>0</v>
      </c>
    </row>
    <row r="592" spans="1:12" x14ac:dyDescent="0.25">
      <c r="A592" s="45">
        <f>C592&amp;"."&amp;IFERROR(MID(E592,FIND("(",E592)+1,FIND(")",E592)-FIND("(",E592)-1),"")</f>
      </c>
      <c r="B592" s="46" t="s">
        <v>1178</v>
      </c>
      <c r="C592" s="46">
        <v>73424</v>
      </c>
      <c r="D592" s="46" t="s">
        <v>1825</v>
      </c>
      <c r="E592" s="46" t="s">
        <v>1248</v>
      </c>
      <c r="F592" s="46" t="s">
        <v>1495</v>
      </c>
      <c r="G592" s="47">
        <v>0</v>
      </c>
      <c r="H592" s="48">
        <v>58.765</v>
      </c>
      <c r="I592" s="48">
        <v>235.061</v>
      </c>
      <c r="J592" s="49">
        <v>4</v>
      </c>
      <c r="K592" s="49">
        <v>0</v>
      </c>
      <c r="L592" s="49">
        <v>4</v>
      </c>
    </row>
    <row r="593" spans="1:12" x14ac:dyDescent="0.25">
      <c r="A593" s="45">
        <f>C593&amp;"."&amp;IFERROR(MID(E593,FIND("(",E593)+1,FIND(")",E593)-FIND("(",E593)-1),"")</f>
      </c>
      <c r="B593" s="46" t="s">
        <v>1178</v>
      </c>
      <c r="C593" s="46">
        <v>73427</v>
      </c>
      <c r="D593" s="46" t="s">
        <v>1826</v>
      </c>
      <c r="E593" s="46" t="s">
        <v>1248</v>
      </c>
      <c r="F593" s="46" t="s">
        <v>1495</v>
      </c>
      <c r="G593" s="47">
        <v>3.04</v>
      </c>
      <c r="H593" s="48">
        <v>17.379</v>
      </c>
      <c r="I593" s="48">
        <v>52.136</v>
      </c>
      <c r="J593" s="49">
        <v>3</v>
      </c>
      <c r="K593" s="49">
        <v>3</v>
      </c>
      <c r="L593" s="49">
        <v>0</v>
      </c>
    </row>
    <row r="594" spans="1:12" x14ac:dyDescent="0.25">
      <c r="A594" s="45">
        <f>C594&amp;"."&amp;IFERROR(MID(E594,FIND("(",E594)+1,FIND(")",E594)-FIND("(",E594)-1),"")</f>
      </c>
      <c r="B594" s="46" t="s">
        <v>1178</v>
      </c>
      <c r="C594" s="46">
        <v>73439</v>
      </c>
      <c r="D594" s="46" t="s">
        <v>1827</v>
      </c>
      <c r="E594" s="46" t="s">
        <v>1248</v>
      </c>
      <c r="F594" s="46" t="s">
        <v>1495</v>
      </c>
      <c r="G594" s="47">
        <v>3.1</v>
      </c>
      <c r="H594" s="48">
        <v>18.804</v>
      </c>
      <c r="I594" s="48">
        <v>37.608</v>
      </c>
      <c r="J594" s="49">
        <v>2</v>
      </c>
      <c r="K594" s="49">
        <v>0</v>
      </c>
      <c r="L594" s="49">
        <v>2</v>
      </c>
    </row>
    <row r="595" spans="1:12" x14ac:dyDescent="0.25">
      <c r="A595" s="45">
        <f>C595&amp;"."&amp;IFERROR(MID(E595,FIND("(",E595)+1,FIND(")",E595)-FIND("(",E595)-1),"")</f>
      </c>
      <c r="B595" s="46" t="s">
        <v>1178</v>
      </c>
      <c r="C595" s="46">
        <v>73450</v>
      </c>
      <c r="D595" s="46" t="s">
        <v>1828</v>
      </c>
      <c r="E595" s="46" t="s">
        <v>1248</v>
      </c>
      <c r="F595" s="46" t="s">
        <v>1495</v>
      </c>
      <c r="G595" s="47">
        <v>5.18</v>
      </c>
      <c r="H595" s="48">
        <v>34.884</v>
      </c>
      <c r="I595" s="48">
        <v>104.653</v>
      </c>
      <c r="J595" s="49">
        <v>3</v>
      </c>
      <c r="K595" s="49">
        <v>0</v>
      </c>
      <c r="L595" s="49">
        <v>3</v>
      </c>
    </row>
    <row r="596" spans="1:12" x14ac:dyDescent="0.25">
      <c r="A596" s="45">
        <f>C596&amp;"."&amp;IFERROR(MID(E596,FIND("(",E596)+1,FIND(")",E596)-FIND("(",E596)-1),"")</f>
      </c>
      <c r="B596" s="46" t="s">
        <v>1178</v>
      </c>
      <c r="C596" s="46">
        <v>73456</v>
      </c>
      <c r="D596" s="46" t="s">
        <v>1829</v>
      </c>
      <c r="E596" s="46" t="s">
        <v>1248</v>
      </c>
      <c r="F596" s="46" t="s">
        <v>1495</v>
      </c>
      <c r="G596" s="47">
        <v>0</v>
      </c>
      <c r="H596" s="48">
        <v>6.871</v>
      </c>
      <c r="I596" s="48">
        <v>68.711</v>
      </c>
      <c r="J596" s="49">
        <v>10</v>
      </c>
      <c r="K596" s="49">
        <v>0</v>
      </c>
      <c r="L596" s="49">
        <v>10</v>
      </c>
    </row>
    <row r="597" spans="1:12" x14ac:dyDescent="0.25">
      <c r="A597" s="45">
        <f>C597&amp;"."&amp;IFERROR(MID(E597,FIND("(",E597)+1,FIND(")",E597)-FIND("(",E597)-1),"")</f>
      </c>
      <c r="B597" s="46" t="s">
        <v>1178</v>
      </c>
      <c r="C597" s="46">
        <v>73460</v>
      </c>
      <c r="D597" s="46" t="s">
        <v>1830</v>
      </c>
      <c r="E597" s="46" t="s">
        <v>1248</v>
      </c>
      <c r="F597" s="46" t="s">
        <v>1495</v>
      </c>
      <c r="G597" s="47">
        <v>0.1</v>
      </c>
      <c r="H597" s="48">
        <v>6.721</v>
      </c>
      <c r="I597" s="48">
        <v>33.605</v>
      </c>
      <c r="J597" s="49">
        <v>5</v>
      </c>
      <c r="K597" s="49">
        <v>4</v>
      </c>
      <c r="L597" s="49">
        <v>1</v>
      </c>
    </row>
    <row r="598" spans="1:12" x14ac:dyDescent="0.25">
      <c r="A598" s="45">
        <f>C598&amp;"."&amp;IFERROR(MID(E598,FIND("(",E598)+1,FIND(")",E598)-FIND("(",E598)-1),"")</f>
      </c>
      <c r="B598" s="46" t="s">
        <v>1178</v>
      </c>
      <c r="C598" s="46">
        <v>73462</v>
      </c>
      <c r="D598" s="46" t="s">
        <v>1831</v>
      </c>
      <c r="E598" s="46" t="s">
        <v>1248</v>
      </c>
      <c r="F598" s="46" t="s">
        <v>1495</v>
      </c>
      <c r="G598" s="47">
        <v>0.1</v>
      </c>
      <c r="H598" s="48">
        <v>8.461</v>
      </c>
      <c r="I598" s="48">
        <v>380.728</v>
      </c>
      <c r="J598" s="49">
        <v>45</v>
      </c>
      <c r="K598" s="49">
        <v>6</v>
      </c>
      <c r="L598" s="49">
        <v>39</v>
      </c>
    </row>
    <row r="599" spans="1:12" x14ac:dyDescent="0.25">
      <c r="A599" s="45">
        <f>C599&amp;"."&amp;IFERROR(MID(E599,FIND("(",E599)+1,FIND(")",E599)-FIND("(",E599)-1),"")</f>
      </c>
      <c r="B599" s="46" t="s">
        <v>1178</v>
      </c>
      <c r="C599" s="46">
        <v>73473</v>
      </c>
      <c r="D599" s="46" t="s">
        <v>1832</v>
      </c>
      <c r="E599" s="46" t="s">
        <v>1248</v>
      </c>
      <c r="F599" s="46" t="s">
        <v>1495</v>
      </c>
      <c r="G599" s="47">
        <v>0</v>
      </c>
      <c r="H599" s="48">
        <v>8.251</v>
      </c>
      <c r="I599" s="48">
        <v>90.762</v>
      </c>
      <c r="J599" s="49">
        <v>11</v>
      </c>
      <c r="K599" s="49">
        <v>4</v>
      </c>
      <c r="L599" s="49">
        <v>7</v>
      </c>
    </row>
    <row r="600" spans="1:12" x14ac:dyDescent="0.25">
      <c r="A600" s="45">
        <f>C600&amp;"."&amp;IFERROR(MID(E600,FIND("(",E600)+1,FIND(")",E600)-FIND("(",E600)-1),"")</f>
      </c>
      <c r="B600" s="46" t="s">
        <v>1178</v>
      </c>
      <c r="C600" s="46">
        <v>73474</v>
      </c>
      <c r="D600" s="46" t="s">
        <v>1833</v>
      </c>
      <c r="E600" s="46" t="s">
        <v>1248</v>
      </c>
      <c r="F600" s="46" t="s">
        <v>1495</v>
      </c>
      <c r="G600" s="47">
        <v>0.1</v>
      </c>
      <c r="H600" s="48">
        <v>9.361</v>
      </c>
      <c r="I600" s="48">
        <v>402.504</v>
      </c>
      <c r="J600" s="49">
        <v>43</v>
      </c>
      <c r="K600" s="49">
        <v>5</v>
      </c>
      <c r="L600" s="49">
        <v>38</v>
      </c>
    </row>
    <row r="601" spans="1:12" x14ac:dyDescent="0.25">
      <c r="A601" s="45">
        <f>C601&amp;"."&amp;IFERROR(MID(E601,FIND("(",E601)+1,FIND(")",E601)-FIND("(",E601)-1),"")</f>
      </c>
      <c r="B601" s="46" t="s">
        <v>1178</v>
      </c>
      <c r="C601" s="46">
        <v>73482</v>
      </c>
      <c r="D601" s="46" t="s">
        <v>1834</v>
      </c>
      <c r="E601" s="46" t="s">
        <v>1248</v>
      </c>
      <c r="F601" s="46" t="s">
        <v>1495</v>
      </c>
      <c r="G601" s="47">
        <v>0</v>
      </c>
      <c r="H601" s="48">
        <v>5.365</v>
      </c>
      <c r="I601" s="48">
        <v>16.095</v>
      </c>
      <c r="J601" s="49">
        <v>3</v>
      </c>
      <c r="K601" s="49">
        <v>1</v>
      </c>
      <c r="L601" s="49">
        <v>2</v>
      </c>
    </row>
    <row r="602" spans="1:12" x14ac:dyDescent="0.25">
      <c r="A602" s="45">
        <f>C602&amp;"."&amp;IFERROR(MID(E602,FIND("(",E602)+1,FIND(")",E602)-FIND("(",E602)-1),"")</f>
      </c>
      <c r="B602" s="46" t="s">
        <v>1178</v>
      </c>
      <c r="C602" s="46">
        <v>73483</v>
      </c>
      <c r="D602" s="46" t="s">
        <v>1835</v>
      </c>
      <c r="E602" s="46" t="s">
        <v>1248</v>
      </c>
      <c r="F602" s="46" t="s">
        <v>1495</v>
      </c>
      <c r="G602" s="47">
        <v>0.13</v>
      </c>
      <c r="H602" s="48">
        <v>4.022</v>
      </c>
      <c r="I602" s="48">
        <v>1978.622</v>
      </c>
      <c r="J602" s="49">
        <v>492</v>
      </c>
      <c r="K602" s="49">
        <v>394</v>
      </c>
      <c r="L602" s="49">
        <v>98</v>
      </c>
    </row>
    <row r="603" spans="1:12" x14ac:dyDescent="0.25">
      <c r="A603" s="45">
        <f>C603&amp;"."&amp;IFERROR(MID(E603,FIND("(",E603)+1,FIND(")",E603)-FIND("(",E603)-1),"")</f>
      </c>
      <c r="B603" s="46" t="s">
        <v>1178</v>
      </c>
      <c r="C603" s="46">
        <v>73493</v>
      </c>
      <c r="D603" s="46" t="s">
        <v>1836</v>
      </c>
      <c r="E603" s="46" t="s">
        <v>1248</v>
      </c>
      <c r="F603" s="46" t="s">
        <v>1495</v>
      </c>
      <c r="G603" s="47">
        <v>0</v>
      </c>
      <c r="H603" s="48">
        <v>2.299</v>
      </c>
      <c r="I603" s="48">
        <v>25.287</v>
      </c>
      <c r="J603" s="49">
        <v>11</v>
      </c>
      <c r="K603" s="49">
        <v>0</v>
      </c>
      <c r="L603" s="49">
        <v>11</v>
      </c>
    </row>
    <row r="604" spans="1:12" x14ac:dyDescent="0.25">
      <c r="A604" s="45">
        <f>C604&amp;"."&amp;IFERROR(MID(E604,FIND("(",E604)+1,FIND(")",E604)-FIND("(",E604)-1),"")</f>
      </c>
      <c r="B604" s="46" t="s">
        <v>1178</v>
      </c>
      <c r="C604" s="46">
        <v>73507</v>
      </c>
      <c r="D604" s="46" t="s">
        <v>958</v>
      </c>
      <c r="E604" s="46" t="s">
        <v>1837</v>
      </c>
      <c r="F604" s="46" t="s">
        <v>25</v>
      </c>
      <c r="G604" s="47">
        <v>23.6</v>
      </c>
      <c r="H604" s="48">
        <v>113.744</v>
      </c>
      <c r="I604" s="48">
        <v>14559.259</v>
      </c>
      <c r="J604" s="49">
        <v>128</v>
      </c>
      <c r="K604" s="49">
        <v>7</v>
      </c>
      <c r="L604" s="49">
        <v>121</v>
      </c>
    </row>
    <row r="605" spans="1:12" x14ac:dyDescent="0.25">
      <c r="A605" s="45">
        <f>C605&amp;"."&amp;IFERROR(MID(E605,FIND("(",E605)+1,FIND(")",E605)-FIND("(",E605)-1),"")</f>
      </c>
      <c r="B605" s="46" t="s">
        <v>1178</v>
      </c>
      <c r="C605" s="46">
        <v>73513</v>
      </c>
      <c r="D605" s="46" t="s">
        <v>1838</v>
      </c>
      <c r="E605" s="46" t="s">
        <v>1248</v>
      </c>
      <c r="F605" s="46" t="s">
        <v>1495</v>
      </c>
      <c r="G605" s="47">
        <v>0</v>
      </c>
      <c r="H605" s="48">
        <v>0.877</v>
      </c>
      <c r="I605" s="48">
        <v>1.755</v>
      </c>
      <c r="J605" s="49">
        <v>2</v>
      </c>
      <c r="K605" s="49">
        <v>0</v>
      </c>
      <c r="L605" s="49">
        <v>2</v>
      </c>
    </row>
    <row r="606" spans="1:12" x14ac:dyDescent="0.25">
      <c r="A606" s="45">
        <f>C606&amp;"."&amp;IFERROR(MID(E606,FIND("(",E606)+1,FIND(")",E606)-FIND("(",E606)-1),"")</f>
      </c>
      <c r="B606" s="46" t="s">
        <v>1178</v>
      </c>
      <c r="C606" s="46">
        <v>73533</v>
      </c>
      <c r="D606" s="46" t="s">
        <v>438</v>
      </c>
      <c r="E606" s="46" t="s">
        <v>1839</v>
      </c>
      <c r="F606" s="46" t="s">
        <v>25</v>
      </c>
      <c r="G606" s="47">
        <v>6.85</v>
      </c>
      <c r="H606" s="48">
        <v>45.94</v>
      </c>
      <c r="I606" s="48">
        <v>643.165</v>
      </c>
      <c r="J606" s="49">
        <v>14</v>
      </c>
      <c r="K606" s="49">
        <v>0</v>
      </c>
      <c r="L606" s="49">
        <v>14</v>
      </c>
    </row>
    <row r="607" spans="1:12" x14ac:dyDescent="0.25">
      <c r="A607" s="45">
        <f>C607&amp;"."&amp;IFERROR(MID(E607,FIND("(",E607)+1,FIND(")",E607)-FIND("(",E607)-1),"")</f>
      </c>
      <c r="B607" s="46" t="s">
        <v>1178</v>
      </c>
      <c r="C607" s="46">
        <v>73533</v>
      </c>
      <c r="D607" s="46" t="s">
        <v>438</v>
      </c>
      <c r="E607" s="46" t="s">
        <v>1840</v>
      </c>
      <c r="F607" s="46" t="s">
        <v>25</v>
      </c>
      <c r="G607" s="47">
        <v>6.85</v>
      </c>
      <c r="H607" s="48">
        <v>46.22</v>
      </c>
      <c r="I607" s="48">
        <v>184.881</v>
      </c>
      <c r="J607" s="49">
        <v>4</v>
      </c>
      <c r="K607" s="49">
        <v>0</v>
      </c>
      <c r="L607" s="49">
        <v>4</v>
      </c>
    </row>
    <row r="608" spans="1:12" x14ac:dyDescent="0.25">
      <c r="A608" s="45">
        <f>C608&amp;"."&amp;IFERROR(MID(E608,FIND("(",E608)+1,FIND(")",E608)-FIND("(",E608)-1),"")</f>
      </c>
      <c r="B608" s="46" t="s">
        <v>1178</v>
      </c>
      <c r="C608" s="46">
        <v>73534</v>
      </c>
      <c r="D608" s="46" t="s">
        <v>311</v>
      </c>
      <c r="E608" s="46" t="s">
        <v>1841</v>
      </c>
      <c r="F608" s="46" t="s">
        <v>25</v>
      </c>
      <c r="G608" s="47">
        <v>11.65</v>
      </c>
      <c r="H608" s="48">
        <v>98.065</v>
      </c>
      <c r="I608" s="48">
        <v>490.327</v>
      </c>
      <c r="J608" s="49">
        <v>5</v>
      </c>
      <c r="K608" s="49">
        <v>0</v>
      </c>
      <c r="L608" s="49">
        <v>5</v>
      </c>
    </row>
    <row r="609" spans="1:12" x14ac:dyDescent="0.25">
      <c r="A609" s="45">
        <f>C609&amp;"."&amp;IFERROR(MID(E609,FIND("(",E609)+1,FIND(")",E609)-FIND("(",E609)-1),"")</f>
      </c>
      <c r="B609" s="46" t="s">
        <v>1178</v>
      </c>
      <c r="C609" s="46">
        <v>73534</v>
      </c>
      <c r="D609" s="46" t="s">
        <v>311</v>
      </c>
      <c r="E609" s="46" t="s">
        <v>1842</v>
      </c>
      <c r="F609" s="46" t="s">
        <v>25</v>
      </c>
      <c r="G609" s="47">
        <v>11.65</v>
      </c>
      <c r="H609" s="48">
        <v>106.774</v>
      </c>
      <c r="I609" s="48">
        <v>533.87</v>
      </c>
      <c r="J609" s="49">
        <v>5</v>
      </c>
      <c r="K609" s="49">
        <v>0</v>
      </c>
      <c r="L609" s="49">
        <v>5</v>
      </c>
    </row>
    <row r="610" spans="1:12" x14ac:dyDescent="0.25">
      <c r="A610" s="45">
        <f>C610&amp;"."&amp;IFERROR(MID(E610,FIND("(",E610)+1,FIND(")",E610)-FIND("(",E610)-1),"")</f>
      </c>
      <c r="B610" s="46" t="s">
        <v>1178</v>
      </c>
      <c r="C610" s="46">
        <v>73534</v>
      </c>
      <c r="D610" s="46" t="s">
        <v>311</v>
      </c>
      <c r="E610" s="46" t="s">
        <v>1843</v>
      </c>
      <c r="F610" s="46" t="s">
        <v>25</v>
      </c>
      <c r="G610" s="47">
        <v>11.65</v>
      </c>
      <c r="H610" s="48">
        <v>94.387</v>
      </c>
      <c r="I610" s="48">
        <v>94.387</v>
      </c>
      <c r="J610" s="49">
        <v>1</v>
      </c>
      <c r="K610" s="49">
        <v>0</v>
      </c>
      <c r="L610" s="49">
        <v>1</v>
      </c>
    </row>
    <row r="611" spans="1:12" x14ac:dyDescent="0.25">
      <c r="A611" s="45">
        <f>C611&amp;"."&amp;IFERROR(MID(E611,FIND("(",E611)+1,FIND(")",E611)-FIND("(",E611)-1),"")</f>
      </c>
      <c r="B611" s="46" t="s">
        <v>1178</v>
      </c>
      <c r="C611" s="46">
        <v>73534</v>
      </c>
      <c r="D611" s="46" t="s">
        <v>311</v>
      </c>
      <c r="E611" s="46" t="s">
        <v>1844</v>
      </c>
      <c r="F611" s="46" t="s">
        <v>25</v>
      </c>
      <c r="G611" s="47">
        <v>11.65</v>
      </c>
      <c r="H611" s="48">
        <v>86.082</v>
      </c>
      <c r="I611" s="48">
        <v>86.082</v>
      </c>
      <c r="J611" s="49">
        <v>1</v>
      </c>
      <c r="K611" s="49">
        <v>0</v>
      </c>
      <c r="L611" s="49">
        <v>1</v>
      </c>
    </row>
    <row r="612" spans="1:12" x14ac:dyDescent="0.25">
      <c r="A612" s="45">
        <f>C612&amp;"."&amp;IFERROR(MID(E612,FIND("(",E612)+1,FIND(")",E612)-FIND("(",E612)-1),"")</f>
      </c>
      <c r="B612" s="46" t="s">
        <v>1178</v>
      </c>
      <c r="C612" s="46">
        <v>73534</v>
      </c>
      <c r="D612" s="46" t="s">
        <v>311</v>
      </c>
      <c r="E612" s="46" t="s">
        <v>1845</v>
      </c>
      <c r="F612" s="46" t="s">
        <v>25</v>
      </c>
      <c r="G612" s="47">
        <v>11.65</v>
      </c>
      <c r="H612" s="48">
        <v>88.255</v>
      </c>
      <c r="I612" s="48">
        <v>176.509</v>
      </c>
      <c r="J612" s="49">
        <v>2</v>
      </c>
      <c r="K612" s="49">
        <v>0</v>
      </c>
      <c r="L612" s="49">
        <v>2</v>
      </c>
    </row>
    <row r="613" spans="1:12" x14ac:dyDescent="0.25">
      <c r="A613" s="45">
        <f>C613&amp;"."&amp;IFERROR(MID(E613,FIND("(",E613)+1,FIND(")",E613)-FIND("(",E613)-1),"")</f>
      </c>
      <c r="B613" s="46" t="s">
        <v>1178</v>
      </c>
      <c r="C613" s="46">
        <v>73536</v>
      </c>
      <c r="D613" s="46" t="s">
        <v>440</v>
      </c>
      <c r="E613" s="46" t="s">
        <v>1846</v>
      </c>
      <c r="F613" s="46" t="s">
        <v>25</v>
      </c>
      <c r="G613" s="47">
        <v>7.42</v>
      </c>
      <c r="H613" s="48">
        <v>51.983</v>
      </c>
      <c r="I613" s="48">
        <v>51.983</v>
      </c>
      <c r="J613" s="49">
        <v>1</v>
      </c>
      <c r="K613" s="49">
        <v>0</v>
      </c>
      <c r="L613" s="49">
        <v>1</v>
      </c>
    </row>
    <row r="614" spans="1:12" x14ac:dyDescent="0.25">
      <c r="A614" s="45">
        <f>C614&amp;"."&amp;IFERROR(MID(E614,FIND("(",E614)+1,FIND(")",E614)-FIND("(",E614)-1),"")</f>
      </c>
      <c r="B614" s="46" t="s">
        <v>1178</v>
      </c>
      <c r="C614" s="46">
        <v>73539</v>
      </c>
      <c r="D614" s="46" t="s">
        <v>105</v>
      </c>
      <c r="E614" s="46" t="s">
        <v>1847</v>
      </c>
      <c r="F614" s="46" t="s">
        <v>25</v>
      </c>
      <c r="G614" s="47">
        <v>13</v>
      </c>
      <c r="H614" s="48">
        <v>70.966</v>
      </c>
      <c r="I614" s="48">
        <v>141.933</v>
      </c>
      <c r="J614" s="49">
        <v>2</v>
      </c>
      <c r="K614" s="49">
        <v>0</v>
      </c>
      <c r="L614" s="49">
        <v>2</v>
      </c>
    </row>
    <row r="615" spans="1:12" x14ac:dyDescent="0.25">
      <c r="A615" s="45">
        <f>C615&amp;"."&amp;IFERROR(MID(E615,FIND("(",E615)+1,FIND(")",E615)-FIND("(",E615)-1),"")</f>
      </c>
      <c r="B615" s="46" t="s">
        <v>1178</v>
      </c>
      <c r="C615" s="46">
        <v>73539</v>
      </c>
      <c r="D615" s="46" t="s">
        <v>105</v>
      </c>
      <c r="E615" s="46" t="s">
        <v>1848</v>
      </c>
      <c r="F615" s="46" t="s">
        <v>25</v>
      </c>
      <c r="G615" s="47">
        <v>13</v>
      </c>
      <c r="H615" s="48">
        <v>70.966</v>
      </c>
      <c r="I615" s="48">
        <v>70.966</v>
      </c>
      <c r="J615" s="49">
        <v>1</v>
      </c>
      <c r="K615" s="49">
        <v>0</v>
      </c>
      <c r="L615" s="49">
        <v>1</v>
      </c>
    </row>
    <row r="616" spans="1:12" x14ac:dyDescent="0.25">
      <c r="A616" s="45">
        <f>C616&amp;"."&amp;IFERROR(MID(E616,FIND("(",E616)+1,FIND(")",E616)-FIND("(",E616)-1),"")</f>
      </c>
      <c r="B616" s="46" t="s">
        <v>1178</v>
      </c>
      <c r="C616" s="46">
        <v>73540</v>
      </c>
      <c r="D616" s="46" t="s">
        <v>163</v>
      </c>
      <c r="E616" s="46" t="s">
        <v>1849</v>
      </c>
      <c r="F616" s="46" t="s">
        <v>25</v>
      </c>
      <c r="G616" s="47">
        <v>4</v>
      </c>
      <c r="H616" s="48">
        <v>25.456</v>
      </c>
      <c r="I616" s="48">
        <v>101.823</v>
      </c>
      <c r="J616" s="49">
        <v>4</v>
      </c>
      <c r="K616" s="49">
        <v>0</v>
      </c>
      <c r="L616" s="49">
        <v>4</v>
      </c>
    </row>
    <row r="617" spans="1:12" x14ac:dyDescent="0.25">
      <c r="A617" s="45">
        <f>C617&amp;"."&amp;IFERROR(MID(E617,FIND("(",E617)+1,FIND(")",E617)-FIND("(",E617)-1),"")</f>
      </c>
      <c r="B617" s="46" t="s">
        <v>1178</v>
      </c>
      <c r="C617" s="46">
        <v>73540</v>
      </c>
      <c r="D617" s="46" t="s">
        <v>163</v>
      </c>
      <c r="E617" s="46" t="s">
        <v>1850</v>
      </c>
      <c r="F617" s="46" t="s">
        <v>25</v>
      </c>
      <c r="G617" s="47">
        <v>4</v>
      </c>
      <c r="H617" s="48">
        <v>28.528</v>
      </c>
      <c r="I617" s="48">
        <v>6190.617</v>
      </c>
      <c r="J617" s="49">
        <v>217</v>
      </c>
      <c r="K617" s="49">
        <v>82</v>
      </c>
      <c r="L617" s="49">
        <v>135</v>
      </c>
    </row>
    <row r="618" spans="1:12" x14ac:dyDescent="0.25">
      <c r="A618" s="45">
        <f>C618&amp;"."&amp;IFERROR(MID(E618,FIND("(",E618)+1,FIND(")",E618)-FIND("(",E618)-1),"")</f>
      </c>
      <c r="B618" s="46" t="s">
        <v>1178</v>
      </c>
      <c r="C618" s="46">
        <v>73540</v>
      </c>
      <c r="D618" s="46" t="s">
        <v>163</v>
      </c>
      <c r="E618" s="46" t="s">
        <v>1851</v>
      </c>
      <c r="F618" s="46" t="s">
        <v>25</v>
      </c>
      <c r="G618" s="47">
        <v>4</v>
      </c>
      <c r="H618" s="48">
        <v>25.076</v>
      </c>
      <c r="I618" s="48">
        <v>25.076</v>
      </c>
      <c r="J618" s="49">
        <v>1</v>
      </c>
      <c r="K618" s="49">
        <v>0</v>
      </c>
      <c r="L618" s="49">
        <v>1</v>
      </c>
    </row>
    <row r="619" spans="1:12" x14ac:dyDescent="0.25">
      <c r="A619" s="45">
        <f>C619&amp;"."&amp;IFERROR(MID(E619,FIND("(",E619)+1,FIND(")",E619)-FIND("(",E619)-1),"")</f>
      </c>
      <c r="B619" s="46" t="s">
        <v>1178</v>
      </c>
      <c r="C619" s="46">
        <v>73540</v>
      </c>
      <c r="D619" s="46" t="s">
        <v>163</v>
      </c>
      <c r="E619" s="46" t="s">
        <v>1852</v>
      </c>
      <c r="F619" s="46" t="s">
        <v>25</v>
      </c>
      <c r="G619" s="47">
        <v>4</v>
      </c>
      <c r="H619" s="48">
        <v>25.093</v>
      </c>
      <c r="I619" s="48">
        <v>3362.495</v>
      </c>
      <c r="J619" s="49">
        <v>134</v>
      </c>
      <c r="K619" s="49">
        <v>61</v>
      </c>
      <c r="L619" s="49">
        <v>73</v>
      </c>
    </row>
    <row r="620" spans="1:12" x14ac:dyDescent="0.25">
      <c r="A620" s="45">
        <f>C620&amp;"."&amp;IFERROR(MID(E620,FIND("(",E620)+1,FIND(")",E620)-FIND("(",E620)-1),"")</f>
      </c>
      <c r="B620" s="46" t="s">
        <v>1178</v>
      </c>
      <c r="C620" s="46">
        <v>73540</v>
      </c>
      <c r="D620" s="46" t="s">
        <v>163</v>
      </c>
      <c r="E620" s="46" t="s">
        <v>1853</v>
      </c>
      <c r="F620" s="46" t="s">
        <v>25</v>
      </c>
      <c r="G620" s="47">
        <v>4</v>
      </c>
      <c r="H620" s="48">
        <v>26.1</v>
      </c>
      <c r="I620" s="48">
        <v>5507.097</v>
      </c>
      <c r="J620" s="49">
        <v>211</v>
      </c>
      <c r="K620" s="49">
        <v>74</v>
      </c>
      <c r="L620" s="49">
        <v>137</v>
      </c>
    </row>
    <row r="621" spans="1:12" x14ac:dyDescent="0.25">
      <c r="A621" s="45">
        <f>C621&amp;"."&amp;IFERROR(MID(E621,FIND("(",E621)+1,FIND(")",E621)-FIND("(",E621)-1),"")</f>
      </c>
      <c r="B621" s="46" t="s">
        <v>1178</v>
      </c>
      <c r="C621" s="46">
        <v>73540</v>
      </c>
      <c r="D621" s="46" t="s">
        <v>163</v>
      </c>
      <c r="E621" s="46" t="s">
        <v>1854</v>
      </c>
      <c r="F621" s="46" t="s">
        <v>25</v>
      </c>
      <c r="G621" s="47">
        <v>4</v>
      </c>
      <c r="H621" s="48">
        <v>24.775</v>
      </c>
      <c r="I621" s="48">
        <v>8795.173</v>
      </c>
      <c r="J621" s="49">
        <v>355</v>
      </c>
      <c r="K621" s="49">
        <v>189</v>
      </c>
      <c r="L621" s="49">
        <v>166</v>
      </c>
    </row>
    <row r="622" spans="1:12" x14ac:dyDescent="0.25">
      <c r="A622" s="45">
        <f>C622&amp;"."&amp;IFERROR(MID(E622,FIND("(",E622)+1,FIND(")",E622)-FIND("(",E622)-1),"")</f>
      </c>
      <c r="B622" s="46" t="s">
        <v>1178</v>
      </c>
      <c r="C622" s="46">
        <v>73540</v>
      </c>
      <c r="D622" s="46" t="s">
        <v>163</v>
      </c>
      <c r="E622" s="46" t="s">
        <v>1855</v>
      </c>
      <c r="F622" s="46" t="s">
        <v>25</v>
      </c>
      <c r="G622" s="47">
        <v>4</v>
      </c>
      <c r="H622" s="48">
        <v>26.482</v>
      </c>
      <c r="I622" s="48">
        <v>8288.789</v>
      </c>
      <c r="J622" s="49">
        <v>313</v>
      </c>
      <c r="K622" s="49">
        <v>118</v>
      </c>
      <c r="L622" s="49">
        <v>195</v>
      </c>
    </row>
    <row r="623" spans="1:12" x14ac:dyDescent="0.25">
      <c r="A623" s="45">
        <f>C623&amp;"."&amp;IFERROR(MID(E623,FIND("(",E623)+1,FIND(")",E623)-FIND("(",E623)-1),"")</f>
      </c>
      <c r="B623" s="46" t="s">
        <v>1178</v>
      </c>
      <c r="C623" s="46">
        <v>73540</v>
      </c>
      <c r="D623" s="46" t="s">
        <v>163</v>
      </c>
      <c r="E623" s="46" t="s">
        <v>1856</v>
      </c>
      <c r="F623" s="46" t="s">
        <v>25</v>
      </c>
      <c r="G623" s="47">
        <v>4</v>
      </c>
      <c r="H623" s="48">
        <v>25.986</v>
      </c>
      <c r="I623" s="48">
        <v>1143.376</v>
      </c>
      <c r="J623" s="49">
        <v>44</v>
      </c>
      <c r="K623" s="49">
        <v>0</v>
      </c>
      <c r="L623" s="49">
        <v>44</v>
      </c>
    </row>
    <row r="624" spans="1:12" x14ac:dyDescent="0.25">
      <c r="A624" s="45">
        <f>C624&amp;"."&amp;IFERROR(MID(E624,FIND("(",E624)+1,FIND(")",E624)-FIND("(",E624)-1),"")</f>
      </c>
      <c r="B624" s="46" t="s">
        <v>1178</v>
      </c>
      <c r="C624" s="46">
        <v>73540</v>
      </c>
      <c r="D624" s="46" t="s">
        <v>163</v>
      </c>
      <c r="E624" s="46" t="s">
        <v>1857</v>
      </c>
      <c r="F624" s="46" t="s">
        <v>25</v>
      </c>
      <c r="G624" s="47">
        <v>4</v>
      </c>
      <c r="H624" s="48">
        <v>28.936</v>
      </c>
      <c r="I624" s="48">
        <v>520.845</v>
      </c>
      <c r="J624" s="49">
        <v>18</v>
      </c>
      <c r="K624" s="49">
        <v>0</v>
      </c>
      <c r="L624" s="49">
        <v>18</v>
      </c>
    </row>
    <row r="625" spans="1:12" x14ac:dyDescent="0.25">
      <c r="A625" s="45">
        <f>C625&amp;"."&amp;IFERROR(MID(E625,FIND("(",E625)+1,FIND(")",E625)-FIND("(",E625)-1),"")</f>
      </c>
      <c r="B625" s="46" t="s">
        <v>1178</v>
      </c>
      <c r="C625" s="46">
        <v>73542</v>
      </c>
      <c r="D625" s="46" t="s">
        <v>875</v>
      </c>
      <c r="E625" s="46" t="s">
        <v>1858</v>
      </c>
      <c r="F625" s="46" t="s">
        <v>25</v>
      </c>
      <c r="G625" s="47">
        <v>6.54</v>
      </c>
      <c r="H625" s="48">
        <v>41.26</v>
      </c>
      <c r="I625" s="48">
        <v>742.683</v>
      </c>
      <c r="J625" s="49">
        <v>18</v>
      </c>
      <c r="K625" s="49">
        <v>0</v>
      </c>
      <c r="L625" s="49">
        <v>18</v>
      </c>
    </row>
    <row r="626" spans="1:12" x14ac:dyDescent="0.25">
      <c r="A626" s="45">
        <f>C626&amp;"."&amp;IFERROR(MID(E626,FIND("(",E626)+1,FIND(")",E626)-FIND("(",E626)-1),"")</f>
      </c>
      <c r="B626" s="46" t="s">
        <v>1178</v>
      </c>
      <c r="C626" s="46">
        <v>73543</v>
      </c>
      <c r="D626" s="46" t="s">
        <v>74</v>
      </c>
      <c r="E626" s="46" t="s">
        <v>1859</v>
      </c>
      <c r="F626" s="46" t="s">
        <v>25</v>
      </c>
      <c r="G626" s="47">
        <v>15.02</v>
      </c>
      <c r="H626" s="48">
        <v>124.245</v>
      </c>
      <c r="I626" s="48">
        <v>496.981</v>
      </c>
      <c r="J626" s="49">
        <v>4</v>
      </c>
      <c r="K626" s="49">
        <v>0</v>
      </c>
      <c r="L626" s="49">
        <v>4</v>
      </c>
    </row>
    <row r="627" spans="1:12" x14ac:dyDescent="0.25">
      <c r="A627" s="45">
        <f>C627&amp;"."&amp;IFERROR(MID(E627,FIND("(",E627)+1,FIND(")",E627)-FIND("(",E627)-1),"")</f>
      </c>
      <c r="B627" s="46" t="s">
        <v>1178</v>
      </c>
      <c r="C627" s="46">
        <v>73543</v>
      </c>
      <c r="D627" s="46" t="s">
        <v>74</v>
      </c>
      <c r="E627" s="46" t="s">
        <v>1860</v>
      </c>
      <c r="F627" s="46" t="s">
        <v>25</v>
      </c>
      <c r="G627" s="47">
        <v>15.02</v>
      </c>
      <c r="H627" s="48">
        <v>102.425</v>
      </c>
      <c r="I627" s="48">
        <v>204.851</v>
      </c>
      <c r="J627" s="49">
        <v>2</v>
      </c>
      <c r="K627" s="49">
        <v>0</v>
      </c>
      <c r="L627" s="49">
        <v>2</v>
      </c>
    </row>
    <row r="628" spans="1:12" x14ac:dyDescent="0.25">
      <c r="A628" s="45">
        <f>C628&amp;"."&amp;IFERROR(MID(E628,FIND("(",E628)+1,FIND(")",E628)-FIND("(",E628)-1),"")</f>
      </c>
      <c r="B628" s="46" t="s">
        <v>1178</v>
      </c>
      <c r="C628" s="46">
        <v>73543</v>
      </c>
      <c r="D628" s="46" t="s">
        <v>74</v>
      </c>
      <c r="E628" s="46" t="s">
        <v>1861</v>
      </c>
      <c r="F628" s="46" t="s">
        <v>25</v>
      </c>
      <c r="G628" s="47">
        <v>15.02</v>
      </c>
      <c r="H628" s="48">
        <v>98.615</v>
      </c>
      <c r="I628" s="48">
        <v>3254.304</v>
      </c>
      <c r="J628" s="49">
        <v>33</v>
      </c>
      <c r="K628" s="49">
        <v>0</v>
      </c>
      <c r="L628" s="49">
        <v>33</v>
      </c>
    </row>
    <row r="629" spans="1:12" x14ac:dyDescent="0.25">
      <c r="A629" s="45">
        <f>C629&amp;"."&amp;IFERROR(MID(E629,FIND("(",E629)+1,FIND(")",E629)-FIND("(",E629)-1),"")</f>
      </c>
      <c r="B629" s="46" t="s">
        <v>1178</v>
      </c>
      <c r="C629" s="46">
        <v>73543</v>
      </c>
      <c r="D629" s="46" t="s">
        <v>74</v>
      </c>
      <c r="E629" s="46" t="s">
        <v>1862</v>
      </c>
      <c r="F629" s="46" t="s">
        <v>25</v>
      </c>
      <c r="G629" s="47">
        <v>15.02</v>
      </c>
      <c r="H629" s="48">
        <v>99.925</v>
      </c>
      <c r="I629" s="48">
        <v>2897.833</v>
      </c>
      <c r="J629" s="49">
        <v>29</v>
      </c>
      <c r="K629" s="49">
        <v>0</v>
      </c>
      <c r="L629" s="49">
        <v>29</v>
      </c>
    </row>
    <row r="630" spans="1:12" x14ac:dyDescent="0.25">
      <c r="A630" s="45">
        <f>C630&amp;"."&amp;IFERROR(MID(E630,FIND("(",E630)+1,FIND(")",E630)-FIND("(",E630)-1),"")</f>
      </c>
      <c r="B630" s="46" t="s">
        <v>1178</v>
      </c>
      <c r="C630" s="46">
        <v>73543</v>
      </c>
      <c r="D630" s="46" t="s">
        <v>74</v>
      </c>
      <c r="E630" s="46" t="s">
        <v>1863</v>
      </c>
      <c r="F630" s="46" t="s">
        <v>25</v>
      </c>
      <c r="G630" s="47">
        <v>15.02</v>
      </c>
      <c r="H630" s="48">
        <v>116.305</v>
      </c>
      <c r="I630" s="48">
        <v>4768.516</v>
      </c>
      <c r="J630" s="49">
        <v>41</v>
      </c>
      <c r="K630" s="49">
        <v>0</v>
      </c>
      <c r="L630" s="49">
        <v>41</v>
      </c>
    </row>
    <row r="631" spans="1:12" x14ac:dyDescent="0.25">
      <c r="A631" s="45">
        <f>C631&amp;"."&amp;IFERROR(MID(E631,FIND("(",E631)+1,FIND(")",E631)-FIND("(",E631)-1),"")</f>
      </c>
      <c r="B631" s="46" t="s">
        <v>1178</v>
      </c>
      <c r="C631" s="46">
        <v>73543</v>
      </c>
      <c r="D631" s="46" t="s">
        <v>74</v>
      </c>
      <c r="E631" s="46" t="s">
        <v>1864</v>
      </c>
      <c r="F631" s="46" t="s">
        <v>25</v>
      </c>
      <c r="G631" s="47">
        <v>15.02</v>
      </c>
      <c r="H631" s="48">
        <v>107.905</v>
      </c>
      <c r="I631" s="48">
        <v>5718.98</v>
      </c>
      <c r="J631" s="49">
        <v>53</v>
      </c>
      <c r="K631" s="49">
        <v>0</v>
      </c>
      <c r="L631" s="49">
        <v>53</v>
      </c>
    </row>
    <row r="632" spans="1:12" x14ac:dyDescent="0.25">
      <c r="A632" s="45">
        <f>C632&amp;"."&amp;IFERROR(MID(E632,FIND("(",E632)+1,FIND(")",E632)-FIND("(",E632)-1),"")</f>
      </c>
      <c r="B632" s="46" t="s">
        <v>1178</v>
      </c>
      <c r="C632" s="46">
        <v>73543</v>
      </c>
      <c r="D632" s="46" t="s">
        <v>74</v>
      </c>
      <c r="E632" s="46" t="s">
        <v>1865</v>
      </c>
      <c r="F632" s="46" t="s">
        <v>25</v>
      </c>
      <c r="G632" s="47">
        <v>15.02</v>
      </c>
      <c r="H632" s="48">
        <v>99.165</v>
      </c>
      <c r="I632" s="48">
        <v>396.661</v>
      </c>
      <c r="J632" s="49">
        <v>4</v>
      </c>
      <c r="K632" s="49">
        <v>0</v>
      </c>
      <c r="L632" s="49">
        <v>4</v>
      </c>
    </row>
    <row r="633" spans="1:12" x14ac:dyDescent="0.25">
      <c r="A633" s="45">
        <f>C633&amp;"."&amp;IFERROR(MID(E633,FIND("(",E633)+1,FIND(")",E633)-FIND("(",E633)-1),"")</f>
      </c>
      <c r="B633" s="46" t="s">
        <v>1178</v>
      </c>
      <c r="C633" s="46">
        <v>73543</v>
      </c>
      <c r="D633" s="46" t="s">
        <v>74</v>
      </c>
      <c r="E633" s="46" t="s">
        <v>1866</v>
      </c>
      <c r="F633" s="46" t="s">
        <v>25</v>
      </c>
      <c r="G633" s="47">
        <v>15.02</v>
      </c>
      <c r="H633" s="48">
        <v>110.405</v>
      </c>
      <c r="I633" s="48">
        <v>9274.043</v>
      </c>
      <c r="J633" s="49">
        <v>84</v>
      </c>
      <c r="K633" s="49">
        <v>0</v>
      </c>
      <c r="L633" s="49">
        <v>84</v>
      </c>
    </row>
    <row r="634" spans="1:12" x14ac:dyDescent="0.25">
      <c r="A634" s="45">
        <f>C634&amp;"."&amp;IFERROR(MID(E634,FIND("(",E634)+1,FIND(")",E634)-FIND("(",E634)-1),"")</f>
      </c>
      <c r="B634" s="46" t="s">
        <v>1178</v>
      </c>
      <c r="C634" s="46">
        <v>73543</v>
      </c>
      <c r="D634" s="46" t="s">
        <v>74</v>
      </c>
      <c r="E634" s="46" t="s">
        <v>1867</v>
      </c>
      <c r="F634" s="46" t="s">
        <v>25</v>
      </c>
      <c r="G634" s="47">
        <v>15.02</v>
      </c>
      <c r="H634" s="48">
        <v>109.285</v>
      </c>
      <c r="I634" s="48">
        <v>3387.844</v>
      </c>
      <c r="J634" s="49">
        <v>31</v>
      </c>
      <c r="K634" s="49">
        <v>0</v>
      </c>
      <c r="L634" s="49">
        <v>31</v>
      </c>
    </row>
    <row r="635" spans="1:12" x14ac:dyDescent="0.25">
      <c r="A635" s="45">
        <f>C635&amp;"."&amp;IFERROR(MID(E635,FIND("(",E635)+1,FIND(")",E635)-FIND("(",E635)-1),"")</f>
      </c>
      <c r="B635" s="46" t="s">
        <v>1178</v>
      </c>
      <c r="C635" s="46">
        <v>73545</v>
      </c>
      <c r="D635" s="46" t="s">
        <v>414</v>
      </c>
      <c r="E635" s="46" t="s">
        <v>1868</v>
      </c>
      <c r="F635" s="46" t="s">
        <v>25</v>
      </c>
      <c r="G635" s="47">
        <v>11.65</v>
      </c>
      <c r="H635" s="48">
        <v>78.635</v>
      </c>
      <c r="I635" s="48">
        <v>1100.894</v>
      </c>
      <c r="J635" s="49">
        <v>14</v>
      </c>
      <c r="K635" s="49">
        <v>0</v>
      </c>
      <c r="L635" s="49">
        <v>14</v>
      </c>
    </row>
    <row r="636" spans="1:12" x14ac:dyDescent="0.25">
      <c r="A636" s="45">
        <f>C636&amp;"."&amp;IFERROR(MID(E636,FIND("(",E636)+1,FIND(")",E636)-FIND("(",E636)-1),"")</f>
      </c>
      <c r="B636" s="46" t="s">
        <v>1178</v>
      </c>
      <c r="C636" s="46">
        <v>73545</v>
      </c>
      <c r="D636" s="46" t="s">
        <v>414</v>
      </c>
      <c r="E636" s="46" t="s">
        <v>1869</v>
      </c>
      <c r="F636" s="46" t="s">
        <v>25</v>
      </c>
      <c r="G636" s="47">
        <v>11.65</v>
      </c>
      <c r="H636" s="48">
        <v>75.245</v>
      </c>
      <c r="I636" s="48">
        <v>75.245</v>
      </c>
      <c r="J636" s="49">
        <v>1</v>
      </c>
      <c r="K636" s="49">
        <v>0</v>
      </c>
      <c r="L636" s="49">
        <v>1</v>
      </c>
    </row>
    <row r="637" spans="1:12" x14ac:dyDescent="0.25">
      <c r="A637" s="45">
        <f>C637&amp;"."&amp;IFERROR(MID(E637,FIND("(",E637)+1,FIND(")",E637)-FIND("(",E637)-1),"")</f>
      </c>
      <c r="B637" s="46" t="s">
        <v>1178</v>
      </c>
      <c r="C637" s="46">
        <v>73545</v>
      </c>
      <c r="D637" s="46" t="s">
        <v>414</v>
      </c>
      <c r="E637" s="46" t="s">
        <v>1870</v>
      </c>
      <c r="F637" s="46" t="s">
        <v>25</v>
      </c>
      <c r="G637" s="47">
        <v>11.65</v>
      </c>
      <c r="H637" s="48">
        <v>78.635</v>
      </c>
      <c r="I637" s="48">
        <v>2044.518</v>
      </c>
      <c r="J637" s="49">
        <v>26</v>
      </c>
      <c r="K637" s="49">
        <v>0</v>
      </c>
      <c r="L637" s="49">
        <v>26</v>
      </c>
    </row>
    <row r="638" spans="1:12" x14ac:dyDescent="0.25">
      <c r="A638" s="45">
        <f>C638&amp;"."&amp;IFERROR(MID(E638,FIND("(",E638)+1,FIND(")",E638)-FIND("(",E638)-1),"")</f>
      </c>
      <c r="B638" s="46" t="s">
        <v>1178</v>
      </c>
      <c r="C638" s="46">
        <v>73545</v>
      </c>
      <c r="D638" s="46" t="s">
        <v>414</v>
      </c>
      <c r="E638" s="46" t="s">
        <v>1871</v>
      </c>
      <c r="F638" s="46" t="s">
        <v>25</v>
      </c>
      <c r="G638" s="47">
        <v>11.65</v>
      </c>
      <c r="H638" s="48">
        <v>75.615</v>
      </c>
      <c r="I638" s="48">
        <v>2192.844</v>
      </c>
      <c r="J638" s="49">
        <v>29</v>
      </c>
      <c r="K638" s="49">
        <v>0</v>
      </c>
      <c r="L638" s="49">
        <v>29</v>
      </c>
    </row>
    <row r="639" spans="1:12" x14ac:dyDescent="0.25">
      <c r="A639" s="45">
        <f>C639&amp;"."&amp;IFERROR(MID(E639,FIND("(",E639)+1,FIND(")",E639)-FIND("(",E639)-1),"")</f>
      </c>
      <c r="B639" s="46" t="s">
        <v>1178</v>
      </c>
      <c r="C639" s="46">
        <v>73545</v>
      </c>
      <c r="D639" s="46" t="s">
        <v>414</v>
      </c>
      <c r="E639" s="46" t="s">
        <v>1872</v>
      </c>
      <c r="F639" s="46" t="s">
        <v>25</v>
      </c>
      <c r="G639" s="47">
        <v>11.65</v>
      </c>
      <c r="H639" s="48">
        <v>78.635</v>
      </c>
      <c r="I639" s="48">
        <v>2830.871</v>
      </c>
      <c r="J639" s="49">
        <v>36</v>
      </c>
      <c r="K639" s="49">
        <v>0</v>
      </c>
      <c r="L639" s="49">
        <v>36</v>
      </c>
    </row>
    <row r="640" spans="1:12" x14ac:dyDescent="0.25">
      <c r="A640" s="45">
        <f>C640&amp;"."&amp;IFERROR(MID(E640,FIND("(",E640)+1,FIND(")",E640)-FIND("(",E640)-1),"")</f>
      </c>
      <c r="B640" s="46" t="s">
        <v>1178</v>
      </c>
      <c r="C640" s="46">
        <v>73547</v>
      </c>
      <c r="D640" s="46" t="s">
        <v>202</v>
      </c>
      <c r="E640" s="46" t="s">
        <v>1873</v>
      </c>
      <c r="F640" s="46" t="s">
        <v>25</v>
      </c>
      <c r="G640" s="47">
        <v>11.4</v>
      </c>
      <c r="H640" s="48">
        <v>65.728</v>
      </c>
      <c r="I640" s="48">
        <v>2037.57</v>
      </c>
      <c r="J640" s="49">
        <v>31</v>
      </c>
      <c r="K640" s="49">
        <v>0</v>
      </c>
      <c r="L640" s="49">
        <v>31</v>
      </c>
    </row>
    <row r="641" spans="1:12" x14ac:dyDescent="0.25">
      <c r="A641" s="45">
        <f>C641&amp;"."&amp;IFERROR(MID(E641,FIND("(",E641)+1,FIND(")",E641)-FIND("(",E641)-1),"")</f>
      </c>
      <c r="B641" s="46" t="s">
        <v>1178</v>
      </c>
      <c r="C641" s="46">
        <v>73547</v>
      </c>
      <c r="D641" s="46" t="s">
        <v>202</v>
      </c>
      <c r="E641" s="46" t="s">
        <v>1874</v>
      </c>
      <c r="F641" s="46" t="s">
        <v>25</v>
      </c>
      <c r="G641" s="47">
        <v>11.4</v>
      </c>
      <c r="H641" s="48">
        <v>67.978</v>
      </c>
      <c r="I641" s="48">
        <v>6729.773</v>
      </c>
      <c r="J641" s="49">
        <v>99</v>
      </c>
      <c r="K641" s="49">
        <v>-21</v>
      </c>
      <c r="L641" s="49">
        <v>120</v>
      </c>
    </row>
    <row r="642" spans="1:12" x14ac:dyDescent="0.25">
      <c r="A642" s="45">
        <f>C642&amp;"."&amp;IFERROR(MID(E642,FIND("(",E642)+1,FIND(")",E642)-FIND("(",E642)-1),"")</f>
      </c>
      <c r="B642" s="46" t="s">
        <v>1178</v>
      </c>
      <c r="C642" s="46">
        <v>73547</v>
      </c>
      <c r="D642" s="46" t="s">
        <v>202</v>
      </c>
      <c r="E642" s="46" t="s">
        <v>1875</v>
      </c>
      <c r="F642" s="46" t="s">
        <v>25</v>
      </c>
      <c r="G642" s="47">
        <v>11.4</v>
      </c>
      <c r="H642" s="48">
        <v>74.363</v>
      </c>
      <c r="I642" s="48">
        <v>78007.062</v>
      </c>
      <c r="J642" s="49">
        <v>1049</v>
      </c>
      <c r="K642" s="49">
        <v>1049</v>
      </c>
      <c r="L642" s="49">
        <v>0</v>
      </c>
    </row>
    <row r="643" spans="1:12" x14ac:dyDescent="0.25">
      <c r="A643" s="45">
        <f>C643&amp;"."&amp;IFERROR(MID(E643,FIND("(",E643)+1,FIND(")",E643)-FIND("(",E643)-1),"")</f>
      </c>
      <c r="B643" s="46" t="s">
        <v>1178</v>
      </c>
      <c r="C643" s="46">
        <v>73547</v>
      </c>
      <c r="D643" s="46" t="s">
        <v>202</v>
      </c>
      <c r="E643" s="46" t="s">
        <v>1876</v>
      </c>
      <c r="F643" s="46" t="s">
        <v>25</v>
      </c>
      <c r="G643" s="47">
        <v>11.4</v>
      </c>
      <c r="H643" s="48">
        <v>63.655</v>
      </c>
      <c r="I643" s="48">
        <v>3310.071</v>
      </c>
      <c r="J643" s="49">
        <v>52</v>
      </c>
      <c r="K643" s="49">
        <v>9</v>
      </c>
      <c r="L643" s="49">
        <v>43</v>
      </c>
    </row>
    <row r="644" spans="1:12" x14ac:dyDescent="0.25">
      <c r="A644" s="45">
        <f>C644&amp;"."&amp;IFERROR(MID(E644,FIND("(",E644)+1,FIND(")",E644)-FIND("(",E644)-1),"")</f>
      </c>
      <c r="B644" s="46" t="s">
        <v>1178</v>
      </c>
      <c r="C644" s="46">
        <v>73547</v>
      </c>
      <c r="D644" s="46" t="s">
        <v>202</v>
      </c>
      <c r="E644" s="46" t="s">
        <v>1877</v>
      </c>
      <c r="F644" s="46" t="s">
        <v>25</v>
      </c>
      <c r="G644" s="47">
        <v>11.4</v>
      </c>
      <c r="H644" s="48">
        <v>66.21</v>
      </c>
      <c r="I644" s="48">
        <v>84483.881</v>
      </c>
      <c r="J644" s="49">
        <v>1276</v>
      </c>
      <c r="K644" s="49">
        <v>1276</v>
      </c>
      <c r="L644" s="49">
        <v>0</v>
      </c>
    </row>
    <row r="645" spans="1:12" x14ac:dyDescent="0.25">
      <c r="A645" s="45">
        <f>C645&amp;"."&amp;IFERROR(MID(E645,FIND("(",E645)+1,FIND(")",E645)-FIND("(",E645)-1),"")</f>
      </c>
      <c r="B645" s="46" t="s">
        <v>1178</v>
      </c>
      <c r="C645" s="46">
        <v>73547</v>
      </c>
      <c r="D645" s="46" t="s">
        <v>202</v>
      </c>
      <c r="E645" s="46" t="s">
        <v>1878</v>
      </c>
      <c r="F645" s="46" t="s">
        <v>25</v>
      </c>
      <c r="G645" s="47">
        <v>11.4</v>
      </c>
      <c r="H645" s="48">
        <v>60.676</v>
      </c>
      <c r="I645" s="48">
        <v>4672.031</v>
      </c>
      <c r="J645" s="49">
        <v>77</v>
      </c>
      <c r="K645" s="49">
        <v>3</v>
      </c>
      <c r="L645" s="49">
        <v>74</v>
      </c>
    </row>
    <row r="646" spans="1:12" x14ac:dyDescent="0.25">
      <c r="A646" s="45">
        <f>C646&amp;"."&amp;IFERROR(MID(E646,FIND("(",E646)+1,FIND(")",E646)-FIND("(",E646)-1),"")</f>
      </c>
      <c r="B646" s="46" t="s">
        <v>1178</v>
      </c>
      <c r="C646" s="46">
        <v>73547</v>
      </c>
      <c r="D646" s="46" t="s">
        <v>202</v>
      </c>
      <c r="E646" s="46" t="s">
        <v>1879</v>
      </c>
      <c r="F646" s="46" t="s">
        <v>25</v>
      </c>
      <c r="G646" s="47">
        <v>11.4</v>
      </c>
      <c r="H646" s="48">
        <v>64.468</v>
      </c>
      <c r="I646" s="48">
        <v>8123.026</v>
      </c>
      <c r="J646" s="49">
        <v>126</v>
      </c>
      <c r="K646" s="49">
        <v>12</v>
      </c>
      <c r="L646" s="49">
        <v>114</v>
      </c>
    </row>
    <row r="647" spans="1:12" x14ac:dyDescent="0.25">
      <c r="A647" s="45">
        <f>C647&amp;"."&amp;IFERROR(MID(E647,FIND("(",E647)+1,FIND(")",E647)-FIND("(",E647)-1),"")</f>
      </c>
      <c r="B647" s="46" t="s">
        <v>1178</v>
      </c>
      <c r="C647" s="46">
        <v>73549</v>
      </c>
      <c r="D647" s="46" t="s">
        <v>721</v>
      </c>
      <c r="E647" s="46" t="s">
        <v>1880</v>
      </c>
      <c r="F647" s="46" t="s">
        <v>25</v>
      </c>
      <c r="G647" s="47">
        <v>6.85</v>
      </c>
      <c r="H647" s="48">
        <v>45.36</v>
      </c>
      <c r="I647" s="48">
        <v>1678.332</v>
      </c>
      <c r="J647" s="49">
        <v>37</v>
      </c>
      <c r="K647" s="49">
        <v>0</v>
      </c>
      <c r="L647" s="49">
        <v>37</v>
      </c>
    </row>
    <row r="648" spans="1:12" x14ac:dyDescent="0.25">
      <c r="A648" s="45">
        <f>C648&amp;"."&amp;IFERROR(MID(E648,FIND("(",E648)+1,FIND(")",E648)-FIND("(",E648)-1),"")</f>
      </c>
      <c r="B648" s="46" t="s">
        <v>1178</v>
      </c>
      <c r="C648" s="46">
        <v>73549</v>
      </c>
      <c r="D648" s="46" t="s">
        <v>721</v>
      </c>
      <c r="E648" s="46" t="s">
        <v>1881</v>
      </c>
      <c r="F648" s="46" t="s">
        <v>25</v>
      </c>
      <c r="G648" s="47">
        <v>6.85</v>
      </c>
      <c r="H648" s="48">
        <v>45.36</v>
      </c>
      <c r="I648" s="48">
        <v>45.36</v>
      </c>
      <c r="J648" s="49">
        <v>1</v>
      </c>
      <c r="K648" s="49">
        <v>0</v>
      </c>
      <c r="L648" s="49">
        <v>1</v>
      </c>
    </row>
    <row r="649" spans="1:12" x14ac:dyDescent="0.25">
      <c r="A649" s="45">
        <f>C649&amp;"."&amp;IFERROR(MID(E649,FIND("(",E649)+1,FIND(")",E649)-FIND("(",E649)-1),"")</f>
      </c>
      <c r="B649" s="46" t="s">
        <v>1178</v>
      </c>
      <c r="C649" s="46">
        <v>73550</v>
      </c>
      <c r="D649" s="46" t="s">
        <v>85</v>
      </c>
      <c r="E649" s="46" t="s">
        <v>1882</v>
      </c>
      <c r="F649" s="46" t="s">
        <v>25</v>
      </c>
      <c r="G649" s="47">
        <v>11.65</v>
      </c>
      <c r="H649" s="48">
        <v>83.185</v>
      </c>
      <c r="I649" s="48">
        <v>249.556</v>
      </c>
      <c r="J649" s="49">
        <v>3</v>
      </c>
      <c r="K649" s="49">
        <v>0</v>
      </c>
      <c r="L649" s="49">
        <v>3</v>
      </c>
    </row>
    <row r="650" spans="1:12" x14ac:dyDescent="0.25">
      <c r="A650" s="45">
        <f>C650&amp;"."&amp;IFERROR(MID(E650,FIND("(",E650)+1,FIND(")",E650)-FIND("(",E650)-1),"")</f>
      </c>
      <c r="B650" s="46" t="s">
        <v>1178</v>
      </c>
      <c r="C650" s="46">
        <v>73550</v>
      </c>
      <c r="D650" s="46" t="s">
        <v>85</v>
      </c>
      <c r="E650" s="46" t="s">
        <v>1883</v>
      </c>
      <c r="F650" s="46" t="s">
        <v>25</v>
      </c>
      <c r="G650" s="47">
        <v>11.65</v>
      </c>
      <c r="H650" s="48">
        <v>92.025</v>
      </c>
      <c r="I650" s="48">
        <v>736.202</v>
      </c>
      <c r="J650" s="49">
        <v>8</v>
      </c>
      <c r="K650" s="49">
        <v>0</v>
      </c>
      <c r="L650" s="49">
        <v>8</v>
      </c>
    </row>
    <row r="651" spans="1:12" x14ac:dyDescent="0.25">
      <c r="A651" s="45">
        <f>C651&amp;"."&amp;IFERROR(MID(E651,FIND("(",E651)+1,FIND(")",E651)-FIND("(",E651)-1),"")</f>
      </c>
      <c r="B651" s="46" t="s">
        <v>1178</v>
      </c>
      <c r="C651" s="46">
        <v>73550</v>
      </c>
      <c r="D651" s="46" t="s">
        <v>85</v>
      </c>
      <c r="E651" s="46" t="s">
        <v>1884</v>
      </c>
      <c r="F651" s="46" t="s">
        <v>25</v>
      </c>
      <c r="G651" s="47">
        <v>11.65</v>
      </c>
      <c r="H651" s="48">
        <v>86.345</v>
      </c>
      <c r="I651" s="48">
        <v>86.345</v>
      </c>
      <c r="J651" s="49">
        <v>1</v>
      </c>
      <c r="K651" s="49">
        <v>0</v>
      </c>
      <c r="L651" s="49">
        <v>1</v>
      </c>
    </row>
    <row r="652" spans="1:12" x14ac:dyDescent="0.25">
      <c r="A652" s="45">
        <f>C652&amp;"."&amp;IFERROR(MID(E652,FIND("(",E652)+1,FIND(")",E652)-FIND("(",E652)-1),"")</f>
      </c>
      <c r="B652" s="46" t="s">
        <v>1178</v>
      </c>
      <c r="C652" s="46">
        <v>73550</v>
      </c>
      <c r="D652" s="46" t="s">
        <v>85</v>
      </c>
      <c r="E652" s="46" t="s">
        <v>1885</v>
      </c>
      <c r="F652" s="46" t="s">
        <v>25</v>
      </c>
      <c r="G652" s="47">
        <v>11.65</v>
      </c>
      <c r="H652" s="48">
        <v>92.955</v>
      </c>
      <c r="I652" s="48">
        <v>92.955</v>
      </c>
      <c r="J652" s="49">
        <v>1</v>
      </c>
      <c r="K652" s="49">
        <v>0</v>
      </c>
      <c r="L652" s="49">
        <v>1</v>
      </c>
    </row>
    <row r="653" spans="1:12" x14ac:dyDescent="0.25">
      <c r="A653" s="45">
        <f>C653&amp;"."&amp;IFERROR(MID(E653,FIND("(",E653)+1,FIND(")",E653)-FIND("(",E653)-1),"")</f>
      </c>
      <c r="B653" s="46" t="s">
        <v>1178</v>
      </c>
      <c r="C653" s="46">
        <v>73550</v>
      </c>
      <c r="D653" s="46" t="s">
        <v>85</v>
      </c>
      <c r="E653" s="46" t="s">
        <v>1886</v>
      </c>
      <c r="F653" s="46" t="s">
        <v>25</v>
      </c>
      <c r="G653" s="47">
        <v>11.65</v>
      </c>
      <c r="H653" s="48">
        <v>104.405</v>
      </c>
      <c r="I653" s="48">
        <v>208.811</v>
      </c>
      <c r="J653" s="49">
        <v>2</v>
      </c>
      <c r="K653" s="49">
        <v>0</v>
      </c>
      <c r="L653" s="49">
        <v>2</v>
      </c>
    </row>
    <row r="654" spans="1:12" x14ac:dyDescent="0.25">
      <c r="A654" s="45">
        <f>C654&amp;"."&amp;IFERROR(MID(E654,FIND("(",E654)+1,FIND(")",E654)-FIND("(",E654)-1),"")</f>
      </c>
      <c r="B654" s="46" t="s">
        <v>1178</v>
      </c>
      <c r="C654" s="46">
        <v>73550</v>
      </c>
      <c r="D654" s="46" t="s">
        <v>85</v>
      </c>
      <c r="E654" s="46" t="s">
        <v>1887</v>
      </c>
      <c r="F654" s="46" t="s">
        <v>25</v>
      </c>
      <c r="G654" s="47">
        <v>11.65</v>
      </c>
      <c r="H654" s="48">
        <v>90.885</v>
      </c>
      <c r="I654" s="48">
        <v>90.885</v>
      </c>
      <c r="J654" s="49">
        <v>1</v>
      </c>
      <c r="K654" s="49">
        <v>0</v>
      </c>
      <c r="L654" s="49">
        <v>1</v>
      </c>
    </row>
    <row r="655" spans="1:12" x14ac:dyDescent="0.25">
      <c r="A655" s="45">
        <f>C655&amp;"."&amp;IFERROR(MID(E655,FIND("(",E655)+1,FIND(")",E655)-FIND("(",E655)-1),"")</f>
      </c>
      <c r="B655" s="46" t="s">
        <v>1178</v>
      </c>
      <c r="C655" s="46">
        <v>73554</v>
      </c>
      <c r="D655" s="46" t="s">
        <v>1888</v>
      </c>
      <c r="E655" s="46" t="s">
        <v>1248</v>
      </c>
      <c r="F655" s="46" t="s">
        <v>1495</v>
      </c>
      <c r="G655" s="47">
        <v>0</v>
      </c>
      <c r="H655" s="48">
        <v>0.031</v>
      </c>
      <c r="I655" s="48">
        <v>3.028</v>
      </c>
      <c r="J655" s="49">
        <v>97</v>
      </c>
      <c r="K655" s="49">
        <v>0</v>
      </c>
      <c r="L655" s="49">
        <v>97</v>
      </c>
    </row>
    <row r="656" spans="1:12" x14ac:dyDescent="0.25">
      <c r="A656" s="45">
        <f>C656&amp;"."&amp;IFERROR(MID(E656,FIND("(",E656)+1,FIND(")",E656)-FIND("(",E656)-1),"")</f>
      </c>
      <c r="B656" s="46" t="s">
        <v>1178</v>
      </c>
      <c r="C656" s="46">
        <v>73556</v>
      </c>
      <c r="D656" s="46" t="s">
        <v>1889</v>
      </c>
      <c r="E656" s="46" t="s">
        <v>1248</v>
      </c>
      <c r="F656" s="46" t="s">
        <v>1495</v>
      </c>
      <c r="G656" s="47">
        <v>0</v>
      </c>
      <c r="H656" s="48">
        <v>0.05</v>
      </c>
      <c r="I656" s="48">
        <v>3.276</v>
      </c>
      <c r="J656" s="49">
        <v>65</v>
      </c>
      <c r="K656" s="49">
        <v>22</v>
      </c>
      <c r="L656" s="49">
        <v>43</v>
      </c>
    </row>
    <row r="657" spans="1:12" x14ac:dyDescent="0.25">
      <c r="A657" s="45">
        <f>C657&amp;"."&amp;IFERROR(MID(E657,FIND("(",E657)+1,FIND(")",E657)-FIND("(",E657)-1),"")</f>
      </c>
      <c r="B657" s="46" t="s">
        <v>1178</v>
      </c>
      <c r="C657" s="46">
        <v>73557</v>
      </c>
      <c r="D657" s="46" t="s">
        <v>1890</v>
      </c>
      <c r="E657" s="46" t="s">
        <v>1248</v>
      </c>
      <c r="F657" s="46" t="s">
        <v>1495</v>
      </c>
      <c r="G657" s="47">
        <v>0</v>
      </c>
      <c r="H657" s="48">
        <v>0.039</v>
      </c>
      <c r="I657" s="48">
        <v>14.348</v>
      </c>
      <c r="J657" s="49">
        <v>366</v>
      </c>
      <c r="K657" s="49">
        <v>0</v>
      </c>
      <c r="L657" s="49">
        <v>366</v>
      </c>
    </row>
    <row r="658" spans="1:12" x14ac:dyDescent="0.25">
      <c r="A658" s="45">
        <f>C658&amp;"."&amp;IFERROR(MID(E658,FIND("(",E658)+1,FIND(")",E658)-FIND("(",E658)-1),"")</f>
      </c>
      <c r="B658" s="46" t="s">
        <v>1178</v>
      </c>
      <c r="C658" s="46">
        <v>73559</v>
      </c>
      <c r="D658" s="46" t="s">
        <v>1891</v>
      </c>
      <c r="E658" s="46" t="s">
        <v>1248</v>
      </c>
      <c r="F658" s="46" t="s">
        <v>1495</v>
      </c>
      <c r="G658" s="47">
        <v>0</v>
      </c>
      <c r="H658" s="48">
        <v>0.007</v>
      </c>
      <c r="I658" s="48">
        <v>10.943</v>
      </c>
      <c r="J658" s="49">
        <v>1586</v>
      </c>
      <c r="K658" s="49">
        <v>0</v>
      </c>
      <c r="L658" s="49">
        <v>1586</v>
      </c>
    </row>
    <row r="659" spans="1:12" x14ac:dyDescent="0.25">
      <c r="A659" s="45">
        <f>C659&amp;"."&amp;IFERROR(MID(E659,FIND("(",E659)+1,FIND(")",E659)-FIND("(",E659)-1),"")</f>
      </c>
      <c r="B659" s="46" t="s">
        <v>1178</v>
      </c>
      <c r="C659" s="46">
        <v>73560</v>
      </c>
      <c r="D659" s="46" t="s">
        <v>1892</v>
      </c>
      <c r="E659" s="46" t="s">
        <v>1248</v>
      </c>
      <c r="F659" s="46" t="s">
        <v>1495</v>
      </c>
      <c r="G659" s="47">
        <v>0</v>
      </c>
      <c r="H659" s="48">
        <v>0.016</v>
      </c>
      <c r="I659" s="48">
        <v>2.828</v>
      </c>
      <c r="J659" s="49">
        <v>179</v>
      </c>
      <c r="K659" s="49">
        <v>0</v>
      </c>
      <c r="L659" s="49">
        <v>179</v>
      </c>
    </row>
    <row r="660" spans="1:12" x14ac:dyDescent="0.25">
      <c r="A660" s="45">
        <f>C660&amp;"."&amp;IFERROR(MID(E660,FIND("(",E660)+1,FIND(")",E660)-FIND("(",E660)-1),"")</f>
      </c>
      <c r="B660" s="46" t="s">
        <v>1178</v>
      </c>
      <c r="C660" s="46">
        <v>73562</v>
      </c>
      <c r="D660" s="46" t="s">
        <v>1893</v>
      </c>
      <c r="E660" s="46" t="s">
        <v>1248</v>
      </c>
      <c r="F660" s="46" t="s">
        <v>1495</v>
      </c>
      <c r="G660" s="47">
        <v>0.06</v>
      </c>
      <c r="H660" s="48">
        <v>0.008</v>
      </c>
      <c r="I660" s="48">
        <v>2.579</v>
      </c>
      <c r="J660" s="49">
        <v>316</v>
      </c>
      <c r="K660" s="49">
        <v>0</v>
      </c>
      <c r="L660" s="49">
        <v>316</v>
      </c>
    </row>
    <row r="661" spans="1:12" x14ac:dyDescent="0.25">
      <c r="A661" s="45">
        <f>C661&amp;"."&amp;IFERROR(MID(E661,FIND("(",E661)+1,FIND(")",E661)-FIND("(",E661)-1),"")</f>
      </c>
      <c r="B661" s="46" t="s">
        <v>1178</v>
      </c>
      <c r="C661" s="46">
        <v>73994</v>
      </c>
      <c r="D661" s="46" t="s">
        <v>264</v>
      </c>
      <c r="E661" s="46" t="s">
        <v>1894</v>
      </c>
      <c r="F661" s="46" t="s">
        <v>26</v>
      </c>
      <c r="G661" s="47">
        <v>28.8</v>
      </c>
      <c r="H661" s="48">
        <v>103.653</v>
      </c>
      <c r="I661" s="48">
        <v>518.266</v>
      </c>
      <c r="J661" s="49">
        <v>5</v>
      </c>
      <c r="K661" s="49">
        <v>0</v>
      </c>
      <c r="L661" s="49">
        <v>5</v>
      </c>
    </row>
    <row r="662" spans="1:12" x14ac:dyDescent="0.25">
      <c r="A662" s="45">
        <f>C662&amp;"."&amp;IFERROR(MID(E662,FIND("(",E662)+1,FIND(")",E662)-FIND("(",E662)-1),"")</f>
      </c>
      <c r="B662" s="46" t="s">
        <v>1178</v>
      </c>
      <c r="C662" s="46">
        <v>73994</v>
      </c>
      <c r="D662" s="46" t="s">
        <v>264</v>
      </c>
      <c r="E662" s="46" t="s">
        <v>1895</v>
      </c>
      <c r="F662" s="46" t="s">
        <v>26</v>
      </c>
      <c r="G662" s="47">
        <v>28.8</v>
      </c>
      <c r="H662" s="48">
        <v>102.53</v>
      </c>
      <c r="I662" s="48">
        <v>102.53</v>
      </c>
      <c r="J662" s="49">
        <v>1</v>
      </c>
      <c r="K662" s="49">
        <v>0</v>
      </c>
      <c r="L662" s="49">
        <v>1</v>
      </c>
    </row>
    <row r="663" spans="1:12" x14ac:dyDescent="0.25">
      <c r="A663" s="45">
        <f>C663&amp;"."&amp;IFERROR(MID(E663,FIND("(",E663)+1,FIND(")",E663)-FIND("(",E663)-1),"")</f>
      </c>
      <c r="B663" s="46" t="s">
        <v>1178</v>
      </c>
      <c r="C663" s="46">
        <v>73996</v>
      </c>
      <c r="D663" s="46" t="s">
        <v>1111</v>
      </c>
      <c r="E663" s="46" t="s">
        <v>1896</v>
      </c>
      <c r="F663" s="46" t="s">
        <v>26</v>
      </c>
      <c r="G663" s="47">
        <v>39.9</v>
      </c>
      <c r="H663" s="48">
        <v>138.8</v>
      </c>
      <c r="I663" s="48">
        <v>138.8</v>
      </c>
      <c r="J663" s="49">
        <v>1</v>
      </c>
      <c r="K663" s="49">
        <v>0</v>
      </c>
      <c r="L663" s="49">
        <v>1</v>
      </c>
    </row>
    <row r="664" spans="1:12" x14ac:dyDescent="0.25">
      <c r="A664" s="45">
        <f>C664&amp;"."&amp;IFERROR(MID(E664,FIND("(",E664)+1,FIND(")",E664)-FIND("(",E664)-1),"")</f>
      </c>
      <c r="B664" s="46" t="s">
        <v>1178</v>
      </c>
      <c r="C664" s="46">
        <v>73996</v>
      </c>
      <c r="D664" s="46" t="s">
        <v>1111</v>
      </c>
      <c r="E664" s="46" t="s">
        <v>1897</v>
      </c>
      <c r="F664" s="46" t="s">
        <v>26</v>
      </c>
      <c r="G664" s="47">
        <v>39.9</v>
      </c>
      <c r="H664" s="48">
        <v>145.482</v>
      </c>
      <c r="I664" s="48">
        <v>145.482</v>
      </c>
      <c r="J664" s="49">
        <v>1</v>
      </c>
      <c r="K664" s="49">
        <v>0</v>
      </c>
      <c r="L664" s="49">
        <v>1</v>
      </c>
    </row>
    <row r="665" spans="1:12" x14ac:dyDescent="0.25">
      <c r="A665" s="45">
        <f>C665&amp;"."&amp;IFERROR(MID(E665,FIND("(",E665)+1,FIND(")",E665)-FIND("(",E665)-1),"")</f>
      </c>
      <c r="B665" s="46" t="s">
        <v>1178</v>
      </c>
      <c r="C665" s="46">
        <v>74125</v>
      </c>
      <c r="D665" s="46" t="s">
        <v>282</v>
      </c>
      <c r="E665" s="46" t="s">
        <v>1898</v>
      </c>
      <c r="F665" s="46" t="s">
        <v>24</v>
      </c>
      <c r="G665" s="47">
        <v>8.9</v>
      </c>
      <c r="H665" s="48">
        <v>35.99</v>
      </c>
      <c r="I665" s="48">
        <v>71.98</v>
      </c>
      <c r="J665" s="49">
        <v>2</v>
      </c>
      <c r="K665" s="49">
        <v>0</v>
      </c>
      <c r="L665" s="49">
        <v>2</v>
      </c>
    </row>
    <row r="666" spans="1:12" x14ac:dyDescent="0.25">
      <c r="A666" s="45">
        <f>C666&amp;"."&amp;IFERROR(MID(E666,FIND("(",E666)+1,FIND(")",E666)-FIND("(",E666)-1),"")</f>
      </c>
      <c r="B666" s="46" t="s">
        <v>1178</v>
      </c>
      <c r="C666" s="46">
        <v>74198</v>
      </c>
      <c r="D666" s="46" t="s">
        <v>566</v>
      </c>
      <c r="E666" s="46" t="s">
        <v>1899</v>
      </c>
      <c r="F666" s="46" t="s">
        <v>24</v>
      </c>
      <c r="G666" s="47">
        <v>15.25</v>
      </c>
      <c r="H666" s="48">
        <v>107.78</v>
      </c>
      <c r="I666" s="48">
        <v>31902.875</v>
      </c>
      <c r="J666" s="49">
        <v>296</v>
      </c>
      <c r="K666" s="49">
        <v>201</v>
      </c>
      <c r="L666" s="49">
        <v>95</v>
      </c>
    </row>
    <row r="667" spans="1:12" x14ac:dyDescent="0.25">
      <c r="A667" s="45">
        <f>C667&amp;"."&amp;IFERROR(MID(E667,FIND("(",E667)+1,FIND(")",E667)-FIND("(",E667)-1),"")</f>
      </c>
      <c r="B667" s="46" t="s">
        <v>1178</v>
      </c>
      <c r="C667" s="46">
        <v>74198</v>
      </c>
      <c r="D667" s="46" t="s">
        <v>566</v>
      </c>
      <c r="E667" s="46" t="s">
        <v>1900</v>
      </c>
      <c r="F667" s="46" t="s">
        <v>24</v>
      </c>
      <c r="G667" s="47">
        <v>15.25</v>
      </c>
      <c r="H667" s="48">
        <v>60.799</v>
      </c>
      <c r="I667" s="48">
        <v>851.191</v>
      </c>
      <c r="J667" s="49">
        <v>14</v>
      </c>
      <c r="K667" s="49">
        <v>0</v>
      </c>
      <c r="L667" s="49">
        <v>14</v>
      </c>
    </row>
    <row r="668" spans="1:12" x14ac:dyDescent="0.25">
      <c r="A668" s="45">
        <f>C668&amp;"."&amp;IFERROR(MID(E668,FIND("(",E668)+1,FIND(")",E668)-FIND("(",E668)-1),"")</f>
      </c>
      <c r="B668" s="46" t="s">
        <v>1178</v>
      </c>
      <c r="C668" s="46">
        <v>74198</v>
      </c>
      <c r="D668" s="46" t="s">
        <v>566</v>
      </c>
      <c r="E668" s="46" t="s">
        <v>1901</v>
      </c>
      <c r="F668" s="46" t="s">
        <v>24</v>
      </c>
      <c r="G668" s="47">
        <v>15.25</v>
      </c>
      <c r="H668" s="48">
        <v>82.421</v>
      </c>
      <c r="I668" s="48">
        <v>11374.062</v>
      </c>
      <c r="J668" s="49">
        <v>138</v>
      </c>
      <c r="K668" s="49">
        <v>92</v>
      </c>
      <c r="L668" s="49">
        <v>46</v>
      </c>
    </row>
    <row r="669" spans="1:12" x14ac:dyDescent="0.25">
      <c r="A669" s="45">
        <f>C669&amp;"."&amp;IFERROR(MID(E669,FIND("(",E669)+1,FIND(")",E669)-FIND("(",E669)-1),"")</f>
      </c>
      <c r="B669" s="46" t="s">
        <v>1178</v>
      </c>
      <c r="C669" s="46">
        <v>74198</v>
      </c>
      <c r="D669" s="46" t="s">
        <v>566</v>
      </c>
      <c r="E669" s="46" t="s">
        <v>1902</v>
      </c>
      <c r="F669" s="46" t="s">
        <v>24</v>
      </c>
      <c r="G669" s="47">
        <v>15.25</v>
      </c>
      <c r="H669" s="48">
        <v>80.654</v>
      </c>
      <c r="I669" s="48">
        <v>16050.232</v>
      </c>
      <c r="J669" s="49">
        <v>199</v>
      </c>
      <c r="K669" s="49">
        <v>70</v>
      </c>
      <c r="L669" s="49">
        <v>129</v>
      </c>
    </row>
    <row r="670" spans="1:12" x14ac:dyDescent="0.25">
      <c r="A670" s="45">
        <f>C670&amp;"."&amp;IFERROR(MID(E670,FIND("(",E670)+1,FIND(")",E670)-FIND("(",E670)-1),"")</f>
      </c>
      <c r="B670" s="46" t="s">
        <v>1178</v>
      </c>
      <c r="C670" s="46">
        <v>74201</v>
      </c>
      <c r="D670" s="46" t="s">
        <v>287</v>
      </c>
      <c r="E670" s="46" t="s">
        <v>1903</v>
      </c>
      <c r="F670" s="46" t="s">
        <v>25</v>
      </c>
      <c r="G670" s="47">
        <v>39.4</v>
      </c>
      <c r="H670" s="48">
        <v>151.977</v>
      </c>
      <c r="I670" s="48">
        <v>3799.43</v>
      </c>
      <c r="J670" s="49">
        <v>25</v>
      </c>
      <c r="K670" s="49">
        <v>6</v>
      </c>
      <c r="L670" s="49">
        <v>19</v>
      </c>
    </row>
    <row r="671" spans="1:12" x14ac:dyDescent="0.25">
      <c r="A671" s="45">
        <f>C671&amp;"."&amp;IFERROR(MID(E671,FIND("(",E671)+1,FIND(")",E671)-FIND("(",E671)-1),"")</f>
      </c>
      <c r="B671" s="46" t="s">
        <v>1178</v>
      </c>
      <c r="C671" s="46">
        <v>74201</v>
      </c>
      <c r="D671" s="46" t="s">
        <v>287</v>
      </c>
      <c r="E671" s="46" t="s">
        <v>1904</v>
      </c>
      <c r="F671" s="46" t="s">
        <v>25</v>
      </c>
      <c r="G671" s="47">
        <v>39.4</v>
      </c>
      <c r="H671" s="48">
        <v>156.452</v>
      </c>
      <c r="I671" s="48">
        <v>38330.659</v>
      </c>
      <c r="J671" s="49">
        <v>245</v>
      </c>
      <c r="K671" s="49">
        <v>238</v>
      </c>
      <c r="L671" s="49">
        <v>7</v>
      </c>
    </row>
    <row r="672" spans="1:12" x14ac:dyDescent="0.25">
      <c r="A672" s="45">
        <f>C672&amp;"."&amp;IFERROR(MID(E672,FIND("(",E672)+1,FIND(")",E672)-FIND("(",E672)-1),"")</f>
      </c>
      <c r="B672" s="46" t="s">
        <v>1178</v>
      </c>
      <c r="C672" s="46">
        <v>74201</v>
      </c>
      <c r="D672" s="46" t="s">
        <v>287</v>
      </c>
      <c r="E672" s="46" t="s">
        <v>1905</v>
      </c>
      <c r="F672" s="46" t="s">
        <v>25</v>
      </c>
      <c r="G672" s="47">
        <v>39.4</v>
      </c>
      <c r="H672" s="48">
        <v>151.429</v>
      </c>
      <c r="I672" s="48">
        <v>11508.588</v>
      </c>
      <c r="J672" s="49">
        <v>76</v>
      </c>
      <c r="K672" s="49">
        <v>73</v>
      </c>
      <c r="L672" s="49">
        <v>3</v>
      </c>
    </row>
    <row r="673" spans="1:12" x14ac:dyDescent="0.25">
      <c r="A673" s="45">
        <f>C673&amp;"."&amp;IFERROR(MID(E673,FIND("(",E673)+1,FIND(")",E673)-FIND("(",E673)-1),"")</f>
      </c>
      <c r="B673" s="46" t="s">
        <v>1178</v>
      </c>
      <c r="C673" s="46">
        <v>74201</v>
      </c>
      <c r="D673" s="46" t="s">
        <v>287</v>
      </c>
      <c r="E673" s="46" t="s">
        <v>1906</v>
      </c>
      <c r="F673" s="46" t="s">
        <v>25</v>
      </c>
      <c r="G673" s="47">
        <v>39.4</v>
      </c>
      <c r="H673" s="48">
        <v>141.5</v>
      </c>
      <c r="I673" s="48">
        <v>25753.088</v>
      </c>
      <c r="J673" s="49">
        <v>182</v>
      </c>
      <c r="K673" s="49">
        <v>142</v>
      </c>
      <c r="L673" s="49">
        <v>40</v>
      </c>
    </row>
    <row r="674" spans="1:12" x14ac:dyDescent="0.25">
      <c r="A674" s="45">
        <f>C674&amp;"."&amp;IFERROR(MID(E674,FIND("(",E674)+1,FIND(")",E674)-FIND("(",E674)-1),"")</f>
      </c>
      <c r="B674" s="46" t="s">
        <v>1178</v>
      </c>
      <c r="C674" s="46">
        <v>74201</v>
      </c>
      <c r="D674" s="46" t="s">
        <v>287</v>
      </c>
      <c r="E674" s="46" t="s">
        <v>1907</v>
      </c>
      <c r="F674" s="46" t="s">
        <v>25</v>
      </c>
      <c r="G674" s="47">
        <v>39.4</v>
      </c>
      <c r="H674" s="48">
        <v>150.435</v>
      </c>
      <c r="I674" s="48">
        <v>1353.911</v>
      </c>
      <c r="J674" s="49">
        <v>9</v>
      </c>
      <c r="K674" s="49">
        <v>1</v>
      </c>
      <c r="L674" s="49">
        <v>8</v>
      </c>
    </row>
    <row r="675" spans="1:12" x14ac:dyDescent="0.25">
      <c r="A675" s="45">
        <f>C675&amp;"."&amp;IFERROR(MID(E675,FIND("(",E675)+1,FIND(")",E675)-FIND("(",E675)-1),"")</f>
      </c>
      <c r="B675" s="46" t="s">
        <v>1178</v>
      </c>
      <c r="C675" s="46">
        <v>74269</v>
      </c>
      <c r="D675" s="46" t="s">
        <v>412</v>
      </c>
      <c r="E675" s="46" t="s">
        <v>1908</v>
      </c>
      <c r="F675" s="46" t="s">
        <v>26</v>
      </c>
      <c r="G675" s="47">
        <v>48.25</v>
      </c>
      <c r="H675" s="48">
        <v>147.733</v>
      </c>
      <c r="I675" s="48">
        <v>738.667</v>
      </c>
      <c r="J675" s="49">
        <v>5</v>
      </c>
      <c r="K675" s="49">
        <v>0</v>
      </c>
      <c r="L675" s="49">
        <v>5</v>
      </c>
    </row>
    <row r="676" spans="1:12" x14ac:dyDescent="0.25">
      <c r="A676" s="45">
        <f>C676&amp;"."&amp;IFERROR(MID(E676,FIND("(",E676)+1,FIND(")",E676)-FIND("(",E676)-1),"")</f>
      </c>
      <c r="B676" s="46" t="s">
        <v>1178</v>
      </c>
      <c r="C676" s="46">
        <v>74272</v>
      </c>
      <c r="D676" s="46" t="s">
        <v>309</v>
      </c>
      <c r="E676" s="46" t="s">
        <v>1909</v>
      </c>
      <c r="F676" s="46" t="s">
        <v>26</v>
      </c>
      <c r="G676" s="47">
        <v>68.5</v>
      </c>
      <c r="H676" s="48">
        <v>220.075</v>
      </c>
      <c r="I676" s="48">
        <v>220.075</v>
      </c>
      <c r="J676" s="49">
        <v>1</v>
      </c>
      <c r="K676" s="49">
        <v>0</v>
      </c>
      <c r="L676" s="49">
        <v>1</v>
      </c>
    </row>
    <row r="677" spans="1:12" x14ac:dyDescent="0.25">
      <c r="A677" s="45">
        <f>C677&amp;"."&amp;IFERROR(MID(E677,FIND("(",E677)+1,FIND(")",E677)-FIND("(",E677)-1),"")</f>
      </c>
      <c r="B677" s="46" t="s">
        <v>1178</v>
      </c>
      <c r="C677" s="46">
        <v>74272</v>
      </c>
      <c r="D677" s="46" t="s">
        <v>309</v>
      </c>
      <c r="E677" s="46" t="s">
        <v>1910</v>
      </c>
      <c r="F677" s="46" t="s">
        <v>26</v>
      </c>
      <c r="G677" s="47">
        <v>68.5</v>
      </c>
      <c r="H677" s="48">
        <v>217.921</v>
      </c>
      <c r="I677" s="48">
        <v>217.921</v>
      </c>
      <c r="J677" s="49">
        <v>1</v>
      </c>
      <c r="K677" s="49">
        <v>0</v>
      </c>
      <c r="L677" s="49">
        <v>1</v>
      </c>
    </row>
    <row r="678" spans="1:12" x14ac:dyDescent="0.25">
      <c r="A678" s="45">
        <f>C678&amp;"."&amp;IFERROR(MID(E678,FIND("(",E678)+1,FIND(")",E678)-FIND("(",E678)-1),"")</f>
      </c>
      <c r="B678" s="46" t="s">
        <v>1178</v>
      </c>
      <c r="C678" s="46">
        <v>74276</v>
      </c>
      <c r="D678" s="46" t="s">
        <v>1911</v>
      </c>
      <c r="E678" s="46" t="s">
        <v>1248</v>
      </c>
      <c r="F678" s="46" t="s">
        <v>1495</v>
      </c>
      <c r="G678" s="47">
        <v>0.01</v>
      </c>
      <c r="H678" s="48">
        <v>0.009</v>
      </c>
      <c r="I678" s="48">
        <v>2.521</v>
      </c>
      <c r="J678" s="49">
        <v>273</v>
      </c>
      <c r="K678" s="49">
        <v>3</v>
      </c>
      <c r="L678" s="49">
        <v>270</v>
      </c>
    </row>
    <row r="679" spans="1:12" x14ac:dyDescent="0.25">
      <c r="A679" s="45">
        <f>C679&amp;"."&amp;IFERROR(MID(E679,FIND("(",E679)+1,FIND(")",E679)-FIND("(",E679)-1),"")</f>
      </c>
      <c r="B679" s="46" t="s">
        <v>1178</v>
      </c>
      <c r="C679" s="46">
        <v>74493</v>
      </c>
      <c r="D679" s="46" t="s">
        <v>336</v>
      </c>
      <c r="E679" s="46" t="s">
        <v>1912</v>
      </c>
      <c r="F679" s="46" t="s">
        <v>24</v>
      </c>
      <c r="G679" s="47">
        <v>7</v>
      </c>
      <c r="H679" s="48">
        <v>21.601</v>
      </c>
      <c r="I679" s="48">
        <v>43.202</v>
      </c>
      <c r="J679" s="49">
        <v>2</v>
      </c>
      <c r="K679" s="49">
        <v>0</v>
      </c>
      <c r="L679" s="49">
        <v>2</v>
      </c>
    </row>
    <row r="680" spans="1:12" x14ac:dyDescent="0.25">
      <c r="A680" s="45">
        <f>C680&amp;"."&amp;IFERROR(MID(E680,FIND("(",E680)+1,FIND(")",E680)-FIND("(",E680)-1),"")</f>
      </c>
      <c r="B680" s="46" t="s">
        <v>1178</v>
      </c>
      <c r="C680" s="46">
        <v>74501</v>
      </c>
      <c r="D680" s="46" t="s">
        <v>922</v>
      </c>
      <c r="E680" s="46" t="s">
        <v>1913</v>
      </c>
      <c r="F680" s="46" t="s">
        <v>24</v>
      </c>
      <c r="G680" s="47">
        <v>19</v>
      </c>
      <c r="H680" s="48">
        <v>64.285</v>
      </c>
      <c r="I680" s="48">
        <v>128.57</v>
      </c>
      <c r="J680" s="49">
        <v>2</v>
      </c>
      <c r="K680" s="49">
        <v>0</v>
      </c>
      <c r="L680" s="49">
        <v>2</v>
      </c>
    </row>
    <row r="681" spans="1:12" x14ac:dyDescent="0.25">
      <c r="A681" s="45">
        <f>C681&amp;"."&amp;IFERROR(MID(E681,FIND("(",E681)+1,FIND(")",E681)-FIND("(",E681)-1),"")</f>
      </c>
      <c r="B681" s="46" t="s">
        <v>1178</v>
      </c>
      <c r="C681" s="46">
        <v>74509</v>
      </c>
      <c r="D681" s="46" t="s">
        <v>420</v>
      </c>
      <c r="E681" s="46" t="s">
        <v>1914</v>
      </c>
      <c r="F681" s="46" t="s">
        <v>24</v>
      </c>
      <c r="G681" s="47">
        <v>11.62</v>
      </c>
      <c r="H681" s="48">
        <v>47.488</v>
      </c>
      <c r="I681" s="48">
        <v>47.488</v>
      </c>
      <c r="J681" s="49">
        <v>1</v>
      </c>
      <c r="K681" s="49">
        <v>0</v>
      </c>
      <c r="L681" s="49">
        <v>1</v>
      </c>
    </row>
    <row r="682" spans="1:12" x14ac:dyDescent="0.25">
      <c r="A682" s="45">
        <f>C682&amp;"."&amp;IFERROR(MID(E682,FIND("(",E682)+1,FIND(")",E682)-FIND("(",E682)-1),"")</f>
      </c>
      <c r="B682" s="46" t="s">
        <v>1178</v>
      </c>
      <c r="C682" s="46">
        <v>74551</v>
      </c>
      <c r="D682" s="46" t="s">
        <v>495</v>
      </c>
      <c r="E682" s="46" t="s">
        <v>1915</v>
      </c>
      <c r="F682" s="46" t="s">
        <v>25</v>
      </c>
      <c r="G682" s="47">
        <v>54.64</v>
      </c>
      <c r="H682" s="48">
        <v>302.48</v>
      </c>
      <c r="I682" s="48">
        <v>113127.551</v>
      </c>
      <c r="J682" s="49">
        <v>374</v>
      </c>
      <c r="K682" s="49">
        <v>111</v>
      </c>
      <c r="L682" s="49">
        <v>263</v>
      </c>
    </row>
    <row r="683" spans="1:12" x14ac:dyDescent="0.25">
      <c r="A683" s="45">
        <f>C683&amp;"."&amp;IFERROR(MID(E683,FIND("(",E683)+1,FIND(")",E683)-FIND("(",E683)-1),"")</f>
      </c>
      <c r="B683" s="46" t="s">
        <v>1178</v>
      </c>
      <c r="C683" s="46">
        <v>74551</v>
      </c>
      <c r="D683" s="46" t="s">
        <v>495</v>
      </c>
      <c r="E683" s="46" t="s">
        <v>1916</v>
      </c>
      <c r="F683" s="46" t="s">
        <v>25</v>
      </c>
      <c r="G683" s="47">
        <v>54.64</v>
      </c>
      <c r="H683" s="48">
        <v>293.989</v>
      </c>
      <c r="I683" s="48">
        <v>41452.417</v>
      </c>
      <c r="J683" s="49">
        <v>141</v>
      </c>
      <c r="K683" s="49">
        <v>60</v>
      </c>
      <c r="L683" s="49">
        <v>81</v>
      </c>
    </row>
    <row r="684" spans="1:12" x14ac:dyDescent="0.25">
      <c r="A684" s="45">
        <f>C684&amp;"."&amp;IFERROR(MID(E684,FIND("(",E684)+1,FIND(")",E684)-FIND("(",E684)-1),"")</f>
      </c>
      <c r="B684" s="46" t="s">
        <v>1178</v>
      </c>
      <c r="C684" s="46">
        <v>74552</v>
      </c>
      <c r="D684" s="46" t="s">
        <v>341</v>
      </c>
      <c r="E684" s="46" t="s">
        <v>1917</v>
      </c>
      <c r="F684" s="46" t="s">
        <v>25</v>
      </c>
      <c r="G684" s="47">
        <v>51.84</v>
      </c>
      <c r="H684" s="48">
        <v>344.36</v>
      </c>
      <c r="I684" s="48">
        <v>126724.649</v>
      </c>
      <c r="J684" s="49">
        <v>368</v>
      </c>
      <c r="K684" s="49">
        <v>111</v>
      </c>
      <c r="L684" s="49">
        <v>257</v>
      </c>
    </row>
    <row r="685" spans="1:12" x14ac:dyDescent="0.25">
      <c r="A685" s="45">
        <f>C685&amp;"."&amp;IFERROR(MID(E685,FIND("(",E685)+1,FIND(")",E685)-FIND("(",E685)-1),"")</f>
      </c>
      <c r="B685" s="46" t="s">
        <v>1178</v>
      </c>
      <c r="C685" s="46">
        <v>74552</v>
      </c>
      <c r="D685" s="46" t="s">
        <v>341</v>
      </c>
      <c r="E685" s="46" t="s">
        <v>1918</v>
      </c>
      <c r="F685" s="46" t="s">
        <v>25</v>
      </c>
      <c r="G685" s="47">
        <v>51.84</v>
      </c>
      <c r="H685" s="48">
        <v>349.917</v>
      </c>
      <c r="I685" s="48">
        <v>52137.705</v>
      </c>
      <c r="J685" s="49">
        <v>149</v>
      </c>
      <c r="K685" s="49">
        <v>60</v>
      </c>
      <c r="L685" s="49">
        <v>89</v>
      </c>
    </row>
    <row r="686" spans="1:12" x14ac:dyDescent="0.25">
      <c r="A686" s="45">
        <f>C686&amp;"."&amp;IFERROR(MID(E686,FIND("(",E686)+1,FIND(")",E686)-FIND("(",E686)-1),"")</f>
      </c>
      <c r="B686" s="46" t="s">
        <v>1178</v>
      </c>
      <c r="C686" s="46">
        <v>74614</v>
      </c>
      <c r="D686" s="46" t="s">
        <v>600</v>
      </c>
      <c r="E686" s="46" t="s">
        <v>1919</v>
      </c>
      <c r="F686" s="46" t="s">
        <v>26</v>
      </c>
      <c r="G686" s="47">
        <v>37.25</v>
      </c>
      <c r="H686" s="48">
        <v>105.774</v>
      </c>
      <c r="I686" s="48">
        <v>105.774</v>
      </c>
      <c r="J686" s="49">
        <v>1</v>
      </c>
      <c r="K686" s="49">
        <v>0</v>
      </c>
      <c r="L686" s="49">
        <v>1</v>
      </c>
    </row>
    <row r="687" spans="1:12" x14ac:dyDescent="0.25">
      <c r="A687" s="45">
        <f>C687&amp;"."&amp;IFERROR(MID(E687,FIND("(",E687)+1,FIND(")",E687)-FIND("(",E687)-1),"")</f>
      </c>
      <c r="B687" s="46" t="s">
        <v>1178</v>
      </c>
      <c r="C687" s="46">
        <v>74670</v>
      </c>
      <c r="D687" s="46" t="s">
        <v>1024</v>
      </c>
      <c r="E687" s="46" t="s">
        <v>1920</v>
      </c>
      <c r="F687" s="46" t="s">
        <v>26</v>
      </c>
      <c r="G687" s="47">
        <v>39.8</v>
      </c>
      <c r="H687" s="48">
        <v>123.28</v>
      </c>
      <c r="I687" s="48">
        <v>616.402</v>
      </c>
      <c r="J687" s="49">
        <v>5</v>
      </c>
      <c r="K687" s="49">
        <v>0</v>
      </c>
      <c r="L687" s="49">
        <v>5</v>
      </c>
    </row>
    <row r="688" spans="1:12" x14ac:dyDescent="0.25">
      <c r="A688" s="45">
        <f>C688&amp;"."&amp;IFERROR(MID(E688,FIND("(",E688)+1,FIND(")",E688)-FIND("(",E688)-1),"")</f>
      </c>
      <c r="B688" s="46" t="s">
        <v>1178</v>
      </c>
      <c r="C688" s="46">
        <v>74684</v>
      </c>
      <c r="D688" s="46" t="s">
        <v>1921</v>
      </c>
      <c r="E688" s="46" t="s">
        <v>1922</v>
      </c>
      <c r="F688" s="46" t="s">
        <v>26</v>
      </c>
      <c r="G688" s="47">
        <v>2.78</v>
      </c>
      <c r="H688" s="48">
        <v>8.051</v>
      </c>
      <c r="I688" s="48">
        <v>40.257</v>
      </c>
      <c r="J688" s="49">
        <v>5</v>
      </c>
      <c r="K688" s="49">
        <v>5</v>
      </c>
      <c r="L688" s="49">
        <v>0</v>
      </c>
    </row>
    <row r="689" spans="1:12" x14ac:dyDescent="0.25">
      <c r="A689" s="45">
        <f>C689&amp;"."&amp;IFERROR(MID(E689,FIND("(",E689)+1,FIND(")",E689)-FIND("(",E689)-1),"")</f>
      </c>
      <c r="B689" s="46" t="s">
        <v>1178</v>
      </c>
      <c r="C689" s="46">
        <v>74684</v>
      </c>
      <c r="D689" s="46" t="s">
        <v>1921</v>
      </c>
      <c r="E689" s="46" t="s">
        <v>1923</v>
      </c>
      <c r="F689" s="46" t="s">
        <v>26</v>
      </c>
      <c r="G689" s="47">
        <v>2.78</v>
      </c>
      <c r="H689" s="48">
        <v>7.924</v>
      </c>
      <c r="I689" s="48">
        <v>95.082</v>
      </c>
      <c r="J689" s="49">
        <v>12</v>
      </c>
      <c r="K689" s="49">
        <v>0</v>
      </c>
      <c r="L689" s="49">
        <v>12</v>
      </c>
    </row>
    <row r="690" spans="1:12" x14ac:dyDescent="0.25">
      <c r="A690" s="45">
        <f>C690&amp;"."&amp;IFERROR(MID(E690,FIND("(",E690)+1,FIND(")",E690)-FIND("(",E690)-1),"")</f>
      </c>
      <c r="B690" s="46" t="s">
        <v>1178</v>
      </c>
      <c r="C690" s="46">
        <v>74728</v>
      </c>
      <c r="D690" s="46" t="s">
        <v>1924</v>
      </c>
      <c r="E690" s="46" t="s">
        <v>1248</v>
      </c>
      <c r="F690" s="46" t="s">
        <v>26</v>
      </c>
      <c r="G690" s="47">
        <v>1.17</v>
      </c>
      <c r="H690" s="48">
        <v>14.024</v>
      </c>
      <c r="I690" s="48">
        <v>14.024</v>
      </c>
      <c r="J690" s="49">
        <v>1</v>
      </c>
      <c r="K690" s="49">
        <v>1</v>
      </c>
      <c r="L690" s="49">
        <v>0</v>
      </c>
    </row>
    <row r="691" spans="1:12" x14ac:dyDescent="0.25">
      <c r="A691" s="45">
        <f>C691&amp;"."&amp;IFERROR(MID(E691,FIND("(",E691)+1,FIND(")",E691)-FIND("(",E691)-1),"")</f>
      </c>
      <c r="B691" s="46" t="s">
        <v>1178</v>
      </c>
      <c r="C691" s="46">
        <v>74747</v>
      </c>
      <c r="D691" s="46" t="s">
        <v>1925</v>
      </c>
      <c r="E691" s="46" t="s">
        <v>1248</v>
      </c>
      <c r="F691" s="46" t="s">
        <v>1926</v>
      </c>
      <c r="G691" s="47">
        <v>0</v>
      </c>
      <c r="H691" s="48">
        <v>2.09</v>
      </c>
      <c r="I691" s="48">
        <v>27.17</v>
      </c>
      <c r="J691" s="49">
        <v>13</v>
      </c>
      <c r="K691" s="49">
        <v>0</v>
      </c>
      <c r="L691" s="49">
        <v>13</v>
      </c>
    </row>
    <row r="692" spans="1:12" x14ac:dyDescent="0.25">
      <c r="A692" s="45">
        <f>C692&amp;"."&amp;IFERROR(MID(E692,FIND("(",E692)+1,FIND(")",E692)-FIND("(",E692)-1),"")</f>
      </c>
      <c r="B692" s="46" t="s">
        <v>1178</v>
      </c>
      <c r="C692" s="46">
        <v>74749</v>
      </c>
      <c r="D692" s="46" t="s">
        <v>1927</v>
      </c>
      <c r="E692" s="46" t="s">
        <v>1928</v>
      </c>
      <c r="F692" s="46" t="s">
        <v>26</v>
      </c>
      <c r="G692" s="47">
        <v>3.48</v>
      </c>
      <c r="H692" s="48">
        <v>0.004</v>
      </c>
      <c r="I692" s="48">
        <v>0.021</v>
      </c>
      <c r="J692" s="49">
        <v>5</v>
      </c>
      <c r="K692" s="49">
        <v>0</v>
      </c>
      <c r="L692" s="49">
        <v>5</v>
      </c>
    </row>
    <row r="693" spans="1:12" x14ac:dyDescent="0.25">
      <c r="A693" s="45">
        <f>C693&amp;"."&amp;IFERROR(MID(E693,FIND("(",E693)+1,FIND(")",E693)-FIND("(",E693)-1),"")</f>
      </c>
      <c r="B693" s="46" t="s">
        <v>1178</v>
      </c>
      <c r="C693" s="46">
        <v>74750</v>
      </c>
      <c r="D693" s="46" t="s">
        <v>1929</v>
      </c>
      <c r="E693" s="46" t="s">
        <v>1930</v>
      </c>
      <c r="F693" s="46" t="s">
        <v>26</v>
      </c>
      <c r="G693" s="47">
        <v>3.12</v>
      </c>
      <c r="H693" s="48">
        <v>13.935</v>
      </c>
      <c r="I693" s="48">
        <v>41.806</v>
      </c>
      <c r="J693" s="49">
        <v>3</v>
      </c>
      <c r="K693" s="49">
        <v>0</v>
      </c>
      <c r="L693" s="49">
        <v>3</v>
      </c>
    </row>
    <row r="694" spans="1:12" x14ac:dyDescent="0.25">
      <c r="A694" s="45">
        <f>C694&amp;"."&amp;IFERROR(MID(E694,FIND("(",E694)+1,FIND(")",E694)-FIND("(",E694)-1),"")</f>
      </c>
      <c r="B694" s="46" t="s">
        <v>1178</v>
      </c>
      <c r="C694" s="46">
        <v>74750</v>
      </c>
      <c r="D694" s="46" t="s">
        <v>1929</v>
      </c>
      <c r="E694" s="46" t="s">
        <v>1931</v>
      </c>
      <c r="F694" s="46" t="s">
        <v>26</v>
      </c>
      <c r="G694" s="47">
        <v>3.12</v>
      </c>
      <c r="H694" s="48">
        <v>14.113</v>
      </c>
      <c r="I694" s="48">
        <v>56.454</v>
      </c>
      <c r="J694" s="49">
        <v>4</v>
      </c>
      <c r="K694" s="49">
        <v>0</v>
      </c>
      <c r="L694" s="49">
        <v>4</v>
      </c>
    </row>
    <row r="695" spans="1:12" x14ac:dyDescent="0.25">
      <c r="A695" s="45">
        <f>C695&amp;"."&amp;IFERROR(MID(E695,FIND("(",E695)+1,FIND(")",E695)-FIND("(",E695)-1),"")</f>
      </c>
      <c r="B695" s="46" t="s">
        <v>1178</v>
      </c>
      <c r="C695" s="46">
        <v>74752</v>
      </c>
      <c r="D695" s="46" t="s">
        <v>1932</v>
      </c>
      <c r="E695" s="46" t="s">
        <v>1933</v>
      </c>
      <c r="F695" s="46" t="s">
        <v>26</v>
      </c>
      <c r="G695" s="47">
        <v>3.09</v>
      </c>
      <c r="H695" s="48">
        <v>7.97</v>
      </c>
      <c r="I695" s="48">
        <v>15.94</v>
      </c>
      <c r="J695" s="49">
        <v>2</v>
      </c>
      <c r="K695" s="49">
        <v>0</v>
      </c>
      <c r="L695" s="49">
        <v>2</v>
      </c>
    </row>
    <row r="696" spans="1:12" x14ac:dyDescent="0.25">
      <c r="A696" s="45">
        <f>C696&amp;"."&amp;IFERROR(MID(E696,FIND("(",E696)+1,FIND(")",E696)-FIND("(",E696)-1),"")</f>
      </c>
      <c r="B696" s="46" t="s">
        <v>1178</v>
      </c>
      <c r="C696" s="46">
        <v>74752</v>
      </c>
      <c r="D696" s="46" t="s">
        <v>1932</v>
      </c>
      <c r="E696" s="46" t="s">
        <v>1934</v>
      </c>
      <c r="F696" s="46" t="s">
        <v>26</v>
      </c>
      <c r="G696" s="47">
        <v>3.09</v>
      </c>
      <c r="H696" s="48">
        <v>7.938</v>
      </c>
      <c r="I696" s="48">
        <v>15.877</v>
      </c>
      <c r="J696" s="49">
        <v>2</v>
      </c>
      <c r="K696" s="49">
        <v>0</v>
      </c>
      <c r="L696" s="49">
        <v>2</v>
      </c>
    </row>
    <row r="697" spans="1:12" x14ac:dyDescent="0.25">
      <c r="A697" s="45">
        <f>C697&amp;"."&amp;IFERROR(MID(E697,FIND("(",E697)+1,FIND(")",E697)-FIND("(",E697)-1),"")</f>
      </c>
      <c r="B697" s="46" t="s">
        <v>1178</v>
      </c>
      <c r="C697" s="46">
        <v>74752</v>
      </c>
      <c r="D697" s="46" t="s">
        <v>1932</v>
      </c>
      <c r="E697" s="46" t="s">
        <v>1935</v>
      </c>
      <c r="F697" s="46" t="s">
        <v>26</v>
      </c>
      <c r="G697" s="47">
        <v>3.09</v>
      </c>
      <c r="H697" s="48">
        <v>13.481</v>
      </c>
      <c r="I697" s="48">
        <v>53.924</v>
      </c>
      <c r="J697" s="49">
        <v>4</v>
      </c>
      <c r="K697" s="49">
        <v>2</v>
      </c>
      <c r="L697" s="49">
        <v>2</v>
      </c>
    </row>
    <row r="698" spans="1:12" x14ac:dyDescent="0.25">
      <c r="A698" s="45">
        <f>C698&amp;"."&amp;IFERROR(MID(E698,FIND("(",E698)+1,FIND(")",E698)-FIND("(",E698)-1),"")</f>
      </c>
      <c r="B698" s="46" t="s">
        <v>1178</v>
      </c>
      <c r="C698" s="46">
        <v>74753</v>
      </c>
      <c r="D698" s="46" t="s">
        <v>1936</v>
      </c>
      <c r="E698" s="46" t="s">
        <v>1248</v>
      </c>
      <c r="F698" s="46" t="s">
        <v>26</v>
      </c>
      <c r="G698" s="47">
        <v>3.09</v>
      </c>
      <c r="H698" s="48">
        <v>6.943</v>
      </c>
      <c r="I698" s="48">
        <v>20.828</v>
      </c>
      <c r="J698" s="49">
        <v>3</v>
      </c>
      <c r="K698" s="49">
        <v>0</v>
      </c>
      <c r="L698" s="49">
        <v>3</v>
      </c>
    </row>
    <row r="699" spans="1:12" x14ac:dyDescent="0.25">
      <c r="A699" s="45">
        <f>C699&amp;"."&amp;IFERROR(MID(E699,FIND("(",E699)+1,FIND(")",E699)-FIND("(",E699)-1),"")</f>
      </c>
      <c r="B699" s="46" t="s">
        <v>1178</v>
      </c>
      <c r="C699" s="46">
        <v>74796</v>
      </c>
      <c r="D699" s="46" t="s">
        <v>1937</v>
      </c>
      <c r="E699" s="46" t="s">
        <v>1248</v>
      </c>
      <c r="F699" s="46" t="s">
        <v>1926</v>
      </c>
      <c r="G699" s="47">
        <v>0.02</v>
      </c>
      <c r="H699" s="48">
        <v>1</v>
      </c>
      <c r="I699" s="48">
        <v>12</v>
      </c>
      <c r="J699" s="49">
        <v>12</v>
      </c>
      <c r="K699" s="49">
        <v>0</v>
      </c>
      <c r="L699" s="49">
        <v>12</v>
      </c>
    </row>
    <row r="700" spans="1:12" x14ac:dyDescent="0.25">
      <c r="A700" s="45">
        <f>C700&amp;"."&amp;IFERROR(MID(E700,FIND("(",E700)+1,FIND(")",E700)-FIND("(",E700)-1),"")</f>
      </c>
      <c r="B700" s="46" t="s">
        <v>1178</v>
      </c>
      <c r="C700" s="46">
        <v>74809</v>
      </c>
      <c r="D700" s="46" t="s">
        <v>1938</v>
      </c>
      <c r="E700" s="46" t="s">
        <v>1939</v>
      </c>
      <c r="F700" s="46" t="s">
        <v>24</v>
      </c>
      <c r="G700" s="47">
        <v>0.36</v>
      </c>
      <c r="H700" s="48">
        <v>1.42</v>
      </c>
      <c r="I700" s="48">
        <v>2.84</v>
      </c>
      <c r="J700" s="49">
        <v>2</v>
      </c>
      <c r="K700" s="49">
        <v>0</v>
      </c>
      <c r="L700" s="49">
        <v>2</v>
      </c>
    </row>
    <row r="701" spans="1:12" x14ac:dyDescent="0.25">
      <c r="A701" s="45">
        <f>C701&amp;"."&amp;IFERROR(MID(E701,FIND("(",E701)+1,FIND(")",E701)-FIND("(",E701)-1),"")</f>
      </c>
      <c r="B701" s="46" t="s">
        <v>1178</v>
      </c>
      <c r="C701" s="46">
        <v>74809</v>
      </c>
      <c r="D701" s="46" t="s">
        <v>1938</v>
      </c>
      <c r="E701" s="46" t="s">
        <v>1940</v>
      </c>
      <c r="F701" s="46" t="s">
        <v>24</v>
      </c>
      <c r="G701" s="47">
        <v>0.36</v>
      </c>
      <c r="H701" s="48">
        <v>2.166</v>
      </c>
      <c r="I701" s="48">
        <v>23.831</v>
      </c>
      <c r="J701" s="49">
        <v>11</v>
      </c>
      <c r="K701" s="49">
        <v>0</v>
      </c>
      <c r="L701" s="49">
        <v>11</v>
      </c>
    </row>
    <row r="702" spans="1:12" x14ac:dyDescent="0.25">
      <c r="A702" s="45">
        <f>C702&amp;"."&amp;IFERROR(MID(E702,FIND("(",E702)+1,FIND(")",E702)-FIND("(",E702)-1),"")</f>
      </c>
      <c r="B702" s="46" t="s">
        <v>1178</v>
      </c>
      <c r="C702" s="46">
        <v>74810</v>
      </c>
      <c r="D702" s="46" t="s">
        <v>1941</v>
      </c>
      <c r="E702" s="46" t="s">
        <v>1248</v>
      </c>
      <c r="F702" s="46" t="s">
        <v>26</v>
      </c>
      <c r="G702" s="47">
        <v>2.5</v>
      </c>
      <c r="H702" s="48">
        <v>3.918</v>
      </c>
      <c r="I702" s="48">
        <v>3.918</v>
      </c>
      <c r="J702" s="49">
        <v>1</v>
      </c>
      <c r="K702" s="49">
        <v>1</v>
      </c>
      <c r="L702" s="49">
        <v>0</v>
      </c>
    </row>
    <row r="703" spans="1:12" x14ac:dyDescent="0.25">
      <c r="A703" s="45">
        <f>C703&amp;"."&amp;IFERROR(MID(E703,FIND("(",E703)+1,FIND(")",E703)-FIND("(",E703)-1),"")</f>
      </c>
      <c r="B703" s="46" t="s">
        <v>1178</v>
      </c>
      <c r="C703" s="46">
        <v>74811</v>
      </c>
      <c r="D703" s="46" t="s">
        <v>1942</v>
      </c>
      <c r="E703" s="46" t="s">
        <v>1248</v>
      </c>
      <c r="F703" s="46" t="s">
        <v>24</v>
      </c>
      <c r="G703" s="47">
        <v>0.36</v>
      </c>
      <c r="H703" s="48">
        <v>2.256</v>
      </c>
      <c r="I703" s="48">
        <v>22.562</v>
      </c>
      <c r="J703" s="49">
        <v>10</v>
      </c>
      <c r="K703" s="49">
        <v>0</v>
      </c>
      <c r="L703" s="49">
        <v>10</v>
      </c>
    </row>
    <row r="704" spans="1:12" x14ac:dyDescent="0.25">
      <c r="A704" s="45">
        <f>C704&amp;"."&amp;IFERROR(MID(E704,FIND("(",E704)+1,FIND(")",E704)-FIND("(",E704)-1),"")</f>
      </c>
      <c r="B704" s="46" t="s">
        <v>1178</v>
      </c>
      <c r="C704" s="46">
        <v>74812</v>
      </c>
      <c r="D704" s="46" t="s">
        <v>1943</v>
      </c>
      <c r="E704" s="46" t="s">
        <v>1944</v>
      </c>
      <c r="F704" s="46" t="s">
        <v>24</v>
      </c>
      <c r="G704" s="47">
        <v>1.08</v>
      </c>
      <c r="H704" s="48">
        <v>5.671</v>
      </c>
      <c r="I704" s="48">
        <v>79.387</v>
      </c>
      <c r="J704" s="49">
        <v>14</v>
      </c>
      <c r="K704" s="49">
        <v>1</v>
      </c>
      <c r="L704" s="49">
        <v>13</v>
      </c>
    </row>
    <row r="705" spans="1:12" x14ac:dyDescent="0.25">
      <c r="A705" s="45">
        <f>C705&amp;"."&amp;IFERROR(MID(E705,FIND("(",E705)+1,FIND(")",E705)-FIND("(",E705)-1),"")</f>
      </c>
      <c r="B705" s="46" t="s">
        <v>1178</v>
      </c>
      <c r="C705" s="46">
        <v>74812</v>
      </c>
      <c r="D705" s="46" t="s">
        <v>1943</v>
      </c>
      <c r="E705" s="46" t="s">
        <v>1945</v>
      </c>
      <c r="F705" s="46" t="s">
        <v>24</v>
      </c>
      <c r="G705" s="47">
        <v>1.08</v>
      </c>
      <c r="H705" s="48">
        <v>5.623</v>
      </c>
      <c r="I705" s="48">
        <v>44.988</v>
      </c>
      <c r="J705" s="49">
        <v>8</v>
      </c>
      <c r="K705" s="49">
        <v>1</v>
      </c>
      <c r="L705" s="49">
        <v>7</v>
      </c>
    </row>
    <row r="706" spans="1:12" x14ac:dyDescent="0.25">
      <c r="A706" s="45">
        <f>C706&amp;"."&amp;IFERROR(MID(E706,FIND("(",E706)+1,FIND(")",E706)-FIND("(",E706)-1),"")</f>
      </c>
      <c r="B706" s="46" t="s">
        <v>1178</v>
      </c>
      <c r="C706" s="46">
        <v>74812</v>
      </c>
      <c r="D706" s="46" t="s">
        <v>1943</v>
      </c>
      <c r="E706" s="46" t="s">
        <v>1946</v>
      </c>
      <c r="F706" s="46" t="s">
        <v>24</v>
      </c>
      <c r="G706" s="47">
        <v>1.08</v>
      </c>
      <c r="H706" s="48">
        <v>5.254</v>
      </c>
      <c r="I706" s="48">
        <v>42.029</v>
      </c>
      <c r="J706" s="49">
        <v>8</v>
      </c>
      <c r="K706" s="49">
        <v>0</v>
      </c>
      <c r="L706" s="49">
        <v>8</v>
      </c>
    </row>
    <row r="707" spans="1:12" x14ac:dyDescent="0.25">
      <c r="A707" s="45">
        <f>C707&amp;"."&amp;IFERROR(MID(E707,FIND("(",E707)+1,FIND(")",E707)-FIND("(",E707)-1),"")</f>
      </c>
      <c r="B707" s="46" t="s">
        <v>1178</v>
      </c>
      <c r="C707" s="46">
        <v>74813</v>
      </c>
      <c r="D707" s="46" t="s">
        <v>1947</v>
      </c>
      <c r="E707" s="46" t="s">
        <v>1948</v>
      </c>
      <c r="F707" s="46" t="s">
        <v>24</v>
      </c>
      <c r="G707" s="47">
        <v>1.08</v>
      </c>
      <c r="H707" s="48">
        <v>4.987</v>
      </c>
      <c r="I707" s="48">
        <v>24.933</v>
      </c>
      <c r="J707" s="49">
        <v>5</v>
      </c>
      <c r="K707" s="49">
        <v>0</v>
      </c>
      <c r="L707" s="49">
        <v>5</v>
      </c>
    </row>
    <row r="708" spans="1:12" x14ac:dyDescent="0.25">
      <c r="A708" s="45">
        <f>C708&amp;"."&amp;IFERROR(MID(E708,FIND("(",E708)+1,FIND(")",E708)-FIND("(",E708)-1),"")</f>
      </c>
      <c r="B708" s="46" t="s">
        <v>1178</v>
      </c>
      <c r="C708" s="46">
        <v>74813</v>
      </c>
      <c r="D708" s="46" t="s">
        <v>1947</v>
      </c>
      <c r="E708" s="46" t="s">
        <v>1949</v>
      </c>
      <c r="F708" s="46" t="s">
        <v>24</v>
      </c>
      <c r="G708" s="47">
        <v>1.08</v>
      </c>
      <c r="H708" s="48">
        <v>3.934</v>
      </c>
      <c r="I708" s="48">
        <v>43.277</v>
      </c>
      <c r="J708" s="49">
        <v>11</v>
      </c>
      <c r="K708" s="49">
        <v>0</v>
      </c>
      <c r="L708" s="49">
        <v>11</v>
      </c>
    </row>
    <row r="709" spans="1:12" x14ac:dyDescent="0.25">
      <c r="A709" s="45">
        <f>C709&amp;"."&amp;IFERROR(MID(E709,FIND("(",E709)+1,FIND(")",E709)-FIND("(",E709)-1),"")</f>
      </c>
      <c r="B709" s="46" t="s">
        <v>1178</v>
      </c>
      <c r="C709" s="46">
        <v>74813</v>
      </c>
      <c r="D709" s="46" t="s">
        <v>1947</v>
      </c>
      <c r="E709" s="46" t="s">
        <v>1950</v>
      </c>
      <c r="F709" s="46" t="s">
        <v>24</v>
      </c>
      <c r="G709" s="47">
        <v>1.08</v>
      </c>
      <c r="H709" s="48">
        <v>5.584</v>
      </c>
      <c r="I709" s="48">
        <v>39.089</v>
      </c>
      <c r="J709" s="49">
        <v>7</v>
      </c>
      <c r="K709" s="49">
        <v>0</v>
      </c>
      <c r="L709" s="49">
        <v>7</v>
      </c>
    </row>
    <row r="710" spans="1:12" x14ac:dyDescent="0.25">
      <c r="A710" s="45">
        <f>C710&amp;"."&amp;IFERROR(MID(E710,FIND("(",E710)+1,FIND(")",E710)-FIND("(",E710)-1),"")</f>
      </c>
      <c r="B710" s="46" t="s">
        <v>1178</v>
      </c>
      <c r="C710" s="46">
        <v>74814</v>
      </c>
      <c r="D710" s="46" t="s">
        <v>1951</v>
      </c>
      <c r="E710" s="46" t="s">
        <v>1952</v>
      </c>
      <c r="F710" s="46" t="s">
        <v>24</v>
      </c>
      <c r="G710" s="47">
        <v>1.08</v>
      </c>
      <c r="H710" s="48">
        <v>5.243</v>
      </c>
      <c r="I710" s="48">
        <v>47.183</v>
      </c>
      <c r="J710" s="49">
        <v>9</v>
      </c>
      <c r="K710" s="49">
        <v>0</v>
      </c>
      <c r="L710" s="49">
        <v>9</v>
      </c>
    </row>
    <row r="711" spans="1:12" x14ac:dyDescent="0.25">
      <c r="A711" s="45">
        <f>C711&amp;"."&amp;IFERROR(MID(E711,FIND("(",E711)+1,FIND(")",E711)-FIND("(",E711)-1),"")</f>
      </c>
      <c r="B711" s="46" t="s">
        <v>1178</v>
      </c>
      <c r="C711" s="46">
        <v>74814</v>
      </c>
      <c r="D711" s="46" t="s">
        <v>1951</v>
      </c>
      <c r="E711" s="46" t="s">
        <v>1953</v>
      </c>
      <c r="F711" s="46" t="s">
        <v>24</v>
      </c>
      <c r="G711" s="47">
        <v>1.08</v>
      </c>
      <c r="H711" s="48">
        <v>5.186</v>
      </c>
      <c r="I711" s="48">
        <v>36.305</v>
      </c>
      <c r="J711" s="49">
        <v>7</v>
      </c>
      <c r="K711" s="49">
        <v>0</v>
      </c>
      <c r="L711" s="49">
        <v>7</v>
      </c>
    </row>
    <row r="712" spans="1:12" x14ac:dyDescent="0.25">
      <c r="A712" s="45">
        <f>C712&amp;"."&amp;IFERROR(MID(E712,FIND("(",E712)+1,FIND(")",E712)-FIND("(",E712)-1),"")</f>
      </c>
      <c r="B712" s="46" t="s">
        <v>1178</v>
      </c>
      <c r="C712" s="46">
        <v>74815</v>
      </c>
      <c r="D712" s="46" t="s">
        <v>1954</v>
      </c>
      <c r="E712" s="46" t="s">
        <v>1248</v>
      </c>
      <c r="F712" s="46" t="s">
        <v>24</v>
      </c>
      <c r="G712" s="47">
        <v>1.08</v>
      </c>
      <c r="H712" s="48">
        <v>3.364</v>
      </c>
      <c r="I712" s="48">
        <v>47.096</v>
      </c>
      <c r="J712" s="49">
        <v>14</v>
      </c>
      <c r="K712" s="49">
        <v>1</v>
      </c>
      <c r="L712" s="49">
        <v>13</v>
      </c>
    </row>
    <row r="713" spans="1:12" x14ac:dyDescent="0.25">
      <c r="A713" s="45">
        <f>C713&amp;"."&amp;IFERROR(MID(E713,FIND("(",E713)+1,FIND(")",E713)-FIND("(",E713)-1),"")</f>
      </c>
      <c r="B713" s="46" t="s">
        <v>1178</v>
      </c>
      <c r="C713" s="46">
        <v>74816</v>
      </c>
      <c r="D713" s="46" t="s">
        <v>1955</v>
      </c>
      <c r="E713" s="46" t="s">
        <v>1956</v>
      </c>
      <c r="F713" s="46" t="s">
        <v>24</v>
      </c>
      <c r="G713" s="47">
        <v>1.08</v>
      </c>
      <c r="H713" s="48">
        <v>4.331</v>
      </c>
      <c r="I713" s="48">
        <v>12.994</v>
      </c>
      <c r="J713" s="49">
        <v>3</v>
      </c>
      <c r="K713" s="49">
        <v>0</v>
      </c>
      <c r="L713" s="49">
        <v>3</v>
      </c>
    </row>
    <row r="714" spans="1:12" x14ac:dyDescent="0.25">
      <c r="A714" s="45">
        <f>C714&amp;"."&amp;IFERROR(MID(E714,FIND("(",E714)+1,FIND(")",E714)-FIND("(",E714)-1),"")</f>
      </c>
      <c r="B714" s="46" t="s">
        <v>1178</v>
      </c>
      <c r="C714" s="46">
        <v>74816</v>
      </c>
      <c r="D714" s="46" t="s">
        <v>1955</v>
      </c>
      <c r="E714" s="46" t="s">
        <v>1957</v>
      </c>
      <c r="F714" s="46" t="s">
        <v>24</v>
      </c>
      <c r="G714" s="47">
        <v>1.08</v>
      </c>
      <c r="H714" s="48">
        <v>4.62</v>
      </c>
      <c r="I714" s="48">
        <v>13.86</v>
      </c>
      <c r="J714" s="49">
        <v>3</v>
      </c>
      <c r="K714" s="49">
        <v>0</v>
      </c>
      <c r="L714" s="49">
        <v>3</v>
      </c>
    </row>
    <row r="715" spans="1:12" x14ac:dyDescent="0.25">
      <c r="A715" s="45">
        <f>C715&amp;"."&amp;IFERROR(MID(E715,FIND("(",E715)+1,FIND(")",E715)-FIND("(",E715)-1),"")</f>
      </c>
      <c r="B715" s="46" t="s">
        <v>1178</v>
      </c>
      <c r="C715" s="46">
        <v>74816</v>
      </c>
      <c r="D715" s="46" t="s">
        <v>1955</v>
      </c>
      <c r="E715" s="46" t="s">
        <v>1958</v>
      </c>
      <c r="F715" s="46" t="s">
        <v>24</v>
      </c>
      <c r="G715" s="47">
        <v>1.08</v>
      </c>
      <c r="H715" s="48">
        <v>4.295</v>
      </c>
      <c r="I715" s="48">
        <v>42.952</v>
      </c>
      <c r="J715" s="49">
        <v>10</v>
      </c>
      <c r="K715" s="49">
        <v>0</v>
      </c>
      <c r="L715" s="49">
        <v>10</v>
      </c>
    </row>
    <row r="716" spans="1:12" x14ac:dyDescent="0.25">
      <c r="A716" s="45">
        <f>C716&amp;"."&amp;IFERROR(MID(E716,FIND("(",E716)+1,FIND(")",E716)-FIND("(",E716)-1),"")</f>
      </c>
      <c r="B716" s="46" t="s">
        <v>1178</v>
      </c>
      <c r="C716" s="46">
        <v>74817</v>
      </c>
      <c r="D716" s="46" t="s">
        <v>1959</v>
      </c>
      <c r="E716" s="46" t="s">
        <v>1960</v>
      </c>
      <c r="F716" s="46" t="s">
        <v>24</v>
      </c>
      <c r="G716" s="47">
        <v>1.08</v>
      </c>
      <c r="H716" s="48">
        <v>4.449</v>
      </c>
      <c r="I716" s="48">
        <v>17.797</v>
      </c>
      <c r="J716" s="49">
        <v>4</v>
      </c>
      <c r="K716" s="49">
        <v>0</v>
      </c>
      <c r="L716" s="49">
        <v>4</v>
      </c>
    </row>
    <row r="717" spans="1:12" x14ac:dyDescent="0.25">
      <c r="A717" s="45">
        <f>C717&amp;"."&amp;IFERROR(MID(E717,FIND("(",E717)+1,FIND(")",E717)-FIND("(",E717)-1),"")</f>
      </c>
      <c r="B717" s="46" t="s">
        <v>1178</v>
      </c>
      <c r="C717" s="46">
        <v>74817</v>
      </c>
      <c r="D717" s="46" t="s">
        <v>1959</v>
      </c>
      <c r="E717" s="46" t="s">
        <v>1961</v>
      </c>
      <c r="F717" s="46" t="s">
        <v>24</v>
      </c>
      <c r="G717" s="47">
        <v>1.08</v>
      </c>
      <c r="H717" s="48">
        <v>4.62</v>
      </c>
      <c r="I717" s="48">
        <v>18.48</v>
      </c>
      <c r="J717" s="49">
        <v>4</v>
      </c>
      <c r="K717" s="49">
        <v>0</v>
      </c>
      <c r="L717" s="49">
        <v>4</v>
      </c>
    </row>
    <row r="718" spans="1:12" x14ac:dyDescent="0.25">
      <c r="A718" s="45">
        <f>C718&amp;"."&amp;IFERROR(MID(E718,FIND("(",E718)+1,FIND(")",E718)-FIND("(",E718)-1),"")</f>
      </c>
      <c r="B718" s="46" t="s">
        <v>1178</v>
      </c>
      <c r="C718" s="46">
        <v>74817</v>
      </c>
      <c r="D718" s="46" t="s">
        <v>1959</v>
      </c>
      <c r="E718" s="46" t="s">
        <v>1962</v>
      </c>
      <c r="F718" s="46" t="s">
        <v>24</v>
      </c>
      <c r="G718" s="47">
        <v>1.08</v>
      </c>
      <c r="H718" s="48">
        <v>4.357</v>
      </c>
      <c r="I718" s="48">
        <v>26.143</v>
      </c>
      <c r="J718" s="49">
        <v>6</v>
      </c>
      <c r="K718" s="49">
        <v>0</v>
      </c>
      <c r="L718" s="49">
        <v>6</v>
      </c>
    </row>
    <row r="719" spans="1:12" x14ac:dyDescent="0.25">
      <c r="A719" s="45">
        <f>C719&amp;"."&amp;IFERROR(MID(E719,FIND("(",E719)+1,FIND(")",E719)-FIND("(",E719)-1),"")</f>
      </c>
      <c r="B719" s="46" t="s">
        <v>1178</v>
      </c>
      <c r="C719" s="46">
        <v>74818</v>
      </c>
      <c r="D719" s="46" t="s">
        <v>1963</v>
      </c>
      <c r="E719" s="46" t="s">
        <v>1964</v>
      </c>
      <c r="F719" s="46" t="s">
        <v>24</v>
      </c>
      <c r="G719" s="47">
        <v>0.77</v>
      </c>
      <c r="H719" s="48">
        <v>2.97</v>
      </c>
      <c r="I719" s="48">
        <v>2.97</v>
      </c>
      <c r="J719" s="49">
        <v>1</v>
      </c>
      <c r="K719" s="49">
        <v>0</v>
      </c>
      <c r="L719" s="49">
        <v>1</v>
      </c>
    </row>
    <row r="720" spans="1:12" x14ac:dyDescent="0.25">
      <c r="A720" s="45">
        <f>C720&amp;"."&amp;IFERROR(MID(E720,FIND("(",E720)+1,FIND(")",E720)-FIND("(",E720)-1),"")</f>
      </c>
      <c r="B720" s="46" t="s">
        <v>1178</v>
      </c>
      <c r="C720" s="46">
        <v>74818</v>
      </c>
      <c r="D720" s="46" t="s">
        <v>1963</v>
      </c>
      <c r="E720" s="46" t="s">
        <v>1965</v>
      </c>
      <c r="F720" s="46" t="s">
        <v>24</v>
      </c>
      <c r="G720" s="47">
        <v>0.77</v>
      </c>
      <c r="H720" s="48">
        <v>3.061</v>
      </c>
      <c r="I720" s="48">
        <v>30.606</v>
      </c>
      <c r="J720" s="49">
        <v>10</v>
      </c>
      <c r="K720" s="49">
        <v>0</v>
      </c>
      <c r="L720" s="49">
        <v>10</v>
      </c>
    </row>
    <row r="721" spans="1:12" x14ac:dyDescent="0.25">
      <c r="A721" s="45">
        <f>C721&amp;"."&amp;IFERROR(MID(E721,FIND("(",E721)+1,FIND(")",E721)-FIND("(",E721)-1),"")</f>
      </c>
      <c r="B721" s="46" t="s">
        <v>1178</v>
      </c>
      <c r="C721" s="46">
        <v>74818</v>
      </c>
      <c r="D721" s="46" t="s">
        <v>1963</v>
      </c>
      <c r="E721" s="46" t="s">
        <v>1966</v>
      </c>
      <c r="F721" s="46" t="s">
        <v>24</v>
      </c>
      <c r="G721" s="47">
        <v>0.77</v>
      </c>
      <c r="H721" s="48">
        <v>2.754</v>
      </c>
      <c r="I721" s="48">
        <v>11.017</v>
      </c>
      <c r="J721" s="49">
        <v>4</v>
      </c>
      <c r="K721" s="49">
        <v>0</v>
      </c>
      <c r="L721" s="49">
        <v>4</v>
      </c>
    </row>
    <row r="722" spans="1:12" x14ac:dyDescent="0.25">
      <c r="A722" s="45">
        <f>C722&amp;"."&amp;IFERROR(MID(E722,FIND("(",E722)+1,FIND(")",E722)-FIND("(",E722)-1),"")</f>
      </c>
      <c r="B722" s="46" t="s">
        <v>1178</v>
      </c>
      <c r="C722" s="46">
        <v>74819</v>
      </c>
      <c r="D722" s="46" t="s">
        <v>1967</v>
      </c>
      <c r="E722" s="46" t="s">
        <v>1248</v>
      </c>
      <c r="F722" s="46" t="s">
        <v>24</v>
      </c>
      <c r="G722" s="47">
        <v>0.77</v>
      </c>
      <c r="H722" s="48">
        <v>2.36</v>
      </c>
      <c r="I722" s="48">
        <v>21.241</v>
      </c>
      <c r="J722" s="49">
        <v>9</v>
      </c>
      <c r="K722" s="49">
        <v>0</v>
      </c>
      <c r="L722" s="49">
        <v>9</v>
      </c>
    </row>
    <row r="723" spans="1:12" x14ac:dyDescent="0.25">
      <c r="A723" s="45">
        <f>C723&amp;"."&amp;IFERROR(MID(E723,FIND("(",E723)+1,FIND(")",E723)-FIND("(",E723)-1),"")</f>
      </c>
      <c r="B723" s="46" t="s">
        <v>1178</v>
      </c>
      <c r="C723" s="46">
        <v>74820</v>
      </c>
      <c r="D723" s="46" t="s">
        <v>1968</v>
      </c>
      <c r="E723" s="46" t="s">
        <v>1969</v>
      </c>
      <c r="F723" s="46" t="s">
        <v>24</v>
      </c>
      <c r="G723" s="47">
        <v>14.04</v>
      </c>
      <c r="H723" s="48">
        <v>33.527</v>
      </c>
      <c r="I723" s="48">
        <v>201.162</v>
      </c>
      <c r="J723" s="49">
        <v>6</v>
      </c>
      <c r="K723" s="49">
        <v>3</v>
      </c>
      <c r="L723" s="49">
        <v>3</v>
      </c>
    </row>
    <row r="724" spans="1:12" x14ac:dyDescent="0.25">
      <c r="A724" s="45">
        <f>C724&amp;"."&amp;IFERROR(MID(E724,FIND("(",E724)+1,FIND(")",E724)-FIND("(",E724)-1),"")</f>
      </c>
      <c r="B724" s="46" t="s">
        <v>1178</v>
      </c>
      <c r="C724" s="46">
        <v>74820</v>
      </c>
      <c r="D724" s="46" t="s">
        <v>1968</v>
      </c>
      <c r="E724" s="46" t="s">
        <v>1970</v>
      </c>
      <c r="F724" s="46" t="s">
        <v>24</v>
      </c>
      <c r="G724" s="47">
        <v>14.04</v>
      </c>
      <c r="H724" s="48">
        <v>30.742</v>
      </c>
      <c r="I724" s="48">
        <v>368.902</v>
      </c>
      <c r="J724" s="49">
        <v>12</v>
      </c>
      <c r="K724" s="49">
        <v>5</v>
      </c>
      <c r="L724" s="49">
        <v>7</v>
      </c>
    </row>
    <row r="725" spans="1:12" x14ac:dyDescent="0.25">
      <c r="A725" s="45">
        <f>C725&amp;"."&amp;IFERROR(MID(E725,FIND("(",E725)+1,FIND(")",E725)-FIND("(",E725)-1),"")</f>
      </c>
      <c r="B725" s="46" t="s">
        <v>1178</v>
      </c>
      <c r="C725" s="46">
        <v>74820</v>
      </c>
      <c r="D725" s="46" t="s">
        <v>1968</v>
      </c>
      <c r="E725" s="46" t="s">
        <v>1971</v>
      </c>
      <c r="F725" s="46" t="s">
        <v>24</v>
      </c>
      <c r="G725" s="47">
        <v>14.04</v>
      </c>
      <c r="H725" s="48">
        <v>36.383</v>
      </c>
      <c r="I725" s="48">
        <v>72.766</v>
      </c>
      <c r="J725" s="49">
        <v>2</v>
      </c>
      <c r="K725" s="49">
        <v>0</v>
      </c>
      <c r="L725" s="49">
        <v>2</v>
      </c>
    </row>
    <row r="726" spans="1:12" x14ac:dyDescent="0.25">
      <c r="A726" s="45">
        <f>C726&amp;"."&amp;IFERROR(MID(E726,FIND("(",E726)+1,FIND(")",E726)-FIND("(",E726)-1),"")</f>
      </c>
      <c r="B726" s="46" t="s">
        <v>1178</v>
      </c>
      <c r="C726" s="46">
        <v>74824</v>
      </c>
      <c r="D726" s="46" t="s">
        <v>1972</v>
      </c>
      <c r="E726" s="46" t="s">
        <v>1973</v>
      </c>
      <c r="F726" s="46" t="s">
        <v>24</v>
      </c>
      <c r="G726" s="47">
        <v>3.42</v>
      </c>
      <c r="H726" s="48">
        <v>9.432</v>
      </c>
      <c r="I726" s="48">
        <v>94.323</v>
      </c>
      <c r="J726" s="49">
        <v>10</v>
      </c>
      <c r="K726" s="49">
        <v>0</v>
      </c>
      <c r="L726" s="49">
        <v>10</v>
      </c>
    </row>
    <row r="727" spans="1:12" x14ac:dyDescent="0.25">
      <c r="A727" s="45">
        <f>C727&amp;"."&amp;IFERROR(MID(E727,FIND("(",E727)+1,FIND(")",E727)-FIND("(",E727)-1),"")</f>
      </c>
      <c r="B727" s="46" t="s">
        <v>1178</v>
      </c>
      <c r="C727" s="46">
        <v>74824</v>
      </c>
      <c r="D727" s="46" t="s">
        <v>1972</v>
      </c>
      <c r="E727" s="46" t="s">
        <v>1974</v>
      </c>
      <c r="F727" s="46" t="s">
        <v>24</v>
      </c>
      <c r="G727" s="47">
        <v>3.42</v>
      </c>
      <c r="H727" s="48">
        <v>9.334</v>
      </c>
      <c r="I727" s="48">
        <v>74.67</v>
      </c>
      <c r="J727" s="49">
        <v>8</v>
      </c>
      <c r="K727" s="49">
        <v>1</v>
      </c>
      <c r="L727" s="49">
        <v>7</v>
      </c>
    </row>
    <row r="728" spans="1:12" x14ac:dyDescent="0.25">
      <c r="A728" s="45">
        <f>C728&amp;"."&amp;IFERROR(MID(E728,FIND("(",E728)+1,FIND(")",E728)-FIND("(",E728)-1),"")</f>
      </c>
      <c r="B728" s="46" t="s">
        <v>1178</v>
      </c>
      <c r="C728" s="46">
        <v>74825</v>
      </c>
      <c r="D728" s="46" t="s">
        <v>1975</v>
      </c>
      <c r="E728" s="46" t="s">
        <v>1976</v>
      </c>
      <c r="F728" s="46" t="s">
        <v>24</v>
      </c>
      <c r="G728" s="47">
        <v>3.42</v>
      </c>
      <c r="H728" s="48">
        <v>10.106</v>
      </c>
      <c r="I728" s="48">
        <v>60.637</v>
      </c>
      <c r="J728" s="49">
        <v>6</v>
      </c>
      <c r="K728" s="49">
        <v>0</v>
      </c>
      <c r="L728" s="49">
        <v>6</v>
      </c>
    </row>
    <row r="729" spans="1:12" x14ac:dyDescent="0.25">
      <c r="A729" s="45">
        <f>C729&amp;"."&amp;IFERROR(MID(E729,FIND("(",E729)+1,FIND(")",E729)-FIND("(",E729)-1),"")</f>
      </c>
      <c r="B729" s="46" t="s">
        <v>1178</v>
      </c>
      <c r="C729" s="46">
        <v>74825</v>
      </c>
      <c r="D729" s="46" t="s">
        <v>1975</v>
      </c>
      <c r="E729" s="46" t="s">
        <v>1977</v>
      </c>
      <c r="F729" s="46" t="s">
        <v>24</v>
      </c>
      <c r="G729" s="47">
        <v>3.42</v>
      </c>
      <c r="H729" s="48">
        <v>10.465</v>
      </c>
      <c r="I729" s="48">
        <v>136.043</v>
      </c>
      <c r="J729" s="49">
        <v>13</v>
      </c>
      <c r="K729" s="49">
        <v>5</v>
      </c>
      <c r="L729" s="49">
        <v>8</v>
      </c>
    </row>
    <row r="730" spans="1:12" x14ac:dyDescent="0.25">
      <c r="A730" s="45">
        <f>C730&amp;"."&amp;IFERROR(MID(E730,FIND("(",E730)+1,FIND(")",E730)-FIND("(",E730)-1),"")</f>
      </c>
      <c r="B730" s="46" t="s">
        <v>1178</v>
      </c>
      <c r="C730" s="46">
        <v>74825</v>
      </c>
      <c r="D730" s="46" t="s">
        <v>1975</v>
      </c>
      <c r="E730" s="46" t="s">
        <v>1978</v>
      </c>
      <c r="F730" s="46" t="s">
        <v>24</v>
      </c>
      <c r="G730" s="47">
        <v>3.42</v>
      </c>
      <c r="H730" s="48">
        <v>10.604</v>
      </c>
      <c r="I730" s="48">
        <v>106.041</v>
      </c>
      <c r="J730" s="49">
        <v>10</v>
      </c>
      <c r="K730" s="49">
        <v>2</v>
      </c>
      <c r="L730" s="49">
        <v>8</v>
      </c>
    </row>
    <row r="731" spans="1:12" x14ac:dyDescent="0.25">
      <c r="A731" s="45">
        <f>C731&amp;"."&amp;IFERROR(MID(E731,FIND("(",E731)+1,FIND(")",E731)-FIND("(",E731)-1),"")</f>
      </c>
      <c r="B731" s="46" t="s">
        <v>1178</v>
      </c>
      <c r="C731" s="46">
        <v>74826</v>
      </c>
      <c r="D731" s="46" t="s">
        <v>1979</v>
      </c>
      <c r="E731" s="46" t="s">
        <v>1980</v>
      </c>
      <c r="F731" s="46" t="s">
        <v>24</v>
      </c>
      <c r="G731" s="47">
        <v>3.42</v>
      </c>
      <c r="H731" s="48">
        <v>10.106</v>
      </c>
      <c r="I731" s="48">
        <v>60.637</v>
      </c>
      <c r="J731" s="49">
        <v>6</v>
      </c>
      <c r="K731" s="49">
        <v>0</v>
      </c>
      <c r="L731" s="49">
        <v>6</v>
      </c>
    </row>
    <row r="732" spans="1:12" x14ac:dyDescent="0.25">
      <c r="A732" s="45">
        <f>C732&amp;"."&amp;IFERROR(MID(E732,FIND("(",E732)+1,FIND(")",E732)-FIND("(",E732)-1),"")</f>
      </c>
      <c r="B732" s="46" t="s">
        <v>1178</v>
      </c>
      <c r="C732" s="46">
        <v>74826</v>
      </c>
      <c r="D732" s="46" t="s">
        <v>1979</v>
      </c>
      <c r="E732" s="46" t="s">
        <v>1981</v>
      </c>
      <c r="F732" s="46" t="s">
        <v>24</v>
      </c>
      <c r="G732" s="47">
        <v>3.42</v>
      </c>
      <c r="H732" s="48">
        <v>10.186</v>
      </c>
      <c r="I732" s="48">
        <v>132.423</v>
      </c>
      <c r="J732" s="49">
        <v>13</v>
      </c>
      <c r="K732" s="49">
        <v>4</v>
      </c>
      <c r="L732" s="49">
        <v>9</v>
      </c>
    </row>
    <row r="733" spans="1:12" x14ac:dyDescent="0.25">
      <c r="A733" s="45">
        <f>C733&amp;"."&amp;IFERROR(MID(E733,FIND("(",E733)+1,FIND(")",E733)-FIND("(",E733)-1),"")</f>
      </c>
      <c r="B733" s="46" t="s">
        <v>1178</v>
      </c>
      <c r="C733" s="46">
        <v>74826</v>
      </c>
      <c r="D733" s="46" t="s">
        <v>1979</v>
      </c>
      <c r="E733" s="46" t="s">
        <v>1982</v>
      </c>
      <c r="F733" s="46" t="s">
        <v>24</v>
      </c>
      <c r="G733" s="47">
        <v>3.42</v>
      </c>
      <c r="H733" s="48">
        <v>10.482</v>
      </c>
      <c r="I733" s="48">
        <v>136.269</v>
      </c>
      <c r="J733" s="49">
        <v>13</v>
      </c>
      <c r="K733" s="49">
        <v>6</v>
      </c>
      <c r="L733" s="49">
        <v>7</v>
      </c>
    </row>
    <row r="734" spans="1:12" x14ac:dyDescent="0.25">
      <c r="A734" s="45">
        <f>C734&amp;"."&amp;IFERROR(MID(E734,FIND("(",E734)+1,FIND(")",E734)-FIND("(",E734)-1),"")</f>
      </c>
      <c r="B734" s="46" t="s">
        <v>1178</v>
      </c>
      <c r="C734" s="46">
        <v>74827</v>
      </c>
      <c r="D734" s="46" t="s">
        <v>1983</v>
      </c>
      <c r="E734" s="46" t="s">
        <v>1984</v>
      </c>
      <c r="F734" s="46" t="s">
        <v>24</v>
      </c>
      <c r="G734" s="47">
        <v>1.57</v>
      </c>
      <c r="H734" s="48">
        <v>7.211</v>
      </c>
      <c r="I734" s="48">
        <v>50.479</v>
      </c>
      <c r="J734" s="49">
        <v>7</v>
      </c>
      <c r="K734" s="49">
        <v>3</v>
      </c>
      <c r="L734" s="49">
        <v>4</v>
      </c>
    </row>
    <row r="735" spans="1:12" x14ac:dyDescent="0.25">
      <c r="A735" s="45">
        <f>C735&amp;"."&amp;IFERROR(MID(E735,FIND("(",E735)+1,FIND(")",E735)-FIND("(",E735)-1),"")</f>
      </c>
      <c r="B735" s="46" t="s">
        <v>1178</v>
      </c>
      <c r="C735" s="46">
        <v>74827</v>
      </c>
      <c r="D735" s="46" t="s">
        <v>1983</v>
      </c>
      <c r="E735" s="46" t="s">
        <v>1985</v>
      </c>
      <c r="F735" s="46" t="s">
        <v>24</v>
      </c>
      <c r="G735" s="47">
        <v>1.57</v>
      </c>
      <c r="H735" s="48">
        <v>5.37</v>
      </c>
      <c r="I735" s="48">
        <v>10.74</v>
      </c>
      <c r="J735" s="49">
        <v>2</v>
      </c>
      <c r="K735" s="49">
        <v>0</v>
      </c>
      <c r="L735" s="49">
        <v>2</v>
      </c>
    </row>
    <row r="736" spans="1:12" x14ac:dyDescent="0.25">
      <c r="A736" s="45">
        <f>C736&amp;"."&amp;IFERROR(MID(E736,FIND("(",E736)+1,FIND(")",E736)-FIND("(",E736)-1),"")</f>
      </c>
      <c r="B736" s="46" t="s">
        <v>1178</v>
      </c>
      <c r="C736" s="46">
        <v>74827</v>
      </c>
      <c r="D736" s="46" t="s">
        <v>1983</v>
      </c>
      <c r="E736" s="46" t="s">
        <v>1986</v>
      </c>
      <c r="F736" s="46" t="s">
        <v>24</v>
      </c>
      <c r="G736" s="47">
        <v>1.57</v>
      </c>
      <c r="H736" s="48">
        <v>7.443</v>
      </c>
      <c r="I736" s="48">
        <v>29.773</v>
      </c>
      <c r="J736" s="49">
        <v>4</v>
      </c>
      <c r="K736" s="49">
        <v>4</v>
      </c>
      <c r="L736" s="49">
        <v>0</v>
      </c>
    </row>
    <row r="737" spans="1:12" x14ac:dyDescent="0.25">
      <c r="A737" s="45">
        <f>C737&amp;"."&amp;IFERROR(MID(E737,FIND("(",E737)+1,FIND(")",E737)-FIND("(",E737)-1),"")</f>
      </c>
      <c r="B737" s="46" t="s">
        <v>1178</v>
      </c>
      <c r="C737" s="46">
        <v>74827</v>
      </c>
      <c r="D737" s="46" t="s">
        <v>1983</v>
      </c>
      <c r="E737" s="46" t="s">
        <v>1987</v>
      </c>
      <c r="F737" s="46" t="s">
        <v>24</v>
      </c>
      <c r="G737" s="47">
        <v>1.57</v>
      </c>
      <c r="H737" s="48">
        <v>7.1</v>
      </c>
      <c r="I737" s="48">
        <v>163.3</v>
      </c>
      <c r="J737" s="49">
        <v>23</v>
      </c>
      <c r="K737" s="49">
        <v>7</v>
      </c>
      <c r="L737" s="49">
        <v>16</v>
      </c>
    </row>
    <row r="738" spans="1:12" x14ac:dyDescent="0.25">
      <c r="A738" s="45">
        <f>C738&amp;"."&amp;IFERROR(MID(E738,FIND("(",E738)+1,FIND(")",E738)-FIND("(",E738)-1),"")</f>
      </c>
      <c r="B738" s="46" t="s">
        <v>1178</v>
      </c>
      <c r="C738" s="46">
        <v>74828</v>
      </c>
      <c r="D738" s="46" t="s">
        <v>1988</v>
      </c>
      <c r="E738" s="46" t="s">
        <v>1989</v>
      </c>
      <c r="F738" s="46" t="s">
        <v>24</v>
      </c>
      <c r="G738" s="47">
        <v>0.56</v>
      </c>
      <c r="H738" s="48">
        <v>1.647</v>
      </c>
      <c r="I738" s="48">
        <v>13.178</v>
      </c>
      <c r="J738" s="49">
        <v>8</v>
      </c>
      <c r="K738" s="49">
        <v>0</v>
      </c>
      <c r="L738" s="49">
        <v>8</v>
      </c>
    </row>
    <row r="739" spans="1:12" x14ac:dyDescent="0.25">
      <c r="A739" s="45">
        <f>C739&amp;"."&amp;IFERROR(MID(E739,FIND("(",E739)+1,FIND(")",E739)-FIND("(",E739)-1),"")</f>
      </c>
      <c r="B739" s="46" t="s">
        <v>1178</v>
      </c>
      <c r="C739" s="46">
        <v>74828</v>
      </c>
      <c r="D739" s="46" t="s">
        <v>1988</v>
      </c>
      <c r="E739" s="46" t="s">
        <v>1990</v>
      </c>
      <c r="F739" s="46" t="s">
        <v>24</v>
      </c>
      <c r="G739" s="47">
        <v>0.56</v>
      </c>
      <c r="H739" s="48">
        <v>1.988</v>
      </c>
      <c r="I739" s="48">
        <v>37.776</v>
      </c>
      <c r="J739" s="49">
        <v>19</v>
      </c>
      <c r="K739" s="49">
        <v>3</v>
      </c>
      <c r="L739" s="49">
        <v>16</v>
      </c>
    </row>
    <row r="740" spans="1:12" x14ac:dyDescent="0.25">
      <c r="A740" s="45">
        <f>C740&amp;"."&amp;IFERROR(MID(E740,FIND("(",E740)+1,FIND(")",E740)-FIND("(",E740)-1),"")</f>
      </c>
      <c r="B740" s="46" t="s">
        <v>1178</v>
      </c>
      <c r="C740" s="46">
        <v>74828</v>
      </c>
      <c r="D740" s="46" t="s">
        <v>1988</v>
      </c>
      <c r="E740" s="46" t="s">
        <v>1991</v>
      </c>
      <c r="F740" s="46" t="s">
        <v>24</v>
      </c>
      <c r="G740" s="47">
        <v>0.56</v>
      </c>
      <c r="H740" s="48">
        <v>1.92</v>
      </c>
      <c r="I740" s="48">
        <v>7.68</v>
      </c>
      <c r="J740" s="49">
        <v>4</v>
      </c>
      <c r="K740" s="49">
        <v>0</v>
      </c>
      <c r="L740" s="49">
        <v>4</v>
      </c>
    </row>
    <row r="741" spans="1:12" x14ac:dyDescent="0.25">
      <c r="A741" s="45">
        <f>C741&amp;"."&amp;IFERROR(MID(E741,FIND("(",E741)+1,FIND(")",E741)-FIND("(",E741)-1),"")</f>
      </c>
      <c r="B741" s="46" t="s">
        <v>1178</v>
      </c>
      <c r="C741" s="46">
        <v>74829</v>
      </c>
      <c r="D741" s="46" t="s">
        <v>1992</v>
      </c>
      <c r="E741" s="46" t="s">
        <v>1993</v>
      </c>
      <c r="F741" s="46" t="s">
        <v>24</v>
      </c>
      <c r="G741" s="47">
        <v>0.56</v>
      </c>
      <c r="H741" s="48">
        <v>1.92</v>
      </c>
      <c r="I741" s="48">
        <v>11.52</v>
      </c>
      <c r="J741" s="49">
        <v>6</v>
      </c>
      <c r="K741" s="49">
        <v>0</v>
      </c>
      <c r="L741" s="49">
        <v>6</v>
      </c>
    </row>
    <row r="742" spans="1:12" x14ac:dyDescent="0.25">
      <c r="A742" s="45">
        <f>C742&amp;"."&amp;IFERROR(MID(E742,FIND("(",E742)+1,FIND(")",E742)-FIND("(",E742)-1),"")</f>
      </c>
      <c r="B742" s="46" t="s">
        <v>1178</v>
      </c>
      <c r="C742" s="46">
        <v>74829</v>
      </c>
      <c r="D742" s="46" t="s">
        <v>1992</v>
      </c>
      <c r="E742" s="46" t="s">
        <v>1994</v>
      </c>
      <c r="F742" s="46" t="s">
        <v>24</v>
      </c>
      <c r="G742" s="47">
        <v>0.56</v>
      </c>
      <c r="H742" s="48">
        <v>1.927</v>
      </c>
      <c r="I742" s="48">
        <v>30.829</v>
      </c>
      <c r="J742" s="49">
        <v>16</v>
      </c>
      <c r="K742" s="49">
        <v>3</v>
      </c>
      <c r="L742" s="49">
        <v>13</v>
      </c>
    </row>
    <row r="743" spans="1:12" x14ac:dyDescent="0.25">
      <c r="A743" s="45">
        <f>C743&amp;"."&amp;IFERROR(MID(E743,FIND("(",E743)+1,FIND(")",E743)-FIND("(",E743)-1),"")</f>
      </c>
      <c r="B743" s="46" t="s">
        <v>1178</v>
      </c>
      <c r="C743" s="46">
        <v>74829</v>
      </c>
      <c r="D743" s="46" t="s">
        <v>1992</v>
      </c>
      <c r="E743" s="46" t="s">
        <v>1995</v>
      </c>
      <c r="F743" s="46" t="s">
        <v>24</v>
      </c>
      <c r="G743" s="47">
        <v>0.56</v>
      </c>
      <c r="H743" s="48">
        <v>1.835</v>
      </c>
      <c r="I743" s="48">
        <v>16.515</v>
      </c>
      <c r="J743" s="49">
        <v>9</v>
      </c>
      <c r="K743" s="49">
        <v>0</v>
      </c>
      <c r="L743" s="49">
        <v>9</v>
      </c>
    </row>
    <row r="744" spans="1:12" x14ac:dyDescent="0.25">
      <c r="A744" s="45">
        <f>C744&amp;"."&amp;IFERROR(MID(E744,FIND("(",E744)+1,FIND(")",E744)-FIND("(",E744)-1),"")</f>
      </c>
      <c r="B744" s="46" t="s">
        <v>1178</v>
      </c>
      <c r="C744" s="46">
        <v>74836</v>
      </c>
      <c r="D744" s="46" t="s">
        <v>1996</v>
      </c>
      <c r="E744" s="46" t="s">
        <v>1248</v>
      </c>
      <c r="F744" s="46" t="s">
        <v>1926</v>
      </c>
      <c r="G744" s="47">
        <v>0</v>
      </c>
      <c r="H744" s="48">
        <v>0.682</v>
      </c>
      <c r="I744" s="48">
        <v>0.682</v>
      </c>
      <c r="J744" s="49">
        <v>1</v>
      </c>
      <c r="K744" s="49">
        <v>0</v>
      </c>
      <c r="L744" s="49">
        <v>1</v>
      </c>
    </row>
    <row r="745" spans="1:12" x14ac:dyDescent="0.25">
      <c r="A745" s="45">
        <f>C745&amp;"."&amp;IFERROR(MID(E745,FIND("(",E745)+1,FIND(")",E745)-FIND("(",E745)-1),"")</f>
      </c>
      <c r="B745" s="46" t="s">
        <v>1178</v>
      </c>
      <c r="C745" s="46">
        <v>74838</v>
      </c>
      <c r="D745" s="46" t="s">
        <v>1997</v>
      </c>
      <c r="E745" s="46" t="s">
        <v>1998</v>
      </c>
      <c r="F745" s="46" t="s">
        <v>24</v>
      </c>
      <c r="G745" s="47">
        <v>0.9</v>
      </c>
      <c r="H745" s="48">
        <v>2.654</v>
      </c>
      <c r="I745" s="48">
        <v>23.886</v>
      </c>
      <c r="J745" s="49">
        <v>9</v>
      </c>
      <c r="K745" s="49">
        <v>0</v>
      </c>
      <c r="L745" s="49">
        <v>9</v>
      </c>
    </row>
    <row r="746" spans="1:12" x14ac:dyDescent="0.25">
      <c r="A746" s="45">
        <f>C746&amp;"."&amp;IFERROR(MID(E746,FIND("(",E746)+1,FIND(")",E746)-FIND("(",E746)-1),"")</f>
      </c>
      <c r="B746" s="46" t="s">
        <v>1178</v>
      </c>
      <c r="C746" s="46">
        <v>74838</v>
      </c>
      <c r="D746" s="46" t="s">
        <v>1997</v>
      </c>
      <c r="E746" s="46" t="s">
        <v>1999</v>
      </c>
      <c r="F746" s="46" t="s">
        <v>24</v>
      </c>
      <c r="G746" s="47">
        <v>0.9</v>
      </c>
      <c r="H746" s="48">
        <v>2.604</v>
      </c>
      <c r="I746" s="48">
        <v>49.478</v>
      </c>
      <c r="J746" s="49">
        <v>19</v>
      </c>
      <c r="K746" s="49">
        <v>2</v>
      </c>
      <c r="L746" s="49">
        <v>17</v>
      </c>
    </row>
    <row r="747" spans="1:12" x14ac:dyDescent="0.25">
      <c r="A747" s="45">
        <f>C747&amp;"."&amp;IFERROR(MID(E747,FIND("(",E747)+1,FIND(")",E747)-FIND("(",E747)-1),"")</f>
      </c>
      <c r="B747" s="46" t="s">
        <v>1178</v>
      </c>
      <c r="C747" s="46">
        <v>74840</v>
      </c>
      <c r="D747" s="46" t="s">
        <v>2000</v>
      </c>
      <c r="E747" s="46" t="s">
        <v>1248</v>
      </c>
      <c r="F747" s="46" t="s">
        <v>24</v>
      </c>
      <c r="G747" s="47">
        <v>0.7</v>
      </c>
      <c r="H747" s="48">
        <v>1.671</v>
      </c>
      <c r="I747" s="48">
        <v>16.707</v>
      </c>
      <c r="J747" s="49">
        <v>10</v>
      </c>
      <c r="K747" s="49">
        <v>0</v>
      </c>
      <c r="L747" s="49">
        <v>10</v>
      </c>
    </row>
    <row r="748" spans="1:12" x14ac:dyDescent="0.25">
      <c r="A748" s="45">
        <f>C748&amp;"."&amp;IFERROR(MID(E748,FIND("(",E748)+1,FIND(")",E748)-FIND("(",E748)-1),"")</f>
      </c>
      <c r="B748" s="46" t="s">
        <v>1178</v>
      </c>
      <c r="C748" s="46">
        <v>74841</v>
      </c>
      <c r="D748" s="46" t="s">
        <v>2001</v>
      </c>
      <c r="E748" s="46" t="s">
        <v>2002</v>
      </c>
      <c r="F748" s="46" t="s">
        <v>24</v>
      </c>
      <c r="G748" s="47">
        <v>0.68</v>
      </c>
      <c r="H748" s="48">
        <v>1.956</v>
      </c>
      <c r="I748" s="48">
        <v>27.377</v>
      </c>
      <c r="J748" s="49">
        <v>14</v>
      </c>
      <c r="K748" s="49">
        <v>5</v>
      </c>
      <c r="L748" s="49">
        <v>9</v>
      </c>
    </row>
    <row r="749" spans="1:12" x14ac:dyDescent="0.25">
      <c r="A749" s="45">
        <f>C749&amp;"."&amp;IFERROR(MID(E749,FIND("(",E749)+1,FIND(")",E749)-FIND("(",E749)-1),"")</f>
      </c>
      <c r="B749" s="46" t="s">
        <v>1178</v>
      </c>
      <c r="C749" s="46">
        <v>74841</v>
      </c>
      <c r="D749" s="46" t="s">
        <v>2001</v>
      </c>
      <c r="E749" s="46" t="s">
        <v>2003</v>
      </c>
      <c r="F749" s="46" t="s">
        <v>24</v>
      </c>
      <c r="G749" s="47">
        <v>0.68</v>
      </c>
      <c r="H749" s="48">
        <v>0.776</v>
      </c>
      <c r="I749" s="48">
        <v>6.209</v>
      </c>
      <c r="J749" s="49">
        <v>8</v>
      </c>
      <c r="K749" s="49">
        <v>0</v>
      </c>
      <c r="L749" s="49">
        <v>8</v>
      </c>
    </row>
    <row r="750" spans="1:12" x14ac:dyDescent="0.25">
      <c r="A750" s="45">
        <f>C750&amp;"."&amp;IFERROR(MID(E750,FIND("(",E750)+1,FIND(")",E750)-FIND("(",E750)-1),"")</f>
      </c>
      <c r="B750" s="46" t="s">
        <v>1178</v>
      </c>
      <c r="C750" s="46">
        <v>74842</v>
      </c>
      <c r="D750" s="46" t="s">
        <v>2004</v>
      </c>
      <c r="E750" s="46" t="s">
        <v>2005</v>
      </c>
      <c r="F750" s="46" t="s">
        <v>24</v>
      </c>
      <c r="G750" s="47">
        <v>0.6</v>
      </c>
      <c r="H750" s="48">
        <v>34.82</v>
      </c>
      <c r="I750" s="48">
        <v>34.82</v>
      </c>
      <c r="J750" s="49">
        <v>1</v>
      </c>
      <c r="K750" s="49">
        <v>0</v>
      </c>
      <c r="L750" s="49">
        <v>1</v>
      </c>
    </row>
    <row r="751" spans="1:12" x14ac:dyDescent="0.25">
      <c r="A751" s="45">
        <f>C751&amp;"."&amp;IFERROR(MID(E751,FIND("(",E751)+1,FIND(")",E751)-FIND("(",E751)-1),"")</f>
      </c>
      <c r="B751" s="46" t="s">
        <v>1178</v>
      </c>
      <c r="C751" s="46">
        <v>74842</v>
      </c>
      <c r="D751" s="46" t="s">
        <v>2004</v>
      </c>
      <c r="E751" s="46" t="s">
        <v>2006</v>
      </c>
      <c r="F751" s="46" t="s">
        <v>24</v>
      </c>
      <c r="G751" s="47">
        <v>0.6</v>
      </c>
      <c r="H751" s="48">
        <v>26.632</v>
      </c>
      <c r="I751" s="48">
        <v>26.632</v>
      </c>
      <c r="J751" s="49">
        <v>1</v>
      </c>
      <c r="K751" s="49">
        <v>0</v>
      </c>
      <c r="L751" s="49">
        <v>1</v>
      </c>
    </row>
    <row r="752" spans="1:12" x14ac:dyDescent="0.25">
      <c r="A752" s="45">
        <f>C752&amp;"."&amp;IFERROR(MID(E752,FIND("(",E752)+1,FIND(")",E752)-FIND("(",E752)-1),"")</f>
      </c>
      <c r="B752" s="46" t="s">
        <v>1178</v>
      </c>
      <c r="C752" s="46">
        <v>74842</v>
      </c>
      <c r="D752" s="46" t="s">
        <v>2004</v>
      </c>
      <c r="E752" s="46" t="s">
        <v>2007</v>
      </c>
      <c r="F752" s="46" t="s">
        <v>24</v>
      </c>
      <c r="G752" s="47">
        <v>0.6</v>
      </c>
      <c r="H752" s="48">
        <v>27.808</v>
      </c>
      <c r="I752" s="48">
        <v>27.808</v>
      </c>
      <c r="J752" s="49">
        <v>1</v>
      </c>
      <c r="K752" s="49">
        <v>0</v>
      </c>
      <c r="L752" s="49">
        <v>1</v>
      </c>
    </row>
    <row r="753" spans="1:12" x14ac:dyDescent="0.25">
      <c r="A753" s="45">
        <f>C753&amp;"."&amp;IFERROR(MID(E753,FIND("(",E753)+1,FIND(")",E753)-FIND("(",E753)-1),"")</f>
      </c>
      <c r="B753" s="46" t="s">
        <v>1178</v>
      </c>
      <c r="C753" s="46">
        <v>74867</v>
      </c>
      <c r="D753" s="46" t="s">
        <v>2008</v>
      </c>
      <c r="E753" s="46" t="s">
        <v>2009</v>
      </c>
      <c r="F753" s="46" t="s">
        <v>26</v>
      </c>
      <c r="G753" s="47">
        <v>1.19</v>
      </c>
      <c r="H753" s="48">
        <v>4.14</v>
      </c>
      <c r="I753" s="48">
        <v>12.42</v>
      </c>
      <c r="J753" s="49">
        <v>3</v>
      </c>
      <c r="K753" s="49">
        <v>0</v>
      </c>
      <c r="L753" s="49">
        <v>3</v>
      </c>
    </row>
    <row r="754" spans="1:12" x14ac:dyDescent="0.25">
      <c r="A754" s="45">
        <f>C754&amp;"."&amp;IFERROR(MID(E754,FIND("(",E754)+1,FIND(")",E754)-FIND("(",E754)-1),"")</f>
      </c>
      <c r="B754" s="46" t="s">
        <v>1178</v>
      </c>
      <c r="C754" s="46">
        <v>74867</v>
      </c>
      <c r="D754" s="46" t="s">
        <v>2008</v>
      </c>
      <c r="E754" s="46" t="s">
        <v>2010</v>
      </c>
      <c r="F754" s="46" t="s">
        <v>26</v>
      </c>
      <c r="G754" s="47">
        <v>1.19</v>
      </c>
      <c r="H754" s="48">
        <v>8.775</v>
      </c>
      <c r="I754" s="48">
        <v>70.202</v>
      </c>
      <c r="J754" s="49">
        <v>8</v>
      </c>
      <c r="K754" s="49">
        <v>4</v>
      </c>
      <c r="L754" s="49">
        <v>4</v>
      </c>
    </row>
    <row r="755" spans="1:12" x14ac:dyDescent="0.25">
      <c r="A755" s="45">
        <f>C755&amp;"."&amp;IFERROR(MID(E755,FIND("(",E755)+1,FIND(")",E755)-FIND("(",E755)-1),"")</f>
      </c>
      <c r="B755" s="46" t="s">
        <v>1178</v>
      </c>
      <c r="C755" s="46">
        <v>74867</v>
      </c>
      <c r="D755" s="46" t="s">
        <v>2008</v>
      </c>
      <c r="E755" s="46" t="s">
        <v>2011</v>
      </c>
      <c r="F755" s="46" t="s">
        <v>26</v>
      </c>
      <c r="G755" s="47">
        <v>1.19</v>
      </c>
      <c r="H755" s="48">
        <v>8.511</v>
      </c>
      <c r="I755" s="48">
        <v>17.021</v>
      </c>
      <c r="J755" s="49">
        <v>2</v>
      </c>
      <c r="K755" s="49">
        <v>2</v>
      </c>
      <c r="L755" s="49">
        <v>0</v>
      </c>
    </row>
    <row r="756" spans="1:12" x14ac:dyDescent="0.25">
      <c r="A756" s="45">
        <f>C756&amp;"."&amp;IFERROR(MID(E756,FIND("(",E756)+1,FIND(")",E756)-FIND("(",E756)-1),"")</f>
      </c>
      <c r="B756" s="46" t="s">
        <v>1178</v>
      </c>
      <c r="C756" s="46">
        <v>74870</v>
      </c>
      <c r="D756" s="46" t="s">
        <v>2012</v>
      </c>
      <c r="E756" s="46" t="s">
        <v>2013</v>
      </c>
      <c r="F756" s="46" t="s">
        <v>26</v>
      </c>
      <c r="G756" s="47">
        <v>0.6</v>
      </c>
      <c r="H756" s="48">
        <v>2.603</v>
      </c>
      <c r="I756" s="48">
        <v>33.845</v>
      </c>
      <c r="J756" s="49">
        <v>13</v>
      </c>
      <c r="K756" s="49">
        <v>10</v>
      </c>
      <c r="L756" s="49">
        <v>3</v>
      </c>
    </row>
    <row r="757" spans="1:12" x14ac:dyDescent="0.25">
      <c r="A757" s="45">
        <f>C757&amp;"."&amp;IFERROR(MID(E757,FIND("(",E757)+1,FIND(")",E757)-FIND("(",E757)-1),"")</f>
      </c>
      <c r="B757" s="46" t="s">
        <v>1178</v>
      </c>
      <c r="C757" s="46">
        <v>74870</v>
      </c>
      <c r="D757" s="46" t="s">
        <v>2012</v>
      </c>
      <c r="E757" s="46" t="s">
        <v>2014</v>
      </c>
      <c r="F757" s="46" t="s">
        <v>26</v>
      </c>
      <c r="G757" s="47">
        <v>0.6</v>
      </c>
      <c r="H757" s="48">
        <v>3.973</v>
      </c>
      <c r="I757" s="48">
        <v>107.28</v>
      </c>
      <c r="J757" s="49">
        <v>27</v>
      </c>
      <c r="K757" s="49">
        <v>6</v>
      </c>
      <c r="L757" s="49">
        <v>21</v>
      </c>
    </row>
    <row r="758" spans="1:12" x14ac:dyDescent="0.25">
      <c r="A758" s="45">
        <f>C758&amp;"."&amp;IFERROR(MID(E758,FIND("(",E758)+1,FIND(")",E758)-FIND("(",E758)-1),"")</f>
      </c>
      <c r="B758" s="46" t="s">
        <v>1178</v>
      </c>
      <c r="C758" s="46">
        <v>74875</v>
      </c>
      <c r="D758" s="46" t="s">
        <v>2015</v>
      </c>
      <c r="E758" s="46" t="s">
        <v>2016</v>
      </c>
      <c r="F758" s="46" t="s">
        <v>26</v>
      </c>
      <c r="G758" s="47">
        <v>0.38</v>
      </c>
      <c r="H758" s="48">
        <v>1.32</v>
      </c>
      <c r="I758" s="48">
        <v>1.32</v>
      </c>
      <c r="J758" s="49">
        <v>1</v>
      </c>
      <c r="K758" s="49">
        <v>0</v>
      </c>
      <c r="L758" s="49">
        <v>1</v>
      </c>
    </row>
    <row r="759" spans="1:12" x14ac:dyDescent="0.25">
      <c r="A759" s="45">
        <f>C759&amp;"."&amp;IFERROR(MID(E759,FIND("(",E759)+1,FIND(")",E759)-FIND("(",E759)-1),"")</f>
      </c>
      <c r="B759" s="46" t="s">
        <v>1178</v>
      </c>
      <c r="C759" s="46">
        <v>74875</v>
      </c>
      <c r="D759" s="46" t="s">
        <v>2015</v>
      </c>
      <c r="E759" s="46" t="s">
        <v>2017</v>
      </c>
      <c r="F759" s="46" t="s">
        <v>26</v>
      </c>
      <c r="G759" s="47">
        <v>0.38</v>
      </c>
      <c r="H759" s="48">
        <v>4.289</v>
      </c>
      <c r="I759" s="48">
        <v>17.158</v>
      </c>
      <c r="J759" s="49">
        <v>4</v>
      </c>
      <c r="K759" s="49">
        <v>2</v>
      </c>
      <c r="L759" s="49">
        <v>2</v>
      </c>
    </row>
    <row r="760" spans="1:12" x14ac:dyDescent="0.25">
      <c r="A760" s="45">
        <f>C760&amp;"."&amp;IFERROR(MID(E760,FIND("(",E760)+1,FIND(")",E760)-FIND("(",E760)-1),"")</f>
      </c>
      <c r="B760" s="46" t="s">
        <v>1178</v>
      </c>
      <c r="C760" s="46">
        <v>74875</v>
      </c>
      <c r="D760" s="46" t="s">
        <v>2015</v>
      </c>
      <c r="E760" s="46" t="s">
        <v>2018</v>
      </c>
      <c r="F760" s="46" t="s">
        <v>26</v>
      </c>
      <c r="G760" s="47">
        <v>0.38</v>
      </c>
      <c r="H760" s="48">
        <v>1.415</v>
      </c>
      <c r="I760" s="48">
        <v>2.83</v>
      </c>
      <c r="J760" s="49">
        <v>2</v>
      </c>
      <c r="K760" s="49">
        <v>2</v>
      </c>
      <c r="L760" s="49">
        <v>0</v>
      </c>
    </row>
    <row r="761" spans="1:12" x14ac:dyDescent="0.25">
      <c r="A761" s="45">
        <f>C761&amp;"."&amp;IFERROR(MID(E761,FIND("(",E761)+1,FIND(")",E761)-FIND("(",E761)-1),"")</f>
      </c>
      <c r="B761" s="46" t="s">
        <v>1178</v>
      </c>
      <c r="C761" s="46">
        <v>74876</v>
      </c>
      <c r="D761" s="46" t="s">
        <v>2019</v>
      </c>
      <c r="E761" s="46" t="s">
        <v>2020</v>
      </c>
      <c r="F761" s="46" t="s">
        <v>26</v>
      </c>
      <c r="G761" s="47">
        <v>0.38</v>
      </c>
      <c r="H761" s="48">
        <v>1.966</v>
      </c>
      <c r="I761" s="48">
        <v>7.864</v>
      </c>
      <c r="J761" s="49">
        <v>4</v>
      </c>
      <c r="K761" s="49">
        <v>4</v>
      </c>
      <c r="L761" s="49">
        <v>0</v>
      </c>
    </row>
    <row r="762" spans="1:12" x14ac:dyDescent="0.25">
      <c r="A762" s="45">
        <f>C762&amp;"."&amp;IFERROR(MID(E762,FIND("(",E762)+1,FIND(")",E762)-FIND("(",E762)-1),"")</f>
      </c>
      <c r="B762" s="46" t="s">
        <v>1178</v>
      </c>
      <c r="C762" s="46">
        <v>74876</v>
      </c>
      <c r="D762" s="46" t="s">
        <v>2019</v>
      </c>
      <c r="E762" s="46" t="s">
        <v>2021</v>
      </c>
      <c r="F762" s="46" t="s">
        <v>26</v>
      </c>
      <c r="G762" s="47">
        <v>0.38</v>
      </c>
      <c r="H762" s="48">
        <v>2.925</v>
      </c>
      <c r="I762" s="48">
        <v>29.245</v>
      </c>
      <c r="J762" s="49">
        <v>10</v>
      </c>
      <c r="K762" s="49">
        <v>2</v>
      </c>
      <c r="L762" s="49">
        <v>8</v>
      </c>
    </row>
    <row r="763" spans="1:12" x14ac:dyDescent="0.25">
      <c r="A763" s="45">
        <f>C763&amp;"."&amp;IFERROR(MID(E763,FIND("(",E763)+1,FIND(")",E763)-FIND("(",E763)-1),"")</f>
      </c>
      <c r="B763" s="46" t="s">
        <v>1178</v>
      </c>
      <c r="C763" s="46">
        <v>74887</v>
      </c>
      <c r="D763" s="46" t="s">
        <v>2022</v>
      </c>
      <c r="E763" s="46" t="s">
        <v>2023</v>
      </c>
      <c r="F763" s="46" t="s">
        <v>26</v>
      </c>
      <c r="G763" s="47">
        <v>8.68</v>
      </c>
      <c r="H763" s="48">
        <v>26.85</v>
      </c>
      <c r="I763" s="48">
        <v>26.85</v>
      </c>
      <c r="J763" s="49">
        <v>1</v>
      </c>
      <c r="K763" s="49">
        <v>0</v>
      </c>
      <c r="L763" s="49">
        <v>1</v>
      </c>
    </row>
    <row r="764" spans="1:12" x14ac:dyDescent="0.25">
      <c r="A764" s="45">
        <f>C764&amp;"."&amp;IFERROR(MID(E764,FIND("(",E764)+1,FIND(")",E764)-FIND("(",E764)-1),"")</f>
      </c>
      <c r="B764" s="46" t="s">
        <v>1178</v>
      </c>
      <c r="C764" s="46">
        <v>74887</v>
      </c>
      <c r="D764" s="46" t="s">
        <v>2022</v>
      </c>
      <c r="E764" s="46" t="s">
        <v>2024</v>
      </c>
      <c r="F764" s="46" t="s">
        <v>26</v>
      </c>
      <c r="G764" s="47">
        <v>8.68</v>
      </c>
      <c r="H764" s="48">
        <v>16.171</v>
      </c>
      <c r="I764" s="48">
        <v>32.342</v>
      </c>
      <c r="J764" s="49">
        <v>2</v>
      </c>
      <c r="K764" s="49">
        <v>2</v>
      </c>
      <c r="L764" s="49">
        <v>0</v>
      </c>
    </row>
    <row r="765" spans="1:12" x14ac:dyDescent="0.25">
      <c r="A765" s="45">
        <f>C765&amp;"."&amp;IFERROR(MID(E765,FIND("(",E765)+1,FIND(")",E765)-FIND("(",E765)-1),"")</f>
      </c>
      <c r="B765" s="46" t="s">
        <v>1178</v>
      </c>
      <c r="C765" s="46">
        <v>74889</v>
      </c>
      <c r="D765" s="46" t="s">
        <v>2025</v>
      </c>
      <c r="E765" s="46" t="s">
        <v>2026</v>
      </c>
      <c r="F765" s="46" t="s">
        <v>26</v>
      </c>
      <c r="G765" s="47">
        <v>8.68</v>
      </c>
      <c r="H765" s="48">
        <v>15.507</v>
      </c>
      <c r="I765" s="48">
        <v>93.041</v>
      </c>
      <c r="J765" s="49">
        <v>6</v>
      </c>
      <c r="K765" s="49">
        <v>2</v>
      </c>
      <c r="L765" s="49">
        <v>4</v>
      </c>
    </row>
    <row r="766" spans="1:12" x14ac:dyDescent="0.25">
      <c r="A766" s="45">
        <f>C766&amp;"."&amp;IFERROR(MID(E766,FIND("(",E766)+1,FIND(")",E766)-FIND("(",E766)-1),"")</f>
      </c>
      <c r="B766" s="46" t="s">
        <v>1178</v>
      </c>
      <c r="C766" s="46">
        <v>74889</v>
      </c>
      <c r="D766" s="46" t="s">
        <v>2025</v>
      </c>
      <c r="E766" s="46" t="s">
        <v>2027</v>
      </c>
      <c r="F766" s="46" t="s">
        <v>26</v>
      </c>
      <c r="G766" s="47">
        <v>8.68</v>
      </c>
      <c r="H766" s="48">
        <v>14.084</v>
      </c>
      <c r="I766" s="48">
        <v>70.422</v>
      </c>
      <c r="J766" s="49">
        <v>5</v>
      </c>
      <c r="K766" s="49">
        <v>0</v>
      </c>
      <c r="L766" s="49">
        <v>5</v>
      </c>
    </row>
    <row r="767" spans="1:12" x14ac:dyDescent="0.25">
      <c r="A767" s="45">
        <f>C767&amp;"."&amp;IFERROR(MID(E767,FIND("(",E767)+1,FIND(")",E767)-FIND("(",E767)-1),"")</f>
      </c>
      <c r="B767" s="46" t="s">
        <v>1178</v>
      </c>
      <c r="C767" s="46">
        <v>74889</v>
      </c>
      <c r="D767" s="46" t="s">
        <v>2025</v>
      </c>
      <c r="E767" s="46" t="s">
        <v>2028</v>
      </c>
      <c r="F767" s="46" t="s">
        <v>26</v>
      </c>
      <c r="G767" s="47">
        <v>8.68</v>
      </c>
      <c r="H767" s="48">
        <v>25.81</v>
      </c>
      <c r="I767" s="48">
        <v>25.81</v>
      </c>
      <c r="J767" s="49">
        <v>1</v>
      </c>
      <c r="K767" s="49">
        <v>0</v>
      </c>
      <c r="L767" s="49">
        <v>1</v>
      </c>
    </row>
    <row r="768" spans="1:12" x14ac:dyDescent="0.25">
      <c r="A768" s="45">
        <f>C768&amp;"."&amp;IFERROR(MID(E768,FIND("(",E768)+1,FIND(")",E768)-FIND("(",E768)-1),"")</f>
      </c>
      <c r="B768" s="46" t="s">
        <v>1178</v>
      </c>
      <c r="C768" s="46">
        <v>74892</v>
      </c>
      <c r="D768" s="46" t="s">
        <v>2029</v>
      </c>
      <c r="E768" s="46" t="s">
        <v>2030</v>
      </c>
      <c r="F768" s="46" t="s">
        <v>26</v>
      </c>
      <c r="G768" s="47">
        <v>8.68</v>
      </c>
      <c r="H768" s="48">
        <v>15.247</v>
      </c>
      <c r="I768" s="48">
        <v>45.742</v>
      </c>
      <c r="J768" s="49">
        <v>3</v>
      </c>
      <c r="K768" s="49">
        <v>1</v>
      </c>
      <c r="L768" s="49">
        <v>2</v>
      </c>
    </row>
    <row r="769" spans="1:12" x14ac:dyDescent="0.25">
      <c r="A769" s="45">
        <f>C769&amp;"."&amp;IFERROR(MID(E769,FIND("(",E769)+1,FIND(")",E769)-FIND("(",E769)-1),"")</f>
      </c>
      <c r="B769" s="46" t="s">
        <v>1178</v>
      </c>
      <c r="C769" s="46">
        <v>74892</v>
      </c>
      <c r="D769" s="46" t="s">
        <v>2029</v>
      </c>
      <c r="E769" s="46" t="s">
        <v>2031</v>
      </c>
      <c r="F769" s="46" t="s">
        <v>26</v>
      </c>
      <c r="G769" s="47">
        <v>8.68</v>
      </c>
      <c r="H769" s="48">
        <v>14.39</v>
      </c>
      <c r="I769" s="48">
        <v>28.781</v>
      </c>
      <c r="J769" s="49">
        <v>2</v>
      </c>
      <c r="K769" s="49">
        <v>0</v>
      </c>
      <c r="L769" s="49">
        <v>2</v>
      </c>
    </row>
    <row r="770" spans="1:12" x14ac:dyDescent="0.25">
      <c r="A770" s="45">
        <f>C770&amp;"."&amp;IFERROR(MID(E770,FIND("(",E770)+1,FIND(")",E770)-FIND("(",E770)-1),"")</f>
      </c>
      <c r="B770" s="46" t="s">
        <v>1178</v>
      </c>
      <c r="C770" s="46">
        <v>74892</v>
      </c>
      <c r="D770" s="46" t="s">
        <v>2029</v>
      </c>
      <c r="E770" s="46" t="s">
        <v>2032</v>
      </c>
      <c r="F770" s="46" t="s">
        <v>26</v>
      </c>
      <c r="G770" s="47">
        <v>8.68</v>
      </c>
      <c r="H770" s="48">
        <v>19.208</v>
      </c>
      <c r="I770" s="48">
        <v>134.457</v>
      </c>
      <c r="J770" s="49">
        <v>7</v>
      </c>
      <c r="K770" s="49">
        <v>0</v>
      </c>
      <c r="L770" s="49">
        <v>7</v>
      </c>
    </row>
    <row r="771" spans="1:12" x14ac:dyDescent="0.25">
      <c r="A771" s="45">
        <f>C771&amp;"."&amp;IFERROR(MID(E771,FIND("(",E771)+1,FIND(")",E771)-FIND("(",E771)-1),"")</f>
      </c>
      <c r="B771" s="46" t="s">
        <v>1178</v>
      </c>
      <c r="C771" s="46">
        <v>74897</v>
      </c>
      <c r="D771" s="46" t="s">
        <v>2033</v>
      </c>
      <c r="E771" s="46" t="s">
        <v>1248</v>
      </c>
      <c r="F771" s="46" t="s">
        <v>1495</v>
      </c>
      <c r="G771" s="47">
        <v>0</v>
      </c>
      <c r="H771" s="48">
        <v>0.01</v>
      </c>
      <c r="I771" s="48">
        <v>3.233</v>
      </c>
      <c r="J771" s="49">
        <v>317</v>
      </c>
      <c r="K771" s="49">
        <v>0</v>
      </c>
      <c r="L771" s="49">
        <v>317</v>
      </c>
    </row>
    <row r="772" spans="1:12" x14ac:dyDescent="0.25">
      <c r="A772" s="45">
        <f>C772&amp;"."&amp;IFERROR(MID(E772,FIND("(",E772)+1,FIND(")",E772)-FIND("(",E772)-1),"")</f>
      </c>
      <c r="B772" s="46" t="s">
        <v>1178</v>
      </c>
      <c r="C772" s="46">
        <v>74898</v>
      </c>
      <c r="D772" s="46" t="s">
        <v>2034</v>
      </c>
      <c r="E772" s="46" t="s">
        <v>2035</v>
      </c>
      <c r="F772" s="46" t="s">
        <v>26</v>
      </c>
      <c r="G772" s="47">
        <v>2.43</v>
      </c>
      <c r="H772" s="48">
        <v>6.669</v>
      </c>
      <c r="I772" s="48">
        <v>13.338</v>
      </c>
      <c r="J772" s="49">
        <v>2</v>
      </c>
      <c r="K772" s="49">
        <v>0</v>
      </c>
      <c r="L772" s="49">
        <v>2</v>
      </c>
    </row>
    <row r="773" spans="1:12" x14ac:dyDescent="0.25">
      <c r="A773" s="45">
        <f>C773&amp;"."&amp;IFERROR(MID(E773,FIND("(",E773)+1,FIND(")",E773)-FIND("(",E773)-1),"")</f>
      </c>
      <c r="B773" s="46" t="s">
        <v>1178</v>
      </c>
      <c r="C773" s="46">
        <v>74898</v>
      </c>
      <c r="D773" s="46" t="s">
        <v>2034</v>
      </c>
      <c r="E773" s="46" t="s">
        <v>2036</v>
      </c>
      <c r="F773" s="46" t="s">
        <v>26</v>
      </c>
      <c r="G773" s="47">
        <v>2.43</v>
      </c>
      <c r="H773" s="48">
        <v>6.035</v>
      </c>
      <c r="I773" s="48">
        <v>120.7</v>
      </c>
      <c r="J773" s="49">
        <v>20</v>
      </c>
      <c r="K773" s="49">
        <v>11</v>
      </c>
      <c r="L773" s="49">
        <v>9</v>
      </c>
    </row>
    <row r="774" spans="1:12" x14ac:dyDescent="0.25">
      <c r="A774" s="45">
        <f>C774&amp;"."&amp;IFERROR(MID(E774,FIND("(",E774)+1,FIND(")",E774)-FIND("(",E774)-1),"")</f>
      </c>
      <c r="B774" s="46" t="s">
        <v>1178</v>
      </c>
      <c r="C774" s="46">
        <v>74898</v>
      </c>
      <c r="D774" s="46" t="s">
        <v>2034</v>
      </c>
      <c r="E774" s="46" t="s">
        <v>2037</v>
      </c>
      <c r="F774" s="46" t="s">
        <v>26</v>
      </c>
      <c r="G774" s="47">
        <v>2.43</v>
      </c>
      <c r="H774" s="48">
        <v>6.522</v>
      </c>
      <c r="I774" s="48">
        <v>39.132</v>
      </c>
      <c r="J774" s="49">
        <v>6</v>
      </c>
      <c r="K774" s="49">
        <v>2</v>
      </c>
      <c r="L774" s="49">
        <v>4</v>
      </c>
    </row>
    <row r="775" spans="1:12" x14ac:dyDescent="0.25">
      <c r="A775" s="45">
        <f>C775&amp;"."&amp;IFERROR(MID(E775,FIND("(",E775)+1,FIND(")",E775)-FIND("(",E775)-1),"")</f>
      </c>
      <c r="B775" s="46" t="s">
        <v>1178</v>
      </c>
      <c r="C775" s="46">
        <v>74900</v>
      </c>
      <c r="D775" s="46" t="s">
        <v>2038</v>
      </c>
      <c r="E775" s="46" t="s">
        <v>2039</v>
      </c>
      <c r="F775" s="46" t="s">
        <v>26</v>
      </c>
      <c r="G775" s="47">
        <v>8.1</v>
      </c>
      <c r="H775" s="48">
        <v>22.241</v>
      </c>
      <c r="I775" s="48">
        <v>111.207</v>
      </c>
      <c r="J775" s="49">
        <v>5</v>
      </c>
      <c r="K775" s="49">
        <v>0</v>
      </c>
      <c r="L775" s="49">
        <v>5</v>
      </c>
    </row>
    <row r="776" spans="1:12" x14ac:dyDescent="0.25">
      <c r="A776" s="45">
        <f>C776&amp;"."&amp;IFERROR(MID(E776,FIND("(",E776)+1,FIND(")",E776)-FIND("(",E776)-1),"")</f>
      </c>
      <c r="B776" s="46" t="s">
        <v>1178</v>
      </c>
      <c r="C776" s="46">
        <v>74900</v>
      </c>
      <c r="D776" s="46" t="s">
        <v>2038</v>
      </c>
      <c r="E776" s="46" t="s">
        <v>2040</v>
      </c>
      <c r="F776" s="46" t="s">
        <v>26</v>
      </c>
      <c r="G776" s="47">
        <v>8.1</v>
      </c>
      <c r="H776" s="48">
        <v>23.578</v>
      </c>
      <c r="I776" s="48">
        <v>235.781</v>
      </c>
      <c r="J776" s="49">
        <v>10</v>
      </c>
      <c r="K776" s="49">
        <v>0</v>
      </c>
      <c r="L776" s="49">
        <v>10</v>
      </c>
    </row>
    <row r="777" spans="1:12" x14ac:dyDescent="0.25">
      <c r="A777" s="45">
        <f>C777&amp;"."&amp;IFERROR(MID(E777,FIND("(",E777)+1,FIND(")",E777)-FIND("(",E777)-1),"")</f>
      </c>
      <c r="B777" s="46" t="s">
        <v>1178</v>
      </c>
      <c r="C777" s="46">
        <v>74903</v>
      </c>
      <c r="D777" s="46" t="s">
        <v>2041</v>
      </c>
      <c r="E777" s="46" t="s">
        <v>2042</v>
      </c>
      <c r="F777" s="46" t="s">
        <v>26</v>
      </c>
      <c r="G777" s="47">
        <v>8.1</v>
      </c>
      <c r="H777" s="48">
        <v>21.901</v>
      </c>
      <c r="I777" s="48">
        <v>219.008</v>
      </c>
      <c r="J777" s="49">
        <v>10</v>
      </c>
      <c r="K777" s="49">
        <v>1</v>
      </c>
      <c r="L777" s="49">
        <v>9</v>
      </c>
    </row>
    <row r="778" spans="1:12" x14ac:dyDescent="0.25">
      <c r="A778" s="45">
        <f>C778&amp;"."&amp;IFERROR(MID(E778,FIND("(",E778)+1,FIND(")",E778)-FIND("(",E778)-1),"")</f>
      </c>
      <c r="B778" s="46" t="s">
        <v>1178</v>
      </c>
      <c r="C778" s="46">
        <v>74903</v>
      </c>
      <c r="D778" s="46" t="s">
        <v>2041</v>
      </c>
      <c r="E778" s="46" t="s">
        <v>2043</v>
      </c>
      <c r="F778" s="46" t="s">
        <v>26</v>
      </c>
      <c r="G778" s="47">
        <v>8.1</v>
      </c>
      <c r="H778" s="48">
        <v>26.58</v>
      </c>
      <c r="I778" s="48">
        <v>106.32</v>
      </c>
      <c r="J778" s="49">
        <v>4</v>
      </c>
      <c r="K778" s="49">
        <v>0</v>
      </c>
      <c r="L778" s="49">
        <v>4</v>
      </c>
    </row>
    <row r="779" spans="1:12" x14ac:dyDescent="0.25">
      <c r="A779" s="45">
        <f>C779&amp;"."&amp;IFERROR(MID(E779,FIND("(",E779)+1,FIND(")",E779)-FIND("(",E779)-1),"")</f>
      </c>
      <c r="B779" s="46" t="s">
        <v>1178</v>
      </c>
      <c r="C779" s="46">
        <v>74903</v>
      </c>
      <c r="D779" s="46" t="s">
        <v>2041</v>
      </c>
      <c r="E779" s="46" t="s">
        <v>2044</v>
      </c>
      <c r="F779" s="46" t="s">
        <v>26</v>
      </c>
      <c r="G779" s="47">
        <v>8.1</v>
      </c>
      <c r="H779" s="48">
        <v>22.297</v>
      </c>
      <c r="I779" s="48">
        <v>44.594</v>
      </c>
      <c r="J779" s="49">
        <v>2</v>
      </c>
      <c r="K779" s="49">
        <v>1</v>
      </c>
      <c r="L779" s="49">
        <v>1</v>
      </c>
    </row>
    <row r="780" spans="1:12" x14ac:dyDescent="0.25">
      <c r="A780" s="45">
        <f>C780&amp;"."&amp;IFERROR(MID(E780,FIND("(",E780)+1,FIND(")",E780)-FIND("(",E780)-1),"")</f>
      </c>
      <c r="B780" s="46" t="s">
        <v>1178</v>
      </c>
      <c r="C780" s="46">
        <v>74916</v>
      </c>
      <c r="D780" s="46" t="s">
        <v>2045</v>
      </c>
      <c r="E780" s="46" t="s">
        <v>2046</v>
      </c>
      <c r="F780" s="46" t="s">
        <v>26</v>
      </c>
      <c r="G780" s="47">
        <v>0.38</v>
      </c>
      <c r="H780" s="48">
        <v>1.3</v>
      </c>
      <c r="I780" s="48">
        <v>3.9</v>
      </c>
      <c r="J780" s="49">
        <v>3</v>
      </c>
      <c r="K780" s="49">
        <v>0</v>
      </c>
      <c r="L780" s="49">
        <v>3</v>
      </c>
    </row>
    <row r="781" spans="1:12" x14ac:dyDescent="0.25">
      <c r="A781" s="45">
        <f>C781&amp;"."&amp;IFERROR(MID(E781,FIND("(",E781)+1,FIND(")",E781)-FIND("(",E781)-1),"")</f>
      </c>
      <c r="B781" s="46" t="s">
        <v>1178</v>
      </c>
      <c r="C781" s="46">
        <v>74916</v>
      </c>
      <c r="D781" s="46" t="s">
        <v>2045</v>
      </c>
      <c r="E781" s="46" t="s">
        <v>2047</v>
      </c>
      <c r="F781" s="46" t="s">
        <v>26</v>
      </c>
      <c r="G781" s="47">
        <v>0.38</v>
      </c>
      <c r="H781" s="48">
        <v>1.531</v>
      </c>
      <c r="I781" s="48">
        <v>9.186</v>
      </c>
      <c r="J781" s="49">
        <v>6</v>
      </c>
      <c r="K781" s="49">
        <v>1</v>
      </c>
      <c r="L781" s="49">
        <v>5</v>
      </c>
    </row>
    <row r="782" spans="1:12" x14ac:dyDescent="0.25">
      <c r="A782" s="45">
        <f>C782&amp;"."&amp;IFERROR(MID(E782,FIND("(",E782)+1,FIND(")",E782)-FIND("(",E782)-1),"")</f>
      </c>
      <c r="B782" s="46" t="s">
        <v>1178</v>
      </c>
      <c r="C782" s="46">
        <v>74916</v>
      </c>
      <c r="D782" s="46" t="s">
        <v>2045</v>
      </c>
      <c r="E782" s="46" t="s">
        <v>2048</v>
      </c>
      <c r="F782" s="46" t="s">
        <v>26</v>
      </c>
      <c r="G782" s="47">
        <v>0.38</v>
      </c>
      <c r="H782" s="48">
        <v>1.363</v>
      </c>
      <c r="I782" s="48">
        <v>5.451</v>
      </c>
      <c r="J782" s="49">
        <v>4</v>
      </c>
      <c r="K782" s="49">
        <v>2</v>
      </c>
      <c r="L782" s="49">
        <v>2</v>
      </c>
    </row>
    <row r="783" spans="1:12" x14ac:dyDescent="0.25">
      <c r="A783" s="45">
        <f>C783&amp;"."&amp;IFERROR(MID(E783,FIND("(",E783)+1,FIND(")",E783)-FIND("(",E783)-1),"")</f>
      </c>
      <c r="B783" s="46" t="s">
        <v>1178</v>
      </c>
      <c r="C783" s="46">
        <v>74925</v>
      </c>
      <c r="D783" s="46" t="s">
        <v>2049</v>
      </c>
      <c r="E783" s="46" t="s">
        <v>1248</v>
      </c>
      <c r="F783" s="46" t="s">
        <v>1495</v>
      </c>
      <c r="G783" s="47">
        <v>0.11</v>
      </c>
      <c r="H783" s="48">
        <v>0.012</v>
      </c>
      <c r="I783" s="48">
        <v>0.07</v>
      </c>
      <c r="J783" s="49">
        <v>6</v>
      </c>
      <c r="K783" s="49">
        <v>0</v>
      </c>
      <c r="L783" s="49">
        <v>6</v>
      </c>
    </row>
    <row r="784" spans="1:12" x14ac:dyDescent="0.25">
      <c r="A784" s="45">
        <f>C784&amp;"."&amp;IFERROR(MID(E784,FIND("(",E784)+1,FIND(")",E784)-FIND("(",E784)-1),"")</f>
      </c>
      <c r="B784" s="46" t="s">
        <v>1178</v>
      </c>
      <c r="C784" s="46">
        <v>74929</v>
      </c>
      <c r="D784" s="46" t="s">
        <v>2050</v>
      </c>
      <c r="E784" s="46" t="s">
        <v>1248</v>
      </c>
      <c r="F784" s="46" t="s">
        <v>1495</v>
      </c>
      <c r="G784" s="47">
        <v>0.13</v>
      </c>
      <c r="H784" s="48">
        <v>0.012</v>
      </c>
      <c r="I784" s="48">
        <v>3.001</v>
      </c>
      <c r="J784" s="49">
        <v>249</v>
      </c>
      <c r="K784" s="49">
        <v>7</v>
      </c>
      <c r="L784" s="49">
        <v>242</v>
      </c>
    </row>
    <row r="785" spans="1:12" x14ac:dyDescent="0.25">
      <c r="A785" s="45">
        <f>C785&amp;"."&amp;IFERROR(MID(E785,FIND("(",E785)+1,FIND(")",E785)-FIND("(",E785)-1),"")</f>
      </c>
      <c r="B785" s="46" t="s">
        <v>1178</v>
      </c>
      <c r="C785" s="46">
        <v>74933</v>
      </c>
      <c r="D785" s="46" t="s">
        <v>2051</v>
      </c>
      <c r="E785" s="46" t="s">
        <v>1248</v>
      </c>
      <c r="F785" s="46" t="s">
        <v>1495</v>
      </c>
      <c r="G785" s="47">
        <v>0</v>
      </c>
      <c r="H785" s="48">
        <v>0.013</v>
      </c>
      <c r="I785" s="48">
        <v>0.748</v>
      </c>
      <c r="J785" s="49">
        <v>56</v>
      </c>
      <c r="K785" s="49">
        <v>0</v>
      </c>
      <c r="L785" s="49">
        <v>56</v>
      </c>
    </row>
    <row r="786" spans="1:12" x14ac:dyDescent="0.25">
      <c r="A786" s="45">
        <f>C786&amp;"."&amp;IFERROR(MID(E786,FIND("(",E786)+1,FIND(")",E786)-FIND("(",E786)-1),"")</f>
      </c>
      <c r="B786" s="46" t="s">
        <v>1178</v>
      </c>
      <c r="C786" s="46">
        <v>74939</v>
      </c>
      <c r="D786" s="46" t="s">
        <v>2052</v>
      </c>
      <c r="E786" s="46" t="s">
        <v>1248</v>
      </c>
      <c r="F786" s="46" t="s">
        <v>1495</v>
      </c>
      <c r="G786" s="47">
        <v>0</v>
      </c>
      <c r="H786" s="48">
        <v>0.011</v>
      </c>
      <c r="I786" s="48">
        <v>2.622</v>
      </c>
      <c r="J786" s="49">
        <v>230</v>
      </c>
      <c r="K786" s="49">
        <v>0</v>
      </c>
      <c r="L786" s="49">
        <v>230</v>
      </c>
    </row>
    <row r="787" spans="1:12" x14ac:dyDescent="0.25">
      <c r="A787" s="45">
        <f>C787&amp;"."&amp;IFERROR(MID(E787,FIND("(",E787)+1,FIND(")",E787)-FIND("(",E787)-1),"")</f>
      </c>
      <c r="B787" s="46" t="s">
        <v>1178</v>
      </c>
      <c r="C787" s="46">
        <v>74940</v>
      </c>
      <c r="D787" s="46" t="s">
        <v>2053</v>
      </c>
      <c r="E787" s="46" t="s">
        <v>2054</v>
      </c>
      <c r="F787" s="46" t="s">
        <v>26</v>
      </c>
      <c r="G787" s="47">
        <v>8.77</v>
      </c>
      <c r="H787" s="48">
        <v>17.463</v>
      </c>
      <c r="I787" s="48">
        <v>104.78</v>
      </c>
      <c r="J787" s="49">
        <v>6</v>
      </c>
      <c r="K787" s="49">
        <v>3</v>
      </c>
      <c r="L787" s="49">
        <v>3</v>
      </c>
    </row>
    <row r="788" spans="1:12" x14ac:dyDescent="0.25">
      <c r="A788" s="45">
        <f>C788&amp;"."&amp;IFERROR(MID(E788,FIND("(",E788)+1,FIND(")",E788)-FIND("(",E788)-1),"")</f>
      </c>
      <c r="B788" s="46" t="s">
        <v>1178</v>
      </c>
      <c r="C788" s="46">
        <v>74940</v>
      </c>
      <c r="D788" s="46" t="s">
        <v>2053</v>
      </c>
      <c r="E788" s="46" t="s">
        <v>2055</v>
      </c>
      <c r="F788" s="46" t="s">
        <v>26</v>
      </c>
      <c r="G788" s="47">
        <v>8.77</v>
      </c>
      <c r="H788" s="48">
        <v>19.267</v>
      </c>
      <c r="I788" s="48">
        <v>19.267</v>
      </c>
      <c r="J788" s="49">
        <v>1</v>
      </c>
      <c r="K788" s="49">
        <v>1</v>
      </c>
      <c r="L788" s="49">
        <v>0</v>
      </c>
    </row>
    <row r="789" spans="1:12" x14ac:dyDescent="0.25">
      <c r="A789" s="45">
        <f>C789&amp;"."&amp;IFERROR(MID(E789,FIND("(",E789)+1,FIND(")",E789)-FIND("(",E789)-1),"")</f>
      </c>
      <c r="B789" s="46" t="s">
        <v>1178</v>
      </c>
      <c r="C789" s="46">
        <v>74941</v>
      </c>
      <c r="D789" s="46" t="s">
        <v>2056</v>
      </c>
      <c r="E789" s="46" t="s">
        <v>1248</v>
      </c>
      <c r="F789" s="46" t="s">
        <v>1495</v>
      </c>
      <c r="G789" s="47">
        <v>0</v>
      </c>
      <c r="H789" s="48">
        <v>0.015</v>
      </c>
      <c r="I789" s="48">
        <v>1.059</v>
      </c>
      <c r="J789" s="49">
        <v>73</v>
      </c>
      <c r="K789" s="49">
        <v>0</v>
      </c>
      <c r="L789" s="49">
        <v>73</v>
      </c>
    </row>
    <row r="790" spans="1:12" x14ac:dyDescent="0.25">
      <c r="A790" s="45">
        <f>C790&amp;"."&amp;IFERROR(MID(E790,FIND("(",E790)+1,FIND(")",E790)-FIND("(",E790)-1),"")</f>
      </c>
      <c r="B790" s="46" t="s">
        <v>1178</v>
      </c>
      <c r="C790" s="46">
        <v>74942</v>
      </c>
      <c r="D790" s="46" t="s">
        <v>2057</v>
      </c>
      <c r="E790" s="46" t="s">
        <v>2058</v>
      </c>
      <c r="F790" s="46" t="s">
        <v>26</v>
      </c>
      <c r="G790" s="47">
        <v>8.77</v>
      </c>
      <c r="H790" s="48">
        <v>31.23</v>
      </c>
      <c r="I790" s="48">
        <v>31.23</v>
      </c>
      <c r="J790" s="49">
        <v>1</v>
      </c>
      <c r="K790" s="49">
        <v>0</v>
      </c>
      <c r="L790" s="49">
        <v>1</v>
      </c>
    </row>
    <row r="791" spans="1:12" x14ac:dyDescent="0.25">
      <c r="A791" s="45">
        <f>C791&amp;"."&amp;IFERROR(MID(E791,FIND("(",E791)+1,FIND(")",E791)-FIND("(",E791)-1),"")</f>
      </c>
      <c r="B791" s="46" t="s">
        <v>1178</v>
      </c>
      <c r="C791" s="46">
        <v>74942</v>
      </c>
      <c r="D791" s="46" t="s">
        <v>2057</v>
      </c>
      <c r="E791" s="46" t="s">
        <v>2059</v>
      </c>
      <c r="F791" s="46" t="s">
        <v>26</v>
      </c>
      <c r="G791" s="47">
        <v>8.77</v>
      </c>
      <c r="H791" s="48">
        <v>17.466</v>
      </c>
      <c r="I791" s="48">
        <v>454.119</v>
      </c>
      <c r="J791" s="49">
        <v>26</v>
      </c>
      <c r="K791" s="49">
        <v>14</v>
      </c>
      <c r="L791" s="49">
        <v>12</v>
      </c>
    </row>
    <row r="792" spans="1:12" x14ac:dyDescent="0.25">
      <c r="A792" s="45">
        <f>C792&amp;"."&amp;IFERROR(MID(E792,FIND("(",E792)+1,FIND(")",E792)-FIND("(",E792)-1),"")</f>
      </c>
      <c r="B792" s="46" t="s">
        <v>1178</v>
      </c>
      <c r="C792" s="46">
        <v>74942</v>
      </c>
      <c r="D792" s="46" t="s">
        <v>2057</v>
      </c>
      <c r="E792" s="46" t="s">
        <v>2060</v>
      </c>
      <c r="F792" s="46" t="s">
        <v>26</v>
      </c>
      <c r="G792" s="47">
        <v>8.77</v>
      </c>
      <c r="H792" s="48">
        <v>17.754</v>
      </c>
      <c r="I792" s="48">
        <v>230.803</v>
      </c>
      <c r="J792" s="49">
        <v>13</v>
      </c>
      <c r="K792" s="49">
        <v>6</v>
      </c>
      <c r="L792" s="49">
        <v>7</v>
      </c>
    </row>
    <row r="793" spans="1:12" x14ac:dyDescent="0.25">
      <c r="A793" s="45">
        <f>C793&amp;"."&amp;IFERROR(MID(E793,FIND("(",E793)+1,FIND(")",E793)-FIND("(",E793)-1),"")</f>
      </c>
      <c r="B793" s="46" t="s">
        <v>1178</v>
      </c>
      <c r="C793" s="46">
        <v>74949</v>
      </c>
      <c r="D793" s="46" t="s">
        <v>2061</v>
      </c>
      <c r="E793" s="46" t="s">
        <v>2062</v>
      </c>
      <c r="F793" s="46" t="s">
        <v>26</v>
      </c>
      <c r="G793" s="47">
        <v>2.55</v>
      </c>
      <c r="H793" s="48">
        <v>3.908</v>
      </c>
      <c r="I793" s="48">
        <v>7.816</v>
      </c>
      <c r="J793" s="49">
        <v>2</v>
      </c>
      <c r="K793" s="49">
        <v>0</v>
      </c>
      <c r="L793" s="49">
        <v>2</v>
      </c>
    </row>
    <row r="794" spans="1:12" x14ac:dyDescent="0.25">
      <c r="A794" s="45">
        <f>C794&amp;"."&amp;IFERROR(MID(E794,FIND("(",E794)+1,FIND(")",E794)-FIND("(",E794)-1),"")</f>
      </c>
      <c r="B794" s="46" t="s">
        <v>1178</v>
      </c>
      <c r="C794" s="46">
        <v>74951</v>
      </c>
      <c r="D794" s="46" t="s">
        <v>2063</v>
      </c>
      <c r="E794" s="46" t="s">
        <v>2064</v>
      </c>
      <c r="F794" s="46" t="s">
        <v>26</v>
      </c>
      <c r="G794" s="47">
        <v>2.87</v>
      </c>
      <c r="H794" s="48">
        <v>8.928</v>
      </c>
      <c r="I794" s="48">
        <v>26.784</v>
      </c>
      <c r="J794" s="49">
        <v>3</v>
      </c>
      <c r="K794" s="49">
        <v>1</v>
      </c>
      <c r="L794" s="49">
        <v>2</v>
      </c>
    </row>
    <row r="795" spans="1:12" x14ac:dyDescent="0.25">
      <c r="A795" s="45">
        <f>C795&amp;"."&amp;IFERROR(MID(E795,FIND("(",E795)+1,FIND(")",E795)-FIND("(",E795)-1),"")</f>
      </c>
      <c r="B795" s="46" t="s">
        <v>1178</v>
      </c>
      <c r="C795" s="46">
        <v>74951</v>
      </c>
      <c r="D795" s="46" t="s">
        <v>2063</v>
      </c>
      <c r="E795" s="46" t="s">
        <v>2065</v>
      </c>
      <c r="F795" s="46" t="s">
        <v>26</v>
      </c>
      <c r="G795" s="47">
        <v>2.87</v>
      </c>
      <c r="H795" s="48">
        <v>9.33</v>
      </c>
      <c r="I795" s="48">
        <v>102.627</v>
      </c>
      <c r="J795" s="49">
        <v>11</v>
      </c>
      <c r="K795" s="49">
        <v>2</v>
      </c>
      <c r="L795" s="49">
        <v>9</v>
      </c>
    </row>
    <row r="796" spans="1:12" x14ac:dyDescent="0.25">
      <c r="A796" s="45">
        <f>C796&amp;"."&amp;IFERROR(MID(E796,FIND("(",E796)+1,FIND(")",E796)-FIND("(",E796)-1),"")</f>
      </c>
      <c r="B796" s="46" t="s">
        <v>1178</v>
      </c>
      <c r="C796" s="46">
        <v>74951</v>
      </c>
      <c r="D796" s="46" t="s">
        <v>2063</v>
      </c>
      <c r="E796" s="46" t="s">
        <v>2066</v>
      </c>
      <c r="F796" s="46" t="s">
        <v>26</v>
      </c>
      <c r="G796" s="47">
        <v>2.87</v>
      </c>
      <c r="H796" s="48">
        <v>9.92</v>
      </c>
      <c r="I796" s="48">
        <v>59.52</v>
      </c>
      <c r="J796" s="49">
        <v>6</v>
      </c>
      <c r="K796" s="49">
        <v>0</v>
      </c>
      <c r="L796" s="49">
        <v>6</v>
      </c>
    </row>
    <row r="797" spans="1:12" x14ac:dyDescent="0.25">
      <c r="A797" s="45">
        <f>C797&amp;"."&amp;IFERROR(MID(E797,FIND("(",E797)+1,FIND(")",E797)-FIND("(",E797)-1),"")</f>
      </c>
      <c r="B797" s="46" t="s">
        <v>1178</v>
      </c>
      <c r="C797" s="46">
        <v>74957</v>
      </c>
      <c r="D797" s="46" t="s">
        <v>2067</v>
      </c>
      <c r="E797" s="46" t="s">
        <v>2068</v>
      </c>
      <c r="F797" s="46" t="s">
        <v>26</v>
      </c>
      <c r="G797" s="47">
        <v>1.29</v>
      </c>
      <c r="H797" s="48">
        <v>11.729</v>
      </c>
      <c r="I797" s="48">
        <v>35.188</v>
      </c>
      <c r="J797" s="49">
        <v>3</v>
      </c>
      <c r="K797" s="49">
        <v>0</v>
      </c>
      <c r="L797" s="49">
        <v>3</v>
      </c>
    </row>
    <row r="798" spans="1:12" x14ac:dyDescent="0.25">
      <c r="A798" s="45">
        <f>C798&amp;"."&amp;IFERROR(MID(E798,FIND("(",E798)+1,FIND(")",E798)-FIND("(",E798)-1),"")</f>
      </c>
      <c r="B798" s="46" t="s">
        <v>1178</v>
      </c>
      <c r="C798" s="46">
        <v>74957</v>
      </c>
      <c r="D798" s="46" t="s">
        <v>2067</v>
      </c>
      <c r="E798" s="46" t="s">
        <v>2069</v>
      </c>
      <c r="F798" s="46" t="s">
        <v>26</v>
      </c>
      <c r="G798" s="47">
        <v>1.29</v>
      </c>
      <c r="H798" s="48">
        <v>4.53</v>
      </c>
      <c r="I798" s="48">
        <v>13.59</v>
      </c>
      <c r="J798" s="49">
        <v>3</v>
      </c>
      <c r="K798" s="49">
        <v>0</v>
      </c>
      <c r="L798" s="49">
        <v>3</v>
      </c>
    </row>
    <row r="799" spans="1:12" x14ac:dyDescent="0.25">
      <c r="A799" s="45">
        <f>C799&amp;"."&amp;IFERROR(MID(E799,FIND("(",E799)+1,FIND(")",E799)-FIND("(",E799)-1),"")</f>
      </c>
      <c r="B799" s="46" t="s">
        <v>1178</v>
      </c>
      <c r="C799" s="46">
        <v>74957</v>
      </c>
      <c r="D799" s="46" t="s">
        <v>2067</v>
      </c>
      <c r="E799" s="46" t="s">
        <v>2070</v>
      </c>
      <c r="F799" s="46" t="s">
        <v>26</v>
      </c>
      <c r="G799" s="47">
        <v>1.29</v>
      </c>
      <c r="H799" s="48">
        <v>4.817</v>
      </c>
      <c r="I799" s="48">
        <v>24.087</v>
      </c>
      <c r="J799" s="49">
        <v>5</v>
      </c>
      <c r="K799" s="49">
        <v>1</v>
      </c>
      <c r="L799" s="49">
        <v>4</v>
      </c>
    </row>
    <row r="800" spans="1:12" x14ac:dyDescent="0.25">
      <c r="A800" s="45">
        <f>C800&amp;"."&amp;IFERROR(MID(E800,FIND("(",E800)+1,FIND(")",E800)-FIND("(",E800)-1),"")</f>
      </c>
      <c r="B800" s="46" t="s">
        <v>1178</v>
      </c>
      <c r="C800" s="46">
        <v>74961</v>
      </c>
      <c r="D800" s="46" t="s">
        <v>2071</v>
      </c>
      <c r="E800" s="46" t="s">
        <v>2072</v>
      </c>
      <c r="F800" s="46" t="s">
        <v>26</v>
      </c>
      <c r="G800" s="47">
        <v>0.46</v>
      </c>
      <c r="H800" s="48">
        <v>1.72</v>
      </c>
      <c r="I800" s="48">
        <v>12.04</v>
      </c>
      <c r="J800" s="49">
        <v>7</v>
      </c>
      <c r="K800" s="49">
        <v>0</v>
      </c>
      <c r="L800" s="49">
        <v>7</v>
      </c>
    </row>
    <row r="801" spans="1:12" x14ac:dyDescent="0.25">
      <c r="A801" s="45">
        <f>C801&amp;"."&amp;IFERROR(MID(E801,FIND("(",E801)+1,FIND(")",E801)-FIND("(",E801)-1),"")</f>
      </c>
      <c r="B801" s="46" t="s">
        <v>1178</v>
      </c>
      <c r="C801" s="46">
        <v>74961</v>
      </c>
      <c r="D801" s="46" t="s">
        <v>2071</v>
      </c>
      <c r="E801" s="46" t="s">
        <v>2073</v>
      </c>
      <c r="F801" s="46" t="s">
        <v>26</v>
      </c>
      <c r="G801" s="47">
        <v>0.46</v>
      </c>
      <c r="H801" s="48">
        <v>1.515</v>
      </c>
      <c r="I801" s="48">
        <v>3.03</v>
      </c>
      <c r="J801" s="49">
        <v>2</v>
      </c>
      <c r="K801" s="49">
        <v>2</v>
      </c>
      <c r="L801" s="49">
        <v>0</v>
      </c>
    </row>
    <row r="802" spans="1:12" x14ac:dyDescent="0.25">
      <c r="A802" s="45">
        <f>C802&amp;"."&amp;IFERROR(MID(E802,FIND("(",E802)+1,FIND(")",E802)-FIND("(",E802)-1),"")</f>
      </c>
      <c r="B802" s="46" t="s">
        <v>1178</v>
      </c>
      <c r="C802" s="46">
        <v>74961</v>
      </c>
      <c r="D802" s="46" t="s">
        <v>2071</v>
      </c>
      <c r="E802" s="46" t="s">
        <v>2074</v>
      </c>
      <c r="F802" s="46" t="s">
        <v>26</v>
      </c>
      <c r="G802" s="47">
        <v>0.46</v>
      </c>
      <c r="H802" s="48">
        <v>1.856</v>
      </c>
      <c r="I802" s="48">
        <v>5.569</v>
      </c>
      <c r="J802" s="49">
        <v>3</v>
      </c>
      <c r="K802" s="49">
        <v>1</v>
      </c>
      <c r="L802" s="49">
        <v>2</v>
      </c>
    </row>
    <row r="803" spans="1:12" x14ac:dyDescent="0.25">
      <c r="A803" s="45">
        <f>C803&amp;"."&amp;IFERROR(MID(E803,FIND("(",E803)+1,FIND(")",E803)-FIND("(",E803)-1),"")</f>
      </c>
      <c r="B803" s="46" t="s">
        <v>1178</v>
      </c>
      <c r="C803" s="46">
        <v>74965</v>
      </c>
      <c r="D803" s="46" t="s">
        <v>2075</v>
      </c>
      <c r="E803" s="46" t="s">
        <v>2076</v>
      </c>
      <c r="F803" s="46" t="s">
        <v>26</v>
      </c>
      <c r="G803" s="47">
        <v>8.64</v>
      </c>
      <c r="H803" s="48">
        <v>24.335</v>
      </c>
      <c r="I803" s="48">
        <v>1460.085</v>
      </c>
      <c r="J803" s="49">
        <v>60</v>
      </c>
      <c r="K803" s="49">
        <v>36</v>
      </c>
      <c r="L803" s="49">
        <v>24</v>
      </c>
    </row>
    <row r="804" spans="1:12" x14ac:dyDescent="0.25">
      <c r="A804" s="45">
        <f>C804&amp;"."&amp;IFERROR(MID(E804,FIND("(",E804)+1,FIND(")",E804)-FIND("(",E804)-1),"")</f>
      </c>
      <c r="B804" s="46" t="s">
        <v>1178</v>
      </c>
      <c r="C804" s="46">
        <v>74965</v>
      </c>
      <c r="D804" s="46" t="s">
        <v>2075</v>
      </c>
      <c r="E804" s="46" t="s">
        <v>2077</v>
      </c>
      <c r="F804" s="46" t="s">
        <v>26</v>
      </c>
      <c r="G804" s="47">
        <v>8.64</v>
      </c>
      <c r="H804" s="48">
        <v>27.209</v>
      </c>
      <c r="I804" s="48">
        <v>2149.534</v>
      </c>
      <c r="J804" s="49">
        <v>79</v>
      </c>
      <c r="K804" s="49">
        <v>52</v>
      </c>
      <c r="L804" s="49">
        <v>27</v>
      </c>
    </row>
    <row r="805" spans="1:12" x14ac:dyDescent="0.25">
      <c r="A805" s="45">
        <f>C805&amp;"."&amp;IFERROR(MID(E805,FIND("(",E805)+1,FIND(")",E805)-FIND("(",E805)-1),"")</f>
      </c>
      <c r="B805" s="46" t="s">
        <v>1178</v>
      </c>
      <c r="C805" s="46">
        <v>74965</v>
      </c>
      <c r="D805" s="46" t="s">
        <v>2075</v>
      </c>
      <c r="E805" s="46" t="s">
        <v>2078</v>
      </c>
      <c r="F805" s="46" t="s">
        <v>26</v>
      </c>
      <c r="G805" s="47">
        <v>8.64</v>
      </c>
      <c r="H805" s="48">
        <v>23.057</v>
      </c>
      <c r="I805" s="48">
        <v>1245.07</v>
      </c>
      <c r="J805" s="49">
        <v>54</v>
      </c>
      <c r="K805" s="49">
        <v>18</v>
      </c>
      <c r="L805" s="49">
        <v>36</v>
      </c>
    </row>
    <row r="806" spans="1:12" x14ac:dyDescent="0.25">
      <c r="A806" s="45">
        <f>C806&amp;"."&amp;IFERROR(MID(E806,FIND("(",E806)+1,FIND(")",E806)-FIND("(",E806)-1),"")</f>
      </c>
      <c r="B806" s="46" t="s">
        <v>1178</v>
      </c>
      <c r="C806" s="46">
        <v>74974</v>
      </c>
      <c r="D806" s="46" t="s">
        <v>2079</v>
      </c>
      <c r="E806" s="46" t="s">
        <v>1248</v>
      </c>
      <c r="F806" s="46" t="s">
        <v>26</v>
      </c>
      <c r="G806" s="47">
        <v>0.02</v>
      </c>
      <c r="H806" s="48">
        <v>0.917</v>
      </c>
      <c r="I806" s="48">
        <v>8.254</v>
      </c>
      <c r="J806" s="49">
        <v>9</v>
      </c>
      <c r="K806" s="49">
        <v>6</v>
      </c>
      <c r="L806" s="49">
        <v>3</v>
      </c>
    </row>
    <row r="807" spans="1:12" x14ac:dyDescent="0.25">
      <c r="A807" s="45">
        <f>C807&amp;"."&amp;IFERROR(MID(E807,FIND("(",E807)+1,FIND(")",E807)-FIND("(",E807)-1),"")</f>
      </c>
      <c r="B807" s="46" t="s">
        <v>1178</v>
      </c>
      <c r="C807" s="46">
        <v>74987</v>
      </c>
      <c r="D807" s="46" t="s">
        <v>2080</v>
      </c>
      <c r="E807" s="46" t="s">
        <v>2081</v>
      </c>
      <c r="F807" s="46" t="s">
        <v>26</v>
      </c>
      <c r="G807" s="47">
        <v>1.63</v>
      </c>
      <c r="H807" s="48">
        <v>4.04</v>
      </c>
      <c r="I807" s="48">
        <v>28.282</v>
      </c>
      <c r="J807" s="49">
        <v>7</v>
      </c>
      <c r="K807" s="49">
        <v>2</v>
      </c>
      <c r="L807" s="49">
        <v>5</v>
      </c>
    </row>
    <row r="808" spans="1:12" x14ac:dyDescent="0.25">
      <c r="A808" s="45">
        <f>C808&amp;"."&amp;IFERROR(MID(E808,FIND("(",E808)+1,FIND(")",E808)-FIND("(",E808)-1),"")</f>
      </c>
      <c r="B808" s="46" t="s">
        <v>1178</v>
      </c>
      <c r="C808" s="46">
        <v>74987</v>
      </c>
      <c r="D808" s="46" t="s">
        <v>2080</v>
      </c>
      <c r="E808" s="46" t="s">
        <v>2082</v>
      </c>
      <c r="F808" s="46" t="s">
        <v>26</v>
      </c>
      <c r="G808" s="47">
        <v>1.63</v>
      </c>
      <c r="H808" s="48">
        <v>4.458</v>
      </c>
      <c r="I808" s="48">
        <v>102.533</v>
      </c>
      <c r="J808" s="49">
        <v>23</v>
      </c>
      <c r="K808" s="49">
        <v>15</v>
      </c>
      <c r="L808" s="49">
        <v>8</v>
      </c>
    </row>
    <row r="809" spans="1:12" x14ac:dyDescent="0.25">
      <c r="A809" s="45">
        <f>C809&amp;"."&amp;IFERROR(MID(E809,FIND("(",E809)+1,FIND(")",E809)-FIND("(",E809)-1),"")</f>
      </c>
      <c r="B809" s="46" t="s">
        <v>1178</v>
      </c>
      <c r="C809" s="46">
        <v>74989</v>
      </c>
      <c r="D809" s="46" t="s">
        <v>2083</v>
      </c>
      <c r="E809" s="46" t="s">
        <v>1248</v>
      </c>
      <c r="F809" s="46" t="s">
        <v>26</v>
      </c>
      <c r="G809" s="47">
        <v>2.5</v>
      </c>
      <c r="H809" s="48">
        <v>5.848</v>
      </c>
      <c r="I809" s="48">
        <v>5.848</v>
      </c>
      <c r="J809" s="49">
        <v>1</v>
      </c>
      <c r="K809" s="49">
        <v>0</v>
      </c>
      <c r="L809" s="49">
        <v>1</v>
      </c>
    </row>
    <row r="810" spans="1:12" x14ac:dyDescent="0.25">
      <c r="A810" s="45">
        <f>C810&amp;"."&amp;IFERROR(MID(E810,FIND("(",E810)+1,FIND(")",E810)-FIND("(",E810)-1),"")</f>
      </c>
      <c r="B810" s="46" t="s">
        <v>1178</v>
      </c>
      <c r="C810" s="46">
        <v>74990</v>
      </c>
      <c r="D810" s="46" t="s">
        <v>2084</v>
      </c>
      <c r="E810" s="46" t="s">
        <v>2085</v>
      </c>
      <c r="F810" s="46" t="s">
        <v>26</v>
      </c>
      <c r="G810" s="47">
        <v>0.4</v>
      </c>
      <c r="H810" s="48">
        <v>8.211</v>
      </c>
      <c r="I810" s="48">
        <v>8.211</v>
      </c>
      <c r="J810" s="49">
        <v>1</v>
      </c>
      <c r="K810" s="49">
        <v>1</v>
      </c>
      <c r="L810" s="49">
        <v>0</v>
      </c>
    </row>
    <row r="811" spans="1:12" x14ac:dyDescent="0.25">
      <c r="A811" s="45">
        <f>C811&amp;"."&amp;IFERROR(MID(E811,FIND("(",E811)+1,FIND(")",E811)-FIND("(",E811)-1),"")</f>
      </c>
      <c r="B811" s="46" t="s">
        <v>1178</v>
      </c>
      <c r="C811" s="46">
        <v>74990</v>
      </c>
      <c r="D811" s="46" t="s">
        <v>2084</v>
      </c>
      <c r="E811" s="46" t="s">
        <v>2086</v>
      </c>
      <c r="F811" s="46" t="s">
        <v>26</v>
      </c>
      <c r="G811" s="47">
        <v>0.4</v>
      </c>
      <c r="H811" s="48">
        <v>8.21</v>
      </c>
      <c r="I811" s="48">
        <v>41.049</v>
      </c>
      <c r="J811" s="49">
        <v>5</v>
      </c>
      <c r="K811" s="49">
        <v>3</v>
      </c>
      <c r="L811" s="49">
        <v>2</v>
      </c>
    </row>
    <row r="812" spans="1:12" x14ac:dyDescent="0.25">
      <c r="A812" s="45">
        <f>C812&amp;"."&amp;IFERROR(MID(E812,FIND("(",E812)+1,FIND(")",E812)-FIND("(",E812)-1),"")</f>
      </c>
      <c r="B812" s="46" t="s">
        <v>1178</v>
      </c>
      <c r="C812" s="46">
        <v>74991</v>
      </c>
      <c r="D812" s="46" t="s">
        <v>2087</v>
      </c>
      <c r="E812" s="46" t="s">
        <v>2088</v>
      </c>
      <c r="F812" s="46" t="s">
        <v>26</v>
      </c>
      <c r="G812" s="47">
        <v>0.75</v>
      </c>
      <c r="H812" s="48">
        <v>5.331</v>
      </c>
      <c r="I812" s="48">
        <v>26.656</v>
      </c>
      <c r="J812" s="49">
        <v>5</v>
      </c>
      <c r="K812" s="49">
        <v>0</v>
      </c>
      <c r="L812" s="49">
        <v>5</v>
      </c>
    </row>
    <row r="813" spans="1:12" x14ac:dyDescent="0.25">
      <c r="A813" s="45">
        <f>C813&amp;"."&amp;IFERROR(MID(E813,FIND("(",E813)+1,FIND(")",E813)-FIND("(",E813)-1),"")</f>
      </c>
      <c r="B813" s="46" t="s">
        <v>1178</v>
      </c>
      <c r="C813" s="46">
        <v>74991</v>
      </c>
      <c r="D813" s="46" t="s">
        <v>2087</v>
      </c>
      <c r="E813" s="46" t="s">
        <v>2089</v>
      </c>
      <c r="F813" s="46" t="s">
        <v>26</v>
      </c>
      <c r="G813" s="47">
        <v>0.75</v>
      </c>
      <c r="H813" s="48">
        <v>5.054</v>
      </c>
      <c r="I813" s="48">
        <v>40.431</v>
      </c>
      <c r="J813" s="49">
        <v>8</v>
      </c>
      <c r="K813" s="49">
        <v>0</v>
      </c>
      <c r="L813" s="49">
        <v>8</v>
      </c>
    </row>
    <row r="814" spans="1:12" x14ac:dyDescent="0.25">
      <c r="A814" s="45">
        <f>C814&amp;"."&amp;IFERROR(MID(E814,FIND("(",E814)+1,FIND(")",E814)-FIND("(",E814)-1),"")</f>
      </c>
      <c r="B814" s="46" t="s">
        <v>1178</v>
      </c>
      <c r="C814" s="46">
        <v>74991</v>
      </c>
      <c r="D814" s="46" t="s">
        <v>2087</v>
      </c>
      <c r="E814" s="46" t="s">
        <v>2090</v>
      </c>
      <c r="F814" s="46" t="s">
        <v>26</v>
      </c>
      <c r="G814" s="47">
        <v>0.75</v>
      </c>
      <c r="H814" s="48">
        <v>2.81</v>
      </c>
      <c r="I814" s="48">
        <v>2.81</v>
      </c>
      <c r="J814" s="49">
        <v>1</v>
      </c>
      <c r="K814" s="49">
        <v>0</v>
      </c>
      <c r="L814" s="49">
        <v>1</v>
      </c>
    </row>
    <row r="815" spans="1:12" x14ac:dyDescent="0.25">
      <c r="A815" s="45">
        <f>C815&amp;"."&amp;IFERROR(MID(E815,FIND("(",E815)+1,FIND(")",E815)-FIND("(",E815)-1),"")</f>
      </c>
      <c r="B815" s="46" t="s">
        <v>1178</v>
      </c>
      <c r="C815" s="46">
        <v>74994</v>
      </c>
      <c r="D815" s="46" t="s">
        <v>2091</v>
      </c>
      <c r="E815" s="46" t="s">
        <v>2092</v>
      </c>
      <c r="F815" s="46" t="s">
        <v>26</v>
      </c>
      <c r="G815" s="47">
        <v>1.14</v>
      </c>
      <c r="H815" s="48">
        <v>4.01</v>
      </c>
      <c r="I815" s="48">
        <v>16.04</v>
      </c>
      <c r="J815" s="49">
        <v>4</v>
      </c>
      <c r="K815" s="49">
        <v>0</v>
      </c>
      <c r="L815" s="49">
        <v>4</v>
      </c>
    </row>
    <row r="816" spans="1:12" x14ac:dyDescent="0.25">
      <c r="A816" s="45">
        <f>C816&amp;"."&amp;IFERROR(MID(E816,FIND("(",E816)+1,FIND(")",E816)-FIND("(",E816)-1),"")</f>
      </c>
      <c r="B816" s="46" t="s">
        <v>1178</v>
      </c>
      <c r="C816" s="46">
        <v>74994</v>
      </c>
      <c r="D816" s="46" t="s">
        <v>2091</v>
      </c>
      <c r="E816" s="46" t="s">
        <v>2093</v>
      </c>
      <c r="F816" s="46" t="s">
        <v>26</v>
      </c>
      <c r="G816" s="47">
        <v>1.14</v>
      </c>
      <c r="H816" s="48">
        <v>4.29</v>
      </c>
      <c r="I816" s="48">
        <v>25.741</v>
      </c>
      <c r="J816" s="49">
        <v>6</v>
      </c>
      <c r="K816" s="49">
        <v>1</v>
      </c>
      <c r="L816" s="49">
        <v>5</v>
      </c>
    </row>
    <row r="817" spans="1:12" x14ac:dyDescent="0.25">
      <c r="A817" s="45">
        <f>C817&amp;"."&amp;IFERROR(MID(E817,FIND("(",E817)+1,FIND(")",E817)-FIND("(",E817)-1),"")</f>
      </c>
      <c r="B817" s="46" t="s">
        <v>1178</v>
      </c>
      <c r="C817" s="46">
        <v>74998</v>
      </c>
      <c r="D817" s="46" t="s">
        <v>2094</v>
      </c>
      <c r="E817" s="46" t="s">
        <v>2095</v>
      </c>
      <c r="F817" s="46" t="s">
        <v>26</v>
      </c>
      <c r="G817" s="47">
        <v>1.14</v>
      </c>
      <c r="H817" s="48">
        <v>3.763</v>
      </c>
      <c r="I817" s="48">
        <v>30.107</v>
      </c>
      <c r="J817" s="49">
        <v>8</v>
      </c>
      <c r="K817" s="49">
        <v>0</v>
      </c>
      <c r="L817" s="49">
        <v>8</v>
      </c>
    </row>
    <row r="818" spans="1:12" x14ac:dyDescent="0.25">
      <c r="A818" s="45">
        <f>C818&amp;"."&amp;IFERROR(MID(E818,FIND("(",E818)+1,FIND(")",E818)-FIND("(",E818)-1),"")</f>
      </c>
      <c r="B818" s="46" t="s">
        <v>1178</v>
      </c>
      <c r="C818" s="46">
        <v>74999</v>
      </c>
      <c r="D818" s="46" t="s">
        <v>2096</v>
      </c>
      <c r="E818" s="46" t="s">
        <v>1248</v>
      </c>
      <c r="F818" s="46" t="s">
        <v>26</v>
      </c>
      <c r="G818" s="47">
        <v>1.14</v>
      </c>
      <c r="H818" s="48">
        <v>3.14</v>
      </c>
      <c r="I818" s="48">
        <v>6.28</v>
      </c>
      <c r="J818" s="49">
        <v>2</v>
      </c>
      <c r="K818" s="49">
        <v>0</v>
      </c>
      <c r="L818" s="49">
        <v>2</v>
      </c>
    </row>
    <row r="819" spans="1:12" x14ac:dyDescent="0.25">
      <c r="A819" s="45">
        <f>C819&amp;"."&amp;IFERROR(MID(E819,FIND("(",E819)+1,FIND(")",E819)-FIND("(",E819)-1),"")</f>
      </c>
      <c r="B819" s="46" t="s">
        <v>1178</v>
      </c>
      <c r="C819" s="46">
        <v>75000</v>
      </c>
      <c r="D819" s="46" t="s">
        <v>2097</v>
      </c>
      <c r="E819" s="46" t="s">
        <v>2098</v>
      </c>
      <c r="F819" s="46" t="s">
        <v>26</v>
      </c>
      <c r="G819" s="47">
        <v>5.77</v>
      </c>
      <c r="H819" s="48">
        <v>19.311</v>
      </c>
      <c r="I819" s="48">
        <v>96.555</v>
      </c>
      <c r="J819" s="49">
        <v>5</v>
      </c>
      <c r="K819" s="49">
        <v>1</v>
      </c>
      <c r="L819" s="49">
        <v>4</v>
      </c>
    </row>
    <row r="820" spans="1:12" x14ac:dyDescent="0.25">
      <c r="A820" s="45">
        <f>C820&amp;"."&amp;IFERROR(MID(E820,FIND("(",E820)+1,FIND(")",E820)-FIND("(",E820)-1),"")</f>
      </c>
      <c r="B820" s="46" t="s">
        <v>1178</v>
      </c>
      <c r="C820" s="46">
        <v>75000</v>
      </c>
      <c r="D820" s="46" t="s">
        <v>2097</v>
      </c>
      <c r="E820" s="46" t="s">
        <v>2099</v>
      </c>
      <c r="F820" s="46" t="s">
        <v>26</v>
      </c>
      <c r="G820" s="47">
        <v>5.77</v>
      </c>
      <c r="H820" s="48">
        <v>9.176</v>
      </c>
      <c r="I820" s="48">
        <v>73.412</v>
      </c>
      <c r="J820" s="49">
        <v>8</v>
      </c>
      <c r="K820" s="49">
        <v>0</v>
      </c>
      <c r="L820" s="49">
        <v>8</v>
      </c>
    </row>
    <row r="821" spans="1:12" x14ac:dyDescent="0.25">
      <c r="A821" s="45">
        <f>C821&amp;"."&amp;IFERROR(MID(E821,FIND("(",E821)+1,FIND(")",E821)-FIND("(",E821)-1),"")</f>
      </c>
      <c r="B821" s="46" t="s">
        <v>1178</v>
      </c>
      <c r="C821" s="46">
        <v>75003</v>
      </c>
      <c r="D821" s="46" t="s">
        <v>2100</v>
      </c>
      <c r="E821" s="46" t="s">
        <v>2101</v>
      </c>
      <c r="F821" s="46" t="s">
        <v>26</v>
      </c>
      <c r="G821" s="47">
        <v>5.77</v>
      </c>
      <c r="H821" s="48">
        <v>22.871</v>
      </c>
      <c r="I821" s="48">
        <v>182.971</v>
      </c>
      <c r="J821" s="49">
        <v>8</v>
      </c>
      <c r="K821" s="49">
        <v>1</v>
      </c>
      <c r="L821" s="49">
        <v>7</v>
      </c>
    </row>
    <row r="822" spans="1:12" x14ac:dyDescent="0.25">
      <c r="A822" s="45">
        <f>C822&amp;"."&amp;IFERROR(MID(E822,FIND("(",E822)+1,FIND(")",E822)-FIND("(",E822)-1),"")</f>
      </c>
      <c r="B822" s="46" t="s">
        <v>1178</v>
      </c>
      <c r="C822" s="46">
        <v>75003</v>
      </c>
      <c r="D822" s="46" t="s">
        <v>2100</v>
      </c>
      <c r="E822" s="46" t="s">
        <v>2102</v>
      </c>
      <c r="F822" s="46" t="s">
        <v>26</v>
      </c>
      <c r="G822" s="47">
        <v>5.77</v>
      </c>
      <c r="H822" s="48">
        <v>20.027</v>
      </c>
      <c r="I822" s="48">
        <v>160.215</v>
      </c>
      <c r="J822" s="49">
        <v>8</v>
      </c>
      <c r="K822" s="49">
        <v>1</v>
      </c>
      <c r="L822" s="49">
        <v>7</v>
      </c>
    </row>
    <row r="823" spans="1:12" x14ac:dyDescent="0.25">
      <c r="A823" s="45">
        <f>C823&amp;"."&amp;IFERROR(MID(E823,FIND("(",E823)+1,FIND(")",E823)-FIND("(",E823)-1),"")</f>
      </c>
      <c r="B823" s="46" t="s">
        <v>1178</v>
      </c>
      <c r="C823" s="46">
        <v>75005</v>
      </c>
      <c r="D823" s="46" t="s">
        <v>2103</v>
      </c>
      <c r="E823" s="46" t="s">
        <v>2104</v>
      </c>
      <c r="F823" s="46" t="s">
        <v>26</v>
      </c>
      <c r="G823" s="47">
        <v>8.77</v>
      </c>
      <c r="H823" s="48">
        <v>17.406</v>
      </c>
      <c r="I823" s="48">
        <v>243.687</v>
      </c>
      <c r="J823" s="49">
        <v>14</v>
      </c>
      <c r="K823" s="49">
        <v>4</v>
      </c>
      <c r="L823" s="49">
        <v>10</v>
      </c>
    </row>
    <row r="824" spans="1:12" x14ac:dyDescent="0.25">
      <c r="A824" s="45">
        <f>C824&amp;"."&amp;IFERROR(MID(E824,FIND("(",E824)+1,FIND(")",E824)-FIND("(",E824)-1),"")</f>
      </c>
      <c r="B824" s="46" t="s">
        <v>1178</v>
      </c>
      <c r="C824" s="46">
        <v>75005</v>
      </c>
      <c r="D824" s="46" t="s">
        <v>2103</v>
      </c>
      <c r="E824" s="46" t="s">
        <v>2105</v>
      </c>
      <c r="F824" s="46" t="s">
        <v>26</v>
      </c>
      <c r="G824" s="47">
        <v>8.77</v>
      </c>
      <c r="H824" s="48">
        <v>17.18</v>
      </c>
      <c r="I824" s="48">
        <v>103.078</v>
      </c>
      <c r="J824" s="49">
        <v>6</v>
      </c>
      <c r="K824" s="49">
        <v>3</v>
      </c>
      <c r="L824" s="49">
        <v>3</v>
      </c>
    </row>
    <row r="825" spans="1:12" x14ac:dyDescent="0.25">
      <c r="A825" s="45">
        <f>C825&amp;"."&amp;IFERROR(MID(E825,FIND("(",E825)+1,FIND(")",E825)-FIND("(",E825)-1),"")</f>
      </c>
      <c r="B825" s="46" t="s">
        <v>1178</v>
      </c>
      <c r="C825" s="46">
        <v>75010</v>
      </c>
      <c r="D825" s="46" t="s">
        <v>2106</v>
      </c>
      <c r="E825" s="46" t="s">
        <v>2107</v>
      </c>
      <c r="F825" s="46" t="s">
        <v>24</v>
      </c>
      <c r="G825" s="47">
        <v>0.48</v>
      </c>
      <c r="H825" s="48">
        <v>1.404</v>
      </c>
      <c r="I825" s="48">
        <v>42.111</v>
      </c>
      <c r="J825" s="49">
        <v>30</v>
      </c>
      <c r="K825" s="49">
        <v>1</v>
      </c>
      <c r="L825" s="49">
        <v>29</v>
      </c>
    </row>
    <row r="826" spans="1:12" x14ac:dyDescent="0.25">
      <c r="A826" s="45">
        <f>C826&amp;"."&amp;IFERROR(MID(E826,FIND("(",E826)+1,FIND(")",E826)-FIND("(",E826)-1),"")</f>
      </c>
      <c r="B826" s="46" t="s">
        <v>1178</v>
      </c>
      <c r="C826" s="46">
        <v>75010</v>
      </c>
      <c r="D826" s="46" t="s">
        <v>2106</v>
      </c>
      <c r="E826" s="46" t="s">
        <v>2108</v>
      </c>
      <c r="F826" s="46" t="s">
        <v>24</v>
      </c>
      <c r="G826" s="47">
        <v>0.48</v>
      </c>
      <c r="H826" s="48">
        <v>1.849</v>
      </c>
      <c r="I826" s="48">
        <v>11.093</v>
      </c>
      <c r="J826" s="49">
        <v>6</v>
      </c>
      <c r="K826" s="49">
        <v>0</v>
      </c>
      <c r="L826" s="49">
        <v>6</v>
      </c>
    </row>
    <row r="827" spans="1:12" x14ac:dyDescent="0.25">
      <c r="A827" s="45">
        <f>C827&amp;"."&amp;IFERROR(MID(E827,FIND("(",E827)+1,FIND(")",E827)-FIND("(",E827)-1),"")</f>
      </c>
      <c r="B827" s="46" t="s">
        <v>1178</v>
      </c>
      <c r="C827" s="46">
        <v>75011</v>
      </c>
      <c r="D827" s="46" t="s">
        <v>2109</v>
      </c>
      <c r="E827" s="46" t="s">
        <v>2110</v>
      </c>
      <c r="F827" s="46" t="s">
        <v>26</v>
      </c>
      <c r="G827" s="47">
        <v>0.56</v>
      </c>
      <c r="H827" s="48">
        <v>1.77</v>
      </c>
      <c r="I827" s="48">
        <v>7.08</v>
      </c>
      <c r="J827" s="49">
        <v>4</v>
      </c>
      <c r="K827" s="49">
        <v>0</v>
      </c>
      <c r="L827" s="49">
        <v>4</v>
      </c>
    </row>
    <row r="828" spans="1:12" x14ac:dyDescent="0.25">
      <c r="A828" s="45">
        <f>C828&amp;"."&amp;IFERROR(MID(E828,FIND("(",E828)+1,FIND(")",E828)-FIND("(",E828)-1),"")</f>
      </c>
      <c r="B828" s="46" t="s">
        <v>1178</v>
      </c>
      <c r="C828" s="46">
        <v>75011</v>
      </c>
      <c r="D828" s="46" t="s">
        <v>2109</v>
      </c>
      <c r="E828" s="46" t="s">
        <v>2111</v>
      </c>
      <c r="F828" s="46" t="s">
        <v>26</v>
      </c>
      <c r="G828" s="47">
        <v>0.56</v>
      </c>
      <c r="H828" s="48">
        <v>1.77</v>
      </c>
      <c r="I828" s="48">
        <v>8.85</v>
      </c>
      <c r="J828" s="49">
        <v>5</v>
      </c>
      <c r="K828" s="49">
        <v>0</v>
      </c>
      <c r="L828" s="49">
        <v>5</v>
      </c>
    </row>
    <row r="829" spans="1:12" x14ac:dyDescent="0.25">
      <c r="A829" s="45">
        <f>C829&amp;"."&amp;IFERROR(MID(E829,FIND("(",E829)+1,FIND(")",E829)-FIND("(",E829)-1),"")</f>
      </c>
      <c r="B829" s="46" t="s">
        <v>1178</v>
      </c>
      <c r="C829" s="46">
        <v>75012</v>
      </c>
      <c r="D829" s="46" t="s">
        <v>2112</v>
      </c>
      <c r="E829" s="46" t="s">
        <v>2113</v>
      </c>
      <c r="F829" s="46" t="s">
        <v>24</v>
      </c>
      <c r="G829" s="47">
        <v>0.25</v>
      </c>
      <c r="H829" s="48">
        <v>0.505</v>
      </c>
      <c r="I829" s="48">
        <v>10.093</v>
      </c>
      <c r="J829" s="49">
        <v>20</v>
      </c>
      <c r="K829" s="49">
        <v>2</v>
      </c>
      <c r="L829" s="49">
        <v>18</v>
      </c>
    </row>
    <row r="830" spans="1:12" x14ac:dyDescent="0.25">
      <c r="A830" s="45">
        <f>C830&amp;"."&amp;IFERROR(MID(E830,FIND("(",E830)+1,FIND(")",E830)-FIND("(",E830)-1),"")</f>
      </c>
      <c r="B830" s="46" t="s">
        <v>1178</v>
      </c>
      <c r="C830" s="46">
        <v>75012</v>
      </c>
      <c r="D830" s="46" t="s">
        <v>2112</v>
      </c>
      <c r="E830" s="46" t="s">
        <v>2114</v>
      </c>
      <c r="F830" s="46" t="s">
        <v>24</v>
      </c>
      <c r="G830" s="47">
        <v>0.25</v>
      </c>
      <c r="H830" s="48">
        <v>0.921</v>
      </c>
      <c r="I830" s="48">
        <v>6.45</v>
      </c>
      <c r="J830" s="49">
        <v>7</v>
      </c>
      <c r="K830" s="49">
        <v>0</v>
      </c>
      <c r="L830" s="49">
        <v>7</v>
      </c>
    </row>
    <row r="831" spans="1:12" x14ac:dyDescent="0.25">
      <c r="A831" s="45">
        <f>C831&amp;"."&amp;IFERROR(MID(E831,FIND("(",E831)+1,FIND(")",E831)-FIND("(",E831)-1),"")</f>
      </c>
      <c r="B831" s="46" t="s">
        <v>1178</v>
      </c>
      <c r="C831" s="46">
        <v>75013</v>
      </c>
      <c r="D831" s="46" t="s">
        <v>2115</v>
      </c>
      <c r="E831" s="46" t="s">
        <v>2116</v>
      </c>
      <c r="F831" s="46" t="s">
        <v>24</v>
      </c>
      <c r="G831" s="47">
        <v>0.7</v>
      </c>
      <c r="H831" s="48">
        <v>1.9</v>
      </c>
      <c r="I831" s="48">
        <v>9.5</v>
      </c>
      <c r="J831" s="49">
        <v>5</v>
      </c>
      <c r="K831" s="49">
        <v>0</v>
      </c>
      <c r="L831" s="49">
        <v>5</v>
      </c>
    </row>
    <row r="832" spans="1:12" x14ac:dyDescent="0.25">
      <c r="A832" s="45">
        <f>C832&amp;"."&amp;IFERROR(MID(E832,FIND("(",E832)+1,FIND(")",E832)-FIND("(",E832)-1),"")</f>
      </c>
      <c r="B832" s="46" t="s">
        <v>1178</v>
      </c>
      <c r="C832" s="46">
        <v>75013</v>
      </c>
      <c r="D832" s="46" t="s">
        <v>2115</v>
      </c>
      <c r="E832" s="46" t="s">
        <v>2117</v>
      </c>
      <c r="F832" s="46" t="s">
        <v>24</v>
      </c>
      <c r="G832" s="47">
        <v>0.7</v>
      </c>
      <c r="H832" s="48">
        <v>2.823</v>
      </c>
      <c r="I832" s="48">
        <v>31.051</v>
      </c>
      <c r="J832" s="49">
        <v>11</v>
      </c>
      <c r="K832" s="49">
        <v>0</v>
      </c>
      <c r="L832" s="49">
        <v>11</v>
      </c>
    </row>
    <row r="833" spans="1:12" x14ac:dyDescent="0.25">
      <c r="A833" s="45">
        <f>C833&amp;"."&amp;IFERROR(MID(E833,FIND("(",E833)+1,FIND(")",E833)-FIND("(",E833)-1),"")</f>
      </c>
      <c r="B833" s="46" t="s">
        <v>1178</v>
      </c>
      <c r="C833" s="46">
        <v>75014</v>
      </c>
      <c r="D833" s="46" t="s">
        <v>2118</v>
      </c>
      <c r="E833" s="46" t="s">
        <v>1248</v>
      </c>
      <c r="F833" s="46" t="s">
        <v>26</v>
      </c>
      <c r="G833" s="47">
        <v>0</v>
      </c>
      <c r="H833" s="48">
        <v>14.07</v>
      </c>
      <c r="I833" s="48">
        <v>140.7</v>
      </c>
      <c r="J833" s="49">
        <v>10</v>
      </c>
      <c r="K833" s="49">
        <v>0</v>
      </c>
      <c r="L833" s="49">
        <v>10</v>
      </c>
    </row>
    <row r="834" spans="1:12" x14ac:dyDescent="0.25">
      <c r="A834" s="45">
        <f>C834&amp;"."&amp;IFERROR(MID(E834,FIND("(",E834)+1,FIND(")",E834)-FIND("(",E834)-1),"")</f>
      </c>
      <c r="B834" s="46" t="s">
        <v>1178</v>
      </c>
      <c r="C834" s="46">
        <v>75015</v>
      </c>
      <c r="D834" s="46" t="s">
        <v>2119</v>
      </c>
      <c r="E834" s="46" t="s">
        <v>2120</v>
      </c>
      <c r="F834" s="46" t="s">
        <v>26</v>
      </c>
      <c r="G834" s="47">
        <v>1.75</v>
      </c>
      <c r="H834" s="48">
        <v>5.01</v>
      </c>
      <c r="I834" s="48">
        <v>10.02</v>
      </c>
      <c r="J834" s="49">
        <v>2</v>
      </c>
      <c r="K834" s="49">
        <v>0</v>
      </c>
      <c r="L834" s="49">
        <v>2</v>
      </c>
    </row>
    <row r="835" spans="1:12" x14ac:dyDescent="0.25">
      <c r="A835" s="45">
        <f>C835&amp;"."&amp;IFERROR(MID(E835,FIND("(",E835)+1,FIND(")",E835)-FIND("(",E835)-1),"")</f>
      </c>
      <c r="B835" s="46" t="s">
        <v>1178</v>
      </c>
      <c r="C835" s="46">
        <v>75018</v>
      </c>
      <c r="D835" s="46" t="s">
        <v>2121</v>
      </c>
      <c r="E835" s="46" t="s">
        <v>1248</v>
      </c>
      <c r="F835" s="46" t="s">
        <v>24</v>
      </c>
      <c r="G835" s="47">
        <v>0.34</v>
      </c>
      <c r="H835" s="48">
        <v>0.787</v>
      </c>
      <c r="I835" s="48">
        <v>2.36</v>
      </c>
      <c r="J835" s="49">
        <v>3</v>
      </c>
      <c r="K835" s="49">
        <v>0</v>
      </c>
      <c r="L835" s="49">
        <v>3</v>
      </c>
    </row>
    <row r="836" spans="1:12" x14ac:dyDescent="0.25">
      <c r="A836" s="45">
        <f>C836&amp;"."&amp;IFERROR(MID(E836,FIND("(",E836)+1,FIND(")",E836)-FIND("(",E836)-1),"")</f>
      </c>
      <c r="B836" s="46" t="s">
        <v>1178</v>
      </c>
      <c r="C836" s="46">
        <v>75021</v>
      </c>
      <c r="D836" s="46" t="s">
        <v>2122</v>
      </c>
      <c r="E836" s="46" t="s">
        <v>2123</v>
      </c>
      <c r="F836" s="46" t="s">
        <v>26</v>
      </c>
      <c r="G836" s="47">
        <v>1.38</v>
      </c>
      <c r="H836" s="48">
        <v>3.558</v>
      </c>
      <c r="I836" s="48">
        <v>3.558</v>
      </c>
      <c r="J836" s="49">
        <v>1</v>
      </c>
      <c r="K836" s="49">
        <v>0</v>
      </c>
      <c r="L836" s="49">
        <v>1</v>
      </c>
    </row>
    <row r="837" spans="1:12" x14ac:dyDescent="0.25">
      <c r="A837" s="45">
        <f>C837&amp;"."&amp;IFERROR(MID(E837,FIND("(",E837)+1,FIND(")",E837)-FIND("(",E837)-1),"")</f>
      </c>
      <c r="B837" s="46" t="s">
        <v>1178</v>
      </c>
      <c r="C837" s="46">
        <v>75021</v>
      </c>
      <c r="D837" s="46" t="s">
        <v>2122</v>
      </c>
      <c r="E837" s="46" t="s">
        <v>2124</v>
      </c>
      <c r="F837" s="46" t="s">
        <v>26</v>
      </c>
      <c r="G837" s="47">
        <v>1.38</v>
      </c>
      <c r="H837" s="48">
        <v>3.558</v>
      </c>
      <c r="I837" s="48">
        <v>10.673</v>
      </c>
      <c r="J837" s="49">
        <v>3</v>
      </c>
      <c r="K837" s="49">
        <v>0</v>
      </c>
      <c r="L837" s="49">
        <v>3</v>
      </c>
    </row>
    <row r="838" spans="1:12" x14ac:dyDescent="0.25">
      <c r="A838" s="45">
        <f>C838&amp;"."&amp;IFERROR(MID(E838,FIND("(",E838)+1,FIND(")",E838)-FIND("(",E838)-1),"")</f>
      </c>
      <c r="B838" s="46" t="s">
        <v>1178</v>
      </c>
      <c r="C838" s="46">
        <v>75023</v>
      </c>
      <c r="D838" s="46" t="s">
        <v>2125</v>
      </c>
      <c r="E838" s="46" t="s">
        <v>1248</v>
      </c>
      <c r="F838" s="46" t="s">
        <v>26</v>
      </c>
      <c r="G838" s="47">
        <v>1.38</v>
      </c>
      <c r="H838" s="48">
        <v>3.17</v>
      </c>
      <c r="I838" s="48">
        <v>9.511</v>
      </c>
      <c r="J838" s="49">
        <v>3</v>
      </c>
      <c r="K838" s="49">
        <v>0</v>
      </c>
      <c r="L838" s="49">
        <v>3</v>
      </c>
    </row>
    <row r="839" spans="1:12" x14ac:dyDescent="0.25">
      <c r="A839" s="45">
        <f>C839&amp;"."&amp;IFERROR(MID(E839,FIND("(",E839)+1,FIND(")",E839)-FIND("(",E839)-1),"")</f>
      </c>
      <c r="B839" s="46" t="s">
        <v>1178</v>
      </c>
      <c r="C839" s="46">
        <v>75026</v>
      </c>
      <c r="D839" s="46" t="s">
        <v>2126</v>
      </c>
      <c r="E839" s="46" t="s">
        <v>2127</v>
      </c>
      <c r="F839" s="46" t="s">
        <v>26</v>
      </c>
      <c r="G839" s="47">
        <v>7.73</v>
      </c>
      <c r="H839" s="48">
        <v>25.606</v>
      </c>
      <c r="I839" s="48">
        <v>128.029</v>
      </c>
      <c r="J839" s="49">
        <v>5</v>
      </c>
      <c r="K839" s="49">
        <v>0</v>
      </c>
      <c r="L839" s="49">
        <v>5</v>
      </c>
    </row>
    <row r="840" spans="1:12" x14ac:dyDescent="0.25">
      <c r="A840" s="45">
        <f>C840&amp;"."&amp;IFERROR(MID(E840,FIND("(",E840)+1,FIND(")",E840)-FIND("(",E840)-1),"")</f>
      </c>
      <c r="B840" s="46" t="s">
        <v>1178</v>
      </c>
      <c r="C840" s="46">
        <v>75026</v>
      </c>
      <c r="D840" s="46" t="s">
        <v>2126</v>
      </c>
      <c r="E840" s="46" t="s">
        <v>2128</v>
      </c>
      <c r="F840" s="46" t="s">
        <v>26</v>
      </c>
      <c r="G840" s="47">
        <v>7.73</v>
      </c>
      <c r="H840" s="48">
        <v>25.606</v>
      </c>
      <c r="I840" s="48">
        <v>76.817</v>
      </c>
      <c r="J840" s="49">
        <v>3</v>
      </c>
      <c r="K840" s="49">
        <v>0</v>
      </c>
      <c r="L840" s="49">
        <v>3</v>
      </c>
    </row>
    <row r="841" spans="1:12" x14ac:dyDescent="0.25">
      <c r="A841" s="45">
        <f>C841&amp;"."&amp;IFERROR(MID(E841,FIND("(",E841)+1,FIND(")",E841)-FIND("(",E841)-1),"")</f>
      </c>
      <c r="B841" s="46" t="s">
        <v>1178</v>
      </c>
      <c r="C841" s="46">
        <v>75028</v>
      </c>
      <c r="D841" s="46" t="s">
        <v>2129</v>
      </c>
      <c r="E841" s="46" t="s">
        <v>2130</v>
      </c>
      <c r="F841" s="46" t="s">
        <v>26</v>
      </c>
      <c r="G841" s="47">
        <v>7.73</v>
      </c>
      <c r="H841" s="48">
        <v>18.926</v>
      </c>
      <c r="I841" s="48">
        <v>37.852</v>
      </c>
      <c r="J841" s="49">
        <v>2</v>
      </c>
      <c r="K841" s="49">
        <v>0</v>
      </c>
      <c r="L841" s="49">
        <v>2</v>
      </c>
    </row>
    <row r="842" spans="1:12" x14ac:dyDescent="0.25">
      <c r="A842" s="45">
        <f>C842&amp;"."&amp;IFERROR(MID(E842,FIND("(",E842)+1,FIND(")",E842)-FIND("(",E842)-1),"")</f>
      </c>
      <c r="B842" s="46" t="s">
        <v>1178</v>
      </c>
      <c r="C842" s="46">
        <v>75028</v>
      </c>
      <c r="D842" s="46" t="s">
        <v>2129</v>
      </c>
      <c r="E842" s="46" t="s">
        <v>2131</v>
      </c>
      <c r="F842" s="46" t="s">
        <v>26</v>
      </c>
      <c r="G842" s="47">
        <v>7.73</v>
      </c>
      <c r="H842" s="48">
        <v>18.757</v>
      </c>
      <c r="I842" s="48">
        <v>56.27</v>
      </c>
      <c r="J842" s="49">
        <v>3</v>
      </c>
      <c r="K842" s="49">
        <v>0</v>
      </c>
      <c r="L842" s="49">
        <v>3</v>
      </c>
    </row>
    <row r="843" spans="1:12" x14ac:dyDescent="0.25">
      <c r="A843" s="45">
        <f>C843&amp;"."&amp;IFERROR(MID(E843,FIND("(",E843)+1,FIND(")",E843)-FIND("(",E843)-1),"")</f>
      </c>
      <c r="B843" s="46" t="s">
        <v>1178</v>
      </c>
      <c r="C843" s="46">
        <v>75029</v>
      </c>
      <c r="D843" s="46" t="s">
        <v>2132</v>
      </c>
      <c r="E843" s="46" t="s">
        <v>2133</v>
      </c>
      <c r="F843" s="46" t="s">
        <v>26</v>
      </c>
      <c r="G843" s="47">
        <v>0.48</v>
      </c>
      <c r="H843" s="48">
        <v>1.416</v>
      </c>
      <c r="I843" s="48">
        <v>1.416</v>
      </c>
      <c r="J843" s="49">
        <v>1</v>
      </c>
      <c r="K843" s="49">
        <v>0</v>
      </c>
      <c r="L843" s="49">
        <v>1</v>
      </c>
    </row>
    <row r="844" spans="1:12" x14ac:dyDescent="0.25">
      <c r="A844" s="45">
        <f>C844&amp;"."&amp;IFERROR(MID(E844,FIND("(",E844)+1,FIND(")",E844)-FIND("(",E844)-1),"")</f>
      </c>
      <c r="B844" s="46" t="s">
        <v>1178</v>
      </c>
      <c r="C844" s="46">
        <v>75029</v>
      </c>
      <c r="D844" s="46" t="s">
        <v>2132</v>
      </c>
      <c r="E844" s="46" t="s">
        <v>2134</v>
      </c>
      <c r="F844" s="46" t="s">
        <v>26</v>
      </c>
      <c r="G844" s="47">
        <v>0.48</v>
      </c>
      <c r="H844" s="48">
        <v>1.442</v>
      </c>
      <c r="I844" s="48">
        <v>1.442</v>
      </c>
      <c r="J844" s="49">
        <v>1</v>
      </c>
      <c r="K844" s="49">
        <v>0</v>
      </c>
      <c r="L844" s="49">
        <v>1</v>
      </c>
    </row>
    <row r="845" spans="1:12" x14ac:dyDescent="0.25">
      <c r="A845" s="45">
        <f>C845&amp;"."&amp;IFERROR(MID(E845,FIND("(",E845)+1,FIND(")",E845)-FIND("(",E845)-1),"")</f>
      </c>
      <c r="B845" s="46" t="s">
        <v>1178</v>
      </c>
      <c r="C845" s="46">
        <v>75032</v>
      </c>
      <c r="D845" s="46" t="s">
        <v>2135</v>
      </c>
      <c r="E845" s="46" t="s">
        <v>1248</v>
      </c>
      <c r="F845" s="46" t="s">
        <v>26</v>
      </c>
      <c r="G845" s="47">
        <v>1.43</v>
      </c>
      <c r="H845" s="48">
        <v>3.558</v>
      </c>
      <c r="I845" s="48">
        <v>3.558</v>
      </c>
      <c r="J845" s="49">
        <v>1</v>
      </c>
      <c r="K845" s="49">
        <v>0</v>
      </c>
      <c r="L845" s="49">
        <v>1</v>
      </c>
    </row>
    <row r="846" spans="1:12" x14ac:dyDescent="0.25">
      <c r="A846" s="45">
        <f>C846&amp;"."&amp;IFERROR(MID(E846,FIND("(",E846)+1,FIND(")",E846)-FIND("(",E846)-1),"")</f>
      </c>
      <c r="B846" s="46" t="s">
        <v>1178</v>
      </c>
      <c r="C846" s="46">
        <v>75035</v>
      </c>
      <c r="D846" s="46" t="s">
        <v>2136</v>
      </c>
      <c r="E846" s="46" t="s">
        <v>2137</v>
      </c>
      <c r="F846" s="46" t="s">
        <v>26</v>
      </c>
      <c r="G846" s="47">
        <v>2.17</v>
      </c>
      <c r="H846" s="48">
        <v>5.881</v>
      </c>
      <c r="I846" s="48">
        <v>17.643</v>
      </c>
      <c r="J846" s="49">
        <v>3</v>
      </c>
      <c r="K846" s="49">
        <v>0</v>
      </c>
      <c r="L846" s="49">
        <v>3</v>
      </c>
    </row>
    <row r="847" spans="1:12" x14ac:dyDescent="0.25">
      <c r="A847" s="45">
        <f>C847&amp;"."&amp;IFERROR(MID(E847,FIND("(",E847)+1,FIND(")",E847)-FIND("(",E847)-1),"")</f>
      </c>
      <c r="B847" s="46" t="s">
        <v>1178</v>
      </c>
      <c r="C847" s="46">
        <v>75036</v>
      </c>
      <c r="D847" s="46" t="s">
        <v>2138</v>
      </c>
      <c r="E847" s="46" t="s">
        <v>2139</v>
      </c>
      <c r="F847" s="46" t="s">
        <v>26</v>
      </c>
      <c r="G847" s="47">
        <v>0.26</v>
      </c>
      <c r="H847" s="48">
        <v>0.714</v>
      </c>
      <c r="I847" s="48">
        <v>3.57</v>
      </c>
      <c r="J847" s="49">
        <v>5</v>
      </c>
      <c r="K847" s="49">
        <v>0</v>
      </c>
      <c r="L847" s="49">
        <v>5</v>
      </c>
    </row>
    <row r="848" spans="1:12" x14ac:dyDescent="0.25">
      <c r="A848" s="45">
        <f>C848&amp;"."&amp;IFERROR(MID(E848,FIND("(",E848)+1,FIND(")",E848)-FIND("(",E848)-1),"")</f>
      </c>
      <c r="B848" s="46" t="s">
        <v>1178</v>
      </c>
      <c r="C848" s="46">
        <v>75036</v>
      </c>
      <c r="D848" s="46" t="s">
        <v>2138</v>
      </c>
      <c r="E848" s="46" t="s">
        <v>2140</v>
      </c>
      <c r="F848" s="46" t="s">
        <v>26</v>
      </c>
      <c r="G848" s="47">
        <v>0.26</v>
      </c>
      <c r="H848" s="48">
        <v>0.702</v>
      </c>
      <c r="I848" s="48">
        <v>3.509</v>
      </c>
      <c r="J848" s="49">
        <v>5</v>
      </c>
      <c r="K848" s="49">
        <v>0</v>
      </c>
      <c r="L848" s="49">
        <v>5</v>
      </c>
    </row>
    <row r="849" spans="1:12" x14ac:dyDescent="0.25">
      <c r="A849" s="45">
        <f>C849&amp;"."&amp;IFERROR(MID(E849,FIND("(",E849)+1,FIND(")",E849)-FIND("(",E849)-1),"")</f>
      </c>
      <c r="B849" s="46" t="s">
        <v>1178</v>
      </c>
      <c r="C849" s="46">
        <v>75042</v>
      </c>
      <c r="D849" s="46" t="s">
        <v>2141</v>
      </c>
      <c r="E849" s="46" t="s">
        <v>2142</v>
      </c>
      <c r="F849" s="46" t="s">
        <v>26</v>
      </c>
      <c r="G849" s="47">
        <v>3.45</v>
      </c>
      <c r="H849" s="48">
        <v>9.415</v>
      </c>
      <c r="I849" s="48">
        <v>65.902</v>
      </c>
      <c r="J849" s="49">
        <v>7</v>
      </c>
      <c r="K849" s="49">
        <v>0</v>
      </c>
      <c r="L849" s="49">
        <v>7</v>
      </c>
    </row>
    <row r="850" spans="1:12" x14ac:dyDescent="0.25">
      <c r="A850" s="45">
        <f>C850&amp;"."&amp;IFERROR(MID(E850,FIND("(",E850)+1,FIND(")",E850)-FIND("(",E850)-1),"")</f>
      </c>
      <c r="B850" s="46" t="s">
        <v>1178</v>
      </c>
      <c r="C850" s="46">
        <v>75042</v>
      </c>
      <c r="D850" s="46" t="s">
        <v>2141</v>
      </c>
      <c r="E850" s="46" t="s">
        <v>2143</v>
      </c>
      <c r="F850" s="46" t="s">
        <v>26</v>
      </c>
      <c r="G850" s="47">
        <v>3.45</v>
      </c>
      <c r="H850" s="48">
        <v>9.572</v>
      </c>
      <c r="I850" s="48">
        <v>19.144</v>
      </c>
      <c r="J850" s="49">
        <v>2</v>
      </c>
      <c r="K850" s="49">
        <v>0</v>
      </c>
      <c r="L850" s="49">
        <v>2</v>
      </c>
    </row>
    <row r="851" spans="1:12" x14ac:dyDescent="0.25">
      <c r="A851" s="45">
        <f>C851&amp;"."&amp;IFERROR(MID(E851,FIND("(",E851)+1,FIND(")",E851)-FIND("(",E851)-1),"")</f>
      </c>
      <c r="B851" s="46" t="s">
        <v>1178</v>
      </c>
      <c r="C851" s="46">
        <v>75044</v>
      </c>
      <c r="D851" s="46" t="s">
        <v>2144</v>
      </c>
      <c r="E851" s="46" t="s">
        <v>2145</v>
      </c>
      <c r="F851" s="46" t="s">
        <v>26</v>
      </c>
      <c r="G851" s="47">
        <v>10.17</v>
      </c>
      <c r="H851" s="48">
        <v>28.606</v>
      </c>
      <c r="I851" s="48">
        <v>85.819</v>
      </c>
      <c r="J851" s="49">
        <v>3</v>
      </c>
      <c r="K851" s="49">
        <v>0</v>
      </c>
      <c r="L851" s="49">
        <v>3</v>
      </c>
    </row>
    <row r="852" spans="1:12" x14ac:dyDescent="0.25">
      <c r="A852" s="45">
        <f>C852&amp;"."&amp;IFERROR(MID(E852,FIND("(",E852)+1,FIND(")",E852)-FIND("(",E852)-1),"")</f>
      </c>
      <c r="B852" s="46" t="s">
        <v>1178</v>
      </c>
      <c r="C852" s="46">
        <v>75046</v>
      </c>
      <c r="D852" s="46" t="s">
        <v>2146</v>
      </c>
      <c r="E852" s="46" t="s">
        <v>2147</v>
      </c>
      <c r="F852" s="46" t="s">
        <v>26</v>
      </c>
      <c r="G852" s="47">
        <v>10.17</v>
      </c>
      <c r="H852" s="48">
        <v>25.52</v>
      </c>
      <c r="I852" s="48">
        <v>25.52</v>
      </c>
      <c r="J852" s="49">
        <v>1</v>
      </c>
      <c r="K852" s="49">
        <v>0</v>
      </c>
      <c r="L852" s="49">
        <v>1</v>
      </c>
    </row>
    <row r="853" spans="1:12" x14ac:dyDescent="0.25">
      <c r="A853" s="45">
        <f>C853&amp;"."&amp;IFERROR(MID(E853,FIND("(",E853)+1,FIND(")",E853)-FIND("(",E853)-1),"")</f>
      </c>
      <c r="B853" s="46" t="s">
        <v>1178</v>
      </c>
      <c r="C853" s="46">
        <v>75046</v>
      </c>
      <c r="D853" s="46" t="s">
        <v>2146</v>
      </c>
      <c r="E853" s="46" t="s">
        <v>2148</v>
      </c>
      <c r="F853" s="46" t="s">
        <v>26</v>
      </c>
      <c r="G853" s="47">
        <v>10.17</v>
      </c>
      <c r="H853" s="48">
        <v>27.857</v>
      </c>
      <c r="I853" s="48">
        <v>111.426</v>
      </c>
      <c r="J853" s="49">
        <v>4</v>
      </c>
      <c r="K853" s="49">
        <v>0</v>
      </c>
      <c r="L853" s="49">
        <v>4</v>
      </c>
    </row>
    <row r="854" spans="1:12" x14ac:dyDescent="0.25">
      <c r="A854" s="45">
        <f>C854&amp;"."&amp;IFERROR(MID(E854,FIND("(",E854)+1,FIND(")",E854)-FIND("(",E854)-1),"")</f>
      </c>
      <c r="B854" s="46" t="s">
        <v>1178</v>
      </c>
      <c r="C854" s="46">
        <v>75051</v>
      </c>
      <c r="D854" s="46" t="s">
        <v>2149</v>
      </c>
      <c r="E854" s="46" t="s">
        <v>1248</v>
      </c>
      <c r="F854" s="46" t="s">
        <v>26</v>
      </c>
      <c r="G854" s="47">
        <v>0.36</v>
      </c>
      <c r="H854" s="48">
        <v>0.847</v>
      </c>
      <c r="I854" s="48">
        <v>2.541</v>
      </c>
      <c r="J854" s="49">
        <v>3</v>
      </c>
      <c r="K854" s="49">
        <v>0</v>
      </c>
      <c r="L854" s="49">
        <v>3</v>
      </c>
    </row>
    <row r="855" spans="1:12" x14ac:dyDescent="0.25">
      <c r="A855" s="45">
        <f>C855&amp;"."&amp;IFERROR(MID(E855,FIND("(",E855)+1,FIND(")",E855)-FIND("(",E855)-1),"")</f>
      </c>
      <c r="B855" s="46" t="s">
        <v>1178</v>
      </c>
      <c r="C855" s="46">
        <v>75055</v>
      </c>
      <c r="D855" s="46" t="s">
        <v>2150</v>
      </c>
      <c r="E855" s="46" t="s">
        <v>2151</v>
      </c>
      <c r="F855" s="46" t="s">
        <v>26</v>
      </c>
      <c r="G855" s="47">
        <v>2.21</v>
      </c>
      <c r="H855" s="48">
        <v>6.051</v>
      </c>
      <c r="I855" s="48">
        <v>6.051</v>
      </c>
      <c r="J855" s="49">
        <v>1</v>
      </c>
      <c r="K855" s="49">
        <v>0</v>
      </c>
      <c r="L855" s="49">
        <v>1</v>
      </c>
    </row>
    <row r="856" spans="1:12" x14ac:dyDescent="0.25">
      <c r="A856" s="45">
        <f>C856&amp;"."&amp;IFERROR(MID(E856,FIND("(",E856)+1,FIND(")",E856)-FIND("(",E856)-1),"")</f>
      </c>
      <c r="B856" s="46" t="s">
        <v>1178</v>
      </c>
      <c r="C856" s="46">
        <v>75055</v>
      </c>
      <c r="D856" s="46" t="s">
        <v>2150</v>
      </c>
      <c r="E856" s="46" t="s">
        <v>2152</v>
      </c>
      <c r="F856" s="46" t="s">
        <v>26</v>
      </c>
      <c r="G856" s="47">
        <v>2.21</v>
      </c>
      <c r="H856" s="48">
        <v>5.954</v>
      </c>
      <c r="I856" s="48">
        <v>5.954</v>
      </c>
      <c r="J856" s="49">
        <v>1</v>
      </c>
      <c r="K856" s="49">
        <v>0</v>
      </c>
      <c r="L856" s="49">
        <v>1</v>
      </c>
    </row>
    <row r="857" spans="1:12" x14ac:dyDescent="0.25">
      <c r="A857" s="45">
        <f>C857&amp;"."&amp;IFERROR(MID(E857,FIND("(",E857)+1,FIND(")",E857)-FIND("(",E857)-1),"")</f>
      </c>
      <c r="B857" s="46" t="s">
        <v>1178</v>
      </c>
      <c r="C857" s="46">
        <v>75056</v>
      </c>
      <c r="D857" s="46" t="s">
        <v>2153</v>
      </c>
      <c r="E857" s="46" t="s">
        <v>2154</v>
      </c>
      <c r="F857" s="46" t="s">
        <v>26</v>
      </c>
      <c r="G857" s="47">
        <v>6.68</v>
      </c>
      <c r="H857" s="48">
        <v>18.43</v>
      </c>
      <c r="I857" s="48">
        <v>18.43</v>
      </c>
      <c r="J857" s="49">
        <v>1</v>
      </c>
      <c r="K857" s="49">
        <v>0</v>
      </c>
      <c r="L857" s="49">
        <v>1</v>
      </c>
    </row>
    <row r="858" spans="1:12" x14ac:dyDescent="0.25">
      <c r="A858" s="45">
        <f>C858&amp;"."&amp;IFERROR(MID(E858,FIND("(",E858)+1,FIND(")",E858)-FIND("(",E858)-1),"")</f>
      </c>
      <c r="B858" s="46" t="s">
        <v>1178</v>
      </c>
      <c r="C858" s="46">
        <v>75056</v>
      </c>
      <c r="D858" s="46" t="s">
        <v>2153</v>
      </c>
      <c r="E858" s="46" t="s">
        <v>2155</v>
      </c>
      <c r="F858" s="46" t="s">
        <v>26</v>
      </c>
      <c r="G858" s="47">
        <v>6.68</v>
      </c>
      <c r="H858" s="48">
        <v>18.127</v>
      </c>
      <c r="I858" s="48">
        <v>108.764</v>
      </c>
      <c r="J858" s="49">
        <v>6</v>
      </c>
      <c r="K858" s="49">
        <v>0</v>
      </c>
      <c r="L858" s="49">
        <v>6</v>
      </c>
    </row>
    <row r="859" spans="1:12" x14ac:dyDescent="0.25">
      <c r="A859" s="45">
        <f>C859&amp;"."&amp;IFERROR(MID(E859,FIND("(",E859)+1,FIND(")",E859)-FIND("(",E859)-1),"")</f>
      </c>
      <c r="B859" s="46" t="s">
        <v>1178</v>
      </c>
      <c r="C859" s="46">
        <v>75057</v>
      </c>
      <c r="D859" s="46" t="s">
        <v>2156</v>
      </c>
      <c r="E859" s="46" t="s">
        <v>2157</v>
      </c>
      <c r="F859" s="46" t="s">
        <v>24</v>
      </c>
      <c r="G859" s="47">
        <v>4.59</v>
      </c>
      <c r="H859" s="48">
        <v>11.641</v>
      </c>
      <c r="I859" s="48">
        <v>93.13</v>
      </c>
      <c r="J859" s="49">
        <v>8</v>
      </c>
      <c r="K859" s="49">
        <v>0</v>
      </c>
      <c r="L859" s="49">
        <v>8</v>
      </c>
    </row>
    <row r="860" spans="1:12" x14ac:dyDescent="0.25">
      <c r="A860" s="45">
        <f>C860&amp;"."&amp;IFERROR(MID(E860,FIND("(",E860)+1,FIND(")",E860)-FIND("(",E860)-1),"")</f>
      </c>
      <c r="B860" s="46" t="s">
        <v>1178</v>
      </c>
      <c r="C860" s="46">
        <v>75057</v>
      </c>
      <c r="D860" s="46" t="s">
        <v>2156</v>
      </c>
      <c r="E860" s="46" t="s">
        <v>2158</v>
      </c>
      <c r="F860" s="46" t="s">
        <v>24</v>
      </c>
      <c r="G860" s="47">
        <v>4.59</v>
      </c>
      <c r="H860" s="48">
        <v>13.341</v>
      </c>
      <c r="I860" s="48">
        <v>240.13</v>
      </c>
      <c r="J860" s="49">
        <v>18</v>
      </c>
      <c r="K860" s="49">
        <v>2</v>
      </c>
      <c r="L860" s="49">
        <v>16</v>
      </c>
    </row>
    <row r="861" spans="1:12" x14ac:dyDescent="0.25">
      <c r="A861" s="45">
        <f>C861&amp;"."&amp;IFERROR(MID(E861,FIND("(",E861)+1,FIND(")",E861)-FIND("(",E861)-1),"")</f>
      </c>
      <c r="B861" s="46" t="s">
        <v>1178</v>
      </c>
      <c r="C861" s="46">
        <v>75057</v>
      </c>
      <c r="D861" s="46" t="s">
        <v>2156</v>
      </c>
      <c r="E861" s="46" t="s">
        <v>2159</v>
      </c>
      <c r="F861" s="46" t="s">
        <v>24</v>
      </c>
      <c r="G861" s="47">
        <v>4.59</v>
      </c>
      <c r="H861" s="48">
        <v>13.06</v>
      </c>
      <c r="I861" s="48">
        <v>13.06</v>
      </c>
      <c r="J861" s="49">
        <v>1</v>
      </c>
      <c r="K861" s="49">
        <v>0</v>
      </c>
      <c r="L861" s="49">
        <v>1</v>
      </c>
    </row>
    <row r="862" spans="1:12" x14ac:dyDescent="0.25">
      <c r="A862" s="45">
        <f>C862&amp;"."&amp;IFERROR(MID(E862,FIND("(",E862)+1,FIND(")",E862)-FIND("(",E862)-1),"")</f>
      </c>
      <c r="B862" s="46" t="s">
        <v>1178</v>
      </c>
      <c r="C862" s="46">
        <v>75059</v>
      </c>
      <c r="D862" s="46" t="s">
        <v>2160</v>
      </c>
      <c r="E862" s="46" t="s">
        <v>2161</v>
      </c>
      <c r="F862" s="46" t="s">
        <v>26</v>
      </c>
      <c r="G862" s="47">
        <v>2.3</v>
      </c>
      <c r="H862" s="48">
        <v>4.006</v>
      </c>
      <c r="I862" s="48">
        <v>20.028</v>
      </c>
      <c r="J862" s="49">
        <v>5</v>
      </c>
      <c r="K862" s="49">
        <v>0</v>
      </c>
      <c r="L862" s="49">
        <v>5</v>
      </c>
    </row>
    <row r="863" spans="1:12" x14ac:dyDescent="0.25">
      <c r="A863" s="45">
        <f>C863&amp;"."&amp;IFERROR(MID(E863,FIND("(",E863)+1,FIND(")",E863)-FIND("(",E863)-1),"")</f>
      </c>
      <c r="B863" s="46" t="s">
        <v>1178</v>
      </c>
      <c r="C863" s="46">
        <v>75060</v>
      </c>
      <c r="D863" s="46" t="s">
        <v>2162</v>
      </c>
      <c r="E863" s="46" t="s">
        <v>2163</v>
      </c>
      <c r="F863" s="46" t="s">
        <v>24</v>
      </c>
      <c r="G863" s="47">
        <v>0.78</v>
      </c>
      <c r="H863" s="48">
        <v>3.322</v>
      </c>
      <c r="I863" s="48">
        <v>46.509</v>
      </c>
      <c r="J863" s="49">
        <v>14</v>
      </c>
      <c r="K863" s="49">
        <v>1</v>
      </c>
      <c r="L863" s="49">
        <v>13</v>
      </c>
    </row>
    <row r="864" spans="1:12" x14ac:dyDescent="0.25">
      <c r="A864" s="45">
        <f>C864&amp;"."&amp;IFERROR(MID(E864,FIND("(",E864)+1,FIND(")",E864)-FIND("(",E864)-1),"")</f>
      </c>
      <c r="B864" s="46" t="s">
        <v>1178</v>
      </c>
      <c r="C864" s="46">
        <v>75060</v>
      </c>
      <c r="D864" s="46" t="s">
        <v>2162</v>
      </c>
      <c r="E864" s="46" t="s">
        <v>2164</v>
      </c>
      <c r="F864" s="46" t="s">
        <v>24</v>
      </c>
      <c r="G864" s="47">
        <v>0.78</v>
      </c>
      <c r="H864" s="48">
        <v>2.858</v>
      </c>
      <c r="I864" s="48">
        <v>14.292</v>
      </c>
      <c r="J864" s="49">
        <v>5</v>
      </c>
      <c r="K864" s="49">
        <v>0</v>
      </c>
      <c r="L864" s="49">
        <v>5</v>
      </c>
    </row>
    <row r="865" spans="1:12" x14ac:dyDescent="0.25">
      <c r="A865" s="45">
        <f>C865&amp;"."&amp;IFERROR(MID(E865,FIND("(",E865)+1,FIND(")",E865)-FIND("(",E865)-1),"")</f>
      </c>
      <c r="B865" s="46" t="s">
        <v>1178</v>
      </c>
      <c r="C865" s="46">
        <v>75060</v>
      </c>
      <c r="D865" s="46" t="s">
        <v>2162</v>
      </c>
      <c r="E865" s="46" t="s">
        <v>2165</v>
      </c>
      <c r="F865" s="46" t="s">
        <v>24</v>
      </c>
      <c r="G865" s="47">
        <v>0.78</v>
      </c>
      <c r="H865" s="48">
        <v>2.25</v>
      </c>
      <c r="I865" s="48">
        <v>15.75</v>
      </c>
      <c r="J865" s="49">
        <v>7</v>
      </c>
      <c r="K865" s="49">
        <v>0</v>
      </c>
      <c r="L865" s="49">
        <v>7</v>
      </c>
    </row>
    <row r="866" spans="1:12" x14ac:dyDescent="0.25">
      <c r="A866" s="45">
        <f>C866&amp;"."&amp;IFERROR(MID(E866,FIND("(",E866)+1,FIND(")",E866)-FIND("(",E866)-1),"")</f>
      </c>
      <c r="B866" s="46" t="s">
        <v>1178</v>
      </c>
      <c r="C866" s="46">
        <v>75061</v>
      </c>
      <c r="D866" s="46" t="s">
        <v>2166</v>
      </c>
      <c r="E866" s="46" t="s">
        <v>2167</v>
      </c>
      <c r="F866" s="46" t="s">
        <v>26</v>
      </c>
      <c r="G866" s="47">
        <v>1.18</v>
      </c>
      <c r="H866" s="48">
        <v>5</v>
      </c>
      <c r="I866" s="48">
        <v>5</v>
      </c>
      <c r="J866" s="49">
        <v>1</v>
      </c>
      <c r="K866" s="49">
        <v>0</v>
      </c>
      <c r="L866" s="49">
        <v>1</v>
      </c>
    </row>
    <row r="867" spans="1:12" x14ac:dyDescent="0.25">
      <c r="A867" s="45">
        <f>C867&amp;"."&amp;IFERROR(MID(E867,FIND("(",E867)+1,FIND(")",E867)-FIND("(",E867)-1),"")</f>
      </c>
      <c r="B867" s="46" t="s">
        <v>1178</v>
      </c>
      <c r="C867" s="46">
        <v>75061</v>
      </c>
      <c r="D867" s="46" t="s">
        <v>2166</v>
      </c>
      <c r="E867" s="46" t="s">
        <v>2168</v>
      </c>
      <c r="F867" s="46" t="s">
        <v>26</v>
      </c>
      <c r="G867" s="47">
        <v>1.18</v>
      </c>
      <c r="H867" s="48">
        <v>5</v>
      </c>
      <c r="I867" s="48">
        <v>20</v>
      </c>
      <c r="J867" s="49">
        <v>4</v>
      </c>
      <c r="K867" s="49">
        <v>0</v>
      </c>
      <c r="L867" s="49">
        <v>4</v>
      </c>
    </row>
    <row r="868" spans="1:12" x14ac:dyDescent="0.25">
      <c r="A868" s="45">
        <f>C868&amp;"."&amp;IFERROR(MID(E868,FIND("(",E868)+1,FIND(")",E868)-FIND("(",E868)-1),"")</f>
      </c>
      <c r="B868" s="46" t="s">
        <v>1178</v>
      </c>
      <c r="C868" s="46">
        <v>75062</v>
      </c>
      <c r="D868" s="46" t="s">
        <v>2169</v>
      </c>
      <c r="E868" s="46" t="s">
        <v>2170</v>
      </c>
      <c r="F868" s="46" t="s">
        <v>24</v>
      </c>
      <c r="G868" s="47">
        <v>1.14</v>
      </c>
      <c r="H868" s="48">
        <v>4.99</v>
      </c>
      <c r="I868" s="48">
        <v>69.866</v>
      </c>
      <c r="J868" s="49">
        <v>14</v>
      </c>
      <c r="K868" s="49">
        <v>0</v>
      </c>
      <c r="L868" s="49">
        <v>14</v>
      </c>
    </row>
    <row r="869" spans="1:12" x14ac:dyDescent="0.25">
      <c r="A869" s="45">
        <f>C869&amp;"."&amp;IFERROR(MID(E869,FIND("(",E869)+1,FIND(")",E869)-FIND("(",E869)-1),"")</f>
      </c>
      <c r="B869" s="46" t="s">
        <v>1178</v>
      </c>
      <c r="C869" s="46">
        <v>75062</v>
      </c>
      <c r="D869" s="46" t="s">
        <v>2169</v>
      </c>
      <c r="E869" s="46" t="s">
        <v>2171</v>
      </c>
      <c r="F869" s="46" t="s">
        <v>24</v>
      </c>
      <c r="G869" s="47">
        <v>1.14</v>
      </c>
      <c r="H869" s="48">
        <v>6.283</v>
      </c>
      <c r="I869" s="48">
        <v>50.265</v>
      </c>
      <c r="J869" s="49">
        <v>8</v>
      </c>
      <c r="K869" s="49">
        <v>0</v>
      </c>
      <c r="L869" s="49">
        <v>8</v>
      </c>
    </row>
    <row r="870" spans="1:12" x14ac:dyDescent="0.25">
      <c r="A870" s="45">
        <f>C870&amp;"."&amp;IFERROR(MID(E870,FIND("(",E870)+1,FIND(")",E870)-FIND("(",E870)-1),"")</f>
      </c>
      <c r="B870" s="46" t="s">
        <v>1178</v>
      </c>
      <c r="C870" s="46">
        <v>75062</v>
      </c>
      <c r="D870" s="46" t="s">
        <v>2169</v>
      </c>
      <c r="E870" s="46" t="s">
        <v>2172</v>
      </c>
      <c r="F870" s="46" t="s">
        <v>24</v>
      </c>
      <c r="G870" s="47">
        <v>1.14</v>
      </c>
      <c r="H870" s="48">
        <v>5.574</v>
      </c>
      <c r="I870" s="48">
        <v>178.367</v>
      </c>
      <c r="J870" s="49">
        <v>32</v>
      </c>
      <c r="K870" s="49">
        <v>1</v>
      </c>
      <c r="L870" s="49">
        <v>31</v>
      </c>
    </row>
    <row r="871" spans="1:12" x14ac:dyDescent="0.25">
      <c r="A871" s="45">
        <f>C871&amp;"."&amp;IFERROR(MID(E871,FIND("(",E871)+1,FIND(")",E871)-FIND("(",E871)-1),"")</f>
      </c>
      <c r="B871" s="46" t="s">
        <v>1178</v>
      </c>
      <c r="C871" s="46">
        <v>75062</v>
      </c>
      <c r="D871" s="46" t="s">
        <v>2169</v>
      </c>
      <c r="E871" s="46" t="s">
        <v>2173</v>
      </c>
      <c r="F871" s="46" t="s">
        <v>24</v>
      </c>
      <c r="G871" s="47">
        <v>1.14</v>
      </c>
      <c r="H871" s="48">
        <v>6.081</v>
      </c>
      <c r="I871" s="48">
        <v>127.705</v>
      </c>
      <c r="J871" s="49">
        <v>21</v>
      </c>
      <c r="K871" s="49">
        <v>21</v>
      </c>
      <c r="L871" s="49">
        <v>0</v>
      </c>
    </row>
    <row r="872" spans="1:12" x14ac:dyDescent="0.25">
      <c r="A872" s="45">
        <f>C872&amp;"."&amp;IFERROR(MID(E872,FIND("(",E872)+1,FIND(")",E872)-FIND("(",E872)-1),"")</f>
      </c>
      <c r="B872" s="46" t="s">
        <v>1178</v>
      </c>
      <c r="C872" s="46">
        <v>75067</v>
      </c>
      <c r="D872" s="46" t="s">
        <v>2174</v>
      </c>
      <c r="E872" s="46" t="s">
        <v>2175</v>
      </c>
      <c r="F872" s="46" t="s">
        <v>24</v>
      </c>
      <c r="G872" s="47">
        <v>0.62</v>
      </c>
      <c r="H872" s="48">
        <v>4.441</v>
      </c>
      <c r="I872" s="48">
        <v>88.822</v>
      </c>
      <c r="J872" s="49">
        <v>20</v>
      </c>
      <c r="K872" s="49">
        <v>1</v>
      </c>
      <c r="L872" s="49">
        <v>19</v>
      </c>
    </row>
    <row r="873" spans="1:12" x14ac:dyDescent="0.25">
      <c r="A873" s="45">
        <f>C873&amp;"."&amp;IFERROR(MID(E873,FIND("(",E873)+1,FIND(")",E873)-FIND("(",E873)-1),"")</f>
      </c>
      <c r="B873" s="46" t="s">
        <v>1178</v>
      </c>
      <c r="C873" s="46">
        <v>75067</v>
      </c>
      <c r="D873" s="46" t="s">
        <v>2174</v>
      </c>
      <c r="E873" s="46" t="s">
        <v>2176</v>
      </c>
      <c r="F873" s="46" t="s">
        <v>24</v>
      </c>
      <c r="G873" s="47">
        <v>0.62</v>
      </c>
      <c r="H873" s="48">
        <v>4.592</v>
      </c>
      <c r="I873" s="48">
        <v>36.739</v>
      </c>
      <c r="J873" s="49">
        <v>8</v>
      </c>
      <c r="K873" s="49">
        <v>1</v>
      </c>
      <c r="L873" s="49">
        <v>7</v>
      </c>
    </row>
    <row r="874" spans="1:12" x14ac:dyDescent="0.25">
      <c r="A874" s="45">
        <f>C874&amp;"."&amp;IFERROR(MID(E874,FIND("(",E874)+1,FIND(")",E874)-FIND("(",E874)-1),"")</f>
      </c>
      <c r="B874" s="46" t="s">
        <v>1178</v>
      </c>
      <c r="C874" s="46">
        <v>75067</v>
      </c>
      <c r="D874" s="46" t="s">
        <v>2174</v>
      </c>
      <c r="E874" s="46" t="s">
        <v>2177</v>
      </c>
      <c r="F874" s="46" t="s">
        <v>24</v>
      </c>
      <c r="G874" s="47">
        <v>0.62</v>
      </c>
      <c r="H874" s="48">
        <v>4.429</v>
      </c>
      <c r="I874" s="48">
        <v>70.869</v>
      </c>
      <c r="J874" s="49">
        <v>16</v>
      </c>
      <c r="K874" s="49">
        <v>0</v>
      </c>
      <c r="L874" s="49">
        <v>16</v>
      </c>
    </row>
    <row r="875" spans="1:12" x14ac:dyDescent="0.25">
      <c r="A875" s="45">
        <f>C875&amp;"."&amp;IFERROR(MID(E875,FIND("(",E875)+1,FIND(")",E875)-FIND("(",E875)-1),"")</f>
      </c>
      <c r="B875" s="46" t="s">
        <v>1178</v>
      </c>
      <c r="C875" s="46">
        <v>75067</v>
      </c>
      <c r="D875" s="46" t="s">
        <v>2174</v>
      </c>
      <c r="E875" s="46" t="s">
        <v>2178</v>
      </c>
      <c r="F875" s="46" t="s">
        <v>24</v>
      </c>
      <c r="G875" s="47">
        <v>0.62</v>
      </c>
      <c r="H875" s="48">
        <v>4.279</v>
      </c>
      <c r="I875" s="48">
        <v>38.509</v>
      </c>
      <c r="J875" s="49">
        <v>9</v>
      </c>
      <c r="K875" s="49">
        <v>0</v>
      </c>
      <c r="L875" s="49">
        <v>9</v>
      </c>
    </row>
    <row r="876" spans="1:12" x14ac:dyDescent="0.25">
      <c r="A876" s="45">
        <f>C876&amp;"."&amp;IFERROR(MID(E876,FIND("(",E876)+1,FIND(")",E876)-FIND("(",E876)-1),"")</f>
      </c>
      <c r="B876" s="46" t="s">
        <v>1178</v>
      </c>
      <c r="C876" s="46">
        <v>75068</v>
      </c>
      <c r="D876" s="46" t="s">
        <v>2179</v>
      </c>
      <c r="E876" s="46" t="s">
        <v>2180</v>
      </c>
      <c r="F876" s="46" t="s">
        <v>26</v>
      </c>
      <c r="G876" s="47">
        <v>8.74</v>
      </c>
      <c r="H876" s="48">
        <v>28.972</v>
      </c>
      <c r="I876" s="48">
        <v>144.86</v>
      </c>
      <c r="J876" s="49">
        <v>5</v>
      </c>
      <c r="K876" s="49">
        <v>0</v>
      </c>
      <c r="L876" s="49">
        <v>5</v>
      </c>
    </row>
    <row r="877" spans="1:12" x14ac:dyDescent="0.25">
      <c r="A877" s="45">
        <f>C877&amp;"."&amp;IFERROR(MID(E877,FIND("(",E877)+1,FIND(")",E877)-FIND("(",E877)-1),"")</f>
      </c>
      <c r="B877" s="46" t="s">
        <v>1178</v>
      </c>
      <c r="C877" s="46">
        <v>75068</v>
      </c>
      <c r="D877" s="46" t="s">
        <v>2179</v>
      </c>
      <c r="E877" s="46" t="s">
        <v>2181</v>
      </c>
      <c r="F877" s="46" t="s">
        <v>26</v>
      </c>
      <c r="G877" s="47">
        <v>8.74</v>
      </c>
      <c r="H877" s="48">
        <v>30</v>
      </c>
      <c r="I877" s="48">
        <v>330</v>
      </c>
      <c r="J877" s="49">
        <v>11</v>
      </c>
      <c r="K877" s="49">
        <v>0</v>
      </c>
      <c r="L877" s="49">
        <v>11</v>
      </c>
    </row>
    <row r="878" spans="1:12" x14ac:dyDescent="0.25">
      <c r="A878" s="45">
        <f>C878&amp;"."&amp;IFERROR(MID(E878,FIND("(",E878)+1,FIND(")",E878)-FIND("(",E878)-1),"")</f>
      </c>
      <c r="B878" s="46" t="s">
        <v>1178</v>
      </c>
      <c r="C878" s="46">
        <v>75069</v>
      </c>
      <c r="D878" s="46" t="s">
        <v>2182</v>
      </c>
      <c r="E878" s="46" t="s">
        <v>1248</v>
      </c>
      <c r="F878" s="46" t="s">
        <v>26</v>
      </c>
      <c r="G878" s="47">
        <v>0</v>
      </c>
      <c r="H878" s="48">
        <v>0.36</v>
      </c>
      <c r="I878" s="48">
        <v>0.72</v>
      </c>
      <c r="J878" s="49">
        <v>2</v>
      </c>
      <c r="K878" s="49">
        <v>0</v>
      </c>
      <c r="L878" s="49">
        <v>2</v>
      </c>
    </row>
    <row r="879" spans="1:12" x14ac:dyDescent="0.25">
      <c r="A879" s="45">
        <f>C879&amp;"."&amp;IFERROR(MID(E879,FIND("(",E879)+1,FIND(")",E879)-FIND("(",E879)-1),"")</f>
      </c>
      <c r="B879" s="46" t="s">
        <v>1178</v>
      </c>
      <c r="C879" s="46">
        <v>75070</v>
      </c>
      <c r="D879" s="46" t="s">
        <v>2183</v>
      </c>
      <c r="E879" s="46" t="s">
        <v>2184</v>
      </c>
      <c r="F879" s="46" t="s">
        <v>24</v>
      </c>
      <c r="G879" s="47">
        <v>0.62</v>
      </c>
      <c r="H879" s="48">
        <v>3.217</v>
      </c>
      <c r="I879" s="48">
        <v>22.518</v>
      </c>
      <c r="J879" s="49">
        <v>7</v>
      </c>
      <c r="K879" s="49">
        <v>0</v>
      </c>
      <c r="L879" s="49">
        <v>7</v>
      </c>
    </row>
    <row r="880" spans="1:12" x14ac:dyDescent="0.25">
      <c r="A880" s="45">
        <f>C880&amp;"."&amp;IFERROR(MID(E880,FIND("(",E880)+1,FIND(")",E880)-FIND("(",E880)-1),"")</f>
      </c>
      <c r="B880" s="46" t="s">
        <v>1178</v>
      </c>
      <c r="C880" s="46">
        <v>75070</v>
      </c>
      <c r="D880" s="46" t="s">
        <v>2183</v>
      </c>
      <c r="E880" s="46" t="s">
        <v>2185</v>
      </c>
      <c r="F880" s="46" t="s">
        <v>24</v>
      </c>
      <c r="G880" s="47">
        <v>0.62</v>
      </c>
      <c r="H880" s="48">
        <v>3.454</v>
      </c>
      <c r="I880" s="48">
        <v>13.814</v>
      </c>
      <c r="J880" s="49">
        <v>4</v>
      </c>
      <c r="K880" s="49">
        <v>0</v>
      </c>
      <c r="L880" s="49">
        <v>4</v>
      </c>
    </row>
    <row r="881" spans="1:12" x14ac:dyDescent="0.25">
      <c r="A881" s="45">
        <f>C881&amp;"."&amp;IFERROR(MID(E881,FIND("(",E881)+1,FIND(")",E881)-FIND("(",E881)-1),"")</f>
      </c>
      <c r="B881" s="46" t="s">
        <v>1178</v>
      </c>
      <c r="C881" s="46">
        <v>75070</v>
      </c>
      <c r="D881" s="46" t="s">
        <v>2183</v>
      </c>
      <c r="E881" s="46" t="s">
        <v>2186</v>
      </c>
      <c r="F881" s="46" t="s">
        <v>24</v>
      </c>
      <c r="G881" s="47">
        <v>0.62</v>
      </c>
      <c r="H881" s="48">
        <v>3.845</v>
      </c>
      <c r="I881" s="48">
        <v>76.906</v>
      </c>
      <c r="J881" s="49">
        <v>20</v>
      </c>
      <c r="K881" s="49">
        <v>2</v>
      </c>
      <c r="L881" s="49">
        <v>18</v>
      </c>
    </row>
    <row r="882" spans="1:12" x14ac:dyDescent="0.25">
      <c r="A882" s="45">
        <f>C882&amp;"."&amp;IFERROR(MID(E882,FIND("(",E882)+1,FIND(")",E882)-FIND("(",E882)-1),"")</f>
      </c>
      <c r="B882" s="46" t="s">
        <v>1178</v>
      </c>
      <c r="C882" s="46">
        <v>75070</v>
      </c>
      <c r="D882" s="46" t="s">
        <v>2183</v>
      </c>
      <c r="E882" s="46" t="s">
        <v>2187</v>
      </c>
      <c r="F882" s="46" t="s">
        <v>24</v>
      </c>
      <c r="G882" s="47">
        <v>0.62</v>
      </c>
      <c r="H882" s="48">
        <v>4.04</v>
      </c>
      <c r="I882" s="48">
        <v>60.6</v>
      </c>
      <c r="J882" s="49">
        <v>15</v>
      </c>
      <c r="K882" s="49">
        <v>0</v>
      </c>
      <c r="L882" s="49">
        <v>15</v>
      </c>
    </row>
    <row r="883" spans="1:12" x14ac:dyDescent="0.25">
      <c r="A883" s="45">
        <f>C883&amp;"."&amp;IFERROR(MID(E883,FIND("(",E883)+1,FIND(")",E883)-FIND("(",E883)-1),"")</f>
      </c>
      <c r="B883" s="46" t="s">
        <v>1178</v>
      </c>
      <c r="C883" s="46">
        <v>75072</v>
      </c>
      <c r="D883" s="46" t="s">
        <v>2188</v>
      </c>
      <c r="E883" s="46" t="s">
        <v>2189</v>
      </c>
      <c r="F883" s="46" t="s">
        <v>1926</v>
      </c>
      <c r="G883" s="47">
        <v>1.15</v>
      </c>
      <c r="H883" s="48">
        <v>24.36</v>
      </c>
      <c r="I883" s="48">
        <v>24.36</v>
      </c>
      <c r="J883" s="49">
        <v>1</v>
      </c>
      <c r="K883" s="49">
        <v>0</v>
      </c>
      <c r="L883" s="49">
        <v>1</v>
      </c>
    </row>
    <row r="884" spans="1:12" x14ac:dyDescent="0.25">
      <c r="A884" s="45">
        <f>C884&amp;"."&amp;IFERROR(MID(E884,FIND("(",E884)+1,FIND(")",E884)-FIND("(",E884)-1),"")</f>
      </c>
      <c r="B884" s="46" t="s">
        <v>1178</v>
      </c>
      <c r="C884" s="46">
        <v>75072</v>
      </c>
      <c r="D884" s="46" t="s">
        <v>2188</v>
      </c>
      <c r="E884" s="46" t="s">
        <v>2190</v>
      </c>
      <c r="F884" s="46" t="s">
        <v>1926</v>
      </c>
      <c r="G884" s="47">
        <v>1.15</v>
      </c>
      <c r="H884" s="48">
        <v>27.778</v>
      </c>
      <c r="I884" s="48">
        <v>83.334</v>
      </c>
      <c r="J884" s="49">
        <v>3</v>
      </c>
      <c r="K884" s="49">
        <v>3</v>
      </c>
      <c r="L884" s="49">
        <v>0</v>
      </c>
    </row>
    <row r="885" spans="1:12" x14ac:dyDescent="0.25">
      <c r="A885" s="45">
        <f>C885&amp;"."&amp;IFERROR(MID(E885,FIND("(",E885)+1,FIND(")",E885)-FIND("(",E885)-1),"")</f>
      </c>
      <c r="B885" s="46" t="s">
        <v>1178</v>
      </c>
      <c r="C885" s="46">
        <v>75074</v>
      </c>
      <c r="D885" s="46" t="s">
        <v>2191</v>
      </c>
      <c r="E885" s="46" t="s">
        <v>2192</v>
      </c>
      <c r="F885" s="46" t="s">
        <v>24</v>
      </c>
      <c r="G885" s="47">
        <v>5.02</v>
      </c>
      <c r="H885" s="48">
        <v>12.802</v>
      </c>
      <c r="I885" s="48">
        <v>153.626</v>
      </c>
      <c r="J885" s="49">
        <v>12</v>
      </c>
      <c r="K885" s="49">
        <v>3</v>
      </c>
      <c r="L885" s="49">
        <v>9</v>
      </c>
    </row>
    <row r="886" spans="1:12" x14ac:dyDescent="0.25">
      <c r="A886" s="45">
        <f>C886&amp;"."&amp;IFERROR(MID(E886,FIND("(",E886)+1,FIND(")",E886)-FIND("(",E886)-1),"")</f>
      </c>
      <c r="B886" s="46" t="s">
        <v>1178</v>
      </c>
      <c r="C886" s="46">
        <v>75074</v>
      </c>
      <c r="D886" s="46" t="s">
        <v>2191</v>
      </c>
      <c r="E886" s="46" t="s">
        <v>2193</v>
      </c>
      <c r="F886" s="46" t="s">
        <v>24</v>
      </c>
      <c r="G886" s="47">
        <v>5.02</v>
      </c>
      <c r="H886" s="48">
        <v>12.151</v>
      </c>
      <c r="I886" s="48">
        <v>133.661</v>
      </c>
      <c r="J886" s="49">
        <v>11</v>
      </c>
      <c r="K886" s="49">
        <v>11</v>
      </c>
      <c r="L886" s="49">
        <v>0</v>
      </c>
    </row>
    <row r="887" spans="1:12" x14ac:dyDescent="0.25">
      <c r="A887" s="45">
        <f>C887&amp;"."&amp;IFERROR(MID(E887,FIND("(",E887)+1,FIND(")",E887)-FIND("(",E887)-1),"")</f>
      </c>
      <c r="B887" s="46" t="s">
        <v>1178</v>
      </c>
      <c r="C887" s="46">
        <v>75074</v>
      </c>
      <c r="D887" s="46" t="s">
        <v>2191</v>
      </c>
      <c r="E887" s="46" t="s">
        <v>2194</v>
      </c>
      <c r="F887" s="46" t="s">
        <v>24</v>
      </c>
      <c r="G887" s="47">
        <v>5.02</v>
      </c>
      <c r="H887" s="48">
        <v>11.911</v>
      </c>
      <c r="I887" s="48">
        <v>524.094</v>
      </c>
      <c r="J887" s="49">
        <v>44</v>
      </c>
      <c r="K887" s="49">
        <v>15</v>
      </c>
      <c r="L887" s="49">
        <v>29</v>
      </c>
    </row>
    <row r="888" spans="1:12" x14ac:dyDescent="0.25">
      <c r="A888" s="45">
        <f>C888&amp;"."&amp;IFERROR(MID(E888,FIND("(",E888)+1,FIND(")",E888)-FIND("(",E888)-1),"")</f>
      </c>
      <c r="B888" s="46" t="s">
        <v>1178</v>
      </c>
      <c r="C888" s="46">
        <v>75075</v>
      </c>
      <c r="D888" s="46" t="s">
        <v>2195</v>
      </c>
      <c r="E888" s="46" t="s">
        <v>2196</v>
      </c>
      <c r="F888" s="46" t="s">
        <v>24</v>
      </c>
      <c r="G888" s="47">
        <v>5.02</v>
      </c>
      <c r="H888" s="48">
        <v>12.603</v>
      </c>
      <c r="I888" s="48">
        <v>138.633</v>
      </c>
      <c r="J888" s="49">
        <v>11</v>
      </c>
      <c r="K888" s="49">
        <v>2</v>
      </c>
      <c r="L888" s="49">
        <v>9</v>
      </c>
    </row>
    <row r="889" spans="1:12" x14ac:dyDescent="0.25">
      <c r="A889" s="45">
        <f>C889&amp;"."&amp;IFERROR(MID(E889,FIND("(",E889)+1,FIND(")",E889)-FIND("(",E889)-1),"")</f>
      </c>
      <c r="B889" s="46" t="s">
        <v>1178</v>
      </c>
      <c r="C889" s="46">
        <v>75075</v>
      </c>
      <c r="D889" s="46" t="s">
        <v>2195</v>
      </c>
      <c r="E889" s="46" t="s">
        <v>2197</v>
      </c>
      <c r="F889" s="46" t="s">
        <v>24</v>
      </c>
      <c r="G889" s="47">
        <v>5.02</v>
      </c>
      <c r="H889" s="48">
        <v>12.135</v>
      </c>
      <c r="I889" s="48">
        <v>315.513</v>
      </c>
      <c r="J889" s="49">
        <v>26</v>
      </c>
      <c r="K889" s="49">
        <v>0</v>
      </c>
      <c r="L889" s="49">
        <v>26</v>
      </c>
    </row>
    <row r="890" spans="1:12" x14ac:dyDescent="0.25">
      <c r="A890" s="45">
        <f>C890&amp;"."&amp;IFERROR(MID(E890,FIND("(",E890)+1,FIND(")",E890)-FIND("(",E890)-1),"")</f>
      </c>
      <c r="B890" s="46" t="s">
        <v>1178</v>
      </c>
      <c r="C890" s="46">
        <v>75075</v>
      </c>
      <c r="D890" s="46" t="s">
        <v>2195</v>
      </c>
      <c r="E890" s="46" t="s">
        <v>2198</v>
      </c>
      <c r="F890" s="46" t="s">
        <v>24</v>
      </c>
      <c r="G890" s="47">
        <v>5.02</v>
      </c>
      <c r="H890" s="48">
        <v>11.834</v>
      </c>
      <c r="I890" s="48">
        <v>437.856</v>
      </c>
      <c r="J890" s="49">
        <v>37</v>
      </c>
      <c r="K890" s="49">
        <v>5</v>
      </c>
      <c r="L890" s="49">
        <v>32</v>
      </c>
    </row>
    <row r="891" spans="1:12" x14ac:dyDescent="0.25">
      <c r="A891" s="45">
        <f>C891&amp;"."&amp;IFERROR(MID(E891,FIND("(",E891)+1,FIND(")",E891)-FIND("(",E891)-1),"")</f>
      </c>
      <c r="B891" s="46" t="s">
        <v>1178</v>
      </c>
      <c r="C891" s="46">
        <v>75076</v>
      </c>
      <c r="D891" s="46" t="s">
        <v>2199</v>
      </c>
      <c r="E891" s="46" t="s">
        <v>2200</v>
      </c>
      <c r="F891" s="46" t="s">
        <v>24</v>
      </c>
      <c r="G891" s="47">
        <v>0.48</v>
      </c>
      <c r="H891" s="48">
        <v>1.41</v>
      </c>
      <c r="I891" s="48">
        <v>1.41</v>
      </c>
      <c r="J891" s="49">
        <v>1</v>
      </c>
      <c r="K891" s="49">
        <v>0</v>
      </c>
      <c r="L891" s="49">
        <v>1</v>
      </c>
    </row>
    <row r="892" spans="1:12" x14ac:dyDescent="0.25">
      <c r="A892" s="45">
        <f>C892&amp;"."&amp;IFERROR(MID(E892,FIND("(",E892)+1,FIND(")",E892)-FIND("(",E892)-1),"")</f>
      </c>
      <c r="B892" s="46" t="s">
        <v>1178</v>
      </c>
      <c r="C892" s="46">
        <v>75076</v>
      </c>
      <c r="D892" s="46" t="s">
        <v>2199</v>
      </c>
      <c r="E892" s="46" t="s">
        <v>2201</v>
      </c>
      <c r="F892" s="46" t="s">
        <v>24</v>
      </c>
      <c r="G892" s="47">
        <v>0.48</v>
      </c>
      <c r="H892" s="48">
        <v>1.657</v>
      </c>
      <c r="I892" s="48">
        <v>29.824</v>
      </c>
      <c r="J892" s="49">
        <v>18</v>
      </c>
      <c r="K892" s="49">
        <v>7</v>
      </c>
      <c r="L892" s="49">
        <v>11</v>
      </c>
    </row>
    <row r="893" spans="1:12" x14ac:dyDescent="0.25">
      <c r="A893" s="45">
        <f>C893&amp;"."&amp;IFERROR(MID(E893,FIND("(",E893)+1,FIND(")",E893)-FIND("(",E893)-1),"")</f>
      </c>
      <c r="B893" s="46" t="s">
        <v>1178</v>
      </c>
      <c r="C893" s="46">
        <v>75076</v>
      </c>
      <c r="D893" s="46" t="s">
        <v>2199</v>
      </c>
      <c r="E893" s="46" t="s">
        <v>2202</v>
      </c>
      <c r="F893" s="46" t="s">
        <v>24</v>
      </c>
      <c r="G893" s="47">
        <v>0.48</v>
      </c>
      <c r="H893" s="48">
        <v>1.41</v>
      </c>
      <c r="I893" s="48">
        <v>11.28</v>
      </c>
      <c r="J893" s="49">
        <v>8</v>
      </c>
      <c r="K893" s="49">
        <v>0</v>
      </c>
      <c r="L893" s="49">
        <v>8</v>
      </c>
    </row>
    <row r="894" spans="1:12" x14ac:dyDescent="0.25">
      <c r="A894" s="45">
        <f>C894&amp;"."&amp;IFERROR(MID(E894,FIND("(",E894)+1,FIND(")",E894)-FIND("(",E894)-1),"")</f>
      </c>
      <c r="B894" s="46" t="s">
        <v>1178</v>
      </c>
      <c r="C894" s="46">
        <v>75077</v>
      </c>
      <c r="D894" s="46" t="s">
        <v>2203</v>
      </c>
      <c r="E894" s="46" t="s">
        <v>2204</v>
      </c>
      <c r="F894" s="46" t="s">
        <v>24</v>
      </c>
      <c r="G894" s="47">
        <v>0.48</v>
      </c>
      <c r="H894" s="48">
        <v>1.732</v>
      </c>
      <c r="I894" s="48">
        <v>24.244</v>
      </c>
      <c r="J894" s="49">
        <v>14</v>
      </c>
      <c r="K894" s="49">
        <v>0</v>
      </c>
      <c r="L894" s="49">
        <v>14</v>
      </c>
    </row>
    <row r="895" spans="1:12" x14ac:dyDescent="0.25">
      <c r="A895" s="45">
        <f>C895&amp;"."&amp;IFERROR(MID(E895,FIND("(",E895)+1,FIND(")",E895)-FIND("(",E895)-1),"")</f>
      </c>
      <c r="B895" s="46" t="s">
        <v>1178</v>
      </c>
      <c r="C895" s="46">
        <v>75077</v>
      </c>
      <c r="D895" s="46" t="s">
        <v>2203</v>
      </c>
      <c r="E895" s="46" t="s">
        <v>2205</v>
      </c>
      <c r="F895" s="46" t="s">
        <v>24</v>
      </c>
      <c r="G895" s="47">
        <v>0.48</v>
      </c>
      <c r="H895" s="48">
        <v>1.41</v>
      </c>
      <c r="I895" s="48">
        <v>7.05</v>
      </c>
      <c r="J895" s="49">
        <v>5</v>
      </c>
      <c r="K895" s="49">
        <v>0</v>
      </c>
      <c r="L895" s="49">
        <v>5</v>
      </c>
    </row>
    <row r="896" spans="1:12" x14ac:dyDescent="0.25">
      <c r="A896" s="45">
        <f>C896&amp;"."&amp;IFERROR(MID(E896,FIND("(",E896)+1,FIND(")",E896)-FIND("(",E896)-1),"")</f>
      </c>
      <c r="B896" s="46" t="s">
        <v>1178</v>
      </c>
      <c r="C896" s="46">
        <v>75077</v>
      </c>
      <c r="D896" s="46" t="s">
        <v>2203</v>
      </c>
      <c r="E896" s="46" t="s">
        <v>2206</v>
      </c>
      <c r="F896" s="46" t="s">
        <v>24</v>
      </c>
      <c r="G896" s="47">
        <v>0.48</v>
      </c>
      <c r="H896" s="48">
        <v>1.655</v>
      </c>
      <c r="I896" s="48">
        <v>48.006</v>
      </c>
      <c r="J896" s="49">
        <v>29</v>
      </c>
      <c r="K896" s="49">
        <v>16</v>
      </c>
      <c r="L896" s="49">
        <v>13</v>
      </c>
    </row>
    <row r="897" spans="1:12" x14ac:dyDescent="0.25">
      <c r="A897" s="45">
        <f>C897&amp;"."&amp;IFERROR(MID(E897,FIND("(",E897)+1,FIND(")",E897)-FIND("(",E897)-1),"")</f>
      </c>
      <c r="B897" s="46" t="s">
        <v>1178</v>
      </c>
      <c r="C897" s="46">
        <v>75078</v>
      </c>
      <c r="D897" s="46" t="s">
        <v>2207</v>
      </c>
      <c r="E897" s="46" t="s">
        <v>2208</v>
      </c>
      <c r="F897" s="46" t="s">
        <v>24</v>
      </c>
      <c r="G897" s="47">
        <v>3.06</v>
      </c>
      <c r="H897" s="48">
        <v>12.529</v>
      </c>
      <c r="I897" s="48">
        <v>212.994</v>
      </c>
      <c r="J897" s="49">
        <v>17</v>
      </c>
      <c r="K897" s="49">
        <v>0</v>
      </c>
      <c r="L897" s="49">
        <v>17</v>
      </c>
    </row>
    <row r="898" spans="1:12" x14ac:dyDescent="0.25">
      <c r="A898" s="45">
        <f>C898&amp;"."&amp;IFERROR(MID(E898,FIND("(",E898)+1,FIND(")",E898)-FIND("(",E898)-1),"")</f>
      </c>
      <c r="B898" s="46" t="s">
        <v>1178</v>
      </c>
      <c r="C898" s="46">
        <v>75078</v>
      </c>
      <c r="D898" s="46" t="s">
        <v>2207</v>
      </c>
      <c r="E898" s="46" t="s">
        <v>2209</v>
      </c>
      <c r="F898" s="46" t="s">
        <v>24</v>
      </c>
      <c r="G898" s="47">
        <v>3.06</v>
      </c>
      <c r="H898" s="48">
        <v>12.708</v>
      </c>
      <c r="I898" s="48">
        <v>114.372</v>
      </c>
      <c r="J898" s="49">
        <v>9</v>
      </c>
      <c r="K898" s="49">
        <v>0</v>
      </c>
      <c r="L898" s="49">
        <v>9</v>
      </c>
    </row>
    <row r="899" spans="1:12" x14ac:dyDescent="0.25">
      <c r="A899" s="45">
        <f>C899&amp;"."&amp;IFERROR(MID(E899,FIND("(",E899)+1,FIND(")",E899)-FIND("(",E899)-1),"")</f>
      </c>
      <c r="B899" s="46" t="s">
        <v>1178</v>
      </c>
      <c r="C899" s="46">
        <v>75078</v>
      </c>
      <c r="D899" s="46" t="s">
        <v>2207</v>
      </c>
      <c r="E899" s="46" t="s">
        <v>2210</v>
      </c>
      <c r="F899" s="46" t="s">
        <v>24</v>
      </c>
      <c r="G899" s="47">
        <v>3.06</v>
      </c>
      <c r="H899" s="48">
        <v>12.63</v>
      </c>
      <c r="I899" s="48">
        <v>214.71</v>
      </c>
      <c r="J899" s="49">
        <v>17</v>
      </c>
      <c r="K899" s="49">
        <v>6</v>
      </c>
      <c r="L899" s="49">
        <v>11</v>
      </c>
    </row>
    <row r="900" spans="1:12" x14ac:dyDescent="0.25">
      <c r="A900" s="45">
        <f>C900&amp;"."&amp;IFERROR(MID(E900,FIND("(",E900)+1,FIND(")",E900)-FIND("(",E900)-1),"")</f>
      </c>
      <c r="B900" s="46" t="s">
        <v>1178</v>
      </c>
      <c r="C900" s="46">
        <v>75078</v>
      </c>
      <c r="D900" s="46" t="s">
        <v>2207</v>
      </c>
      <c r="E900" s="46" t="s">
        <v>2211</v>
      </c>
      <c r="F900" s="46" t="s">
        <v>24</v>
      </c>
      <c r="G900" s="47">
        <v>3.06</v>
      </c>
      <c r="H900" s="48">
        <v>16.829</v>
      </c>
      <c r="I900" s="48">
        <v>117.804</v>
      </c>
      <c r="J900" s="49">
        <v>7</v>
      </c>
      <c r="K900" s="49">
        <v>0</v>
      </c>
      <c r="L900" s="49">
        <v>7</v>
      </c>
    </row>
    <row r="901" spans="1:12" x14ac:dyDescent="0.25">
      <c r="A901" s="45">
        <f>C901&amp;"."&amp;IFERROR(MID(E901,FIND("(",E901)+1,FIND(")",E901)-FIND("(",E901)-1),"")</f>
      </c>
      <c r="B901" s="46" t="s">
        <v>1178</v>
      </c>
      <c r="C901" s="46">
        <v>75079</v>
      </c>
      <c r="D901" s="46" t="s">
        <v>2212</v>
      </c>
      <c r="E901" s="46" t="s">
        <v>2213</v>
      </c>
      <c r="F901" s="46" t="s">
        <v>24</v>
      </c>
      <c r="G901" s="47">
        <v>2.46</v>
      </c>
      <c r="H901" s="48">
        <v>6.407</v>
      </c>
      <c r="I901" s="48">
        <v>128.149</v>
      </c>
      <c r="J901" s="49">
        <v>20</v>
      </c>
      <c r="K901" s="49">
        <v>1</v>
      </c>
      <c r="L901" s="49">
        <v>19</v>
      </c>
    </row>
    <row r="902" spans="1:12" x14ac:dyDescent="0.25">
      <c r="A902" s="45">
        <f>C902&amp;"."&amp;IFERROR(MID(E902,FIND("(",E902)+1,FIND(")",E902)-FIND("(",E902)-1),"")</f>
      </c>
      <c r="B902" s="46" t="s">
        <v>1178</v>
      </c>
      <c r="C902" s="46">
        <v>75079</v>
      </c>
      <c r="D902" s="46" t="s">
        <v>2212</v>
      </c>
      <c r="E902" s="46" t="s">
        <v>2214</v>
      </c>
      <c r="F902" s="46" t="s">
        <v>24</v>
      </c>
      <c r="G902" s="47">
        <v>2.46</v>
      </c>
      <c r="H902" s="48">
        <v>6.077</v>
      </c>
      <c r="I902" s="48">
        <v>91.159</v>
      </c>
      <c r="J902" s="49">
        <v>15</v>
      </c>
      <c r="K902" s="49">
        <v>5</v>
      </c>
      <c r="L902" s="49">
        <v>10</v>
      </c>
    </row>
    <row r="903" spans="1:12" x14ac:dyDescent="0.25">
      <c r="A903" s="45">
        <f>C903&amp;"."&amp;IFERROR(MID(E903,FIND("(",E903)+1,FIND(")",E903)-FIND("(",E903)-1),"")</f>
      </c>
      <c r="B903" s="46" t="s">
        <v>1178</v>
      </c>
      <c r="C903" s="46">
        <v>75079</v>
      </c>
      <c r="D903" s="46" t="s">
        <v>2212</v>
      </c>
      <c r="E903" s="46" t="s">
        <v>2215</v>
      </c>
      <c r="F903" s="46" t="s">
        <v>24</v>
      </c>
      <c r="G903" s="47">
        <v>2.46</v>
      </c>
      <c r="H903" s="48">
        <v>5.139</v>
      </c>
      <c r="I903" s="48">
        <v>41.111</v>
      </c>
      <c r="J903" s="49">
        <v>8</v>
      </c>
      <c r="K903" s="49">
        <v>0</v>
      </c>
      <c r="L903" s="49">
        <v>8</v>
      </c>
    </row>
    <row r="904" spans="1:12" x14ac:dyDescent="0.25">
      <c r="A904" s="45">
        <f>C904&amp;"."&amp;IFERROR(MID(E904,FIND("(",E904)+1,FIND(")",E904)-FIND("(",E904)-1),"")</f>
      </c>
      <c r="B904" s="46" t="s">
        <v>1178</v>
      </c>
      <c r="C904" s="46">
        <v>75082</v>
      </c>
      <c r="D904" s="46" t="s">
        <v>2216</v>
      </c>
      <c r="E904" s="46" t="s">
        <v>2217</v>
      </c>
      <c r="F904" s="46" t="s">
        <v>24</v>
      </c>
      <c r="G904" s="47">
        <v>10.11</v>
      </c>
      <c r="H904" s="48">
        <v>30.014</v>
      </c>
      <c r="I904" s="48">
        <v>450.209</v>
      </c>
      <c r="J904" s="49">
        <v>15</v>
      </c>
      <c r="K904" s="49">
        <v>9</v>
      </c>
      <c r="L904" s="49">
        <v>6</v>
      </c>
    </row>
    <row r="905" spans="1:12" x14ac:dyDescent="0.25">
      <c r="A905" s="45">
        <f>C905&amp;"."&amp;IFERROR(MID(E905,FIND("(",E905)+1,FIND(")",E905)-FIND("(",E905)-1),"")</f>
      </c>
      <c r="B905" s="46" t="s">
        <v>1178</v>
      </c>
      <c r="C905" s="46">
        <v>75082</v>
      </c>
      <c r="D905" s="46" t="s">
        <v>2216</v>
      </c>
      <c r="E905" s="46" t="s">
        <v>2218</v>
      </c>
      <c r="F905" s="46" t="s">
        <v>24</v>
      </c>
      <c r="G905" s="47">
        <v>10.11</v>
      </c>
      <c r="H905" s="48">
        <v>30.855</v>
      </c>
      <c r="I905" s="48">
        <v>339.405</v>
      </c>
      <c r="J905" s="49">
        <v>11</v>
      </c>
      <c r="K905" s="49">
        <v>3</v>
      </c>
      <c r="L905" s="49">
        <v>8</v>
      </c>
    </row>
    <row r="906" spans="1:12" x14ac:dyDescent="0.25">
      <c r="A906" s="45">
        <f>C906&amp;"."&amp;IFERROR(MID(E906,FIND("(",E906)+1,FIND(")",E906)-FIND("(",E906)-1),"")</f>
      </c>
      <c r="B906" s="46" t="s">
        <v>1178</v>
      </c>
      <c r="C906" s="46">
        <v>75082</v>
      </c>
      <c r="D906" s="46" t="s">
        <v>2216</v>
      </c>
      <c r="E906" s="46" t="s">
        <v>2219</v>
      </c>
      <c r="F906" s="46" t="s">
        <v>24</v>
      </c>
      <c r="G906" s="47">
        <v>10.11</v>
      </c>
      <c r="H906" s="48">
        <v>30.033</v>
      </c>
      <c r="I906" s="48">
        <v>90.099</v>
      </c>
      <c r="J906" s="49">
        <v>3</v>
      </c>
      <c r="K906" s="49">
        <v>1</v>
      </c>
      <c r="L906" s="49">
        <v>2</v>
      </c>
    </row>
    <row r="907" spans="1:12" x14ac:dyDescent="0.25">
      <c r="A907" s="45">
        <f>C907&amp;"."&amp;IFERROR(MID(E907,FIND("(",E907)+1,FIND(")",E907)-FIND("(",E907)-1),"")</f>
      </c>
      <c r="B907" s="46" t="s">
        <v>1178</v>
      </c>
      <c r="C907" s="46">
        <v>75082</v>
      </c>
      <c r="D907" s="46" t="s">
        <v>2216</v>
      </c>
      <c r="E907" s="46" t="s">
        <v>2220</v>
      </c>
      <c r="F907" s="46" t="s">
        <v>24</v>
      </c>
      <c r="G907" s="47">
        <v>10.11</v>
      </c>
      <c r="H907" s="48">
        <v>30.797</v>
      </c>
      <c r="I907" s="48">
        <v>30.797</v>
      </c>
      <c r="J907" s="49">
        <v>1</v>
      </c>
      <c r="K907" s="49">
        <v>0</v>
      </c>
      <c r="L907" s="49">
        <v>1</v>
      </c>
    </row>
    <row r="908" spans="1:12" x14ac:dyDescent="0.25">
      <c r="A908" s="45">
        <f>C908&amp;"."&amp;IFERROR(MID(E908,FIND("(",E908)+1,FIND(")",E908)-FIND("(",E908)-1),"")</f>
      </c>
      <c r="B908" s="46" t="s">
        <v>1178</v>
      </c>
      <c r="C908" s="46">
        <v>75086</v>
      </c>
      <c r="D908" s="46" t="s">
        <v>2221</v>
      </c>
      <c r="E908" s="46" t="s">
        <v>2222</v>
      </c>
      <c r="F908" s="46" t="s">
        <v>26</v>
      </c>
      <c r="G908" s="47">
        <v>2.62</v>
      </c>
      <c r="H908" s="48">
        <v>6.762</v>
      </c>
      <c r="I908" s="48">
        <v>60.855</v>
      </c>
      <c r="J908" s="49">
        <v>9</v>
      </c>
      <c r="K908" s="49">
        <v>4</v>
      </c>
      <c r="L908" s="49">
        <v>5</v>
      </c>
    </row>
    <row r="909" spans="1:12" x14ac:dyDescent="0.25">
      <c r="A909" s="45">
        <f>C909&amp;"."&amp;IFERROR(MID(E909,FIND("(",E909)+1,FIND(")",E909)-FIND("(",E909)-1),"")</f>
      </c>
      <c r="B909" s="46" t="s">
        <v>1178</v>
      </c>
      <c r="C909" s="46">
        <v>75086</v>
      </c>
      <c r="D909" s="46" t="s">
        <v>2221</v>
      </c>
      <c r="E909" s="46" t="s">
        <v>2223</v>
      </c>
      <c r="F909" s="46" t="s">
        <v>26</v>
      </c>
      <c r="G909" s="47">
        <v>2.62</v>
      </c>
      <c r="H909" s="48">
        <v>6.364</v>
      </c>
      <c r="I909" s="48">
        <v>502.784</v>
      </c>
      <c r="J909" s="49">
        <v>79</v>
      </c>
      <c r="K909" s="49">
        <v>2</v>
      </c>
      <c r="L909" s="49">
        <v>77</v>
      </c>
    </row>
    <row r="910" spans="1:12" x14ac:dyDescent="0.25">
      <c r="A910" s="45">
        <f>C910&amp;"."&amp;IFERROR(MID(E910,FIND("(",E910)+1,FIND(")",E910)-FIND("(",E910)-1),"")</f>
      </c>
      <c r="B910" s="46" t="s">
        <v>1178</v>
      </c>
      <c r="C910" s="46">
        <v>75086</v>
      </c>
      <c r="D910" s="46" t="s">
        <v>2221</v>
      </c>
      <c r="E910" s="46" t="s">
        <v>2224</v>
      </c>
      <c r="F910" s="46" t="s">
        <v>26</v>
      </c>
      <c r="G910" s="47">
        <v>2.62</v>
      </c>
      <c r="H910" s="48">
        <v>4.324</v>
      </c>
      <c r="I910" s="48">
        <v>34.59</v>
      </c>
      <c r="J910" s="49">
        <v>8</v>
      </c>
      <c r="K910" s="49">
        <v>1</v>
      </c>
      <c r="L910" s="49">
        <v>7</v>
      </c>
    </row>
    <row r="911" spans="1:12" x14ac:dyDescent="0.25">
      <c r="A911" s="45">
        <f>C911&amp;"."&amp;IFERROR(MID(E911,FIND("(",E911)+1,FIND(")",E911)-FIND("(",E911)-1),"")</f>
      </c>
      <c r="B911" s="46" t="s">
        <v>1178</v>
      </c>
      <c r="C911" s="46">
        <v>75088</v>
      </c>
      <c r="D911" s="46" t="s">
        <v>2225</v>
      </c>
      <c r="E911" s="46" t="s">
        <v>2226</v>
      </c>
      <c r="F911" s="46" t="s">
        <v>26</v>
      </c>
      <c r="G911" s="47">
        <v>2.31</v>
      </c>
      <c r="H911" s="48">
        <v>7.43</v>
      </c>
      <c r="I911" s="48">
        <v>44.58</v>
      </c>
      <c r="J911" s="49">
        <v>6</v>
      </c>
      <c r="K911" s="49">
        <v>1</v>
      </c>
      <c r="L911" s="49">
        <v>5</v>
      </c>
    </row>
    <row r="912" spans="1:12" x14ac:dyDescent="0.25">
      <c r="A912" s="45">
        <f>C912&amp;"."&amp;IFERROR(MID(E912,FIND("(",E912)+1,FIND(")",E912)-FIND("(",E912)-1),"")</f>
      </c>
      <c r="B912" s="46" t="s">
        <v>1178</v>
      </c>
      <c r="C912" s="46">
        <v>75088</v>
      </c>
      <c r="D912" s="46" t="s">
        <v>2225</v>
      </c>
      <c r="E912" s="46" t="s">
        <v>2227</v>
      </c>
      <c r="F912" s="46" t="s">
        <v>26</v>
      </c>
      <c r="G912" s="47">
        <v>2.31</v>
      </c>
      <c r="H912" s="48">
        <v>20.401</v>
      </c>
      <c r="I912" s="48">
        <v>61.202</v>
      </c>
      <c r="J912" s="49">
        <v>3</v>
      </c>
      <c r="K912" s="49">
        <v>1</v>
      </c>
      <c r="L912" s="49">
        <v>2</v>
      </c>
    </row>
    <row r="913" spans="1:12" x14ac:dyDescent="0.25">
      <c r="A913" s="45">
        <f>C913&amp;"."&amp;IFERROR(MID(E913,FIND("(",E913)+1,FIND(")",E913)-FIND("(",E913)-1),"")</f>
      </c>
      <c r="B913" s="46" t="s">
        <v>1178</v>
      </c>
      <c r="C913" s="46">
        <v>75088</v>
      </c>
      <c r="D913" s="46" t="s">
        <v>2225</v>
      </c>
      <c r="E913" s="46" t="s">
        <v>2228</v>
      </c>
      <c r="F913" s="46" t="s">
        <v>26</v>
      </c>
      <c r="G913" s="47">
        <v>2.31</v>
      </c>
      <c r="H913" s="48">
        <v>5.569</v>
      </c>
      <c r="I913" s="48">
        <v>11.137</v>
      </c>
      <c r="J913" s="49">
        <v>2</v>
      </c>
      <c r="K913" s="49">
        <v>2</v>
      </c>
      <c r="L913" s="49">
        <v>0</v>
      </c>
    </row>
    <row r="914" spans="1:12" x14ac:dyDescent="0.25">
      <c r="A914" s="45">
        <f>C914&amp;"."&amp;IFERROR(MID(E914,FIND("(",E914)+1,FIND(")",E914)-FIND("(",E914)-1),"")</f>
      </c>
      <c r="B914" s="46" t="s">
        <v>1178</v>
      </c>
      <c r="C914" s="46">
        <v>75090</v>
      </c>
      <c r="D914" s="46" t="s">
        <v>2229</v>
      </c>
      <c r="E914" s="46" t="s">
        <v>2230</v>
      </c>
      <c r="F914" s="46" t="s">
        <v>26</v>
      </c>
      <c r="G914" s="47">
        <v>0.28</v>
      </c>
      <c r="H914" s="48">
        <v>1.113</v>
      </c>
      <c r="I914" s="48">
        <v>5.566</v>
      </c>
      <c r="J914" s="49">
        <v>5</v>
      </c>
      <c r="K914" s="49">
        <v>0</v>
      </c>
      <c r="L914" s="49">
        <v>5</v>
      </c>
    </row>
    <row r="915" spans="1:12" x14ac:dyDescent="0.25">
      <c r="A915" s="45">
        <f>C915&amp;"."&amp;IFERROR(MID(E915,FIND("(",E915)+1,FIND(")",E915)-FIND("(",E915)-1),"")</f>
      </c>
      <c r="B915" s="46" t="s">
        <v>1178</v>
      </c>
      <c r="C915" s="46">
        <v>75090</v>
      </c>
      <c r="D915" s="46" t="s">
        <v>2229</v>
      </c>
      <c r="E915" s="46" t="s">
        <v>2231</v>
      </c>
      <c r="F915" s="46" t="s">
        <v>26</v>
      </c>
      <c r="G915" s="47">
        <v>0.28</v>
      </c>
      <c r="H915" s="48">
        <v>1.124</v>
      </c>
      <c r="I915" s="48">
        <v>1.124</v>
      </c>
      <c r="J915" s="49">
        <v>1</v>
      </c>
      <c r="K915" s="49">
        <v>0</v>
      </c>
      <c r="L915" s="49">
        <v>1</v>
      </c>
    </row>
    <row r="916" spans="1:12" x14ac:dyDescent="0.25">
      <c r="A916" s="45">
        <f>C916&amp;"."&amp;IFERROR(MID(E916,FIND("(",E916)+1,FIND(")",E916)-FIND("(",E916)-1),"")</f>
      </c>
      <c r="B916" s="46" t="s">
        <v>1178</v>
      </c>
      <c r="C916" s="46">
        <v>75097</v>
      </c>
      <c r="D916" s="46" t="s">
        <v>2232</v>
      </c>
      <c r="E916" s="46" t="s">
        <v>2233</v>
      </c>
      <c r="F916" s="46" t="s">
        <v>26</v>
      </c>
      <c r="G916" s="47">
        <v>0.41</v>
      </c>
      <c r="H916" s="48">
        <v>1.597</v>
      </c>
      <c r="I916" s="48">
        <v>12.779</v>
      </c>
      <c r="J916" s="49">
        <v>8</v>
      </c>
      <c r="K916" s="49">
        <v>0</v>
      </c>
      <c r="L916" s="49">
        <v>8</v>
      </c>
    </row>
    <row r="917" spans="1:12" x14ac:dyDescent="0.25">
      <c r="A917" s="45">
        <f>C917&amp;"."&amp;IFERROR(MID(E917,FIND("(",E917)+1,FIND(")",E917)-FIND("(",E917)-1),"")</f>
      </c>
      <c r="B917" s="46" t="s">
        <v>1178</v>
      </c>
      <c r="C917" s="46">
        <v>75103</v>
      </c>
      <c r="D917" s="46" t="s">
        <v>2234</v>
      </c>
      <c r="E917" s="46" t="s">
        <v>1248</v>
      </c>
      <c r="F917" s="46" t="s">
        <v>26</v>
      </c>
      <c r="G917" s="47">
        <v>0.28</v>
      </c>
      <c r="H917" s="48">
        <v>0.932</v>
      </c>
      <c r="I917" s="48">
        <v>5.591</v>
      </c>
      <c r="J917" s="49">
        <v>6</v>
      </c>
      <c r="K917" s="49">
        <v>0</v>
      </c>
      <c r="L917" s="49">
        <v>6</v>
      </c>
    </row>
    <row r="918" spans="1:12" x14ac:dyDescent="0.25">
      <c r="A918" s="45">
        <f>C918&amp;"."&amp;IFERROR(MID(E918,FIND("(",E918)+1,FIND(")",E918)-FIND("(",E918)-1),"")</f>
      </c>
      <c r="B918" s="46" t="s">
        <v>1178</v>
      </c>
      <c r="C918" s="46">
        <v>75104</v>
      </c>
      <c r="D918" s="46" t="s">
        <v>2235</v>
      </c>
      <c r="E918" s="46" t="s">
        <v>2236</v>
      </c>
      <c r="F918" s="46" t="s">
        <v>24</v>
      </c>
      <c r="G918" s="47">
        <v>0.78</v>
      </c>
      <c r="H918" s="48">
        <v>9.925</v>
      </c>
      <c r="I918" s="48">
        <v>29.776</v>
      </c>
      <c r="J918" s="49">
        <v>3</v>
      </c>
      <c r="K918" s="49">
        <v>1</v>
      </c>
      <c r="L918" s="49">
        <v>2</v>
      </c>
    </row>
    <row r="919" spans="1:12" x14ac:dyDescent="0.25">
      <c r="A919" s="45">
        <f>C919&amp;"."&amp;IFERROR(MID(E919,FIND("(",E919)+1,FIND(")",E919)-FIND("(",E919)-1),"")</f>
      </c>
      <c r="B919" s="46" t="s">
        <v>1178</v>
      </c>
      <c r="C919" s="46">
        <v>75104</v>
      </c>
      <c r="D919" s="46" t="s">
        <v>2235</v>
      </c>
      <c r="E919" s="46" t="s">
        <v>2237</v>
      </c>
      <c r="F919" s="46" t="s">
        <v>24</v>
      </c>
      <c r="G919" s="47">
        <v>0.78</v>
      </c>
      <c r="H919" s="48">
        <v>9.903</v>
      </c>
      <c r="I919" s="48">
        <v>9.903</v>
      </c>
      <c r="J919" s="49">
        <v>1</v>
      </c>
      <c r="K919" s="49">
        <v>1</v>
      </c>
      <c r="L919" s="49">
        <v>0</v>
      </c>
    </row>
    <row r="920" spans="1:12" x14ac:dyDescent="0.25">
      <c r="A920" s="45">
        <f>C920&amp;"."&amp;IFERROR(MID(E920,FIND("(",E920)+1,FIND(")",E920)-FIND("(",E920)-1),"")</f>
      </c>
      <c r="B920" s="46" t="s">
        <v>1178</v>
      </c>
      <c r="C920" s="46">
        <v>75104</v>
      </c>
      <c r="D920" s="46" t="s">
        <v>2235</v>
      </c>
      <c r="E920" s="46" t="s">
        <v>2238</v>
      </c>
      <c r="F920" s="46" t="s">
        <v>24</v>
      </c>
      <c r="G920" s="47">
        <v>0.78</v>
      </c>
      <c r="H920" s="48">
        <v>10.244</v>
      </c>
      <c r="I920" s="48">
        <v>40.975</v>
      </c>
      <c r="J920" s="49">
        <v>4</v>
      </c>
      <c r="K920" s="49">
        <v>4</v>
      </c>
      <c r="L920" s="49">
        <v>0</v>
      </c>
    </row>
    <row r="921" spans="1:12" x14ac:dyDescent="0.25">
      <c r="A921" s="45">
        <f>C921&amp;"."&amp;IFERROR(MID(E921,FIND("(",E921)+1,FIND(")",E921)-FIND("(",E921)-1),"")</f>
      </c>
      <c r="B921" s="46" t="s">
        <v>1178</v>
      </c>
      <c r="C921" s="46">
        <v>75106</v>
      </c>
      <c r="D921" s="46" t="s">
        <v>2239</v>
      </c>
      <c r="E921" s="46" t="s">
        <v>2240</v>
      </c>
      <c r="F921" s="46" t="s">
        <v>24</v>
      </c>
      <c r="G921" s="47">
        <v>3.29</v>
      </c>
      <c r="H921" s="48">
        <v>11.112</v>
      </c>
      <c r="I921" s="48">
        <v>177.792</v>
      </c>
      <c r="J921" s="49">
        <v>16</v>
      </c>
      <c r="K921" s="49">
        <v>2</v>
      </c>
      <c r="L921" s="49">
        <v>14</v>
      </c>
    </row>
    <row r="922" spans="1:12" x14ac:dyDescent="0.25">
      <c r="A922" s="45">
        <f>C922&amp;"."&amp;IFERROR(MID(E922,FIND("(",E922)+1,FIND(")",E922)-FIND("(",E922)-1),"")</f>
      </c>
      <c r="B922" s="46" t="s">
        <v>1178</v>
      </c>
      <c r="C922" s="46">
        <v>75106</v>
      </c>
      <c r="D922" s="46" t="s">
        <v>2239</v>
      </c>
      <c r="E922" s="46" t="s">
        <v>2241</v>
      </c>
      <c r="F922" s="46" t="s">
        <v>24</v>
      </c>
      <c r="G922" s="47">
        <v>3.29</v>
      </c>
      <c r="H922" s="48">
        <v>9.934</v>
      </c>
      <c r="I922" s="48">
        <v>99.338</v>
      </c>
      <c r="J922" s="49">
        <v>10</v>
      </c>
      <c r="K922" s="49">
        <v>1</v>
      </c>
      <c r="L922" s="49">
        <v>9</v>
      </c>
    </row>
    <row r="923" spans="1:12" x14ac:dyDescent="0.25">
      <c r="A923" s="45">
        <f>C923&amp;"."&amp;IFERROR(MID(E923,FIND("(",E923)+1,FIND(")",E923)-FIND("(",E923)-1),"")</f>
      </c>
      <c r="B923" s="46" t="s">
        <v>1178</v>
      </c>
      <c r="C923" s="46">
        <v>75106</v>
      </c>
      <c r="D923" s="46" t="s">
        <v>2239</v>
      </c>
      <c r="E923" s="46" t="s">
        <v>2242</v>
      </c>
      <c r="F923" s="46" t="s">
        <v>24</v>
      </c>
      <c r="G923" s="47">
        <v>3.29</v>
      </c>
      <c r="H923" s="48">
        <v>9.177</v>
      </c>
      <c r="I923" s="48">
        <v>55.06</v>
      </c>
      <c r="J923" s="49">
        <v>6</v>
      </c>
      <c r="K923" s="49">
        <v>3</v>
      </c>
      <c r="L923" s="49">
        <v>3</v>
      </c>
    </row>
    <row r="924" spans="1:12" x14ac:dyDescent="0.25">
      <c r="A924" s="45">
        <f>C924&amp;"."&amp;IFERROR(MID(E924,FIND("(",E924)+1,FIND(")",E924)-FIND("(",E924)-1),"")</f>
      </c>
      <c r="B924" s="46" t="s">
        <v>1178</v>
      </c>
      <c r="C924" s="46">
        <v>75107</v>
      </c>
      <c r="D924" s="46" t="s">
        <v>2243</v>
      </c>
      <c r="E924" s="46" t="s">
        <v>1248</v>
      </c>
      <c r="F924" s="46" t="s">
        <v>26</v>
      </c>
      <c r="G924" s="47">
        <v>0.41</v>
      </c>
      <c r="H924" s="48">
        <v>1.319</v>
      </c>
      <c r="I924" s="48">
        <v>2.638</v>
      </c>
      <c r="J924" s="49">
        <v>2</v>
      </c>
      <c r="K924" s="49">
        <v>0</v>
      </c>
      <c r="L924" s="49">
        <v>2</v>
      </c>
    </row>
    <row r="925" spans="1:12" x14ac:dyDescent="0.25">
      <c r="A925" s="45">
        <f>C925&amp;"."&amp;IFERROR(MID(E925,FIND("(",E925)+1,FIND(")",E925)-FIND("(",E925)-1),"")</f>
      </c>
      <c r="B925" s="46" t="s">
        <v>1178</v>
      </c>
      <c r="C925" s="46">
        <v>75109</v>
      </c>
      <c r="D925" s="46" t="s">
        <v>2244</v>
      </c>
      <c r="E925" s="46" t="s">
        <v>2245</v>
      </c>
      <c r="F925" s="46" t="s">
        <v>26</v>
      </c>
      <c r="G925" s="47">
        <v>0.34</v>
      </c>
      <c r="H925" s="48">
        <v>0.97</v>
      </c>
      <c r="I925" s="48">
        <v>1.94</v>
      </c>
      <c r="J925" s="49">
        <v>2</v>
      </c>
      <c r="K925" s="49">
        <v>0</v>
      </c>
      <c r="L925" s="49">
        <v>2</v>
      </c>
    </row>
    <row r="926" spans="1:12" x14ac:dyDescent="0.25">
      <c r="A926" s="45">
        <f>C926&amp;"."&amp;IFERROR(MID(E926,FIND("(",E926)+1,FIND(")",E926)-FIND("(",E926)-1),"")</f>
      </c>
      <c r="B926" s="46" t="s">
        <v>1178</v>
      </c>
      <c r="C926" s="46">
        <v>75109</v>
      </c>
      <c r="D926" s="46" t="s">
        <v>2244</v>
      </c>
      <c r="E926" s="46" t="s">
        <v>2246</v>
      </c>
      <c r="F926" s="46" t="s">
        <v>26</v>
      </c>
      <c r="G926" s="47">
        <v>0.34</v>
      </c>
      <c r="H926" s="48">
        <v>0.889</v>
      </c>
      <c r="I926" s="48">
        <v>14.219</v>
      </c>
      <c r="J926" s="49">
        <v>16</v>
      </c>
      <c r="K926" s="49">
        <v>5</v>
      </c>
      <c r="L926" s="49">
        <v>11</v>
      </c>
    </row>
    <row r="927" spans="1:12" x14ac:dyDescent="0.25">
      <c r="A927" s="45">
        <f>C927&amp;"."&amp;IFERROR(MID(E927,FIND("(",E927)+1,FIND(")",E927)-FIND("(",E927)-1),"")</f>
      </c>
      <c r="B927" s="46" t="s">
        <v>1178</v>
      </c>
      <c r="C927" s="46">
        <v>75109</v>
      </c>
      <c r="D927" s="46" t="s">
        <v>2244</v>
      </c>
      <c r="E927" s="46" t="s">
        <v>2247</v>
      </c>
      <c r="F927" s="46" t="s">
        <v>26</v>
      </c>
      <c r="G927" s="47">
        <v>0.34</v>
      </c>
      <c r="H927" s="48">
        <v>0.98</v>
      </c>
      <c r="I927" s="48">
        <v>0.98</v>
      </c>
      <c r="J927" s="49">
        <v>1</v>
      </c>
      <c r="K927" s="49">
        <v>0</v>
      </c>
      <c r="L927" s="49">
        <v>1</v>
      </c>
    </row>
    <row r="928" spans="1:12" x14ac:dyDescent="0.25">
      <c r="A928" s="45">
        <f>C928&amp;"."&amp;IFERROR(MID(E928,FIND("(",E928)+1,FIND(")",E928)-FIND("(",E928)-1),"")</f>
      </c>
      <c r="B928" s="46" t="s">
        <v>1178</v>
      </c>
      <c r="C928" s="46">
        <v>75113</v>
      </c>
      <c r="D928" s="46" t="s">
        <v>2248</v>
      </c>
      <c r="E928" s="46" t="s">
        <v>1248</v>
      </c>
      <c r="F928" s="46" t="s">
        <v>26</v>
      </c>
      <c r="G928" s="47">
        <v>0</v>
      </c>
      <c r="H928" s="48">
        <v>10.638</v>
      </c>
      <c r="I928" s="48">
        <v>10.638</v>
      </c>
      <c r="J928" s="49">
        <v>1</v>
      </c>
      <c r="K928" s="49">
        <v>1</v>
      </c>
      <c r="L928" s="49">
        <v>0</v>
      </c>
    </row>
    <row r="929" spans="1:12" x14ac:dyDescent="0.25">
      <c r="A929" s="45">
        <f>C929&amp;"."&amp;IFERROR(MID(E929,FIND("(",E929)+1,FIND(")",E929)-FIND("(",E929)-1),"")</f>
      </c>
      <c r="B929" s="46" t="s">
        <v>1178</v>
      </c>
      <c r="C929" s="46">
        <v>75114</v>
      </c>
      <c r="D929" s="46" t="s">
        <v>2249</v>
      </c>
      <c r="E929" s="46" t="s">
        <v>2250</v>
      </c>
      <c r="F929" s="46" t="s">
        <v>24</v>
      </c>
      <c r="G929" s="47">
        <v>3.31</v>
      </c>
      <c r="H929" s="48">
        <v>24.527</v>
      </c>
      <c r="I929" s="48">
        <v>318.853</v>
      </c>
      <c r="J929" s="49">
        <v>13</v>
      </c>
      <c r="K929" s="49">
        <v>2</v>
      </c>
      <c r="L929" s="49">
        <v>11</v>
      </c>
    </row>
    <row r="930" spans="1:12" x14ac:dyDescent="0.25">
      <c r="A930" s="45">
        <f>C930&amp;"."&amp;IFERROR(MID(E930,FIND("(",E930)+1,FIND(")",E930)-FIND("(",E930)-1),"")</f>
      </c>
      <c r="B930" s="46" t="s">
        <v>1178</v>
      </c>
      <c r="C930" s="46">
        <v>75114</v>
      </c>
      <c r="D930" s="46" t="s">
        <v>2249</v>
      </c>
      <c r="E930" s="46" t="s">
        <v>2251</v>
      </c>
      <c r="F930" s="46" t="s">
        <v>24</v>
      </c>
      <c r="G930" s="47">
        <v>3.31</v>
      </c>
      <c r="H930" s="48">
        <v>25.959</v>
      </c>
      <c r="I930" s="48">
        <v>129.795</v>
      </c>
      <c r="J930" s="49">
        <v>5</v>
      </c>
      <c r="K930" s="49">
        <v>0</v>
      </c>
      <c r="L930" s="49">
        <v>5</v>
      </c>
    </row>
    <row r="931" spans="1:12" x14ac:dyDescent="0.25">
      <c r="A931" s="45">
        <f>C931&amp;"."&amp;IFERROR(MID(E931,FIND("(",E931)+1,FIND(")",E931)-FIND("(",E931)-1),"")</f>
      </c>
      <c r="B931" s="46" t="s">
        <v>1178</v>
      </c>
      <c r="C931" s="46">
        <v>75114</v>
      </c>
      <c r="D931" s="46" t="s">
        <v>2249</v>
      </c>
      <c r="E931" s="46" t="s">
        <v>2252</v>
      </c>
      <c r="F931" s="46" t="s">
        <v>24</v>
      </c>
      <c r="G931" s="47">
        <v>3.31</v>
      </c>
      <c r="H931" s="48">
        <v>27.588</v>
      </c>
      <c r="I931" s="48">
        <v>248.288</v>
      </c>
      <c r="J931" s="49">
        <v>9</v>
      </c>
      <c r="K931" s="49">
        <v>1</v>
      </c>
      <c r="L931" s="49">
        <v>8</v>
      </c>
    </row>
    <row r="932" spans="1:12" x14ac:dyDescent="0.25">
      <c r="A932" s="45">
        <f>C932&amp;"."&amp;IFERROR(MID(E932,FIND("(",E932)+1,FIND(")",E932)-FIND("(",E932)-1),"")</f>
      </c>
      <c r="B932" s="46" t="s">
        <v>1178</v>
      </c>
      <c r="C932" s="46">
        <v>75115</v>
      </c>
      <c r="D932" s="46" t="s">
        <v>2253</v>
      </c>
      <c r="E932" s="46" t="s">
        <v>2254</v>
      </c>
      <c r="F932" s="46" t="s">
        <v>24</v>
      </c>
      <c r="G932" s="47">
        <v>3.31</v>
      </c>
      <c r="H932" s="48">
        <v>26.596</v>
      </c>
      <c r="I932" s="48">
        <v>186.173</v>
      </c>
      <c r="J932" s="49">
        <v>7</v>
      </c>
      <c r="K932" s="49">
        <v>1</v>
      </c>
      <c r="L932" s="49">
        <v>6</v>
      </c>
    </row>
    <row r="933" spans="1:12" x14ac:dyDescent="0.25">
      <c r="A933" s="45">
        <f>C933&amp;"."&amp;IFERROR(MID(E933,FIND("(",E933)+1,FIND(")",E933)-FIND("(",E933)-1),"")</f>
      </c>
      <c r="B933" s="46" t="s">
        <v>1178</v>
      </c>
      <c r="C933" s="46">
        <v>75115</v>
      </c>
      <c r="D933" s="46" t="s">
        <v>2253</v>
      </c>
      <c r="E933" s="46" t="s">
        <v>2255</v>
      </c>
      <c r="F933" s="46" t="s">
        <v>24</v>
      </c>
      <c r="G933" s="47">
        <v>3.31</v>
      </c>
      <c r="H933" s="48">
        <v>23.186</v>
      </c>
      <c r="I933" s="48">
        <v>139.117</v>
      </c>
      <c r="J933" s="49">
        <v>6</v>
      </c>
      <c r="K933" s="49">
        <v>0</v>
      </c>
      <c r="L933" s="49">
        <v>6</v>
      </c>
    </row>
    <row r="934" spans="1:12" x14ac:dyDescent="0.25">
      <c r="A934" s="45">
        <f>C934&amp;"."&amp;IFERROR(MID(E934,FIND("(",E934)+1,FIND(")",E934)-FIND("(",E934)-1),"")</f>
      </c>
      <c r="B934" s="46" t="s">
        <v>1178</v>
      </c>
      <c r="C934" s="46">
        <v>75115</v>
      </c>
      <c r="D934" s="46" t="s">
        <v>2253</v>
      </c>
      <c r="E934" s="46" t="s">
        <v>2256</v>
      </c>
      <c r="F934" s="46" t="s">
        <v>24</v>
      </c>
      <c r="G934" s="47">
        <v>3.31</v>
      </c>
      <c r="H934" s="48">
        <v>23.744</v>
      </c>
      <c r="I934" s="48">
        <v>284.925</v>
      </c>
      <c r="J934" s="49">
        <v>12</v>
      </c>
      <c r="K934" s="49">
        <v>2</v>
      </c>
      <c r="L934" s="49">
        <v>10</v>
      </c>
    </row>
    <row r="935" spans="1:12" x14ac:dyDescent="0.25">
      <c r="A935" s="45">
        <f>C935&amp;"."&amp;IFERROR(MID(E935,FIND("(",E935)+1,FIND(")",E935)-FIND("(",E935)-1),"")</f>
      </c>
      <c r="B935" s="46" t="s">
        <v>1178</v>
      </c>
      <c r="C935" s="46">
        <v>75117</v>
      </c>
      <c r="D935" s="46" t="s">
        <v>2257</v>
      </c>
      <c r="E935" s="46" t="s">
        <v>2258</v>
      </c>
      <c r="F935" s="46" t="s">
        <v>26</v>
      </c>
      <c r="G935" s="47">
        <v>1.8</v>
      </c>
      <c r="H935" s="48">
        <v>7.333</v>
      </c>
      <c r="I935" s="48">
        <v>7.333</v>
      </c>
      <c r="J935" s="49">
        <v>1</v>
      </c>
      <c r="K935" s="49">
        <v>0</v>
      </c>
      <c r="L935" s="49">
        <v>1</v>
      </c>
    </row>
    <row r="936" spans="1:12" x14ac:dyDescent="0.25">
      <c r="A936" s="45">
        <f>C936&amp;"."&amp;IFERROR(MID(E936,FIND("(",E936)+1,FIND(")",E936)-FIND("(",E936)-1),"")</f>
      </c>
      <c r="B936" s="46" t="s">
        <v>1178</v>
      </c>
      <c r="C936" s="46">
        <v>75117</v>
      </c>
      <c r="D936" s="46" t="s">
        <v>2257</v>
      </c>
      <c r="E936" s="46" t="s">
        <v>2259</v>
      </c>
      <c r="F936" s="46" t="s">
        <v>26</v>
      </c>
      <c r="G936" s="47">
        <v>1.8</v>
      </c>
      <c r="H936" s="48">
        <v>11.778</v>
      </c>
      <c r="I936" s="48">
        <v>47.11</v>
      </c>
      <c r="J936" s="49">
        <v>4</v>
      </c>
      <c r="K936" s="49">
        <v>0</v>
      </c>
      <c r="L936" s="49">
        <v>4</v>
      </c>
    </row>
    <row r="937" spans="1:12" x14ac:dyDescent="0.25">
      <c r="A937" s="45">
        <f>C937&amp;"."&amp;IFERROR(MID(E937,FIND("(",E937)+1,FIND(")",E937)-FIND("(",E937)-1),"")</f>
      </c>
      <c r="B937" s="46" t="s">
        <v>1178</v>
      </c>
      <c r="C937" s="46">
        <v>75117</v>
      </c>
      <c r="D937" s="46" t="s">
        <v>2257</v>
      </c>
      <c r="E937" s="46" t="s">
        <v>2260</v>
      </c>
      <c r="F937" s="46" t="s">
        <v>26</v>
      </c>
      <c r="G937" s="47">
        <v>1.8</v>
      </c>
      <c r="H937" s="48">
        <v>7.478</v>
      </c>
      <c r="I937" s="48">
        <v>14.957</v>
      </c>
      <c r="J937" s="49">
        <v>2</v>
      </c>
      <c r="K937" s="49">
        <v>0</v>
      </c>
      <c r="L937" s="49">
        <v>2</v>
      </c>
    </row>
    <row r="938" spans="1:12" x14ac:dyDescent="0.25">
      <c r="A938" s="45">
        <f>C938&amp;"."&amp;IFERROR(MID(E938,FIND("(",E938)+1,FIND(")",E938)-FIND("(",E938)-1),"")</f>
      </c>
      <c r="B938" s="46" t="s">
        <v>1178</v>
      </c>
      <c r="C938" s="46">
        <v>75118</v>
      </c>
      <c r="D938" s="46" t="s">
        <v>2261</v>
      </c>
      <c r="E938" s="46" t="s">
        <v>2262</v>
      </c>
      <c r="F938" s="46" t="s">
        <v>24</v>
      </c>
      <c r="G938" s="47">
        <v>1.4</v>
      </c>
      <c r="H938" s="48">
        <v>15.497</v>
      </c>
      <c r="I938" s="48">
        <v>108.477</v>
      </c>
      <c r="J938" s="49">
        <v>7</v>
      </c>
      <c r="K938" s="49">
        <v>0</v>
      </c>
      <c r="L938" s="49">
        <v>7</v>
      </c>
    </row>
    <row r="939" spans="1:12" x14ac:dyDescent="0.25">
      <c r="A939" s="45">
        <f>C939&amp;"."&amp;IFERROR(MID(E939,FIND("(",E939)+1,FIND(")",E939)-FIND("(",E939)-1),"")</f>
      </c>
      <c r="B939" s="46" t="s">
        <v>1178</v>
      </c>
      <c r="C939" s="46">
        <v>75118</v>
      </c>
      <c r="D939" s="46" t="s">
        <v>2261</v>
      </c>
      <c r="E939" s="46" t="s">
        <v>2263</v>
      </c>
      <c r="F939" s="46" t="s">
        <v>24</v>
      </c>
      <c r="G939" s="47">
        <v>1.4</v>
      </c>
      <c r="H939" s="48">
        <v>12.87</v>
      </c>
      <c r="I939" s="48">
        <v>193.053</v>
      </c>
      <c r="J939" s="49">
        <v>15</v>
      </c>
      <c r="K939" s="49">
        <v>2</v>
      </c>
      <c r="L939" s="49">
        <v>13</v>
      </c>
    </row>
    <row r="940" spans="1:12" x14ac:dyDescent="0.25">
      <c r="A940" s="45">
        <f>C940&amp;"."&amp;IFERROR(MID(E940,FIND("(",E940)+1,FIND(")",E940)-FIND("(",E940)-1),"")</f>
      </c>
      <c r="B940" s="46" t="s">
        <v>1178</v>
      </c>
      <c r="C940" s="46">
        <v>75118</v>
      </c>
      <c r="D940" s="46" t="s">
        <v>2261</v>
      </c>
      <c r="E940" s="46" t="s">
        <v>2264</v>
      </c>
      <c r="F940" s="46" t="s">
        <v>24</v>
      </c>
      <c r="G940" s="47">
        <v>1.4</v>
      </c>
      <c r="H940" s="48">
        <v>13.998</v>
      </c>
      <c r="I940" s="48">
        <v>69.988</v>
      </c>
      <c r="J940" s="49">
        <v>5</v>
      </c>
      <c r="K940" s="49">
        <v>0</v>
      </c>
      <c r="L940" s="49">
        <v>5</v>
      </c>
    </row>
    <row r="941" spans="1:12" x14ac:dyDescent="0.25">
      <c r="A941" s="45">
        <f>C941&amp;"."&amp;IFERROR(MID(E941,FIND("(",E941)+1,FIND(")",E941)-FIND("(",E941)-1),"")</f>
      </c>
      <c r="B941" s="46" t="s">
        <v>1178</v>
      </c>
      <c r="C941" s="46">
        <v>75120</v>
      </c>
      <c r="D941" s="46" t="s">
        <v>2265</v>
      </c>
      <c r="E941" s="46" t="s">
        <v>2266</v>
      </c>
      <c r="F941" s="46" t="s">
        <v>24</v>
      </c>
      <c r="G941" s="47">
        <v>1.4</v>
      </c>
      <c r="H941" s="48">
        <v>14.962</v>
      </c>
      <c r="I941" s="48">
        <v>194.506</v>
      </c>
      <c r="J941" s="49">
        <v>13</v>
      </c>
      <c r="K941" s="49">
        <v>2</v>
      </c>
      <c r="L941" s="49">
        <v>11</v>
      </c>
    </row>
    <row r="942" spans="1:12" x14ac:dyDescent="0.25">
      <c r="A942" s="45">
        <f>C942&amp;"."&amp;IFERROR(MID(E942,FIND("(",E942)+1,FIND(")",E942)-FIND("(",E942)-1),"")</f>
      </c>
      <c r="B942" s="46" t="s">
        <v>1178</v>
      </c>
      <c r="C942" s="46">
        <v>75120</v>
      </c>
      <c r="D942" s="46" t="s">
        <v>2265</v>
      </c>
      <c r="E942" s="46" t="s">
        <v>2267</v>
      </c>
      <c r="F942" s="46" t="s">
        <v>24</v>
      </c>
      <c r="G942" s="47">
        <v>1.4</v>
      </c>
      <c r="H942" s="48">
        <v>14.151</v>
      </c>
      <c r="I942" s="48">
        <v>113.212</v>
      </c>
      <c r="J942" s="49">
        <v>8</v>
      </c>
      <c r="K942" s="49">
        <v>0</v>
      </c>
      <c r="L942" s="49">
        <v>8</v>
      </c>
    </row>
    <row r="943" spans="1:12" x14ac:dyDescent="0.25">
      <c r="A943" s="45">
        <f>C943&amp;"."&amp;IFERROR(MID(E943,FIND("(",E943)+1,FIND(")",E943)-FIND("(",E943)-1),"")</f>
      </c>
      <c r="B943" s="46" t="s">
        <v>1178</v>
      </c>
      <c r="C943" s="46">
        <v>75120</v>
      </c>
      <c r="D943" s="46" t="s">
        <v>2265</v>
      </c>
      <c r="E943" s="46" t="s">
        <v>2268</v>
      </c>
      <c r="F943" s="46" t="s">
        <v>24</v>
      </c>
      <c r="G943" s="47">
        <v>1.4</v>
      </c>
      <c r="H943" s="48">
        <v>12.648</v>
      </c>
      <c r="I943" s="48">
        <v>63.238</v>
      </c>
      <c r="J943" s="49">
        <v>5</v>
      </c>
      <c r="K943" s="49">
        <v>0</v>
      </c>
      <c r="L943" s="49">
        <v>5</v>
      </c>
    </row>
    <row r="944" spans="1:12" x14ac:dyDescent="0.25">
      <c r="A944" s="45">
        <f>C944&amp;"."&amp;IFERROR(MID(E944,FIND("(",E944)+1,FIND(")",E944)-FIND("(",E944)-1),"")</f>
      </c>
      <c r="B944" s="46" t="s">
        <v>1178</v>
      </c>
      <c r="C944" s="46">
        <v>75121</v>
      </c>
      <c r="D944" s="46" t="s">
        <v>2269</v>
      </c>
      <c r="E944" s="46" t="s">
        <v>2270</v>
      </c>
      <c r="F944" s="46" t="s">
        <v>26</v>
      </c>
      <c r="G944" s="47">
        <v>2.03</v>
      </c>
      <c r="H944" s="48">
        <v>15.702</v>
      </c>
      <c r="I944" s="48">
        <v>62.809</v>
      </c>
      <c r="J944" s="49">
        <v>4</v>
      </c>
      <c r="K944" s="49">
        <v>0</v>
      </c>
      <c r="L944" s="49">
        <v>4</v>
      </c>
    </row>
    <row r="945" spans="1:12" x14ac:dyDescent="0.25">
      <c r="A945" s="45">
        <f>C945&amp;"."&amp;IFERROR(MID(E945,FIND("(",E945)+1,FIND(")",E945)-FIND("(",E945)-1),"")</f>
      </c>
      <c r="B945" s="46" t="s">
        <v>1178</v>
      </c>
      <c r="C945" s="46">
        <v>75121</v>
      </c>
      <c r="D945" s="46" t="s">
        <v>2269</v>
      </c>
      <c r="E945" s="46" t="s">
        <v>2271</v>
      </c>
      <c r="F945" s="46" t="s">
        <v>26</v>
      </c>
      <c r="G945" s="47">
        <v>2.03</v>
      </c>
      <c r="H945" s="48">
        <v>9.238</v>
      </c>
      <c r="I945" s="48">
        <v>18.477</v>
      </c>
      <c r="J945" s="49">
        <v>2</v>
      </c>
      <c r="K945" s="49">
        <v>0</v>
      </c>
      <c r="L945" s="49">
        <v>2</v>
      </c>
    </row>
    <row r="946" spans="1:12" x14ac:dyDescent="0.25">
      <c r="A946" s="45">
        <f>C946&amp;"."&amp;IFERROR(MID(E946,FIND("(",E946)+1,FIND(")",E946)-FIND("(",E946)-1),"")</f>
      </c>
      <c r="B946" s="46" t="s">
        <v>1178</v>
      </c>
      <c r="C946" s="46">
        <v>75121</v>
      </c>
      <c r="D946" s="46" t="s">
        <v>2269</v>
      </c>
      <c r="E946" s="46" t="s">
        <v>2272</v>
      </c>
      <c r="F946" s="46" t="s">
        <v>26</v>
      </c>
      <c r="G946" s="47">
        <v>2.03</v>
      </c>
      <c r="H946" s="48">
        <v>7.188</v>
      </c>
      <c r="I946" s="48">
        <v>14.376</v>
      </c>
      <c r="J946" s="49">
        <v>2</v>
      </c>
      <c r="K946" s="49">
        <v>0</v>
      </c>
      <c r="L946" s="49">
        <v>2</v>
      </c>
    </row>
    <row r="947" spans="1:12" x14ac:dyDescent="0.25">
      <c r="A947" s="45">
        <f>C947&amp;"."&amp;IFERROR(MID(E947,FIND("(",E947)+1,FIND(")",E947)-FIND("(",E947)-1),"")</f>
      </c>
      <c r="B947" s="46" t="s">
        <v>1178</v>
      </c>
      <c r="C947" s="46">
        <v>75123</v>
      </c>
      <c r="D947" s="46" t="s">
        <v>2273</v>
      </c>
      <c r="E947" s="46" t="s">
        <v>2274</v>
      </c>
      <c r="F947" s="46" t="s">
        <v>24</v>
      </c>
      <c r="G947" s="47">
        <v>1.95</v>
      </c>
      <c r="H947" s="48">
        <v>9.186</v>
      </c>
      <c r="I947" s="48">
        <v>165.348</v>
      </c>
      <c r="J947" s="49">
        <v>18</v>
      </c>
      <c r="K947" s="49">
        <v>2</v>
      </c>
      <c r="L947" s="49">
        <v>16</v>
      </c>
    </row>
    <row r="948" spans="1:12" x14ac:dyDescent="0.25">
      <c r="A948" s="45">
        <f>C948&amp;"."&amp;IFERROR(MID(E948,FIND("(",E948)+1,FIND(")",E948)-FIND("(",E948)-1),"")</f>
      </c>
      <c r="B948" s="46" t="s">
        <v>1178</v>
      </c>
      <c r="C948" s="46">
        <v>75123</v>
      </c>
      <c r="D948" s="46" t="s">
        <v>2273</v>
      </c>
      <c r="E948" s="46" t="s">
        <v>2275</v>
      </c>
      <c r="F948" s="46" t="s">
        <v>24</v>
      </c>
      <c r="G948" s="47">
        <v>1.95</v>
      </c>
      <c r="H948" s="48">
        <v>10.455</v>
      </c>
      <c r="I948" s="48">
        <v>41.821</v>
      </c>
      <c r="J948" s="49">
        <v>4</v>
      </c>
      <c r="K948" s="49">
        <v>0</v>
      </c>
      <c r="L948" s="49">
        <v>4</v>
      </c>
    </row>
    <row r="949" spans="1:12" x14ac:dyDescent="0.25">
      <c r="A949" s="45">
        <f>C949&amp;"."&amp;IFERROR(MID(E949,FIND("(",E949)+1,FIND(")",E949)-FIND("(",E949)-1),"")</f>
      </c>
      <c r="B949" s="46" t="s">
        <v>1178</v>
      </c>
      <c r="C949" s="46">
        <v>75123</v>
      </c>
      <c r="D949" s="46" t="s">
        <v>2273</v>
      </c>
      <c r="E949" s="46" t="s">
        <v>2276</v>
      </c>
      <c r="F949" s="46" t="s">
        <v>24</v>
      </c>
      <c r="G949" s="47">
        <v>1.95</v>
      </c>
      <c r="H949" s="48">
        <v>8.517</v>
      </c>
      <c r="I949" s="48">
        <v>93.688</v>
      </c>
      <c r="J949" s="49">
        <v>11</v>
      </c>
      <c r="K949" s="49">
        <v>0</v>
      </c>
      <c r="L949" s="49">
        <v>11</v>
      </c>
    </row>
    <row r="950" spans="1:12" x14ac:dyDescent="0.25">
      <c r="A950" s="45">
        <f>C950&amp;"."&amp;IFERROR(MID(E950,FIND("(",E950)+1,FIND(")",E950)-FIND("(",E950)-1),"")</f>
      </c>
      <c r="B950" s="46" t="s">
        <v>1178</v>
      </c>
      <c r="C950" s="46">
        <v>75124</v>
      </c>
      <c r="D950" s="46" t="s">
        <v>2277</v>
      </c>
      <c r="E950" s="46" t="s">
        <v>2278</v>
      </c>
      <c r="F950" s="46" t="s">
        <v>26</v>
      </c>
      <c r="G950" s="47">
        <v>1.78</v>
      </c>
      <c r="H950" s="48">
        <v>4.151</v>
      </c>
      <c r="I950" s="48">
        <v>20.753</v>
      </c>
      <c r="J950" s="49">
        <v>5</v>
      </c>
      <c r="K950" s="49">
        <v>1</v>
      </c>
      <c r="L950" s="49">
        <v>4</v>
      </c>
    </row>
    <row r="951" spans="1:12" x14ac:dyDescent="0.25">
      <c r="A951" s="45">
        <f>C951&amp;"."&amp;IFERROR(MID(E951,FIND("(",E951)+1,FIND(")",E951)-FIND("(",E951)-1),"")</f>
      </c>
      <c r="B951" s="46" t="s">
        <v>1178</v>
      </c>
      <c r="C951" s="46">
        <v>75124</v>
      </c>
      <c r="D951" s="46" t="s">
        <v>2277</v>
      </c>
      <c r="E951" s="46" t="s">
        <v>2279</v>
      </c>
      <c r="F951" s="46" t="s">
        <v>26</v>
      </c>
      <c r="G951" s="47">
        <v>1.78</v>
      </c>
      <c r="H951" s="48">
        <v>4.551</v>
      </c>
      <c r="I951" s="48">
        <v>22.757</v>
      </c>
      <c r="J951" s="49">
        <v>5</v>
      </c>
      <c r="K951" s="49">
        <v>1</v>
      </c>
      <c r="L951" s="49">
        <v>4</v>
      </c>
    </row>
    <row r="952" spans="1:12" x14ac:dyDescent="0.25">
      <c r="A952" s="45">
        <f>C952&amp;"."&amp;IFERROR(MID(E952,FIND("(",E952)+1,FIND(")",E952)-FIND("(",E952)-1),"")</f>
      </c>
      <c r="B952" s="46" t="s">
        <v>1178</v>
      </c>
      <c r="C952" s="46">
        <v>75125</v>
      </c>
      <c r="D952" s="46" t="s">
        <v>2280</v>
      </c>
      <c r="E952" s="46" t="s">
        <v>1248</v>
      </c>
      <c r="F952" s="46" t="s">
        <v>26</v>
      </c>
      <c r="G952" s="47">
        <v>1.78</v>
      </c>
      <c r="H952" s="48">
        <v>3.796</v>
      </c>
      <c r="I952" s="48">
        <v>37.961</v>
      </c>
      <c r="J952" s="49">
        <v>10</v>
      </c>
      <c r="K952" s="49">
        <v>1</v>
      </c>
      <c r="L952" s="49">
        <v>9</v>
      </c>
    </row>
    <row r="953" spans="1:12" x14ac:dyDescent="0.25">
      <c r="A953" s="45">
        <f>C953&amp;"."&amp;IFERROR(MID(E953,FIND("(",E953)+1,FIND(")",E953)-FIND("(",E953)-1),"")</f>
      </c>
      <c r="B953" s="46" t="s">
        <v>1178</v>
      </c>
      <c r="C953" s="46">
        <v>75126</v>
      </c>
      <c r="D953" s="46" t="s">
        <v>2281</v>
      </c>
      <c r="E953" s="46" t="s">
        <v>2282</v>
      </c>
      <c r="F953" s="46" t="s">
        <v>24</v>
      </c>
      <c r="G953" s="47">
        <v>4.2</v>
      </c>
      <c r="H953" s="48">
        <v>19.521</v>
      </c>
      <c r="I953" s="48">
        <v>585.634</v>
      </c>
      <c r="J953" s="49">
        <v>30</v>
      </c>
      <c r="K953" s="49">
        <v>4</v>
      </c>
      <c r="L953" s="49">
        <v>26</v>
      </c>
    </row>
    <row r="954" spans="1:12" x14ac:dyDescent="0.25">
      <c r="A954" s="45">
        <f>C954&amp;"."&amp;IFERROR(MID(E954,FIND("(",E954)+1,FIND(")",E954)-FIND("(",E954)-1),"")</f>
      </c>
      <c r="B954" s="46" t="s">
        <v>1178</v>
      </c>
      <c r="C954" s="46">
        <v>75126</v>
      </c>
      <c r="D954" s="46" t="s">
        <v>2281</v>
      </c>
      <c r="E954" s="46" t="s">
        <v>2283</v>
      </c>
      <c r="F954" s="46" t="s">
        <v>24</v>
      </c>
      <c r="G954" s="47">
        <v>4.2</v>
      </c>
      <c r="H954" s="48">
        <v>12.817</v>
      </c>
      <c r="I954" s="48">
        <v>205.073</v>
      </c>
      <c r="J954" s="49">
        <v>16</v>
      </c>
      <c r="K954" s="49">
        <v>1</v>
      </c>
      <c r="L954" s="49">
        <v>15</v>
      </c>
    </row>
    <row r="955" spans="1:12" x14ac:dyDescent="0.25">
      <c r="A955" s="45">
        <f>C955&amp;"."&amp;IFERROR(MID(E955,FIND("(",E955)+1,FIND(")",E955)-FIND("(",E955)-1),"")</f>
      </c>
      <c r="B955" s="46" t="s">
        <v>1178</v>
      </c>
      <c r="C955" s="46">
        <v>75128</v>
      </c>
      <c r="D955" s="46" t="s">
        <v>2284</v>
      </c>
      <c r="E955" s="46" t="s">
        <v>2285</v>
      </c>
      <c r="F955" s="46" t="s">
        <v>26</v>
      </c>
      <c r="G955" s="47">
        <v>12.53</v>
      </c>
      <c r="H955" s="48">
        <v>23.365</v>
      </c>
      <c r="I955" s="48">
        <v>23.365</v>
      </c>
      <c r="J955" s="49">
        <v>1</v>
      </c>
      <c r="K955" s="49">
        <v>0</v>
      </c>
      <c r="L955" s="49">
        <v>1</v>
      </c>
    </row>
    <row r="956" spans="1:12" x14ac:dyDescent="0.25">
      <c r="A956" s="45">
        <f>C956&amp;"."&amp;IFERROR(MID(E956,FIND("(",E956)+1,FIND(")",E956)-FIND("(",E956)-1),"")</f>
      </c>
      <c r="B956" s="46" t="s">
        <v>1178</v>
      </c>
      <c r="C956" s="46">
        <v>75128</v>
      </c>
      <c r="D956" s="46" t="s">
        <v>2284</v>
      </c>
      <c r="E956" s="46" t="s">
        <v>2286</v>
      </c>
      <c r="F956" s="46" t="s">
        <v>26</v>
      </c>
      <c r="G956" s="47">
        <v>12.53</v>
      </c>
      <c r="H956" s="48">
        <v>29.06</v>
      </c>
      <c r="I956" s="48">
        <v>116.24</v>
      </c>
      <c r="J956" s="49">
        <v>4</v>
      </c>
      <c r="K956" s="49">
        <v>0</v>
      </c>
      <c r="L956" s="49">
        <v>4</v>
      </c>
    </row>
    <row r="957" spans="1:12" x14ac:dyDescent="0.25">
      <c r="A957" s="45">
        <f>C957&amp;"."&amp;IFERROR(MID(E957,FIND("(",E957)+1,FIND(")",E957)-FIND("(",E957)-1),"")</f>
      </c>
      <c r="B957" s="46" t="s">
        <v>1178</v>
      </c>
      <c r="C957" s="46">
        <v>75128</v>
      </c>
      <c r="D957" s="46" t="s">
        <v>2284</v>
      </c>
      <c r="E957" s="46" t="s">
        <v>2287</v>
      </c>
      <c r="F957" s="46" t="s">
        <v>26</v>
      </c>
      <c r="G957" s="47">
        <v>12.53</v>
      </c>
      <c r="H957" s="48">
        <v>17.696</v>
      </c>
      <c r="I957" s="48">
        <v>17.696</v>
      </c>
      <c r="J957" s="49">
        <v>1</v>
      </c>
      <c r="K957" s="49">
        <v>0</v>
      </c>
      <c r="L957" s="49">
        <v>1</v>
      </c>
    </row>
    <row r="958" spans="1:12" x14ac:dyDescent="0.25">
      <c r="A958" s="45">
        <f>C958&amp;"."&amp;IFERROR(MID(E958,FIND("(",E958)+1,FIND(")",E958)-FIND("(",E958)-1),"")</f>
      </c>
      <c r="B958" s="46" t="s">
        <v>1178</v>
      </c>
      <c r="C958" s="46">
        <v>75130</v>
      </c>
      <c r="D958" s="46" t="s">
        <v>2288</v>
      </c>
      <c r="E958" s="46" t="s">
        <v>1248</v>
      </c>
      <c r="F958" s="46" t="s">
        <v>24</v>
      </c>
      <c r="G958" s="47">
        <v>4.96</v>
      </c>
      <c r="H958" s="48">
        <v>4.492</v>
      </c>
      <c r="I958" s="48">
        <v>565.954</v>
      </c>
      <c r="J958" s="49">
        <v>126</v>
      </c>
      <c r="K958" s="49">
        <v>58</v>
      </c>
      <c r="L958" s="49">
        <v>68</v>
      </c>
    </row>
    <row r="959" spans="1:12" x14ac:dyDescent="0.25">
      <c r="A959" s="45">
        <f>C959&amp;"."&amp;IFERROR(MID(E959,FIND("(",E959)+1,FIND(")",E959)-FIND("(",E959)-1),"")</f>
      </c>
      <c r="B959" s="46" t="s">
        <v>1178</v>
      </c>
      <c r="C959" s="46">
        <v>75131</v>
      </c>
      <c r="D959" s="46" t="s">
        <v>2289</v>
      </c>
      <c r="E959" s="46" t="s">
        <v>2290</v>
      </c>
      <c r="F959" s="46" t="s">
        <v>26</v>
      </c>
      <c r="G959" s="47">
        <v>12.53</v>
      </c>
      <c r="H959" s="48">
        <v>41.925</v>
      </c>
      <c r="I959" s="48">
        <v>167.7</v>
      </c>
      <c r="J959" s="49">
        <v>4</v>
      </c>
      <c r="K959" s="49">
        <v>0</v>
      </c>
      <c r="L959" s="49">
        <v>4</v>
      </c>
    </row>
    <row r="960" spans="1:12" x14ac:dyDescent="0.25">
      <c r="A960" s="45">
        <f>C960&amp;"."&amp;IFERROR(MID(E960,FIND("(",E960)+1,FIND(")",E960)-FIND("(",E960)-1),"")</f>
      </c>
      <c r="B960" s="46" t="s">
        <v>1178</v>
      </c>
      <c r="C960" s="46">
        <v>75131</v>
      </c>
      <c r="D960" s="46" t="s">
        <v>2289</v>
      </c>
      <c r="E960" s="46" t="s">
        <v>2291</v>
      </c>
      <c r="F960" s="46" t="s">
        <v>26</v>
      </c>
      <c r="G960" s="47">
        <v>12.53</v>
      </c>
      <c r="H960" s="48">
        <v>28.42</v>
      </c>
      <c r="I960" s="48">
        <v>113.68</v>
      </c>
      <c r="J960" s="49">
        <v>4</v>
      </c>
      <c r="K960" s="49">
        <v>0</v>
      </c>
      <c r="L960" s="49">
        <v>4</v>
      </c>
    </row>
    <row r="961" spans="1:12" x14ac:dyDescent="0.25">
      <c r="A961" s="45">
        <f>C961&amp;"."&amp;IFERROR(MID(E961,FIND("(",E961)+1,FIND(")",E961)-FIND("(",E961)-1),"")</f>
      </c>
      <c r="B961" s="46" t="s">
        <v>1178</v>
      </c>
      <c r="C961" s="46">
        <v>75132</v>
      </c>
      <c r="D961" s="46" t="s">
        <v>2292</v>
      </c>
      <c r="E961" s="46" t="s">
        <v>1248</v>
      </c>
      <c r="F961" s="46" t="s">
        <v>24</v>
      </c>
      <c r="G961" s="47">
        <v>1.11</v>
      </c>
      <c r="H961" s="48">
        <v>4.43</v>
      </c>
      <c r="I961" s="48">
        <v>460.746</v>
      </c>
      <c r="J961" s="49">
        <v>104</v>
      </c>
      <c r="K961" s="49">
        <v>21</v>
      </c>
      <c r="L961" s="49">
        <v>83</v>
      </c>
    </row>
    <row r="962" spans="1:12" x14ac:dyDescent="0.25">
      <c r="A962" s="45">
        <f>C962&amp;"."&amp;IFERROR(MID(E962,FIND("(",E962)+1,FIND(")",E962)-FIND("(",E962)-1),"")</f>
      </c>
      <c r="B962" s="46" t="s">
        <v>1178</v>
      </c>
      <c r="C962" s="46">
        <v>75133</v>
      </c>
      <c r="D962" s="46" t="s">
        <v>2293</v>
      </c>
      <c r="E962" s="46" t="s">
        <v>2294</v>
      </c>
      <c r="F962" s="46" t="s">
        <v>26</v>
      </c>
      <c r="G962" s="47">
        <v>12.16</v>
      </c>
      <c r="H962" s="48">
        <v>31.19</v>
      </c>
      <c r="I962" s="48">
        <v>124.76</v>
      </c>
      <c r="J962" s="49">
        <v>4</v>
      </c>
      <c r="K962" s="49">
        <v>1</v>
      </c>
      <c r="L962" s="49">
        <v>3</v>
      </c>
    </row>
    <row r="963" spans="1:12" x14ac:dyDescent="0.25">
      <c r="A963" s="45">
        <f>C963&amp;"."&amp;IFERROR(MID(E963,FIND("(",E963)+1,FIND(")",E963)-FIND("(",E963)-1),"")</f>
      </c>
      <c r="B963" s="46" t="s">
        <v>1178</v>
      </c>
      <c r="C963" s="46">
        <v>75133</v>
      </c>
      <c r="D963" s="46" t="s">
        <v>2293</v>
      </c>
      <c r="E963" s="46" t="s">
        <v>2295</v>
      </c>
      <c r="F963" s="46" t="s">
        <v>26</v>
      </c>
      <c r="G963" s="47">
        <v>12.16</v>
      </c>
      <c r="H963" s="48">
        <v>31.19</v>
      </c>
      <c r="I963" s="48">
        <v>155.95</v>
      </c>
      <c r="J963" s="49">
        <v>5</v>
      </c>
      <c r="K963" s="49">
        <v>0</v>
      </c>
      <c r="L963" s="49">
        <v>5</v>
      </c>
    </row>
    <row r="964" spans="1:12" x14ac:dyDescent="0.25">
      <c r="A964" s="45">
        <f>C964&amp;"."&amp;IFERROR(MID(E964,FIND("(",E964)+1,FIND(")",E964)-FIND("(",E964)-1),"")</f>
      </c>
      <c r="B964" s="46" t="s">
        <v>1178</v>
      </c>
      <c r="C964" s="46">
        <v>75133</v>
      </c>
      <c r="D964" s="46" t="s">
        <v>2293</v>
      </c>
      <c r="E964" s="46" t="s">
        <v>2296</v>
      </c>
      <c r="F964" s="46" t="s">
        <v>26</v>
      </c>
      <c r="G964" s="47">
        <v>12.16</v>
      </c>
      <c r="H964" s="48">
        <v>31.19</v>
      </c>
      <c r="I964" s="48">
        <v>31.19</v>
      </c>
      <c r="J964" s="49">
        <v>1</v>
      </c>
      <c r="K964" s="49">
        <v>0</v>
      </c>
      <c r="L964" s="49">
        <v>1</v>
      </c>
    </row>
    <row r="965" spans="1:12" x14ac:dyDescent="0.25">
      <c r="A965" s="45">
        <f>C965&amp;"."&amp;IFERROR(MID(E965,FIND("(",E965)+1,FIND(")",E965)-FIND("(",E965)-1),"")</f>
      </c>
      <c r="B965" s="46" t="s">
        <v>1178</v>
      </c>
      <c r="C965" s="46">
        <v>75133</v>
      </c>
      <c r="D965" s="46" t="s">
        <v>2293</v>
      </c>
      <c r="E965" s="46" t="s">
        <v>2297</v>
      </c>
      <c r="F965" s="46" t="s">
        <v>26</v>
      </c>
      <c r="G965" s="47">
        <v>12.16</v>
      </c>
      <c r="H965" s="48">
        <v>27.849</v>
      </c>
      <c r="I965" s="48">
        <v>111.395</v>
      </c>
      <c r="J965" s="49">
        <v>4</v>
      </c>
      <c r="K965" s="49">
        <v>2</v>
      </c>
      <c r="L965" s="49">
        <v>2</v>
      </c>
    </row>
    <row r="966" spans="1:12" x14ac:dyDescent="0.25">
      <c r="A966" s="45">
        <f>C966&amp;"."&amp;IFERROR(MID(E966,FIND("(",E966)+1,FIND(")",E966)-FIND("(",E966)-1),"")</f>
      </c>
      <c r="B966" s="46" t="s">
        <v>1178</v>
      </c>
      <c r="C966" s="46">
        <v>75135</v>
      </c>
      <c r="D966" s="46" t="s">
        <v>2298</v>
      </c>
      <c r="E966" s="46" t="s">
        <v>2299</v>
      </c>
      <c r="F966" s="46" t="s">
        <v>26</v>
      </c>
      <c r="G966" s="47">
        <v>12.16</v>
      </c>
      <c r="H966" s="48">
        <v>27.847</v>
      </c>
      <c r="I966" s="48">
        <v>222.773</v>
      </c>
      <c r="J966" s="49">
        <v>8</v>
      </c>
      <c r="K966" s="49">
        <v>1</v>
      </c>
      <c r="L966" s="49">
        <v>7</v>
      </c>
    </row>
    <row r="967" spans="1:12" x14ac:dyDescent="0.25">
      <c r="A967" s="45">
        <f>C967&amp;"."&amp;IFERROR(MID(E967,FIND("(",E967)+1,FIND(")",E967)-FIND("(",E967)-1),"")</f>
      </c>
      <c r="B967" s="46" t="s">
        <v>1178</v>
      </c>
      <c r="C967" s="46">
        <v>75135</v>
      </c>
      <c r="D967" s="46" t="s">
        <v>2298</v>
      </c>
      <c r="E967" s="46" t="s">
        <v>2300</v>
      </c>
      <c r="F967" s="46" t="s">
        <v>26</v>
      </c>
      <c r="G967" s="47">
        <v>12.16</v>
      </c>
      <c r="H967" s="48">
        <v>31.19</v>
      </c>
      <c r="I967" s="48">
        <v>218.33</v>
      </c>
      <c r="J967" s="49">
        <v>7</v>
      </c>
      <c r="K967" s="49">
        <v>1</v>
      </c>
      <c r="L967" s="49">
        <v>6</v>
      </c>
    </row>
    <row r="968" spans="1:12" x14ac:dyDescent="0.25">
      <c r="A968" s="45">
        <f>C968&amp;"."&amp;IFERROR(MID(E968,FIND("(",E968)+1,FIND(")",E968)-FIND("(",E968)-1),"")</f>
      </c>
      <c r="B968" s="46" t="s">
        <v>1178</v>
      </c>
      <c r="C968" s="46">
        <v>75135</v>
      </c>
      <c r="D968" s="46" t="s">
        <v>2298</v>
      </c>
      <c r="E968" s="46" t="s">
        <v>2301</v>
      </c>
      <c r="F968" s="46" t="s">
        <v>26</v>
      </c>
      <c r="G968" s="47">
        <v>12.16</v>
      </c>
      <c r="H968" s="48">
        <v>27.583</v>
      </c>
      <c r="I968" s="48">
        <v>82.748</v>
      </c>
      <c r="J968" s="49">
        <v>3</v>
      </c>
      <c r="K968" s="49">
        <v>0</v>
      </c>
      <c r="L968" s="49">
        <v>3</v>
      </c>
    </row>
    <row r="969" spans="1:12" x14ac:dyDescent="0.25">
      <c r="A969" s="45">
        <f>C969&amp;"."&amp;IFERROR(MID(E969,FIND("(",E969)+1,FIND(")",E969)-FIND("(",E969)-1),"")</f>
      </c>
      <c r="B969" s="46" t="s">
        <v>1178</v>
      </c>
      <c r="C969" s="46">
        <v>75135</v>
      </c>
      <c r="D969" s="46" t="s">
        <v>2298</v>
      </c>
      <c r="E969" s="46" t="s">
        <v>2302</v>
      </c>
      <c r="F969" s="46" t="s">
        <v>26</v>
      </c>
      <c r="G969" s="47">
        <v>12.16</v>
      </c>
      <c r="H969" s="48">
        <v>31.19</v>
      </c>
      <c r="I969" s="48">
        <v>124.76</v>
      </c>
      <c r="J969" s="49">
        <v>4</v>
      </c>
      <c r="K969" s="49">
        <v>0</v>
      </c>
      <c r="L969" s="49">
        <v>4</v>
      </c>
    </row>
    <row r="970" spans="1:12" x14ac:dyDescent="0.25">
      <c r="A970" s="45">
        <f>C970&amp;"."&amp;IFERROR(MID(E970,FIND("(",E970)+1,FIND(")",E970)-FIND("(",E970)-1),"")</f>
      </c>
      <c r="B970" s="46" t="s">
        <v>1178</v>
      </c>
      <c r="C970" s="46">
        <v>75142</v>
      </c>
      <c r="D970" s="46" t="s">
        <v>2303</v>
      </c>
      <c r="E970" s="46" t="s">
        <v>1248</v>
      </c>
      <c r="F970" s="46" t="s">
        <v>26</v>
      </c>
      <c r="G970" s="47">
        <v>0.37</v>
      </c>
      <c r="H970" s="48">
        <v>0.673</v>
      </c>
      <c r="I970" s="48">
        <v>3.366</v>
      </c>
      <c r="J970" s="49">
        <v>5</v>
      </c>
      <c r="K970" s="49">
        <v>0</v>
      </c>
      <c r="L970" s="49">
        <v>5</v>
      </c>
    </row>
    <row r="971" spans="1:12" x14ac:dyDescent="0.25">
      <c r="A971" s="45">
        <f>C971&amp;"."&amp;IFERROR(MID(E971,FIND("(",E971)+1,FIND(")",E971)-FIND("(",E971)-1),"")</f>
      </c>
      <c r="B971" s="46" t="s">
        <v>1178</v>
      </c>
      <c r="C971" s="46">
        <v>75151</v>
      </c>
      <c r="D971" s="46" t="s">
        <v>2304</v>
      </c>
      <c r="E971" s="46" t="s">
        <v>2305</v>
      </c>
      <c r="F971" s="46" t="s">
        <v>26</v>
      </c>
      <c r="G971" s="47">
        <v>12.53</v>
      </c>
      <c r="H971" s="48">
        <v>24.319</v>
      </c>
      <c r="I971" s="48">
        <v>48.638</v>
      </c>
      <c r="J971" s="49">
        <v>2</v>
      </c>
      <c r="K971" s="49">
        <v>0</v>
      </c>
      <c r="L971" s="49">
        <v>2</v>
      </c>
    </row>
    <row r="972" spans="1:12" x14ac:dyDescent="0.25">
      <c r="A972" s="45">
        <f>C972&amp;"."&amp;IFERROR(MID(E972,FIND("(",E972)+1,FIND(")",E972)-FIND("(",E972)-1),"")</f>
      </c>
      <c r="B972" s="46" t="s">
        <v>1178</v>
      </c>
      <c r="C972" s="46">
        <v>75151</v>
      </c>
      <c r="D972" s="46" t="s">
        <v>2304</v>
      </c>
      <c r="E972" s="46" t="s">
        <v>2306</v>
      </c>
      <c r="F972" s="46" t="s">
        <v>26</v>
      </c>
      <c r="G972" s="47">
        <v>12.53</v>
      </c>
      <c r="H972" s="48">
        <v>31.4</v>
      </c>
      <c r="I972" s="48">
        <v>31.4</v>
      </c>
      <c r="J972" s="49">
        <v>1</v>
      </c>
      <c r="K972" s="49">
        <v>0</v>
      </c>
      <c r="L972" s="49">
        <v>1</v>
      </c>
    </row>
    <row r="973" spans="1:12" x14ac:dyDescent="0.25">
      <c r="A973" s="45">
        <f>C973&amp;"."&amp;IFERROR(MID(E973,FIND("(",E973)+1,FIND(")",E973)-FIND("(",E973)-1),"")</f>
      </c>
      <c r="B973" s="46" t="s">
        <v>1178</v>
      </c>
      <c r="C973" s="46">
        <v>75151</v>
      </c>
      <c r="D973" s="46" t="s">
        <v>2304</v>
      </c>
      <c r="E973" s="46" t="s">
        <v>2307</v>
      </c>
      <c r="F973" s="46" t="s">
        <v>26</v>
      </c>
      <c r="G973" s="47">
        <v>12.53</v>
      </c>
      <c r="H973" s="48">
        <v>20.977</v>
      </c>
      <c r="I973" s="48">
        <v>41.954</v>
      </c>
      <c r="J973" s="49">
        <v>2</v>
      </c>
      <c r="K973" s="49">
        <v>0</v>
      </c>
      <c r="L973" s="49">
        <v>2</v>
      </c>
    </row>
    <row r="974" spans="1:12" x14ac:dyDescent="0.25">
      <c r="A974" s="45">
        <f>C974&amp;"."&amp;IFERROR(MID(E974,FIND("(",E974)+1,FIND(")",E974)-FIND("(",E974)-1),"")</f>
      </c>
      <c r="B974" s="46" t="s">
        <v>1178</v>
      </c>
      <c r="C974" s="46">
        <v>75158</v>
      </c>
      <c r="D974" s="46" t="s">
        <v>2308</v>
      </c>
      <c r="E974" s="46" t="s">
        <v>2309</v>
      </c>
      <c r="F974" s="46" t="s">
        <v>26</v>
      </c>
      <c r="G974" s="47">
        <v>8.29</v>
      </c>
      <c r="H974" s="48">
        <v>23.625</v>
      </c>
      <c r="I974" s="48">
        <v>189.001</v>
      </c>
      <c r="J974" s="49">
        <v>8</v>
      </c>
      <c r="K974" s="49">
        <v>3</v>
      </c>
      <c r="L974" s="49">
        <v>5</v>
      </c>
    </row>
    <row r="975" spans="1:12" x14ac:dyDescent="0.25">
      <c r="A975" s="45">
        <f>C975&amp;"."&amp;IFERROR(MID(E975,FIND("(",E975)+1,FIND(")",E975)-FIND("(",E975)-1),"")</f>
      </c>
      <c r="B975" s="46" t="s">
        <v>1178</v>
      </c>
      <c r="C975" s="46">
        <v>75161</v>
      </c>
      <c r="D975" s="46" t="s">
        <v>2310</v>
      </c>
      <c r="E975" s="46" t="s">
        <v>2311</v>
      </c>
      <c r="F975" s="46" t="s">
        <v>26</v>
      </c>
      <c r="G975" s="47">
        <v>8.29</v>
      </c>
      <c r="H975" s="48">
        <v>23.498</v>
      </c>
      <c r="I975" s="48">
        <v>93.993</v>
      </c>
      <c r="J975" s="49">
        <v>4</v>
      </c>
      <c r="K975" s="49">
        <v>4</v>
      </c>
      <c r="L975" s="49">
        <v>0</v>
      </c>
    </row>
    <row r="976" spans="1:12" x14ac:dyDescent="0.25">
      <c r="A976" s="45">
        <f>C976&amp;"."&amp;IFERROR(MID(E976,FIND("(",E976)+1,FIND(")",E976)-FIND("(",E976)-1),"")</f>
      </c>
      <c r="B976" s="46" t="s">
        <v>1178</v>
      </c>
      <c r="C976" s="46">
        <v>75161</v>
      </c>
      <c r="D976" s="46" t="s">
        <v>2310</v>
      </c>
      <c r="E976" s="46" t="s">
        <v>2312</v>
      </c>
      <c r="F976" s="46" t="s">
        <v>26</v>
      </c>
      <c r="G976" s="47">
        <v>8.29</v>
      </c>
      <c r="H976" s="48">
        <v>22.93</v>
      </c>
      <c r="I976" s="48">
        <v>22.93</v>
      </c>
      <c r="J976" s="49">
        <v>1</v>
      </c>
      <c r="K976" s="49">
        <v>0</v>
      </c>
      <c r="L976" s="49">
        <v>1</v>
      </c>
    </row>
    <row r="977" spans="1:12" x14ac:dyDescent="0.25">
      <c r="A977" s="45">
        <f>C977&amp;"."&amp;IFERROR(MID(E977,FIND("(",E977)+1,FIND(")",E977)-FIND("(",E977)-1),"")</f>
      </c>
      <c r="B977" s="46" t="s">
        <v>1178</v>
      </c>
      <c r="C977" s="46">
        <v>75170</v>
      </c>
      <c r="D977" s="46" t="s">
        <v>2313</v>
      </c>
      <c r="E977" s="46" t="s">
        <v>2314</v>
      </c>
      <c r="F977" s="46" t="s">
        <v>26</v>
      </c>
      <c r="G977" s="47">
        <v>1.1</v>
      </c>
      <c r="H977" s="48">
        <v>6.788</v>
      </c>
      <c r="I977" s="48">
        <v>67.881</v>
      </c>
      <c r="J977" s="49">
        <v>10</v>
      </c>
      <c r="K977" s="49">
        <v>8</v>
      </c>
      <c r="L977" s="49">
        <v>2</v>
      </c>
    </row>
    <row r="978" spans="1:12" x14ac:dyDescent="0.25">
      <c r="A978" s="45">
        <f>C978&amp;"."&amp;IFERROR(MID(E978,FIND("(",E978)+1,FIND(")",E978)-FIND("(",E978)-1),"")</f>
      </c>
      <c r="B978" s="46" t="s">
        <v>1178</v>
      </c>
      <c r="C978" s="46">
        <v>75170</v>
      </c>
      <c r="D978" s="46" t="s">
        <v>2313</v>
      </c>
      <c r="E978" s="46" t="s">
        <v>2315</v>
      </c>
      <c r="F978" s="46" t="s">
        <v>26</v>
      </c>
      <c r="G978" s="47">
        <v>1.1</v>
      </c>
      <c r="H978" s="48">
        <v>6.486</v>
      </c>
      <c r="I978" s="48">
        <v>32.429</v>
      </c>
      <c r="J978" s="49">
        <v>5</v>
      </c>
      <c r="K978" s="49">
        <v>2</v>
      </c>
      <c r="L978" s="49">
        <v>3</v>
      </c>
    </row>
    <row r="979" spans="1:12" x14ac:dyDescent="0.25">
      <c r="A979" s="45">
        <f>C979&amp;"."&amp;IFERROR(MID(E979,FIND("(",E979)+1,FIND(")",E979)-FIND("(",E979)-1),"")</f>
      </c>
      <c r="B979" s="46" t="s">
        <v>1178</v>
      </c>
      <c r="C979" s="46">
        <v>75170</v>
      </c>
      <c r="D979" s="46" t="s">
        <v>2313</v>
      </c>
      <c r="E979" s="46" t="s">
        <v>2316</v>
      </c>
      <c r="F979" s="46" t="s">
        <v>26</v>
      </c>
      <c r="G979" s="47">
        <v>1.1</v>
      </c>
      <c r="H979" s="48">
        <v>3.255</v>
      </c>
      <c r="I979" s="48">
        <v>9.766</v>
      </c>
      <c r="J979" s="49">
        <v>3</v>
      </c>
      <c r="K979" s="49">
        <v>0</v>
      </c>
      <c r="L979" s="49">
        <v>3</v>
      </c>
    </row>
    <row r="980" spans="1:12" x14ac:dyDescent="0.25">
      <c r="A980" s="45">
        <f>C980&amp;"."&amp;IFERROR(MID(E980,FIND("(",E980)+1,FIND(")",E980)-FIND("(",E980)-1),"")</f>
      </c>
      <c r="B980" s="46" t="s">
        <v>1178</v>
      </c>
      <c r="C980" s="46">
        <v>75176</v>
      </c>
      <c r="D980" s="46" t="s">
        <v>2317</v>
      </c>
      <c r="E980" s="46" t="s">
        <v>2318</v>
      </c>
      <c r="F980" s="46" t="s">
        <v>26</v>
      </c>
      <c r="G980" s="47">
        <v>0.6</v>
      </c>
      <c r="H980" s="48">
        <v>1.86</v>
      </c>
      <c r="I980" s="48">
        <v>3.72</v>
      </c>
      <c r="J980" s="49">
        <v>2</v>
      </c>
      <c r="K980" s="49">
        <v>0</v>
      </c>
      <c r="L980" s="49">
        <v>2</v>
      </c>
    </row>
    <row r="981" spans="1:12" x14ac:dyDescent="0.25">
      <c r="A981" s="45">
        <f>C981&amp;"."&amp;IFERROR(MID(E981,FIND("(",E981)+1,FIND(")",E981)-FIND("(",E981)-1),"")</f>
      </c>
      <c r="B981" s="46" t="s">
        <v>1178</v>
      </c>
      <c r="C981" s="46">
        <v>75176</v>
      </c>
      <c r="D981" s="46" t="s">
        <v>2317</v>
      </c>
      <c r="E981" s="46" t="s">
        <v>2319</v>
      </c>
      <c r="F981" s="46" t="s">
        <v>26</v>
      </c>
      <c r="G981" s="47">
        <v>0.6</v>
      </c>
      <c r="H981" s="48">
        <v>3.551</v>
      </c>
      <c r="I981" s="48">
        <v>60.372</v>
      </c>
      <c r="J981" s="49">
        <v>17</v>
      </c>
      <c r="K981" s="49">
        <v>0</v>
      </c>
      <c r="L981" s="49">
        <v>17</v>
      </c>
    </row>
    <row r="982" spans="1:12" x14ac:dyDescent="0.25">
      <c r="A982" s="45">
        <f>C982&amp;"."&amp;IFERROR(MID(E982,FIND("(",E982)+1,FIND(")",E982)-FIND("(",E982)-1),"")</f>
      </c>
      <c r="B982" s="46" t="s">
        <v>1178</v>
      </c>
      <c r="C982" s="46">
        <v>75176</v>
      </c>
      <c r="D982" s="46" t="s">
        <v>2317</v>
      </c>
      <c r="E982" s="46" t="s">
        <v>2320</v>
      </c>
      <c r="F982" s="46" t="s">
        <v>26</v>
      </c>
      <c r="G982" s="47">
        <v>0.6</v>
      </c>
      <c r="H982" s="48">
        <v>0.975</v>
      </c>
      <c r="I982" s="48">
        <v>1.95</v>
      </c>
      <c r="J982" s="49">
        <v>2</v>
      </c>
      <c r="K982" s="49">
        <v>2</v>
      </c>
      <c r="L982" s="49">
        <v>0</v>
      </c>
    </row>
    <row r="983" spans="1:12" x14ac:dyDescent="0.25">
      <c r="A983" s="45">
        <f>C983&amp;"."&amp;IFERROR(MID(E983,FIND("(",E983)+1,FIND(")",E983)-FIND("(",E983)-1),"")</f>
      </c>
      <c r="B983" s="46" t="s">
        <v>1178</v>
      </c>
      <c r="C983" s="46">
        <v>75178</v>
      </c>
      <c r="D983" s="46" t="s">
        <v>2321</v>
      </c>
      <c r="E983" s="46" t="s">
        <v>2322</v>
      </c>
      <c r="F983" s="46" t="s">
        <v>26</v>
      </c>
      <c r="G983" s="47">
        <v>0.43</v>
      </c>
      <c r="H983" s="48">
        <v>4.1</v>
      </c>
      <c r="I983" s="48">
        <v>12.3</v>
      </c>
      <c r="J983" s="49">
        <v>3</v>
      </c>
      <c r="K983" s="49">
        <v>0</v>
      </c>
      <c r="L983" s="49">
        <v>3</v>
      </c>
    </row>
    <row r="984" spans="1:12" x14ac:dyDescent="0.25">
      <c r="A984" s="45">
        <f>C984&amp;"."&amp;IFERROR(MID(E984,FIND("(",E984)+1,FIND(")",E984)-FIND("(",E984)-1),"")</f>
      </c>
      <c r="B984" s="46" t="s">
        <v>1178</v>
      </c>
      <c r="C984" s="46">
        <v>75178</v>
      </c>
      <c r="D984" s="46" t="s">
        <v>2321</v>
      </c>
      <c r="E984" s="46" t="s">
        <v>2323</v>
      </c>
      <c r="F984" s="46" t="s">
        <v>26</v>
      </c>
      <c r="G984" s="47">
        <v>0.43</v>
      </c>
      <c r="H984" s="48">
        <v>1.427</v>
      </c>
      <c r="I984" s="48">
        <v>14.274</v>
      </c>
      <c r="J984" s="49">
        <v>10</v>
      </c>
      <c r="K984" s="49">
        <v>8</v>
      </c>
      <c r="L984" s="49">
        <v>2</v>
      </c>
    </row>
    <row r="985" spans="1:12" x14ac:dyDescent="0.25">
      <c r="A985" s="45">
        <f>C985&amp;"."&amp;IFERROR(MID(E985,FIND("(",E985)+1,FIND(")",E985)-FIND("(",E985)-1),"")</f>
      </c>
      <c r="B985" s="46" t="s">
        <v>1178</v>
      </c>
      <c r="C985" s="46">
        <v>75187</v>
      </c>
      <c r="D985" s="46" t="s">
        <v>2324</v>
      </c>
      <c r="E985" s="46" t="s">
        <v>2325</v>
      </c>
      <c r="F985" s="46" t="s">
        <v>26</v>
      </c>
      <c r="G985" s="47">
        <v>0.43</v>
      </c>
      <c r="H985" s="48">
        <v>1.444</v>
      </c>
      <c r="I985" s="48">
        <v>14.445</v>
      </c>
      <c r="J985" s="49">
        <v>10</v>
      </c>
      <c r="K985" s="49">
        <v>8</v>
      </c>
      <c r="L985" s="49">
        <v>2</v>
      </c>
    </row>
    <row r="986" spans="1:12" x14ac:dyDescent="0.25">
      <c r="A986" s="45">
        <f>C986&amp;"."&amp;IFERROR(MID(E986,FIND("(",E986)+1,FIND(")",E986)-FIND("(",E986)-1),"")</f>
      </c>
      <c r="B986" s="46" t="s">
        <v>1178</v>
      </c>
      <c r="C986" s="46">
        <v>75187</v>
      </c>
      <c r="D986" s="46" t="s">
        <v>2324</v>
      </c>
      <c r="E986" s="46" t="s">
        <v>2326</v>
      </c>
      <c r="F986" s="46" t="s">
        <v>26</v>
      </c>
      <c r="G986" s="47">
        <v>0.43</v>
      </c>
      <c r="H986" s="48">
        <v>0.719</v>
      </c>
      <c r="I986" s="48">
        <v>3.594</v>
      </c>
      <c r="J986" s="49">
        <v>5</v>
      </c>
      <c r="K986" s="49">
        <v>0</v>
      </c>
      <c r="L986" s="49">
        <v>5</v>
      </c>
    </row>
    <row r="987" spans="1:12" x14ac:dyDescent="0.25">
      <c r="A987" s="45">
        <f>C987&amp;"."&amp;IFERROR(MID(E987,FIND("(",E987)+1,FIND(")",E987)-FIND("(",E987)-1),"")</f>
      </c>
      <c r="B987" s="46" t="s">
        <v>1178</v>
      </c>
      <c r="C987" s="46">
        <v>75208</v>
      </c>
      <c r="D987" s="46" t="s">
        <v>2327</v>
      </c>
      <c r="E987" s="46" t="s">
        <v>2328</v>
      </c>
      <c r="F987" s="46" t="s">
        <v>26</v>
      </c>
      <c r="G987" s="47">
        <v>3.01</v>
      </c>
      <c r="H987" s="48">
        <v>7.315</v>
      </c>
      <c r="I987" s="48">
        <v>14.629</v>
      </c>
      <c r="J987" s="49">
        <v>2</v>
      </c>
      <c r="K987" s="49">
        <v>2</v>
      </c>
      <c r="L987" s="49">
        <v>0</v>
      </c>
    </row>
    <row r="988" spans="1:12" x14ac:dyDescent="0.25">
      <c r="A988" s="45">
        <f>C988&amp;"."&amp;IFERROR(MID(E988,FIND("(",E988)+1,FIND(")",E988)-FIND("(",E988)-1),"")</f>
      </c>
      <c r="B988" s="46" t="s">
        <v>1178</v>
      </c>
      <c r="C988" s="46">
        <v>75208</v>
      </c>
      <c r="D988" s="46" t="s">
        <v>2327</v>
      </c>
      <c r="E988" s="46" t="s">
        <v>2329</v>
      </c>
      <c r="F988" s="46" t="s">
        <v>26</v>
      </c>
      <c r="G988" s="47">
        <v>3.01</v>
      </c>
      <c r="H988" s="48">
        <v>7.394</v>
      </c>
      <c r="I988" s="48">
        <v>44.362</v>
      </c>
      <c r="J988" s="49">
        <v>6</v>
      </c>
      <c r="K988" s="49">
        <v>0</v>
      </c>
      <c r="L988" s="49">
        <v>6</v>
      </c>
    </row>
    <row r="989" spans="1:12" x14ac:dyDescent="0.25">
      <c r="A989" s="45">
        <f>C989&amp;"."&amp;IFERROR(MID(E989,FIND("(",E989)+1,FIND(")",E989)-FIND("(",E989)-1),"")</f>
      </c>
      <c r="B989" s="46" t="s">
        <v>1178</v>
      </c>
      <c r="C989" s="46">
        <v>75208</v>
      </c>
      <c r="D989" s="46" t="s">
        <v>2327</v>
      </c>
      <c r="E989" s="46" t="s">
        <v>2330</v>
      </c>
      <c r="F989" s="46" t="s">
        <v>26</v>
      </c>
      <c r="G989" s="47">
        <v>3.01</v>
      </c>
      <c r="H989" s="48">
        <v>7.309</v>
      </c>
      <c r="I989" s="48">
        <v>7.309</v>
      </c>
      <c r="J989" s="49">
        <v>1</v>
      </c>
      <c r="K989" s="49">
        <v>0</v>
      </c>
      <c r="L989" s="49">
        <v>1</v>
      </c>
    </row>
    <row r="990" spans="1:12" x14ac:dyDescent="0.25">
      <c r="A990" s="45">
        <f>C990&amp;"."&amp;IFERROR(MID(E990,FIND("(",E990)+1,FIND(")",E990)-FIND("(",E990)-1),"")</f>
      </c>
      <c r="B990" s="46" t="s">
        <v>1178</v>
      </c>
      <c r="C990" s="46">
        <v>75209</v>
      </c>
      <c r="D990" s="46" t="s">
        <v>2331</v>
      </c>
      <c r="E990" s="46" t="s">
        <v>2332</v>
      </c>
      <c r="F990" s="46" t="s">
        <v>24</v>
      </c>
      <c r="G990" s="47">
        <v>3.46</v>
      </c>
      <c r="H990" s="48">
        <v>8.946</v>
      </c>
      <c r="I990" s="48">
        <v>53.676</v>
      </c>
      <c r="J990" s="49">
        <v>6</v>
      </c>
      <c r="K990" s="49">
        <v>0</v>
      </c>
      <c r="L990" s="49">
        <v>6</v>
      </c>
    </row>
    <row r="991" spans="1:12" x14ac:dyDescent="0.25">
      <c r="A991" s="45">
        <f>C991&amp;"."&amp;IFERROR(MID(E991,FIND("(",E991)+1,FIND(")",E991)-FIND("(",E991)-1),"")</f>
      </c>
      <c r="B991" s="46" t="s">
        <v>1178</v>
      </c>
      <c r="C991" s="46">
        <v>75209</v>
      </c>
      <c r="D991" s="46" t="s">
        <v>2331</v>
      </c>
      <c r="E991" s="46" t="s">
        <v>2333</v>
      </c>
      <c r="F991" s="46" t="s">
        <v>24</v>
      </c>
      <c r="G991" s="47">
        <v>3.46</v>
      </c>
      <c r="H991" s="48">
        <v>4.003</v>
      </c>
      <c r="I991" s="48">
        <v>76.06</v>
      </c>
      <c r="J991" s="49">
        <v>19</v>
      </c>
      <c r="K991" s="49">
        <v>5</v>
      </c>
      <c r="L991" s="49">
        <v>14</v>
      </c>
    </row>
    <row r="992" spans="1:12" x14ac:dyDescent="0.25">
      <c r="A992" s="45">
        <f>C992&amp;"."&amp;IFERROR(MID(E992,FIND("(",E992)+1,FIND(")",E992)-FIND("(",E992)-1),"")</f>
      </c>
      <c r="B992" s="46" t="s">
        <v>1178</v>
      </c>
      <c r="C992" s="46">
        <v>75209</v>
      </c>
      <c r="D992" s="46" t="s">
        <v>2331</v>
      </c>
      <c r="E992" s="46" t="s">
        <v>2334</v>
      </c>
      <c r="F992" s="46" t="s">
        <v>24</v>
      </c>
      <c r="G992" s="47">
        <v>3.46</v>
      </c>
      <c r="H992" s="48">
        <v>8.503</v>
      </c>
      <c r="I992" s="48">
        <v>68.021</v>
      </c>
      <c r="J992" s="49">
        <v>8</v>
      </c>
      <c r="K992" s="49">
        <v>0</v>
      </c>
      <c r="L992" s="49">
        <v>8</v>
      </c>
    </row>
    <row r="993" spans="1:12" x14ac:dyDescent="0.25">
      <c r="A993" s="45">
        <f>C993&amp;"."&amp;IFERROR(MID(E993,FIND("(",E993)+1,FIND(")",E993)-FIND("(",E993)-1),"")</f>
      </c>
      <c r="B993" s="46" t="s">
        <v>1178</v>
      </c>
      <c r="C993" s="46">
        <v>75219</v>
      </c>
      <c r="D993" s="46" t="s">
        <v>2335</v>
      </c>
      <c r="E993" s="46" t="s">
        <v>2336</v>
      </c>
      <c r="F993" s="46" t="s">
        <v>26</v>
      </c>
      <c r="G993" s="47">
        <v>2.63</v>
      </c>
      <c r="H993" s="48">
        <v>6.787</v>
      </c>
      <c r="I993" s="48">
        <v>6.787</v>
      </c>
      <c r="J993" s="49">
        <v>1</v>
      </c>
      <c r="K993" s="49">
        <v>0</v>
      </c>
      <c r="L993" s="49">
        <v>1</v>
      </c>
    </row>
    <row r="994" spans="1:12" x14ac:dyDescent="0.25">
      <c r="A994" s="45">
        <f>C994&amp;"."&amp;IFERROR(MID(E994,FIND("(",E994)+1,FIND(")",E994)-FIND("(",E994)-1),"")</f>
      </c>
      <c r="B994" s="46" t="s">
        <v>1178</v>
      </c>
      <c r="C994" s="46">
        <v>75219</v>
      </c>
      <c r="D994" s="46" t="s">
        <v>2335</v>
      </c>
      <c r="E994" s="46" t="s">
        <v>2337</v>
      </c>
      <c r="F994" s="46" t="s">
        <v>26</v>
      </c>
      <c r="G994" s="47">
        <v>2.63</v>
      </c>
      <c r="H994" s="48">
        <v>6.787</v>
      </c>
      <c r="I994" s="48">
        <v>47.509</v>
      </c>
      <c r="J994" s="49">
        <v>7</v>
      </c>
      <c r="K994" s="49">
        <v>0</v>
      </c>
      <c r="L994" s="49">
        <v>7</v>
      </c>
    </row>
    <row r="995" spans="1:12" x14ac:dyDescent="0.25">
      <c r="A995" s="45">
        <f>C995&amp;"."&amp;IFERROR(MID(E995,FIND("(",E995)+1,FIND(")",E995)-FIND("(",E995)-1),"")</f>
      </c>
      <c r="B995" s="46" t="s">
        <v>1178</v>
      </c>
      <c r="C995" s="46">
        <v>75223</v>
      </c>
      <c r="D995" s="46" t="s">
        <v>2338</v>
      </c>
      <c r="E995" s="46" t="s">
        <v>2339</v>
      </c>
      <c r="F995" s="46" t="s">
        <v>26</v>
      </c>
      <c r="G995" s="47">
        <v>2.63</v>
      </c>
      <c r="H995" s="48">
        <v>7.158</v>
      </c>
      <c r="I995" s="48">
        <v>21.473</v>
      </c>
      <c r="J995" s="49">
        <v>3</v>
      </c>
      <c r="K995" s="49">
        <v>0</v>
      </c>
      <c r="L995" s="49">
        <v>3</v>
      </c>
    </row>
    <row r="996" spans="1:12" x14ac:dyDescent="0.25">
      <c r="A996" s="45">
        <f>C996&amp;"."&amp;IFERROR(MID(E996,FIND("(",E996)+1,FIND(")",E996)-FIND("(",E996)-1),"")</f>
      </c>
      <c r="B996" s="46" t="s">
        <v>1178</v>
      </c>
      <c r="C996" s="46">
        <v>75223</v>
      </c>
      <c r="D996" s="46" t="s">
        <v>2338</v>
      </c>
      <c r="E996" s="46" t="s">
        <v>2340</v>
      </c>
      <c r="F996" s="46" t="s">
        <v>26</v>
      </c>
      <c r="G996" s="47">
        <v>2.63</v>
      </c>
      <c r="H996" s="48">
        <v>7.31</v>
      </c>
      <c r="I996" s="48">
        <v>36.55</v>
      </c>
      <c r="J996" s="49">
        <v>5</v>
      </c>
      <c r="K996" s="49">
        <v>0</v>
      </c>
      <c r="L996" s="49">
        <v>5</v>
      </c>
    </row>
    <row r="997" spans="1:12" x14ac:dyDescent="0.25">
      <c r="A997" s="45">
        <f>C997&amp;"."&amp;IFERROR(MID(E997,FIND("(",E997)+1,FIND(")",E997)-FIND("(",E997)-1),"")</f>
      </c>
      <c r="B997" s="46" t="s">
        <v>1178</v>
      </c>
      <c r="C997" s="46">
        <v>75223</v>
      </c>
      <c r="D997" s="46" t="s">
        <v>2338</v>
      </c>
      <c r="E997" s="46" t="s">
        <v>2341</v>
      </c>
      <c r="F997" s="46" t="s">
        <v>26</v>
      </c>
      <c r="G997" s="47">
        <v>2.63</v>
      </c>
      <c r="H997" s="48">
        <v>7.31</v>
      </c>
      <c r="I997" s="48">
        <v>7.31</v>
      </c>
      <c r="J997" s="49">
        <v>1</v>
      </c>
      <c r="K997" s="49">
        <v>0</v>
      </c>
      <c r="L997" s="49">
        <v>1</v>
      </c>
    </row>
    <row r="998" spans="1:12" x14ac:dyDescent="0.25">
      <c r="A998" s="45">
        <f>C998&amp;"."&amp;IFERROR(MID(E998,FIND("(",E998)+1,FIND(")",E998)-FIND("(",E998)-1),"")</f>
      </c>
      <c r="B998" s="46" t="s">
        <v>1178</v>
      </c>
      <c r="C998" s="46">
        <v>75225</v>
      </c>
      <c r="D998" s="46" t="s">
        <v>2342</v>
      </c>
      <c r="E998" s="46" t="s">
        <v>2343</v>
      </c>
      <c r="F998" s="46" t="s">
        <v>26</v>
      </c>
      <c r="G998" s="47">
        <v>0.85</v>
      </c>
      <c r="H998" s="48">
        <v>2.06</v>
      </c>
      <c r="I998" s="48">
        <v>4.12</v>
      </c>
      <c r="J998" s="49">
        <v>2</v>
      </c>
      <c r="K998" s="49">
        <v>0</v>
      </c>
      <c r="L998" s="49">
        <v>2</v>
      </c>
    </row>
    <row r="999" spans="1:12" x14ac:dyDescent="0.25">
      <c r="A999" s="45">
        <f>C999&amp;"."&amp;IFERROR(MID(E999,FIND("(",E999)+1,FIND(")",E999)-FIND("(",E999)-1),"")</f>
      </c>
      <c r="B999" s="46" t="s">
        <v>1178</v>
      </c>
      <c r="C999" s="46">
        <v>75225</v>
      </c>
      <c r="D999" s="46" t="s">
        <v>2342</v>
      </c>
      <c r="E999" s="46" t="s">
        <v>2344</v>
      </c>
      <c r="F999" s="46" t="s">
        <v>26</v>
      </c>
      <c r="G999" s="47">
        <v>0.85</v>
      </c>
      <c r="H999" s="48">
        <v>2.033</v>
      </c>
      <c r="I999" s="48">
        <v>24.399</v>
      </c>
      <c r="J999" s="49">
        <v>12</v>
      </c>
      <c r="K999" s="49">
        <v>8</v>
      </c>
      <c r="L999" s="49">
        <v>4</v>
      </c>
    </row>
    <row r="1000" spans="1:12" x14ac:dyDescent="0.25">
      <c r="A1000" s="45">
        <f>C1000&amp;"."&amp;IFERROR(MID(E1000,FIND("(",E1000)+1,FIND(")",E1000)-FIND("(",E1000)-1),"")</f>
      </c>
      <c r="B1000" s="46" t="s">
        <v>1178</v>
      </c>
      <c r="C1000" s="46">
        <v>75225</v>
      </c>
      <c r="D1000" s="46" t="s">
        <v>2342</v>
      </c>
      <c r="E1000" s="46" t="s">
        <v>2345</v>
      </c>
      <c r="F1000" s="46" t="s">
        <v>26</v>
      </c>
      <c r="G1000" s="47">
        <v>0.85</v>
      </c>
      <c r="H1000" s="48">
        <v>2.239</v>
      </c>
      <c r="I1000" s="48">
        <v>8.955</v>
      </c>
      <c r="J1000" s="49">
        <v>4</v>
      </c>
      <c r="K1000" s="49">
        <v>0</v>
      </c>
      <c r="L1000" s="49">
        <v>4</v>
      </c>
    </row>
    <row r="1001" spans="1:12" x14ac:dyDescent="0.25">
      <c r="A1001" s="45">
        <f>C1001&amp;"."&amp;IFERROR(MID(E1001,FIND("(",E1001)+1,FIND(")",E1001)-FIND("(",E1001)-1),"")</f>
      </c>
      <c r="B1001" s="46" t="s">
        <v>1178</v>
      </c>
      <c r="C1001" s="46">
        <v>75226</v>
      </c>
      <c r="D1001" s="46" t="s">
        <v>2346</v>
      </c>
      <c r="E1001" s="46" t="s">
        <v>2347</v>
      </c>
      <c r="F1001" s="46" t="s">
        <v>24</v>
      </c>
      <c r="G1001" s="47">
        <v>1.34</v>
      </c>
      <c r="H1001" s="48">
        <v>6.446</v>
      </c>
      <c r="I1001" s="48">
        <v>103.128</v>
      </c>
      <c r="J1001" s="49">
        <v>16</v>
      </c>
      <c r="K1001" s="49">
        <v>0</v>
      </c>
      <c r="L1001" s="49">
        <v>16</v>
      </c>
    </row>
    <row r="1002" spans="1:12" x14ac:dyDescent="0.25">
      <c r="A1002" s="45">
        <f>C1002&amp;"."&amp;IFERROR(MID(E1002,FIND("(",E1002)+1,FIND(")",E1002)-FIND("(",E1002)-1),"")</f>
      </c>
      <c r="B1002" s="46" t="s">
        <v>1178</v>
      </c>
      <c r="C1002" s="46">
        <v>75226</v>
      </c>
      <c r="D1002" s="46" t="s">
        <v>2346</v>
      </c>
      <c r="E1002" s="46" t="s">
        <v>2348</v>
      </c>
      <c r="F1002" s="46" t="s">
        <v>24</v>
      </c>
      <c r="G1002" s="47">
        <v>1.34</v>
      </c>
      <c r="H1002" s="48">
        <v>4.835</v>
      </c>
      <c r="I1002" s="48">
        <v>29.013</v>
      </c>
      <c r="J1002" s="49">
        <v>6</v>
      </c>
      <c r="K1002" s="49">
        <v>1</v>
      </c>
      <c r="L1002" s="49">
        <v>5</v>
      </c>
    </row>
    <row r="1003" spans="1:12" x14ac:dyDescent="0.25">
      <c r="A1003" s="45">
        <f>C1003&amp;"."&amp;IFERROR(MID(E1003,FIND("(",E1003)+1,FIND(")",E1003)-FIND("(",E1003)-1),"")</f>
      </c>
      <c r="B1003" s="46" t="s">
        <v>1178</v>
      </c>
      <c r="C1003" s="46">
        <v>75226</v>
      </c>
      <c r="D1003" s="46" t="s">
        <v>2346</v>
      </c>
      <c r="E1003" s="46" t="s">
        <v>2349</v>
      </c>
      <c r="F1003" s="46" t="s">
        <v>24</v>
      </c>
      <c r="G1003" s="47">
        <v>1.34</v>
      </c>
      <c r="H1003" s="48">
        <v>3.673</v>
      </c>
      <c r="I1003" s="48">
        <v>36.734</v>
      </c>
      <c r="J1003" s="49">
        <v>10</v>
      </c>
      <c r="K1003" s="49">
        <v>0</v>
      </c>
      <c r="L1003" s="49">
        <v>10</v>
      </c>
    </row>
    <row r="1004" spans="1:12" x14ac:dyDescent="0.25">
      <c r="A1004" s="45">
        <f>C1004&amp;"."&amp;IFERROR(MID(E1004,FIND("(",E1004)+1,FIND(")",E1004)-FIND("(",E1004)-1),"")</f>
      </c>
      <c r="B1004" s="46" t="s">
        <v>1178</v>
      </c>
      <c r="C1004" s="46">
        <v>75230</v>
      </c>
      <c r="D1004" s="46" t="s">
        <v>2350</v>
      </c>
      <c r="E1004" s="46" t="s">
        <v>2351</v>
      </c>
      <c r="F1004" s="46" t="s">
        <v>26</v>
      </c>
      <c r="G1004" s="47">
        <v>8.14</v>
      </c>
      <c r="H1004" s="48">
        <v>25.922</v>
      </c>
      <c r="I1004" s="48">
        <v>959.131</v>
      </c>
      <c r="J1004" s="49">
        <v>37</v>
      </c>
      <c r="K1004" s="49">
        <v>11</v>
      </c>
      <c r="L1004" s="49">
        <v>26</v>
      </c>
    </row>
    <row r="1005" spans="1:12" x14ac:dyDescent="0.25">
      <c r="A1005" s="45">
        <f>C1005&amp;"."&amp;IFERROR(MID(E1005,FIND("(",E1005)+1,FIND(")",E1005)-FIND("(",E1005)-1),"")</f>
      </c>
      <c r="B1005" s="46" t="s">
        <v>1178</v>
      </c>
      <c r="C1005" s="46">
        <v>75230</v>
      </c>
      <c r="D1005" s="46" t="s">
        <v>2350</v>
      </c>
      <c r="E1005" s="46" t="s">
        <v>2352</v>
      </c>
      <c r="F1005" s="46" t="s">
        <v>26</v>
      </c>
      <c r="G1005" s="47">
        <v>8.14</v>
      </c>
      <c r="H1005" s="48">
        <v>23.752</v>
      </c>
      <c r="I1005" s="48">
        <v>261.269</v>
      </c>
      <c r="J1005" s="49">
        <v>11</v>
      </c>
      <c r="K1005" s="49">
        <v>2</v>
      </c>
      <c r="L1005" s="49">
        <v>9</v>
      </c>
    </row>
    <row r="1006" spans="1:12" x14ac:dyDescent="0.25">
      <c r="A1006" s="45">
        <f>C1006&amp;"."&amp;IFERROR(MID(E1006,FIND("(",E1006)+1,FIND(")",E1006)-FIND("(",E1006)-1),"")</f>
      </c>
      <c r="B1006" s="46" t="s">
        <v>1178</v>
      </c>
      <c r="C1006" s="46">
        <v>75230</v>
      </c>
      <c r="D1006" s="46" t="s">
        <v>2350</v>
      </c>
      <c r="E1006" s="46" t="s">
        <v>2353</v>
      </c>
      <c r="F1006" s="46" t="s">
        <v>26</v>
      </c>
      <c r="G1006" s="47">
        <v>8.14</v>
      </c>
      <c r="H1006" s="48">
        <v>26.119</v>
      </c>
      <c r="I1006" s="48">
        <v>1488.803</v>
      </c>
      <c r="J1006" s="49">
        <v>57</v>
      </c>
      <c r="K1006" s="49">
        <v>19</v>
      </c>
      <c r="L1006" s="49">
        <v>38</v>
      </c>
    </row>
    <row r="1007" spans="1:12" x14ac:dyDescent="0.25">
      <c r="A1007" s="45">
        <f>C1007&amp;"."&amp;IFERROR(MID(E1007,FIND("(",E1007)+1,FIND(")",E1007)-FIND("(",E1007)-1),"")</f>
      </c>
      <c r="B1007" s="46" t="s">
        <v>1178</v>
      </c>
      <c r="C1007" s="46">
        <v>75230</v>
      </c>
      <c r="D1007" s="46" t="s">
        <v>2350</v>
      </c>
      <c r="E1007" s="46" t="s">
        <v>2354</v>
      </c>
      <c r="F1007" s="46" t="s">
        <v>26</v>
      </c>
      <c r="G1007" s="47">
        <v>8.14</v>
      </c>
      <c r="H1007" s="48">
        <v>23</v>
      </c>
      <c r="I1007" s="48">
        <v>23</v>
      </c>
      <c r="J1007" s="49">
        <v>1</v>
      </c>
      <c r="K1007" s="49">
        <v>1</v>
      </c>
      <c r="L1007" s="49">
        <v>0</v>
      </c>
    </row>
    <row r="1008" spans="1:12" x14ac:dyDescent="0.25">
      <c r="A1008" s="45">
        <f>C1008&amp;"."&amp;IFERROR(MID(E1008,FIND("(",E1008)+1,FIND(")",E1008)-FIND("(",E1008)-1),"")</f>
      </c>
      <c r="B1008" s="46" t="s">
        <v>1178</v>
      </c>
      <c r="C1008" s="46">
        <v>75239</v>
      </c>
      <c r="D1008" s="46" t="s">
        <v>2355</v>
      </c>
      <c r="E1008" s="46" t="s">
        <v>2356</v>
      </c>
      <c r="F1008" s="46" t="s">
        <v>24</v>
      </c>
      <c r="G1008" s="47">
        <v>0.65</v>
      </c>
      <c r="H1008" s="48">
        <v>10.844</v>
      </c>
      <c r="I1008" s="48">
        <v>21.688</v>
      </c>
      <c r="J1008" s="49">
        <v>2</v>
      </c>
      <c r="K1008" s="49">
        <v>2</v>
      </c>
      <c r="L1008" s="49">
        <v>0</v>
      </c>
    </row>
    <row r="1009" spans="1:12" x14ac:dyDescent="0.25">
      <c r="A1009" s="45">
        <f>C1009&amp;"."&amp;IFERROR(MID(E1009,FIND("(",E1009)+1,FIND(")",E1009)-FIND("(",E1009)-1),"")</f>
      </c>
      <c r="B1009" s="46" t="s">
        <v>1178</v>
      </c>
      <c r="C1009" s="46">
        <v>75239</v>
      </c>
      <c r="D1009" s="46" t="s">
        <v>2355</v>
      </c>
      <c r="E1009" s="46" t="s">
        <v>2357</v>
      </c>
      <c r="F1009" s="46" t="s">
        <v>24</v>
      </c>
      <c r="G1009" s="47">
        <v>0.65</v>
      </c>
      <c r="H1009" s="48">
        <v>10.884</v>
      </c>
      <c r="I1009" s="48">
        <v>10.884</v>
      </c>
      <c r="J1009" s="49">
        <v>1</v>
      </c>
      <c r="K1009" s="49">
        <v>1</v>
      </c>
      <c r="L1009" s="49">
        <v>0</v>
      </c>
    </row>
    <row r="1010" spans="1:12" x14ac:dyDescent="0.25">
      <c r="A1010" s="45">
        <f>C1010&amp;"."&amp;IFERROR(MID(E1010,FIND("(",E1010)+1,FIND(")",E1010)-FIND("(",E1010)-1),"")</f>
      </c>
      <c r="B1010" s="46" t="s">
        <v>1178</v>
      </c>
      <c r="C1010" s="46">
        <v>75239</v>
      </c>
      <c r="D1010" s="46" t="s">
        <v>2355</v>
      </c>
      <c r="E1010" s="46" t="s">
        <v>2358</v>
      </c>
      <c r="F1010" s="46" t="s">
        <v>24</v>
      </c>
      <c r="G1010" s="47">
        <v>0.65</v>
      </c>
      <c r="H1010" s="48">
        <v>10.478</v>
      </c>
      <c r="I1010" s="48">
        <v>41.912</v>
      </c>
      <c r="J1010" s="49">
        <v>4</v>
      </c>
      <c r="K1010" s="49">
        <v>0</v>
      </c>
      <c r="L1010" s="49">
        <v>4</v>
      </c>
    </row>
    <row r="1011" spans="1:12" x14ac:dyDescent="0.25">
      <c r="A1011" s="45">
        <f>C1011&amp;"."&amp;IFERROR(MID(E1011,FIND("(",E1011)+1,FIND(")",E1011)-FIND("(",E1011)-1),"")</f>
      </c>
      <c r="B1011" s="46" t="s">
        <v>1178</v>
      </c>
      <c r="C1011" s="46">
        <v>75240</v>
      </c>
      <c r="D1011" s="46" t="s">
        <v>2359</v>
      </c>
      <c r="E1011" s="46" t="s">
        <v>2360</v>
      </c>
      <c r="F1011" s="46" t="s">
        <v>24</v>
      </c>
      <c r="G1011" s="47">
        <v>4.86</v>
      </c>
      <c r="H1011" s="48">
        <v>21.024</v>
      </c>
      <c r="I1011" s="48">
        <v>336.381</v>
      </c>
      <c r="J1011" s="49">
        <v>16</v>
      </c>
      <c r="K1011" s="49">
        <v>1</v>
      </c>
      <c r="L1011" s="49">
        <v>15</v>
      </c>
    </row>
    <row r="1012" spans="1:12" x14ac:dyDescent="0.25">
      <c r="A1012" s="45">
        <f>C1012&amp;"."&amp;IFERROR(MID(E1012,FIND("(",E1012)+1,FIND(")",E1012)-FIND("(",E1012)-1),"")</f>
      </c>
      <c r="B1012" s="46" t="s">
        <v>1178</v>
      </c>
      <c r="C1012" s="46">
        <v>75240</v>
      </c>
      <c r="D1012" s="46" t="s">
        <v>2359</v>
      </c>
      <c r="E1012" s="46" t="s">
        <v>2361</v>
      </c>
      <c r="F1012" s="46" t="s">
        <v>24</v>
      </c>
      <c r="G1012" s="47">
        <v>4.86</v>
      </c>
      <c r="H1012" s="48">
        <v>22.185</v>
      </c>
      <c r="I1012" s="48">
        <v>110.923</v>
      </c>
      <c r="J1012" s="49">
        <v>5</v>
      </c>
      <c r="K1012" s="49">
        <v>0</v>
      </c>
      <c r="L1012" s="49">
        <v>5</v>
      </c>
    </row>
    <row r="1013" spans="1:12" x14ac:dyDescent="0.25">
      <c r="A1013" s="45">
        <f>C1013&amp;"."&amp;IFERROR(MID(E1013,FIND("(",E1013)+1,FIND(")",E1013)-FIND("(",E1013)-1),"")</f>
      </c>
      <c r="B1013" s="46" t="s">
        <v>1178</v>
      </c>
      <c r="C1013" s="46">
        <v>75240</v>
      </c>
      <c r="D1013" s="46" t="s">
        <v>2359</v>
      </c>
      <c r="E1013" s="46" t="s">
        <v>2362</v>
      </c>
      <c r="F1013" s="46" t="s">
        <v>24</v>
      </c>
      <c r="G1013" s="47">
        <v>4.86</v>
      </c>
      <c r="H1013" s="48">
        <v>22.47</v>
      </c>
      <c r="I1013" s="48">
        <v>202.227</v>
      </c>
      <c r="J1013" s="49">
        <v>9</v>
      </c>
      <c r="K1013" s="49">
        <v>1</v>
      </c>
      <c r="L1013" s="49">
        <v>8</v>
      </c>
    </row>
    <row r="1014" spans="1:12" x14ac:dyDescent="0.25">
      <c r="A1014" s="45">
        <f>C1014&amp;"."&amp;IFERROR(MID(E1014,FIND("(",E1014)+1,FIND(")",E1014)-FIND("(",E1014)-1),"")</f>
      </c>
      <c r="B1014" s="46" t="s">
        <v>1178</v>
      </c>
      <c r="C1014" s="46">
        <v>75241</v>
      </c>
      <c r="D1014" s="46" t="s">
        <v>2363</v>
      </c>
      <c r="E1014" s="46" t="s">
        <v>2364</v>
      </c>
      <c r="F1014" s="46" t="s">
        <v>24</v>
      </c>
      <c r="G1014" s="47">
        <v>2.45</v>
      </c>
      <c r="H1014" s="48">
        <v>9.546</v>
      </c>
      <c r="I1014" s="48">
        <v>38.184</v>
      </c>
      <c r="J1014" s="49">
        <v>4</v>
      </c>
      <c r="K1014" s="49">
        <v>0</v>
      </c>
      <c r="L1014" s="49">
        <v>4</v>
      </c>
    </row>
    <row r="1015" spans="1:12" x14ac:dyDescent="0.25">
      <c r="A1015" s="45">
        <f>C1015&amp;"."&amp;IFERROR(MID(E1015,FIND("(",E1015)+1,FIND(")",E1015)-FIND("(",E1015)-1),"")</f>
      </c>
      <c r="B1015" s="46" t="s">
        <v>1178</v>
      </c>
      <c r="C1015" s="46">
        <v>75241</v>
      </c>
      <c r="D1015" s="46" t="s">
        <v>2363</v>
      </c>
      <c r="E1015" s="46" t="s">
        <v>2365</v>
      </c>
      <c r="F1015" s="46" t="s">
        <v>24</v>
      </c>
      <c r="G1015" s="47">
        <v>2.45</v>
      </c>
      <c r="H1015" s="48">
        <v>11.425</v>
      </c>
      <c r="I1015" s="48">
        <v>91.399</v>
      </c>
      <c r="J1015" s="49">
        <v>8</v>
      </c>
      <c r="K1015" s="49">
        <v>0</v>
      </c>
      <c r="L1015" s="49">
        <v>8</v>
      </c>
    </row>
    <row r="1016" spans="1:12" x14ac:dyDescent="0.25">
      <c r="A1016" s="45">
        <f>C1016&amp;"."&amp;IFERROR(MID(E1016,FIND("(",E1016)+1,FIND(")",E1016)-FIND("(",E1016)-1),"")</f>
      </c>
      <c r="B1016" s="46" t="s">
        <v>1178</v>
      </c>
      <c r="C1016" s="46">
        <v>75241</v>
      </c>
      <c r="D1016" s="46" t="s">
        <v>2363</v>
      </c>
      <c r="E1016" s="46" t="s">
        <v>2366</v>
      </c>
      <c r="F1016" s="46" t="s">
        <v>24</v>
      </c>
      <c r="G1016" s="47">
        <v>2.45</v>
      </c>
      <c r="H1016" s="48">
        <v>10.992</v>
      </c>
      <c r="I1016" s="48">
        <v>120.911</v>
      </c>
      <c r="J1016" s="49">
        <v>11</v>
      </c>
      <c r="K1016" s="49">
        <v>1</v>
      </c>
      <c r="L1016" s="49">
        <v>10</v>
      </c>
    </row>
    <row r="1017" spans="1:12" x14ac:dyDescent="0.25">
      <c r="A1017" s="45">
        <f>C1017&amp;"."&amp;IFERROR(MID(E1017,FIND("(",E1017)+1,FIND(")",E1017)-FIND("(",E1017)-1),"")</f>
      </c>
      <c r="B1017" s="46" t="s">
        <v>1178</v>
      </c>
      <c r="C1017" s="46">
        <v>75242</v>
      </c>
      <c r="D1017" s="46" t="s">
        <v>2367</v>
      </c>
      <c r="E1017" s="46" t="s">
        <v>2368</v>
      </c>
      <c r="F1017" s="46" t="s">
        <v>26</v>
      </c>
      <c r="G1017" s="47">
        <v>0.68</v>
      </c>
      <c r="H1017" s="48">
        <v>3.21</v>
      </c>
      <c r="I1017" s="48">
        <v>3.21</v>
      </c>
      <c r="J1017" s="49">
        <v>1</v>
      </c>
      <c r="K1017" s="49">
        <v>0</v>
      </c>
      <c r="L1017" s="49">
        <v>1</v>
      </c>
    </row>
    <row r="1018" spans="1:12" x14ac:dyDescent="0.25">
      <c r="A1018" s="45">
        <f>C1018&amp;"."&amp;IFERROR(MID(E1018,FIND("(",E1018)+1,FIND(")",E1018)-FIND("(",E1018)-1),"")</f>
      </c>
      <c r="B1018" s="46" t="s">
        <v>1178</v>
      </c>
      <c r="C1018" s="46">
        <v>75242</v>
      </c>
      <c r="D1018" s="46" t="s">
        <v>2367</v>
      </c>
      <c r="E1018" s="46" t="s">
        <v>2369</v>
      </c>
      <c r="F1018" s="46" t="s">
        <v>26</v>
      </c>
      <c r="G1018" s="47">
        <v>0.68</v>
      </c>
      <c r="H1018" s="48">
        <v>2.376</v>
      </c>
      <c r="I1018" s="48">
        <v>19.009</v>
      </c>
      <c r="J1018" s="49">
        <v>8</v>
      </c>
      <c r="K1018" s="49">
        <v>8</v>
      </c>
      <c r="L1018" s="49">
        <v>0</v>
      </c>
    </row>
    <row r="1019" spans="1:12" x14ac:dyDescent="0.25">
      <c r="A1019" s="45">
        <f>C1019&amp;"."&amp;IFERROR(MID(E1019,FIND("(",E1019)+1,FIND(")",E1019)-FIND("(",E1019)-1),"")</f>
      </c>
      <c r="B1019" s="46" t="s">
        <v>1178</v>
      </c>
      <c r="C1019" s="46">
        <v>75243</v>
      </c>
      <c r="D1019" s="46" t="s">
        <v>2370</v>
      </c>
      <c r="E1019" s="46" t="s">
        <v>2371</v>
      </c>
      <c r="F1019" s="46" t="s">
        <v>26</v>
      </c>
      <c r="G1019" s="47">
        <v>2.48</v>
      </c>
      <c r="H1019" s="48">
        <v>7.416</v>
      </c>
      <c r="I1019" s="48">
        <v>51.91</v>
      </c>
      <c r="J1019" s="49">
        <v>7</v>
      </c>
      <c r="K1019" s="49">
        <v>4</v>
      </c>
      <c r="L1019" s="49">
        <v>3</v>
      </c>
    </row>
    <row r="1020" spans="1:12" x14ac:dyDescent="0.25">
      <c r="A1020" s="45">
        <f>C1020&amp;"."&amp;IFERROR(MID(E1020,FIND("(",E1020)+1,FIND(")",E1020)-FIND("(",E1020)-1),"")</f>
      </c>
      <c r="B1020" s="46" t="s">
        <v>1178</v>
      </c>
      <c r="C1020" s="46">
        <v>75243</v>
      </c>
      <c r="D1020" s="46" t="s">
        <v>2370</v>
      </c>
      <c r="E1020" s="46" t="s">
        <v>2372</v>
      </c>
      <c r="F1020" s="46" t="s">
        <v>26</v>
      </c>
      <c r="G1020" s="47">
        <v>2.48</v>
      </c>
      <c r="H1020" s="48">
        <v>21.377</v>
      </c>
      <c r="I1020" s="48">
        <v>42.754</v>
      </c>
      <c r="J1020" s="49">
        <v>2</v>
      </c>
      <c r="K1020" s="49">
        <v>2</v>
      </c>
      <c r="L1020" s="49">
        <v>0</v>
      </c>
    </row>
    <row r="1021" spans="1:12" x14ac:dyDescent="0.25">
      <c r="A1021" s="45">
        <f>C1021&amp;"."&amp;IFERROR(MID(E1021,FIND("(",E1021)+1,FIND(")",E1021)-FIND("(",E1021)-1),"")</f>
      </c>
      <c r="B1021" s="46" t="s">
        <v>1178</v>
      </c>
      <c r="C1021" s="46">
        <v>75251</v>
      </c>
      <c r="D1021" s="46" t="s">
        <v>2373</v>
      </c>
      <c r="E1021" s="46" t="s">
        <v>2374</v>
      </c>
      <c r="F1021" s="46" t="s">
        <v>26</v>
      </c>
      <c r="G1021" s="47">
        <v>2.58</v>
      </c>
      <c r="H1021" s="48">
        <v>4.22</v>
      </c>
      <c r="I1021" s="48">
        <v>16.878</v>
      </c>
      <c r="J1021" s="49">
        <v>4</v>
      </c>
      <c r="K1021" s="49">
        <v>1</v>
      </c>
      <c r="L1021" s="49">
        <v>3</v>
      </c>
    </row>
    <row r="1022" spans="1:12" x14ac:dyDescent="0.25">
      <c r="A1022" s="45">
        <f>C1022&amp;"."&amp;IFERROR(MID(E1022,FIND("(",E1022)+1,FIND(")",E1022)-FIND("(",E1022)-1),"")</f>
      </c>
      <c r="B1022" s="46" t="s">
        <v>1178</v>
      </c>
      <c r="C1022" s="46">
        <v>75251</v>
      </c>
      <c r="D1022" s="46" t="s">
        <v>2373</v>
      </c>
      <c r="E1022" s="46" t="s">
        <v>2375</v>
      </c>
      <c r="F1022" s="46" t="s">
        <v>26</v>
      </c>
      <c r="G1022" s="47">
        <v>2.58</v>
      </c>
      <c r="H1022" s="48">
        <v>7.366</v>
      </c>
      <c r="I1022" s="48">
        <v>44.197</v>
      </c>
      <c r="J1022" s="49">
        <v>6</v>
      </c>
      <c r="K1022" s="49">
        <v>2</v>
      </c>
      <c r="L1022" s="49">
        <v>4</v>
      </c>
    </row>
    <row r="1023" spans="1:12" x14ac:dyDescent="0.25">
      <c r="A1023" s="45">
        <f>C1023&amp;"."&amp;IFERROR(MID(E1023,FIND("(",E1023)+1,FIND(")",E1023)-FIND("(",E1023)-1),"")</f>
      </c>
      <c r="B1023" s="46" t="s">
        <v>1178</v>
      </c>
      <c r="C1023" s="46">
        <v>75252</v>
      </c>
      <c r="D1023" s="46" t="s">
        <v>2376</v>
      </c>
      <c r="E1023" s="46" t="s">
        <v>1248</v>
      </c>
      <c r="F1023" s="46" t="s">
        <v>26</v>
      </c>
      <c r="G1023" s="47">
        <v>2.58</v>
      </c>
      <c r="H1023" s="48">
        <v>4.691</v>
      </c>
      <c r="I1023" s="48">
        <v>14.073</v>
      </c>
      <c r="J1023" s="49">
        <v>3</v>
      </c>
      <c r="K1023" s="49">
        <v>2</v>
      </c>
      <c r="L1023" s="49">
        <v>1</v>
      </c>
    </row>
    <row r="1024" spans="1:12" x14ac:dyDescent="0.25">
      <c r="A1024" s="45">
        <f>C1024&amp;"."&amp;IFERROR(MID(E1024,FIND("(",E1024)+1,FIND(")",E1024)-FIND("(",E1024)-1),"")</f>
      </c>
      <c r="B1024" s="46" t="s">
        <v>1178</v>
      </c>
      <c r="C1024" s="46">
        <v>75255</v>
      </c>
      <c r="D1024" s="46" t="s">
        <v>2377</v>
      </c>
      <c r="E1024" s="46" t="s">
        <v>2378</v>
      </c>
      <c r="F1024" s="46" t="s">
        <v>26</v>
      </c>
      <c r="G1024" s="47">
        <v>12.79</v>
      </c>
      <c r="H1024" s="48">
        <v>26.471</v>
      </c>
      <c r="I1024" s="48">
        <v>52.943</v>
      </c>
      <c r="J1024" s="49">
        <v>2</v>
      </c>
      <c r="K1024" s="49">
        <v>1</v>
      </c>
      <c r="L1024" s="49">
        <v>1</v>
      </c>
    </row>
    <row r="1025" spans="1:12" x14ac:dyDescent="0.25">
      <c r="A1025" s="45">
        <f>C1025&amp;"."&amp;IFERROR(MID(E1025,FIND("(",E1025)+1,FIND(")",E1025)-FIND("(",E1025)-1),"")</f>
      </c>
      <c r="B1025" s="46" t="s">
        <v>1178</v>
      </c>
      <c r="C1025" s="46">
        <v>75255</v>
      </c>
      <c r="D1025" s="46" t="s">
        <v>2377</v>
      </c>
      <c r="E1025" s="46" t="s">
        <v>2379</v>
      </c>
      <c r="F1025" s="46" t="s">
        <v>26</v>
      </c>
      <c r="G1025" s="47">
        <v>12.79</v>
      </c>
      <c r="H1025" s="48">
        <v>31.488</v>
      </c>
      <c r="I1025" s="48">
        <v>94.464</v>
      </c>
      <c r="J1025" s="49">
        <v>3</v>
      </c>
      <c r="K1025" s="49">
        <v>3</v>
      </c>
      <c r="L1025" s="49">
        <v>0</v>
      </c>
    </row>
    <row r="1026" spans="1:12" x14ac:dyDescent="0.25">
      <c r="A1026" s="45">
        <f>C1026&amp;"."&amp;IFERROR(MID(E1026,FIND("(",E1026)+1,FIND(")",E1026)-FIND("(",E1026)-1),"")</f>
      </c>
      <c r="B1026" s="46" t="s">
        <v>1178</v>
      </c>
      <c r="C1026" s="46">
        <v>75259</v>
      </c>
      <c r="D1026" s="46" t="s">
        <v>2380</v>
      </c>
      <c r="E1026" s="46" t="s">
        <v>2381</v>
      </c>
      <c r="F1026" s="46" t="s">
        <v>26</v>
      </c>
      <c r="G1026" s="47">
        <v>12.79</v>
      </c>
      <c r="H1026" s="48">
        <v>30.087</v>
      </c>
      <c r="I1026" s="48">
        <v>90.261</v>
      </c>
      <c r="J1026" s="49">
        <v>3</v>
      </c>
      <c r="K1026" s="49">
        <v>3</v>
      </c>
      <c r="L1026" s="49">
        <v>0</v>
      </c>
    </row>
    <row r="1027" spans="1:12" x14ac:dyDescent="0.25">
      <c r="A1027" s="45">
        <f>C1027&amp;"."&amp;IFERROR(MID(E1027,FIND("(",E1027)+1,FIND(")",E1027)-FIND("(",E1027)-1),"")</f>
      </c>
      <c r="B1027" s="46" t="s">
        <v>1178</v>
      </c>
      <c r="C1027" s="46">
        <v>75263</v>
      </c>
      <c r="D1027" s="46" t="s">
        <v>2382</v>
      </c>
      <c r="E1027" s="46" t="s">
        <v>2383</v>
      </c>
      <c r="F1027" s="46" t="s">
        <v>26</v>
      </c>
      <c r="G1027" s="47">
        <v>11.02</v>
      </c>
      <c r="H1027" s="48">
        <v>27.905</v>
      </c>
      <c r="I1027" s="48">
        <v>27.905</v>
      </c>
      <c r="J1027" s="49">
        <v>1</v>
      </c>
      <c r="K1027" s="49">
        <v>1</v>
      </c>
      <c r="L1027" s="49">
        <v>0</v>
      </c>
    </row>
    <row r="1028" spans="1:12" x14ac:dyDescent="0.25">
      <c r="A1028" s="45">
        <f>C1028&amp;"."&amp;IFERROR(MID(E1028,FIND("(",E1028)+1,FIND(")",E1028)-FIND("(",E1028)-1),"")</f>
      </c>
      <c r="B1028" s="46" t="s">
        <v>1178</v>
      </c>
      <c r="C1028" s="46">
        <v>75263</v>
      </c>
      <c r="D1028" s="46" t="s">
        <v>2382</v>
      </c>
      <c r="E1028" s="46" t="s">
        <v>2384</v>
      </c>
      <c r="F1028" s="46" t="s">
        <v>26</v>
      </c>
      <c r="G1028" s="47">
        <v>11.02</v>
      </c>
      <c r="H1028" s="48">
        <v>24.787</v>
      </c>
      <c r="I1028" s="48">
        <v>198.297</v>
      </c>
      <c r="J1028" s="49">
        <v>8</v>
      </c>
      <c r="K1028" s="49">
        <v>5</v>
      </c>
      <c r="L1028" s="49">
        <v>3</v>
      </c>
    </row>
    <row r="1029" spans="1:12" x14ac:dyDescent="0.25">
      <c r="A1029" s="45">
        <f>C1029&amp;"."&amp;IFERROR(MID(E1029,FIND("(",E1029)+1,FIND(")",E1029)-FIND("(",E1029)-1),"")</f>
      </c>
      <c r="B1029" s="46" t="s">
        <v>1178</v>
      </c>
      <c r="C1029" s="46">
        <v>75265</v>
      </c>
      <c r="D1029" s="46" t="s">
        <v>2385</v>
      </c>
      <c r="E1029" s="46" t="s">
        <v>2386</v>
      </c>
      <c r="F1029" s="46" t="s">
        <v>26</v>
      </c>
      <c r="G1029" s="47">
        <v>11.02</v>
      </c>
      <c r="H1029" s="48">
        <v>26.129</v>
      </c>
      <c r="I1029" s="48">
        <v>600.975</v>
      </c>
      <c r="J1029" s="49">
        <v>23</v>
      </c>
      <c r="K1029" s="49">
        <v>7</v>
      </c>
      <c r="L1029" s="49">
        <v>16</v>
      </c>
    </row>
    <row r="1030" spans="1:12" x14ac:dyDescent="0.25">
      <c r="A1030" s="45">
        <f>C1030&amp;"."&amp;IFERROR(MID(E1030,FIND("(",E1030)+1,FIND(")",E1030)-FIND("(",E1030)-1),"")</f>
      </c>
      <c r="B1030" s="46" t="s">
        <v>1178</v>
      </c>
      <c r="C1030" s="46">
        <v>75268</v>
      </c>
      <c r="D1030" s="46" t="s">
        <v>2387</v>
      </c>
      <c r="E1030" s="46" t="s">
        <v>2388</v>
      </c>
      <c r="F1030" s="46" t="s">
        <v>26</v>
      </c>
      <c r="G1030" s="47">
        <v>3.56</v>
      </c>
      <c r="H1030" s="48">
        <v>13.795</v>
      </c>
      <c r="I1030" s="48">
        <v>41.386</v>
      </c>
      <c r="J1030" s="49">
        <v>3</v>
      </c>
      <c r="K1030" s="49">
        <v>1</v>
      </c>
      <c r="L1030" s="49">
        <v>2</v>
      </c>
    </row>
    <row r="1031" spans="1:12" x14ac:dyDescent="0.25">
      <c r="A1031" s="45">
        <f>C1031&amp;"."&amp;IFERROR(MID(E1031,FIND("(",E1031)+1,FIND(")",E1031)-FIND("(",E1031)-1),"")</f>
      </c>
      <c r="B1031" s="46" t="s">
        <v>1178</v>
      </c>
      <c r="C1031" s="46">
        <v>75268</v>
      </c>
      <c r="D1031" s="46" t="s">
        <v>2387</v>
      </c>
      <c r="E1031" s="46" t="s">
        <v>2389</v>
      </c>
      <c r="F1031" s="46" t="s">
        <v>26</v>
      </c>
      <c r="G1031" s="47">
        <v>3.56</v>
      </c>
      <c r="H1031" s="48">
        <v>9.697</v>
      </c>
      <c r="I1031" s="48">
        <v>19.395</v>
      </c>
      <c r="J1031" s="49">
        <v>2</v>
      </c>
      <c r="K1031" s="49">
        <v>0</v>
      </c>
      <c r="L1031" s="49">
        <v>2</v>
      </c>
    </row>
    <row r="1032" spans="1:12" x14ac:dyDescent="0.25">
      <c r="A1032" s="45">
        <f>C1032&amp;"."&amp;IFERROR(MID(E1032,FIND("(",E1032)+1,FIND(")",E1032)-FIND("(",E1032)-1),"")</f>
      </c>
      <c r="B1032" s="46" t="s">
        <v>1178</v>
      </c>
      <c r="C1032" s="46">
        <v>75270</v>
      </c>
      <c r="D1032" s="46" t="s">
        <v>2390</v>
      </c>
      <c r="E1032" s="46" t="s">
        <v>2391</v>
      </c>
      <c r="F1032" s="46" t="s">
        <v>26</v>
      </c>
      <c r="G1032" s="47">
        <v>3.56</v>
      </c>
      <c r="H1032" s="48">
        <v>9.439</v>
      </c>
      <c r="I1032" s="48">
        <v>18.878</v>
      </c>
      <c r="J1032" s="49">
        <v>2</v>
      </c>
      <c r="K1032" s="49">
        <v>0</v>
      </c>
      <c r="L1032" s="49">
        <v>2</v>
      </c>
    </row>
    <row r="1033" spans="1:12" x14ac:dyDescent="0.25">
      <c r="A1033" s="45">
        <f>C1033&amp;"."&amp;IFERROR(MID(E1033,FIND("(",E1033)+1,FIND(")",E1033)-FIND("(",E1033)-1),"")</f>
      </c>
      <c r="B1033" s="46" t="s">
        <v>1178</v>
      </c>
      <c r="C1033" s="46">
        <v>75270</v>
      </c>
      <c r="D1033" s="46" t="s">
        <v>2390</v>
      </c>
      <c r="E1033" s="46" t="s">
        <v>2392</v>
      </c>
      <c r="F1033" s="46" t="s">
        <v>26</v>
      </c>
      <c r="G1033" s="47">
        <v>3.56</v>
      </c>
      <c r="H1033" s="48">
        <v>10.113</v>
      </c>
      <c r="I1033" s="48">
        <v>60.679</v>
      </c>
      <c r="J1033" s="49">
        <v>6</v>
      </c>
      <c r="K1033" s="49">
        <v>4</v>
      </c>
      <c r="L1033" s="49">
        <v>2</v>
      </c>
    </row>
    <row r="1034" spans="1:12" x14ac:dyDescent="0.25">
      <c r="A1034" s="45">
        <f>C1034&amp;"."&amp;IFERROR(MID(E1034,FIND("(",E1034)+1,FIND(")",E1034)-FIND("(",E1034)-1),"")</f>
      </c>
      <c r="B1034" s="46" t="s">
        <v>1178</v>
      </c>
      <c r="C1034" s="46">
        <v>75271</v>
      </c>
      <c r="D1034" s="46" t="s">
        <v>2393</v>
      </c>
      <c r="E1034" s="46" t="s">
        <v>2394</v>
      </c>
      <c r="F1034" s="46" t="s">
        <v>24</v>
      </c>
      <c r="G1034" s="47">
        <v>1.1</v>
      </c>
      <c r="H1034" s="48">
        <v>4.278</v>
      </c>
      <c r="I1034" s="48">
        <v>55.611</v>
      </c>
      <c r="J1034" s="49">
        <v>13</v>
      </c>
      <c r="K1034" s="49">
        <v>2</v>
      </c>
      <c r="L1034" s="49">
        <v>11</v>
      </c>
    </row>
    <row r="1035" spans="1:12" x14ac:dyDescent="0.25">
      <c r="A1035" s="45">
        <f>C1035&amp;"."&amp;IFERROR(MID(E1035,FIND("(",E1035)+1,FIND(")",E1035)-FIND("(",E1035)-1),"")</f>
      </c>
      <c r="B1035" s="46" t="s">
        <v>1178</v>
      </c>
      <c r="C1035" s="46">
        <v>75271</v>
      </c>
      <c r="D1035" s="46" t="s">
        <v>2393</v>
      </c>
      <c r="E1035" s="46" t="s">
        <v>2395</v>
      </c>
      <c r="F1035" s="46" t="s">
        <v>24</v>
      </c>
      <c r="G1035" s="47">
        <v>1.1</v>
      </c>
      <c r="H1035" s="48">
        <v>2.959</v>
      </c>
      <c r="I1035" s="48">
        <v>14.796</v>
      </c>
      <c r="J1035" s="49">
        <v>5</v>
      </c>
      <c r="K1035" s="49">
        <v>0</v>
      </c>
      <c r="L1035" s="49">
        <v>5</v>
      </c>
    </row>
    <row r="1036" spans="1:12" x14ac:dyDescent="0.25">
      <c r="A1036" s="45">
        <f>C1036&amp;"."&amp;IFERROR(MID(E1036,FIND("(",E1036)+1,FIND(")",E1036)-FIND("(",E1036)-1),"")</f>
      </c>
      <c r="B1036" s="46" t="s">
        <v>1178</v>
      </c>
      <c r="C1036" s="46">
        <v>75271</v>
      </c>
      <c r="D1036" s="46" t="s">
        <v>2393</v>
      </c>
      <c r="E1036" s="46" t="s">
        <v>2396</v>
      </c>
      <c r="F1036" s="46" t="s">
        <v>24</v>
      </c>
      <c r="G1036" s="47">
        <v>1.1</v>
      </c>
      <c r="H1036" s="48">
        <v>4.568</v>
      </c>
      <c r="I1036" s="48">
        <v>54.817</v>
      </c>
      <c r="J1036" s="49">
        <v>12</v>
      </c>
      <c r="K1036" s="49">
        <v>0</v>
      </c>
      <c r="L1036" s="49">
        <v>12</v>
      </c>
    </row>
    <row r="1037" spans="1:12" x14ac:dyDescent="0.25">
      <c r="A1037" s="45">
        <f>C1037&amp;"."&amp;IFERROR(MID(E1037,FIND("(",E1037)+1,FIND(")",E1037)-FIND("(",E1037)-1),"")</f>
      </c>
      <c r="B1037" s="46" t="s">
        <v>1178</v>
      </c>
      <c r="C1037" s="46">
        <v>75272</v>
      </c>
      <c r="D1037" s="46" t="s">
        <v>2397</v>
      </c>
      <c r="E1037" s="46" t="s">
        <v>2398</v>
      </c>
      <c r="F1037" s="46" t="s">
        <v>26</v>
      </c>
      <c r="G1037" s="47">
        <v>0.28</v>
      </c>
      <c r="H1037" s="48">
        <v>1.137</v>
      </c>
      <c r="I1037" s="48">
        <v>7.962</v>
      </c>
      <c r="J1037" s="49">
        <v>7</v>
      </c>
      <c r="K1037" s="49">
        <v>0</v>
      </c>
      <c r="L1037" s="49">
        <v>7</v>
      </c>
    </row>
    <row r="1038" spans="1:12" x14ac:dyDescent="0.25">
      <c r="A1038" s="45">
        <f>C1038&amp;"."&amp;IFERROR(MID(E1038,FIND("(",E1038)+1,FIND(")",E1038)-FIND("(",E1038)-1),"")</f>
      </c>
      <c r="B1038" s="46" t="s">
        <v>1178</v>
      </c>
      <c r="C1038" s="46">
        <v>75272</v>
      </c>
      <c r="D1038" s="46" t="s">
        <v>2397</v>
      </c>
      <c r="E1038" s="46" t="s">
        <v>2399</v>
      </c>
      <c r="F1038" s="46" t="s">
        <v>26</v>
      </c>
      <c r="G1038" s="47">
        <v>0.28</v>
      </c>
      <c r="H1038" s="48">
        <v>1.932</v>
      </c>
      <c r="I1038" s="48">
        <v>3.863</v>
      </c>
      <c r="J1038" s="49">
        <v>2</v>
      </c>
      <c r="K1038" s="49">
        <v>2</v>
      </c>
      <c r="L1038" s="49">
        <v>0</v>
      </c>
    </row>
    <row r="1039" spans="1:12" x14ac:dyDescent="0.25">
      <c r="A1039" s="45">
        <f>C1039&amp;"."&amp;IFERROR(MID(E1039,FIND("(",E1039)+1,FIND(")",E1039)-FIND("(",E1039)-1),"")</f>
      </c>
      <c r="B1039" s="46" t="s">
        <v>1178</v>
      </c>
      <c r="C1039" s="46">
        <v>75272</v>
      </c>
      <c r="D1039" s="46" t="s">
        <v>2397</v>
      </c>
      <c r="E1039" s="46" t="s">
        <v>2400</v>
      </c>
      <c r="F1039" s="46" t="s">
        <v>26</v>
      </c>
      <c r="G1039" s="47">
        <v>0.28</v>
      </c>
      <c r="H1039" s="48">
        <v>1.125</v>
      </c>
      <c r="I1039" s="48">
        <v>4.502</v>
      </c>
      <c r="J1039" s="49">
        <v>4</v>
      </c>
      <c r="K1039" s="49">
        <v>0</v>
      </c>
      <c r="L1039" s="49">
        <v>4</v>
      </c>
    </row>
    <row r="1040" spans="1:12" x14ac:dyDescent="0.25">
      <c r="A1040" s="45">
        <f>C1040&amp;"."&amp;IFERROR(MID(E1040,FIND("(",E1040)+1,FIND(")",E1040)-FIND("(",E1040)-1),"")</f>
      </c>
      <c r="B1040" s="46" t="s">
        <v>1178</v>
      </c>
      <c r="C1040" s="46">
        <v>75272</v>
      </c>
      <c r="D1040" s="46" t="s">
        <v>2397</v>
      </c>
      <c r="E1040" s="46" t="s">
        <v>2401</v>
      </c>
      <c r="F1040" s="46" t="s">
        <v>26</v>
      </c>
      <c r="G1040" s="47">
        <v>0.28</v>
      </c>
      <c r="H1040" s="48">
        <v>1.137</v>
      </c>
      <c r="I1040" s="48">
        <v>4.55</v>
      </c>
      <c r="J1040" s="49">
        <v>4</v>
      </c>
      <c r="K1040" s="49">
        <v>0</v>
      </c>
      <c r="L1040" s="49">
        <v>4</v>
      </c>
    </row>
    <row r="1041" spans="1:12" x14ac:dyDescent="0.25">
      <c r="A1041" s="45">
        <f>C1041&amp;"."&amp;IFERROR(MID(E1041,FIND("(",E1041)+1,FIND(")",E1041)-FIND("(",E1041)-1),"")</f>
      </c>
      <c r="B1041" s="46" t="s">
        <v>1178</v>
      </c>
      <c r="C1041" s="46">
        <v>75281</v>
      </c>
      <c r="D1041" s="46" t="s">
        <v>2402</v>
      </c>
      <c r="E1041" s="46" t="s">
        <v>1248</v>
      </c>
      <c r="F1041" s="46" t="s">
        <v>26</v>
      </c>
      <c r="G1041" s="47">
        <v>0.28</v>
      </c>
      <c r="H1041" s="48">
        <v>1.506</v>
      </c>
      <c r="I1041" s="48">
        <v>3.011</v>
      </c>
      <c r="J1041" s="49">
        <v>2</v>
      </c>
      <c r="K1041" s="49">
        <v>0</v>
      </c>
      <c r="L1041" s="49">
        <v>2</v>
      </c>
    </row>
    <row r="1042" spans="1:12" x14ac:dyDescent="0.25">
      <c r="A1042" s="45">
        <f>C1042&amp;"."&amp;IFERROR(MID(E1042,FIND("(",E1042)+1,FIND(")",E1042)-FIND("(",E1042)-1),"")</f>
      </c>
      <c r="B1042" s="46" t="s">
        <v>1178</v>
      </c>
      <c r="C1042" s="46">
        <v>75283</v>
      </c>
      <c r="D1042" s="46" t="s">
        <v>2403</v>
      </c>
      <c r="E1042" s="46" t="s">
        <v>2404</v>
      </c>
      <c r="F1042" s="46" t="s">
        <v>24</v>
      </c>
      <c r="G1042" s="47">
        <v>5.45</v>
      </c>
      <c r="H1042" s="48">
        <v>14.396</v>
      </c>
      <c r="I1042" s="48">
        <v>331.116</v>
      </c>
      <c r="J1042" s="49">
        <v>23</v>
      </c>
      <c r="K1042" s="49">
        <v>6</v>
      </c>
      <c r="L1042" s="49">
        <v>17</v>
      </c>
    </row>
    <row r="1043" spans="1:12" x14ac:dyDescent="0.25">
      <c r="A1043" s="45">
        <f>C1043&amp;"."&amp;IFERROR(MID(E1043,FIND("(",E1043)+1,FIND(")",E1043)-FIND("(",E1043)-1),"")</f>
      </c>
      <c r="B1043" s="46" t="s">
        <v>1178</v>
      </c>
      <c r="C1043" s="46">
        <v>75283</v>
      </c>
      <c r="D1043" s="46" t="s">
        <v>2403</v>
      </c>
      <c r="E1043" s="46" t="s">
        <v>2405</v>
      </c>
      <c r="F1043" s="46" t="s">
        <v>24</v>
      </c>
      <c r="G1043" s="47">
        <v>5.45</v>
      </c>
      <c r="H1043" s="48">
        <v>14.457</v>
      </c>
      <c r="I1043" s="48">
        <v>202.392</v>
      </c>
      <c r="J1043" s="49">
        <v>14</v>
      </c>
      <c r="K1043" s="49">
        <v>2</v>
      </c>
      <c r="L1043" s="49">
        <v>12</v>
      </c>
    </row>
    <row r="1044" spans="1:12" x14ac:dyDescent="0.25">
      <c r="A1044" s="45">
        <f>C1044&amp;"."&amp;IFERROR(MID(E1044,FIND("(",E1044)+1,FIND(")",E1044)-FIND("(",E1044)-1),"")</f>
      </c>
      <c r="B1044" s="46" t="s">
        <v>1178</v>
      </c>
      <c r="C1044" s="46">
        <v>75283</v>
      </c>
      <c r="D1044" s="46" t="s">
        <v>2403</v>
      </c>
      <c r="E1044" s="46" t="s">
        <v>2406</v>
      </c>
      <c r="F1044" s="46" t="s">
        <v>24</v>
      </c>
      <c r="G1044" s="47">
        <v>5.45</v>
      </c>
      <c r="H1044" s="48">
        <v>14.127</v>
      </c>
      <c r="I1044" s="48">
        <v>84.764</v>
      </c>
      <c r="J1044" s="49">
        <v>6</v>
      </c>
      <c r="K1044" s="49">
        <v>2</v>
      </c>
      <c r="L1044" s="49">
        <v>4</v>
      </c>
    </row>
    <row r="1045" spans="1:12" x14ac:dyDescent="0.25">
      <c r="A1045" s="45">
        <f>C1045&amp;"."&amp;IFERROR(MID(E1045,FIND("(",E1045)+1,FIND(")",E1045)-FIND("(",E1045)-1),"")</f>
      </c>
      <c r="B1045" s="46" t="s">
        <v>1178</v>
      </c>
      <c r="C1045" s="46">
        <v>75298</v>
      </c>
      <c r="D1045" s="46" t="s">
        <v>2407</v>
      </c>
      <c r="E1045" s="46" t="s">
        <v>2408</v>
      </c>
      <c r="F1045" s="46" t="s">
        <v>26</v>
      </c>
      <c r="G1045" s="47">
        <v>9.97</v>
      </c>
      <c r="H1045" s="48">
        <v>28.838</v>
      </c>
      <c r="I1045" s="48">
        <v>317.222</v>
      </c>
      <c r="J1045" s="49">
        <v>11</v>
      </c>
      <c r="K1045" s="49">
        <v>6</v>
      </c>
      <c r="L1045" s="49">
        <v>5</v>
      </c>
    </row>
    <row r="1046" spans="1:12" x14ac:dyDescent="0.25">
      <c r="A1046" s="45">
        <f>C1046&amp;"."&amp;IFERROR(MID(E1046,FIND("(",E1046)+1,FIND(")",E1046)-FIND("(",E1046)-1),"")</f>
      </c>
      <c r="B1046" s="46" t="s">
        <v>1178</v>
      </c>
      <c r="C1046" s="46">
        <v>75298</v>
      </c>
      <c r="D1046" s="46" t="s">
        <v>2407</v>
      </c>
      <c r="E1046" s="46" t="s">
        <v>2409</v>
      </c>
      <c r="F1046" s="46" t="s">
        <v>26</v>
      </c>
      <c r="G1046" s="47">
        <v>9.97</v>
      </c>
      <c r="H1046" s="48">
        <v>26.416</v>
      </c>
      <c r="I1046" s="48">
        <v>52.833</v>
      </c>
      <c r="J1046" s="49">
        <v>2</v>
      </c>
      <c r="K1046" s="49">
        <v>0</v>
      </c>
      <c r="L1046" s="49">
        <v>2</v>
      </c>
    </row>
    <row r="1047" spans="1:12" x14ac:dyDescent="0.25">
      <c r="A1047" s="45">
        <f>C1047&amp;"."&amp;IFERROR(MID(E1047,FIND("(",E1047)+1,FIND(")",E1047)-FIND("(",E1047)-1),"")</f>
      </c>
      <c r="B1047" s="46" t="s">
        <v>1178</v>
      </c>
      <c r="C1047" s="46">
        <v>75303</v>
      </c>
      <c r="D1047" s="46" t="s">
        <v>2410</v>
      </c>
      <c r="E1047" s="46" t="s">
        <v>2411</v>
      </c>
      <c r="F1047" s="46" t="s">
        <v>24</v>
      </c>
      <c r="G1047" s="47">
        <v>0.88</v>
      </c>
      <c r="H1047" s="48">
        <v>19.324</v>
      </c>
      <c r="I1047" s="48">
        <v>19.324</v>
      </c>
      <c r="J1047" s="49">
        <v>1</v>
      </c>
      <c r="K1047" s="49">
        <v>0</v>
      </c>
      <c r="L1047" s="49">
        <v>1</v>
      </c>
    </row>
    <row r="1048" spans="1:12" x14ac:dyDescent="0.25">
      <c r="A1048" s="45">
        <f>C1048&amp;"."&amp;IFERROR(MID(E1048,FIND("(",E1048)+1,FIND(")",E1048)-FIND("(",E1048)-1),"")</f>
      </c>
      <c r="B1048" s="46" t="s">
        <v>1178</v>
      </c>
      <c r="C1048" s="46">
        <v>75303</v>
      </c>
      <c r="D1048" s="46" t="s">
        <v>2410</v>
      </c>
      <c r="E1048" s="46" t="s">
        <v>2412</v>
      </c>
      <c r="F1048" s="46" t="s">
        <v>24</v>
      </c>
      <c r="G1048" s="47">
        <v>0.88</v>
      </c>
      <c r="H1048" s="48">
        <v>6.448</v>
      </c>
      <c r="I1048" s="48">
        <v>103.165</v>
      </c>
      <c r="J1048" s="49">
        <v>16</v>
      </c>
      <c r="K1048" s="49">
        <v>1</v>
      </c>
      <c r="L1048" s="49">
        <v>15</v>
      </c>
    </row>
    <row r="1049" spans="1:12" x14ac:dyDescent="0.25">
      <c r="A1049" s="45">
        <f>C1049&amp;"."&amp;IFERROR(MID(E1049,FIND("(",E1049)+1,FIND(")",E1049)-FIND("(",E1049)-1),"")</f>
      </c>
      <c r="B1049" s="46" t="s">
        <v>1178</v>
      </c>
      <c r="C1049" s="46">
        <v>75303</v>
      </c>
      <c r="D1049" s="46" t="s">
        <v>2410</v>
      </c>
      <c r="E1049" s="46" t="s">
        <v>2413</v>
      </c>
      <c r="F1049" s="46" t="s">
        <v>24</v>
      </c>
      <c r="G1049" s="47">
        <v>0.88</v>
      </c>
      <c r="H1049" s="48">
        <v>6.473</v>
      </c>
      <c r="I1049" s="48">
        <v>51.783</v>
      </c>
      <c r="J1049" s="49">
        <v>8</v>
      </c>
      <c r="K1049" s="49">
        <v>0</v>
      </c>
      <c r="L1049" s="49">
        <v>8</v>
      </c>
    </row>
    <row r="1050" spans="1:12" x14ac:dyDescent="0.25">
      <c r="A1050" s="45">
        <f>C1050&amp;"."&amp;IFERROR(MID(E1050,FIND("(",E1050)+1,FIND(")",E1050)-FIND("(",E1050)-1),"")</f>
      </c>
      <c r="B1050" s="46" t="s">
        <v>1178</v>
      </c>
      <c r="C1050" s="46">
        <v>75305</v>
      </c>
      <c r="D1050" s="46" t="s">
        <v>2414</v>
      </c>
      <c r="E1050" s="46" t="s">
        <v>2415</v>
      </c>
      <c r="F1050" s="46" t="s">
        <v>26</v>
      </c>
      <c r="G1050" s="47">
        <v>1.26</v>
      </c>
      <c r="H1050" s="48">
        <v>5.004</v>
      </c>
      <c r="I1050" s="48">
        <v>10.008</v>
      </c>
      <c r="J1050" s="49">
        <v>2</v>
      </c>
      <c r="K1050" s="49">
        <v>2</v>
      </c>
      <c r="L1050" s="49">
        <v>0</v>
      </c>
    </row>
    <row r="1051" spans="1:12" x14ac:dyDescent="0.25">
      <c r="A1051" s="45">
        <f>C1051&amp;"."&amp;IFERROR(MID(E1051,FIND("(",E1051)+1,FIND(")",E1051)-FIND("(",E1051)-1),"")</f>
      </c>
      <c r="B1051" s="46" t="s">
        <v>1178</v>
      </c>
      <c r="C1051" s="46">
        <v>75305</v>
      </c>
      <c r="D1051" s="46" t="s">
        <v>2414</v>
      </c>
      <c r="E1051" s="46" t="s">
        <v>2416</v>
      </c>
      <c r="F1051" s="46" t="s">
        <v>26</v>
      </c>
      <c r="G1051" s="47">
        <v>1.26</v>
      </c>
      <c r="H1051" s="48">
        <v>4.335</v>
      </c>
      <c r="I1051" s="48">
        <v>8.671</v>
      </c>
      <c r="J1051" s="49">
        <v>2</v>
      </c>
      <c r="K1051" s="49">
        <v>0</v>
      </c>
      <c r="L1051" s="49">
        <v>2</v>
      </c>
    </row>
    <row r="1052" spans="1:12" x14ac:dyDescent="0.25">
      <c r="A1052" s="45">
        <f>C1052&amp;"."&amp;IFERROR(MID(E1052,FIND("(",E1052)+1,FIND(")",E1052)-FIND("(",E1052)-1),"")</f>
      </c>
      <c r="B1052" s="46" t="s">
        <v>1178</v>
      </c>
      <c r="C1052" s="46">
        <v>75305</v>
      </c>
      <c r="D1052" s="46" t="s">
        <v>2414</v>
      </c>
      <c r="E1052" s="46" t="s">
        <v>2417</v>
      </c>
      <c r="F1052" s="46" t="s">
        <v>26</v>
      </c>
      <c r="G1052" s="47">
        <v>1.26</v>
      </c>
      <c r="H1052" s="48">
        <v>5.889</v>
      </c>
      <c r="I1052" s="48">
        <v>29.447</v>
      </c>
      <c r="J1052" s="49">
        <v>5</v>
      </c>
      <c r="K1052" s="49">
        <v>4</v>
      </c>
      <c r="L1052" s="49">
        <v>1</v>
      </c>
    </row>
    <row r="1053" spans="1:12" x14ac:dyDescent="0.25">
      <c r="A1053" s="45">
        <f>C1053&amp;"."&amp;IFERROR(MID(E1053,FIND("(",E1053)+1,FIND(")",E1053)-FIND("(",E1053)-1),"")</f>
      </c>
      <c r="B1053" s="46" t="s">
        <v>1178</v>
      </c>
      <c r="C1053" s="46">
        <v>75308</v>
      </c>
      <c r="D1053" s="46" t="s">
        <v>2418</v>
      </c>
      <c r="E1053" s="46" t="s">
        <v>2419</v>
      </c>
      <c r="F1053" s="46" t="s">
        <v>24</v>
      </c>
      <c r="G1053" s="47">
        <v>0.54</v>
      </c>
      <c r="H1053" s="48">
        <v>1.735</v>
      </c>
      <c r="I1053" s="48">
        <v>15.617</v>
      </c>
      <c r="J1053" s="49">
        <v>9</v>
      </c>
      <c r="K1053" s="49">
        <v>1</v>
      </c>
      <c r="L1053" s="49">
        <v>8</v>
      </c>
    </row>
    <row r="1054" spans="1:12" x14ac:dyDescent="0.25">
      <c r="A1054" s="45">
        <f>C1054&amp;"."&amp;IFERROR(MID(E1054,FIND("(",E1054)+1,FIND(")",E1054)-FIND("(",E1054)-1),"")</f>
      </c>
      <c r="B1054" s="46" t="s">
        <v>1178</v>
      </c>
      <c r="C1054" s="46">
        <v>75308</v>
      </c>
      <c r="D1054" s="46" t="s">
        <v>2418</v>
      </c>
      <c r="E1054" s="46" t="s">
        <v>2420</v>
      </c>
      <c r="F1054" s="46" t="s">
        <v>24</v>
      </c>
      <c r="G1054" s="47">
        <v>0.54</v>
      </c>
      <c r="H1054" s="48">
        <v>1.327</v>
      </c>
      <c r="I1054" s="48">
        <v>11.942</v>
      </c>
      <c r="J1054" s="49">
        <v>9</v>
      </c>
      <c r="K1054" s="49">
        <v>0</v>
      </c>
      <c r="L1054" s="49">
        <v>9</v>
      </c>
    </row>
    <row r="1055" spans="1:12" x14ac:dyDescent="0.25">
      <c r="A1055" s="45">
        <f>C1055&amp;"."&amp;IFERROR(MID(E1055,FIND("(",E1055)+1,FIND(")",E1055)-FIND("(",E1055)-1),"")</f>
      </c>
      <c r="B1055" s="46" t="s">
        <v>1178</v>
      </c>
      <c r="C1055" s="46">
        <v>75310</v>
      </c>
      <c r="D1055" s="46" t="s">
        <v>2421</v>
      </c>
      <c r="E1055" s="46" t="s">
        <v>2422</v>
      </c>
      <c r="F1055" s="46" t="s">
        <v>24</v>
      </c>
      <c r="G1055" s="47">
        <v>0</v>
      </c>
      <c r="H1055" s="48">
        <v>13.825</v>
      </c>
      <c r="I1055" s="48">
        <v>13.825</v>
      </c>
      <c r="J1055" s="49">
        <v>1</v>
      </c>
      <c r="K1055" s="49">
        <v>1</v>
      </c>
      <c r="L1055" s="49">
        <v>0</v>
      </c>
    </row>
    <row r="1056" spans="1:12" x14ac:dyDescent="0.25">
      <c r="A1056" s="45">
        <f>C1056&amp;"."&amp;IFERROR(MID(E1056,FIND("(",E1056)+1,FIND(")",E1056)-FIND("(",E1056)-1),"")</f>
      </c>
      <c r="B1056" s="46" t="s">
        <v>1178</v>
      </c>
      <c r="C1056" s="46">
        <v>75310</v>
      </c>
      <c r="D1056" s="46" t="s">
        <v>2421</v>
      </c>
      <c r="E1056" s="46" t="s">
        <v>2423</v>
      </c>
      <c r="F1056" s="46" t="s">
        <v>24</v>
      </c>
      <c r="G1056" s="47">
        <v>0</v>
      </c>
      <c r="H1056" s="48">
        <v>13.744</v>
      </c>
      <c r="I1056" s="48">
        <v>13.744</v>
      </c>
      <c r="J1056" s="49">
        <v>1</v>
      </c>
      <c r="K1056" s="49">
        <v>1</v>
      </c>
      <c r="L1056" s="49">
        <v>0</v>
      </c>
    </row>
    <row r="1057" spans="1:12" x14ac:dyDescent="0.25">
      <c r="A1057" s="45">
        <f>C1057&amp;"."&amp;IFERROR(MID(E1057,FIND("(",E1057)+1,FIND(")",E1057)-FIND("(",E1057)-1),"")</f>
      </c>
      <c r="B1057" s="46" t="s">
        <v>1178</v>
      </c>
      <c r="C1057" s="46">
        <v>75312</v>
      </c>
      <c r="D1057" s="46" t="s">
        <v>2424</v>
      </c>
      <c r="E1057" s="46" t="s">
        <v>2425</v>
      </c>
      <c r="F1057" s="46" t="s">
        <v>24</v>
      </c>
      <c r="G1057" s="47">
        <v>1.92</v>
      </c>
      <c r="H1057" s="48">
        <v>4.792</v>
      </c>
      <c r="I1057" s="48">
        <v>62.295</v>
      </c>
      <c r="J1057" s="49">
        <v>13</v>
      </c>
      <c r="K1057" s="49">
        <v>0</v>
      </c>
      <c r="L1057" s="49">
        <v>13</v>
      </c>
    </row>
    <row r="1058" spans="1:12" x14ac:dyDescent="0.25">
      <c r="A1058" s="45">
        <f>C1058&amp;"."&amp;IFERROR(MID(E1058,FIND("(",E1058)+1,FIND(")",E1058)-FIND("(",E1058)-1),"")</f>
      </c>
      <c r="B1058" s="46" t="s">
        <v>1178</v>
      </c>
      <c r="C1058" s="46">
        <v>75312</v>
      </c>
      <c r="D1058" s="46" t="s">
        <v>2424</v>
      </c>
      <c r="E1058" s="46" t="s">
        <v>2426</v>
      </c>
      <c r="F1058" s="46" t="s">
        <v>24</v>
      </c>
      <c r="G1058" s="47">
        <v>1.92</v>
      </c>
      <c r="H1058" s="48">
        <v>4.286</v>
      </c>
      <c r="I1058" s="48">
        <v>68.58</v>
      </c>
      <c r="J1058" s="49">
        <v>16</v>
      </c>
      <c r="K1058" s="49">
        <v>0</v>
      </c>
      <c r="L1058" s="49">
        <v>16</v>
      </c>
    </row>
    <row r="1059" spans="1:12" x14ac:dyDescent="0.25">
      <c r="A1059" s="45">
        <f>C1059&amp;"."&amp;IFERROR(MID(E1059,FIND("(",E1059)+1,FIND(")",E1059)-FIND("(",E1059)-1),"")</f>
      </c>
      <c r="B1059" s="46" t="s">
        <v>1178</v>
      </c>
      <c r="C1059" s="46">
        <v>75312</v>
      </c>
      <c r="D1059" s="46" t="s">
        <v>2424</v>
      </c>
      <c r="E1059" s="46" t="s">
        <v>2427</v>
      </c>
      <c r="F1059" s="46" t="s">
        <v>24</v>
      </c>
      <c r="G1059" s="47">
        <v>1.92</v>
      </c>
      <c r="H1059" s="48">
        <v>4.269</v>
      </c>
      <c r="I1059" s="48">
        <v>21.343</v>
      </c>
      <c r="J1059" s="49">
        <v>5</v>
      </c>
      <c r="K1059" s="49">
        <v>0</v>
      </c>
      <c r="L1059" s="49">
        <v>5</v>
      </c>
    </row>
    <row r="1060" spans="1:12" x14ac:dyDescent="0.25">
      <c r="A1060" s="45">
        <f>C1060&amp;"."&amp;IFERROR(MID(E1060,FIND("(",E1060)+1,FIND(")",E1060)-FIND("(",E1060)-1),"")</f>
      </c>
      <c r="B1060" s="46" t="s">
        <v>1178</v>
      </c>
      <c r="C1060" s="46">
        <v>75313</v>
      </c>
      <c r="D1060" s="46" t="s">
        <v>2428</v>
      </c>
      <c r="E1060" s="46" t="s">
        <v>2429</v>
      </c>
      <c r="F1060" s="46" t="s">
        <v>26</v>
      </c>
      <c r="G1060" s="47">
        <v>0.43</v>
      </c>
      <c r="H1060" s="48">
        <v>1.209</v>
      </c>
      <c r="I1060" s="48">
        <v>6.045</v>
      </c>
      <c r="J1060" s="49">
        <v>5</v>
      </c>
      <c r="K1060" s="49">
        <v>5</v>
      </c>
      <c r="L1060" s="49">
        <v>0</v>
      </c>
    </row>
    <row r="1061" spans="1:12" x14ac:dyDescent="0.25">
      <c r="A1061" s="45">
        <f>C1061&amp;"."&amp;IFERROR(MID(E1061,FIND("(",E1061)+1,FIND(")",E1061)-FIND("(",E1061)-1),"")</f>
      </c>
      <c r="B1061" s="46" t="s">
        <v>1178</v>
      </c>
      <c r="C1061" s="46">
        <v>75313</v>
      </c>
      <c r="D1061" s="46" t="s">
        <v>2428</v>
      </c>
      <c r="E1061" s="46" t="s">
        <v>2430</v>
      </c>
      <c r="F1061" s="46" t="s">
        <v>26</v>
      </c>
      <c r="G1061" s="47">
        <v>0.43</v>
      </c>
      <c r="H1061" s="48">
        <v>0.509</v>
      </c>
      <c r="I1061" s="48">
        <v>0.509</v>
      </c>
      <c r="J1061" s="49">
        <v>1</v>
      </c>
      <c r="K1061" s="49">
        <v>0</v>
      </c>
      <c r="L1061" s="49">
        <v>1</v>
      </c>
    </row>
    <row r="1062" spans="1:12" x14ac:dyDescent="0.25">
      <c r="A1062" s="45">
        <f>C1062&amp;"."&amp;IFERROR(MID(E1062,FIND("(",E1062)+1,FIND(")",E1062)-FIND("(",E1062)-1),"")</f>
      </c>
      <c r="B1062" s="46" t="s">
        <v>1178</v>
      </c>
      <c r="C1062" s="46">
        <v>75313</v>
      </c>
      <c r="D1062" s="46" t="s">
        <v>2428</v>
      </c>
      <c r="E1062" s="46" t="s">
        <v>2431</v>
      </c>
      <c r="F1062" s="46" t="s">
        <v>26</v>
      </c>
      <c r="G1062" s="47">
        <v>0.43</v>
      </c>
      <c r="H1062" s="48">
        <v>0.78</v>
      </c>
      <c r="I1062" s="48">
        <v>2.339</v>
      </c>
      <c r="J1062" s="49">
        <v>3</v>
      </c>
      <c r="K1062" s="49">
        <v>0</v>
      </c>
      <c r="L1062" s="49">
        <v>3</v>
      </c>
    </row>
    <row r="1063" spans="1:12" x14ac:dyDescent="0.25">
      <c r="A1063" s="45">
        <f>C1063&amp;"."&amp;IFERROR(MID(E1063,FIND("(",E1063)+1,FIND(")",E1063)-FIND("(",E1063)-1),"")</f>
      </c>
      <c r="B1063" s="46" t="s">
        <v>1178</v>
      </c>
      <c r="C1063" s="46">
        <v>75314</v>
      </c>
      <c r="D1063" s="46" t="s">
        <v>2432</v>
      </c>
      <c r="E1063" s="46" t="s">
        <v>2433</v>
      </c>
      <c r="F1063" s="46" t="s">
        <v>26</v>
      </c>
      <c r="G1063" s="47">
        <v>0.43</v>
      </c>
      <c r="H1063" s="48">
        <v>0.515</v>
      </c>
      <c r="I1063" s="48">
        <v>2.06</v>
      </c>
      <c r="J1063" s="49">
        <v>4</v>
      </c>
      <c r="K1063" s="49">
        <v>0</v>
      </c>
      <c r="L1063" s="49">
        <v>4</v>
      </c>
    </row>
    <row r="1064" spans="1:12" x14ac:dyDescent="0.25">
      <c r="A1064" s="45">
        <f>C1064&amp;"."&amp;IFERROR(MID(E1064,FIND("(",E1064)+1,FIND(")",E1064)-FIND("(",E1064)-1),"")</f>
      </c>
      <c r="B1064" s="46" t="s">
        <v>1178</v>
      </c>
      <c r="C1064" s="46">
        <v>75314</v>
      </c>
      <c r="D1064" s="46" t="s">
        <v>2432</v>
      </c>
      <c r="E1064" s="46" t="s">
        <v>2434</v>
      </c>
      <c r="F1064" s="46" t="s">
        <v>26</v>
      </c>
      <c r="G1064" s="47">
        <v>0.43</v>
      </c>
      <c r="H1064" s="48">
        <v>1.26</v>
      </c>
      <c r="I1064" s="48">
        <v>2.52</v>
      </c>
      <c r="J1064" s="49">
        <v>2</v>
      </c>
      <c r="K1064" s="49">
        <v>0</v>
      </c>
      <c r="L1064" s="49">
        <v>2</v>
      </c>
    </row>
    <row r="1065" spans="1:12" x14ac:dyDescent="0.25">
      <c r="A1065" s="45">
        <f>C1065&amp;"."&amp;IFERROR(MID(E1065,FIND("(",E1065)+1,FIND(")",E1065)-FIND("(",E1065)-1),"")</f>
      </c>
      <c r="B1065" s="46" t="s">
        <v>1178</v>
      </c>
      <c r="C1065" s="46">
        <v>75314</v>
      </c>
      <c r="D1065" s="46" t="s">
        <v>2432</v>
      </c>
      <c r="E1065" s="46" t="s">
        <v>2435</v>
      </c>
      <c r="F1065" s="46" t="s">
        <v>26</v>
      </c>
      <c r="G1065" s="47">
        <v>0.43</v>
      </c>
      <c r="H1065" s="48">
        <v>0.922</v>
      </c>
      <c r="I1065" s="48">
        <v>8.3</v>
      </c>
      <c r="J1065" s="49">
        <v>9</v>
      </c>
      <c r="K1065" s="49">
        <v>9</v>
      </c>
      <c r="L1065" s="49">
        <v>0</v>
      </c>
    </row>
    <row r="1066" spans="1:12" x14ac:dyDescent="0.25">
      <c r="A1066" s="45">
        <f>C1066&amp;"."&amp;IFERROR(MID(E1066,FIND("(",E1066)+1,FIND(")",E1066)-FIND("(",E1066)-1),"")</f>
      </c>
      <c r="B1066" s="46" t="s">
        <v>1178</v>
      </c>
      <c r="C1066" s="46">
        <v>75317</v>
      </c>
      <c r="D1066" s="46" t="s">
        <v>2436</v>
      </c>
      <c r="E1066" s="46" t="s">
        <v>1248</v>
      </c>
      <c r="F1066" s="46" t="s">
        <v>26</v>
      </c>
      <c r="G1066" s="47">
        <v>0.47</v>
      </c>
      <c r="H1066" s="48">
        <v>1.174</v>
      </c>
      <c r="I1066" s="48">
        <v>2.348</v>
      </c>
      <c r="J1066" s="49">
        <v>2</v>
      </c>
      <c r="K1066" s="49">
        <v>2</v>
      </c>
      <c r="L1066" s="49">
        <v>0</v>
      </c>
    </row>
    <row r="1067" spans="1:12" x14ac:dyDescent="0.25">
      <c r="A1067" s="45">
        <f>C1067&amp;"."&amp;IFERROR(MID(E1067,FIND("(",E1067)+1,FIND(")",E1067)-FIND("(",E1067)-1),"")</f>
      </c>
      <c r="B1067" s="46" t="s">
        <v>1178</v>
      </c>
      <c r="C1067" s="46">
        <v>75320</v>
      </c>
      <c r="D1067" s="46" t="s">
        <v>2437</v>
      </c>
      <c r="E1067" s="46" t="s">
        <v>2438</v>
      </c>
      <c r="F1067" s="46" t="s">
        <v>26</v>
      </c>
      <c r="G1067" s="47">
        <v>3.56</v>
      </c>
      <c r="H1067" s="48">
        <v>9.693</v>
      </c>
      <c r="I1067" s="48">
        <v>38.773</v>
      </c>
      <c r="J1067" s="49">
        <v>4</v>
      </c>
      <c r="K1067" s="49">
        <v>2</v>
      </c>
      <c r="L1067" s="49">
        <v>2</v>
      </c>
    </row>
    <row r="1068" spans="1:12" x14ac:dyDescent="0.25">
      <c r="A1068" s="45">
        <f>C1068&amp;"."&amp;IFERROR(MID(E1068,FIND("(",E1068)+1,FIND(")",E1068)-FIND("(",E1068)-1),"")</f>
      </c>
      <c r="B1068" s="46" t="s">
        <v>1178</v>
      </c>
      <c r="C1068" s="46">
        <v>75321</v>
      </c>
      <c r="D1068" s="46" t="s">
        <v>2439</v>
      </c>
      <c r="E1068" s="46" t="s">
        <v>2440</v>
      </c>
      <c r="F1068" s="46" t="s">
        <v>26</v>
      </c>
      <c r="G1068" s="47">
        <v>0.81</v>
      </c>
      <c r="H1068" s="48">
        <v>2.962</v>
      </c>
      <c r="I1068" s="48">
        <v>14.812</v>
      </c>
      <c r="J1068" s="49">
        <v>5</v>
      </c>
      <c r="K1068" s="49">
        <v>3</v>
      </c>
      <c r="L1068" s="49">
        <v>2</v>
      </c>
    </row>
    <row r="1069" spans="1:12" x14ac:dyDescent="0.25">
      <c r="A1069" s="45">
        <f>C1069&amp;"."&amp;IFERROR(MID(E1069,FIND("(",E1069)+1,FIND(")",E1069)-FIND("(",E1069)-1),"")</f>
      </c>
      <c r="B1069" s="46" t="s">
        <v>1178</v>
      </c>
      <c r="C1069" s="46">
        <v>75323</v>
      </c>
      <c r="D1069" s="46" t="s">
        <v>2441</v>
      </c>
      <c r="E1069" s="46" t="s">
        <v>2442</v>
      </c>
      <c r="F1069" s="46" t="s">
        <v>26</v>
      </c>
      <c r="G1069" s="47">
        <v>8.94</v>
      </c>
      <c r="H1069" s="48">
        <v>23.749</v>
      </c>
      <c r="I1069" s="48">
        <v>356.238</v>
      </c>
      <c r="J1069" s="49">
        <v>15</v>
      </c>
      <c r="K1069" s="49">
        <v>10</v>
      </c>
      <c r="L1069" s="49">
        <v>5</v>
      </c>
    </row>
    <row r="1070" spans="1:12" x14ac:dyDescent="0.25">
      <c r="A1070" s="45">
        <f>C1070&amp;"."&amp;IFERROR(MID(E1070,FIND("(",E1070)+1,FIND(")",E1070)-FIND("(",E1070)-1),"")</f>
      </c>
      <c r="B1070" s="46" t="s">
        <v>1178</v>
      </c>
      <c r="C1070" s="46">
        <v>75323</v>
      </c>
      <c r="D1070" s="46" t="s">
        <v>2441</v>
      </c>
      <c r="E1070" s="46" t="s">
        <v>2443</v>
      </c>
      <c r="F1070" s="46" t="s">
        <v>26</v>
      </c>
      <c r="G1070" s="47">
        <v>8.94</v>
      </c>
      <c r="H1070" s="48">
        <v>25.554</v>
      </c>
      <c r="I1070" s="48">
        <v>996.605</v>
      </c>
      <c r="J1070" s="49">
        <v>39</v>
      </c>
      <c r="K1070" s="49">
        <v>23</v>
      </c>
      <c r="L1070" s="49">
        <v>16</v>
      </c>
    </row>
    <row r="1071" spans="1:12" x14ac:dyDescent="0.25">
      <c r="A1071" s="45">
        <f>C1071&amp;"."&amp;IFERROR(MID(E1071,FIND("(",E1071)+1,FIND(")",E1071)-FIND("(",E1071)-1),"")</f>
      </c>
      <c r="B1071" s="46" t="s">
        <v>1178</v>
      </c>
      <c r="C1071" s="46">
        <v>75323</v>
      </c>
      <c r="D1071" s="46" t="s">
        <v>2441</v>
      </c>
      <c r="E1071" s="46" t="s">
        <v>2444</v>
      </c>
      <c r="F1071" s="46" t="s">
        <v>26</v>
      </c>
      <c r="G1071" s="47">
        <v>8.94</v>
      </c>
      <c r="H1071" s="48">
        <v>24.869</v>
      </c>
      <c r="I1071" s="48">
        <v>99.475</v>
      </c>
      <c r="J1071" s="49">
        <v>4</v>
      </c>
      <c r="K1071" s="49">
        <v>4</v>
      </c>
      <c r="L1071" s="49">
        <v>0</v>
      </c>
    </row>
    <row r="1072" spans="1:12" x14ac:dyDescent="0.25">
      <c r="A1072" s="45">
        <f>C1072&amp;"."&amp;IFERROR(MID(E1072,FIND("(",E1072)+1,FIND(")",E1072)-FIND("(",E1072)-1),"")</f>
      </c>
      <c r="B1072" s="46" t="s">
        <v>1178</v>
      </c>
      <c r="C1072" s="46">
        <v>75326</v>
      </c>
      <c r="D1072" s="46" t="s">
        <v>2445</v>
      </c>
      <c r="E1072" s="46" t="s">
        <v>2446</v>
      </c>
      <c r="F1072" s="46" t="s">
        <v>24</v>
      </c>
      <c r="G1072" s="47">
        <v>0.45</v>
      </c>
      <c r="H1072" s="48">
        <v>1.234</v>
      </c>
      <c r="I1072" s="48">
        <v>1.234</v>
      </c>
      <c r="J1072" s="49">
        <v>1</v>
      </c>
      <c r="K1072" s="49">
        <v>0</v>
      </c>
      <c r="L1072" s="49">
        <v>1</v>
      </c>
    </row>
    <row r="1073" spans="1:12" x14ac:dyDescent="0.25">
      <c r="A1073" s="45">
        <f>C1073&amp;"."&amp;IFERROR(MID(E1073,FIND("(",E1073)+1,FIND(")",E1073)-FIND("(",E1073)-1),"")</f>
      </c>
      <c r="B1073" s="46" t="s">
        <v>1178</v>
      </c>
      <c r="C1073" s="46">
        <v>75326</v>
      </c>
      <c r="D1073" s="46" t="s">
        <v>2445</v>
      </c>
      <c r="E1073" s="46" t="s">
        <v>2447</v>
      </c>
      <c r="F1073" s="46" t="s">
        <v>24</v>
      </c>
      <c r="G1073" s="47">
        <v>0.45</v>
      </c>
      <c r="H1073" s="48">
        <v>1.283</v>
      </c>
      <c r="I1073" s="48">
        <v>1.283</v>
      </c>
      <c r="J1073" s="49">
        <v>1</v>
      </c>
      <c r="K1073" s="49">
        <v>0</v>
      </c>
      <c r="L1073" s="49">
        <v>1</v>
      </c>
    </row>
    <row r="1074" spans="1:12" x14ac:dyDescent="0.25">
      <c r="A1074" s="45">
        <f>C1074&amp;"."&amp;IFERROR(MID(E1074,FIND("(",E1074)+1,FIND(")",E1074)-FIND("(",E1074)-1),"")</f>
      </c>
      <c r="B1074" s="46" t="s">
        <v>1178</v>
      </c>
      <c r="C1074" s="46">
        <v>75327</v>
      </c>
      <c r="D1074" s="46" t="s">
        <v>2448</v>
      </c>
      <c r="E1074" s="46" t="s">
        <v>2449</v>
      </c>
      <c r="F1074" s="46" t="s">
        <v>24</v>
      </c>
      <c r="G1074" s="47">
        <v>0.45</v>
      </c>
      <c r="H1074" s="48">
        <v>1.234</v>
      </c>
      <c r="I1074" s="48">
        <v>3.703</v>
      </c>
      <c r="J1074" s="49">
        <v>3</v>
      </c>
      <c r="K1074" s="49">
        <v>0</v>
      </c>
      <c r="L1074" s="49">
        <v>3</v>
      </c>
    </row>
    <row r="1075" spans="1:12" x14ac:dyDescent="0.25">
      <c r="A1075" s="45">
        <f>C1075&amp;"."&amp;IFERROR(MID(E1075,FIND("(",E1075)+1,FIND(")",E1075)-FIND("(",E1075)-1),"")</f>
      </c>
      <c r="B1075" s="46" t="s">
        <v>1178</v>
      </c>
      <c r="C1075" s="46">
        <v>75327</v>
      </c>
      <c r="D1075" s="46" t="s">
        <v>2448</v>
      </c>
      <c r="E1075" s="46" t="s">
        <v>2450</v>
      </c>
      <c r="F1075" s="46" t="s">
        <v>24</v>
      </c>
      <c r="G1075" s="47">
        <v>0.45</v>
      </c>
      <c r="H1075" s="48">
        <v>1.283</v>
      </c>
      <c r="I1075" s="48">
        <v>3.848</v>
      </c>
      <c r="J1075" s="49">
        <v>3</v>
      </c>
      <c r="K1075" s="49">
        <v>0</v>
      </c>
      <c r="L1075" s="49">
        <v>3</v>
      </c>
    </row>
    <row r="1076" spans="1:12" x14ac:dyDescent="0.25">
      <c r="A1076" s="45">
        <f>C1076&amp;"."&amp;IFERROR(MID(E1076,FIND("(",E1076)+1,FIND(")",E1076)-FIND("(",E1076)-1),"")</f>
      </c>
      <c r="B1076" s="46" t="s">
        <v>1178</v>
      </c>
      <c r="C1076" s="46">
        <v>75328</v>
      </c>
      <c r="D1076" s="46" t="s">
        <v>2451</v>
      </c>
      <c r="E1076" s="46" t="s">
        <v>2452</v>
      </c>
      <c r="F1076" s="46" t="s">
        <v>26</v>
      </c>
      <c r="G1076" s="47">
        <v>0.16</v>
      </c>
      <c r="H1076" s="48">
        <v>1.51</v>
      </c>
      <c r="I1076" s="48">
        <v>6.04</v>
      </c>
      <c r="J1076" s="49">
        <v>4</v>
      </c>
      <c r="K1076" s="49">
        <v>0</v>
      </c>
      <c r="L1076" s="49">
        <v>4</v>
      </c>
    </row>
    <row r="1077" spans="1:12" x14ac:dyDescent="0.25">
      <c r="A1077" s="45">
        <f>C1077&amp;"."&amp;IFERROR(MID(E1077,FIND("(",E1077)+1,FIND(")",E1077)-FIND("(",E1077)-1),"")</f>
      </c>
      <c r="B1077" s="46" t="s">
        <v>1178</v>
      </c>
      <c r="C1077" s="46">
        <v>75342</v>
      </c>
      <c r="D1077" s="46" t="s">
        <v>2453</v>
      </c>
      <c r="E1077" s="46" t="s">
        <v>2454</v>
      </c>
      <c r="F1077" s="46" t="s">
        <v>24</v>
      </c>
      <c r="G1077" s="47">
        <v>4</v>
      </c>
      <c r="H1077" s="48">
        <v>10.7</v>
      </c>
      <c r="I1077" s="48">
        <v>160.507</v>
      </c>
      <c r="J1077" s="49">
        <v>15</v>
      </c>
      <c r="K1077" s="49">
        <v>1</v>
      </c>
      <c r="L1077" s="49">
        <v>14</v>
      </c>
    </row>
    <row r="1078" spans="1:12" x14ac:dyDescent="0.25">
      <c r="A1078" s="45">
        <f>C1078&amp;"."&amp;IFERROR(MID(E1078,FIND("(",E1078)+1,FIND(")",E1078)-FIND("(",E1078)-1),"")</f>
      </c>
      <c r="B1078" s="46" t="s">
        <v>1178</v>
      </c>
      <c r="C1078" s="46">
        <v>75342</v>
      </c>
      <c r="D1078" s="46" t="s">
        <v>2453</v>
      </c>
      <c r="E1078" s="46" t="s">
        <v>2455</v>
      </c>
      <c r="F1078" s="46" t="s">
        <v>24</v>
      </c>
      <c r="G1078" s="47">
        <v>4</v>
      </c>
      <c r="H1078" s="48">
        <v>8.683</v>
      </c>
      <c r="I1078" s="48">
        <v>43.414</v>
      </c>
      <c r="J1078" s="49">
        <v>5</v>
      </c>
      <c r="K1078" s="49">
        <v>1</v>
      </c>
      <c r="L1078" s="49">
        <v>4</v>
      </c>
    </row>
    <row r="1079" spans="1:12" x14ac:dyDescent="0.25">
      <c r="A1079" s="45">
        <f>C1079&amp;"."&amp;IFERROR(MID(E1079,FIND("(",E1079)+1,FIND(")",E1079)-FIND("(",E1079)-1),"")</f>
      </c>
      <c r="B1079" s="46" t="s">
        <v>1178</v>
      </c>
      <c r="C1079" s="46">
        <v>75342</v>
      </c>
      <c r="D1079" s="46" t="s">
        <v>2453</v>
      </c>
      <c r="E1079" s="46" t="s">
        <v>2456</v>
      </c>
      <c r="F1079" s="46" t="s">
        <v>24</v>
      </c>
      <c r="G1079" s="47">
        <v>4</v>
      </c>
      <c r="H1079" s="48">
        <v>9.614</v>
      </c>
      <c r="I1079" s="48">
        <v>134.602</v>
      </c>
      <c r="J1079" s="49">
        <v>14</v>
      </c>
      <c r="K1079" s="49">
        <v>0</v>
      </c>
      <c r="L1079" s="49">
        <v>14</v>
      </c>
    </row>
    <row r="1080" spans="1:12" x14ac:dyDescent="0.25">
      <c r="A1080" s="45">
        <f>C1080&amp;"."&amp;IFERROR(MID(E1080,FIND("(",E1080)+1,FIND(")",E1080)-FIND("(",E1080)-1),"")</f>
      </c>
      <c r="B1080" s="46" t="s">
        <v>1178</v>
      </c>
      <c r="C1080" s="46">
        <v>75344</v>
      </c>
      <c r="D1080" s="46" t="s">
        <v>2457</v>
      </c>
      <c r="E1080" s="46" t="s">
        <v>2458</v>
      </c>
      <c r="F1080" s="46" t="s">
        <v>24</v>
      </c>
      <c r="G1080" s="47">
        <v>0.41</v>
      </c>
      <c r="H1080" s="48">
        <v>1.137</v>
      </c>
      <c r="I1080" s="48">
        <v>1.137</v>
      </c>
      <c r="J1080" s="49">
        <v>1</v>
      </c>
      <c r="K1080" s="49">
        <v>0</v>
      </c>
      <c r="L1080" s="49">
        <v>1</v>
      </c>
    </row>
    <row r="1081" spans="1:12" x14ac:dyDescent="0.25">
      <c r="A1081" s="45">
        <f>C1081&amp;"."&amp;IFERROR(MID(E1081,FIND("(",E1081)+1,FIND(")",E1081)-FIND("(",E1081)-1),"")</f>
      </c>
      <c r="B1081" s="46" t="s">
        <v>1178</v>
      </c>
      <c r="C1081" s="46">
        <v>75344</v>
      </c>
      <c r="D1081" s="46" t="s">
        <v>2457</v>
      </c>
      <c r="E1081" s="46" t="s">
        <v>2459</v>
      </c>
      <c r="F1081" s="46" t="s">
        <v>24</v>
      </c>
      <c r="G1081" s="47">
        <v>0.41</v>
      </c>
      <c r="H1081" s="48">
        <v>1.359</v>
      </c>
      <c r="I1081" s="48">
        <v>13.591</v>
      </c>
      <c r="J1081" s="49">
        <v>10</v>
      </c>
      <c r="K1081" s="49">
        <v>0</v>
      </c>
      <c r="L1081" s="49">
        <v>10</v>
      </c>
    </row>
    <row r="1082" spans="1:12" x14ac:dyDescent="0.25">
      <c r="A1082" s="45">
        <f>C1082&amp;"."&amp;IFERROR(MID(E1082,FIND("(",E1082)+1,FIND(")",E1082)-FIND("(",E1082)-1),"")</f>
      </c>
      <c r="B1082" s="46" t="s">
        <v>1178</v>
      </c>
      <c r="C1082" s="46">
        <v>75345</v>
      </c>
      <c r="D1082" s="46" t="s">
        <v>2460</v>
      </c>
      <c r="E1082" s="46" t="s">
        <v>1248</v>
      </c>
      <c r="F1082" s="46" t="s">
        <v>26</v>
      </c>
      <c r="G1082" s="47">
        <v>0.16</v>
      </c>
      <c r="H1082" s="48">
        <v>0.67</v>
      </c>
      <c r="I1082" s="48">
        <v>2.68</v>
      </c>
      <c r="J1082" s="49">
        <v>4</v>
      </c>
      <c r="K1082" s="49">
        <v>0</v>
      </c>
      <c r="L1082" s="49">
        <v>4</v>
      </c>
    </row>
    <row r="1083" spans="1:12" x14ac:dyDescent="0.25">
      <c r="A1083" s="45">
        <f>C1083&amp;"."&amp;IFERROR(MID(E1083,FIND("(",E1083)+1,FIND(")",E1083)-FIND("(",E1083)-1),"")</f>
      </c>
      <c r="B1083" s="46" t="s">
        <v>1178</v>
      </c>
      <c r="C1083" s="46">
        <v>75346</v>
      </c>
      <c r="D1083" s="46" t="s">
        <v>2461</v>
      </c>
      <c r="E1083" s="46" t="s">
        <v>1248</v>
      </c>
      <c r="F1083" s="46" t="s">
        <v>24</v>
      </c>
      <c r="G1083" s="47">
        <v>1.63</v>
      </c>
      <c r="H1083" s="48">
        <v>4.042</v>
      </c>
      <c r="I1083" s="48">
        <v>40.419</v>
      </c>
      <c r="J1083" s="49">
        <v>10</v>
      </c>
      <c r="K1083" s="49">
        <v>0</v>
      </c>
      <c r="L1083" s="49">
        <v>10</v>
      </c>
    </row>
    <row r="1084" spans="1:12" x14ac:dyDescent="0.25">
      <c r="A1084" s="45">
        <f>C1084&amp;"."&amp;IFERROR(MID(E1084,FIND("(",E1084)+1,FIND(")",E1084)-FIND("(",E1084)-1),"")</f>
      </c>
      <c r="B1084" s="46" t="s">
        <v>1178</v>
      </c>
      <c r="C1084" s="46">
        <v>75349</v>
      </c>
      <c r="D1084" s="46" t="s">
        <v>2462</v>
      </c>
      <c r="E1084" s="46" t="s">
        <v>1248</v>
      </c>
      <c r="F1084" s="46" t="s">
        <v>26</v>
      </c>
      <c r="G1084" s="47">
        <v>0</v>
      </c>
      <c r="H1084" s="48">
        <v>2.55</v>
      </c>
      <c r="I1084" s="48">
        <v>2.55</v>
      </c>
      <c r="J1084" s="49">
        <v>1</v>
      </c>
      <c r="K1084" s="49">
        <v>0</v>
      </c>
      <c r="L1084" s="49">
        <v>1</v>
      </c>
    </row>
    <row r="1085" spans="1:12" x14ac:dyDescent="0.25">
      <c r="A1085" s="45">
        <f>C1085&amp;"."&amp;IFERROR(MID(E1085,FIND("(",E1085)+1,FIND(")",E1085)-FIND("(",E1085)-1),"")</f>
      </c>
      <c r="B1085" s="46" t="s">
        <v>1178</v>
      </c>
      <c r="C1085" s="46">
        <v>75359</v>
      </c>
      <c r="D1085" s="46" t="s">
        <v>2463</v>
      </c>
      <c r="E1085" s="46" t="s">
        <v>2464</v>
      </c>
      <c r="F1085" s="46" t="s">
        <v>26</v>
      </c>
      <c r="G1085" s="47">
        <v>7.23</v>
      </c>
      <c r="H1085" s="48">
        <v>23.572</v>
      </c>
      <c r="I1085" s="48">
        <v>141.434</v>
      </c>
      <c r="J1085" s="49">
        <v>6</v>
      </c>
      <c r="K1085" s="49">
        <v>2</v>
      </c>
      <c r="L1085" s="49">
        <v>4</v>
      </c>
    </row>
    <row r="1086" spans="1:12" x14ac:dyDescent="0.25">
      <c r="A1086" s="45">
        <f>C1086&amp;"."&amp;IFERROR(MID(E1086,FIND("(",E1086)+1,FIND(")",E1086)-FIND("(",E1086)-1),"")</f>
      </c>
      <c r="B1086" s="46" t="s">
        <v>1178</v>
      </c>
      <c r="C1086" s="46">
        <v>75361</v>
      </c>
      <c r="D1086" s="46" t="s">
        <v>2465</v>
      </c>
      <c r="E1086" s="46" t="s">
        <v>2466</v>
      </c>
      <c r="F1086" s="46" t="s">
        <v>26</v>
      </c>
      <c r="G1086" s="47">
        <v>2.45</v>
      </c>
      <c r="H1086" s="48">
        <v>9.407</v>
      </c>
      <c r="I1086" s="48">
        <v>94.068</v>
      </c>
      <c r="J1086" s="49">
        <v>10</v>
      </c>
      <c r="K1086" s="49">
        <v>1</v>
      </c>
      <c r="L1086" s="49">
        <v>9</v>
      </c>
    </row>
    <row r="1087" spans="1:12" x14ac:dyDescent="0.25">
      <c r="A1087" s="45">
        <f>C1087&amp;"."&amp;IFERROR(MID(E1087,FIND("(",E1087)+1,FIND(")",E1087)-FIND("(",E1087)-1),"")</f>
      </c>
      <c r="B1087" s="46" t="s">
        <v>1178</v>
      </c>
      <c r="C1087" s="46">
        <v>75361</v>
      </c>
      <c r="D1087" s="46" t="s">
        <v>2465</v>
      </c>
      <c r="E1087" s="46" t="s">
        <v>2467</v>
      </c>
      <c r="F1087" s="46" t="s">
        <v>26</v>
      </c>
      <c r="G1087" s="47">
        <v>2.45</v>
      </c>
      <c r="H1087" s="48">
        <v>8.059</v>
      </c>
      <c r="I1087" s="48">
        <v>24.178</v>
      </c>
      <c r="J1087" s="49">
        <v>3</v>
      </c>
      <c r="K1087" s="49">
        <v>0</v>
      </c>
      <c r="L1087" s="49">
        <v>3</v>
      </c>
    </row>
    <row r="1088" spans="1:12" x14ac:dyDescent="0.25">
      <c r="A1088" s="45">
        <f>C1088&amp;"."&amp;IFERROR(MID(E1088,FIND("(",E1088)+1,FIND(")",E1088)-FIND("(",E1088)-1),"")</f>
      </c>
      <c r="B1088" s="46" t="s">
        <v>1178</v>
      </c>
      <c r="C1088" s="46">
        <v>75364</v>
      </c>
      <c r="D1088" s="46" t="s">
        <v>2468</v>
      </c>
      <c r="E1088" s="46" t="s">
        <v>2469</v>
      </c>
      <c r="F1088" s="46" t="s">
        <v>26</v>
      </c>
      <c r="G1088" s="47">
        <v>1.02</v>
      </c>
      <c r="H1088" s="48">
        <v>4.284</v>
      </c>
      <c r="I1088" s="48">
        <v>8.568</v>
      </c>
      <c r="J1088" s="49">
        <v>2</v>
      </c>
      <c r="K1088" s="49">
        <v>0</v>
      </c>
      <c r="L1088" s="49">
        <v>2</v>
      </c>
    </row>
    <row r="1089" spans="1:12" x14ac:dyDescent="0.25">
      <c r="A1089" s="45">
        <f>C1089&amp;"."&amp;IFERROR(MID(E1089,FIND("(",E1089)+1,FIND(")",E1089)-FIND("(",E1089)-1),"")</f>
      </c>
      <c r="B1089" s="46" t="s">
        <v>1178</v>
      </c>
      <c r="C1089" s="46">
        <v>75364</v>
      </c>
      <c r="D1089" s="46" t="s">
        <v>2468</v>
      </c>
      <c r="E1089" s="46" t="s">
        <v>2470</v>
      </c>
      <c r="F1089" s="46" t="s">
        <v>26</v>
      </c>
      <c r="G1089" s="47">
        <v>1.02</v>
      </c>
      <c r="H1089" s="48">
        <v>5.935</v>
      </c>
      <c r="I1089" s="48">
        <v>29.676</v>
      </c>
      <c r="J1089" s="49">
        <v>5</v>
      </c>
      <c r="K1089" s="49">
        <v>5</v>
      </c>
      <c r="L1089" s="49">
        <v>0</v>
      </c>
    </row>
    <row r="1090" spans="1:12" x14ac:dyDescent="0.25">
      <c r="A1090" s="45">
        <f>C1090&amp;"."&amp;IFERROR(MID(E1090,FIND("(",E1090)+1,FIND(")",E1090)-FIND("(",E1090)-1),"")</f>
      </c>
      <c r="B1090" s="46" t="s">
        <v>1178</v>
      </c>
      <c r="C1090" s="46">
        <v>75364</v>
      </c>
      <c r="D1090" s="46" t="s">
        <v>2468</v>
      </c>
      <c r="E1090" s="46" t="s">
        <v>2471</v>
      </c>
      <c r="F1090" s="46" t="s">
        <v>26</v>
      </c>
      <c r="G1090" s="47">
        <v>1.02</v>
      </c>
      <c r="H1090" s="48">
        <v>5.522</v>
      </c>
      <c r="I1090" s="48">
        <v>5.522</v>
      </c>
      <c r="J1090" s="49">
        <v>1</v>
      </c>
      <c r="K1090" s="49">
        <v>0</v>
      </c>
      <c r="L1090" s="49">
        <v>1</v>
      </c>
    </row>
    <row r="1091" spans="1:12" x14ac:dyDescent="0.25">
      <c r="A1091" s="45">
        <f>C1091&amp;"."&amp;IFERROR(MID(E1091,FIND("(",E1091)+1,FIND(")",E1091)-FIND("(",E1091)-1),"")</f>
      </c>
      <c r="B1091" s="46" t="s">
        <v>1178</v>
      </c>
      <c r="C1091" s="46">
        <v>75370</v>
      </c>
      <c r="D1091" s="46" t="s">
        <v>2472</v>
      </c>
      <c r="E1091" s="46" t="s">
        <v>2473</v>
      </c>
      <c r="F1091" s="46" t="s">
        <v>26</v>
      </c>
      <c r="G1091" s="47">
        <v>1.74</v>
      </c>
      <c r="H1091" s="48">
        <v>7.492</v>
      </c>
      <c r="I1091" s="48">
        <v>52.446</v>
      </c>
      <c r="J1091" s="49">
        <v>7</v>
      </c>
      <c r="K1091" s="49">
        <v>0</v>
      </c>
      <c r="L1091" s="49">
        <v>7</v>
      </c>
    </row>
    <row r="1092" spans="1:12" x14ac:dyDescent="0.25">
      <c r="A1092" s="45">
        <f>C1092&amp;"."&amp;IFERROR(MID(E1092,FIND("(",E1092)+1,FIND(")",E1092)-FIND("(",E1092)-1),"")</f>
      </c>
      <c r="B1092" s="46" t="s">
        <v>1178</v>
      </c>
      <c r="C1092" s="46">
        <v>75375</v>
      </c>
      <c r="D1092" s="46" t="s">
        <v>2474</v>
      </c>
      <c r="E1092" s="46" t="s">
        <v>1248</v>
      </c>
      <c r="F1092" s="46" t="s">
        <v>26</v>
      </c>
      <c r="G1092" s="47">
        <v>2.02</v>
      </c>
      <c r="H1092" s="48">
        <v>5.01</v>
      </c>
      <c r="I1092" s="48">
        <v>20.04</v>
      </c>
      <c r="J1092" s="49">
        <v>4</v>
      </c>
      <c r="K1092" s="49">
        <v>0</v>
      </c>
      <c r="L1092" s="49">
        <v>4</v>
      </c>
    </row>
    <row r="1093" spans="1:12" x14ac:dyDescent="0.25">
      <c r="A1093" s="45">
        <f>C1093&amp;"."&amp;IFERROR(MID(E1093,FIND("(",E1093)+1,FIND(")",E1093)-FIND("(",E1093)-1),"")</f>
      </c>
      <c r="B1093" s="46" t="s">
        <v>1178</v>
      </c>
      <c r="C1093" s="46">
        <v>75379</v>
      </c>
      <c r="D1093" s="46" t="s">
        <v>2475</v>
      </c>
      <c r="E1093" s="46" t="s">
        <v>2476</v>
      </c>
      <c r="F1093" s="46" t="s">
        <v>26</v>
      </c>
      <c r="G1093" s="47">
        <v>17.58</v>
      </c>
      <c r="H1093" s="48">
        <v>45.631</v>
      </c>
      <c r="I1093" s="48">
        <v>45.631</v>
      </c>
      <c r="J1093" s="49">
        <v>1</v>
      </c>
      <c r="K1093" s="49">
        <v>0</v>
      </c>
      <c r="L1093" s="49">
        <v>1</v>
      </c>
    </row>
    <row r="1094" spans="1:12" x14ac:dyDescent="0.25">
      <c r="A1094" s="45">
        <f>C1094&amp;"."&amp;IFERROR(MID(E1094,FIND("(",E1094)+1,FIND(")",E1094)-FIND("(",E1094)-1),"")</f>
      </c>
      <c r="B1094" s="46" t="s">
        <v>1178</v>
      </c>
      <c r="C1094" s="46">
        <v>75379</v>
      </c>
      <c r="D1094" s="46" t="s">
        <v>2475</v>
      </c>
      <c r="E1094" s="46" t="s">
        <v>2477</v>
      </c>
      <c r="F1094" s="46" t="s">
        <v>26</v>
      </c>
      <c r="G1094" s="47">
        <v>17.58</v>
      </c>
      <c r="H1094" s="48">
        <v>32.61</v>
      </c>
      <c r="I1094" s="48">
        <v>228.272</v>
      </c>
      <c r="J1094" s="49">
        <v>7</v>
      </c>
      <c r="K1094" s="49">
        <v>2</v>
      </c>
      <c r="L1094" s="49">
        <v>5</v>
      </c>
    </row>
    <row r="1095" spans="1:12" x14ac:dyDescent="0.25">
      <c r="A1095" s="45">
        <f>C1095&amp;"."&amp;IFERROR(MID(E1095,FIND("(",E1095)+1,FIND(")",E1095)-FIND("(",E1095)-1),"")</f>
      </c>
      <c r="B1095" s="46" t="s">
        <v>1178</v>
      </c>
      <c r="C1095" s="46">
        <v>75379</v>
      </c>
      <c r="D1095" s="46" t="s">
        <v>2475</v>
      </c>
      <c r="E1095" s="46" t="s">
        <v>2478</v>
      </c>
      <c r="F1095" s="46" t="s">
        <v>26</v>
      </c>
      <c r="G1095" s="47">
        <v>17.58</v>
      </c>
      <c r="H1095" s="48">
        <v>33.593</v>
      </c>
      <c r="I1095" s="48">
        <v>235.148</v>
      </c>
      <c r="J1095" s="49">
        <v>7</v>
      </c>
      <c r="K1095" s="49">
        <v>3</v>
      </c>
      <c r="L1095" s="49">
        <v>4</v>
      </c>
    </row>
    <row r="1096" spans="1:12" x14ac:dyDescent="0.25">
      <c r="A1096" s="45">
        <f>C1096&amp;"."&amp;IFERROR(MID(E1096,FIND("(",E1096)+1,FIND(")",E1096)-FIND("(",E1096)-1),"")</f>
      </c>
      <c r="B1096" s="46" t="s">
        <v>1178</v>
      </c>
      <c r="C1096" s="46">
        <v>75381</v>
      </c>
      <c r="D1096" s="46" t="s">
        <v>2479</v>
      </c>
      <c r="E1096" s="46" t="s">
        <v>2480</v>
      </c>
      <c r="F1096" s="46" t="s">
        <v>26</v>
      </c>
      <c r="G1096" s="47">
        <v>17.58</v>
      </c>
      <c r="H1096" s="48">
        <v>49.312</v>
      </c>
      <c r="I1096" s="48">
        <v>98.623</v>
      </c>
      <c r="J1096" s="49">
        <v>2</v>
      </c>
      <c r="K1096" s="49">
        <v>0</v>
      </c>
      <c r="L1096" s="49">
        <v>2</v>
      </c>
    </row>
    <row r="1097" spans="1:12" x14ac:dyDescent="0.25">
      <c r="A1097" s="45">
        <f>C1097&amp;"."&amp;IFERROR(MID(E1097,FIND("(",E1097)+1,FIND(")",E1097)-FIND("(",E1097)-1),"")</f>
      </c>
      <c r="B1097" s="46" t="s">
        <v>1178</v>
      </c>
      <c r="C1097" s="46">
        <v>75381</v>
      </c>
      <c r="D1097" s="46" t="s">
        <v>2479</v>
      </c>
      <c r="E1097" s="46" t="s">
        <v>2481</v>
      </c>
      <c r="F1097" s="46" t="s">
        <v>26</v>
      </c>
      <c r="G1097" s="47">
        <v>17.58</v>
      </c>
      <c r="H1097" s="48">
        <v>30.783</v>
      </c>
      <c r="I1097" s="48">
        <v>615.666</v>
      </c>
      <c r="J1097" s="49">
        <v>20</v>
      </c>
      <c r="K1097" s="49">
        <v>0</v>
      </c>
      <c r="L1097" s="49">
        <v>20</v>
      </c>
    </row>
    <row r="1098" spans="1:12" x14ac:dyDescent="0.25">
      <c r="A1098" s="45">
        <f>C1098&amp;"."&amp;IFERROR(MID(E1098,FIND("(",E1098)+1,FIND(")",E1098)-FIND("(",E1098)-1),"")</f>
      </c>
      <c r="B1098" s="46" t="s">
        <v>1178</v>
      </c>
      <c r="C1098" s="46">
        <v>75381</v>
      </c>
      <c r="D1098" s="46" t="s">
        <v>2479</v>
      </c>
      <c r="E1098" s="46" t="s">
        <v>2482</v>
      </c>
      <c r="F1098" s="46" t="s">
        <v>26</v>
      </c>
      <c r="G1098" s="47">
        <v>17.58</v>
      </c>
      <c r="H1098" s="48">
        <v>37.7</v>
      </c>
      <c r="I1098" s="48">
        <v>75.401</v>
      </c>
      <c r="J1098" s="49">
        <v>2</v>
      </c>
      <c r="K1098" s="49">
        <v>2</v>
      </c>
      <c r="L1098" s="49">
        <v>0</v>
      </c>
    </row>
    <row r="1099" spans="1:12" x14ac:dyDescent="0.25">
      <c r="A1099" s="45">
        <f>C1099&amp;"."&amp;IFERROR(MID(E1099,FIND("(",E1099)+1,FIND(")",E1099)-FIND("(",E1099)-1),"")</f>
      </c>
      <c r="B1099" s="46" t="s">
        <v>1178</v>
      </c>
      <c r="C1099" s="46">
        <v>75381</v>
      </c>
      <c r="D1099" s="46" t="s">
        <v>2479</v>
      </c>
      <c r="E1099" s="46" t="s">
        <v>2483</v>
      </c>
      <c r="F1099" s="46" t="s">
        <v>26</v>
      </c>
      <c r="G1099" s="47">
        <v>17.58</v>
      </c>
      <c r="H1099" s="48">
        <v>45.999</v>
      </c>
      <c r="I1099" s="48">
        <v>137.998</v>
      </c>
      <c r="J1099" s="49">
        <v>3</v>
      </c>
      <c r="K1099" s="49">
        <v>3</v>
      </c>
      <c r="L1099" s="49">
        <v>0</v>
      </c>
    </row>
    <row r="1100" spans="1:12" x14ac:dyDescent="0.25">
      <c r="A1100" s="45">
        <f>C1100&amp;"."&amp;IFERROR(MID(E1100,FIND("(",E1100)+1,FIND(")",E1100)-FIND("(",E1100)-1),"")</f>
      </c>
      <c r="B1100" s="46" t="s">
        <v>1178</v>
      </c>
      <c r="C1100" s="46">
        <v>75381</v>
      </c>
      <c r="D1100" s="46" t="s">
        <v>2479</v>
      </c>
      <c r="E1100" s="46" t="s">
        <v>2484</v>
      </c>
      <c r="F1100" s="46" t="s">
        <v>26</v>
      </c>
      <c r="G1100" s="47">
        <v>17.58</v>
      </c>
      <c r="H1100" s="48">
        <v>49.178</v>
      </c>
      <c r="I1100" s="48">
        <v>98.357</v>
      </c>
      <c r="J1100" s="49">
        <v>2</v>
      </c>
      <c r="K1100" s="49">
        <v>0</v>
      </c>
      <c r="L1100" s="49">
        <v>2</v>
      </c>
    </row>
    <row r="1101" spans="1:12" x14ac:dyDescent="0.25">
      <c r="A1101" s="45">
        <f>C1101&amp;"."&amp;IFERROR(MID(E1101,FIND("(",E1101)+1,FIND(")",E1101)-FIND("(",E1101)-1),"")</f>
      </c>
      <c r="B1101" s="46" t="s">
        <v>1178</v>
      </c>
      <c r="C1101" s="46">
        <v>75383</v>
      </c>
      <c r="D1101" s="46" t="s">
        <v>2485</v>
      </c>
      <c r="E1101" s="46" t="s">
        <v>2486</v>
      </c>
      <c r="F1101" s="46" t="s">
        <v>26</v>
      </c>
      <c r="G1101" s="47">
        <v>12.94</v>
      </c>
      <c r="H1101" s="48">
        <v>34.831</v>
      </c>
      <c r="I1101" s="48">
        <v>139.323</v>
      </c>
      <c r="J1101" s="49">
        <v>4</v>
      </c>
      <c r="K1101" s="49">
        <v>4</v>
      </c>
      <c r="L1101" s="49">
        <v>0</v>
      </c>
    </row>
    <row r="1102" spans="1:12" x14ac:dyDescent="0.25">
      <c r="A1102" s="45">
        <f>C1102&amp;"."&amp;IFERROR(MID(E1102,FIND("(",E1102)+1,FIND(")",E1102)-FIND("(",E1102)-1),"")</f>
      </c>
      <c r="B1102" s="46" t="s">
        <v>1178</v>
      </c>
      <c r="C1102" s="46">
        <v>75383</v>
      </c>
      <c r="D1102" s="46" t="s">
        <v>2485</v>
      </c>
      <c r="E1102" s="46" t="s">
        <v>2487</v>
      </c>
      <c r="F1102" s="46" t="s">
        <v>26</v>
      </c>
      <c r="G1102" s="47">
        <v>12.94</v>
      </c>
      <c r="H1102" s="48">
        <v>34.653</v>
      </c>
      <c r="I1102" s="48">
        <v>138.611</v>
      </c>
      <c r="J1102" s="49">
        <v>4</v>
      </c>
      <c r="K1102" s="49">
        <v>4</v>
      </c>
      <c r="L1102" s="49">
        <v>0</v>
      </c>
    </row>
    <row r="1103" spans="1:12" x14ac:dyDescent="0.25">
      <c r="A1103" s="45">
        <f>C1103&amp;"."&amp;IFERROR(MID(E1103,FIND("(",E1103)+1,FIND(")",E1103)-FIND("(",E1103)-1),"")</f>
      </c>
      <c r="B1103" s="46" t="s">
        <v>1178</v>
      </c>
      <c r="C1103" s="46">
        <v>75383</v>
      </c>
      <c r="D1103" s="46" t="s">
        <v>2485</v>
      </c>
      <c r="E1103" s="46" t="s">
        <v>2488</v>
      </c>
      <c r="F1103" s="46" t="s">
        <v>26</v>
      </c>
      <c r="G1103" s="47">
        <v>12.94</v>
      </c>
      <c r="H1103" s="48">
        <v>36.98</v>
      </c>
      <c r="I1103" s="48">
        <v>36.98</v>
      </c>
      <c r="J1103" s="49">
        <v>1</v>
      </c>
      <c r="K1103" s="49">
        <v>0</v>
      </c>
      <c r="L1103" s="49">
        <v>1</v>
      </c>
    </row>
    <row r="1104" spans="1:12" x14ac:dyDescent="0.25">
      <c r="A1104" s="45">
        <f>C1104&amp;"."&amp;IFERROR(MID(E1104,FIND("(",E1104)+1,FIND(")",E1104)-FIND("(",E1104)-1),"")</f>
      </c>
      <c r="B1104" s="46" t="s">
        <v>1178</v>
      </c>
      <c r="C1104" s="46">
        <v>75385</v>
      </c>
      <c r="D1104" s="46" t="s">
        <v>2489</v>
      </c>
      <c r="E1104" s="46" t="s">
        <v>2490</v>
      </c>
      <c r="F1104" s="46" t="s">
        <v>26</v>
      </c>
      <c r="G1104" s="47">
        <v>1.34</v>
      </c>
      <c r="H1104" s="48">
        <v>11.238</v>
      </c>
      <c r="I1104" s="48">
        <v>258.478</v>
      </c>
      <c r="J1104" s="49">
        <v>23</v>
      </c>
      <c r="K1104" s="49">
        <v>23</v>
      </c>
      <c r="L1104" s="49">
        <v>0</v>
      </c>
    </row>
    <row r="1105" spans="1:12" x14ac:dyDescent="0.25">
      <c r="A1105" s="45">
        <f>C1105&amp;"."&amp;IFERROR(MID(E1105,FIND("(",E1105)+1,FIND(")",E1105)-FIND("(",E1105)-1),"")</f>
      </c>
      <c r="B1105" s="46" t="s">
        <v>1178</v>
      </c>
      <c r="C1105" s="46">
        <v>75385</v>
      </c>
      <c r="D1105" s="46" t="s">
        <v>2489</v>
      </c>
      <c r="E1105" s="46" t="s">
        <v>2491</v>
      </c>
      <c r="F1105" s="46" t="s">
        <v>26</v>
      </c>
      <c r="G1105" s="47">
        <v>1.34</v>
      </c>
      <c r="H1105" s="48">
        <v>4.284</v>
      </c>
      <c r="I1105" s="48">
        <v>4.284</v>
      </c>
      <c r="J1105" s="49">
        <v>1</v>
      </c>
      <c r="K1105" s="49">
        <v>1</v>
      </c>
      <c r="L1105" s="49">
        <v>0</v>
      </c>
    </row>
    <row r="1106" spans="1:12" x14ac:dyDescent="0.25">
      <c r="A1106" s="45">
        <f>C1106&amp;"."&amp;IFERROR(MID(E1106,FIND("(",E1106)+1,FIND(")",E1106)-FIND("(",E1106)-1),"")</f>
      </c>
      <c r="B1106" s="46" t="s">
        <v>1178</v>
      </c>
      <c r="C1106" s="46">
        <v>75385</v>
      </c>
      <c r="D1106" s="46" t="s">
        <v>2489</v>
      </c>
      <c r="E1106" s="46" t="s">
        <v>2492</v>
      </c>
      <c r="F1106" s="46" t="s">
        <v>26</v>
      </c>
      <c r="G1106" s="47">
        <v>1.34</v>
      </c>
      <c r="H1106" s="48">
        <v>6.703</v>
      </c>
      <c r="I1106" s="48">
        <v>26.81</v>
      </c>
      <c r="J1106" s="49">
        <v>4</v>
      </c>
      <c r="K1106" s="49">
        <v>0</v>
      </c>
      <c r="L1106" s="49">
        <v>4</v>
      </c>
    </row>
    <row r="1107" spans="1:12" x14ac:dyDescent="0.25">
      <c r="A1107" s="45">
        <f>C1107&amp;"."&amp;IFERROR(MID(E1107,FIND("(",E1107)+1,FIND(")",E1107)-FIND("(",E1107)-1),"")</f>
      </c>
      <c r="B1107" s="46" t="s">
        <v>1178</v>
      </c>
      <c r="C1107" s="46">
        <v>75391</v>
      </c>
      <c r="D1107" s="46" t="s">
        <v>2493</v>
      </c>
      <c r="E1107" s="46" t="s">
        <v>1248</v>
      </c>
      <c r="F1107" s="46" t="s">
        <v>26</v>
      </c>
      <c r="G1107" s="47">
        <v>0.46</v>
      </c>
      <c r="H1107" s="48">
        <v>1.231</v>
      </c>
      <c r="I1107" s="48">
        <v>6.156</v>
      </c>
      <c r="J1107" s="49">
        <v>5</v>
      </c>
      <c r="K1107" s="49">
        <v>0</v>
      </c>
      <c r="L1107" s="49">
        <v>5</v>
      </c>
    </row>
    <row r="1108" spans="1:12" x14ac:dyDescent="0.25">
      <c r="A1108" s="45">
        <f>C1108&amp;"."&amp;IFERROR(MID(E1108,FIND("(",E1108)+1,FIND(")",E1108)-FIND("(",E1108)-1),"")</f>
      </c>
      <c r="B1108" s="46" t="s">
        <v>1178</v>
      </c>
      <c r="C1108" s="46">
        <v>75395</v>
      </c>
      <c r="D1108" s="46" t="s">
        <v>2494</v>
      </c>
      <c r="E1108" s="46" t="s">
        <v>2495</v>
      </c>
      <c r="F1108" s="46" t="s">
        <v>26</v>
      </c>
      <c r="G1108" s="47">
        <v>11.56</v>
      </c>
      <c r="H1108" s="48">
        <v>32.189</v>
      </c>
      <c r="I1108" s="48">
        <v>96.566</v>
      </c>
      <c r="J1108" s="49">
        <v>3</v>
      </c>
      <c r="K1108" s="49">
        <v>0</v>
      </c>
      <c r="L1108" s="49">
        <v>3</v>
      </c>
    </row>
    <row r="1109" spans="1:12" x14ac:dyDescent="0.25">
      <c r="A1109" s="45">
        <f>C1109&amp;"."&amp;IFERROR(MID(E1109,FIND("(",E1109)+1,FIND(")",E1109)-FIND("(",E1109)-1),"")</f>
      </c>
      <c r="B1109" s="46" t="s">
        <v>1178</v>
      </c>
      <c r="C1109" s="46">
        <v>75395</v>
      </c>
      <c r="D1109" s="46" t="s">
        <v>2494</v>
      </c>
      <c r="E1109" s="46" t="s">
        <v>2496</v>
      </c>
      <c r="F1109" s="46" t="s">
        <v>26</v>
      </c>
      <c r="G1109" s="47">
        <v>11.56</v>
      </c>
      <c r="H1109" s="48">
        <v>32.503</v>
      </c>
      <c r="I1109" s="48">
        <v>32.503</v>
      </c>
      <c r="J1109" s="49">
        <v>1</v>
      </c>
      <c r="K1109" s="49">
        <v>0</v>
      </c>
      <c r="L1109" s="49">
        <v>1</v>
      </c>
    </row>
    <row r="1110" spans="1:12" x14ac:dyDescent="0.25">
      <c r="A1110" s="45">
        <f>C1110&amp;"."&amp;IFERROR(MID(E1110,FIND("(",E1110)+1,FIND(")",E1110)-FIND("(",E1110)-1),"")</f>
      </c>
      <c r="B1110" s="46" t="s">
        <v>1178</v>
      </c>
      <c r="C1110" s="46">
        <v>75395</v>
      </c>
      <c r="D1110" s="46" t="s">
        <v>2494</v>
      </c>
      <c r="E1110" s="46" t="s">
        <v>2497</v>
      </c>
      <c r="F1110" s="46" t="s">
        <v>26</v>
      </c>
      <c r="G1110" s="47">
        <v>11.56</v>
      </c>
      <c r="H1110" s="48">
        <v>33.81</v>
      </c>
      <c r="I1110" s="48">
        <v>101.429</v>
      </c>
      <c r="J1110" s="49">
        <v>3</v>
      </c>
      <c r="K1110" s="49">
        <v>3</v>
      </c>
      <c r="L1110" s="49">
        <v>0</v>
      </c>
    </row>
    <row r="1111" spans="1:12" x14ac:dyDescent="0.25">
      <c r="A1111" s="45">
        <f>C1111&amp;"."&amp;IFERROR(MID(E1111,FIND("(",E1111)+1,FIND(")",E1111)-FIND("(",E1111)-1),"")</f>
      </c>
      <c r="B1111" s="46" t="s">
        <v>1178</v>
      </c>
      <c r="C1111" s="46">
        <v>75398</v>
      </c>
      <c r="D1111" s="46" t="s">
        <v>2498</v>
      </c>
      <c r="E1111" s="46" t="s">
        <v>2499</v>
      </c>
      <c r="F1111" s="46" t="s">
        <v>26</v>
      </c>
      <c r="G1111" s="47">
        <v>11.56</v>
      </c>
      <c r="H1111" s="48">
        <v>36.408</v>
      </c>
      <c r="I1111" s="48">
        <v>109.224</v>
      </c>
      <c r="J1111" s="49">
        <v>3</v>
      </c>
      <c r="K1111" s="49">
        <v>1</v>
      </c>
      <c r="L1111" s="49">
        <v>2</v>
      </c>
    </row>
    <row r="1112" spans="1:12" x14ac:dyDescent="0.25">
      <c r="A1112" s="45">
        <f>C1112&amp;"."&amp;IFERROR(MID(E1112,FIND("(",E1112)+1,FIND(")",E1112)-FIND("(",E1112)-1),"")</f>
      </c>
      <c r="B1112" s="46" t="s">
        <v>1178</v>
      </c>
      <c r="C1112" s="46">
        <v>75398</v>
      </c>
      <c r="D1112" s="46" t="s">
        <v>2498</v>
      </c>
      <c r="E1112" s="46" t="s">
        <v>2500</v>
      </c>
      <c r="F1112" s="46" t="s">
        <v>26</v>
      </c>
      <c r="G1112" s="47">
        <v>11.56</v>
      </c>
      <c r="H1112" s="48">
        <v>33.943</v>
      </c>
      <c r="I1112" s="48">
        <v>237.603</v>
      </c>
      <c r="J1112" s="49">
        <v>7</v>
      </c>
      <c r="K1112" s="49">
        <v>0</v>
      </c>
      <c r="L1112" s="49">
        <v>7</v>
      </c>
    </row>
    <row r="1113" spans="1:12" x14ac:dyDescent="0.25">
      <c r="A1113" s="45">
        <f>C1113&amp;"."&amp;IFERROR(MID(E1113,FIND("(",E1113)+1,FIND(")",E1113)-FIND("(",E1113)-1),"")</f>
      </c>
      <c r="B1113" s="46" t="s">
        <v>1178</v>
      </c>
      <c r="C1113" s="46">
        <v>75399</v>
      </c>
      <c r="D1113" s="46" t="s">
        <v>2501</v>
      </c>
      <c r="E1113" s="46" t="s">
        <v>2502</v>
      </c>
      <c r="F1113" s="46" t="s">
        <v>26</v>
      </c>
      <c r="G1113" s="47">
        <v>0.95</v>
      </c>
      <c r="H1113" s="48">
        <v>2.559</v>
      </c>
      <c r="I1113" s="48">
        <v>2.559</v>
      </c>
      <c r="J1113" s="49">
        <v>1</v>
      </c>
      <c r="K1113" s="49">
        <v>0</v>
      </c>
      <c r="L1113" s="49">
        <v>1</v>
      </c>
    </row>
    <row r="1114" spans="1:12" x14ac:dyDescent="0.25">
      <c r="A1114" s="45">
        <f>C1114&amp;"."&amp;IFERROR(MID(E1114,FIND("(",E1114)+1,FIND(")",E1114)-FIND("(",E1114)-1),"")</f>
      </c>
      <c r="B1114" s="46" t="s">
        <v>1178</v>
      </c>
      <c r="C1114" s="46">
        <v>75399</v>
      </c>
      <c r="D1114" s="46" t="s">
        <v>2501</v>
      </c>
      <c r="E1114" s="46" t="s">
        <v>2503</v>
      </c>
      <c r="F1114" s="46" t="s">
        <v>26</v>
      </c>
      <c r="G1114" s="47">
        <v>0.95</v>
      </c>
      <c r="H1114" s="48">
        <v>6.352</v>
      </c>
      <c r="I1114" s="48">
        <v>88.931</v>
      </c>
      <c r="J1114" s="49">
        <v>14</v>
      </c>
      <c r="K1114" s="49">
        <v>14</v>
      </c>
      <c r="L1114" s="49">
        <v>0</v>
      </c>
    </row>
    <row r="1115" spans="1:12" x14ac:dyDescent="0.25">
      <c r="A1115" s="45">
        <f>C1115&amp;"."&amp;IFERROR(MID(E1115,FIND("(",E1115)+1,FIND(")",E1115)-FIND("(",E1115)-1),"")</f>
      </c>
      <c r="B1115" s="46" t="s">
        <v>1178</v>
      </c>
      <c r="C1115" s="46">
        <v>75399</v>
      </c>
      <c r="D1115" s="46" t="s">
        <v>2501</v>
      </c>
      <c r="E1115" s="46" t="s">
        <v>2504</v>
      </c>
      <c r="F1115" s="46" t="s">
        <v>26</v>
      </c>
      <c r="G1115" s="47">
        <v>0.95</v>
      </c>
      <c r="H1115" s="48">
        <v>2.783</v>
      </c>
      <c r="I1115" s="48">
        <v>5.566</v>
      </c>
      <c r="J1115" s="49">
        <v>2</v>
      </c>
      <c r="K1115" s="49">
        <v>0</v>
      </c>
      <c r="L1115" s="49">
        <v>2</v>
      </c>
    </row>
    <row r="1116" spans="1:12" x14ac:dyDescent="0.25">
      <c r="A1116" s="45">
        <f>C1116&amp;"."&amp;IFERROR(MID(E1116,FIND("(",E1116)+1,FIND(")",E1116)-FIND("(",E1116)-1),"")</f>
      </c>
      <c r="B1116" s="46" t="s">
        <v>1178</v>
      </c>
      <c r="C1116" s="46">
        <v>75401</v>
      </c>
      <c r="D1116" s="46" t="s">
        <v>2505</v>
      </c>
      <c r="E1116" s="46" t="s">
        <v>2506</v>
      </c>
      <c r="F1116" s="46" t="s">
        <v>26</v>
      </c>
      <c r="G1116" s="47">
        <v>7.44</v>
      </c>
      <c r="H1116" s="48">
        <v>19.557</v>
      </c>
      <c r="I1116" s="48">
        <v>58.672</v>
      </c>
      <c r="J1116" s="49">
        <v>3</v>
      </c>
      <c r="K1116" s="49">
        <v>3</v>
      </c>
      <c r="L1116" s="49">
        <v>0</v>
      </c>
    </row>
    <row r="1117" spans="1:12" x14ac:dyDescent="0.25">
      <c r="A1117" s="45">
        <f>C1117&amp;"."&amp;IFERROR(MID(E1117,FIND("(",E1117)+1,FIND(")",E1117)-FIND("(",E1117)-1),"")</f>
      </c>
      <c r="B1117" s="46" t="s">
        <v>1178</v>
      </c>
      <c r="C1117" s="46">
        <v>75401</v>
      </c>
      <c r="D1117" s="46" t="s">
        <v>2505</v>
      </c>
      <c r="E1117" s="46" t="s">
        <v>2507</v>
      </c>
      <c r="F1117" s="46" t="s">
        <v>26</v>
      </c>
      <c r="G1117" s="47">
        <v>7.44</v>
      </c>
      <c r="H1117" s="48">
        <v>21.818</v>
      </c>
      <c r="I1117" s="48">
        <v>21.818</v>
      </c>
      <c r="J1117" s="49">
        <v>1</v>
      </c>
      <c r="K1117" s="49">
        <v>0</v>
      </c>
      <c r="L1117" s="49">
        <v>1</v>
      </c>
    </row>
    <row r="1118" spans="1:12" x14ac:dyDescent="0.25">
      <c r="A1118" s="45">
        <f>C1118&amp;"."&amp;IFERROR(MID(E1118,FIND("(",E1118)+1,FIND(")",E1118)-FIND("(",E1118)-1),"")</f>
      </c>
      <c r="B1118" s="46" t="s">
        <v>1178</v>
      </c>
      <c r="C1118" s="46">
        <v>75401</v>
      </c>
      <c r="D1118" s="46" t="s">
        <v>2505</v>
      </c>
      <c r="E1118" s="46" t="s">
        <v>2508</v>
      </c>
      <c r="F1118" s="46" t="s">
        <v>26</v>
      </c>
      <c r="G1118" s="47">
        <v>7.44</v>
      </c>
      <c r="H1118" s="48">
        <v>16.555</v>
      </c>
      <c r="I1118" s="48">
        <v>82.777</v>
      </c>
      <c r="J1118" s="49">
        <v>5</v>
      </c>
      <c r="K1118" s="49">
        <v>0</v>
      </c>
      <c r="L1118" s="49">
        <v>5</v>
      </c>
    </row>
    <row r="1119" spans="1:12" x14ac:dyDescent="0.25">
      <c r="A1119" s="45">
        <f>C1119&amp;"."&amp;IFERROR(MID(E1119,FIND("(",E1119)+1,FIND(")",E1119)-FIND("(",E1119)-1),"")</f>
      </c>
      <c r="B1119" s="46" t="s">
        <v>1178</v>
      </c>
      <c r="C1119" s="46">
        <v>75402</v>
      </c>
      <c r="D1119" s="46" t="s">
        <v>2509</v>
      </c>
      <c r="E1119" s="46" t="s">
        <v>2510</v>
      </c>
      <c r="F1119" s="46" t="s">
        <v>26</v>
      </c>
      <c r="G1119" s="47">
        <v>4.98</v>
      </c>
      <c r="H1119" s="48">
        <v>14.36</v>
      </c>
      <c r="I1119" s="48">
        <v>43.08</v>
      </c>
      <c r="J1119" s="49">
        <v>3</v>
      </c>
      <c r="K1119" s="49">
        <v>0</v>
      </c>
      <c r="L1119" s="49">
        <v>3</v>
      </c>
    </row>
    <row r="1120" spans="1:12" x14ac:dyDescent="0.25">
      <c r="A1120" s="45">
        <f>C1120&amp;"."&amp;IFERROR(MID(E1120,FIND("(",E1120)+1,FIND(")",E1120)-FIND("(",E1120)-1),"")</f>
      </c>
      <c r="B1120" s="46" t="s">
        <v>1178</v>
      </c>
      <c r="C1120" s="46">
        <v>75402</v>
      </c>
      <c r="D1120" s="46" t="s">
        <v>2509</v>
      </c>
      <c r="E1120" s="46" t="s">
        <v>2511</v>
      </c>
      <c r="F1120" s="46" t="s">
        <v>26</v>
      </c>
      <c r="G1120" s="47">
        <v>4.98</v>
      </c>
      <c r="H1120" s="48">
        <v>14.848</v>
      </c>
      <c r="I1120" s="48">
        <v>29.696</v>
      </c>
      <c r="J1120" s="49">
        <v>2</v>
      </c>
      <c r="K1120" s="49">
        <v>0</v>
      </c>
      <c r="L1120" s="49">
        <v>2</v>
      </c>
    </row>
    <row r="1121" spans="1:12" x14ac:dyDescent="0.25">
      <c r="A1121" s="45">
        <f>C1121&amp;"."&amp;IFERROR(MID(E1121,FIND("(",E1121)+1,FIND(")",E1121)-FIND("(",E1121)-1),"")</f>
      </c>
      <c r="B1121" s="46" t="s">
        <v>1178</v>
      </c>
      <c r="C1121" s="46">
        <v>75402</v>
      </c>
      <c r="D1121" s="46" t="s">
        <v>2509</v>
      </c>
      <c r="E1121" s="46" t="s">
        <v>2512</v>
      </c>
      <c r="F1121" s="46" t="s">
        <v>26</v>
      </c>
      <c r="G1121" s="47">
        <v>4.98</v>
      </c>
      <c r="H1121" s="48">
        <v>15.693</v>
      </c>
      <c r="I1121" s="48">
        <v>109.854</v>
      </c>
      <c r="J1121" s="49">
        <v>7</v>
      </c>
      <c r="K1121" s="49">
        <v>0</v>
      </c>
      <c r="L1121" s="49">
        <v>7</v>
      </c>
    </row>
    <row r="1122" spans="1:12" x14ac:dyDescent="0.25">
      <c r="A1122" s="45">
        <f>C1122&amp;"."&amp;IFERROR(MID(E1122,FIND("(",E1122)+1,FIND(")",E1122)-FIND("(",E1122)-1),"")</f>
      </c>
      <c r="B1122" s="46" t="s">
        <v>1178</v>
      </c>
      <c r="C1122" s="46">
        <v>75402</v>
      </c>
      <c r="D1122" s="46" t="s">
        <v>2509</v>
      </c>
      <c r="E1122" s="46" t="s">
        <v>2513</v>
      </c>
      <c r="F1122" s="46" t="s">
        <v>26</v>
      </c>
      <c r="G1122" s="47">
        <v>4.98</v>
      </c>
      <c r="H1122" s="48">
        <v>14.582</v>
      </c>
      <c r="I1122" s="48">
        <v>14.582</v>
      </c>
      <c r="J1122" s="49">
        <v>1</v>
      </c>
      <c r="K1122" s="49">
        <v>0</v>
      </c>
      <c r="L1122" s="49">
        <v>1</v>
      </c>
    </row>
    <row r="1123" spans="1:12" x14ac:dyDescent="0.25">
      <c r="A1123" s="45">
        <f>C1123&amp;"."&amp;IFERROR(MID(E1123,FIND("(",E1123)+1,FIND(")",E1123)-FIND("(",E1123)-1),"")</f>
      </c>
      <c r="B1123" s="46" t="s">
        <v>1178</v>
      </c>
      <c r="C1123" s="46">
        <v>75404</v>
      </c>
      <c r="D1123" s="46" t="s">
        <v>2514</v>
      </c>
      <c r="E1123" s="46" t="s">
        <v>2515</v>
      </c>
      <c r="F1123" s="46" t="s">
        <v>26</v>
      </c>
      <c r="G1123" s="47">
        <v>0.39</v>
      </c>
      <c r="H1123" s="48">
        <v>1.295</v>
      </c>
      <c r="I1123" s="48">
        <v>2.59</v>
      </c>
      <c r="J1123" s="49">
        <v>2</v>
      </c>
      <c r="K1123" s="49">
        <v>0</v>
      </c>
      <c r="L1123" s="49">
        <v>2</v>
      </c>
    </row>
    <row r="1124" spans="1:12" x14ac:dyDescent="0.25">
      <c r="A1124" s="45">
        <f>C1124&amp;"."&amp;IFERROR(MID(E1124,FIND("(",E1124)+1,FIND(")",E1124)-FIND("(",E1124)-1),"")</f>
      </c>
      <c r="B1124" s="46" t="s">
        <v>1178</v>
      </c>
      <c r="C1124" s="46">
        <v>75404</v>
      </c>
      <c r="D1124" s="46" t="s">
        <v>2514</v>
      </c>
      <c r="E1124" s="46" t="s">
        <v>2516</v>
      </c>
      <c r="F1124" s="46" t="s">
        <v>26</v>
      </c>
      <c r="G1124" s="47">
        <v>0.39</v>
      </c>
      <c r="H1124" s="48">
        <v>0.852</v>
      </c>
      <c r="I1124" s="48">
        <v>4.26</v>
      </c>
      <c r="J1124" s="49">
        <v>5</v>
      </c>
      <c r="K1124" s="49">
        <v>2</v>
      </c>
      <c r="L1124" s="49">
        <v>3</v>
      </c>
    </row>
    <row r="1125" spans="1:12" x14ac:dyDescent="0.25">
      <c r="A1125" s="45">
        <f>C1125&amp;"."&amp;IFERROR(MID(E1125,FIND("(",E1125)+1,FIND(")",E1125)-FIND("(",E1125)-1),"")</f>
      </c>
      <c r="B1125" s="46" t="s">
        <v>1178</v>
      </c>
      <c r="C1125" s="46">
        <v>75404</v>
      </c>
      <c r="D1125" s="46" t="s">
        <v>2514</v>
      </c>
      <c r="E1125" s="46" t="s">
        <v>2517</v>
      </c>
      <c r="F1125" s="46" t="s">
        <v>26</v>
      </c>
      <c r="G1125" s="47">
        <v>0.39</v>
      </c>
      <c r="H1125" s="48">
        <v>1.231</v>
      </c>
      <c r="I1125" s="48">
        <v>4.923</v>
      </c>
      <c r="J1125" s="49">
        <v>4</v>
      </c>
      <c r="K1125" s="49">
        <v>0</v>
      </c>
      <c r="L1125" s="49">
        <v>4</v>
      </c>
    </row>
    <row r="1126" spans="1:12" x14ac:dyDescent="0.25">
      <c r="A1126" s="45">
        <f>C1126&amp;"."&amp;IFERROR(MID(E1126,FIND("(",E1126)+1,FIND(")",E1126)-FIND("(",E1126)-1),"")</f>
      </c>
      <c r="B1126" s="46" t="s">
        <v>1178</v>
      </c>
      <c r="C1126" s="46">
        <v>75408</v>
      </c>
      <c r="D1126" s="46" t="s">
        <v>2518</v>
      </c>
      <c r="E1126" s="46" t="s">
        <v>2519</v>
      </c>
      <c r="F1126" s="46" t="s">
        <v>24</v>
      </c>
      <c r="G1126" s="47">
        <v>5.53</v>
      </c>
      <c r="H1126" s="48">
        <v>14.44</v>
      </c>
      <c r="I1126" s="48">
        <v>129.962</v>
      </c>
      <c r="J1126" s="49">
        <v>9</v>
      </c>
      <c r="K1126" s="49">
        <v>1</v>
      </c>
      <c r="L1126" s="49">
        <v>8</v>
      </c>
    </row>
    <row r="1127" spans="1:12" x14ac:dyDescent="0.25">
      <c r="A1127" s="45">
        <f>C1127&amp;"."&amp;IFERROR(MID(E1127,FIND("(",E1127)+1,FIND(")",E1127)-FIND("(",E1127)-1),"")</f>
      </c>
      <c r="B1127" s="46" t="s">
        <v>1178</v>
      </c>
      <c r="C1127" s="46">
        <v>75408</v>
      </c>
      <c r="D1127" s="46" t="s">
        <v>2518</v>
      </c>
      <c r="E1127" s="46" t="s">
        <v>2520</v>
      </c>
      <c r="F1127" s="46" t="s">
        <v>24</v>
      </c>
      <c r="G1127" s="47">
        <v>5.53</v>
      </c>
      <c r="H1127" s="48">
        <v>12.067</v>
      </c>
      <c r="I1127" s="48">
        <v>229.271</v>
      </c>
      <c r="J1127" s="49">
        <v>19</v>
      </c>
      <c r="K1127" s="49">
        <v>6</v>
      </c>
      <c r="L1127" s="49">
        <v>13</v>
      </c>
    </row>
    <row r="1128" spans="1:12" x14ac:dyDescent="0.25">
      <c r="A1128" s="45">
        <f>C1128&amp;"."&amp;IFERROR(MID(E1128,FIND("(",E1128)+1,FIND(")",E1128)-FIND("(",E1128)-1),"")</f>
      </c>
      <c r="B1128" s="46" t="s">
        <v>1178</v>
      </c>
      <c r="C1128" s="46">
        <v>75408</v>
      </c>
      <c r="D1128" s="46" t="s">
        <v>2518</v>
      </c>
      <c r="E1128" s="46" t="s">
        <v>2521</v>
      </c>
      <c r="F1128" s="46" t="s">
        <v>24</v>
      </c>
      <c r="G1128" s="47">
        <v>5.53</v>
      </c>
      <c r="H1128" s="48">
        <v>14.06</v>
      </c>
      <c r="I1128" s="48">
        <v>42.179</v>
      </c>
      <c r="J1128" s="49">
        <v>3</v>
      </c>
      <c r="K1128" s="49">
        <v>0</v>
      </c>
      <c r="L1128" s="49">
        <v>3</v>
      </c>
    </row>
    <row r="1129" spans="1:12" x14ac:dyDescent="0.25">
      <c r="A1129" s="45">
        <f>C1129&amp;"."&amp;IFERROR(MID(E1129,FIND("(",E1129)+1,FIND(")",E1129)-FIND("(",E1129)-1),"")</f>
      </c>
      <c r="B1129" s="46" t="s">
        <v>1178</v>
      </c>
      <c r="C1129" s="46">
        <v>75408</v>
      </c>
      <c r="D1129" s="46" t="s">
        <v>2518</v>
      </c>
      <c r="E1129" s="46" t="s">
        <v>2522</v>
      </c>
      <c r="F1129" s="46" t="s">
        <v>24</v>
      </c>
      <c r="G1129" s="47">
        <v>5.53</v>
      </c>
      <c r="H1129" s="48">
        <v>15.572</v>
      </c>
      <c r="I1129" s="48">
        <v>15.572</v>
      </c>
      <c r="J1129" s="49">
        <v>1</v>
      </c>
      <c r="K1129" s="49">
        <v>0</v>
      </c>
      <c r="L1129" s="49">
        <v>1</v>
      </c>
    </row>
    <row r="1130" spans="1:12" x14ac:dyDescent="0.25">
      <c r="A1130" s="45">
        <f>C1130&amp;"."&amp;IFERROR(MID(E1130,FIND("(",E1130)+1,FIND(")",E1130)-FIND("(",E1130)-1),"")</f>
      </c>
      <c r="B1130" s="46" t="s">
        <v>1178</v>
      </c>
      <c r="C1130" s="46">
        <v>75410</v>
      </c>
      <c r="D1130" s="46" t="s">
        <v>2523</v>
      </c>
      <c r="E1130" s="46" t="s">
        <v>2524</v>
      </c>
      <c r="F1130" s="46" t="s">
        <v>24</v>
      </c>
      <c r="G1130" s="47">
        <v>3.08</v>
      </c>
      <c r="H1130" s="48">
        <v>10.349</v>
      </c>
      <c r="I1130" s="48">
        <v>144.893</v>
      </c>
      <c r="J1130" s="49">
        <v>14</v>
      </c>
      <c r="K1130" s="49">
        <v>2</v>
      </c>
      <c r="L1130" s="49">
        <v>12</v>
      </c>
    </row>
    <row r="1131" spans="1:12" x14ac:dyDescent="0.25">
      <c r="A1131" s="45">
        <f>C1131&amp;"."&amp;IFERROR(MID(E1131,FIND("(",E1131)+1,FIND(")",E1131)-FIND("(",E1131)-1),"")</f>
      </c>
      <c r="B1131" s="46" t="s">
        <v>1178</v>
      </c>
      <c r="C1131" s="46">
        <v>75410</v>
      </c>
      <c r="D1131" s="46" t="s">
        <v>2523</v>
      </c>
      <c r="E1131" s="46" t="s">
        <v>2525</v>
      </c>
      <c r="F1131" s="46" t="s">
        <v>24</v>
      </c>
      <c r="G1131" s="47">
        <v>3.08</v>
      </c>
      <c r="H1131" s="48">
        <v>9.017</v>
      </c>
      <c r="I1131" s="48">
        <v>36.066</v>
      </c>
      <c r="J1131" s="49">
        <v>4</v>
      </c>
      <c r="K1131" s="49">
        <v>1</v>
      </c>
      <c r="L1131" s="49">
        <v>3</v>
      </c>
    </row>
    <row r="1132" spans="1:12" x14ac:dyDescent="0.25">
      <c r="A1132" s="45">
        <f>C1132&amp;"."&amp;IFERROR(MID(E1132,FIND("(",E1132)+1,FIND(")",E1132)-FIND("(",E1132)-1),"")</f>
      </c>
      <c r="B1132" s="46" t="s">
        <v>1178</v>
      </c>
      <c r="C1132" s="46">
        <v>75410</v>
      </c>
      <c r="D1132" s="46" t="s">
        <v>2523</v>
      </c>
      <c r="E1132" s="46" t="s">
        <v>2526</v>
      </c>
      <c r="F1132" s="46" t="s">
        <v>24</v>
      </c>
      <c r="G1132" s="47">
        <v>3.08</v>
      </c>
      <c r="H1132" s="48">
        <v>8.542</v>
      </c>
      <c r="I1132" s="48">
        <v>102.504</v>
      </c>
      <c r="J1132" s="49">
        <v>12</v>
      </c>
      <c r="K1132" s="49">
        <v>1</v>
      </c>
      <c r="L1132" s="49">
        <v>11</v>
      </c>
    </row>
    <row r="1133" spans="1:12" x14ac:dyDescent="0.25">
      <c r="A1133" s="45">
        <f>C1133&amp;"."&amp;IFERROR(MID(E1133,FIND("(",E1133)+1,FIND(")",E1133)-FIND("(",E1133)-1),"")</f>
      </c>
      <c r="B1133" s="46" t="s">
        <v>1178</v>
      </c>
      <c r="C1133" s="46">
        <v>75411</v>
      </c>
      <c r="D1133" s="46" t="s">
        <v>2527</v>
      </c>
      <c r="E1133" s="46" t="s">
        <v>2528</v>
      </c>
      <c r="F1133" s="46" t="s">
        <v>26</v>
      </c>
      <c r="G1133" s="47">
        <v>0.39</v>
      </c>
      <c r="H1133" s="48">
        <v>1.283</v>
      </c>
      <c r="I1133" s="48">
        <v>5.131</v>
      </c>
      <c r="J1133" s="49">
        <v>4</v>
      </c>
      <c r="K1133" s="49">
        <v>4</v>
      </c>
      <c r="L1133" s="49">
        <v>0</v>
      </c>
    </row>
    <row r="1134" spans="1:12" x14ac:dyDescent="0.25">
      <c r="A1134" s="45">
        <f>C1134&amp;"."&amp;IFERROR(MID(E1134,FIND("(",E1134)+1,FIND(")",E1134)-FIND("(",E1134)-1),"")</f>
      </c>
      <c r="B1134" s="46" t="s">
        <v>1178</v>
      </c>
      <c r="C1134" s="46">
        <v>75411</v>
      </c>
      <c r="D1134" s="46" t="s">
        <v>2527</v>
      </c>
      <c r="E1134" s="46" t="s">
        <v>2529</v>
      </c>
      <c r="F1134" s="46" t="s">
        <v>26</v>
      </c>
      <c r="G1134" s="47">
        <v>0.39</v>
      </c>
      <c r="H1134" s="48">
        <v>1.228</v>
      </c>
      <c r="I1134" s="48">
        <v>6.138</v>
      </c>
      <c r="J1134" s="49">
        <v>5</v>
      </c>
      <c r="K1134" s="49">
        <v>0</v>
      </c>
      <c r="L1134" s="49">
        <v>5</v>
      </c>
    </row>
    <row r="1135" spans="1:12" x14ac:dyDescent="0.25">
      <c r="A1135" s="45">
        <f>C1135&amp;"."&amp;IFERROR(MID(E1135,FIND("(",E1135)+1,FIND(")",E1135)-FIND("(",E1135)-1),"")</f>
      </c>
      <c r="B1135" s="46" t="s">
        <v>1178</v>
      </c>
      <c r="C1135" s="46">
        <v>75411</v>
      </c>
      <c r="D1135" s="46" t="s">
        <v>2527</v>
      </c>
      <c r="E1135" s="46" t="s">
        <v>2530</v>
      </c>
      <c r="F1135" s="46" t="s">
        <v>26</v>
      </c>
      <c r="G1135" s="47">
        <v>0.39</v>
      </c>
      <c r="H1135" s="48">
        <v>1.271</v>
      </c>
      <c r="I1135" s="48">
        <v>2.541</v>
      </c>
      <c r="J1135" s="49">
        <v>2</v>
      </c>
      <c r="K1135" s="49">
        <v>0</v>
      </c>
      <c r="L1135" s="49">
        <v>2</v>
      </c>
    </row>
    <row r="1136" spans="1:12" x14ac:dyDescent="0.25">
      <c r="A1136" s="45">
        <f>C1136&amp;"."&amp;IFERROR(MID(E1136,FIND("(",E1136)+1,FIND(")",E1136)-FIND("(",E1136)-1),"")</f>
      </c>
      <c r="B1136" s="46" t="s">
        <v>1178</v>
      </c>
      <c r="C1136" s="46">
        <v>75411</v>
      </c>
      <c r="D1136" s="46" t="s">
        <v>2527</v>
      </c>
      <c r="E1136" s="46" t="s">
        <v>2531</v>
      </c>
      <c r="F1136" s="46" t="s">
        <v>26</v>
      </c>
      <c r="G1136" s="47">
        <v>0.39</v>
      </c>
      <c r="H1136" s="48">
        <v>1.295</v>
      </c>
      <c r="I1136" s="48">
        <v>10.358</v>
      </c>
      <c r="J1136" s="49">
        <v>8</v>
      </c>
      <c r="K1136" s="49">
        <v>0</v>
      </c>
      <c r="L1136" s="49">
        <v>8</v>
      </c>
    </row>
    <row r="1137" spans="1:12" x14ac:dyDescent="0.25">
      <c r="A1137" s="45">
        <f>C1137&amp;"."&amp;IFERROR(MID(E1137,FIND("(",E1137)+1,FIND(")",E1137)-FIND("(",E1137)-1),"")</f>
      </c>
      <c r="B1137" s="46" t="s">
        <v>1178</v>
      </c>
      <c r="C1137" s="46">
        <v>75413</v>
      </c>
      <c r="D1137" s="46" t="s">
        <v>2532</v>
      </c>
      <c r="E1137" s="46" t="s">
        <v>2533</v>
      </c>
      <c r="F1137" s="46" t="s">
        <v>24</v>
      </c>
      <c r="G1137" s="47">
        <v>2.19</v>
      </c>
      <c r="H1137" s="48">
        <v>8.932</v>
      </c>
      <c r="I1137" s="48">
        <v>62.526</v>
      </c>
      <c r="J1137" s="49">
        <v>7</v>
      </c>
      <c r="K1137" s="49">
        <v>0</v>
      </c>
      <c r="L1137" s="49">
        <v>7</v>
      </c>
    </row>
    <row r="1138" spans="1:12" x14ac:dyDescent="0.25">
      <c r="A1138" s="45">
        <f>C1138&amp;"."&amp;IFERROR(MID(E1138,FIND("(",E1138)+1,FIND(")",E1138)-FIND("(",E1138)-1),"")</f>
      </c>
      <c r="B1138" s="46" t="s">
        <v>1178</v>
      </c>
      <c r="C1138" s="46">
        <v>75413</v>
      </c>
      <c r="D1138" s="46" t="s">
        <v>2532</v>
      </c>
      <c r="E1138" s="46" t="s">
        <v>2534</v>
      </c>
      <c r="F1138" s="46" t="s">
        <v>24</v>
      </c>
      <c r="G1138" s="47">
        <v>2.19</v>
      </c>
      <c r="H1138" s="48">
        <v>12.082</v>
      </c>
      <c r="I1138" s="48">
        <v>217.469</v>
      </c>
      <c r="J1138" s="49">
        <v>18</v>
      </c>
      <c r="K1138" s="49">
        <v>1</v>
      </c>
      <c r="L1138" s="49">
        <v>17</v>
      </c>
    </row>
    <row r="1139" spans="1:12" x14ac:dyDescent="0.25">
      <c r="A1139" s="45">
        <f>C1139&amp;"."&amp;IFERROR(MID(E1139,FIND("(",E1139)+1,FIND(")",E1139)-FIND("(",E1139)-1),"")</f>
      </c>
      <c r="B1139" s="46" t="s">
        <v>1178</v>
      </c>
      <c r="C1139" s="46">
        <v>75413</v>
      </c>
      <c r="D1139" s="46" t="s">
        <v>2532</v>
      </c>
      <c r="E1139" s="46" t="s">
        <v>2535</v>
      </c>
      <c r="F1139" s="46" t="s">
        <v>24</v>
      </c>
      <c r="G1139" s="47">
        <v>2.19</v>
      </c>
      <c r="H1139" s="48">
        <v>12.539</v>
      </c>
      <c r="I1139" s="48">
        <v>62.694</v>
      </c>
      <c r="J1139" s="49">
        <v>5</v>
      </c>
      <c r="K1139" s="49">
        <v>1</v>
      </c>
      <c r="L1139" s="49">
        <v>4</v>
      </c>
    </row>
    <row r="1140" spans="1:12" x14ac:dyDescent="0.25">
      <c r="A1140" s="45">
        <f>C1140&amp;"."&amp;IFERROR(MID(E1140,FIND("(",E1140)+1,FIND(")",E1140)-FIND("(",E1140)-1),"")</f>
      </c>
      <c r="B1140" s="46" t="s">
        <v>1178</v>
      </c>
      <c r="C1140" s="46">
        <v>75414</v>
      </c>
      <c r="D1140" s="46" t="s">
        <v>2536</v>
      </c>
      <c r="E1140" s="46" t="s">
        <v>2537</v>
      </c>
      <c r="F1140" s="46" t="s">
        <v>26</v>
      </c>
      <c r="G1140" s="47">
        <v>1.64</v>
      </c>
      <c r="H1140" s="48">
        <v>3.527</v>
      </c>
      <c r="I1140" s="48">
        <v>3.527</v>
      </c>
      <c r="J1140" s="49">
        <v>1</v>
      </c>
      <c r="K1140" s="49">
        <v>0</v>
      </c>
      <c r="L1140" s="49">
        <v>1</v>
      </c>
    </row>
    <row r="1141" spans="1:12" x14ac:dyDescent="0.25">
      <c r="A1141" s="45">
        <f>C1141&amp;"."&amp;IFERROR(MID(E1141,FIND("(",E1141)+1,FIND(")",E1141)-FIND("(",E1141)-1),"")</f>
      </c>
      <c r="B1141" s="46" t="s">
        <v>1178</v>
      </c>
      <c r="C1141" s="46">
        <v>75414</v>
      </c>
      <c r="D1141" s="46" t="s">
        <v>2536</v>
      </c>
      <c r="E1141" s="46" t="s">
        <v>2538</v>
      </c>
      <c r="F1141" s="46" t="s">
        <v>26</v>
      </c>
      <c r="G1141" s="47">
        <v>1.64</v>
      </c>
      <c r="H1141" s="48">
        <v>3.854</v>
      </c>
      <c r="I1141" s="48">
        <v>26.978</v>
      </c>
      <c r="J1141" s="49">
        <v>7</v>
      </c>
      <c r="K1141" s="49">
        <v>0</v>
      </c>
      <c r="L1141" s="49">
        <v>7</v>
      </c>
    </row>
    <row r="1142" spans="1:12" x14ac:dyDescent="0.25">
      <c r="A1142" s="45">
        <f>C1142&amp;"."&amp;IFERROR(MID(E1142,FIND("(",E1142)+1,FIND(")",E1142)-FIND("(",E1142)-1),"")</f>
      </c>
      <c r="B1142" s="46" t="s">
        <v>1178</v>
      </c>
      <c r="C1142" s="46">
        <v>75415</v>
      </c>
      <c r="D1142" s="46" t="s">
        <v>2539</v>
      </c>
      <c r="E1142" s="46" t="s">
        <v>2540</v>
      </c>
      <c r="F1142" s="46" t="s">
        <v>24</v>
      </c>
      <c r="G1142" s="47">
        <v>1.49</v>
      </c>
      <c r="H1142" s="48">
        <v>6.829</v>
      </c>
      <c r="I1142" s="48">
        <v>81.949</v>
      </c>
      <c r="J1142" s="49">
        <v>12</v>
      </c>
      <c r="K1142" s="49">
        <v>0</v>
      </c>
      <c r="L1142" s="49">
        <v>12</v>
      </c>
    </row>
    <row r="1143" spans="1:12" x14ac:dyDescent="0.25">
      <c r="A1143" s="45">
        <f>C1143&amp;"."&amp;IFERROR(MID(E1143,FIND("(",E1143)+1,FIND(")",E1143)-FIND("(",E1143)-1),"")</f>
      </c>
      <c r="B1143" s="46" t="s">
        <v>1178</v>
      </c>
      <c r="C1143" s="46">
        <v>75415</v>
      </c>
      <c r="D1143" s="46" t="s">
        <v>2539</v>
      </c>
      <c r="E1143" s="46" t="s">
        <v>2541</v>
      </c>
      <c r="F1143" s="46" t="s">
        <v>24</v>
      </c>
      <c r="G1143" s="47">
        <v>1.49</v>
      </c>
      <c r="H1143" s="48">
        <v>7.621</v>
      </c>
      <c r="I1143" s="48">
        <v>76.209</v>
      </c>
      <c r="J1143" s="49">
        <v>10</v>
      </c>
      <c r="K1143" s="49">
        <v>0</v>
      </c>
      <c r="L1143" s="49">
        <v>10</v>
      </c>
    </row>
    <row r="1144" spans="1:12" x14ac:dyDescent="0.25">
      <c r="A1144" s="45">
        <f>C1144&amp;"."&amp;IFERROR(MID(E1144,FIND("(",E1144)+1,FIND(")",E1144)-FIND("(",E1144)-1),"")</f>
      </c>
      <c r="B1144" s="46" t="s">
        <v>1178</v>
      </c>
      <c r="C1144" s="46">
        <v>75415</v>
      </c>
      <c r="D1144" s="46" t="s">
        <v>2539</v>
      </c>
      <c r="E1144" s="46" t="s">
        <v>2542</v>
      </c>
      <c r="F1144" s="46" t="s">
        <v>24</v>
      </c>
      <c r="G1144" s="47">
        <v>1.49</v>
      </c>
      <c r="H1144" s="48">
        <v>7.008</v>
      </c>
      <c r="I1144" s="48">
        <v>42.048</v>
      </c>
      <c r="J1144" s="49">
        <v>6</v>
      </c>
      <c r="K1144" s="49">
        <v>0</v>
      </c>
      <c r="L1144" s="49">
        <v>6</v>
      </c>
    </row>
    <row r="1145" spans="1:12" x14ac:dyDescent="0.25">
      <c r="A1145" s="45">
        <f>C1145&amp;"."&amp;IFERROR(MID(E1145,FIND("(",E1145)+1,FIND(")",E1145)-FIND("(",E1145)-1),"")</f>
      </c>
      <c r="B1145" s="46" t="s">
        <v>1178</v>
      </c>
      <c r="C1145" s="46">
        <v>75416</v>
      </c>
      <c r="D1145" s="46" t="s">
        <v>2543</v>
      </c>
      <c r="E1145" s="46" t="s">
        <v>2544</v>
      </c>
      <c r="F1145" s="46" t="s">
        <v>24</v>
      </c>
      <c r="G1145" s="47">
        <v>0.76</v>
      </c>
      <c r="H1145" s="48">
        <v>9.249</v>
      </c>
      <c r="I1145" s="48">
        <v>27.748</v>
      </c>
      <c r="J1145" s="49">
        <v>3</v>
      </c>
      <c r="K1145" s="49">
        <v>3</v>
      </c>
      <c r="L1145" s="49">
        <v>0</v>
      </c>
    </row>
    <row r="1146" spans="1:12" x14ac:dyDescent="0.25">
      <c r="A1146" s="45">
        <f>C1146&amp;"."&amp;IFERROR(MID(E1146,FIND("(",E1146)+1,FIND(")",E1146)-FIND("(",E1146)-1),"")</f>
      </c>
      <c r="B1146" s="46" t="s">
        <v>1178</v>
      </c>
      <c r="C1146" s="46">
        <v>75417</v>
      </c>
      <c r="D1146" s="46" t="s">
        <v>2545</v>
      </c>
      <c r="E1146" s="46" t="s">
        <v>2546</v>
      </c>
      <c r="F1146" s="46" t="s">
        <v>26</v>
      </c>
      <c r="G1146" s="47">
        <v>16.86</v>
      </c>
      <c r="H1146" s="48">
        <v>47.603</v>
      </c>
      <c r="I1146" s="48">
        <v>380.827</v>
      </c>
      <c r="J1146" s="49">
        <v>8</v>
      </c>
      <c r="K1146" s="49">
        <v>8</v>
      </c>
      <c r="L1146" s="49">
        <v>0</v>
      </c>
    </row>
    <row r="1147" spans="1:12" x14ac:dyDescent="0.25">
      <c r="A1147" s="45">
        <f>C1147&amp;"."&amp;IFERROR(MID(E1147,FIND("(",E1147)+1,FIND(")",E1147)-FIND("(",E1147)-1),"")</f>
      </c>
      <c r="B1147" s="46" t="s">
        <v>1178</v>
      </c>
      <c r="C1147" s="46">
        <v>75417</v>
      </c>
      <c r="D1147" s="46" t="s">
        <v>2545</v>
      </c>
      <c r="E1147" s="46" t="s">
        <v>2547</v>
      </c>
      <c r="F1147" s="46" t="s">
        <v>26</v>
      </c>
      <c r="G1147" s="47">
        <v>16.86</v>
      </c>
      <c r="H1147" s="48">
        <v>47.986</v>
      </c>
      <c r="I1147" s="48">
        <v>95.972</v>
      </c>
      <c r="J1147" s="49">
        <v>2</v>
      </c>
      <c r="K1147" s="49">
        <v>2</v>
      </c>
      <c r="L1147" s="49">
        <v>0</v>
      </c>
    </row>
    <row r="1148" spans="1:12" x14ac:dyDescent="0.25">
      <c r="A1148" s="45">
        <f>C1148&amp;"."&amp;IFERROR(MID(E1148,FIND("(",E1148)+1,FIND(")",E1148)-FIND("(",E1148)-1),"")</f>
      </c>
      <c r="B1148" s="46" t="s">
        <v>1178</v>
      </c>
      <c r="C1148" s="46">
        <v>75417</v>
      </c>
      <c r="D1148" s="46" t="s">
        <v>2545</v>
      </c>
      <c r="E1148" s="46" t="s">
        <v>2548</v>
      </c>
      <c r="F1148" s="46" t="s">
        <v>26</v>
      </c>
      <c r="G1148" s="47">
        <v>16.86</v>
      </c>
      <c r="H1148" s="48">
        <v>50.161</v>
      </c>
      <c r="I1148" s="48">
        <v>200.644</v>
      </c>
      <c r="J1148" s="49">
        <v>4</v>
      </c>
      <c r="K1148" s="49">
        <v>1</v>
      </c>
      <c r="L1148" s="49">
        <v>3</v>
      </c>
    </row>
    <row r="1149" spans="1:12" x14ac:dyDescent="0.25">
      <c r="A1149" s="45">
        <f>C1149&amp;"."&amp;IFERROR(MID(E1149,FIND("(",E1149)+1,FIND(")",E1149)-FIND("(",E1149)-1),"")</f>
      </c>
      <c r="B1149" s="46" t="s">
        <v>1178</v>
      </c>
      <c r="C1149" s="46">
        <v>75420</v>
      </c>
      <c r="D1149" s="46" t="s">
        <v>2549</v>
      </c>
      <c r="E1149" s="46" t="s">
        <v>2550</v>
      </c>
      <c r="F1149" s="46" t="s">
        <v>26</v>
      </c>
      <c r="G1149" s="47">
        <v>16.86</v>
      </c>
      <c r="H1149" s="48">
        <v>43.342</v>
      </c>
      <c r="I1149" s="48">
        <v>520.098</v>
      </c>
      <c r="J1149" s="49">
        <v>12</v>
      </c>
      <c r="K1149" s="49">
        <v>8</v>
      </c>
      <c r="L1149" s="49">
        <v>4</v>
      </c>
    </row>
    <row r="1150" spans="1:12" x14ac:dyDescent="0.25">
      <c r="A1150" s="45">
        <f>C1150&amp;"."&amp;IFERROR(MID(E1150,FIND("(",E1150)+1,FIND(")",E1150)-FIND("(",E1150)-1),"")</f>
      </c>
      <c r="B1150" s="46" t="s">
        <v>1178</v>
      </c>
      <c r="C1150" s="46">
        <v>75420</v>
      </c>
      <c r="D1150" s="46" t="s">
        <v>2549</v>
      </c>
      <c r="E1150" s="46" t="s">
        <v>2551</v>
      </c>
      <c r="F1150" s="46" t="s">
        <v>26</v>
      </c>
      <c r="G1150" s="47">
        <v>16.86</v>
      </c>
      <c r="H1150" s="48">
        <v>47.746</v>
      </c>
      <c r="I1150" s="48">
        <v>143.238</v>
      </c>
      <c r="J1150" s="49">
        <v>3</v>
      </c>
      <c r="K1150" s="49">
        <v>3</v>
      </c>
      <c r="L1150" s="49">
        <v>0</v>
      </c>
    </row>
    <row r="1151" spans="1:12" x14ac:dyDescent="0.25">
      <c r="A1151" s="45">
        <f>C1151&amp;"."&amp;IFERROR(MID(E1151,FIND("(",E1151)+1,FIND(")",E1151)-FIND("(",E1151)-1),"")</f>
      </c>
      <c r="B1151" s="46" t="s">
        <v>1178</v>
      </c>
      <c r="C1151" s="46">
        <v>75420</v>
      </c>
      <c r="D1151" s="46" t="s">
        <v>2549</v>
      </c>
      <c r="E1151" s="46" t="s">
        <v>2552</v>
      </c>
      <c r="F1151" s="46" t="s">
        <v>26</v>
      </c>
      <c r="G1151" s="47">
        <v>16.86</v>
      </c>
      <c r="H1151" s="48">
        <v>43.544</v>
      </c>
      <c r="I1151" s="48">
        <v>957.967</v>
      </c>
      <c r="J1151" s="49">
        <v>22</v>
      </c>
      <c r="K1151" s="49">
        <v>3</v>
      </c>
      <c r="L1151" s="49">
        <v>19</v>
      </c>
    </row>
    <row r="1152" spans="1:12" x14ac:dyDescent="0.25">
      <c r="A1152" s="45">
        <f>C1152&amp;"."&amp;IFERROR(MID(E1152,FIND("(",E1152)+1,FIND(")",E1152)-FIND("(",E1152)-1),"")</f>
      </c>
      <c r="B1152" s="46" t="s">
        <v>1178</v>
      </c>
      <c r="C1152" s="46">
        <v>75424</v>
      </c>
      <c r="D1152" s="46" t="s">
        <v>2553</v>
      </c>
      <c r="E1152" s="46" t="s">
        <v>2554</v>
      </c>
      <c r="F1152" s="46" t="s">
        <v>26</v>
      </c>
      <c r="G1152" s="47">
        <v>0.53</v>
      </c>
      <c r="H1152" s="48">
        <v>2.222</v>
      </c>
      <c r="I1152" s="48">
        <v>280.02</v>
      </c>
      <c r="J1152" s="49">
        <v>126</v>
      </c>
      <c r="K1152" s="49">
        <v>125</v>
      </c>
      <c r="L1152" s="49">
        <v>1</v>
      </c>
    </row>
    <row r="1153" spans="1:12" x14ac:dyDescent="0.25">
      <c r="A1153" s="45">
        <f>C1153&amp;"."&amp;IFERROR(MID(E1153,FIND("(",E1153)+1,FIND(")",E1153)-FIND("(",E1153)-1),"")</f>
      </c>
      <c r="B1153" s="46" t="s">
        <v>1178</v>
      </c>
      <c r="C1153" s="46">
        <v>75424</v>
      </c>
      <c r="D1153" s="46" t="s">
        <v>2553</v>
      </c>
      <c r="E1153" s="46" t="s">
        <v>2555</v>
      </c>
      <c r="F1153" s="46" t="s">
        <v>26</v>
      </c>
      <c r="G1153" s="47">
        <v>0.53</v>
      </c>
      <c r="H1153" s="48">
        <v>1.732</v>
      </c>
      <c r="I1153" s="48">
        <v>5.196</v>
      </c>
      <c r="J1153" s="49">
        <v>3</v>
      </c>
      <c r="K1153" s="49">
        <v>0</v>
      </c>
      <c r="L1153" s="49">
        <v>3</v>
      </c>
    </row>
    <row r="1154" spans="1:12" x14ac:dyDescent="0.25">
      <c r="A1154" s="45">
        <f>C1154&amp;"."&amp;IFERROR(MID(E1154,FIND("(",E1154)+1,FIND(")",E1154)-FIND("(",E1154)-1),"")</f>
      </c>
      <c r="B1154" s="46" t="s">
        <v>1178</v>
      </c>
      <c r="C1154" s="46">
        <v>75424</v>
      </c>
      <c r="D1154" s="46" t="s">
        <v>2553</v>
      </c>
      <c r="E1154" s="46" t="s">
        <v>2556</v>
      </c>
      <c r="F1154" s="46" t="s">
        <v>26</v>
      </c>
      <c r="G1154" s="47">
        <v>0.53</v>
      </c>
      <c r="H1154" s="48">
        <v>0.88</v>
      </c>
      <c r="I1154" s="48">
        <v>11.443</v>
      </c>
      <c r="J1154" s="49">
        <v>13</v>
      </c>
      <c r="K1154" s="49">
        <v>0</v>
      </c>
      <c r="L1154" s="49">
        <v>13</v>
      </c>
    </row>
    <row r="1155" spans="1:12" x14ac:dyDescent="0.25">
      <c r="A1155" s="45">
        <f>C1155&amp;"."&amp;IFERROR(MID(E1155,FIND("(",E1155)+1,FIND(")",E1155)-FIND("(",E1155)-1),"")</f>
      </c>
      <c r="B1155" s="46" t="s">
        <v>1178</v>
      </c>
      <c r="C1155" s="46">
        <v>75426</v>
      </c>
      <c r="D1155" s="46" t="s">
        <v>2557</v>
      </c>
      <c r="E1155" s="46" t="s">
        <v>2558</v>
      </c>
      <c r="F1155" s="46" t="s">
        <v>26</v>
      </c>
      <c r="G1155" s="47">
        <v>0.53</v>
      </c>
      <c r="H1155" s="48">
        <v>1.402</v>
      </c>
      <c r="I1155" s="48">
        <v>7.009</v>
      </c>
      <c r="J1155" s="49">
        <v>5</v>
      </c>
      <c r="K1155" s="49">
        <v>0</v>
      </c>
      <c r="L1155" s="49">
        <v>5</v>
      </c>
    </row>
    <row r="1156" spans="1:12" x14ac:dyDescent="0.25">
      <c r="A1156" s="45">
        <f>C1156&amp;"."&amp;IFERROR(MID(E1156,FIND("(",E1156)+1,FIND(")",E1156)-FIND("(",E1156)-1),"")</f>
      </c>
      <c r="B1156" s="46" t="s">
        <v>1178</v>
      </c>
      <c r="C1156" s="46">
        <v>75426</v>
      </c>
      <c r="D1156" s="46" t="s">
        <v>2557</v>
      </c>
      <c r="E1156" s="46" t="s">
        <v>2559</v>
      </c>
      <c r="F1156" s="46" t="s">
        <v>26</v>
      </c>
      <c r="G1156" s="47">
        <v>0.53</v>
      </c>
      <c r="H1156" s="48">
        <v>2.151</v>
      </c>
      <c r="I1156" s="48">
        <v>68.831</v>
      </c>
      <c r="J1156" s="49">
        <v>32</v>
      </c>
      <c r="K1156" s="49">
        <v>32</v>
      </c>
      <c r="L1156" s="49">
        <v>0</v>
      </c>
    </row>
    <row r="1157" spans="1:12" x14ac:dyDescent="0.25">
      <c r="A1157" s="45">
        <f>C1157&amp;"."&amp;IFERROR(MID(E1157,FIND("(",E1157)+1,FIND(")",E1157)-FIND("(",E1157)-1),"")</f>
      </c>
      <c r="B1157" s="46" t="s">
        <v>1178</v>
      </c>
      <c r="C1157" s="46">
        <v>75426</v>
      </c>
      <c r="D1157" s="46" t="s">
        <v>2557</v>
      </c>
      <c r="E1157" s="46" t="s">
        <v>2560</v>
      </c>
      <c r="F1157" s="46" t="s">
        <v>26</v>
      </c>
      <c r="G1157" s="47">
        <v>0.53</v>
      </c>
      <c r="H1157" s="48">
        <v>1.738</v>
      </c>
      <c r="I1157" s="48">
        <v>8.692</v>
      </c>
      <c r="J1157" s="49">
        <v>5</v>
      </c>
      <c r="K1157" s="49">
        <v>0</v>
      </c>
      <c r="L1157" s="49">
        <v>5</v>
      </c>
    </row>
    <row r="1158" spans="1:12" x14ac:dyDescent="0.25">
      <c r="A1158" s="45">
        <f>C1158&amp;"."&amp;IFERROR(MID(E1158,FIND("(",E1158)+1,FIND(")",E1158)-FIND("(",E1158)-1),"")</f>
      </c>
      <c r="B1158" s="46" t="s">
        <v>1178</v>
      </c>
      <c r="C1158" s="46">
        <v>75432</v>
      </c>
      <c r="D1158" s="46" t="s">
        <v>2561</v>
      </c>
      <c r="E1158" s="46" t="s">
        <v>2562</v>
      </c>
      <c r="F1158" s="46" t="s">
        <v>24</v>
      </c>
      <c r="G1158" s="47">
        <v>1.77</v>
      </c>
      <c r="H1158" s="48">
        <v>20.724</v>
      </c>
      <c r="I1158" s="48">
        <v>124.344</v>
      </c>
      <c r="J1158" s="49">
        <v>6</v>
      </c>
      <c r="K1158" s="49">
        <v>0</v>
      </c>
      <c r="L1158" s="49">
        <v>6</v>
      </c>
    </row>
    <row r="1159" spans="1:12" x14ac:dyDescent="0.25">
      <c r="A1159" s="45">
        <f>C1159&amp;"."&amp;IFERROR(MID(E1159,FIND("(",E1159)+1,FIND(")",E1159)-FIND("(",E1159)-1),"")</f>
      </c>
      <c r="B1159" s="46" t="s">
        <v>1178</v>
      </c>
      <c r="C1159" s="46">
        <v>75432</v>
      </c>
      <c r="D1159" s="46" t="s">
        <v>2561</v>
      </c>
      <c r="E1159" s="46" t="s">
        <v>2563</v>
      </c>
      <c r="F1159" s="46" t="s">
        <v>24</v>
      </c>
      <c r="G1159" s="47">
        <v>1.77</v>
      </c>
      <c r="H1159" s="48">
        <v>18.066</v>
      </c>
      <c r="I1159" s="48">
        <v>415.508</v>
      </c>
      <c r="J1159" s="49">
        <v>23</v>
      </c>
      <c r="K1159" s="49">
        <v>0</v>
      </c>
      <c r="L1159" s="49">
        <v>23</v>
      </c>
    </row>
    <row r="1160" spans="1:12" x14ac:dyDescent="0.25">
      <c r="A1160" s="45">
        <f>C1160&amp;"."&amp;IFERROR(MID(E1160,FIND("(",E1160)+1,FIND(")",E1160)-FIND("(",E1160)-1),"")</f>
      </c>
      <c r="B1160" s="46" t="s">
        <v>1178</v>
      </c>
      <c r="C1160" s="46">
        <v>75432</v>
      </c>
      <c r="D1160" s="46" t="s">
        <v>2561</v>
      </c>
      <c r="E1160" s="46" t="s">
        <v>2564</v>
      </c>
      <c r="F1160" s="46" t="s">
        <v>24</v>
      </c>
      <c r="G1160" s="47">
        <v>1.77</v>
      </c>
      <c r="H1160" s="48">
        <v>20.129</v>
      </c>
      <c r="I1160" s="48">
        <v>100.647</v>
      </c>
      <c r="J1160" s="49">
        <v>5</v>
      </c>
      <c r="K1160" s="49">
        <v>1</v>
      </c>
      <c r="L1160" s="49">
        <v>4</v>
      </c>
    </row>
    <row r="1161" spans="1:12" x14ac:dyDescent="0.25">
      <c r="A1161" s="45">
        <f>C1161&amp;"."&amp;IFERROR(MID(E1161,FIND("(",E1161)+1,FIND(")",E1161)-FIND("(",E1161)-1),"")</f>
      </c>
      <c r="B1161" s="46" t="s">
        <v>1178</v>
      </c>
      <c r="C1161" s="46">
        <v>75433</v>
      </c>
      <c r="D1161" s="46" t="s">
        <v>2565</v>
      </c>
      <c r="E1161" s="46" t="s">
        <v>2566</v>
      </c>
      <c r="F1161" s="46" t="s">
        <v>26</v>
      </c>
      <c r="G1161" s="47">
        <v>0.37</v>
      </c>
      <c r="H1161" s="48">
        <v>1.686</v>
      </c>
      <c r="I1161" s="48">
        <v>5.057</v>
      </c>
      <c r="J1161" s="49">
        <v>3</v>
      </c>
      <c r="K1161" s="49">
        <v>0</v>
      </c>
      <c r="L1161" s="49">
        <v>3</v>
      </c>
    </row>
    <row r="1162" spans="1:12" x14ac:dyDescent="0.25">
      <c r="A1162" s="45">
        <f>C1162&amp;"."&amp;IFERROR(MID(E1162,FIND("(",E1162)+1,FIND(")",E1162)-FIND("(",E1162)-1),"")</f>
      </c>
      <c r="B1162" s="46" t="s">
        <v>1178</v>
      </c>
      <c r="C1162" s="46">
        <v>75433</v>
      </c>
      <c r="D1162" s="46" t="s">
        <v>2565</v>
      </c>
      <c r="E1162" s="46" t="s">
        <v>2567</v>
      </c>
      <c r="F1162" s="46" t="s">
        <v>26</v>
      </c>
      <c r="G1162" s="47">
        <v>0.37</v>
      </c>
      <c r="H1162" s="48">
        <v>2.444</v>
      </c>
      <c r="I1162" s="48">
        <v>17.11</v>
      </c>
      <c r="J1162" s="49">
        <v>7</v>
      </c>
      <c r="K1162" s="49">
        <v>4</v>
      </c>
      <c r="L1162" s="49">
        <v>3</v>
      </c>
    </row>
    <row r="1163" spans="1:12" x14ac:dyDescent="0.25">
      <c r="A1163" s="45">
        <f>C1163&amp;"."&amp;IFERROR(MID(E1163,FIND("(",E1163)+1,FIND(")",E1163)-FIND("(",E1163)-1),"")</f>
      </c>
      <c r="B1163" s="46" t="s">
        <v>1178</v>
      </c>
      <c r="C1163" s="46">
        <v>75433</v>
      </c>
      <c r="D1163" s="46" t="s">
        <v>2565</v>
      </c>
      <c r="E1163" s="46" t="s">
        <v>2568</v>
      </c>
      <c r="F1163" s="46" t="s">
        <v>26</v>
      </c>
      <c r="G1163" s="47">
        <v>0.37</v>
      </c>
      <c r="H1163" s="48">
        <v>1.416</v>
      </c>
      <c r="I1163" s="48">
        <v>14.158</v>
      </c>
      <c r="J1163" s="49">
        <v>10</v>
      </c>
      <c r="K1163" s="49">
        <v>0</v>
      </c>
      <c r="L1163" s="49">
        <v>10</v>
      </c>
    </row>
    <row r="1164" spans="1:12" x14ac:dyDescent="0.25">
      <c r="A1164" s="45">
        <f>C1164&amp;"."&amp;IFERROR(MID(E1164,FIND("(",E1164)+1,FIND(")",E1164)-FIND("(",E1164)-1),"")</f>
      </c>
      <c r="B1164" s="46" t="s">
        <v>1178</v>
      </c>
      <c r="C1164" s="46">
        <v>75436</v>
      </c>
      <c r="D1164" s="46" t="s">
        <v>2569</v>
      </c>
      <c r="E1164" s="46" t="s">
        <v>2570</v>
      </c>
      <c r="F1164" s="46" t="s">
        <v>24</v>
      </c>
      <c r="G1164" s="47">
        <v>1.97</v>
      </c>
      <c r="H1164" s="48">
        <v>7.886</v>
      </c>
      <c r="I1164" s="48">
        <v>86.748</v>
      </c>
      <c r="J1164" s="49">
        <v>11</v>
      </c>
      <c r="K1164" s="49">
        <v>0</v>
      </c>
      <c r="L1164" s="49">
        <v>11</v>
      </c>
    </row>
    <row r="1165" spans="1:12" x14ac:dyDescent="0.25">
      <c r="A1165" s="45">
        <f>C1165&amp;"."&amp;IFERROR(MID(E1165,FIND("(",E1165)+1,FIND(")",E1165)-FIND("(",E1165)-1),"")</f>
      </c>
      <c r="B1165" s="46" t="s">
        <v>1178</v>
      </c>
      <c r="C1165" s="46">
        <v>75436</v>
      </c>
      <c r="D1165" s="46" t="s">
        <v>2569</v>
      </c>
      <c r="E1165" s="46" t="s">
        <v>2571</v>
      </c>
      <c r="F1165" s="46" t="s">
        <v>24</v>
      </c>
      <c r="G1165" s="47">
        <v>1.97</v>
      </c>
      <c r="H1165" s="48">
        <v>7.512</v>
      </c>
      <c r="I1165" s="48">
        <v>52.581</v>
      </c>
      <c r="J1165" s="49">
        <v>7</v>
      </c>
      <c r="K1165" s="49">
        <v>0</v>
      </c>
      <c r="L1165" s="49">
        <v>7</v>
      </c>
    </row>
    <row r="1166" spans="1:12" x14ac:dyDescent="0.25">
      <c r="A1166" s="45">
        <f>C1166&amp;"."&amp;IFERROR(MID(E1166,FIND("(",E1166)+1,FIND(")",E1166)-FIND("(",E1166)-1),"")</f>
      </c>
      <c r="B1166" s="46" t="s">
        <v>1178</v>
      </c>
      <c r="C1166" s="46">
        <v>75436</v>
      </c>
      <c r="D1166" s="46" t="s">
        <v>2569</v>
      </c>
      <c r="E1166" s="46" t="s">
        <v>2572</v>
      </c>
      <c r="F1166" s="46" t="s">
        <v>24</v>
      </c>
      <c r="G1166" s="47">
        <v>1.97</v>
      </c>
      <c r="H1166" s="48">
        <v>7.894</v>
      </c>
      <c r="I1166" s="48">
        <v>78.942</v>
      </c>
      <c r="J1166" s="49">
        <v>10</v>
      </c>
      <c r="K1166" s="49">
        <v>0</v>
      </c>
      <c r="L1166" s="49">
        <v>10</v>
      </c>
    </row>
    <row r="1167" spans="1:12" x14ac:dyDescent="0.25">
      <c r="A1167" s="45">
        <f>C1167&amp;"."&amp;IFERROR(MID(E1167,FIND("(",E1167)+1,FIND(")",E1167)-FIND("(",E1167)-1),"")</f>
      </c>
      <c r="B1167" s="46" t="s">
        <v>1178</v>
      </c>
      <c r="C1167" s="46">
        <v>75441</v>
      </c>
      <c r="D1167" s="46" t="s">
        <v>2573</v>
      </c>
      <c r="E1167" s="46" t="s">
        <v>2574</v>
      </c>
      <c r="F1167" s="46" t="s">
        <v>24</v>
      </c>
      <c r="G1167" s="47">
        <v>1.63</v>
      </c>
      <c r="H1167" s="48">
        <v>6.476</v>
      </c>
      <c r="I1167" s="48">
        <v>51.811</v>
      </c>
      <c r="J1167" s="49">
        <v>8</v>
      </c>
      <c r="K1167" s="49">
        <v>2</v>
      </c>
      <c r="L1167" s="49">
        <v>6</v>
      </c>
    </row>
    <row r="1168" spans="1:12" x14ac:dyDescent="0.25">
      <c r="A1168" s="45">
        <f>C1168&amp;"."&amp;IFERROR(MID(E1168,FIND("(",E1168)+1,FIND(")",E1168)-FIND("(",E1168)-1),"")</f>
      </c>
      <c r="B1168" s="46" t="s">
        <v>1178</v>
      </c>
      <c r="C1168" s="46">
        <v>75441</v>
      </c>
      <c r="D1168" s="46" t="s">
        <v>2573</v>
      </c>
      <c r="E1168" s="46" t="s">
        <v>2575</v>
      </c>
      <c r="F1168" s="46" t="s">
        <v>24</v>
      </c>
      <c r="G1168" s="47">
        <v>1.63</v>
      </c>
      <c r="H1168" s="48">
        <v>5.977</v>
      </c>
      <c r="I1168" s="48">
        <v>107.58</v>
      </c>
      <c r="J1168" s="49">
        <v>18</v>
      </c>
      <c r="K1168" s="49">
        <v>4</v>
      </c>
      <c r="L1168" s="49">
        <v>14</v>
      </c>
    </row>
    <row r="1169" spans="1:12" x14ac:dyDescent="0.25">
      <c r="A1169" s="45">
        <f>C1169&amp;"."&amp;IFERROR(MID(E1169,FIND("(",E1169)+1,FIND(")",E1169)-FIND("(",E1169)-1),"")</f>
      </c>
      <c r="B1169" s="46" t="s">
        <v>1178</v>
      </c>
      <c r="C1169" s="46">
        <v>75443</v>
      </c>
      <c r="D1169" s="46" t="s">
        <v>2576</v>
      </c>
      <c r="E1169" s="46" t="s">
        <v>1248</v>
      </c>
      <c r="F1169" s="46" t="s">
        <v>26</v>
      </c>
      <c r="G1169" s="47">
        <v>0.37</v>
      </c>
      <c r="H1169" s="48">
        <v>0.719</v>
      </c>
      <c r="I1169" s="48">
        <v>4.316</v>
      </c>
      <c r="J1169" s="49">
        <v>6</v>
      </c>
      <c r="K1169" s="49">
        <v>6</v>
      </c>
      <c r="L1169" s="49">
        <v>0</v>
      </c>
    </row>
    <row r="1170" spans="1:12" x14ac:dyDescent="0.25">
      <c r="A1170" s="45">
        <f>C1170&amp;"."&amp;IFERROR(MID(E1170,FIND("(",E1170)+1,FIND(")",E1170)-FIND("(",E1170)-1),"")</f>
      </c>
      <c r="B1170" s="46" t="s">
        <v>1178</v>
      </c>
      <c r="C1170" s="46">
        <v>75446</v>
      </c>
      <c r="D1170" s="46" t="s">
        <v>2577</v>
      </c>
      <c r="E1170" s="46" t="s">
        <v>2578</v>
      </c>
      <c r="F1170" s="46" t="s">
        <v>24</v>
      </c>
      <c r="G1170" s="47">
        <v>4.21</v>
      </c>
      <c r="H1170" s="48">
        <v>14.996</v>
      </c>
      <c r="I1170" s="48">
        <v>104.975</v>
      </c>
      <c r="J1170" s="49">
        <v>7</v>
      </c>
      <c r="K1170" s="49">
        <v>2</v>
      </c>
      <c r="L1170" s="49">
        <v>5</v>
      </c>
    </row>
    <row r="1171" spans="1:12" x14ac:dyDescent="0.25">
      <c r="A1171" s="45">
        <f>C1171&amp;"."&amp;IFERROR(MID(E1171,FIND("(",E1171)+1,FIND(")",E1171)-FIND("(",E1171)-1),"")</f>
      </c>
      <c r="B1171" s="46" t="s">
        <v>1178</v>
      </c>
      <c r="C1171" s="46">
        <v>75446</v>
      </c>
      <c r="D1171" s="46" t="s">
        <v>2577</v>
      </c>
      <c r="E1171" s="46" t="s">
        <v>2579</v>
      </c>
      <c r="F1171" s="46" t="s">
        <v>24</v>
      </c>
      <c r="G1171" s="47">
        <v>4.21</v>
      </c>
      <c r="H1171" s="48">
        <v>13.644</v>
      </c>
      <c r="I1171" s="48">
        <v>191.009</v>
      </c>
      <c r="J1171" s="49">
        <v>14</v>
      </c>
      <c r="K1171" s="49">
        <v>2</v>
      </c>
      <c r="L1171" s="49">
        <v>12</v>
      </c>
    </row>
    <row r="1172" spans="1:12" x14ac:dyDescent="0.25">
      <c r="A1172" s="45">
        <f>C1172&amp;"."&amp;IFERROR(MID(E1172,FIND("(",E1172)+1,FIND(")",E1172)-FIND("(",E1172)-1),"")</f>
      </c>
      <c r="B1172" s="46" t="s">
        <v>1178</v>
      </c>
      <c r="C1172" s="46">
        <v>75446</v>
      </c>
      <c r="D1172" s="46" t="s">
        <v>2577</v>
      </c>
      <c r="E1172" s="46" t="s">
        <v>2580</v>
      </c>
      <c r="F1172" s="46" t="s">
        <v>24</v>
      </c>
      <c r="G1172" s="47">
        <v>4.21</v>
      </c>
      <c r="H1172" s="48">
        <v>17.297</v>
      </c>
      <c r="I1172" s="48">
        <v>1003.228</v>
      </c>
      <c r="J1172" s="49">
        <v>58</v>
      </c>
      <c r="K1172" s="49">
        <v>12</v>
      </c>
      <c r="L1172" s="49">
        <v>46</v>
      </c>
    </row>
    <row r="1173" spans="1:12" x14ac:dyDescent="0.25">
      <c r="A1173" s="45">
        <f>C1173&amp;"."&amp;IFERROR(MID(E1173,FIND("(",E1173)+1,FIND(")",E1173)-FIND("(",E1173)-1),"")</f>
      </c>
      <c r="B1173" s="46" t="s">
        <v>1178</v>
      </c>
      <c r="C1173" s="46">
        <v>75448</v>
      </c>
      <c r="D1173" s="46" t="s">
        <v>2581</v>
      </c>
      <c r="E1173" s="46" t="s">
        <v>2582</v>
      </c>
      <c r="F1173" s="46" t="s">
        <v>26</v>
      </c>
      <c r="G1173" s="47">
        <v>14.91</v>
      </c>
      <c r="H1173" s="48">
        <v>26.56</v>
      </c>
      <c r="I1173" s="48">
        <v>132.799</v>
      </c>
      <c r="J1173" s="49">
        <v>5</v>
      </c>
      <c r="K1173" s="49">
        <v>1</v>
      </c>
      <c r="L1173" s="49">
        <v>4</v>
      </c>
    </row>
    <row r="1174" spans="1:12" x14ac:dyDescent="0.25">
      <c r="A1174" s="45">
        <f>C1174&amp;"."&amp;IFERROR(MID(E1174,FIND("(",E1174)+1,FIND(")",E1174)-FIND("(",E1174)-1),"")</f>
      </c>
      <c r="B1174" s="46" t="s">
        <v>1178</v>
      </c>
      <c r="C1174" s="46">
        <v>75448</v>
      </c>
      <c r="D1174" s="46" t="s">
        <v>2581</v>
      </c>
      <c r="E1174" s="46" t="s">
        <v>2583</v>
      </c>
      <c r="F1174" s="46" t="s">
        <v>26</v>
      </c>
      <c r="G1174" s="47">
        <v>14.91</v>
      </c>
      <c r="H1174" s="48">
        <v>25.025</v>
      </c>
      <c r="I1174" s="48">
        <v>100.101</v>
      </c>
      <c r="J1174" s="49">
        <v>4</v>
      </c>
      <c r="K1174" s="49">
        <v>1</v>
      </c>
      <c r="L1174" s="49">
        <v>3</v>
      </c>
    </row>
    <row r="1175" spans="1:12" x14ac:dyDescent="0.25">
      <c r="A1175" s="45">
        <f>C1175&amp;"."&amp;IFERROR(MID(E1175,FIND("(",E1175)+1,FIND(")",E1175)-FIND("(",E1175)-1),"")</f>
      </c>
      <c r="B1175" s="46" t="s">
        <v>1178</v>
      </c>
      <c r="C1175" s="46">
        <v>75448</v>
      </c>
      <c r="D1175" s="46" t="s">
        <v>2581</v>
      </c>
      <c r="E1175" s="46" t="s">
        <v>2584</v>
      </c>
      <c r="F1175" s="46" t="s">
        <v>26</v>
      </c>
      <c r="G1175" s="47">
        <v>14.91</v>
      </c>
      <c r="H1175" s="48">
        <v>50.107</v>
      </c>
      <c r="I1175" s="48">
        <v>150.321</v>
      </c>
      <c r="J1175" s="49">
        <v>3</v>
      </c>
      <c r="K1175" s="49">
        <v>1</v>
      </c>
      <c r="L1175" s="49">
        <v>2</v>
      </c>
    </row>
    <row r="1176" spans="1:12" x14ac:dyDescent="0.25">
      <c r="A1176" s="45">
        <f>C1176&amp;"."&amp;IFERROR(MID(E1176,FIND("(",E1176)+1,FIND(")",E1176)-FIND("(",E1176)-1),"")</f>
      </c>
      <c r="B1176" s="46" t="s">
        <v>1178</v>
      </c>
      <c r="C1176" s="46">
        <v>75449</v>
      </c>
      <c r="D1176" s="46" t="s">
        <v>2585</v>
      </c>
      <c r="E1176" s="46" t="s">
        <v>2586</v>
      </c>
      <c r="F1176" s="46" t="s">
        <v>26</v>
      </c>
      <c r="G1176" s="47">
        <v>14.91</v>
      </c>
      <c r="H1176" s="48">
        <v>24.634</v>
      </c>
      <c r="I1176" s="48">
        <v>49.267</v>
      </c>
      <c r="J1176" s="49">
        <v>2</v>
      </c>
      <c r="K1176" s="49">
        <v>2</v>
      </c>
      <c r="L1176" s="49">
        <v>0</v>
      </c>
    </row>
    <row r="1177" spans="1:12" x14ac:dyDescent="0.25">
      <c r="A1177" s="45">
        <f>C1177&amp;"."&amp;IFERROR(MID(E1177,FIND("(",E1177)+1,FIND(")",E1177)-FIND("(",E1177)-1),"")</f>
      </c>
      <c r="B1177" s="46" t="s">
        <v>1178</v>
      </c>
      <c r="C1177" s="46">
        <v>75449</v>
      </c>
      <c r="D1177" s="46" t="s">
        <v>2585</v>
      </c>
      <c r="E1177" s="46" t="s">
        <v>2587</v>
      </c>
      <c r="F1177" s="46" t="s">
        <v>26</v>
      </c>
      <c r="G1177" s="47">
        <v>14.91</v>
      </c>
      <c r="H1177" s="48">
        <v>32.979</v>
      </c>
      <c r="I1177" s="48">
        <v>65.959</v>
      </c>
      <c r="J1177" s="49">
        <v>2</v>
      </c>
      <c r="K1177" s="49">
        <v>2</v>
      </c>
      <c r="L1177" s="49">
        <v>0</v>
      </c>
    </row>
    <row r="1178" spans="1:12" x14ac:dyDescent="0.25">
      <c r="A1178" s="45">
        <f>C1178&amp;"."&amp;IFERROR(MID(E1178,FIND("(",E1178)+1,FIND(")",E1178)-FIND("(",E1178)-1),"")</f>
      </c>
      <c r="B1178" s="46" t="s">
        <v>1178</v>
      </c>
      <c r="C1178" s="46">
        <v>75449</v>
      </c>
      <c r="D1178" s="46" t="s">
        <v>2585</v>
      </c>
      <c r="E1178" s="46" t="s">
        <v>2588</v>
      </c>
      <c r="F1178" s="46" t="s">
        <v>26</v>
      </c>
      <c r="G1178" s="47">
        <v>14.91</v>
      </c>
      <c r="H1178" s="48">
        <v>26.049</v>
      </c>
      <c r="I1178" s="48">
        <v>78.146</v>
      </c>
      <c r="J1178" s="49">
        <v>3</v>
      </c>
      <c r="K1178" s="49">
        <v>0</v>
      </c>
      <c r="L1178" s="49">
        <v>3</v>
      </c>
    </row>
    <row r="1179" spans="1:12" x14ac:dyDescent="0.25">
      <c r="A1179" s="45">
        <f>C1179&amp;"."&amp;IFERROR(MID(E1179,FIND("(",E1179)+1,FIND(")",E1179)-FIND("(",E1179)-1),"")</f>
      </c>
      <c r="B1179" s="46" t="s">
        <v>1178</v>
      </c>
      <c r="C1179" s="46">
        <v>75451</v>
      </c>
      <c r="D1179" s="46" t="s">
        <v>2589</v>
      </c>
      <c r="E1179" s="46" t="s">
        <v>1248</v>
      </c>
      <c r="F1179" s="46" t="s">
        <v>26</v>
      </c>
      <c r="G1179" s="47">
        <v>0</v>
      </c>
      <c r="H1179" s="48">
        <v>16.872</v>
      </c>
      <c r="I1179" s="48">
        <v>16.872</v>
      </c>
      <c r="J1179" s="49">
        <v>1</v>
      </c>
      <c r="K1179" s="49">
        <v>1</v>
      </c>
      <c r="L1179" s="49">
        <v>0</v>
      </c>
    </row>
    <row r="1180" spans="1:12" x14ac:dyDescent="0.25">
      <c r="A1180" s="45">
        <f>C1180&amp;"."&amp;IFERROR(MID(E1180,FIND("(",E1180)+1,FIND(")",E1180)-FIND("(",E1180)-1),"")</f>
      </c>
      <c r="B1180" s="46" t="s">
        <v>1178</v>
      </c>
      <c r="C1180" s="46">
        <v>75452</v>
      </c>
      <c r="D1180" s="46" t="s">
        <v>2590</v>
      </c>
      <c r="E1180" s="46" t="s">
        <v>2591</v>
      </c>
      <c r="F1180" s="46" t="s">
        <v>26</v>
      </c>
      <c r="G1180" s="47">
        <v>0.96</v>
      </c>
      <c r="H1180" s="48">
        <v>13.699</v>
      </c>
      <c r="I1180" s="48">
        <v>589.071</v>
      </c>
      <c r="J1180" s="49">
        <v>43</v>
      </c>
      <c r="K1180" s="49">
        <v>0</v>
      </c>
      <c r="L1180" s="49">
        <v>43</v>
      </c>
    </row>
    <row r="1181" spans="1:12" x14ac:dyDescent="0.25">
      <c r="A1181" s="45">
        <f>C1181&amp;"."&amp;IFERROR(MID(E1181,FIND("(",E1181)+1,FIND(")",E1181)-FIND("(",E1181)-1),"")</f>
      </c>
      <c r="B1181" s="46" t="s">
        <v>1178</v>
      </c>
      <c r="C1181" s="46">
        <v>75452</v>
      </c>
      <c r="D1181" s="46" t="s">
        <v>2590</v>
      </c>
      <c r="E1181" s="46" t="s">
        <v>2592</v>
      </c>
      <c r="F1181" s="46" t="s">
        <v>26</v>
      </c>
      <c r="G1181" s="47">
        <v>0.96</v>
      </c>
      <c r="H1181" s="48">
        <v>19.874</v>
      </c>
      <c r="I1181" s="48">
        <v>19.874</v>
      </c>
      <c r="J1181" s="49">
        <v>1</v>
      </c>
      <c r="K1181" s="49">
        <v>1</v>
      </c>
      <c r="L1181" s="49">
        <v>0</v>
      </c>
    </row>
    <row r="1182" spans="1:12" x14ac:dyDescent="0.25">
      <c r="A1182" s="45">
        <f>C1182&amp;"."&amp;IFERROR(MID(E1182,FIND("(",E1182)+1,FIND(")",E1182)-FIND("(",E1182)-1),"")</f>
      </c>
      <c r="B1182" s="46" t="s">
        <v>1178</v>
      </c>
      <c r="C1182" s="46">
        <v>75453</v>
      </c>
      <c r="D1182" s="46" t="s">
        <v>2593</v>
      </c>
      <c r="E1182" s="46" t="s">
        <v>2594</v>
      </c>
      <c r="F1182" s="46" t="s">
        <v>26</v>
      </c>
      <c r="G1182" s="47">
        <v>5.11</v>
      </c>
      <c r="H1182" s="48">
        <v>20.141</v>
      </c>
      <c r="I1182" s="48">
        <v>60.424</v>
      </c>
      <c r="J1182" s="49">
        <v>3</v>
      </c>
      <c r="K1182" s="49">
        <v>0</v>
      </c>
      <c r="L1182" s="49">
        <v>3</v>
      </c>
    </row>
    <row r="1183" spans="1:12" x14ac:dyDescent="0.25">
      <c r="A1183" s="45">
        <f>C1183&amp;"."&amp;IFERROR(MID(E1183,FIND("(",E1183)+1,FIND(")",E1183)-FIND("(",E1183)-1),"")</f>
      </c>
      <c r="B1183" s="46" t="s">
        <v>1178</v>
      </c>
      <c r="C1183" s="46">
        <v>75453</v>
      </c>
      <c r="D1183" s="46" t="s">
        <v>2593</v>
      </c>
      <c r="E1183" s="46" t="s">
        <v>2595</v>
      </c>
      <c r="F1183" s="46" t="s">
        <v>26</v>
      </c>
      <c r="G1183" s="47">
        <v>5.11</v>
      </c>
      <c r="H1183" s="48">
        <v>19.352</v>
      </c>
      <c r="I1183" s="48">
        <v>96.762</v>
      </c>
      <c r="J1183" s="49">
        <v>5</v>
      </c>
      <c r="K1183" s="49">
        <v>4</v>
      </c>
      <c r="L1183" s="49">
        <v>1</v>
      </c>
    </row>
    <row r="1184" spans="1:12" x14ac:dyDescent="0.25">
      <c r="A1184" s="45">
        <f>C1184&amp;"."&amp;IFERROR(MID(E1184,FIND("(",E1184)+1,FIND(")",E1184)-FIND("(",E1184)-1),"")</f>
      </c>
      <c r="B1184" s="46" t="s">
        <v>1178</v>
      </c>
      <c r="C1184" s="46">
        <v>75453</v>
      </c>
      <c r="D1184" s="46" t="s">
        <v>2593</v>
      </c>
      <c r="E1184" s="46" t="s">
        <v>2596</v>
      </c>
      <c r="F1184" s="46" t="s">
        <v>26</v>
      </c>
      <c r="G1184" s="47">
        <v>5.11</v>
      </c>
      <c r="H1184" s="48">
        <v>17.555</v>
      </c>
      <c r="I1184" s="48">
        <v>70.219</v>
      </c>
      <c r="J1184" s="49">
        <v>4</v>
      </c>
      <c r="K1184" s="49">
        <v>0</v>
      </c>
      <c r="L1184" s="49">
        <v>4</v>
      </c>
    </row>
    <row r="1185" spans="1:12" x14ac:dyDescent="0.25">
      <c r="A1185" s="45">
        <f>C1185&amp;"."&amp;IFERROR(MID(E1185,FIND("(",E1185)+1,FIND(")",E1185)-FIND("(",E1185)-1),"")</f>
      </c>
      <c r="B1185" s="46" t="s">
        <v>1178</v>
      </c>
      <c r="C1185" s="46">
        <v>75456</v>
      </c>
      <c r="D1185" s="46" t="s">
        <v>2597</v>
      </c>
      <c r="E1185" s="46" t="s">
        <v>2598</v>
      </c>
      <c r="F1185" s="46" t="s">
        <v>24</v>
      </c>
      <c r="G1185" s="47">
        <v>4.2</v>
      </c>
      <c r="H1185" s="48">
        <v>12.677</v>
      </c>
      <c r="I1185" s="48">
        <v>177.473</v>
      </c>
      <c r="J1185" s="49">
        <v>14</v>
      </c>
      <c r="K1185" s="49">
        <v>1</v>
      </c>
      <c r="L1185" s="49">
        <v>13</v>
      </c>
    </row>
    <row r="1186" spans="1:12" x14ac:dyDescent="0.25">
      <c r="A1186" s="45">
        <f>C1186&amp;"."&amp;IFERROR(MID(E1186,FIND("(",E1186)+1,FIND(")",E1186)-FIND("(",E1186)-1),"")</f>
      </c>
      <c r="B1186" s="46" t="s">
        <v>1178</v>
      </c>
      <c r="C1186" s="46">
        <v>75456</v>
      </c>
      <c r="D1186" s="46" t="s">
        <v>2597</v>
      </c>
      <c r="E1186" s="46" t="s">
        <v>2599</v>
      </c>
      <c r="F1186" s="46" t="s">
        <v>24</v>
      </c>
      <c r="G1186" s="47">
        <v>4.2</v>
      </c>
      <c r="H1186" s="48">
        <v>12.34</v>
      </c>
      <c r="I1186" s="48">
        <v>111.058</v>
      </c>
      <c r="J1186" s="49">
        <v>9</v>
      </c>
      <c r="K1186" s="49">
        <v>0</v>
      </c>
      <c r="L1186" s="49">
        <v>9</v>
      </c>
    </row>
    <row r="1187" spans="1:12" x14ac:dyDescent="0.25">
      <c r="A1187" s="45">
        <f>C1187&amp;"."&amp;IFERROR(MID(E1187,FIND("(",E1187)+1,FIND(")",E1187)-FIND("(",E1187)-1),"")</f>
      </c>
      <c r="B1187" s="46" t="s">
        <v>1178</v>
      </c>
      <c r="C1187" s="46">
        <v>75456</v>
      </c>
      <c r="D1187" s="46" t="s">
        <v>2597</v>
      </c>
      <c r="E1187" s="46" t="s">
        <v>2600</v>
      </c>
      <c r="F1187" s="46" t="s">
        <v>24</v>
      </c>
      <c r="G1187" s="47">
        <v>4.2</v>
      </c>
      <c r="H1187" s="48">
        <v>14.876</v>
      </c>
      <c r="I1187" s="48">
        <v>267.76</v>
      </c>
      <c r="J1187" s="49">
        <v>18</v>
      </c>
      <c r="K1187" s="49">
        <v>0</v>
      </c>
      <c r="L1187" s="49">
        <v>18</v>
      </c>
    </row>
    <row r="1188" spans="1:12" x14ac:dyDescent="0.25">
      <c r="A1188" s="45">
        <f>C1188&amp;"."&amp;IFERROR(MID(E1188,FIND("(",E1188)+1,FIND(")",E1188)-FIND("(",E1188)-1),"")</f>
      </c>
      <c r="B1188" s="46" t="s">
        <v>1178</v>
      </c>
      <c r="C1188" s="46">
        <v>75458</v>
      </c>
      <c r="D1188" s="46" t="s">
        <v>2601</v>
      </c>
      <c r="E1188" s="46" t="s">
        <v>1248</v>
      </c>
      <c r="F1188" s="46" t="s">
        <v>24</v>
      </c>
      <c r="G1188" s="47">
        <v>0.67</v>
      </c>
      <c r="H1188" s="48">
        <v>2.919</v>
      </c>
      <c r="I1188" s="48">
        <v>119.675</v>
      </c>
      <c r="J1188" s="49">
        <v>41</v>
      </c>
      <c r="K1188" s="49">
        <v>5</v>
      </c>
      <c r="L1188" s="49">
        <v>36</v>
      </c>
    </row>
    <row r="1189" spans="1:12" x14ac:dyDescent="0.25">
      <c r="A1189" s="45">
        <f>C1189&amp;"."&amp;IFERROR(MID(E1189,FIND("(",E1189)+1,FIND(")",E1189)-FIND("(",E1189)-1),"")</f>
      </c>
      <c r="B1189" s="46" t="s">
        <v>1178</v>
      </c>
      <c r="C1189" s="46">
        <v>75460</v>
      </c>
      <c r="D1189" s="46" t="s">
        <v>2602</v>
      </c>
      <c r="E1189" s="46" t="s">
        <v>2603</v>
      </c>
      <c r="F1189" s="46" t="s">
        <v>26</v>
      </c>
      <c r="G1189" s="47">
        <v>5.11</v>
      </c>
      <c r="H1189" s="48">
        <v>19.142</v>
      </c>
      <c r="I1189" s="48">
        <v>57.426</v>
      </c>
      <c r="J1189" s="49">
        <v>3</v>
      </c>
      <c r="K1189" s="49">
        <v>0</v>
      </c>
      <c r="L1189" s="49">
        <v>3</v>
      </c>
    </row>
    <row r="1190" spans="1:12" x14ac:dyDescent="0.25">
      <c r="A1190" s="45">
        <f>C1190&amp;"."&amp;IFERROR(MID(E1190,FIND("(",E1190)+1,FIND(")",E1190)-FIND("(",E1190)-1),"")</f>
      </c>
      <c r="B1190" s="46" t="s">
        <v>1178</v>
      </c>
      <c r="C1190" s="46">
        <v>75460</v>
      </c>
      <c r="D1190" s="46" t="s">
        <v>2602</v>
      </c>
      <c r="E1190" s="46" t="s">
        <v>2604</v>
      </c>
      <c r="F1190" s="46" t="s">
        <v>26</v>
      </c>
      <c r="G1190" s="47">
        <v>5.11</v>
      </c>
      <c r="H1190" s="48">
        <v>15.538</v>
      </c>
      <c r="I1190" s="48">
        <v>31.075</v>
      </c>
      <c r="J1190" s="49">
        <v>2</v>
      </c>
      <c r="K1190" s="49">
        <v>0</v>
      </c>
      <c r="L1190" s="49">
        <v>2</v>
      </c>
    </row>
    <row r="1191" spans="1:12" x14ac:dyDescent="0.25">
      <c r="A1191" s="45">
        <f>C1191&amp;"."&amp;IFERROR(MID(E1191,FIND("(",E1191)+1,FIND(")",E1191)-FIND("(",E1191)-1),"")</f>
      </c>
      <c r="B1191" s="46" t="s">
        <v>1178</v>
      </c>
      <c r="C1191" s="46">
        <v>75460</v>
      </c>
      <c r="D1191" s="46" t="s">
        <v>2602</v>
      </c>
      <c r="E1191" s="46" t="s">
        <v>2605</v>
      </c>
      <c r="F1191" s="46" t="s">
        <v>26</v>
      </c>
      <c r="G1191" s="47">
        <v>5.11</v>
      </c>
      <c r="H1191" s="48">
        <v>19.408</v>
      </c>
      <c r="I1191" s="48">
        <v>77.634</v>
      </c>
      <c r="J1191" s="49">
        <v>4</v>
      </c>
      <c r="K1191" s="49">
        <v>0</v>
      </c>
      <c r="L1191" s="49">
        <v>4</v>
      </c>
    </row>
    <row r="1192" spans="1:12" x14ac:dyDescent="0.25">
      <c r="A1192" s="45">
        <f>C1192&amp;"."&amp;IFERROR(MID(E1192,FIND("(",E1192)+1,FIND(")",E1192)-FIND("(",E1192)-1),"")</f>
      </c>
      <c r="B1192" s="46" t="s">
        <v>1178</v>
      </c>
      <c r="C1192" s="46">
        <v>75461</v>
      </c>
      <c r="D1192" s="46" t="s">
        <v>2606</v>
      </c>
      <c r="E1192" s="46" t="s">
        <v>2607</v>
      </c>
      <c r="F1192" s="46" t="s">
        <v>24</v>
      </c>
      <c r="G1192" s="47">
        <v>6.41</v>
      </c>
      <c r="H1192" s="48">
        <v>18.006</v>
      </c>
      <c r="I1192" s="48">
        <v>648.202</v>
      </c>
      <c r="J1192" s="49">
        <v>36</v>
      </c>
      <c r="K1192" s="49">
        <v>1</v>
      </c>
      <c r="L1192" s="49">
        <v>35</v>
      </c>
    </row>
    <row r="1193" spans="1:12" x14ac:dyDescent="0.25">
      <c r="A1193" s="45">
        <f>C1193&amp;"."&amp;IFERROR(MID(E1193,FIND("(",E1193)+1,FIND(")",E1193)-FIND("(",E1193)-1),"")</f>
      </c>
      <c r="B1193" s="46" t="s">
        <v>1178</v>
      </c>
      <c r="C1193" s="46">
        <v>75461</v>
      </c>
      <c r="D1193" s="46" t="s">
        <v>2606</v>
      </c>
      <c r="E1193" s="46" t="s">
        <v>2608</v>
      </c>
      <c r="F1193" s="46" t="s">
        <v>24</v>
      </c>
      <c r="G1193" s="47">
        <v>6.41</v>
      </c>
      <c r="H1193" s="48">
        <v>19.12</v>
      </c>
      <c r="I1193" s="48">
        <v>19.12</v>
      </c>
      <c r="J1193" s="49">
        <v>1</v>
      </c>
      <c r="K1193" s="49">
        <v>0</v>
      </c>
      <c r="L1193" s="49">
        <v>1</v>
      </c>
    </row>
    <row r="1194" spans="1:12" x14ac:dyDescent="0.25">
      <c r="A1194" s="45">
        <f>C1194&amp;"."&amp;IFERROR(MID(E1194,FIND("(",E1194)+1,FIND(")",E1194)-FIND("(",E1194)-1),"")</f>
      </c>
      <c r="B1194" s="46" t="s">
        <v>1178</v>
      </c>
      <c r="C1194" s="46">
        <v>75461</v>
      </c>
      <c r="D1194" s="46" t="s">
        <v>2606</v>
      </c>
      <c r="E1194" s="46" t="s">
        <v>2609</v>
      </c>
      <c r="F1194" s="46" t="s">
        <v>24</v>
      </c>
      <c r="G1194" s="47">
        <v>6.41</v>
      </c>
      <c r="H1194" s="48">
        <v>22.201</v>
      </c>
      <c r="I1194" s="48">
        <v>111.007</v>
      </c>
      <c r="J1194" s="49">
        <v>5</v>
      </c>
      <c r="K1194" s="49">
        <v>1</v>
      </c>
      <c r="L1194" s="49">
        <v>4</v>
      </c>
    </row>
    <row r="1195" spans="1:12" x14ac:dyDescent="0.25">
      <c r="A1195" s="45">
        <f>C1195&amp;"."&amp;IFERROR(MID(E1195,FIND("(",E1195)+1,FIND(")",E1195)-FIND("(",E1195)-1),"")</f>
      </c>
      <c r="B1195" s="46" t="s">
        <v>1178</v>
      </c>
      <c r="C1195" s="46">
        <v>75461</v>
      </c>
      <c r="D1195" s="46" t="s">
        <v>2606</v>
      </c>
      <c r="E1195" s="46" t="s">
        <v>2610</v>
      </c>
      <c r="F1195" s="46" t="s">
        <v>24</v>
      </c>
      <c r="G1195" s="47">
        <v>6.41</v>
      </c>
      <c r="H1195" s="48">
        <v>20.552</v>
      </c>
      <c r="I1195" s="48">
        <v>369.937</v>
      </c>
      <c r="J1195" s="49">
        <v>18</v>
      </c>
      <c r="K1195" s="49">
        <v>2</v>
      </c>
      <c r="L1195" s="49">
        <v>16</v>
      </c>
    </row>
    <row r="1196" spans="1:12" x14ac:dyDescent="0.25">
      <c r="A1196" s="45">
        <f>C1196&amp;"."&amp;IFERROR(MID(E1196,FIND("(",E1196)+1,FIND(")",E1196)-FIND("(",E1196)-1),"")</f>
      </c>
      <c r="B1196" s="46" t="s">
        <v>1178</v>
      </c>
      <c r="C1196" s="46">
        <v>75464</v>
      </c>
      <c r="D1196" s="46" t="s">
        <v>2611</v>
      </c>
      <c r="E1196" s="46" t="s">
        <v>2612</v>
      </c>
      <c r="F1196" s="46" t="s">
        <v>24</v>
      </c>
      <c r="G1196" s="47">
        <v>3.01</v>
      </c>
      <c r="H1196" s="48">
        <v>6.734</v>
      </c>
      <c r="I1196" s="48">
        <v>87.539</v>
      </c>
      <c r="J1196" s="49">
        <v>13</v>
      </c>
      <c r="K1196" s="49">
        <v>2</v>
      </c>
      <c r="L1196" s="49">
        <v>11</v>
      </c>
    </row>
    <row r="1197" spans="1:12" x14ac:dyDescent="0.25">
      <c r="A1197" s="45">
        <f>C1197&amp;"."&amp;IFERROR(MID(E1197,FIND("(",E1197)+1,FIND(")",E1197)-FIND("(",E1197)-1),"")</f>
      </c>
      <c r="B1197" s="46" t="s">
        <v>1178</v>
      </c>
      <c r="C1197" s="46">
        <v>75464</v>
      </c>
      <c r="D1197" s="46" t="s">
        <v>2611</v>
      </c>
      <c r="E1197" s="46" t="s">
        <v>2613</v>
      </c>
      <c r="F1197" s="46" t="s">
        <v>24</v>
      </c>
      <c r="G1197" s="47">
        <v>3.01</v>
      </c>
      <c r="H1197" s="48">
        <v>9.858</v>
      </c>
      <c r="I1197" s="48">
        <v>187.293</v>
      </c>
      <c r="J1197" s="49">
        <v>19</v>
      </c>
      <c r="K1197" s="49">
        <v>5</v>
      </c>
      <c r="L1197" s="49">
        <v>14</v>
      </c>
    </row>
    <row r="1198" spans="1:12" x14ac:dyDescent="0.25">
      <c r="A1198" s="45">
        <f>C1198&amp;"."&amp;IFERROR(MID(E1198,FIND("(",E1198)+1,FIND(")",E1198)-FIND("(",E1198)-1),"")</f>
      </c>
      <c r="B1198" s="46" t="s">
        <v>1178</v>
      </c>
      <c r="C1198" s="46">
        <v>75464</v>
      </c>
      <c r="D1198" s="46" t="s">
        <v>2611</v>
      </c>
      <c r="E1198" s="46" t="s">
        <v>2614</v>
      </c>
      <c r="F1198" s="46" t="s">
        <v>24</v>
      </c>
      <c r="G1198" s="47">
        <v>3.01</v>
      </c>
      <c r="H1198" s="48">
        <v>8.856</v>
      </c>
      <c r="I1198" s="48">
        <v>35.424</v>
      </c>
      <c r="J1198" s="49">
        <v>4</v>
      </c>
      <c r="K1198" s="49">
        <v>0</v>
      </c>
      <c r="L1198" s="49">
        <v>4</v>
      </c>
    </row>
    <row r="1199" spans="1:12" x14ac:dyDescent="0.25">
      <c r="A1199" s="45">
        <f>C1199&amp;"."&amp;IFERROR(MID(E1199,FIND("(",E1199)+1,FIND(")",E1199)-FIND("(",E1199)-1),"")</f>
      </c>
      <c r="B1199" s="46" t="s">
        <v>1178</v>
      </c>
      <c r="C1199" s="46">
        <v>75467</v>
      </c>
      <c r="D1199" s="46" t="s">
        <v>2615</v>
      </c>
      <c r="E1199" s="46" t="s">
        <v>2616</v>
      </c>
      <c r="F1199" s="46" t="s">
        <v>26</v>
      </c>
      <c r="G1199" s="47">
        <v>2.36</v>
      </c>
      <c r="H1199" s="48">
        <v>8.668</v>
      </c>
      <c r="I1199" s="48">
        <v>43.34</v>
      </c>
      <c r="J1199" s="49">
        <v>5</v>
      </c>
      <c r="K1199" s="49">
        <v>0</v>
      </c>
      <c r="L1199" s="49">
        <v>5</v>
      </c>
    </row>
    <row r="1200" spans="1:12" x14ac:dyDescent="0.25">
      <c r="A1200" s="45">
        <f>C1200&amp;"."&amp;IFERROR(MID(E1200,FIND("(",E1200)+1,FIND(")",E1200)-FIND("(",E1200)-1),"")</f>
      </c>
      <c r="B1200" s="46" t="s">
        <v>1178</v>
      </c>
      <c r="C1200" s="46">
        <v>75467</v>
      </c>
      <c r="D1200" s="46" t="s">
        <v>2615</v>
      </c>
      <c r="E1200" s="46" t="s">
        <v>2617</v>
      </c>
      <c r="F1200" s="46" t="s">
        <v>26</v>
      </c>
      <c r="G1200" s="47">
        <v>2.36</v>
      </c>
      <c r="H1200" s="48">
        <v>6.898</v>
      </c>
      <c r="I1200" s="48">
        <v>13.795</v>
      </c>
      <c r="J1200" s="49">
        <v>2</v>
      </c>
      <c r="K1200" s="49">
        <v>0</v>
      </c>
      <c r="L1200" s="49">
        <v>2</v>
      </c>
    </row>
    <row r="1201" spans="1:12" x14ac:dyDescent="0.25">
      <c r="A1201" s="45">
        <f>C1201&amp;"."&amp;IFERROR(MID(E1201,FIND("(",E1201)+1,FIND(")",E1201)-FIND("(",E1201)-1),"")</f>
      </c>
      <c r="B1201" s="46" t="s">
        <v>1178</v>
      </c>
      <c r="C1201" s="46">
        <v>75467</v>
      </c>
      <c r="D1201" s="46" t="s">
        <v>2615</v>
      </c>
      <c r="E1201" s="46" t="s">
        <v>2618</v>
      </c>
      <c r="F1201" s="46" t="s">
        <v>26</v>
      </c>
      <c r="G1201" s="47">
        <v>2.36</v>
      </c>
      <c r="H1201" s="48">
        <v>17.16</v>
      </c>
      <c r="I1201" s="48">
        <v>17.16</v>
      </c>
      <c r="J1201" s="49">
        <v>1</v>
      </c>
      <c r="K1201" s="49">
        <v>0</v>
      </c>
      <c r="L1201" s="49">
        <v>1</v>
      </c>
    </row>
    <row r="1202" spans="1:12" x14ac:dyDescent="0.25">
      <c r="A1202" s="45">
        <f>C1202&amp;"."&amp;IFERROR(MID(E1202,FIND("(",E1202)+1,FIND(")",E1202)-FIND("(",E1202)-1),"")</f>
      </c>
      <c r="B1202" s="46" t="s">
        <v>1178</v>
      </c>
      <c r="C1202" s="46">
        <v>75469</v>
      </c>
      <c r="D1202" s="46" t="s">
        <v>2619</v>
      </c>
      <c r="E1202" s="46" t="s">
        <v>2620</v>
      </c>
      <c r="F1202" s="46" t="s">
        <v>26</v>
      </c>
      <c r="G1202" s="47">
        <v>2.36</v>
      </c>
      <c r="H1202" s="48">
        <v>7.591</v>
      </c>
      <c r="I1202" s="48">
        <v>30.365</v>
      </c>
      <c r="J1202" s="49">
        <v>4</v>
      </c>
      <c r="K1202" s="49">
        <v>2</v>
      </c>
      <c r="L1202" s="49">
        <v>2</v>
      </c>
    </row>
    <row r="1203" spans="1:12" x14ac:dyDescent="0.25">
      <c r="A1203" s="45">
        <f>C1203&amp;"."&amp;IFERROR(MID(E1203,FIND("(",E1203)+1,FIND(")",E1203)-FIND("(",E1203)-1),"")</f>
      </c>
      <c r="B1203" s="46" t="s">
        <v>1178</v>
      </c>
      <c r="C1203" s="46">
        <v>75470</v>
      </c>
      <c r="D1203" s="46" t="s">
        <v>2621</v>
      </c>
      <c r="E1203" s="46" t="s">
        <v>2622</v>
      </c>
      <c r="F1203" s="46" t="s">
        <v>26</v>
      </c>
      <c r="G1203" s="47">
        <v>2.36</v>
      </c>
      <c r="H1203" s="48">
        <v>9.839</v>
      </c>
      <c r="I1203" s="48">
        <v>9.839</v>
      </c>
      <c r="J1203" s="49">
        <v>1</v>
      </c>
      <c r="K1203" s="49">
        <v>0</v>
      </c>
      <c r="L1203" s="49">
        <v>1</v>
      </c>
    </row>
    <row r="1204" spans="1:12" x14ac:dyDescent="0.25">
      <c r="A1204" s="45">
        <f>C1204&amp;"."&amp;IFERROR(MID(E1204,FIND("(",E1204)+1,FIND(")",E1204)-FIND("(",E1204)-1),"")</f>
      </c>
      <c r="B1204" s="46" t="s">
        <v>1178</v>
      </c>
      <c r="C1204" s="46">
        <v>75470</v>
      </c>
      <c r="D1204" s="46" t="s">
        <v>2621</v>
      </c>
      <c r="E1204" s="46" t="s">
        <v>2623</v>
      </c>
      <c r="F1204" s="46" t="s">
        <v>26</v>
      </c>
      <c r="G1204" s="47">
        <v>2.36</v>
      </c>
      <c r="H1204" s="48">
        <v>7.577</v>
      </c>
      <c r="I1204" s="48">
        <v>22.73</v>
      </c>
      <c r="J1204" s="49">
        <v>3</v>
      </c>
      <c r="K1204" s="49">
        <v>3</v>
      </c>
      <c r="L1204" s="49">
        <v>0</v>
      </c>
    </row>
    <row r="1205" spans="1:12" x14ac:dyDescent="0.25">
      <c r="A1205" s="45">
        <f>C1205&amp;"."&amp;IFERROR(MID(E1205,FIND("(",E1205)+1,FIND(")",E1205)-FIND("(",E1205)-1),"")</f>
      </c>
      <c r="B1205" s="46" t="s">
        <v>1178</v>
      </c>
      <c r="C1205" s="46">
        <v>75470</v>
      </c>
      <c r="D1205" s="46" t="s">
        <v>2621</v>
      </c>
      <c r="E1205" s="46" t="s">
        <v>2624</v>
      </c>
      <c r="F1205" s="46" t="s">
        <v>26</v>
      </c>
      <c r="G1205" s="47">
        <v>2.36</v>
      </c>
      <c r="H1205" s="48">
        <v>6.884</v>
      </c>
      <c r="I1205" s="48">
        <v>6.884</v>
      </c>
      <c r="J1205" s="49">
        <v>1</v>
      </c>
      <c r="K1205" s="49">
        <v>0</v>
      </c>
      <c r="L1205" s="49">
        <v>1</v>
      </c>
    </row>
    <row r="1206" spans="1:12" x14ac:dyDescent="0.25">
      <c r="A1206" s="45">
        <f>C1206&amp;"."&amp;IFERROR(MID(E1206,FIND("(",E1206)+1,FIND(")",E1206)-FIND("(",E1206)-1),"")</f>
      </c>
      <c r="B1206" s="46" t="s">
        <v>1178</v>
      </c>
      <c r="C1206" s="46">
        <v>75473</v>
      </c>
      <c r="D1206" s="46" t="s">
        <v>2625</v>
      </c>
      <c r="E1206" s="46" t="s">
        <v>2626</v>
      </c>
      <c r="F1206" s="46" t="s">
        <v>24</v>
      </c>
      <c r="G1206" s="47">
        <v>2.09</v>
      </c>
      <c r="H1206" s="48">
        <v>6.516</v>
      </c>
      <c r="I1206" s="48">
        <v>91.218</v>
      </c>
      <c r="J1206" s="49">
        <v>14</v>
      </c>
      <c r="K1206" s="49">
        <v>1</v>
      </c>
      <c r="L1206" s="49">
        <v>13</v>
      </c>
    </row>
    <row r="1207" spans="1:12" x14ac:dyDescent="0.25">
      <c r="A1207" s="45">
        <f>C1207&amp;"."&amp;IFERROR(MID(E1207,FIND("(",E1207)+1,FIND(")",E1207)-FIND("(",E1207)-1),"")</f>
      </c>
      <c r="B1207" s="46" t="s">
        <v>1178</v>
      </c>
      <c r="C1207" s="46">
        <v>75473</v>
      </c>
      <c r="D1207" s="46" t="s">
        <v>2625</v>
      </c>
      <c r="E1207" s="46" t="s">
        <v>2627</v>
      </c>
      <c r="F1207" s="46" t="s">
        <v>24</v>
      </c>
      <c r="G1207" s="47">
        <v>2.09</v>
      </c>
      <c r="H1207" s="48">
        <v>5.639</v>
      </c>
      <c r="I1207" s="48">
        <v>5.639</v>
      </c>
      <c r="J1207" s="49">
        <v>1</v>
      </c>
      <c r="K1207" s="49">
        <v>0</v>
      </c>
      <c r="L1207" s="49">
        <v>1</v>
      </c>
    </row>
    <row r="1208" spans="1:12" x14ac:dyDescent="0.25">
      <c r="A1208" s="45">
        <f>C1208&amp;"."&amp;IFERROR(MID(E1208,FIND("(",E1208)+1,FIND(")",E1208)-FIND("(",E1208)-1),"")</f>
      </c>
      <c r="B1208" s="46" t="s">
        <v>1178</v>
      </c>
      <c r="C1208" s="46">
        <v>75473</v>
      </c>
      <c r="D1208" s="46" t="s">
        <v>2625</v>
      </c>
      <c r="E1208" s="46" t="s">
        <v>2628</v>
      </c>
      <c r="F1208" s="46" t="s">
        <v>24</v>
      </c>
      <c r="G1208" s="47">
        <v>2.09</v>
      </c>
      <c r="H1208" s="48">
        <v>6.185</v>
      </c>
      <c r="I1208" s="48">
        <v>61.846</v>
      </c>
      <c r="J1208" s="49">
        <v>10</v>
      </c>
      <c r="K1208" s="49">
        <v>0</v>
      </c>
      <c r="L1208" s="49">
        <v>10</v>
      </c>
    </row>
    <row r="1209" spans="1:12" x14ac:dyDescent="0.25">
      <c r="A1209" s="45">
        <f>C1209&amp;"."&amp;IFERROR(MID(E1209,FIND("(",E1209)+1,FIND(")",E1209)-FIND("(",E1209)-1),"")</f>
      </c>
      <c r="B1209" s="46" t="s">
        <v>1178</v>
      </c>
      <c r="C1209" s="46">
        <v>75474</v>
      </c>
      <c r="D1209" s="46" t="s">
        <v>2629</v>
      </c>
      <c r="E1209" s="46" t="s">
        <v>2630</v>
      </c>
      <c r="F1209" s="46" t="s">
        <v>26</v>
      </c>
      <c r="G1209" s="47">
        <v>10.51</v>
      </c>
      <c r="H1209" s="48">
        <v>32.071</v>
      </c>
      <c r="I1209" s="48">
        <v>513.141</v>
      </c>
      <c r="J1209" s="49">
        <v>16</v>
      </c>
      <c r="K1209" s="49">
        <v>16</v>
      </c>
      <c r="L1209" s="49">
        <v>0</v>
      </c>
    </row>
    <row r="1210" spans="1:12" x14ac:dyDescent="0.25">
      <c r="A1210" s="45">
        <f>C1210&amp;"."&amp;IFERROR(MID(E1210,FIND("(",E1210)+1,FIND(")",E1210)-FIND("(",E1210)-1),"")</f>
      </c>
      <c r="B1210" s="46" t="s">
        <v>1178</v>
      </c>
      <c r="C1210" s="46">
        <v>75474</v>
      </c>
      <c r="D1210" s="46" t="s">
        <v>2629</v>
      </c>
      <c r="E1210" s="46" t="s">
        <v>2631</v>
      </c>
      <c r="F1210" s="46" t="s">
        <v>26</v>
      </c>
      <c r="G1210" s="47">
        <v>10.51</v>
      </c>
      <c r="H1210" s="48">
        <v>34.375</v>
      </c>
      <c r="I1210" s="48">
        <v>859.376</v>
      </c>
      <c r="J1210" s="49">
        <v>25</v>
      </c>
      <c r="K1210" s="49">
        <v>23</v>
      </c>
      <c r="L1210" s="49">
        <v>2</v>
      </c>
    </row>
    <row r="1211" spans="1:12" x14ac:dyDescent="0.25">
      <c r="A1211" s="45">
        <f>C1211&amp;"."&amp;IFERROR(MID(E1211,FIND("(",E1211)+1,FIND(")",E1211)-FIND("(",E1211)-1),"")</f>
      </c>
      <c r="B1211" s="46" t="s">
        <v>1178</v>
      </c>
      <c r="C1211" s="46">
        <v>75474</v>
      </c>
      <c r="D1211" s="46" t="s">
        <v>2629</v>
      </c>
      <c r="E1211" s="46" t="s">
        <v>2632</v>
      </c>
      <c r="F1211" s="46" t="s">
        <v>26</v>
      </c>
      <c r="G1211" s="47">
        <v>10.51</v>
      </c>
      <c r="H1211" s="48">
        <v>34.367</v>
      </c>
      <c r="I1211" s="48">
        <v>3092.989</v>
      </c>
      <c r="J1211" s="49">
        <v>90</v>
      </c>
      <c r="K1211" s="49">
        <v>81</v>
      </c>
      <c r="L1211" s="49">
        <v>9</v>
      </c>
    </row>
    <row r="1212" spans="1:12" x14ac:dyDescent="0.25">
      <c r="A1212" s="45">
        <f>C1212&amp;"."&amp;IFERROR(MID(E1212,FIND("(",E1212)+1,FIND(")",E1212)-FIND("(",E1212)-1),"")</f>
      </c>
      <c r="B1212" s="46" t="s">
        <v>1178</v>
      </c>
      <c r="C1212" s="46">
        <v>75474</v>
      </c>
      <c r="D1212" s="46" t="s">
        <v>2629</v>
      </c>
      <c r="E1212" s="46" t="s">
        <v>2633</v>
      </c>
      <c r="F1212" s="46" t="s">
        <v>26</v>
      </c>
      <c r="G1212" s="47">
        <v>10.51</v>
      </c>
      <c r="H1212" s="48">
        <v>38.292</v>
      </c>
      <c r="I1212" s="48">
        <v>76.584</v>
      </c>
      <c r="J1212" s="49">
        <v>2</v>
      </c>
      <c r="K1212" s="49">
        <v>0</v>
      </c>
      <c r="L1212" s="49">
        <v>2</v>
      </c>
    </row>
    <row r="1213" spans="1:12" x14ac:dyDescent="0.25">
      <c r="A1213" s="45">
        <f>C1213&amp;"."&amp;IFERROR(MID(E1213,FIND("(",E1213)+1,FIND(")",E1213)-FIND("(",E1213)-1),"")</f>
      </c>
      <c r="B1213" s="46" t="s">
        <v>1178</v>
      </c>
      <c r="C1213" s="46">
        <v>75479</v>
      </c>
      <c r="D1213" s="46" t="s">
        <v>2634</v>
      </c>
      <c r="E1213" s="46" t="s">
        <v>2635</v>
      </c>
      <c r="F1213" s="46" t="s">
        <v>24</v>
      </c>
      <c r="G1213" s="47">
        <v>3.31</v>
      </c>
      <c r="H1213" s="48">
        <v>29.944</v>
      </c>
      <c r="I1213" s="48">
        <v>179.662</v>
      </c>
      <c r="J1213" s="49">
        <v>6</v>
      </c>
      <c r="K1213" s="49">
        <v>0</v>
      </c>
      <c r="L1213" s="49">
        <v>6</v>
      </c>
    </row>
    <row r="1214" spans="1:12" x14ac:dyDescent="0.25">
      <c r="A1214" s="45">
        <f>C1214&amp;"."&amp;IFERROR(MID(E1214,FIND("(",E1214)+1,FIND(")",E1214)-FIND("(",E1214)-1),"")</f>
      </c>
      <c r="B1214" s="46" t="s">
        <v>1178</v>
      </c>
      <c r="C1214" s="46">
        <v>75479</v>
      </c>
      <c r="D1214" s="46" t="s">
        <v>2634</v>
      </c>
      <c r="E1214" s="46" t="s">
        <v>2636</v>
      </c>
      <c r="F1214" s="46" t="s">
        <v>24</v>
      </c>
      <c r="G1214" s="47">
        <v>3.31</v>
      </c>
      <c r="H1214" s="48">
        <v>26.364</v>
      </c>
      <c r="I1214" s="48">
        <v>316.363</v>
      </c>
      <c r="J1214" s="49">
        <v>12</v>
      </c>
      <c r="K1214" s="49">
        <v>1</v>
      </c>
      <c r="L1214" s="49">
        <v>11</v>
      </c>
    </row>
    <row r="1215" spans="1:12" x14ac:dyDescent="0.25">
      <c r="A1215" s="45">
        <f>C1215&amp;"."&amp;IFERROR(MID(E1215,FIND("(",E1215)+1,FIND(")",E1215)-FIND("(",E1215)-1),"")</f>
      </c>
      <c r="B1215" s="46" t="s">
        <v>1178</v>
      </c>
      <c r="C1215" s="46">
        <v>75479</v>
      </c>
      <c r="D1215" s="46" t="s">
        <v>2634</v>
      </c>
      <c r="E1215" s="46" t="s">
        <v>2637</v>
      </c>
      <c r="F1215" s="46" t="s">
        <v>24</v>
      </c>
      <c r="G1215" s="47">
        <v>3.31</v>
      </c>
      <c r="H1215" s="48">
        <v>15.963</v>
      </c>
      <c r="I1215" s="48">
        <v>127.702</v>
      </c>
      <c r="J1215" s="49">
        <v>8</v>
      </c>
      <c r="K1215" s="49">
        <v>0</v>
      </c>
      <c r="L1215" s="49">
        <v>8</v>
      </c>
    </row>
    <row r="1216" spans="1:12" x14ac:dyDescent="0.25">
      <c r="A1216" s="45">
        <f>C1216&amp;"."&amp;IFERROR(MID(E1216,FIND("(",E1216)+1,FIND(")",E1216)-FIND("(",E1216)-1),"")</f>
      </c>
      <c r="B1216" s="46" t="s">
        <v>1178</v>
      </c>
      <c r="C1216" s="46">
        <v>75480</v>
      </c>
      <c r="D1216" s="46" t="s">
        <v>2638</v>
      </c>
      <c r="E1216" s="46" t="s">
        <v>2639</v>
      </c>
      <c r="F1216" s="46" t="s">
        <v>24</v>
      </c>
      <c r="G1216" s="47">
        <v>3.31</v>
      </c>
      <c r="H1216" s="48">
        <v>12.979</v>
      </c>
      <c r="I1216" s="48">
        <v>129.786</v>
      </c>
      <c r="J1216" s="49">
        <v>10</v>
      </c>
      <c r="K1216" s="49">
        <v>0</v>
      </c>
      <c r="L1216" s="49">
        <v>10</v>
      </c>
    </row>
    <row r="1217" spans="1:12" x14ac:dyDescent="0.25">
      <c r="A1217" s="45">
        <f>C1217&amp;"."&amp;IFERROR(MID(E1217,FIND("(",E1217)+1,FIND(")",E1217)-FIND("(",E1217)-1),"")</f>
      </c>
      <c r="B1217" s="46" t="s">
        <v>1178</v>
      </c>
      <c r="C1217" s="46">
        <v>75480</v>
      </c>
      <c r="D1217" s="46" t="s">
        <v>2638</v>
      </c>
      <c r="E1217" s="46" t="s">
        <v>2640</v>
      </c>
      <c r="F1217" s="46" t="s">
        <v>24</v>
      </c>
      <c r="G1217" s="47">
        <v>3.31</v>
      </c>
      <c r="H1217" s="48">
        <v>23.979</v>
      </c>
      <c r="I1217" s="48">
        <v>311.725</v>
      </c>
      <c r="J1217" s="49">
        <v>13</v>
      </c>
      <c r="K1217" s="49">
        <v>1</v>
      </c>
      <c r="L1217" s="49">
        <v>12</v>
      </c>
    </row>
    <row r="1218" spans="1:12" x14ac:dyDescent="0.25">
      <c r="A1218" s="45">
        <f>C1218&amp;"."&amp;IFERROR(MID(E1218,FIND("(",E1218)+1,FIND(")",E1218)-FIND("(",E1218)-1),"")</f>
      </c>
      <c r="B1218" s="46" t="s">
        <v>1178</v>
      </c>
      <c r="C1218" s="46">
        <v>75480</v>
      </c>
      <c r="D1218" s="46" t="s">
        <v>2638</v>
      </c>
      <c r="E1218" s="46" t="s">
        <v>2641</v>
      </c>
      <c r="F1218" s="46" t="s">
        <v>24</v>
      </c>
      <c r="G1218" s="47">
        <v>3.31</v>
      </c>
      <c r="H1218" s="48">
        <v>12.835</v>
      </c>
      <c r="I1218" s="48">
        <v>77.013</v>
      </c>
      <c r="J1218" s="49">
        <v>6</v>
      </c>
      <c r="K1218" s="49">
        <v>0</v>
      </c>
      <c r="L1218" s="49">
        <v>6</v>
      </c>
    </row>
    <row r="1219" spans="1:12" x14ac:dyDescent="0.25">
      <c r="A1219" s="45">
        <f>C1219&amp;"."&amp;IFERROR(MID(E1219,FIND("(",E1219)+1,FIND(")",E1219)-FIND("(",E1219)-1),"")</f>
      </c>
      <c r="B1219" s="46" t="s">
        <v>1178</v>
      </c>
      <c r="C1219" s="46">
        <v>75481</v>
      </c>
      <c r="D1219" s="46" t="s">
        <v>2642</v>
      </c>
      <c r="E1219" s="46" t="s">
        <v>2643</v>
      </c>
      <c r="F1219" s="46" t="s">
        <v>26</v>
      </c>
      <c r="G1219" s="47">
        <v>0.17</v>
      </c>
      <c r="H1219" s="48">
        <v>0.96</v>
      </c>
      <c r="I1219" s="48">
        <v>0.96</v>
      </c>
      <c r="J1219" s="49">
        <v>1</v>
      </c>
      <c r="K1219" s="49">
        <v>0</v>
      </c>
      <c r="L1219" s="49">
        <v>1</v>
      </c>
    </row>
    <row r="1220" spans="1:12" x14ac:dyDescent="0.25">
      <c r="A1220" s="45">
        <f>C1220&amp;"."&amp;IFERROR(MID(E1220,FIND("(",E1220)+1,FIND(")",E1220)-FIND("(",E1220)-1),"")</f>
      </c>
      <c r="B1220" s="46" t="s">
        <v>1178</v>
      </c>
      <c r="C1220" s="46">
        <v>75482</v>
      </c>
      <c r="D1220" s="46" t="s">
        <v>2644</v>
      </c>
      <c r="E1220" s="46" t="s">
        <v>2645</v>
      </c>
      <c r="F1220" s="46" t="s">
        <v>24</v>
      </c>
      <c r="G1220" s="47">
        <v>1.4</v>
      </c>
      <c r="H1220" s="48">
        <v>9.256</v>
      </c>
      <c r="I1220" s="48">
        <v>120.328</v>
      </c>
      <c r="J1220" s="49">
        <v>13</v>
      </c>
      <c r="K1220" s="49">
        <v>0</v>
      </c>
      <c r="L1220" s="49">
        <v>13</v>
      </c>
    </row>
    <row r="1221" spans="1:12" x14ac:dyDescent="0.25">
      <c r="A1221" s="45">
        <f>C1221&amp;"."&amp;IFERROR(MID(E1221,FIND("(",E1221)+1,FIND(")",E1221)-FIND("(",E1221)-1),"")</f>
      </c>
      <c r="B1221" s="46" t="s">
        <v>1178</v>
      </c>
      <c r="C1221" s="46">
        <v>75482</v>
      </c>
      <c r="D1221" s="46" t="s">
        <v>2644</v>
      </c>
      <c r="E1221" s="46" t="s">
        <v>2646</v>
      </c>
      <c r="F1221" s="46" t="s">
        <v>24</v>
      </c>
      <c r="G1221" s="47">
        <v>1.4</v>
      </c>
      <c r="H1221" s="48">
        <v>1.75</v>
      </c>
      <c r="I1221" s="48">
        <v>1.75</v>
      </c>
      <c r="J1221" s="49">
        <v>1</v>
      </c>
      <c r="K1221" s="49">
        <v>0</v>
      </c>
      <c r="L1221" s="49">
        <v>1</v>
      </c>
    </row>
    <row r="1222" spans="1:12" x14ac:dyDescent="0.25">
      <c r="A1222" s="45">
        <f>C1222&amp;"."&amp;IFERROR(MID(E1222,FIND("(",E1222)+1,FIND(")",E1222)-FIND("(",E1222)-1),"")</f>
      </c>
      <c r="B1222" s="46" t="s">
        <v>1178</v>
      </c>
      <c r="C1222" s="46">
        <v>75482</v>
      </c>
      <c r="D1222" s="46" t="s">
        <v>2644</v>
      </c>
      <c r="E1222" s="46" t="s">
        <v>2647</v>
      </c>
      <c r="F1222" s="46" t="s">
        <v>24</v>
      </c>
      <c r="G1222" s="47">
        <v>1.4</v>
      </c>
      <c r="H1222" s="48">
        <v>11.358</v>
      </c>
      <c r="I1222" s="48">
        <v>113.576</v>
      </c>
      <c r="J1222" s="49">
        <v>10</v>
      </c>
      <c r="K1222" s="49">
        <v>0</v>
      </c>
      <c r="L1222" s="49">
        <v>10</v>
      </c>
    </row>
    <row r="1223" spans="1:12" x14ac:dyDescent="0.25">
      <c r="A1223" s="45">
        <f>C1223&amp;"."&amp;IFERROR(MID(E1223,FIND("(",E1223)+1,FIND(")",E1223)-FIND("(",E1223)-1),"")</f>
      </c>
      <c r="B1223" s="46" t="s">
        <v>1178</v>
      </c>
      <c r="C1223" s="46">
        <v>75483</v>
      </c>
      <c r="D1223" s="46" t="s">
        <v>2648</v>
      </c>
      <c r="E1223" s="46" t="s">
        <v>2649</v>
      </c>
      <c r="F1223" s="46" t="s">
        <v>24</v>
      </c>
      <c r="G1223" s="47">
        <v>1.4</v>
      </c>
      <c r="H1223" s="48">
        <v>10.484</v>
      </c>
      <c r="I1223" s="48">
        <v>115.326</v>
      </c>
      <c r="J1223" s="49">
        <v>11</v>
      </c>
      <c r="K1223" s="49">
        <v>0</v>
      </c>
      <c r="L1223" s="49">
        <v>11</v>
      </c>
    </row>
    <row r="1224" spans="1:12" x14ac:dyDescent="0.25">
      <c r="A1224" s="45">
        <f>C1224&amp;"."&amp;IFERROR(MID(E1224,FIND("(",E1224)+1,FIND(")",E1224)-FIND("(",E1224)-1),"")</f>
      </c>
      <c r="B1224" s="46" t="s">
        <v>1178</v>
      </c>
      <c r="C1224" s="46">
        <v>75483</v>
      </c>
      <c r="D1224" s="46" t="s">
        <v>2648</v>
      </c>
      <c r="E1224" s="46" t="s">
        <v>2650</v>
      </c>
      <c r="F1224" s="46" t="s">
        <v>24</v>
      </c>
      <c r="G1224" s="47">
        <v>1.4</v>
      </c>
      <c r="H1224" s="48">
        <v>9.956</v>
      </c>
      <c r="I1224" s="48">
        <v>119.474</v>
      </c>
      <c r="J1224" s="49">
        <v>12</v>
      </c>
      <c r="K1224" s="49">
        <v>0</v>
      </c>
      <c r="L1224" s="49">
        <v>12</v>
      </c>
    </row>
    <row r="1225" spans="1:12" x14ac:dyDescent="0.25">
      <c r="A1225" s="45">
        <f>C1225&amp;"."&amp;IFERROR(MID(E1225,FIND("(",E1225)+1,FIND(")",E1225)-FIND("(",E1225)-1),"")</f>
      </c>
      <c r="B1225" s="46" t="s">
        <v>1178</v>
      </c>
      <c r="C1225" s="46">
        <v>75483</v>
      </c>
      <c r="D1225" s="46" t="s">
        <v>2648</v>
      </c>
      <c r="E1225" s="46" t="s">
        <v>2651</v>
      </c>
      <c r="F1225" s="46" t="s">
        <v>24</v>
      </c>
      <c r="G1225" s="47">
        <v>1.4</v>
      </c>
      <c r="H1225" s="48">
        <v>7.502</v>
      </c>
      <c r="I1225" s="48">
        <v>45.01</v>
      </c>
      <c r="J1225" s="49">
        <v>6</v>
      </c>
      <c r="K1225" s="49">
        <v>0</v>
      </c>
      <c r="L1225" s="49">
        <v>6</v>
      </c>
    </row>
    <row r="1226" spans="1:12" x14ac:dyDescent="0.25">
      <c r="A1226" s="45">
        <f>C1226&amp;"."&amp;IFERROR(MID(E1226,FIND("(",E1226)+1,FIND(")",E1226)-FIND("(",E1226)-1),"")</f>
      </c>
      <c r="B1226" s="46" t="s">
        <v>1178</v>
      </c>
      <c r="C1226" s="46">
        <v>75487</v>
      </c>
      <c r="D1226" s="46" t="s">
        <v>2652</v>
      </c>
      <c r="E1226" s="46" t="s">
        <v>2653</v>
      </c>
      <c r="F1226" s="46" t="s">
        <v>24</v>
      </c>
      <c r="G1226" s="47">
        <v>1.39</v>
      </c>
      <c r="H1226" s="48">
        <v>6.577</v>
      </c>
      <c r="I1226" s="48">
        <v>118.382</v>
      </c>
      <c r="J1226" s="49">
        <v>18</v>
      </c>
      <c r="K1226" s="49">
        <v>0</v>
      </c>
      <c r="L1226" s="49">
        <v>18</v>
      </c>
    </row>
    <row r="1227" spans="1:12" x14ac:dyDescent="0.25">
      <c r="A1227" s="45">
        <f>C1227&amp;"."&amp;IFERROR(MID(E1227,FIND("(",E1227)+1,FIND(")",E1227)-FIND("(",E1227)-1),"")</f>
      </c>
      <c r="B1227" s="46" t="s">
        <v>1178</v>
      </c>
      <c r="C1227" s="46">
        <v>75487</v>
      </c>
      <c r="D1227" s="46" t="s">
        <v>2652</v>
      </c>
      <c r="E1227" s="46" t="s">
        <v>2654</v>
      </c>
      <c r="F1227" s="46" t="s">
        <v>24</v>
      </c>
      <c r="G1227" s="47">
        <v>1.39</v>
      </c>
      <c r="H1227" s="48">
        <v>3.485</v>
      </c>
      <c r="I1227" s="48">
        <v>24.394</v>
      </c>
      <c r="J1227" s="49">
        <v>7</v>
      </c>
      <c r="K1227" s="49">
        <v>0</v>
      </c>
      <c r="L1227" s="49">
        <v>7</v>
      </c>
    </row>
    <row r="1228" spans="1:12" x14ac:dyDescent="0.25">
      <c r="A1228" s="45">
        <f>C1228&amp;"."&amp;IFERROR(MID(E1228,FIND("(",E1228)+1,FIND(")",E1228)-FIND("(",E1228)-1),"")</f>
      </c>
      <c r="B1228" s="46" t="s">
        <v>1178</v>
      </c>
      <c r="C1228" s="46">
        <v>75487</v>
      </c>
      <c r="D1228" s="46" t="s">
        <v>2652</v>
      </c>
      <c r="E1228" s="46" t="s">
        <v>2655</v>
      </c>
      <c r="F1228" s="46" t="s">
        <v>24</v>
      </c>
      <c r="G1228" s="47">
        <v>1.39</v>
      </c>
      <c r="H1228" s="48">
        <v>5.22</v>
      </c>
      <c r="I1228" s="48">
        <v>67.861</v>
      </c>
      <c r="J1228" s="49">
        <v>13</v>
      </c>
      <c r="K1228" s="49">
        <v>0</v>
      </c>
      <c r="L1228" s="49">
        <v>13</v>
      </c>
    </row>
    <row r="1229" spans="1:12" x14ac:dyDescent="0.25">
      <c r="A1229" s="45">
        <f>C1229&amp;"."&amp;IFERROR(MID(E1229,FIND("(",E1229)+1,FIND(")",E1229)-FIND("(",E1229)-1),"")</f>
      </c>
      <c r="B1229" s="46" t="s">
        <v>1178</v>
      </c>
      <c r="C1229" s="46">
        <v>75489</v>
      </c>
      <c r="D1229" s="46" t="s">
        <v>2656</v>
      </c>
      <c r="E1229" s="46" t="s">
        <v>2657</v>
      </c>
      <c r="F1229" s="46" t="s">
        <v>24</v>
      </c>
      <c r="G1229" s="47">
        <v>4.2</v>
      </c>
      <c r="H1229" s="48">
        <v>15.614</v>
      </c>
      <c r="I1229" s="48">
        <v>249.821</v>
      </c>
      <c r="J1229" s="49">
        <v>16</v>
      </c>
      <c r="K1229" s="49">
        <v>0</v>
      </c>
      <c r="L1229" s="49">
        <v>16</v>
      </c>
    </row>
    <row r="1230" spans="1:12" x14ac:dyDescent="0.25">
      <c r="A1230" s="45">
        <f>C1230&amp;"."&amp;IFERROR(MID(E1230,FIND("(",E1230)+1,FIND(")",E1230)-FIND("(",E1230)-1),"")</f>
      </c>
      <c r="B1230" s="46" t="s">
        <v>1178</v>
      </c>
      <c r="C1230" s="46">
        <v>75489</v>
      </c>
      <c r="D1230" s="46" t="s">
        <v>2656</v>
      </c>
      <c r="E1230" s="46" t="s">
        <v>2658</v>
      </c>
      <c r="F1230" s="46" t="s">
        <v>24</v>
      </c>
      <c r="G1230" s="47">
        <v>4.2</v>
      </c>
      <c r="H1230" s="48">
        <v>13.104</v>
      </c>
      <c r="I1230" s="48">
        <v>170.355</v>
      </c>
      <c r="J1230" s="49">
        <v>13</v>
      </c>
      <c r="K1230" s="49">
        <v>1</v>
      </c>
      <c r="L1230" s="49">
        <v>12</v>
      </c>
    </row>
    <row r="1231" spans="1:12" x14ac:dyDescent="0.25">
      <c r="A1231" s="45">
        <f>C1231&amp;"."&amp;IFERROR(MID(E1231,FIND("(",E1231)+1,FIND(")",E1231)-FIND("(",E1231)-1),"")</f>
      </c>
      <c r="B1231" s="46" t="s">
        <v>1178</v>
      </c>
      <c r="C1231" s="46">
        <v>75490</v>
      </c>
      <c r="D1231" s="46" t="s">
        <v>2659</v>
      </c>
      <c r="E1231" s="46" t="s">
        <v>2660</v>
      </c>
      <c r="F1231" s="46" t="s">
        <v>26</v>
      </c>
      <c r="G1231" s="47">
        <v>0.17</v>
      </c>
      <c r="H1231" s="48">
        <v>0.792</v>
      </c>
      <c r="I1231" s="48">
        <v>4.755</v>
      </c>
      <c r="J1231" s="49">
        <v>6</v>
      </c>
      <c r="K1231" s="49">
        <v>0</v>
      </c>
      <c r="L1231" s="49">
        <v>6</v>
      </c>
    </row>
    <row r="1232" spans="1:12" x14ac:dyDescent="0.25">
      <c r="A1232" s="45">
        <f>C1232&amp;"."&amp;IFERROR(MID(E1232,FIND("(",E1232)+1,FIND(")",E1232)-FIND("(",E1232)-1),"")</f>
      </c>
      <c r="B1232" s="46" t="s">
        <v>1178</v>
      </c>
      <c r="C1232" s="46">
        <v>75498</v>
      </c>
      <c r="D1232" s="46" t="s">
        <v>2661</v>
      </c>
      <c r="E1232" s="46" t="s">
        <v>2662</v>
      </c>
      <c r="F1232" s="46" t="s">
        <v>26</v>
      </c>
      <c r="G1232" s="47">
        <v>4.42</v>
      </c>
      <c r="H1232" s="48">
        <v>12.391</v>
      </c>
      <c r="I1232" s="48">
        <v>12.391</v>
      </c>
      <c r="J1232" s="49">
        <v>1</v>
      </c>
      <c r="K1232" s="49">
        <v>1</v>
      </c>
      <c r="L1232" s="49">
        <v>0</v>
      </c>
    </row>
    <row r="1233" spans="1:12" x14ac:dyDescent="0.25">
      <c r="A1233" s="45">
        <f>C1233&amp;"."&amp;IFERROR(MID(E1233,FIND("(",E1233)+1,FIND(")",E1233)-FIND("(",E1233)-1),"")</f>
      </c>
      <c r="B1233" s="46" t="s">
        <v>1178</v>
      </c>
      <c r="C1233" s="46">
        <v>75499</v>
      </c>
      <c r="D1233" s="46" t="s">
        <v>2663</v>
      </c>
      <c r="E1233" s="46" t="s">
        <v>2664</v>
      </c>
      <c r="F1233" s="46" t="s">
        <v>26</v>
      </c>
      <c r="G1233" s="47">
        <v>0.46</v>
      </c>
      <c r="H1233" s="48">
        <v>1.513</v>
      </c>
      <c r="I1233" s="48">
        <v>4.538</v>
      </c>
      <c r="J1233" s="49">
        <v>3</v>
      </c>
      <c r="K1233" s="49">
        <v>0</v>
      </c>
      <c r="L1233" s="49">
        <v>3</v>
      </c>
    </row>
    <row r="1234" spans="1:12" x14ac:dyDescent="0.25">
      <c r="A1234" s="45">
        <f>C1234&amp;"."&amp;IFERROR(MID(E1234,FIND("(",E1234)+1,FIND(")",E1234)-FIND("(",E1234)-1),"")</f>
      </c>
      <c r="B1234" s="46" t="s">
        <v>1178</v>
      </c>
      <c r="C1234" s="46">
        <v>75505</v>
      </c>
      <c r="D1234" s="46" t="s">
        <v>2665</v>
      </c>
      <c r="E1234" s="46" t="s">
        <v>1248</v>
      </c>
      <c r="F1234" s="46" t="s">
        <v>1926</v>
      </c>
      <c r="G1234" s="47">
        <v>0</v>
      </c>
      <c r="H1234" s="48">
        <v>1.37</v>
      </c>
      <c r="I1234" s="48">
        <v>2.741</v>
      </c>
      <c r="J1234" s="49">
        <v>2</v>
      </c>
      <c r="K1234" s="49">
        <v>0</v>
      </c>
      <c r="L1234" s="49">
        <v>2</v>
      </c>
    </row>
    <row r="1235" spans="1:12" x14ac:dyDescent="0.25">
      <c r="A1235" s="45">
        <f>C1235&amp;"."&amp;IFERROR(MID(E1235,FIND("(",E1235)+1,FIND(")",E1235)-FIND("(",E1235)-1),"")</f>
      </c>
      <c r="B1235" s="46" t="s">
        <v>1178</v>
      </c>
      <c r="C1235" s="46">
        <v>75520</v>
      </c>
      <c r="D1235" s="46" t="s">
        <v>2666</v>
      </c>
      <c r="E1235" s="46" t="s">
        <v>2667</v>
      </c>
      <c r="F1235" s="46" t="s">
        <v>26</v>
      </c>
      <c r="G1235" s="47">
        <v>2</v>
      </c>
      <c r="H1235" s="48">
        <v>6.325</v>
      </c>
      <c r="I1235" s="48">
        <v>56.926</v>
      </c>
      <c r="J1235" s="49">
        <v>9</v>
      </c>
      <c r="K1235" s="49">
        <v>6</v>
      </c>
      <c r="L1235" s="49">
        <v>3</v>
      </c>
    </row>
    <row r="1236" spans="1:12" x14ac:dyDescent="0.25">
      <c r="A1236" s="45">
        <f>C1236&amp;"."&amp;IFERROR(MID(E1236,FIND("(",E1236)+1,FIND(")",E1236)-FIND("(",E1236)-1),"")</f>
      </c>
      <c r="B1236" s="46" t="s">
        <v>1178</v>
      </c>
      <c r="C1236" s="46">
        <v>75520</v>
      </c>
      <c r="D1236" s="46" t="s">
        <v>2666</v>
      </c>
      <c r="E1236" s="46" t="s">
        <v>2668</v>
      </c>
      <c r="F1236" s="46" t="s">
        <v>26</v>
      </c>
      <c r="G1236" s="47">
        <v>2</v>
      </c>
      <c r="H1236" s="48">
        <v>7.5</v>
      </c>
      <c r="I1236" s="48">
        <v>22.5</v>
      </c>
      <c r="J1236" s="49">
        <v>3</v>
      </c>
      <c r="K1236" s="49">
        <v>0</v>
      </c>
      <c r="L1236" s="49">
        <v>3</v>
      </c>
    </row>
    <row r="1237" spans="1:12" x14ac:dyDescent="0.25">
      <c r="A1237" s="45">
        <f>C1237&amp;"."&amp;IFERROR(MID(E1237,FIND("(",E1237)+1,FIND(")",E1237)-FIND("(",E1237)-1),"")</f>
      </c>
      <c r="B1237" s="46" t="s">
        <v>1178</v>
      </c>
      <c r="C1237" s="46">
        <v>75520</v>
      </c>
      <c r="D1237" s="46" t="s">
        <v>2666</v>
      </c>
      <c r="E1237" s="46" t="s">
        <v>2669</v>
      </c>
      <c r="F1237" s="46" t="s">
        <v>26</v>
      </c>
      <c r="G1237" s="47">
        <v>2</v>
      </c>
      <c r="H1237" s="48">
        <v>6.164</v>
      </c>
      <c r="I1237" s="48">
        <v>43.148</v>
      </c>
      <c r="J1237" s="49">
        <v>7</v>
      </c>
      <c r="K1237" s="49">
        <v>5</v>
      </c>
      <c r="L1237" s="49">
        <v>2</v>
      </c>
    </row>
    <row r="1238" spans="1:12" x14ac:dyDescent="0.25">
      <c r="A1238" s="45">
        <f>C1238&amp;"."&amp;IFERROR(MID(E1238,FIND("(",E1238)+1,FIND(")",E1238)-FIND("(",E1238)-1),"")</f>
      </c>
      <c r="B1238" s="46" t="s">
        <v>1178</v>
      </c>
      <c r="C1238" s="46">
        <v>75522</v>
      </c>
      <c r="D1238" s="46" t="s">
        <v>2670</v>
      </c>
      <c r="E1238" s="46" t="s">
        <v>2671</v>
      </c>
      <c r="F1238" s="46" t="s">
        <v>26</v>
      </c>
      <c r="G1238" s="47">
        <v>0.41</v>
      </c>
      <c r="H1238" s="48">
        <v>2.891</v>
      </c>
      <c r="I1238" s="48">
        <v>28.915</v>
      </c>
      <c r="J1238" s="49">
        <v>10</v>
      </c>
      <c r="K1238" s="49">
        <v>8</v>
      </c>
      <c r="L1238" s="49">
        <v>2</v>
      </c>
    </row>
    <row r="1239" spans="1:12" x14ac:dyDescent="0.25">
      <c r="A1239" s="45">
        <f>C1239&amp;"."&amp;IFERROR(MID(E1239,FIND("(",E1239)+1,FIND(")",E1239)-FIND("(",E1239)-1),"")</f>
      </c>
      <c r="B1239" s="46" t="s">
        <v>1178</v>
      </c>
      <c r="C1239" s="46">
        <v>75522</v>
      </c>
      <c r="D1239" s="46" t="s">
        <v>2670</v>
      </c>
      <c r="E1239" s="46" t="s">
        <v>2672</v>
      </c>
      <c r="F1239" s="46" t="s">
        <v>26</v>
      </c>
      <c r="G1239" s="47">
        <v>0.41</v>
      </c>
      <c r="H1239" s="48">
        <v>1.646</v>
      </c>
      <c r="I1239" s="48">
        <v>3.291</v>
      </c>
      <c r="J1239" s="49">
        <v>2</v>
      </c>
      <c r="K1239" s="49">
        <v>0</v>
      </c>
      <c r="L1239" s="49">
        <v>2</v>
      </c>
    </row>
    <row r="1240" spans="1:12" x14ac:dyDescent="0.25">
      <c r="A1240" s="45">
        <f>C1240&amp;"."&amp;IFERROR(MID(E1240,FIND("(",E1240)+1,FIND(")",E1240)-FIND("(",E1240)-1),"")</f>
      </c>
      <c r="B1240" s="46" t="s">
        <v>1178</v>
      </c>
      <c r="C1240" s="46">
        <v>75529</v>
      </c>
      <c r="D1240" s="46" t="s">
        <v>2673</v>
      </c>
      <c r="E1240" s="46" t="s">
        <v>1248</v>
      </c>
      <c r="F1240" s="46" t="s">
        <v>26</v>
      </c>
      <c r="G1240" s="47">
        <v>0.41</v>
      </c>
      <c r="H1240" s="48">
        <v>2.218</v>
      </c>
      <c r="I1240" s="48">
        <v>26.619</v>
      </c>
      <c r="J1240" s="49">
        <v>12</v>
      </c>
      <c r="K1240" s="49">
        <v>8</v>
      </c>
      <c r="L1240" s="49">
        <v>4</v>
      </c>
    </row>
    <row r="1241" spans="1:12" x14ac:dyDescent="0.25">
      <c r="A1241" s="45">
        <f>C1241&amp;"."&amp;IFERROR(MID(E1241,FIND("(",E1241)+1,FIND(")",E1241)-FIND("(",E1241)-1),"")</f>
      </c>
      <c r="B1241" s="46" t="s">
        <v>1178</v>
      </c>
      <c r="C1241" s="46">
        <v>75532</v>
      </c>
      <c r="D1241" s="46" t="s">
        <v>2674</v>
      </c>
      <c r="E1241" s="46" t="s">
        <v>2675</v>
      </c>
      <c r="F1241" s="46" t="s">
        <v>26</v>
      </c>
      <c r="G1241" s="47">
        <v>0.9</v>
      </c>
      <c r="H1241" s="48">
        <v>5.533</v>
      </c>
      <c r="I1241" s="48">
        <v>22.133</v>
      </c>
      <c r="J1241" s="49">
        <v>4</v>
      </c>
      <c r="K1241" s="49">
        <v>1</v>
      </c>
      <c r="L1241" s="49">
        <v>3</v>
      </c>
    </row>
    <row r="1242" spans="1:12" x14ac:dyDescent="0.25">
      <c r="A1242" s="45">
        <f>C1242&amp;"."&amp;IFERROR(MID(E1242,FIND("(",E1242)+1,FIND(")",E1242)-FIND("(",E1242)-1),"")</f>
      </c>
      <c r="B1242" s="46" t="s">
        <v>1178</v>
      </c>
      <c r="C1242" s="46">
        <v>75532</v>
      </c>
      <c r="D1242" s="46" t="s">
        <v>2674</v>
      </c>
      <c r="E1242" s="46" t="s">
        <v>2676</v>
      </c>
      <c r="F1242" s="46" t="s">
        <v>26</v>
      </c>
      <c r="G1242" s="47">
        <v>0.9</v>
      </c>
      <c r="H1242" s="48">
        <v>7.098</v>
      </c>
      <c r="I1242" s="48">
        <v>49.683</v>
      </c>
      <c r="J1242" s="49">
        <v>7</v>
      </c>
      <c r="K1242" s="49">
        <v>7</v>
      </c>
      <c r="L1242" s="49">
        <v>0</v>
      </c>
    </row>
    <row r="1243" spans="1:12" x14ac:dyDescent="0.25">
      <c r="A1243" s="45">
        <f>C1243&amp;"."&amp;IFERROR(MID(E1243,FIND("(",E1243)+1,FIND(")",E1243)-FIND("(",E1243)-1),"")</f>
      </c>
      <c r="B1243" s="46" t="s">
        <v>1178</v>
      </c>
      <c r="C1243" s="46">
        <v>75532</v>
      </c>
      <c r="D1243" s="46" t="s">
        <v>2674</v>
      </c>
      <c r="E1243" s="46" t="s">
        <v>2677</v>
      </c>
      <c r="F1243" s="46" t="s">
        <v>26</v>
      </c>
      <c r="G1243" s="47">
        <v>0.9</v>
      </c>
      <c r="H1243" s="48">
        <v>2.9</v>
      </c>
      <c r="I1243" s="48">
        <v>29</v>
      </c>
      <c r="J1243" s="49">
        <v>10</v>
      </c>
      <c r="K1243" s="49">
        <v>0</v>
      </c>
      <c r="L1243" s="49">
        <v>10</v>
      </c>
    </row>
    <row r="1244" spans="1:12" x14ac:dyDescent="0.25">
      <c r="A1244" s="45">
        <f>C1244&amp;"."&amp;IFERROR(MID(E1244,FIND("(",E1244)+1,FIND(")",E1244)-FIND("(",E1244)-1),"")</f>
      </c>
      <c r="B1244" s="46" t="s">
        <v>1178</v>
      </c>
      <c r="C1244" s="46">
        <v>75535</v>
      </c>
      <c r="D1244" s="46" t="s">
        <v>2678</v>
      </c>
      <c r="E1244" s="46" t="s">
        <v>2679</v>
      </c>
      <c r="F1244" s="46" t="s">
        <v>26</v>
      </c>
      <c r="G1244" s="47">
        <v>0.47</v>
      </c>
      <c r="H1244" s="48">
        <v>9.88</v>
      </c>
      <c r="I1244" s="48">
        <v>19.76</v>
      </c>
      <c r="J1244" s="49">
        <v>2</v>
      </c>
      <c r="K1244" s="49">
        <v>0</v>
      </c>
      <c r="L1244" s="49">
        <v>2</v>
      </c>
    </row>
    <row r="1245" spans="1:12" x14ac:dyDescent="0.25">
      <c r="A1245" s="45">
        <f>C1245&amp;"."&amp;IFERROR(MID(E1245,FIND("(",E1245)+1,FIND(")",E1245)-FIND("(",E1245)-1),"")</f>
      </c>
      <c r="B1245" s="46" t="s">
        <v>1178</v>
      </c>
      <c r="C1245" s="46">
        <v>75536</v>
      </c>
      <c r="D1245" s="46" t="s">
        <v>2680</v>
      </c>
      <c r="E1245" s="46" t="s">
        <v>2681</v>
      </c>
      <c r="F1245" s="46" t="s">
        <v>26</v>
      </c>
      <c r="G1245" s="47">
        <v>1.36</v>
      </c>
      <c r="H1245" s="48">
        <v>4.39</v>
      </c>
      <c r="I1245" s="48">
        <v>17.56</v>
      </c>
      <c r="J1245" s="49">
        <v>4</v>
      </c>
      <c r="K1245" s="49">
        <v>0</v>
      </c>
      <c r="L1245" s="49">
        <v>4</v>
      </c>
    </row>
    <row r="1246" spans="1:12" x14ac:dyDescent="0.25">
      <c r="A1246" s="45">
        <f>C1246&amp;"."&amp;IFERROR(MID(E1246,FIND("(",E1246)+1,FIND(")",E1246)-FIND("(",E1246)-1),"")</f>
      </c>
      <c r="B1246" s="46" t="s">
        <v>1178</v>
      </c>
      <c r="C1246" s="46">
        <v>75536</v>
      </c>
      <c r="D1246" s="46" t="s">
        <v>2680</v>
      </c>
      <c r="E1246" s="46" t="s">
        <v>2682</v>
      </c>
      <c r="F1246" s="46" t="s">
        <v>26</v>
      </c>
      <c r="G1246" s="47">
        <v>1.36</v>
      </c>
      <c r="H1246" s="48">
        <v>15.104</v>
      </c>
      <c r="I1246" s="48">
        <v>30.209</v>
      </c>
      <c r="J1246" s="49">
        <v>2</v>
      </c>
      <c r="K1246" s="49">
        <v>0</v>
      </c>
      <c r="L1246" s="49">
        <v>2</v>
      </c>
    </row>
    <row r="1247" spans="1:12" x14ac:dyDescent="0.25">
      <c r="A1247" s="45">
        <f>C1247&amp;"."&amp;IFERROR(MID(E1247,FIND("(",E1247)+1,FIND(")",E1247)-FIND("(",E1247)-1),"")</f>
      </c>
      <c r="B1247" s="46" t="s">
        <v>1178</v>
      </c>
      <c r="C1247" s="46">
        <v>75536</v>
      </c>
      <c r="D1247" s="46" t="s">
        <v>2680</v>
      </c>
      <c r="E1247" s="46" t="s">
        <v>2683</v>
      </c>
      <c r="F1247" s="46" t="s">
        <v>26</v>
      </c>
      <c r="G1247" s="47">
        <v>1.36</v>
      </c>
      <c r="H1247" s="48">
        <v>4.39</v>
      </c>
      <c r="I1247" s="48">
        <v>21.95</v>
      </c>
      <c r="J1247" s="49">
        <v>5</v>
      </c>
      <c r="K1247" s="49">
        <v>0</v>
      </c>
      <c r="L1247" s="49">
        <v>5</v>
      </c>
    </row>
    <row r="1248" spans="1:12" x14ac:dyDescent="0.25">
      <c r="A1248" s="45">
        <f>C1248&amp;"."&amp;IFERROR(MID(E1248,FIND("(",E1248)+1,FIND(")",E1248)-FIND("(",E1248)-1),"")</f>
      </c>
      <c r="B1248" s="46" t="s">
        <v>1178</v>
      </c>
      <c r="C1248" s="46">
        <v>75539</v>
      </c>
      <c r="D1248" s="46" t="s">
        <v>2684</v>
      </c>
      <c r="E1248" s="46" t="s">
        <v>1248</v>
      </c>
      <c r="F1248" s="46" t="s">
        <v>26</v>
      </c>
      <c r="G1248" s="47">
        <v>0.32</v>
      </c>
      <c r="H1248" s="48">
        <v>0.73</v>
      </c>
      <c r="I1248" s="48">
        <v>2.19</v>
      </c>
      <c r="J1248" s="49">
        <v>3</v>
      </c>
      <c r="K1248" s="49">
        <v>0</v>
      </c>
      <c r="L1248" s="49">
        <v>3</v>
      </c>
    </row>
    <row r="1249" spans="1:12" x14ac:dyDescent="0.25">
      <c r="A1249" s="45">
        <f>C1249&amp;"."&amp;IFERROR(MID(E1249,FIND("(",E1249)+1,FIND(")",E1249)-FIND("(",E1249)-1),"")</f>
      </c>
      <c r="B1249" s="46" t="s">
        <v>1178</v>
      </c>
      <c r="C1249" s="46">
        <v>75541</v>
      </c>
      <c r="D1249" s="46" t="s">
        <v>2685</v>
      </c>
      <c r="E1249" s="46" t="s">
        <v>2686</v>
      </c>
      <c r="F1249" s="46" t="s">
        <v>26</v>
      </c>
      <c r="G1249" s="47">
        <v>1.39</v>
      </c>
      <c r="H1249" s="48">
        <v>4</v>
      </c>
      <c r="I1249" s="48">
        <v>19.998</v>
      </c>
      <c r="J1249" s="49">
        <v>5</v>
      </c>
      <c r="K1249" s="49">
        <v>0</v>
      </c>
      <c r="L1249" s="49">
        <v>5</v>
      </c>
    </row>
    <row r="1250" spans="1:12" x14ac:dyDescent="0.25">
      <c r="A1250" s="45">
        <f>C1250&amp;"."&amp;IFERROR(MID(E1250,FIND("(",E1250)+1,FIND(")",E1250)-FIND("(",E1250)-1),"")</f>
      </c>
      <c r="B1250" s="46" t="s">
        <v>1178</v>
      </c>
      <c r="C1250" s="46">
        <v>75541</v>
      </c>
      <c r="D1250" s="46" t="s">
        <v>2685</v>
      </c>
      <c r="E1250" s="46" t="s">
        <v>2687</v>
      </c>
      <c r="F1250" s="46" t="s">
        <v>26</v>
      </c>
      <c r="G1250" s="47">
        <v>1.39</v>
      </c>
      <c r="H1250" s="48">
        <v>3.93</v>
      </c>
      <c r="I1250" s="48">
        <v>3.93</v>
      </c>
      <c r="J1250" s="49">
        <v>1</v>
      </c>
      <c r="K1250" s="49">
        <v>1</v>
      </c>
      <c r="L1250" s="49">
        <v>0</v>
      </c>
    </row>
    <row r="1251" spans="1:12" x14ac:dyDescent="0.25">
      <c r="A1251" s="45">
        <f>C1251&amp;"."&amp;IFERROR(MID(E1251,FIND("(",E1251)+1,FIND(")",E1251)-FIND("(",E1251)-1),"")</f>
      </c>
      <c r="B1251" s="46" t="s">
        <v>1178</v>
      </c>
      <c r="C1251" s="46">
        <v>75550</v>
      </c>
      <c r="D1251" s="46" t="s">
        <v>2688</v>
      </c>
      <c r="E1251" s="46" t="s">
        <v>2689</v>
      </c>
      <c r="F1251" s="46" t="s">
        <v>26</v>
      </c>
      <c r="G1251" s="47">
        <v>8.54</v>
      </c>
      <c r="H1251" s="48">
        <v>22.338</v>
      </c>
      <c r="I1251" s="48">
        <v>67.015</v>
      </c>
      <c r="J1251" s="49">
        <v>3</v>
      </c>
      <c r="K1251" s="49">
        <v>0</v>
      </c>
      <c r="L1251" s="49">
        <v>3</v>
      </c>
    </row>
    <row r="1252" spans="1:12" x14ac:dyDescent="0.25">
      <c r="A1252" s="45">
        <f>C1252&amp;"."&amp;IFERROR(MID(E1252,FIND("(",E1252)+1,FIND(")",E1252)-FIND("(",E1252)-1),"")</f>
      </c>
      <c r="B1252" s="46" t="s">
        <v>1178</v>
      </c>
      <c r="C1252" s="46">
        <v>75550</v>
      </c>
      <c r="D1252" s="46" t="s">
        <v>2688</v>
      </c>
      <c r="E1252" s="46" t="s">
        <v>2690</v>
      </c>
      <c r="F1252" s="46" t="s">
        <v>26</v>
      </c>
      <c r="G1252" s="47">
        <v>8.54</v>
      </c>
      <c r="H1252" s="48">
        <v>10.649</v>
      </c>
      <c r="I1252" s="48">
        <v>31.947</v>
      </c>
      <c r="J1252" s="49">
        <v>3</v>
      </c>
      <c r="K1252" s="49">
        <v>0</v>
      </c>
      <c r="L1252" s="49">
        <v>3</v>
      </c>
    </row>
    <row r="1253" spans="1:12" x14ac:dyDescent="0.25">
      <c r="A1253" s="45">
        <f>C1253&amp;"."&amp;IFERROR(MID(E1253,FIND("(",E1253)+1,FIND(")",E1253)-FIND("(",E1253)-1),"")</f>
      </c>
      <c r="B1253" s="46" t="s">
        <v>1178</v>
      </c>
      <c r="C1253" s="46">
        <v>75550</v>
      </c>
      <c r="D1253" s="46" t="s">
        <v>2688</v>
      </c>
      <c r="E1253" s="46" t="s">
        <v>2691</v>
      </c>
      <c r="F1253" s="46" t="s">
        <v>26</v>
      </c>
      <c r="G1253" s="47">
        <v>8.54</v>
      </c>
      <c r="H1253" s="48">
        <v>19.321</v>
      </c>
      <c r="I1253" s="48">
        <v>77.285</v>
      </c>
      <c r="J1253" s="49">
        <v>4</v>
      </c>
      <c r="K1253" s="49">
        <v>0</v>
      </c>
      <c r="L1253" s="49">
        <v>4</v>
      </c>
    </row>
    <row r="1254" spans="1:12" x14ac:dyDescent="0.25">
      <c r="A1254" s="45">
        <f>C1254&amp;"."&amp;IFERROR(MID(E1254,FIND("(",E1254)+1,FIND(")",E1254)-FIND("(",E1254)-1),"")</f>
      </c>
      <c r="B1254" s="46" t="s">
        <v>1178</v>
      </c>
      <c r="C1254" s="46">
        <v>75552</v>
      </c>
      <c r="D1254" s="46" t="s">
        <v>2692</v>
      </c>
      <c r="E1254" s="46" t="s">
        <v>2693</v>
      </c>
      <c r="F1254" s="46" t="s">
        <v>26</v>
      </c>
      <c r="G1254" s="47">
        <v>6.84</v>
      </c>
      <c r="H1254" s="48">
        <v>17.13</v>
      </c>
      <c r="I1254" s="48">
        <v>17.13</v>
      </c>
      <c r="J1254" s="49">
        <v>1</v>
      </c>
      <c r="K1254" s="49">
        <v>0</v>
      </c>
      <c r="L1254" s="49">
        <v>1</v>
      </c>
    </row>
    <row r="1255" spans="1:12" x14ac:dyDescent="0.25">
      <c r="A1255" s="45">
        <f>C1255&amp;"."&amp;IFERROR(MID(E1255,FIND("(",E1255)+1,FIND(")",E1255)-FIND("(",E1255)-1),"")</f>
      </c>
      <c r="B1255" s="46" t="s">
        <v>1178</v>
      </c>
      <c r="C1255" s="46">
        <v>75552</v>
      </c>
      <c r="D1255" s="46" t="s">
        <v>2692</v>
      </c>
      <c r="E1255" s="46" t="s">
        <v>2694</v>
      </c>
      <c r="F1255" s="46" t="s">
        <v>26</v>
      </c>
      <c r="G1255" s="47">
        <v>6.84</v>
      </c>
      <c r="H1255" s="48">
        <v>18.295</v>
      </c>
      <c r="I1255" s="48">
        <v>18.295</v>
      </c>
      <c r="J1255" s="49">
        <v>1</v>
      </c>
      <c r="K1255" s="49">
        <v>0</v>
      </c>
      <c r="L1255" s="49">
        <v>1</v>
      </c>
    </row>
    <row r="1256" spans="1:12" x14ac:dyDescent="0.25">
      <c r="A1256" s="45">
        <f>C1256&amp;"."&amp;IFERROR(MID(E1256,FIND("(",E1256)+1,FIND(")",E1256)-FIND("(",E1256)-1),"")</f>
      </c>
      <c r="B1256" s="46" t="s">
        <v>1178</v>
      </c>
      <c r="C1256" s="46">
        <v>75555</v>
      </c>
      <c r="D1256" s="46" t="s">
        <v>2695</v>
      </c>
      <c r="E1256" s="46" t="s">
        <v>2696</v>
      </c>
      <c r="F1256" s="46" t="s">
        <v>26</v>
      </c>
      <c r="G1256" s="47">
        <v>6.84</v>
      </c>
      <c r="H1256" s="48">
        <v>20.669</v>
      </c>
      <c r="I1256" s="48">
        <v>82.674</v>
      </c>
      <c r="J1256" s="49">
        <v>4</v>
      </c>
      <c r="K1256" s="49">
        <v>0</v>
      </c>
      <c r="L1256" s="49">
        <v>4</v>
      </c>
    </row>
    <row r="1257" spans="1:12" x14ac:dyDescent="0.25">
      <c r="A1257" s="45">
        <f>C1257&amp;"."&amp;IFERROR(MID(E1257,FIND("(",E1257)+1,FIND(")",E1257)-FIND("(",E1257)-1),"")</f>
      </c>
      <c r="B1257" s="46" t="s">
        <v>1178</v>
      </c>
      <c r="C1257" s="46">
        <v>75555</v>
      </c>
      <c r="D1257" s="46" t="s">
        <v>2695</v>
      </c>
      <c r="E1257" s="46" t="s">
        <v>2697</v>
      </c>
      <c r="F1257" s="46" t="s">
        <v>26</v>
      </c>
      <c r="G1257" s="47">
        <v>6.84</v>
      </c>
      <c r="H1257" s="48">
        <v>16.735</v>
      </c>
      <c r="I1257" s="48">
        <v>50.206</v>
      </c>
      <c r="J1257" s="49">
        <v>3</v>
      </c>
      <c r="K1257" s="49">
        <v>1</v>
      </c>
      <c r="L1257" s="49">
        <v>2</v>
      </c>
    </row>
    <row r="1258" spans="1:12" x14ac:dyDescent="0.25">
      <c r="A1258" s="45">
        <f>C1258&amp;"."&amp;IFERROR(MID(E1258,FIND("(",E1258)+1,FIND(")",E1258)-FIND("(",E1258)-1),"")</f>
      </c>
      <c r="B1258" s="46" t="s">
        <v>1178</v>
      </c>
      <c r="C1258" s="46">
        <v>75561</v>
      </c>
      <c r="D1258" s="46" t="s">
        <v>2698</v>
      </c>
      <c r="E1258" s="46" t="s">
        <v>2699</v>
      </c>
      <c r="F1258" s="46" t="s">
        <v>26</v>
      </c>
      <c r="G1258" s="47">
        <v>0.35</v>
      </c>
      <c r="H1258" s="48">
        <v>1.04</v>
      </c>
      <c r="I1258" s="48">
        <v>1.04</v>
      </c>
      <c r="J1258" s="49">
        <v>1</v>
      </c>
      <c r="K1258" s="49">
        <v>0</v>
      </c>
      <c r="L1258" s="49">
        <v>1</v>
      </c>
    </row>
    <row r="1259" spans="1:12" x14ac:dyDescent="0.25">
      <c r="A1259" s="45">
        <f>C1259&amp;"."&amp;IFERROR(MID(E1259,FIND("(",E1259)+1,FIND(")",E1259)-FIND("(",E1259)-1),"")</f>
      </c>
      <c r="B1259" s="46" t="s">
        <v>1178</v>
      </c>
      <c r="C1259" s="46">
        <v>75561</v>
      </c>
      <c r="D1259" s="46" t="s">
        <v>2698</v>
      </c>
      <c r="E1259" s="46" t="s">
        <v>2700</v>
      </c>
      <c r="F1259" s="46" t="s">
        <v>26</v>
      </c>
      <c r="G1259" s="47">
        <v>0.35</v>
      </c>
      <c r="H1259" s="48">
        <v>1.012</v>
      </c>
      <c r="I1259" s="48">
        <v>3.037</v>
      </c>
      <c r="J1259" s="49">
        <v>3</v>
      </c>
      <c r="K1259" s="49">
        <v>2</v>
      </c>
      <c r="L1259" s="49">
        <v>1</v>
      </c>
    </row>
    <row r="1260" spans="1:12" x14ac:dyDescent="0.25">
      <c r="A1260" s="45">
        <f>C1260&amp;"."&amp;IFERROR(MID(E1260,FIND("(",E1260)+1,FIND(")",E1260)-FIND("(",E1260)-1),"")</f>
      </c>
      <c r="B1260" s="46" t="s">
        <v>1178</v>
      </c>
      <c r="C1260" s="46">
        <v>75561</v>
      </c>
      <c r="D1260" s="46" t="s">
        <v>2698</v>
      </c>
      <c r="E1260" s="46" t="s">
        <v>2701</v>
      </c>
      <c r="F1260" s="46" t="s">
        <v>26</v>
      </c>
      <c r="G1260" s="47">
        <v>0.35</v>
      </c>
      <c r="H1260" s="48">
        <v>1.103</v>
      </c>
      <c r="I1260" s="48">
        <v>14.338</v>
      </c>
      <c r="J1260" s="49">
        <v>13</v>
      </c>
      <c r="K1260" s="49">
        <v>12</v>
      </c>
      <c r="L1260" s="49">
        <v>1</v>
      </c>
    </row>
    <row r="1261" spans="1:12" x14ac:dyDescent="0.25">
      <c r="A1261" s="45">
        <f>C1261&amp;"."&amp;IFERROR(MID(E1261,FIND("(",E1261)+1,FIND(")",E1261)-FIND("(",E1261)-1),"")</f>
      </c>
      <c r="B1261" s="46" t="s">
        <v>1178</v>
      </c>
      <c r="C1261" s="46">
        <v>75565</v>
      </c>
      <c r="D1261" s="46" t="s">
        <v>2702</v>
      </c>
      <c r="E1261" s="46" t="s">
        <v>1248</v>
      </c>
      <c r="F1261" s="46" t="s">
        <v>1495</v>
      </c>
      <c r="G1261" s="47">
        <v>0</v>
      </c>
      <c r="H1261" s="48">
        <v>107.031</v>
      </c>
      <c r="I1261" s="48">
        <v>428.122</v>
      </c>
      <c r="J1261" s="49">
        <v>4</v>
      </c>
      <c r="K1261" s="49">
        <v>0</v>
      </c>
      <c r="L1261" s="49">
        <v>4</v>
      </c>
    </row>
    <row r="1262" spans="1:12" x14ac:dyDescent="0.25">
      <c r="A1262" s="45">
        <f>C1262&amp;"."&amp;IFERROR(MID(E1262,FIND("(",E1262)+1,FIND(")",E1262)-FIND("(",E1262)-1),"")</f>
      </c>
      <c r="B1262" s="46" t="s">
        <v>1178</v>
      </c>
      <c r="C1262" s="46">
        <v>75566</v>
      </c>
      <c r="D1262" s="46" t="s">
        <v>2703</v>
      </c>
      <c r="E1262" s="46" t="s">
        <v>2704</v>
      </c>
      <c r="F1262" s="46" t="s">
        <v>26</v>
      </c>
      <c r="G1262" s="47">
        <v>0.29</v>
      </c>
      <c r="H1262" s="48">
        <v>0.872</v>
      </c>
      <c r="I1262" s="48">
        <v>3.488</v>
      </c>
      <c r="J1262" s="49">
        <v>4</v>
      </c>
      <c r="K1262" s="49">
        <v>0</v>
      </c>
      <c r="L1262" s="49">
        <v>4</v>
      </c>
    </row>
    <row r="1263" spans="1:12" x14ac:dyDescent="0.25">
      <c r="A1263" s="45">
        <f>C1263&amp;"."&amp;IFERROR(MID(E1263,FIND("(",E1263)+1,FIND(")",E1263)-FIND("(",E1263)-1),"")</f>
      </c>
      <c r="B1263" s="46" t="s">
        <v>1178</v>
      </c>
      <c r="C1263" s="46">
        <v>75570</v>
      </c>
      <c r="D1263" s="46" t="s">
        <v>2705</v>
      </c>
      <c r="E1263" s="46" t="s">
        <v>2706</v>
      </c>
      <c r="F1263" s="46" t="s">
        <v>26</v>
      </c>
      <c r="G1263" s="47">
        <v>7.08</v>
      </c>
      <c r="H1263" s="48">
        <v>22.56</v>
      </c>
      <c r="I1263" s="48">
        <v>67.679</v>
      </c>
      <c r="J1263" s="49">
        <v>3</v>
      </c>
      <c r="K1263" s="49">
        <v>0</v>
      </c>
      <c r="L1263" s="49">
        <v>3</v>
      </c>
    </row>
    <row r="1264" spans="1:12" x14ac:dyDescent="0.25">
      <c r="A1264" s="45">
        <f>C1264&amp;"."&amp;IFERROR(MID(E1264,FIND("(",E1264)+1,FIND(")",E1264)-FIND("(",E1264)-1),"")</f>
      </c>
      <c r="B1264" s="46" t="s">
        <v>1178</v>
      </c>
      <c r="C1264" s="46">
        <v>75570</v>
      </c>
      <c r="D1264" s="46" t="s">
        <v>2705</v>
      </c>
      <c r="E1264" s="46" t="s">
        <v>2707</v>
      </c>
      <c r="F1264" s="46" t="s">
        <v>26</v>
      </c>
      <c r="G1264" s="47">
        <v>7.08</v>
      </c>
      <c r="H1264" s="48">
        <v>26.413</v>
      </c>
      <c r="I1264" s="48">
        <v>132.064</v>
      </c>
      <c r="J1264" s="49">
        <v>5</v>
      </c>
      <c r="K1264" s="49">
        <v>2</v>
      </c>
      <c r="L1264" s="49">
        <v>3</v>
      </c>
    </row>
    <row r="1265" spans="1:12" x14ac:dyDescent="0.25">
      <c r="A1265" s="45">
        <f>C1265&amp;"."&amp;IFERROR(MID(E1265,FIND("(",E1265)+1,FIND(")",E1265)-FIND("(",E1265)-1),"")</f>
      </c>
      <c r="B1265" s="46" t="s">
        <v>1178</v>
      </c>
      <c r="C1265" s="46">
        <v>75572</v>
      </c>
      <c r="D1265" s="46" t="s">
        <v>2708</v>
      </c>
      <c r="E1265" s="46" t="s">
        <v>1248</v>
      </c>
      <c r="F1265" s="46" t="s">
        <v>1495</v>
      </c>
      <c r="G1265" s="47">
        <v>0</v>
      </c>
      <c r="H1265" s="48">
        <v>4.095</v>
      </c>
      <c r="I1265" s="48">
        <v>36.857</v>
      </c>
      <c r="J1265" s="49">
        <v>9</v>
      </c>
      <c r="K1265" s="49">
        <v>0</v>
      </c>
      <c r="L1265" s="49">
        <v>9</v>
      </c>
    </row>
    <row r="1266" spans="1:12" x14ac:dyDescent="0.25">
      <c r="A1266" s="45">
        <f>C1266&amp;"."&amp;IFERROR(MID(E1266,FIND("(",E1266)+1,FIND(")",E1266)-FIND("(",E1266)-1),"")</f>
      </c>
      <c r="B1266" s="46" t="s">
        <v>1178</v>
      </c>
      <c r="C1266" s="46">
        <v>75573</v>
      </c>
      <c r="D1266" s="46" t="s">
        <v>2709</v>
      </c>
      <c r="E1266" s="46" t="s">
        <v>2710</v>
      </c>
      <c r="F1266" s="46" t="s">
        <v>26</v>
      </c>
      <c r="G1266" s="47">
        <v>0.29</v>
      </c>
      <c r="H1266" s="48">
        <v>0.904</v>
      </c>
      <c r="I1266" s="48">
        <v>4.52</v>
      </c>
      <c r="J1266" s="49">
        <v>5</v>
      </c>
      <c r="K1266" s="49">
        <v>0</v>
      </c>
      <c r="L1266" s="49">
        <v>5</v>
      </c>
    </row>
    <row r="1267" spans="1:12" x14ac:dyDescent="0.25">
      <c r="A1267" s="45">
        <f>C1267&amp;"."&amp;IFERROR(MID(E1267,FIND("(",E1267)+1,FIND(")",E1267)-FIND("(",E1267)-1),"")</f>
      </c>
      <c r="B1267" s="46" t="s">
        <v>1178</v>
      </c>
      <c r="C1267" s="46">
        <v>75574</v>
      </c>
      <c r="D1267" s="46" t="s">
        <v>2711</v>
      </c>
      <c r="E1267" s="46" t="s">
        <v>1248</v>
      </c>
      <c r="F1267" s="46" t="s">
        <v>1495</v>
      </c>
      <c r="G1267" s="47">
        <v>0</v>
      </c>
      <c r="H1267" s="48">
        <v>2.149</v>
      </c>
      <c r="I1267" s="48">
        <v>6.448</v>
      </c>
      <c r="J1267" s="49">
        <v>3</v>
      </c>
      <c r="K1267" s="49">
        <v>0</v>
      </c>
      <c r="L1267" s="49">
        <v>3</v>
      </c>
    </row>
    <row r="1268" spans="1:12" x14ac:dyDescent="0.25">
      <c r="A1268" s="45">
        <f>C1268&amp;"."&amp;IFERROR(MID(E1268,FIND("(",E1268)+1,FIND(")",E1268)-FIND("(",E1268)-1),"")</f>
      </c>
      <c r="B1268" s="46" t="s">
        <v>1178</v>
      </c>
      <c r="C1268" s="46">
        <v>75576</v>
      </c>
      <c r="D1268" s="46" t="s">
        <v>2712</v>
      </c>
      <c r="E1268" s="46" t="s">
        <v>1248</v>
      </c>
      <c r="F1268" s="46" t="s">
        <v>1495</v>
      </c>
      <c r="G1268" s="47">
        <v>0</v>
      </c>
      <c r="H1268" s="48">
        <v>75.358</v>
      </c>
      <c r="I1268" s="48">
        <v>452.145</v>
      </c>
      <c r="J1268" s="49">
        <v>6</v>
      </c>
      <c r="K1268" s="49">
        <v>0</v>
      </c>
      <c r="L1268" s="49">
        <v>6</v>
      </c>
    </row>
    <row r="1269" spans="1:12" x14ac:dyDescent="0.25">
      <c r="A1269" s="45">
        <f>C1269&amp;"."&amp;IFERROR(MID(E1269,FIND("(",E1269)+1,FIND(")",E1269)-FIND("(",E1269)-1),"")</f>
      </c>
      <c r="B1269" s="46" t="s">
        <v>1178</v>
      </c>
      <c r="C1269" s="46">
        <v>75579</v>
      </c>
      <c r="D1269" s="46" t="s">
        <v>2713</v>
      </c>
      <c r="E1269" s="46" t="s">
        <v>2714</v>
      </c>
      <c r="F1269" s="46" t="s">
        <v>26</v>
      </c>
      <c r="G1269" s="47">
        <v>0.5</v>
      </c>
      <c r="H1269" s="48">
        <v>3.424</v>
      </c>
      <c r="I1269" s="48">
        <v>10.272</v>
      </c>
      <c r="J1269" s="49">
        <v>3</v>
      </c>
      <c r="K1269" s="49">
        <v>0</v>
      </c>
      <c r="L1269" s="49">
        <v>3</v>
      </c>
    </row>
    <row r="1270" spans="1:12" x14ac:dyDescent="0.25">
      <c r="A1270" s="45">
        <f>C1270&amp;"."&amp;IFERROR(MID(E1270,FIND("(",E1270)+1,FIND(")",E1270)-FIND("(",E1270)-1),"")</f>
      </c>
      <c r="B1270" s="46" t="s">
        <v>1178</v>
      </c>
      <c r="C1270" s="46">
        <v>75579</v>
      </c>
      <c r="D1270" s="46" t="s">
        <v>2713</v>
      </c>
      <c r="E1270" s="46" t="s">
        <v>2715</v>
      </c>
      <c r="F1270" s="46" t="s">
        <v>26</v>
      </c>
      <c r="G1270" s="47">
        <v>0.5</v>
      </c>
      <c r="H1270" s="48">
        <v>2.751</v>
      </c>
      <c r="I1270" s="48">
        <v>2.751</v>
      </c>
      <c r="J1270" s="49">
        <v>1</v>
      </c>
      <c r="K1270" s="49">
        <v>1</v>
      </c>
      <c r="L1270" s="49">
        <v>0</v>
      </c>
    </row>
    <row r="1271" spans="1:12" x14ac:dyDescent="0.25">
      <c r="A1271" s="45">
        <f>C1271&amp;"."&amp;IFERROR(MID(E1271,FIND("(",E1271)+1,FIND(")",E1271)-FIND("(",E1271)-1),"")</f>
      </c>
      <c r="B1271" s="46" t="s">
        <v>1178</v>
      </c>
      <c r="C1271" s="46">
        <v>75579</v>
      </c>
      <c r="D1271" s="46" t="s">
        <v>2713</v>
      </c>
      <c r="E1271" s="46" t="s">
        <v>2716</v>
      </c>
      <c r="F1271" s="46" t="s">
        <v>26</v>
      </c>
      <c r="G1271" s="47">
        <v>0.5</v>
      </c>
      <c r="H1271" s="48">
        <v>0.538</v>
      </c>
      <c r="I1271" s="48">
        <v>7</v>
      </c>
      <c r="J1271" s="49">
        <v>13</v>
      </c>
      <c r="K1271" s="49">
        <v>12</v>
      </c>
      <c r="L1271" s="49">
        <v>1</v>
      </c>
    </row>
    <row r="1272" spans="1:12" x14ac:dyDescent="0.25">
      <c r="A1272" s="45">
        <f>C1272&amp;"."&amp;IFERROR(MID(E1272,FIND("(",E1272)+1,FIND(")",E1272)-FIND("(",E1272)-1),"")</f>
      </c>
      <c r="B1272" s="46" t="s">
        <v>1178</v>
      </c>
      <c r="C1272" s="46">
        <v>75581</v>
      </c>
      <c r="D1272" s="46" t="s">
        <v>2717</v>
      </c>
      <c r="E1272" s="46" t="s">
        <v>1248</v>
      </c>
      <c r="F1272" s="46" t="s">
        <v>1495</v>
      </c>
      <c r="G1272" s="47">
        <v>0</v>
      </c>
      <c r="H1272" s="48">
        <v>7.714</v>
      </c>
      <c r="I1272" s="48">
        <v>53.997</v>
      </c>
      <c r="J1272" s="49">
        <v>7</v>
      </c>
      <c r="K1272" s="49">
        <v>0</v>
      </c>
      <c r="L1272" s="49">
        <v>7</v>
      </c>
    </row>
    <row r="1273" spans="1:12" x14ac:dyDescent="0.25">
      <c r="A1273" s="45">
        <f>C1273&amp;"."&amp;IFERROR(MID(E1273,FIND("(",E1273)+1,FIND(")",E1273)-FIND("(",E1273)-1),"")</f>
      </c>
      <c r="B1273" s="46" t="s">
        <v>1178</v>
      </c>
      <c r="C1273" s="46">
        <v>75582</v>
      </c>
      <c r="D1273" s="46" t="s">
        <v>2718</v>
      </c>
      <c r="E1273" s="46" t="s">
        <v>2719</v>
      </c>
      <c r="F1273" s="46" t="s">
        <v>26</v>
      </c>
      <c r="G1273" s="47">
        <v>9.4</v>
      </c>
      <c r="H1273" s="48">
        <v>21.182</v>
      </c>
      <c r="I1273" s="48">
        <v>148.274</v>
      </c>
      <c r="J1273" s="49">
        <v>7</v>
      </c>
      <c r="K1273" s="49">
        <v>5</v>
      </c>
      <c r="L1273" s="49">
        <v>2</v>
      </c>
    </row>
    <row r="1274" spans="1:12" x14ac:dyDescent="0.25">
      <c r="A1274" s="45">
        <f>C1274&amp;"."&amp;IFERROR(MID(E1274,FIND("(",E1274)+1,FIND(")",E1274)-FIND("(",E1274)-1),"")</f>
      </c>
      <c r="B1274" s="46" t="s">
        <v>1178</v>
      </c>
      <c r="C1274" s="46">
        <v>75582</v>
      </c>
      <c r="D1274" s="46" t="s">
        <v>2718</v>
      </c>
      <c r="E1274" s="46" t="s">
        <v>2720</v>
      </c>
      <c r="F1274" s="46" t="s">
        <v>26</v>
      </c>
      <c r="G1274" s="47">
        <v>9.4</v>
      </c>
      <c r="H1274" s="48">
        <v>18.754</v>
      </c>
      <c r="I1274" s="48">
        <v>56.262</v>
      </c>
      <c r="J1274" s="49">
        <v>3</v>
      </c>
      <c r="K1274" s="49">
        <v>2</v>
      </c>
      <c r="L1274" s="49">
        <v>1</v>
      </c>
    </row>
    <row r="1275" spans="1:12" x14ac:dyDescent="0.25">
      <c r="A1275" s="45">
        <f>C1275&amp;"."&amp;IFERROR(MID(E1275,FIND("(",E1275)+1,FIND(")",E1275)-FIND("(",E1275)-1),"")</f>
      </c>
      <c r="B1275" s="46" t="s">
        <v>1178</v>
      </c>
      <c r="C1275" s="46">
        <v>75582</v>
      </c>
      <c r="D1275" s="46" t="s">
        <v>2718</v>
      </c>
      <c r="E1275" s="46" t="s">
        <v>2721</v>
      </c>
      <c r="F1275" s="46" t="s">
        <v>26</v>
      </c>
      <c r="G1275" s="47">
        <v>9.4</v>
      </c>
      <c r="H1275" s="48">
        <v>25.811</v>
      </c>
      <c r="I1275" s="48">
        <v>103.246</v>
      </c>
      <c r="J1275" s="49">
        <v>4</v>
      </c>
      <c r="K1275" s="49">
        <v>0</v>
      </c>
      <c r="L1275" s="49">
        <v>4</v>
      </c>
    </row>
    <row r="1276" spans="1:12" x14ac:dyDescent="0.25">
      <c r="A1276" s="45">
        <f>C1276&amp;"."&amp;IFERROR(MID(E1276,FIND("(",E1276)+1,FIND(")",E1276)-FIND("(",E1276)-1),"")</f>
      </c>
      <c r="B1276" s="46" t="s">
        <v>1178</v>
      </c>
      <c r="C1276" s="46">
        <v>75584</v>
      </c>
      <c r="D1276" s="46" t="s">
        <v>2722</v>
      </c>
      <c r="E1276" s="46" t="s">
        <v>1248</v>
      </c>
      <c r="F1276" s="46" t="s">
        <v>1495</v>
      </c>
      <c r="G1276" s="47">
        <v>0</v>
      </c>
      <c r="H1276" s="48">
        <v>21.916</v>
      </c>
      <c r="I1276" s="48">
        <v>460.238</v>
      </c>
      <c r="J1276" s="49">
        <v>21</v>
      </c>
      <c r="K1276" s="49">
        <v>0</v>
      </c>
      <c r="L1276" s="49">
        <v>21</v>
      </c>
    </row>
    <row r="1277" spans="1:12" x14ac:dyDescent="0.25">
      <c r="A1277" s="45">
        <f>C1277&amp;"."&amp;IFERROR(MID(E1277,FIND("(",E1277)+1,FIND(")",E1277)-FIND("(",E1277)-1),"")</f>
      </c>
      <c r="B1277" s="46" t="s">
        <v>1178</v>
      </c>
      <c r="C1277" s="46">
        <v>75586</v>
      </c>
      <c r="D1277" s="46" t="s">
        <v>2723</v>
      </c>
      <c r="E1277" s="46" t="s">
        <v>1248</v>
      </c>
      <c r="F1277" s="46" t="s">
        <v>1495</v>
      </c>
      <c r="G1277" s="47">
        <v>0</v>
      </c>
      <c r="H1277" s="48">
        <v>7.305</v>
      </c>
      <c r="I1277" s="48">
        <v>14.611</v>
      </c>
      <c r="J1277" s="49">
        <v>2</v>
      </c>
      <c r="K1277" s="49">
        <v>0</v>
      </c>
      <c r="L1277" s="49">
        <v>2</v>
      </c>
    </row>
    <row r="1278" spans="1:12" x14ac:dyDescent="0.25">
      <c r="A1278" s="45">
        <f>C1278&amp;"."&amp;IFERROR(MID(E1278,FIND("(",E1278)+1,FIND(")",E1278)-FIND("(",E1278)-1),"")</f>
      </c>
      <c r="B1278" s="46" t="s">
        <v>1178</v>
      </c>
      <c r="C1278" s="46">
        <v>75587</v>
      </c>
      <c r="D1278" s="46" t="s">
        <v>2724</v>
      </c>
      <c r="E1278" s="46" t="s">
        <v>2725</v>
      </c>
      <c r="F1278" s="46" t="s">
        <v>26</v>
      </c>
      <c r="G1278" s="47">
        <v>7.53</v>
      </c>
      <c r="H1278" s="48">
        <v>21.247</v>
      </c>
      <c r="I1278" s="48">
        <v>63.74</v>
      </c>
      <c r="J1278" s="49">
        <v>3</v>
      </c>
      <c r="K1278" s="49">
        <v>2</v>
      </c>
      <c r="L1278" s="49">
        <v>1</v>
      </c>
    </row>
    <row r="1279" spans="1:12" x14ac:dyDescent="0.25">
      <c r="A1279" s="45">
        <f>C1279&amp;"."&amp;IFERROR(MID(E1279,FIND("(",E1279)+1,FIND(")",E1279)-FIND("(",E1279)-1),"")</f>
      </c>
      <c r="B1279" s="46" t="s">
        <v>1178</v>
      </c>
      <c r="C1279" s="46">
        <v>75587</v>
      </c>
      <c r="D1279" s="46" t="s">
        <v>2724</v>
      </c>
      <c r="E1279" s="46" t="s">
        <v>2726</v>
      </c>
      <c r="F1279" s="46" t="s">
        <v>26</v>
      </c>
      <c r="G1279" s="47">
        <v>7.53</v>
      </c>
      <c r="H1279" s="48">
        <v>20.079</v>
      </c>
      <c r="I1279" s="48">
        <v>60.238</v>
      </c>
      <c r="J1279" s="49">
        <v>3</v>
      </c>
      <c r="K1279" s="49">
        <v>2</v>
      </c>
      <c r="L1279" s="49">
        <v>1</v>
      </c>
    </row>
    <row r="1280" spans="1:12" x14ac:dyDescent="0.25">
      <c r="A1280" s="45">
        <f>C1280&amp;"."&amp;IFERROR(MID(E1280,FIND("(",E1280)+1,FIND(")",E1280)-FIND("(",E1280)-1),"")</f>
      </c>
      <c r="B1280" s="46" t="s">
        <v>1178</v>
      </c>
      <c r="C1280" s="46">
        <v>75591</v>
      </c>
      <c r="D1280" s="46" t="s">
        <v>2727</v>
      </c>
      <c r="E1280" s="46" t="s">
        <v>2728</v>
      </c>
      <c r="F1280" s="46" t="s">
        <v>26</v>
      </c>
      <c r="G1280" s="47">
        <v>2.24</v>
      </c>
      <c r="H1280" s="48">
        <v>6.484</v>
      </c>
      <c r="I1280" s="48">
        <v>32.419</v>
      </c>
      <c r="J1280" s="49">
        <v>5</v>
      </c>
      <c r="K1280" s="49">
        <v>4</v>
      </c>
      <c r="L1280" s="49">
        <v>1</v>
      </c>
    </row>
    <row r="1281" spans="1:12" x14ac:dyDescent="0.25">
      <c r="A1281" s="45">
        <f>C1281&amp;"."&amp;IFERROR(MID(E1281,FIND("(",E1281)+1,FIND(")",E1281)-FIND("(",E1281)-1),"")</f>
      </c>
      <c r="B1281" s="46" t="s">
        <v>1178</v>
      </c>
      <c r="C1281" s="46">
        <v>75591</v>
      </c>
      <c r="D1281" s="46" t="s">
        <v>2727</v>
      </c>
      <c r="E1281" s="46" t="s">
        <v>2729</v>
      </c>
      <c r="F1281" s="46" t="s">
        <v>26</v>
      </c>
      <c r="G1281" s="47">
        <v>2.24</v>
      </c>
      <c r="H1281" s="48">
        <v>3.785</v>
      </c>
      <c r="I1281" s="48">
        <v>3.785</v>
      </c>
      <c r="J1281" s="49">
        <v>1</v>
      </c>
      <c r="K1281" s="49">
        <v>0</v>
      </c>
      <c r="L1281" s="49">
        <v>1</v>
      </c>
    </row>
    <row r="1282" spans="1:12" x14ac:dyDescent="0.25">
      <c r="A1282" s="45">
        <f>C1282&amp;"."&amp;IFERROR(MID(E1282,FIND("(",E1282)+1,FIND(")",E1282)-FIND("(",E1282)-1),"")</f>
      </c>
      <c r="B1282" s="46" t="s">
        <v>1178</v>
      </c>
      <c r="C1282" s="46">
        <v>75592</v>
      </c>
      <c r="D1282" s="46" t="s">
        <v>2730</v>
      </c>
      <c r="E1282" s="46" t="s">
        <v>2731</v>
      </c>
      <c r="F1282" s="46" t="s">
        <v>26</v>
      </c>
      <c r="G1282" s="47">
        <v>1.77</v>
      </c>
      <c r="H1282" s="48">
        <v>5.337</v>
      </c>
      <c r="I1282" s="48">
        <v>5.337</v>
      </c>
      <c r="J1282" s="49">
        <v>1</v>
      </c>
      <c r="K1282" s="49">
        <v>0</v>
      </c>
      <c r="L1282" s="49">
        <v>1</v>
      </c>
    </row>
    <row r="1283" spans="1:12" x14ac:dyDescent="0.25">
      <c r="A1283" s="45">
        <f>C1283&amp;"."&amp;IFERROR(MID(E1283,FIND("(",E1283)+1,FIND(")",E1283)-FIND("(",E1283)-1),"")</f>
      </c>
      <c r="B1283" s="46" t="s">
        <v>1178</v>
      </c>
      <c r="C1283" s="46">
        <v>75592</v>
      </c>
      <c r="D1283" s="46" t="s">
        <v>2730</v>
      </c>
      <c r="E1283" s="46" t="s">
        <v>2732</v>
      </c>
      <c r="F1283" s="46" t="s">
        <v>26</v>
      </c>
      <c r="G1283" s="47">
        <v>1.77</v>
      </c>
      <c r="H1283" s="48">
        <v>4.931</v>
      </c>
      <c r="I1283" s="48">
        <v>9.863</v>
      </c>
      <c r="J1283" s="49">
        <v>2</v>
      </c>
      <c r="K1283" s="49">
        <v>0</v>
      </c>
      <c r="L1283" s="49">
        <v>2</v>
      </c>
    </row>
    <row r="1284" spans="1:12" x14ac:dyDescent="0.25">
      <c r="A1284" s="45">
        <f>C1284&amp;"."&amp;IFERROR(MID(E1284,FIND("(",E1284)+1,FIND(")",E1284)-FIND("(",E1284)-1),"")</f>
      </c>
      <c r="B1284" s="46" t="s">
        <v>1178</v>
      </c>
      <c r="C1284" s="46">
        <v>75592</v>
      </c>
      <c r="D1284" s="46" t="s">
        <v>2730</v>
      </c>
      <c r="E1284" s="46" t="s">
        <v>2733</v>
      </c>
      <c r="F1284" s="46" t="s">
        <v>26</v>
      </c>
      <c r="G1284" s="47">
        <v>1.77</v>
      </c>
      <c r="H1284" s="48">
        <v>5.018</v>
      </c>
      <c r="I1284" s="48">
        <v>45.165</v>
      </c>
      <c r="J1284" s="49">
        <v>9</v>
      </c>
      <c r="K1284" s="49">
        <v>0</v>
      </c>
      <c r="L1284" s="49">
        <v>9</v>
      </c>
    </row>
    <row r="1285" spans="1:12" x14ac:dyDescent="0.25">
      <c r="A1285" s="45">
        <f>C1285&amp;"."&amp;IFERROR(MID(E1285,FIND("(",E1285)+1,FIND(")",E1285)-FIND("(",E1285)-1),"")</f>
      </c>
      <c r="B1285" s="46" t="s">
        <v>1178</v>
      </c>
      <c r="C1285" s="46">
        <v>75593</v>
      </c>
      <c r="D1285" s="46" t="s">
        <v>2734</v>
      </c>
      <c r="E1285" s="46" t="s">
        <v>2735</v>
      </c>
      <c r="F1285" s="46" t="s">
        <v>26</v>
      </c>
      <c r="G1285" s="47">
        <v>1.77</v>
      </c>
      <c r="H1285" s="48">
        <v>5.76</v>
      </c>
      <c r="I1285" s="48">
        <v>11.52</v>
      </c>
      <c r="J1285" s="49">
        <v>2</v>
      </c>
      <c r="K1285" s="49">
        <v>0</v>
      </c>
      <c r="L1285" s="49">
        <v>2</v>
      </c>
    </row>
    <row r="1286" spans="1:12" x14ac:dyDescent="0.25">
      <c r="A1286" s="45">
        <f>C1286&amp;"."&amp;IFERROR(MID(E1286,FIND("(",E1286)+1,FIND(")",E1286)-FIND("(",E1286)-1),"")</f>
      </c>
      <c r="B1286" s="46" t="s">
        <v>1178</v>
      </c>
      <c r="C1286" s="46">
        <v>75593</v>
      </c>
      <c r="D1286" s="46" t="s">
        <v>2734</v>
      </c>
      <c r="E1286" s="46" t="s">
        <v>2736</v>
      </c>
      <c r="F1286" s="46" t="s">
        <v>26</v>
      </c>
      <c r="G1286" s="47">
        <v>1.77</v>
      </c>
      <c r="H1286" s="48">
        <v>6.134</v>
      </c>
      <c r="I1286" s="48">
        <v>12.268</v>
      </c>
      <c r="J1286" s="49">
        <v>2</v>
      </c>
      <c r="K1286" s="49">
        <v>0</v>
      </c>
      <c r="L1286" s="49">
        <v>2</v>
      </c>
    </row>
    <row r="1287" spans="1:12" x14ac:dyDescent="0.25">
      <c r="A1287" s="45">
        <f>C1287&amp;"."&amp;IFERROR(MID(E1287,FIND("(",E1287)+1,FIND(")",E1287)-FIND("(",E1287)-1),"")</f>
      </c>
      <c r="B1287" s="46" t="s">
        <v>1178</v>
      </c>
      <c r="C1287" s="46">
        <v>75593</v>
      </c>
      <c r="D1287" s="46" t="s">
        <v>2734</v>
      </c>
      <c r="E1287" s="46" t="s">
        <v>2737</v>
      </c>
      <c r="F1287" s="46" t="s">
        <v>26</v>
      </c>
      <c r="G1287" s="47">
        <v>1.77</v>
      </c>
      <c r="H1287" s="48">
        <v>4.985</v>
      </c>
      <c r="I1287" s="48">
        <v>24.926</v>
      </c>
      <c r="J1287" s="49">
        <v>5</v>
      </c>
      <c r="K1287" s="49">
        <v>0</v>
      </c>
      <c r="L1287" s="49">
        <v>5</v>
      </c>
    </row>
    <row r="1288" spans="1:12" x14ac:dyDescent="0.25">
      <c r="A1288" s="45">
        <f>C1288&amp;"."&amp;IFERROR(MID(E1288,FIND("(",E1288)+1,FIND(")",E1288)-FIND("(",E1288)-1),"")</f>
      </c>
      <c r="B1288" s="46" t="s">
        <v>1178</v>
      </c>
      <c r="C1288" s="46">
        <v>75594</v>
      </c>
      <c r="D1288" s="46" t="s">
        <v>2738</v>
      </c>
      <c r="E1288" s="46" t="s">
        <v>2739</v>
      </c>
      <c r="F1288" s="46" t="s">
        <v>26</v>
      </c>
      <c r="G1288" s="47">
        <v>6.34</v>
      </c>
      <c r="H1288" s="48">
        <v>18.537</v>
      </c>
      <c r="I1288" s="48">
        <v>92.684</v>
      </c>
      <c r="J1288" s="49">
        <v>5</v>
      </c>
      <c r="K1288" s="49">
        <v>1</v>
      </c>
      <c r="L1288" s="49">
        <v>4</v>
      </c>
    </row>
    <row r="1289" spans="1:12" x14ac:dyDescent="0.25">
      <c r="A1289" s="45">
        <f>C1289&amp;"."&amp;IFERROR(MID(E1289,FIND("(",E1289)+1,FIND(")",E1289)-FIND("(",E1289)-1),"")</f>
      </c>
      <c r="B1289" s="46" t="s">
        <v>1178</v>
      </c>
      <c r="C1289" s="46">
        <v>75594</v>
      </c>
      <c r="D1289" s="46" t="s">
        <v>2738</v>
      </c>
      <c r="E1289" s="46" t="s">
        <v>2740</v>
      </c>
      <c r="F1289" s="46" t="s">
        <v>26</v>
      </c>
      <c r="G1289" s="47">
        <v>6.34</v>
      </c>
      <c r="H1289" s="48">
        <v>17.872</v>
      </c>
      <c r="I1289" s="48">
        <v>178.721</v>
      </c>
      <c r="J1289" s="49">
        <v>10</v>
      </c>
      <c r="K1289" s="49">
        <v>0</v>
      </c>
      <c r="L1289" s="49">
        <v>10</v>
      </c>
    </row>
    <row r="1290" spans="1:12" x14ac:dyDescent="0.25">
      <c r="A1290" s="45">
        <f>C1290&amp;"."&amp;IFERROR(MID(E1290,FIND("(",E1290)+1,FIND(")",E1290)-FIND("(",E1290)-1),"")</f>
      </c>
      <c r="B1290" s="46" t="s">
        <v>1178</v>
      </c>
      <c r="C1290" s="46">
        <v>75594</v>
      </c>
      <c r="D1290" s="46" t="s">
        <v>2738</v>
      </c>
      <c r="E1290" s="46" t="s">
        <v>2741</v>
      </c>
      <c r="F1290" s="46" t="s">
        <v>26</v>
      </c>
      <c r="G1290" s="47">
        <v>6.34</v>
      </c>
      <c r="H1290" s="48">
        <v>18.322</v>
      </c>
      <c r="I1290" s="48">
        <v>128.253</v>
      </c>
      <c r="J1290" s="49">
        <v>7</v>
      </c>
      <c r="K1290" s="49">
        <v>7</v>
      </c>
      <c r="L1290" s="49">
        <v>0</v>
      </c>
    </row>
    <row r="1291" spans="1:12" x14ac:dyDescent="0.25">
      <c r="A1291" s="45">
        <f>C1291&amp;"."&amp;IFERROR(MID(E1291,FIND("(",E1291)+1,FIND(")",E1291)-FIND("(",E1291)-1),"")</f>
      </c>
      <c r="B1291" s="46" t="s">
        <v>1178</v>
      </c>
      <c r="C1291" s="46">
        <v>75594</v>
      </c>
      <c r="D1291" s="46" t="s">
        <v>2738</v>
      </c>
      <c r="E1291" s="46" t="s">
        <v>2742</v>
      </c>
      <c r="F1291" s="46" t="s">
        <v>26</v>
      </c>
      <c r="G1291" s="47">
        <v>6.34</v>
      </c>
      <c r="H1291" s="48">
        <v>21.346</v>
      </c>
      <c r="I1291" s="48">
        <v>21.346</v>
      </c>
      <c r="J1291" s="49">
        <v>1</v>
      </c>
      <c r="K1291" s="49">
        <v>0</v>
      </c>
      <c r="L1291" s="49">
        <v>1</v>
      </c>
    </row>
    <row r="1292" spans="1:12" x14ac:dyDescent="0.25">
      <c r="A1292" s="45">
        <f>C1292&amp;"."&amp;IFERROR(MID(E1292,FIND("(",E1292)+1,FIND(")",E1292)-FIND("(",E1292)-1),"")</f>
      </c>
      <c r="B1292" s="46" t="s">
        <v>1178</v>
      </c>
      <c r="C1292" s="46">
        <v>75602</v>
      </c>
      <c r="D1292" s="46" t="s">
        <v>2743</v>
      </c>
      <c r="E1292" s="46" t="s">
        <v>2744</v>
      </c>
      <c r="F1292" s="46" t="s">
        <v>26</v>
      </c>
      <c r="G1292" s="47">
        <v>0.77</v>
      </c>
      <c r="H1292" s="48">
        <v>2.302</v>
      </c>
      <c r="I1292" s="48">
        <v>6.905</v>
      </c>
      <c r="J1292" s="49">
        <v>3</v>
      </c>
      <c r="K1292" s="49">
        <v>0</v>
      </c>
      <c r="L1292" s="49">
        <v>3</v>
      </c>
    </row>
    <row r="1293" spans="1:12" x14ac:dyDescent="0.25">
      <c r="A1293" s="45">
        <f>C1293&amp;"."&amp;IFERROR(MID(E1293,FIND("(",E1293)+1,FIND(")",E1293)-FIND("(",E1293)-1),"")</f>
      </c>
      <c r="B1293" s="46" t="s">
        <v>1178</v>
      </c>
      <c r="C1293" s="46">
        <v>75604</v>
      </c>
      <c r="D1293" s="46" t="s">
        <v>2745</v>
      </c>
      <c r="E1293" s="46" t="s">
        <v>2746</v>
      </c>
      <c r="F1293" s="46" t="s">
        <v>26</v>
      </c>
      <c r="G1293" s="47">
        <v>1.41</v>
      </c>
      <c r="H1293" s="48">
        <v>7.23</v>
      </c>
      <c r="I1293" s="48">
        <v>7.23</v>
      </c>
      <c r="J1293" s="49">
        <v>1</v>
      </c>
      <c r="K1293" s="49">
        <v>0</v>
      </c>
      <c r="L1293" s="49">
        <v>1</v>
      </c>
    </row>
    <row r="1294" spans="1:12" x14ac:dyDescent="0.25">
      <c r="A1294" s="45">
        <f>C1294&amp;"."&amp;IFERROR(MID(E1294,FIND("(",E1294)+1,FIND(")",E1294)-FIND("(",E1294)-1),"")</f>
      </c>
      <c r="B1294" s="46" t="s">
        <v>1178</v>
      </c>
      <c r="C1294" s="46">
        <v>75604</v>
      </c>
      <c r="D1294" s="46" t="s">
        <v>2745</v>
      </c>
      <c r="E1294" s="46" t="s">
        <v>2747</v>
      </c>
      <c r="F1294" s="46" t="s">
        <v>26</v>
      </c>
      <c r="G1294" s="47">
        <v>1.41</v>
      </c>
      <c r="H1294" s="48">
        <v>5.736</v>
      </c>
      <c r="I1294" s="48">
        <v>11.472</v>
      </c>
      <c r="J1294" s="49">
        <v>2</v>
      </c>
      <c r="K1294" s="49">
        <v>0</v>
      </c>
      <c r="L1294" s="49">
        <v>2</v>
      </c>
    </row>
    <row r="1295" spans="1:12" x14ac:dyDescent="0.25">
      <c r="A1295" s="45">
        <f>C1295&amp;"."&amp;IFERROR(MID(E1295,FIND("(",E1295)+1,FIND(")",E1295)-FIND("(",E1295)-1),"")</f>
      </c>
      <c r="B1295" s="46" t="s">
        <v>1178</v>
      </c>
      <c r="C1295" s="46">
        <v>75607</v>
      </c>
      <c r="D1295" s="46" t="s">
        <v>2748</v>
      </c>
      <c r="E1295" s="46" t="s">
        <v>2749</v>
      </c>
      <c r="F1295" s="46" t="s">
        <v>26</v>
      </c>
      <c r="G1295" s="47">
        <v>2.74</v>
      </c>
      <c r="H1295" s="48">
        <v>8.8</v>
      </c>
      <c r="I1295" s="48">
        <v>17.6</v>
      </c>
      <c r="J1295" s="49">
        <v>2</v>
      </c>
      <c r="K1295" s="49">
        <v>0</v>
      </c>
      <c r="L1295" s="49">
        <v>2</v>
      </c>
    </row>
    <row r="1296" spans="1:12" x14ac:dyDescent="0.25">
      <c r="A1296" s="45">
        <f>C1296&amp;"."&amp;IFERROR(MID(E1296,FIND("(",E1296)+1,FIND(")",E1296)-FIND("(",E1296)-1),"")</f>
      </c>
      <c r="B1296" s="46" t="s">
        <v>1178</v>
      </c>
      <c r="C1296" s="46">
        <v>75608</v>
      </c>
      <c r="D1296" s="46" t="s">
        <v>2750</v>
      </c>
      <c r="E1296" s="46" t="s">
        <v>2751</v>
      </c>
      <c r="F1296" s="46" t="s">
        <v>26</v>
      </c>
      <c r="G1296" s="47">
        <v>2.74</v>
      </c>
      <c r="H1296" s="48">
        <v>16.61</v>
      </c>
      <c r="I1296" s="48">
        <v>16.61</v>
      </c>
      <c r="J1296" s="49">
        <v>1</v>
      </c>
      <c r="K1296" s="49">
        <v>0</v>
      </c>
      <c r="L1296" s="49">
        <v>1</v>
      </c>
    </row>
    <row r="1297" spans="1:12" x14ac:dyDescent="0.25">
      <c r="A1297" s="45">
        <f>C1297&amp;"."&amp;IFERROR(MID(E1297,FIND("(",E1297)+1,FIND(")",E1297)-FIND("(",E1297)-1),"")</f>
      </c>
      <c r="B1297" s="46" t="s">
        <v>1178</v>
      </c>
      <c r="C1297" s="46">
        <v>75610</v>
      </c>
      <c r="D1297" s="46" t="s">
        <v>2752</v>
      </c>
      <c r="E1297" s="46" t="s">
        <v>2753</v>
      </c>
      <c r="F1297" s="46" t="s">
        <v>26</v>
      </c>
      <c r="G1297" s="47">
        <v>1.78</v>
      </c>
      <c r="H1297" s="48">
        <v>14.403</v>
      </c>
      <c r="I1297" s="48">
        <v>14.403</v>
      </c>
      <c r="J1297" s="49">
        <v>1</v>
      </c>
      <c r="K1297" s="49">
        <v>0</v>
      </c>
      <c r="L1297" s="49">
        <v>1</v>
      </c>
    </row>
    <row r="1298" spans="1:12" x14ac:dyDescent="0.25">
      <c r="A1298" s="45">
        <f>C1298&amp;"."&amp;IFERROR(MID(E1298,FIND("(",E1298)+1,FIND(")",E1298)-FIND("(",E1298)-1),"")</f>
      </c>
      <c r="B1298" s="46" t="s">
        <v>1178</v>
      </c>
      <c r="C1298" s="46">
        <v>75613</v>
      </c>
      <c r="D1298" s="46" t="s">
        <v>2754</v>
      </c>
      <c r="E1298" s="46" t="s">
        <v>2755</v>
      </c>
      <c r="F1298" s="46" t="s">
        <v>26</v>
      </c>
      <c r="G1298" s="47">
        <v>3.02</v>
      </c>
      <c r="H1298" s="48">
        <v>10.77</v>
      </c>
      <c r="I1298" s="48">
        <v>10.77</v>
      </c>
      <c r="J1298" s="49">
        <v>1</v>
      </c>
      <c r="K1298" s="49">
        <v>0</v>
      </c>
      <c r="L1298" s="49">
        <v>1</v>
      </c>
    </row>
    <row r="1299" spans="1:12" x14ac:dyDescent="0.25">
      <c r="A1299" s="45">
        <f>C1299&amp;"."&amp;IFERROR(MID(E1299,FIND("(",E1299)+1,FIND(")",E1299)-FIND("(",E1299)-1),"")</f>
      </c>
      <c r="B1299" s="46" t="s">
        <v>1178</v>
      </c>
      <c r="C1299" s="46">
        <v>75613</v>
      </c>
      <c r="D1299" s="46" t="s">
        <v>2754</v>
      </c>
      <c r="E1299" s="46" t="s">
        <v>2756</v>
      </c>
      <c r="F1299" s="46" t="s">
        <v>26</v>
      </c>
      <c r="G1299" s="47">
        <v>3.02</v>
      </c>
      <c r="H1299" s="48">
        <v>16.942</v>
      </c>
      <c r="I1299" s="48">
        <v>16.942</v>
      </c>
      <c r="J1299" s="49">
        <v>1</v>
      </c>
      <c r="K1299" s="49">
        <v>0</v>
      </c>
      <c r="L1299" s="49">
        <v>1</v>
      </c>
    </row>
    <row r="1300" spans="1:12" x14ac:dyDescent="0.25">
      <c r="A1300" s="45">
        <f>C1300&amp;"."&amp;IFERROR(MID(E1300,FIND("(",E1300)+1,FIND(")",E1300)-FIND("(",E1300)-1),"")</f>
      </c>
      <c r="B1300" s="46" t="s">
        <v>1178</v>
      </c>
      <c r="C1300" s="46">
        <v>75616</v>
      </c>
      <c r="D1300" s="46" t="s">
        <v>2757</v>
      </c>
      <c r="E1300" s="46" t="s">
        <v>2758</v>
      </c>
      <c r="F1300" s="46" t="s">
        <v>26</v>
      </c>
      <c r="G1300" s="47">
        <v>1.81</v>
      </c>
      <c r="H1300" s="48">
        <v>4.804</v>
      </c>
      <c r="I1300" s="48">
        <v>19.216</v>
      </c>
      <c r="J1300" s="49">
        <v>4</v>
      </c>
      <c r="K1300" s="49">
        <v>0</v>
      </c>
      <c r="L1300" s="49">
        <v>4</v>
      </c>
    </row>
    <row r="1301" spans="1:12" x14ac:dyDescent="0.25">
      <c r="A1301" s="45">
        <f>C1301&amp;"."&amp;IFERROR(MID(E1301,FIND("(",E1301)+1,FIND(")",E1301)-FIND("(",E1301)-1),"")</f>
      </c>
      <c r="B1301" s="46" t="s">
        <v>1178</v>
      </c>
      <c r="C1301" s="46">
        <v>75617</v>
      </c>
      <c r="D1301" s="46" t="s">
        <v>2759</v>
      </c>
      <c r="E1301" s="46" t="s">
        <v>1248</v>
      </c>
      <c r="F1301" s="46" t="s">
        <v>26</v>
      </c>
      <c r="G1301" s="47">
        <v>1.81</v>
      </c>
      <c r="H1301" s="48">
        <v>2.715</v>
      </c>
      <c r="I1301" s="48">
        <v>2.715</v>
      </c>
      <c r="J1301" s="49">
        <v>1</v>
      </c>
      <c r="K1301" s="49">
        <v>0</v>
      </c>
      <c r="L1301" s="49">
        <v>1</v>
      </c>
    </row>
    <row r="1302" spans="1:12" x14ac:dyDescent="0.25">
      <c r="A1302" s="45">
        <f>C1302&amp;"."&amp;IFERROR(MID(E1302,FIND("(",E1302)+1,FIND(")",E1302)-FIND("(",E1302)-1),"")</f>
      </c>
      <c r="B1302" s="46" t="s">
        <v>1178</v>
      </c>
      <c r="C1302" s="46">
        <v>75619</v>
      </c>
      <c r="D1302" s="46" t="s">
        <v>2760</v>
      </c>
      <c r="E1302" s="46" t="s">
        <v>2761</v>
      </c>
      <c r="F1302" s="46" t="s">
        <v>26</v>
      </c>
      <c r="G1302" s="47">
        <v>13.81</v>
      </c>
      <c r="H1302" s="48">
        <v>35.783</v>
      </c>
      <c r="I1302" s="48">
        <v>178.913</v>
      </c>
      <c r="J1302" s="49">
        <v>5</v>
      </c>
      <c r="K1302" s="49">
        <v>0</v>
      </c>
      <c r="L1302" s="49">
        <v>5</v>
      </c>
    </row>
    <row r="1303" spans="1:12" x14ac:dyDescent="0.25">
      <c r="A1303" s="45">
        <f>C1303&amp;"."&amp;IFERROR(MID(E1303,FIND("(",E1303)+1,FIND(")",E1303)-FIND("(",E1303)-1),"")</f>
      </c>
      <c r="B1303" s="46" t="s">
        <v>1178</v>
      </c>
      <c r="C1303" s="46">
        <v>75619</v>
      </c>
      <c r="D1303" s="46" t="s">
        <v>2760</v>
      </c>
      <c r="E1303" s="46" t="s">
        <v>2762</v>
      </c>
      <c r="F1303" s="46" t="s">
        <v>26</v>
      </c>
      <c r="G1303" s="47">
        <v>13.81</v>
      </c>
      <c r="H1303" s="48">
        <v>27.581</v>
      </c>
      <c r="I1303" s="48">
        <v>110.326</v>
      </c>
      <c r="J1303" s="49">
        <v>4</v>
      </c>
      <c r="K1303" s="49">
        <v>0</v>
      </c>
      <c r="L1303" s="49">
        <v>4</v>
      </c>
    </row>
    <row r="1304" spans="1:12" x14ac:dyDescent="0.25">
      <c r="A1304" s="45">
        <f>C1304&amp;"."&amp;IFERROR(MID(E1304,FIND("(",E1304)+1,FIND(")",E1304)-FIND("(",E1304)-1),"")</f>
      </c>
      <c r="B1304" s="46" t="s">
        <v>1178</v>
      </c>
      <c r="C1304" s="46">
        <v>75621</v>
      </c>
      <c r="D1304" s="46" t="s">
        <v>2763</v>
      </c>
      <c r="E1304" s="46" t="s">
        <v>2764</v>
      </c>
      <c r="F1304" s="46" t="s">
        <v>26</v>
      </c>
      <c r="G1304" s="47">
        <v>13.81</v>
      </c>
      <c r="H1304" s="48">
        <v>35.41</v>
      </c>
      <c r="I1304" s="48">
        <v>35.41</v>
      </c>
      <c r="J1304" s="49">
        <v>1</v>
      </c>
      <c r="K1304" s="49">
        <v>0</v>
      </c>
      <c r="L1304" s="49">
        <v>1</v>
      </c>
    </row>
    <row r="1305" spans="1:12" x14ac:dyDescent="0.25">
      <c r="A1305" s="45">
        <f>C1305&amp;"."&amp;IFERROR(MID(E1305,FIND("(",E1305)+1,FIND(")",E1305)-FIND("(",E1305)-1),"")</f>
      </c>
      <c r="B1305" s="46" t="s">
        <v>1178</v>
      </c>
      <c r="C1305" s="46">
        <v>75621</v>
      </c>
      <c r="D1305" s="46" t="s">
        <v>2763</v>
      </c>
      <c r="E1305" s="46" t="s">
        <v>2765</v>
      </c>
      <c r="F1305" s="46" t="s">
        <v>26</v>
      </c>
      <c r="G1305" s="47">
        <v>13.81</v>
      </c>
      <c r="H1305" s="48">
        <v>31.722</v>
      </c>
      <c r="I1305" s="48">
        <v>31.722</v>
      </c>
      <c r="J1305" s="49">
        <v>1</v>
      </c>
      <c r="K1305" s="49">
        <v>0</v>
      </c>
      <c r="L1305" s="49">
        <v>1</v>
      </c>
    </row>
    <row r="1306" spans="1:12" x14ac:dyDescent="0.25">
      <c r="A1306" s="45">
        <f>C1306&amp;"."&amp;IFERROR(MID(E1306,FIND("(",E1306)+1,FIND(")",E1306)-FIND("(",E1306)-1),"")</f>
      </c>
      <c r="B1306" s="46" t="s">
        <v>1178</v>
      </c>
      <c r="C1306" s="46">
        <v>75622</v>
      </c>
      <c r="D1306" s="46" t="s">
        <v>2766</v>
      </c>
      <c r="E1306" s="46" t="s">
        <v>2767</v>
      </c>
      <c r="F1306" s="46" t="s">
        <v>26</v>
      </c>
      <c r="G1306" s="47">
        <v>0.37</v>
      </c>
      <c r="H1306" s="48">
        <v>1.688</v>
      </c>
      <c r="I1306" s="48">
        <v>8.439</v>
      </c>
      <c r="J1306" s="49">
        <v>5</v>
      </c>
      <c r="K1306" s="49">
        <v>1</v>
      </c>
      <c r="L1306" s="49">
        <v>4</v>
      </c>
    </row>
    <row r="1307" spans="1:12" x14ac:dyDescent="0.25">
      <c r="A1307" s="45">
        <f>C1307&amp;"."&amp;IFERROR(MID(E1307,FIND("(",E1307)+1,FIND(")",E1307)-FIND("(",E1307)-1),"")</f>
      </c>
      <c r="B1307" s="46" t="s">
        <v>1178</v>
      </c>
      <c r="C1307" s="46">
        <v>75631</v>
      </c>
      <c r="D1307" s="46" t="s">
        <v>2768</v>
      </c>
      <c r="E1307" s="46" t="s">
        <v>2769</v>
      </c>
      <c r="F1307" s="46" t="s">
        <v>26</v>
      </c>
      <c r="G1307" s="47">
        <v>0.56</v>
      </c>
      <c r="H1307" s="48">
        <v>2.06</v>
      </c>
      <c r="I1307" s="48">
        <v>6.18</v>
      </c>
      <c r="J1307" s="49">
        <v>3</v>
      </c>
      <c r="K1307" s="49">
        <v>0</v>
      </c>
      <c r="L1307" s="49">
        <v>3</v>
      </c>
    </row>
    <row r="1308" spans="1:12" x14ac:dyDescent="0.25">
      <c r="A1308" s="45">
        <f>C1308&amp;"."&amp;IFERROR(MID(E1308,FIND("(",E1308)+1,FIND(")",E1308)-FIND("(",E1308)-1),"")</f>
      </c>
      <c r="B1308" s="46" t="s">
        <v>1178</v>
      </c>
      <c r="C1308" s="46">
        <v>75637</v>
      </c>
      <c r="D1308" s="46" t="s">
        <v>2770</v>
      </c>
      <c r="E1308" s="46" t="s">
        <v>1248</v>
      </c>
      <c r="F1308" s="46" t="s">
        <v>26</v>
      </c>
      <c r="G1308" s="47">
        <v>0.37</v>
      </c>
      <c r="H1308" s="48">
        <v>0.826</v>
      </c>
      <c r="I1308" s="48">
        <v>4.13</v>
      </c>
      <c r="J1308" s="49">
        <v>5</v>
      </c>
      <c r="K1308" s="49">
        <v>1</v>
      </c>
      <c r="L1308" s="49">
        <v>4</v>
      </c>
    </row>
    <row r="1309" spans="1:12" x14ac:dyDescent="0.25">
      <c r="A1309" s="45">
        <f>C1309&amp;"."&amp;IFERROR(MID(E1309,FIND("(",E1309)+1,FIND(")",E1309)-FIND("(",E1309)-1),"")</f>
      </c>
      <c r="B1309" s="46" t="s">
        <v>1178</v>
      </c>
      <c r="C1309" s="46">
        <v>75641</v>
      </c>
      <c r="D1309" s="46" t="s">
        <v>2771</v>
      </c>
      <c r="E1309" s="46" t="s">
        <v>1248</v>
      </c>
      <c r="F1309" s="46" t="s">
        <v>26</v>
      </c>
      <c r="G1309" s="47">
        <v>0.56</v>
      </c>
      <c r="H1309" s="48">
        <v>1.755</v>
      </c>
      <c r="I1309" s="48">
        <v>3.509</v>
      </c>
      <c r="J1309" s="49">
        <v>2</v>
      </c>
      <c r="K1309" s="49">
        <v>0</v>
      </c>
      <c r="L1309" s="49">
        <v>2</v>
      </c>
    </row>
    <row r="1310" spans="1:12" x14ac:dyDescent="0.25">
      <c r="A1310" s="45">
        <f>C1310&amp;"."&amp;IFERROR(MID(E1310,FIND("(",E1310)+1,FIND(")",E1310)-FIND("(",E1310)-1),"")</f>
      </c>
      <c r="B1310" s="46" t="s">
        <v>1178</v>
      </c>
      <c r="C1310" s="46">
        <v>75645</v>
      </c>
      <c r="D1310" s="46" t="s">
        <v>2772</v>
      </c>
      <c r="E1310" s="46" t="s">
        <v>2773</v>
      </c>
      <c r="F1310" s="46" t="s">
        <v>26</v>
      </c>
      <c r="G1310" s="47">
        <v>1.22</v>
      </c>
      <c r="H1310" s="48">
        <v>3.558</v>
      </c>
      <c r="I1310" s="48">
        <v>10.673</v>
      </c>
      <c r="J1310" s="49">
        <v>3</v>
      </c>
      <c r="K1310" s="49">
        <v>0</v>
      </c>
      <c r="L1310" s="49">
        <v>3</v>
      </c>
    </row>
    <row r="1311" spans="1:12" x14ac:dyDescent="0.25">
      <c r="A1311" s="45">
        <f>C1311&amp;"."&amp;IFERROR(MID(E1311,FIND("(",E1311)+1,FIND(")",E1311)-FIND("(",E1311)-1),"")</f>
      </c>
      <c r="B1311" s="46" t="s">
        <v>1178</v>
      </c>
      <c r="C1311" s="46">
        <v>75645</v>
      </c>
      <c r="D1311" s="46" t="s">
        <v>2772</v>
      </c>
      <c r="E1311" s="46" t="s">
        <v>2774</v>
      </c>
      <c r="F1311" s="46" t="s">
        <v>26</v>
      </c>
      <c r="G1311" s="47">
        <v>1.22</v>
      </c>
      <c r="H1311" s="48">
        <v>3.533</v>
      </c>
      <c r="I1311" s="48">
        <v>10.6</v>
      </c>
      <c r="J1311" s="49">
        <v>3</v>
      </c>
      <c r="K1311" s="49">
        <v>0</v>
      </c>
      <c r="L1311" s="49">
        <v>3</v>
      </c>
    </row>
    <row r="1312" spans="1:12" x14ac:dyDescent="0.25">
      <c r="A1312" s="45">
        <f>C1312&amp;"."&amp;IFERROR(MID(E1312,FIND("(",E1312)+1,FIND(")",E1312)-FIND("(",E1312)-1),"")</f>
      </c>
      <c r="B1312" s="46" t="s">
        <v>1178</v>
      </c>
      <c r="C1312" s="46">
        <v>75648</v>
      </c>
      <c r="D1312" s="46" t="s">
        <v>2775</v>
      </c>
      <c r="E1312" s="46" t="s">
        <v>1248</v>
      </c>
      <c r="F1312" s="46" t="s">
        <v>1495</v>
      </c>
      <c r="G1312" s="47">
        <v>0</v>
      </c>
      <c r="H1312" s="48">
        <v>0.029</v>
      </c>
      <c r="I1312" s="48">
        <v>6.763</v>
      </c>
      <c r="J1312" s="49">
        <v>234</v>
      </c>
      <c r="K1312" s="49">
        <v>0</v>
      </c>
      <c r="L1312" s="49">
        <v>234</v>
      </c>
    </row>
    <row r="1313" spans="1:12" x14ac:dyDescent="0.25">
      <c r="A1313" s="45">
        <f>C1313&amp;"."&amp;IFERROR(MID(E1313,FIND("(",E1313)+1,FIND(")",E1313)-FIND("(",E1313)-1),"")</f>
      </c>
      <c r="B1313" s="46" t="s">
        <v>1178</v>
      </c>
      <c r="C1313" s="46">
        <v>75653</v>
      </c>
      <c r="D1313" s="46" t="s">
        <v>2776</v>
      </c>
      <c r="E1313" s="46" t="s">
        <v>1248</v>
      </c>
      <c r="F1313" s="46" t="s">
        <v>1495</v>
      </c>
      <c r="G1313" s="47">
        <v>0</v>
      </c>
      <c r="H1313" s="48">
        <v>0.009</v>
      </c>
      <c r="I1313" s="48">
        <v>1.43</v>
      </c>
      <c r="J1313" s="49">
        <v>162</v>
      </c>
      <c r="K1313" s="49">
        <v>48</v>
      </c>
      <c r="L1313" s="49">
        <v>114</v>
      </c>
    </row>
    <row r="1314" spans="1:12" x14ac:dyDescent="0.25">
      <c r="A1314" s="45">
        <f>C1314&amp;"."&amp;IFERROR(MID(E1314,FIND("(",E1314)+1,FIND(")",E1314)-FIND("(",E1314)-1),"")</f>
      </c>
      <c r="B1314" s="46" t="s">
        <v>1178</v>
      </c>
      <c r="C1314" s="46">
        <v>75655</v>
      </c>
      <c r="D1314" s="46" t="s">
        <v>2777</v>
      </c>
      <c r="E1314" s="46" t="s">
        <v>1248</v>
      </c>
      <c r="F1314" s="46" t="s">
        <v>1495</v>
      </c>
      <c r="G1314" s="47">
        <v>0.13</v>
      </c>
      <c r="H1314" s="48">
        <v>0.009</v>
      </c>
      <c r="I1314" s="48">
        <v>2.992</v>
      </c>
      <c r="J1314" s="49">
        <v>344</v>
      </c>
      <c r="K1314" s="49">
        <v>0</v>
      </c>
      <c r="L1314" s="49">
        <v>344</v>
      </c>
    </row>
    <row r="1315" spans="1:12" x14ac:dyDescent="0.25">
      <c r="A1315" s="45">
        <f>C1315&amp;"."&amp;IFERROR(MID(E1315,FIND("(",E1315)+1,FIND(")",E1315)-FIND("(",E1315)-1),"")</f>
      </c>
      <c r="B1315" s="46" t="s">
        <v>1178</v>
      </c>
      <c r="C1315" s="46">
        <v>75656</v>
      </c>
      <c r="D1315" s="46" t="s">
        <v>2778</v>
      </c>
      <c r="E1315" s="46" t="s">
        <v>1248</v>
      </c>
      <c r="F1315" s="46" t="s">
        <v>1495</v>
      </c>
      <c r="G1315" s="47">
        <v>0</v>
      </c>
      <c r="H1315" s="48">
        <v>0.008</v>
      </c>
      <c r="I1315" s="48">
        <v>2.631</v>
      </c>
      <c r="J1315" s="49">
        <v>318</v>
      </c>
      <c r="K1315" s="49">
        <v>5</v>
      </c>
      <c r="L1315" s="49">
        <v>313</v>
      </c>
    </row>
    <row r="1316" spans="1:12" x14ac:dyDescent="0.25">
      <c r="A1316" s="45">
        <f>C1316&amp;"."&amp;IFERROR(MID(E1316,FIND("(",E1316)+1,FIND(")",E1316)-FIND("(",E1316)-1),"")</f>
      </c>
      <c r="B1316" s="46" t="s">
        <v>1178</v>
      </c>
      <c r="C1316" s="46">
        <v>75657</v>
      </c>
      <c r="D1316" s="46" t="s">
        <v>2779</v>
      </c>
      <c r="E1316" s="46" t="s">
        <v>2780</v>
      </c>
      <c r="F1316" s="46" t="s">
        <v>26</v>
      </c>
      <c r="G1316" s="47">
        <v>0.66</v>
      </c>
      <c r="H1316" s="48">
        <v>2.28</v>
      </c>
      <c r="I1316" s="48">
        <v>4.56</v>
      </c>
      <c r="J1316" s="49">
        <v>2</v>
      </c>
      <c r="K1316" s="49">
        <v>0</v>
      </c>
      <c r="L1316" s="49">
        <v>2</v>
      </c>
    </row>
    <row r="1317" spans="1:12" x14ac:dyDescent="0.25">
      <c r="A1317" s="45">
        <f>C1317&amp;"."&amp;IFERROR(MID(E1317,FIND("(",E1317)+1,FIND(")",E1317)-FIND("(",E1317)-1),"")</f>
      </c>
      <c r="B1317" s="46" t="s">
        <v>1178</v>
      </c>
      <c r="C1317" s="46">
        <v>75657</v>
      </c>
      <c r="D1317" s="46" t="s">
        <v>2779</v>
      </c>
      <c r="E1317" s="46" t="s">
        <v>2781</v>
      </c>
      <c r="F1317" s="46" t="s">
        <v>26</v>
      </c>
      <c r="G1317" s="47">
        <v>0.66</v>
      </c>
      <c r="H1317" s="48">
        <v>2.28</v>
      </c>
      <c r="I1317" s="48">
        <v>6.84</v>
      </c>
      <c r="J1317" s="49">
        <v>3</v>
      </c>
      <c r="K1317" s="49">
        <v>0</v>
      </c>
      <c r="L1317" s="49">
        <v>3</v>
      </c>
    </row>
    <row r="1318" spans="1:12" x14ac:dyDescent="0.25">
      <c r="A1318" s="45">
        <f>C1318&amp;"."&amp;IFERROR(MID(E1318,FIND("(",E1318)+1,FIND(")",E1318)-FIND("(",E1318)-1),"")</f>
      </c>
      <c r="B1318" s="46" t="s">
        <v>1178</v>
      </c>
      <c r="C1318" s="46">
        <v>75658</v>
      </c>
      <c r="D1318" s="46" t="s">
        <v>2782</v>
      </c>
      <c r="E1318" s="46" t="s">
        <v>1248</v>
      </c>
      <c r="F1318" s="46" t="s">
        <v>1495</v>
      </c>
      <c r="G1318" s="47">
        <v>0.11</v>
      </c>
      <c r="H1318" s="48">
        <v>0.011</v>
      </c>
      <c r="I1318" s="48">
        <v>1.833</v>
      </c>
      <c r="J1318" s="49">
        <v>164</v>
      </c>
      <c r="K1318" s="49">
        <v>0</v>
      </c>
      <c r="L1318" s="49">
        <v>164</v>
      </c>
    </row>
    <row r="1319" spans="1:12" x14ac:dyDescent="0.25">
      <c r="A1319" s="45">
        <f>C1319&amp;"."&amp;IFERROR(MID(E1319,FIND("(",E1319)+1,FIND(")",E1319)-FIND("(",E1319)-1),"")</f>
      </c>
      <c r="B1319" s="46" t="s">
        <v>1178</v>
      </c>
      <c r="C1319" s="46">
        <v>75660</v>
      </c>
      <c r="D1319" s="46" t="s">
        <v>2783</v>
      </c>
      <c r="E1319" s="46" t="s">
        <v>2784</v>
      </c>
      <c r="F1319" s="46" t="s">
        <v>26</v>
      </c>
      <c r="G1319" s="47">
        <v>11.9</v>
      </c>
      <c r="H1319" s="48">
        <v>31.656</v>
      </c>
      <c r="I1319" s="48">
        <v>63.312</v>
      </c>
      <c r="J1319" s="49">
        <v>2</v>
      </c>
      <c r="K1319" s="49">
        <v>0</v>
      </c>
      <c r="L1319" s="49">
        <v>2</v>
      </c>
    </row>
    <row r="1320" spans="1:12" x14ac:dyDescent="0.25">
      <c r="A1320" s="45">
        <f>C1320&amp;"."&amp;IFERROR(MID(E1320,FIND("(",E1320)+1,FIND(")",E1320)-FIND("(",E1320)-1),"")</f>
      </c>
      <c r="B1320" s="46" t="s">
        <v>1178</v>
      </c>
      <c r="C1320" s="46">
        <v>75661</v>
      </c>
      <c r="D1320" s="46" t="s">
        <v>2785</v>
      </c>
      <c r="E1320" s="46" t="s">
        <v>1248</v>
      </c>
      <c r="F1320" s="46" t="s">
        <v>1495</v>
      </c>
      <c r="G1320" s="47">
        <v>0</v>
      </c>
      <c r="H1320" s="48">
        <v>0.02</v>
      </c>
      <c r="I1320" s="48">
        <v>3.437</v>
      </c>
      <c r="J1320" s="49">
        <v>171</v>
      </c>
      <c r="K1320" s="49">
        <v>0</v>
      </c>
      <c r="L1320" s="49">
        <v>171</v>
      </c>
    </row>
    <row r="1321" spans="1:12" x14ac:dyDescent="0.25">
      <c r="A1321" s="45">
        <f>C1321&amp;"."&amp;IFERROR(MID(E1321,FIND("(",E1321)+1,FIND(")",E1321)-FIND("(",E1321)-1),"")</f>
      </c>
      <c r="B1321" s="46" t="s">
        <v>1178</v>
      </c>
      <c r="C1321" s="46">
        <v>75662</v>
      </c>
      <c r="D1321" s="46" t="s">
        <v>2786</v>
      </c>
      <c r="E1321" s="46" t="s">
        <v>2787</v>
      </c>
      <c r="F1321" s="46" t="s">
        <v>26</v>
      </c>
      <c r="G1321" s="47">
        <v>11.9</v>
      </c>
      <c r="H1321" s="48">
        <v>33.931</v>
      </c>
      <c r="I1321" s="48">
        <v>135.725</v>
      </c>
      <c r="J1321" s="49">
        <v>4</v>
      </c>
      <c r="K1321" s="49">
        <v>0</v>
      </c>
      <c r="L1321" s="49">
        <v>4</v>
      </c>
    </row>
    <row r="1322" spans="1:12" x14ac:dyDescent="0.25">
      <c r="A1322" s="45">
        <f>C1322&amp;"."&amp;IFERROR(MID(E1322,FIND("(",E1322)+1,FIND(")",E1322)-FIND("(",E1322)-1),"")</f>
      </c>
      <c r="B1322" s="46" t="s">
        <v>1178</v>
      </c>
      <c r="C1322" s="46">
        <v>75666</v>
      </c>
      <c r="D1322" s="46" t="s">
        <v>2788</v>
      </c>
      <c r="E1322" s="46" t="s">
        <v>1248</v>
      </c>
      <c r="F1322" s="46" t="s">
        <v>1495</v>
      </c>
      <c r="G1322" s="47">
        <v>0</v>
      </c>
      <c r="H1322" s="48">
        <v>0.03</v>
      </c>
      <c r="I1322" s="48">
        <v>33.875</v>
      </c>
      <c r="J1322" s="49">
        <v>1118</v>
      </c>
      <c r="K1322" s="49">
        <v>0</v>
      </c>
      <c r="L1322" s="49">
        <v>1118</v>
      </c>
    </row>
    <row r="1323" spans="1:12" x14ac:dyDescent="0.25">
      <c r="A1323" s="45">
        <f>C1323&amp;"."&amp;IFERROR(MID(E1323,FIND("(",E1323)+1,FIND(")",E1323)-FIND("(",E1323)-1),"")</f>
      </c>
      <c r="B1323" s="46" t="s">
        <v>1178</v>
      </c>
      <c r="C1323" s="46">
        <v>75667</v>
      </c>
      <c r="D1323" s="46" t="s">
        <v>2789</v>
      </c>
      <c r="E1323" s="46" t="s">
        <v>2790</v>
      </c>
      <c r="F1323" s="46" t="s">
        <v>26</v>
      </c>
      <c r="G1323" s="47">
        <v>0.79</v>
      </c>
      <c r="H1323" s="48">
        <v>2.081</v>
      </c>
      <c r="I1323" s="48">
        <v>8.325</v>
      </c>
      <c r="J1323" s="49">
        <v>4</v>
      </c>
      <c r="K1323" s="49">
        <v>0</v>
      </c>
      <c r="L1323" s="49">
        <v>4</v>
      </c>
    </row>
    <row r="1324" spans="1:12" x14ac:dyDescent="0.25">
      <c r="A1324" s="45">
        <f>C1324&amp;"."&amp;IFERROR(MID(E1324,FIND("(",E1324)+1,FIND(")",E1324)-FIND("(",E1324)-1),"")</f>
      </c>
      <c r="B1324" s="46" t="s">
        <v>1178</v>
      </c>
      <c r="C1324" s="46">
        <v>75671</v>
      </c>
      <c r="D1324" s="46" t="s">
        <v>2791</v>
      </c>
      <c r="E1324" s="46" t="s">
        <v>1248</v>
      </c>
      <c r="F1324" s="46" t="s">
        <v>1495</v>
      </c>
      <c r="G1324" s="47">
        <v>0.02</v>
      </c>
      <c r="H1324" s="48">
        <v>0.198</v>
      </c>
      <c r="I1324" s="48">
        <v>37.965</v>
      </c>
      <c r="J1324" s="49">
        <v>192</v>
      </c>
      <c r="K1324" s="49">
        <v>16</v>
      </c>
      <c r="L1324" s="49">
        <v>176</v>
      </c>
    </row>
    <row r="1325" spans="1:12" x14ac:dyDescent="0.25">
      <c r="A1325" s="45">
        <f>C1325&amp;"."&amp;IFERROR(MID(E1325,FIND("(",E1325)+1,FIND(")",E1325)-FIND("(",E1325)-1),"")</f>
      </c>
      <c r="B1325" s="46" t="s">
        <v>1178</v>
      </c>
      <c r="C1325" s="46">
        <v>75673</v>
      </c>
      <c r="D1325" s="46" t="s">
        <v>2792</v>
      </c>
      <c r="E1325" s="46" t="s">
        <v>1248</v>
      </c>
      <c r="F1325" s="46" t="s">
        <v>1495</v>
      </c>
      <c r="G1325" s="47">
        <v>0</v>
      </c>
      <c r="H1325" s="48">
        <v>0.254</v>
      </c>
      <c r="I1325" s="48">
        <v>77.564</v>
      </c>
      <c r="J1325" s="49">
        <v>305</v>
      </c>
      <c r="K1325" s="49">
        <v>4</v>
      </c>
      <c r="L1325" s="49">
        <v>301</v>
      </c>
    </row>
    <row r="1326" spans="1:12" x14ac:dyDescent="0.25">
      <c r="A1326" s="45">
        <f>C1326&amp;"."&amp;IFERROR(MID(E1326,FIND("(",E1326)+1,FIND(")",E1326)-FIND("(",E1326)-1),"")</f>
      </c>
      <c r="B1326" s="46" t="s">
        <v>1178</v>
      </c>
      <c r="C1326" s="46">
        <v>75679</v>
      </c>
      <c r="D1326" s="46" t="s">
        <v>2793</v>
      </c>
      <c r="E1326" s="46" t="s">
        <v>2794</v>
      </c>
      <c r="F1326" s="46" t="s">
        <v>26</v>
      </c>
      <c r="G1326" s="47">
        <v>11.38</v>
      </c>
      <c r="H1326" s="48">
        <v>29.998</v>
      </c>
      <c r="I1326" s="48">
        <v>89.995</v>
      </c>
      <c r="J1326" s="49">
        <v>3</v>
      </c>
      <c r="K1326" s="49">
        <v>0</v>
      </c>
      <c r="L1326" s="49">
        <v>3</v>
      </c>
    </row>
    <row r="1327" spans="1:12" x14ac:dyDescent="0.25">
      <c r="A1327" s="45">
        <f>C1327&amp;"."&amp;IFERROR(MID(E1327,FIND("(",E1327)+1,FIND(")",E1327)-FIND("(",E1327)-1),"")</f>
      </c>
      <c r="B1327" s="46" t="s">
        <v>1178</v>
      </c>
      <c r="C1327" s="46">
        <v>75679</v>
      </c>
      <c r="D1327" s="46" t="s">
        <v>2793</v>
      </c>
      <c r="E1327" s="46" t="s">
        <v>2795</v>
      </c>
      <c r="F1327" s="46" t="s">
        <v>26</v>
      </c>
      <c r="G1327" s="47">
        <v>11.38</v>
      </c>
      <c r="H1327" s="48">
        <v>27.041</v>
      </c>
      <c r="I1327" s="48">
        <v>216.329</v>
      </c>
      <c r="J1327" s="49">
        <v>8</v>
      </c>
      <c r="K1327" s="49">
        <v>0</v>
      </c>
      <c r="L1327" s="49">
        <v>8</v>
      </c>
    </row>
    <row r="1328" spans="1:12" x14ac:dyDescent="0.25">
      <c r="A1328" s="45">
        <f>C1328&amp;"."&amp;IFERROR(MID(E1328,FIND("(",E1328)+1,FIND(")",E1328)-FIND("(",E1328)-1),"")</f>
      </c>
      <c r="B1328" s="46" t="s">
        <v>1178</v>
      </c>
      <c r="C1328" s="46">
        <v>75682</v>
      </c>
      <c r="D1328" s="46" t="s">
        <v>2796</v>
      </c>
      <c r="E1328" s="46" t="s">
        <v>1248</v>
      </c>
      <c r="F1328" s="46" t="s">
        <v>26</v>
      </c>
      <c r="G1328" s="47">
        <v>0.67</v>
      </c>
      <c r="H1328" s="48">
        <v>10.86</v>
      </c>
      <c r="I1328" s="48">
        <v>10.86</v>
      </c>
      <c r="J1328" s="49">
        <v>1</v>
      </c>
      <c r="K1328" s="49">
        <v>0</v>
      </c>
      <c r="L1328" s="49">
        <v>1</v>
      </c>
    </row>
    <row r="1329" spans="1:12" x14ac:dyDescent="0.25">
      <c r="A1329" s="45">
        <f>C1329&amp;"."&amp;IFERROR(MID(E1329,FIND("(",E1329)+1,FIND(")",E1329)-FIND("(",E1329)-1),"")</f>
      </c>
      <c r="B1329" s="46" t="s">
        <v>1178</v>
      </c>
      <c r="C1329" s="46">
        <v>75686</v>
      </c>
      <c r="D1329" s="46" t="s">
        <v>2797</v>
      </c>
      <c r="E1329" s="46" t="s">
        <v>2798</v>
      </c>
      <c r="F1329" s="46" t="s">
        <v>26</v>
      </c>
      <c r="G1329" s="47">
        <v>0.42</v>
      </c>
      <c r="H1329" s="48">
        <v>1.622</v>
      </c>
      <c r="I1329" s="48">
        <v>9.729</v>
      </c>
      <c r="J1329" s="49">
        <v>6</v>
      </c>
      <c r="K1329" s="49">
        <v>0</v>
      </c>
      <c r="L1329" s="49">
        <v>6</v>
      </c>
    </row>
    <row r="1330" spans="1:12" x14ac:dyDescent="0.25">
      <c r="A1330" s="45">
        <f>C1330&amp;"."&amp;IFERROR(MID(E1330,FIND("(",E1330)+1,FIND(")",E1330)-FIND("(",E1330)-1),"")</f>
      </c>
      <c r="B1330" s="46" t="s">
        <v>1178</v>
      </c>
      <c r="C1330" s="46">
        <v>75693</v>
      </c>
      <c r="D1330" s="46" t="s">
        <v>2799</v>
      </c>
      <c r="E1330" s="46" t="s">
        <v>1248</v>
      </c>
      <c r="F1330" s="46" t="s">
        <v>26</v>
      </c>
      <c r="G1330" s="47">
        <v>0.37</v>
      </c>
      <c r="H1330" s="48">
        <v>0.88</v>
      </c>
      <c r="I1330" s="48">
        <v>1.76</v>
      </c>
      <c r="J1330" s="49">
        <v>2</v>
      </c>
      <c r="K1330" s="49">
        <v>0</v>
      </c>
      <c r="L1330" s="49">
        <v>2</v>
      </c>
    </row>
    <row r="1331" spans="1:12" x14ac:dyDescent="0.25">
      <c r="A1331" s="45">
        <f>C1331&amp;"."&amp;IFERROR(MID(E1331,FIND("(",E1331)+1,FIND(")",E1331)-FIND("(",E1331)-1),"")</f>
      </c>
      <c r="B1331" s="46" t="s">
        <v>1178</v>
      </c>
      <c r="C1331" s="46">
        <v>75697</v>
      </c>
      <c r="D1331" s="46" t="s">
        <v>2800</v>
      </c>
      <c r="E1331" s="46" t="s">
        <v>2801</v>
      </c>
      <c r="F1331" s="46" t="s">
        <v>26</v>
      </c>
      <c r="G1331" s="47">
        <v>3.56</v>
      </c>
      <c r="H1331" s="48">
        <v>9.39</v>
      </c>
      <c r="I1331" s="48">
        <v>9.39</v>
      </c>
      <c r="J1331" s="49">
        <v>1</v>
      </c>
      <c r="K1331" s="49">
        <v>0</v>
      </c>
      <c r="L1331" s="49">
        <v>1</v>
      </c>
    </row>
    <row r="1332" spans="1:12" x14ac:dyDescent="0.25">
      <c r="A1332" s="45">
        <f>C1332&amp;"."&amp;IFERROR(MID(E1332,FIND("(",E1332)+1,FIND(")",E1332)-FIND("(",E1332)-1),"")</f>
      </c>
      <c r="B1332" s="46" t="s">
        <v>1178</v>
      </c>
      <c r="C1332" s="46">
        <v>75697</v>
      </c>
      <c r="D1332" s="46" t="s">
        <v>2800</v>
      </c>
      <c r="E1332" s="46" t="s">
        <v>2802</v>
      </c>
      <c r="F1332" s="46" t="s">
        <v>26</v>
      </c>
      <c r="G1332" s="47">
        <v>3.56</v>
      </c>
      <c r="H1332" s="48">
        <v>9.39</v>
      </c>
      <c r="I1332" s="48">
        <v>9.39</v>
      </c>
      <c r="J1332" s="49">
        <v>1</v>
      </c>
      <c r="K1332" s="49">
        <v>0</v>
      </c>
      <c r="L1332" s="49">
        <v>1</v>
      </c>
    </row>
    <row r="1333" spans="1:12" x14ac:dyDescent="0.25">
      <c r="A1333" s="45">
        <f>C1333&amp;"."&amp;IFERROR(MID(E1333,FIND("(",E1333)+1,FIND(")",E1333)-FIND("(",E1333)-1),"")</f>
      </c>
      <c r="B1333" s="46" t="s">
        <v>1178</v>
      </c>
      <c r="C1333" s="46">
        <v>75699</v>
      </c>
      <c r="D1333" s="46" t="s">
        <v>2803</v>
      </c>
      <c r="E1333" s="46" t="s">
        <v>1248</v>
      </c>
      <c r="F1333" s="46" t="s">
        <v>1495</v>
      </c>
      <c r="G1333" s="47">
        <v>0</v>
      </c>
      <c r="H1333" s="48">
        <v>0.154</v>
      </c>
      <c r="I1333" s="48">
        <v>0.309</v>
      </c>
      <c r="J1333" s="49">
        <v>2</v>
      </c>
      <c r="K1333" s="49">
        <v>0</v>
      </c>
      <c r="L1333" s="49">
        <v>2</v>
      </c>
    </row>
    <row r="1334" spans="1:12" x14ac:dyDescent="0.25">
      <c r="A1334" s="45">
        <f>C1334&amp;"."&amp;IFERROR(MID(E1334,FIND("(",E1334)+1,FIND(")",E1334)-FIND("(",E1334)-1),"")</f>
      </c>
      <c r="B1334" s="46" t="s">
        <v>1178</v>
      </c>
      <c r="C1334" s="46">
        <v>75702</v>
      </c>
      <c r="D1334" s="46" t="s">
        <v>2804</v>
      </c>
      <c r="E1334" s="46" t="s">
        <v>1248</v>
      </c>
      <c r="F1334" s="46" t="s">
        <v>1495</v>
      </c>
      <c r="G1334" s="47">
        <v>0.02</v>
      </c>
      <c r="H1334" s="48">
        <v>0.163</v>
      </c>
      <c r="I1334" s="48">
        <v>22.716</v>
      </c>
      <c r="J1334" s="49">
        <v>139</v>
      </c>
      <c r="K1334" s="49">
        <v>8</v>
      </c>
      <c r="L1334" s="49">
        <v>131</v>
      </c>
    </row>
    <row r="1335" spans="1:12" x14ac:dyDescent="0.25">
      <c r="A1335" s="45">
        <f>C1335&amp;"."&amp;IFERROR(MID(E1335,FIND("(",E1335)+1,FIND(")",E1335)-FIND("(",E1335)-1),"")</f>
      </c>
      <c r="B1335" s="46" t="s">
        <v>1178</v>
      </c>
      <c r="C1335" s="46">
        <v>75704</v>
      </c>
      <c r="D1335" s="46" t="s">
        <v>2805</v>
      </c>
      <c r="E1335" s="46" t="s">
        <v>2806</v>
      </c>
      <c r="F1335" s="46" t="s">
        <v>26</v>
      </c>
      <c r="G1335" s="47">
        <v>3.56</v>
      </c>
      <c r="H1335" s="48">
        <v>10.14</v>
      </c>
      <c r="I1335" s="48">
        <v>20.28</v>
      </c>
      <c r="J1335" s="49">
        <v>2</v>
      </c>
      <c r="K1335" s="49">
        <v>0</v>
      </c>
      <c r="L1335" s="49">
        <v>2</v>
      </c>
    </row>
    <row r="1336" spans="1:12" x14ac:dyDescent="0.25">
      <c r="A1336" s="45">
        <f>C1336&amp;"."&amp;IFERROR(MID(E1336,FIND("(",E1336)+1,FIND(")",E1336)-FIND("(",E1336)-1),"")</f>
      </c>
      <c r="B1336" s="46" t="s">
        <v>1178</v>
      </c>
      <c r="C1336" s="46">
        <v>75704</v>
      </c>
      <c r="D1336" s="46" t="s">
        <v>2805</v>
      </c>
      <c r="E1336" s="46" t="s">
        <v>2807</v>
      </c>
      <c r="F1336" s="46" t="s">
        <v>26</v>
      </c>
      <c r="G1336" s="47">
        <v>3.56</v>
      </c>
      <c r="H1336" s="48">
        <v>8.589</v>
      </c>
      <c r="I1336" s="48">
        <v>8.589</v>
      </c>
      <c r="J1336" s="49">
        <v>1</v>
      </c>
      <c r="K1336" s="49">
        <v>0</v>
      </c>
      <c r="L1336" s="49">
        <v>1</v>
      </c>
    </row>
    <row r="1337" spans="1:12" x14ac:dyDescent="0.25">
      <c r="A1337" s="45">
        <f>C1337&amp;"."&amp;IFERROR(MID(E1337,FIND("(",E1337)+1,FIND(")",E1337)-FIND("(",E1337)-1),"")</f>
      </c>
      <c r="B1337" s="46" t="s">
        <v>1178</v>
      </c>
      <c r="C1337" s="46">
        <v>75704</v>
      </c>
      <c r="D1337" s="46" t="s">
        <v>2805</v>
      </c>
      <c r="E1337" s="46" t="s">
        <v>2808</v>
      </c>
      <c r="F1337" s="46" t="s">
        <v>26</v>
      </c>
      <c r="G1337" s="47">
        <v>3.56</v>
      </c>
      <c r="H1337" s="48">
        <v>10.14</v>
      </c>
      <c r="I1337" s="48">
        <v>70.98</v>
      </c>
      <c r="J1337" s="49">
        <v>7</v>
      </c>
      <c r="K1337" s="49">
        <v>0</v>
      </c>
      <c r="L1337" s="49">
        <v>7</v>
      </c>
    </row>
    <row r="1338" spans="1:12" x14ac:dyDescent="0.25">
      <c r="A1338" s="45">
        <f>C1338&amp;"."&amp;IFERROR(MID(E1338,FIND("(",E1338)+1,FIND(")",E1338)-FIND("(",E1338)-1),"")</f>
      </c>
      <c r="B1338" s="46" t="s">
        <v>1178</v>
      </c>
      <c r="C1338" s="46">
        <v>75707</v>
      </c>
      <c r="D1338" s="46" t="s">
        <v>2809</v>
      </c>
      <c r="E1338" s="46" t="s">
        <v>1248</v>
      </c>
      <c r="F1338" s="46" t="s">
        <v>1495</v>
      </c>
      <c r="G1338" s="47">
        <v>0</v>
      </c>
      <c r="H1338" s="48">
        <v>0.152</v>
      </c>
      <c r="I1338" s="48">
        <v>30.967</v>
      </c>
      <c r="J1338" s="49">
        <v>204</v>
      </c>
      <c r="K1338" s="49">
        <v>0</v>
      </c>
      <c r="L1338" s="49">
        <v>204</v>
      </c>
    </row>
    <row r="1339" spans="1:12" x14ac:dyDescent="0.25">
      <c r="A1339" s="45">
        <f>C1339&amp;"."&amp;IFERROR(MID(E1339,FIND("(",E1339)+1,FIND(")",E1339)-FIND("(",E1339)-1),"")</f>
      </c>
      <c r="B1339" s="46" t="s">
        <v>1178</v>
      </c>
      <c r="C1339" s="46">
        <v>75710</v>
      </c>
      <c r="D1339" s="46" t="s">
        <v>2810</v>
      </c>
      <c r="E1339" s="46" t="s">
        <v>1248</v>
      </c>
      <c r="F1339" s="46" t="s">
        <v>1495</v>
      </c>
      <c r="G1339" s="47">
        <v>0</v>
      </c>
      <c r="H1339" s="48">
        <v>0.208</v>
      </c>
      <c r="I1339" s="48">
        <v>67.469</v>
      </c>
      <c r="J1339" s="49">
        <v>324</v>
      </c>
      <c r="K1339" s="49">
        <v>0</v>
      </c>
      <c r="L1339" s="49">
        <v>324</v>
      </c>
    </row>
    <row r="1340" spans="1:12" x14ac:dyDescent="0.25">
      <c r="A1340" s="45">
        <f>C1340&amp;"."&amp;IFERROR(MID(E1340,FIND("(",E1340)+1,FIND(")",E1340)-FIND("(",E1340)-1),"")</f>
      </c>
      <c r="B1340" s="46" t="s">
        <v>1178</v>
      </c>
      <c r="C1340" s="46">
        <v>75711</v>
      </c>
      <c r="D1340" s="46" t="s">
        <v>2811</v>
      </c>
      <c r="E1340" s="46" t="s">
        <v>1248</v>
      </c>
      <c r="F1340" s="46" t="s">
        <v>1495</v>
      </c>
      <c r="G1340" s="47">
        <v>0</v>
      </c>
      <c r="H1340" s="48">
        <v>0.072</v>
      </c>
      <c r="I1340" s="48">
        <v>4.726</v>
      </c>
      <c r="J1340" s="49">
        <v>66</v>
      </c>
      <c r="K1340" s="49">
        <v>0</v>
      </c>
      <c r="L1340" s="49">
        <v>66</v>
      </c>
    </row>
    <row r="1341" spans="1:12" x14ac:dyDescent="0.25">
      <c r="A1341" s="45">
        <f>C1341&amp;"."&amp;IFERROR(MID(E1341,FIND("(",E1341)+1,FIND(")",E1341)-FIND("(",E1341)-1),"")</f>
      </c>
      <c r="B1341" s="46" t="s">
        <v>1178</v>
      </c>
      <c r="C1341" s="46">
        <v>75712</v>
      </c>
      <c r="D1341" s="46" t="s">
        <v>2812</v>
      </c>
      <c r="E1341" s="46" t="s">
        <v>1248</v>
      </c>
      <c r="F1341" s="46" t="s">
        <v>1495</v>
      </c>
      <c r="G1341" s="47">
        <v>0</v>
      </c>
      <c r="H1341" s="48">
        <v>0.07</v>
      </c>
      <c r="I1341" s="48">
        <v>4.142</v>
      </c>
      <c r="J1341" s="49">
        <v>59</v>
      </c>
      <c r="K1341" s="49">
        <v>0</v>
      </c>
      <c r="L1341" s="49">
        <v>59</v>
      </c>
    </row>
    <row r="1342" spans="1:12" x14ac:dyDescent="0.25">
      <c r="A1342" s="45">
        <f>C1342&amp;"."&amp;IFERROR(MID(E1342,FIND("(",E1342)+1,FIND(")",E1342)-FIND("(",E1342)-1),"")</f>
      </c>
      <c r="B1342" s="46" t="s">
        <v>1178</v>
      </c>
      <c r="C1342" s="46">
        <v>75714</v>
      </c>
      <c r="D1342" s="46" t="s">
        <v>2813</v>
      </c>
      <c r="E1342" s="46" t="s">
        <v>1248</v>
      </c>
      <c r="F1342" s="46" t="s">
        <v>1495</v>
      </c>
      <c r="G1342" s="47">
        <v>0</v>
      </c>
      <c r="H1342" s="48">
        <v>0.082</v>
      </c>
      <c r="I1342" s="48">
        <v>27.208</v>
      </c>
      <c r="J1342" s="49">
        <v>331</v>
      </c>
      <c r="K1342" s="49">
        <v>4</v>
      </c>
      <c r="L1342" s="49">
        <v>327</v>
      </c>
    </row>
    <row r="1343" spans="1:12" x14ac:dyDescent="0.25">
      <c r="A1343" s="45">
        <f>C1343&amp;"."&amp;IFERROR(MID(E1343,FIND("(",E1343)+1,FIND(")",E1343)-FIND("(",E1343)-1),"")</f>
      </c>
      <c r="B1343" s="46" t="s">
        <v>1178</v>
      </c>
      <c r="C1343" s="46">
        <v>75715</v>
      </c>
      <c r="D1343" s="46" t="s">
        <v>2814</v>
      </c>
      <c r="E1343" s="46" t="s">
        <v>1248</v>
      </c>
      <c r="F1343" s="46" t="s">
        <v>1495</v>
      </c>
      <c r="G1343" s="47">
        <v>0.12</v>
      </c>
      <c r="H1343" s="48">
        <v>0.098</v>
      </c>
      <c r="I1343" s="48">
        <v>22.058</v>
      </c>
      <c r="J1343" s="49">
        <v>226</v>
      </c>
      <c r="K1343" s="49">
        <v>16</v>
      </c>
      <c r="L1343" s="49">
        <v>210</v>
      </c>
    </row>
    <row r="1344" spans="1:12" x14ac:dyDescent="0.25">
      <c r="A1344" s="45">
        <f>C1344&amp;"."&amp;IFERROR(MID(E1344,FIND("(",E1344)+1,FIND(")",E1344)-FIND("(",E1344)-1),"")</f>
      </c>
      <c r="B1344" s="46" t="s">
        <v>1178</v>
      </c>
      <c r="C1344" s="46">
        <v>75717</v>
      </c>
      <c r="D1344" s="46" t="s">
        <v>2815</v>
      </c>
      <c r="E1344" s="46" t="s">
        <v>1248</v>
      </c>
      <c r="F1344" s="46" t="s">
        <v>1495</v>
      </c>
      <c r="G1344" s="47">
        <v>0</v>
      </c>
      <c r="H1344" s="48">
        <v>0.037</v>
      </c>
      <c r="I1344" s="48">
        <v>2.921</v>
      </c>
      <c r="J1344" s="49">
        <v>80</v>
      </c>
      <c r="K1344" s="49">
        <v>0</v>
      </c>
      <c r="L1344" s="49">
        <v>80</v>
      </c>
    </row>
    <row r="1345" spans="1:12" x14ac:dyDescent="0.25">
      <c r="A1345" s="45">
        <f>C1345&amp;"."&amp;IFERROR(MID(E1345,FIND("(",E1345)+1,FIND(")",E1345)-FIND("(",E1345)-1),"")</f>
      </c>
      <c r="B1345" s="46" t="s">
        <v>1178</v>
      </c>
      <c r="C1345" s="46">
        <v>75719</v>
      </c>
      <c r="D1345" s="46" t="s">
        <v>2816</v>
      </c>
      <c r="E1345" s="46" t="s">
        <v>1248</v>
      </c>
      <c r="F1345" s="46" t="s">
        <v>1495</v>
      </c>
      <c r="G1345" s="47">
        <v>0</v>
      </c>
      <c r="H1345" s="48">
        <v>0.048</v>
      </c>
      <c r="I1345" s="48">
        <v>2.395</v>
      </c>
      <c r="J1345" s="49">
        <v>50</v>
      </c>
      <c r="K1345" s="49">
        <v>0</v>
      </c>
      <c r="L1345" s="49">
        <v>50</v>
      </c>
    </row>
    <row r="1346" spans="1:12" x14ac:dyDescent="0.25">
      <c r="A1346" s="45">
        <f>C1346&amp;"."&amp;IFERROR(MID(E1346,FIND("(",E1346)+1,FIND(")",E1346)-FIND("(",E1346)-1),"")</f>
      </c>
      <c r="B1346" s="46" t="s">
        <v>1178</v>
      </c>
      <c r="C1346" s="46">
        <v>75723</v>
      </c>
      <c r="D1346" s="46" t="s">
        <v>2817</v>
      </c>
      <c r="E1346" s="46" t="s">
        <v>2818</v>
      </c>
      <c r="F1346" s="46" t="s">
        <v>26</v>
      </c>
      <c r="G1346" s="47">
        <v>10.11</v>
      </c>
      <c r="H1346" s="48">
        <v>41.746</v>
      </c>
      <c r="I1346" s="48">
        <v>41.746</v>
      </c>
      <c r="J1346" s="49">
        <v>1</v>
      </c>
      <c r="K1346" s="49">
        <v>0</v>
      </c>
      <c r="L1346" s="49">
        <v>1</v>
      </c>
    </row>
    <row r="1347" spans="1:12" x14ac:dyDescent="0.25">
      <c r="A1347" s="45">
        <f>C1347&amp;"."&amp;IFERROR(MID(E1347,FIND("(",E1347)+1,FIND(")",E1347)-FIND("(",E1347)-1),"")</f>
      </c>
      <c r="B1347" s="46" t="s">
        <v>1178</v>
      </c>
      <c r="C1347" s="46">
        <v>75723</v>
      </c>
      <c r="D1347" s="46" t="s">
        <v>2817</v>
      </c>
      <c r="E1347" s="46" t="s">
        <v>2819</v>
      </c>
      <c r="F1347" s="46" t="s">
        <v>26</v>
      </c>
      <c r="G1347" s="47">
        <v>10.11</v>
      </c>
      <c r="H1347" s="48">
        <v>32.43</v>
      </c>
      <c r="I1347" s="48">
        <v>64.861</v>
      </c>
      <c r="J1347" s="49">
        <v>2</v>
      </c>
      <c r="K1347" s="49">
        <v>0</v>
      </c>
      <c r="L1347" s="49">
        <v>2</v>
      </c>
    </row>
    <row r="1348" spans="1:12" x14ac:dyDescent="0.25">
      <c r="A1348" s="45">
        <f>C1348&amp;"."&amp;IFERROR(MID(E1348,FIND("(",E1348)+1,FIND(")",E1348)-FIND("(",E1348)-1),"")</f>
      </c>
      <c r="B1348" s="46" t="s">
        <v>1178</v>
      </c>
      <c r="C1348" s="46">
        <v>75725</v>
      </c>
      <c r="D1348" s="46" t="s">
        <v>2820</v>
      </c>
      <c r="E1348" s="46" t="s">
        <v>2821</v>
      </c>
      <c r="F1348" s="46" t="s">
        <v>26</v>
      </c>
      <c r="G1348" s="47">
        <v>9.28</v>
      </c>
      <c r="H1348" s="48">
        <v>30.92</v>
      </c>
      <c r="I1348" s="48">
        <v>123.68</v>
      </c>
      <c r="J1348" s="49">
        <v>4</v>
      </c>
      <c r="K1348" s="49">
        <v>0</v>
      </c>
      <c r="L1348" s="49">
        <v>4</v>
      </c>
    </row>
    <row r="1349" spans="1:12" x14ac:dyDescent="0.25">
      <c r="A1349" s="45">
        <f>C1349&amp;"."&amp;IFERROR(MID(E1349,FIND("(",E1349)+1,FIND(")",E1349)-FIND("(",E1349)-1),"")</f>
      </c>
      <c r="B1349" s="46" t="s">
        <v>1178</v>
      </c>
      <c r="C1349" s="46">
        <v>75734</v>
      </c>
      <c r="D1349" s="46" t="s">
        <v>2822</v>
      </c>
      <c r="E1349" s="46" t="s">
        <v>2823</v>
      </c>
      <c r="F1349" s="46" t="s">
        <v>26</v>
      </c>
      <c r="G1349" s="47">
        <v>4.92</v>
      </c>
      <c r="H1349" s="48">
        <v>16.602</v>
      </c>
      <c r="I1349" s="48">
        <v>182.617</v>
      </c>
      <c r="J1349" s="49">
        <v>11</v>
      </c>
      <c r="K1349" s="49">
        <v>5</v>
      </c>
      <c r="L1349" s="49">
        <v>6</v>
      </c>
    </row>
    <row r="1350" spans="1:12" x14ac:dyDescent="0.25">
      <c r="A1350" s="45">
        <f>C1350&amp;"."&amp;IFERROR(MID(E1350,FIND("(",E1350)+1,FIND(")",E1350)-FIND("(",E1350)-1),"")</f>
      </c>
      <c r="B1350" s="46" t="s">
        <v>1178</v>
      </c>
      <c r="C1350" s="46">
        <v>75734</v>
      </c>
      <c r="D1350" s="46" t="s">
        <v>2822</v>
      </c>
      <c r="E1350" s="46" t="s">
        <v>2824</v>
      </c>
      <c r="F1350" s="46" t="s">
        <v>26</v>
      </c>
      <c r="G1350" s="47">
        <v>4.92</v>
      </c>
      <c r="H1350" s="48">
        <v>8.895</v>
      </c>
      <c r="I1350" s="48">
        <v>62.266</v>
      </c>
      <c r="J1350" s="49">
        <v>7</v>
      </c>
      <c r="K1350" s="49">
        <v>7</v>
      </c>
      <c r="L1350" s="49">
        <v>0</v>
      </c>
    </row>
    <row r="1351" spans="1:12" x14ac:dyDescent="0.25">
      <c r="A1351" s="45">
        <f>C1351&amp;"."&amp;IFERROR(MID(E1351,FIND("(",E1351)+1,FIND(")",E1351)-FIND("(",E1351)-1),"")</f>
      </c>
      <c r="B1351" s="46" t="s">
        <v>1178</v>
      </c>
      <c r="C1351" s="46">
        <v>75736</v>
      </c>
      <c r="D1351" s="46" t="s">
        <v>2825</v>
      </c>
      <c r="E1351" s="46" t="s">
        <v>2826</v>
      </c>
      <c r="F1351" s="46" t="s">
        <v>26</v>
      </c>
      <c r="G1351" s="47">
        <v>0.76</v>
      </c>
      <c r="H1351" s="48">
        <v>16.961</v>
      </c>
      <c r="I1351" s="48">
        <v>50.884</v>
      </c>
      <c r="J1351" s="49">
        <v>3</v>
      </c>
      <c r="K1351" s="49">
        <v>1</v>
      </c>
      <c r="L1351" s="49">
        <v>2</v>
      </c>
    </row>
    <row r="1352" spans="1:12" x14ac:dyDescent="0.25">
      <c r="A1352" s="45">
        <f>C1352&amp;"."&amp;IFERROR(MID(E1352,FIND("(",E1352)+1,FIND(")",E1352)-FIND("(",E1352)-1),"")</f>
      </c>
      <c r="B1352" s="46" t="s">
        <v>1178</v>
      </c>
      <c r="C1352" s="46">
        <v>75736</v>
      </c>
      <c r="D1352" s="46" t="s">
        <v>2825</v>
      </c>
      <c r="E1352" s="46" t="s">
        <v>2827</v>
      </c>
      <c r="F1352" s="46" t="s">
        <v>26</v>
      </c>
      <c r="G1352" s="47">
        <v>0.76</v>
      </c>
      <c r="H1352" s="48">
        <v>8.851</v>
      </c>
      <c r="I1352" s="48">
        <v>26.552</v>
      </c>
      <c r="J1352" s="49">
        <v>3</v>
      </c>
      <c r="K1352" s="49">
        <v>0</v>
      </c>
      <c r="L1352" s="49">
        <v>3</v>
      </c>
    </row>
    <row r="1353" spans="1:12" x14ac:dyDescent="0.25">
      <c r="A1353" s="45">
        <f>C1353&amp;"."&amp;IFERROR(MID(E1353,FIND("(",E1353)+1,FIND(")",E1353)-FIND("(",E1353)-1),"")</f>
      </c>
      <c r="B1353" s="46" t="s">
        <v>1178</v>
      </c>
      <c r="C1353" s="46">
        <v>75739</v>
      </c>
      <c r="D1353" s="46" t="s">
        <v>2828</v>
      </c>
      <c r="E1353" s="46" t="s">
        <v>1248</v>
      </c>
      <c r="F1353" s="46" t="s">
        <v>26</v>
      </c>
      <c r="G1353" s="47">
        <v>0.67</v>
      </c>
      <c r="H1353" s="48">
        <v>6.881</v>
      </c>
      <c r="I1353" s="48">
        <v>55.045</v>
      </c>
      <c r="J1353" s="49">
        <v>8</v>
      </c>
      <c r="K1353" s="49">
        <v>1</v>
      </c>
      <c r="L1353" s="49">
        <v>7</v>
      </c>
    </row>
    <row r="1354" spans="1:12" x14ac:dyDescent="0.25">
      <c r="A1354" s="45">
        <f>C1354&amp;"."&amp;IFERROR(MID(E1354,FIND("(",E1354)+1,FIND(")",E1354)-FIND("(",E1354)-1),"")</f>
      </c>
      <c r="B1354" s="46" t="s">
        <v>1178</v>
      </c>
      <c r="C1354" s="46">
        <v>75740</v>
      </c>
      <c r="D1354" s="46" t="s">
        <v>2829</v>
      </c>
      <c r="E1354" s="46" t="s">
        <v>2830</v>
      </c>
      <c r="F1354" s="46" t="s">
        <v>26</v>
      </c>
      <c r="G1354" s="47">
        <v>0.92</v>
      </c>
      <c r="H1354" s="48">
        <v>22.266</v>
      </c>
      <c r="I1354" s="48">
        <v>22.266</v>
      </c>
      <c r="J1354" s="49">
        <v>1</v>
      </c>
      <c r="K1354" s="49">
        <v>0</v>
      </c>
      <c r="L1354" s="49">
        <v>1</v>
      </c>
    </row>
    <row r="1355" spans="1:12" x14ac:dyDescent="0.25">
      <c r="A1355" s="45">
        <f>C1355&amp;"."&amp;IFERROR(MID(E1355,FIND("(",E1355)+1,FIND(")",E1355)-FIND("(",E1355)-1),"")</f>
      </c>
      <c r="B1355" s="46" t="s">
        <v>1178</v>
      </c>
      <c r="C1355" s="46">
        <v>75741</v>
      </c>
      <c r="D1355" s="46" t="s">
        <v>2831</v>
      </c>
      <c r="E1355" s="46" t="s">
        <v>2832</v>
      </c>
      <c r="F1355" s="46" t="s">
        <v>26</v>
      </c>
      <c r="G1355" s="47">
        <v>0</v>
      </c>
      <c r="H1355" s="48">
        <v>17.68</v>
      </c>
      <c r="I1355" s="48">
        <v>70.718</v>
      </c>
      <c r="J1355" s="49">
        <v>4</v>
      </c>
      <c r="K1355" s="49">
        <v>0</v>
      </c>
      <c r="L1355" s="49">
        <v>4</v>
      </c>
    </row>
    <row r="1356" spans="1:12" x14ac:dyDescent="0.25">
      <c r="A1356" s="45">
        <f>C1356&amp;"."&amp;IFERROR(MID(E1356,FIND("(",E1356)+1,FIND(")",E1356)-FIND("(",E1356)-1),"")</f>
      </c>
      <c r="B1356" s="46" t="s">
        <v>1178</v>
      </c>
      <c r="C1356" s="46">
        <v>75746</v>
      </c>
      <c r="D1356" s="46" t="s">
        <v>2833</v>
      </c>
      <c r="E1356" s="46" t="s">
        <v>2834</v>
      </c>
      <c r="F1356" s="46" t="s">
        <v>26</v>
      </c>
      <c r="G1356" s="47">
        <v>1.14</v>
      </c>
      <c r="H1356" s="48">
        <v>4.29</v>
      </c>
      <c r="I1356" s="48">
        <v>12.87</v>
      </c>
      <c r="J1356" s="49">
        <v>3</v>
      </c>
      <c r="K1356" s="49">
        <v>0</v>
      </c>
      <c r="L1356" s="49">
        <v>3</v>
      </c>
    </row>
    <row r="1357" spans="1:12" x14ac:dyDescent="0.25">
      <c r="A1357" s="45">
        <f>C1357&amp;"."&amp;IFERROR(MID(E1357,FIND("(",E1357)+1,FIND(")",E1357)-FIND("(",E1357)-1),"")</f>
      </c>
      <c r="B1357" s="46" t="s">
        <v>1178</v>
      </c>
      <c r="C1357" s="46">
        <v>75746</v>
      </c>
      <c r="D1357" s="46" t="s">
        <v>2833</v>
      </c>
      <c r="E1357" s="46" t="s">
        <v>2835</v>
      </c>
      <c r="F1357" s="46" t="s">
        <v>26</v>
      </c>
      <c r="G1357" s="47">
        <v>1.14</v>
      </c>
      <c r="H1357" s="48">
        <v>3.803</v>
      </c>
      <c r="I1357" s="48">
        <v>11.409</v>
      </c>
      <c r="J1357" s="49">
        <v>3</v>
      </c>
      <c r="K1357" s="49">
        <v>0</v>
      </c>
      <c r="L1357" s="49">
        <v>3</v>
      </c>
    </row>
    <row r="1358" spans="1:12" x14ac:dyDescent="0.25">
      <c r="A1358" s="45">
        <f>C1358&amp;"."&amp;IFERROR(MID(E1358,FIND("(",E1358)+1,FIND(")",E1358)-FIND("(",E1358)-1),"")</f>
      </c>
      <c r="B1358" s="46" t="s">
        <v>1178</v>
      </c>
      <c r="C1358" s="46">
        <v>75746</v>
      </c>
      <c r="D1358" s="46" t="s">
        <v>2833</v>
      </c>
      <c r="E1358" s="46" t="s">
        <v>2836</v>
      </c>
      <c r="F1358" s="46" t="s">
        <v>26</v>
      </c>
      <c r="G1358" s="47">
        <v>1.14</v>
      </c>
      <c r="H1358" s="48">
        <v>4.052</v>
      </c>
      <c r="I1358" s="48">
        <v>20.261</v>
      </c>
      <c r="J1358" s="49">
        <v>5</v>
      </c>
      <c r="K1358" s="49">
        <v>0</v>
      </c>
      <c r="L1358" s="49">
        <v>5</v>
      </c>
    </row>
    <row r="1359" spans="1:12" x14ac:dyDescent="0.25">
      <c r="A1359" s="45">
        <f>C1359&amp;"."&amp;IFERROR(MID(E1359,FIND("(",E1359)+1,FIND(")",E1359)-FIND("(",E1359)-1),"")</f>
      </c>
      <c r="B1359" s="46" t="s">
        <v>1178</v>
      </c>
      <c r="C1359" s="46">
        <v>75748</v>
      </c>
      <c r="D1359" s="46" t="s">
        <v>2837</v>
      </c>
      <c r="E1359" s="46" t="s">
        <v>2838</v>
      </c>
      <c r="F1359" s="46" t="s">
        <v>26</v>
      </c>
      <c r="G1359" s="47">
        <v>1.68</v>
      </c>
      <c r="H1359" s="48">
        <v>7.918</v>
      </c>
      <c r="I1359" s="48">
        <v>87.102</v>
      </c>
      <c r="J1359" s="49">
        <v>11</v>
      </c>
      <c r="K1359" s="49">
        <v>1</v>
      </c>
      <c r="L1359" s="49">
        <v>10</v>
      </c>
    </row>
    <row r="1360" spans="1:12" x14ac:dyDescent="0.25">
      <c r="A1360" s="45">
        <f>C1360&amp;"."&amp;IFERROR(MID(E1360,FIND("(",E1360)+1,FIND(")",E1360)-FIND("(",E1360)-1),"")</f>
      </c>
      <c r="B1360" s="46" t="s">
        <v>1178</v>
      </c>
      <c r="C1360" s="46">
        <v>75748</v>
      </c>
      <c r="D1360" s="46" t="s">
        <v>2837</v>
      </c>
      <c r="E1360" s="46" t="s">
        <v>2839</v>
      </c>
      <c r="F1360" s="46" t="s">
        <v>26</v>
      </c>
      <c r="G1360" s="47">
        <v>1.68</v>
      </c>
      <c r="H1360" s="48">
        <v>6.474</v>
      </c>
      <c r="I1360" s="48">
        <v>25.897</v>
      </c>
      <c r="J1360" s="49">
        <v>4</v>
      </c>
      <c r="K1360" s="49">
        <v>2</v>
      </c>
      <c r="L1360" s="49">
        <v>2</v>
      </c>
    </row>
    <row r="1361" spans="1:12" x14ac:dyDescent="0.25">
      <c r="A1361" s="45">
        <f>C1361&amp;"."&amp;IFERROR(MID(E1361,FIND("(",E1361)+1,FIND(")",E1361)-FIND("(",E1361)-1),"")</f>
      </c>
      <c r="B1361" s="46" t="s">
        <v>1178</v>
      </c>
      <c r="C1361" s="46">
        <v>75748</v>
      </c>
      <c r="D1361" s="46" t="s">
        <v>2837</v>
      </c>
      <c r="E1361" s="46" t="s">
        <v>2840</v>
      </c>
      <c r="F1361" s="46" t="s">
        <v>26</v>
      </c>
      <c r="G1361" s="47">
        <v>1.68</v>
      </c>
      <c r="H1361" s="48">
        <v>8.331</v>
      </c>
      <c r="I1361" s="48">
        <v>41.657</v>
      </c>
      <c r="J1361" s="49">
        <v>5</v>
      </c>
      <c r="K1361" s="49">
        <v>0</v>
      </c>
      <c r="L1361" s="49">
        <v>5</v>
      </c>
    </row>
    <row r="1362" spans="1:12" x14ac:dyDescent="0.25">
      <c r="A1362" s="45">
        <f>C1362&amp;"."&amp;IFERROR(MID(E1362,FIND("(",E1362)+1,FIND(")",E1362)-FIND("(",E1362)-1),"")</f>
      </c>
      <c r="B1362" s="46" t="s">
        <v>1178</v>
      </c>
      <c r="C1362" s="46">
        <v>75751</v>
      </c>
      <c r="D1362" s="46" t="s">
        <v>2841</v>
      </c>
      <c r="E1362" s="46" t="s">
        <v>2842</v>
      </c>
      <c r="F1362" s="46" t="s">
        <v>26</v>
      </c>
      <c r="G1362" s="47">
        <v>1.14</v>
      </c>
      <c r="H1362" s="48">
        <v>4.192</v>
      </c>
      <c r="I1362" s="48">
        <v>29.341</v>
      </c>
      <c r="J1362" s="49">
        <v>7</v>
      </c>
      <c r="K1362" s="49">
        <v>2</v>
      </c>
      <c r="L1362" s="49">
        <v>5</v>
      </c>
    </row>
    <row r="1363" spans="1:12" x14ac:dyDescent="0.25">
      <c r="A1363" s="45">
        <f>C1363&amp;"."&amp;IFERROR(MID(E1363,FIND("(",E1363)+1,FIND(")",E1363)-FIND("(",E1363)-1),"")</f>
      </c>
      <c r="B1363" s="46" t="s">
        <v>1178</v>
      </c>
      <c r="C1363" s="46">
        <v>75751</v>
      </c>
      <c r="D1363" s="46" t="s">
        <v>2841</v>
      </c>
      <c r="E1363" s="46" t="s">
        <v>2843</v>
      </c>
      <c r="F1363" s="46" t="s">
        <v>26</v>
      </c>
      <c r="G1363" s="47">
        <v>1.14</v>
      </c>
      <c r="H1363" s="48">
        <v>4.01</v>
      </c>
      <c r="I1363" s="48">
        <v>8.02</v>
      </c>
      <c r="J1363" s="49">
        <v>2</v>
      </c>
      <c r="K1363" s="49">
        <v>0</v>
      </c>
      <c r="L1363" s="49">
        <v>2</v>
      </c>
    </row>
    <row r="1364" spans="1:12" x14ac:dyDescent="0.25">
      <c r="A1364" s="45">
        <f>C1364&amp;"."&amp;IFERROR(MID(E1364,FIND("(",E1364)+1,FIND(")",E1364)-FIND("(",E1364)-1),"")</f>
      </c>
      <c r="B1364" s="46" t="s">
        <v>1178</v>
      </c>
      <c r="C1364" s="46">
        <v>75754</v>
      </c>
      <c r="D1364" s="46" t="s">
        <v>2844</v>
      </c>
      <c r="E1364" s="46" t="s">
        <v>1248</v>
      </c>
      <c r="F1364" s="46" t="s">
        <v>26</v>
      </c>
      <c r="G1364" s="47">
        <v>1.66</v>
      </c>
      <c r="H1364" s="48">
        <v>4.78</v>
      </c>
      <c r="I1364" s="48">
        <v>4.78</v>
      </c>
      <c r="J1364" s="49">
        <v>1</v>
      </c>
      <c r="K1364" s="49">
        <v>0</v>
      </c>
      <c r="L1364" s="49">
        <v>1</v>
      </c>
    </row>
    <row r="1365" spans="1:12" x14ac:dyDescent="0.25">
      <c r="A1365" s="45">
        <f>C1365&amp;"."&amp;IFERROR(MID(E1365,FIND("(",E1365)+1,FIND(")",E1365)-FIND("(",E1365)-1),"")</f>
      </c>
      <c r="B1365" s="46" t="s">
        <v>1178</v>
      </c>
      <c r="C1365" s="46">
        <v>75755</v>
      </c>
      <c r="D1365" s="46" t="s">
        <v>2845</v>
      </c>
      <c r="E1365" s="46" t="s">
        <v>1248</v>
      </c>
      <c r="F1365" s="46" t="s">
        <v>1495</v>
      </c>
      <c r="G1365" s="47">
        <v>0</v>
      </c>
      <c r="H1365" s="48">
        <v>0.031</v>
      </c>
      <c r="I1365" s="48">
        <v>4.604</v>
      </c>
      <c r="J1365" s="49">
        <v>149</v>
      </c>
      <c r="K1365" s="49">
        <v>0</v>
      </c>
      <c r="L1365" s="49">
        <v>149</v>
      </c>
    </row>
    <row r="1366" spans="1:12" x14ac:dyDescent="0.25">
      <c r="A1366" s="45">
        <f>C1366&amp;"."&amp;IFERROR(MID(E1366,FIND("(",E1366)+1,FIND(")",E1366)-FIND("(",E1366)-1),"")</f>
      </c>
      <c r="B1366" s="46" t="s">
        <v>1178</v>
      </c>
      <c r="C1366" s="46">
        <v>75756</v>
      </c>
      <c r="D1366" s="46" t="s">
        <v>2846</v>
      </c>
      <c r="E1366" s="46" t="s">
        <v>1248</v>
      </c>
      <c r="F1366" s="46" t="s">
        <v>1495</v>
      </c>
      <c r="G1366" s="47">
        <v>0</v>
      </c>
      <c r="H1366" s="48">
        <v>0.031</v>
      </c>
      <c r="I1366" s="48">
        <v>0.22</v>
      </c>
      <c r="J1366" s="49">
        <v>7</v>
      </c>
      <c r="K1366" s="49">
        <v>0</v>
      </c>
      <c r="L1366" s="49">
        <v>7</v>
      </c>
    </row>
    <row r="1367" spans="1:12" x14ac:dyDescent="0.25">
      <c r="A1367" s="45">
        <f>C1367&amp;"."&amp;IFERROR(MID(E1367,FIND("(",E1367)+1,FIND(")",E1367)-FIND("(",E1367)-1),"")</f>
      </c>
      <c r="B1367" s="46" t="s">
        <v>1178</v>
      </c>
      <c r="C1367" s="46">
        <v>75758</v>
      </c>
      <c r="D1367" s="46" t="s">
        <v>2847</v>
      </c>
      <c r="E1367" s="46" t="s">
        <v>1248</v>
      </c>
      <c r="F1367" s="46" t="s">
        <v>1495</v>
      </c>
      <c r="G1367" s="47">
        <v>0.8</v>
      </c>
      <c r="H1367" s="48">
        <v>0.017</v>
      </c>
      <c r="I1367" s="48">
        <v>1.336</v>
      </c>
      <c r="J1367" s="49">
        <v>80</v>
      </c>
      <c r="K1367" s="49">
        <v>1</v>
      </c>
      <c r="L1367" s="49">
        <v>79</v>
      </c>
    </row>
    <row r="1368" spans="1:12" x14ac:dyDescent="0.25">
      <c r="A1368" s="45">
        <f>C1368&amp;"."&amp;IFERROR(MID(E1368,FIND("(",E1368)+1,FIND(")",E1368)-FIND("(",E1368)-1),"")</f>
      </c>
      <c r="B1368" s="46" t="s">
        <v>1178</v>
      </c>
      <c r="C1368" s="46">
        <v>75759</v>
      </c>
      <c r="D1368" s="46" t="s">
        <v>2848</v>
      </c>
      <c r="E1368" s="46" t="s">
        <v>1248</v>
      </c>
      <c r="F1368" s="46" t="s">
        <v>1495</v>
      </c>
      <c r="G1368" s="47">
        <v>0</v>
      </c>
      <c r="H1368" s="48">
        <v>0.613</v>
      </c>
      <c r="I1368" s="48">
        <v>36.185</v>
      </c>
      <c r="J1368" s="49">
        <v>59</v>
      </c>
      <c r="K1368" s="49">
        <v>0</v>
      </c>
      <c r="L1368" s="49">
        <v>59</v>
      </c>
    </row>
    <row r="1369" spans="1:12" x14ac:dyDescent="0.25">
      <c r="A1369" s="45">
        <f>C1369&amp;"."&amp;IFERROR(MID(E1369,FIND("(",E1369)+1,FIND(")",E1369)-FIND("(",E1369)-1),"")</f>
      </c>
      <c r="B1369" s="46" t="s">
        <v>1178</v>
      </c>
      <c r="C1369" s="46">
        <v>75762</v>
      </c>
      <c r="D1369" s="46" t="s">
        <v>2849</v>
      </c>
      <c r="E1369" s="46" t="s">
        <v>1248</v>
      </c>
      <c r="F1369" s="46" t="s">
        <v>1495</v>
      </c>
      <c r="G1369" s="47">
        <v>0.02</v>
      </c>
      <c r="H1369" s="48">
        <v>0.048</v>
      </c>
      <c r="I1369" s="48">
        <v>3.423</v>
      </c>
      <c r="J1369" s="49">
        <v>71</v>
      </c>
      <c r="K1369" s="49">
        <v>0</v>
      </c>
      <c r="L1369" s="49">
        <v>71</v>
      </c>
    </row>
    <row r="1370" spans="1:12" x14ac:dyDescent="0.25">
      <c r="A1370" s="45">
        <f>C1370&amp;"."&amp;IFERROR(MID(E1370,FIND("(",E1370)+1,FIND(")",E1370)-FIND("(",E1370)-1),"")</f>
      </c>
      <c r="B1370" s="46" t="s">
        <v>1178</v>
      </c>
      <c r="C1370" s="46">
        <v>75764</v>
      </c>
      <c r="D1370" s="46" t="s">
        <v>2850</v>
      </c>
      <c r="E1370" s="46" t="s">
        <v>2851</v>
      </c>
      <c r="F1370" s="46" t="s">
        <v>26</v>
      </c>
      <c r="G1370" s="47">
        <v>12.87</v>
      </c>
      <c r="H1370" s="48">
        <v>33.58</v>
      </c>
      <c r="I1370" s="48">
        <v>33.58</v>
      </c>
      <c r="J1370" s="49">
        <v>1</v>
      </c>
      <c r="K1370" s="49">
        <v>0</v>
      </c>
      <c r="L1370" s="49">
        <v>1</v>
      </c>
    </row>
    <row r="1371" spans="1:12" x14ac:dyDescent="0.25">
      <c r="A1371" s="45">
        <f>C1371&amp;"."&amp;IFERROR(MID(E1371,FIND("(",E1371)+1,FIND(")",E1371)-FIND("(",E1371)-1),"")</f>
      </c>
      <c r="B1371" s="46" t="s">
        <v>1178</v>
      </c>
      <c r="C1371" s="46">
        <v>75768</v>
      </c>
      <c r="D1371" s="46" t="s">
        <v>2852</v>
      </c>
      <c r="E1371" s="46" t="s">
        <v>2853</v>
      </c>
      <c r="F1371" s="46" t="s">
        <v>26</v>
      </c>
      <c r="G1371" s="47">
        <v>12.9</v>
      </c>
      <c r="H1371" s="48">
        <v>31.922</v>
      </c>
      <c r="I1371" s="48">
        <v>63.845</v>
      </c>
      <c r="J1371" s="49">
        <v>2</v>
      </c>
      <c r="K1371" s="49">
        <v>0</v>
      </c>
      <c r="L1371" s="49">
        <v>2</v>
      </c>
    </row>
    <row r="1372" spans="1:12" x14ac:dyDescent="0.25">
      <c r="A1372" s="45">
        <f>C1372&amp;"."&amp;IFERROR(MID(E1372,FIND("(",E1372)+1,FIND(")",E1372)-FIND("(",E1372)-1),"")</f>
      </c>
      <c r="B1372" s="46" t="s">
        <v>1178</v>
      </c>
      <c r="C1372" s="46">
        <v>75769</v>
      </c>
      <c r="D1372" s="46" t="s">
        <v>2854</v>
      </c>
      <c r="E1372" s="46" t="s">
        <v>1248</v>
      </c>
      <c r="F1372" s="46" t="s">
        <v>1495</v>
      </c>
      <c r="G1372" s="47">
        <v>0</v>
      </c>
      <c r="H1372" s="48">
        <v>0.429</v>
      </c>
      <c r="I1372" s="48">
        <v>24.01</v>
      </c>
      <c r="J1372" s="49">
        <v>56</v>
      </c>
      <c r="K1372" s="49">
        <v>4</v>
      </c>
      <c r="L1372" s="49">
        <v>52</v>
      </c>
    </row>
    <row r="1373" spans="1:12" x14ac:dyDescent="0.25">
      <c r="A1373" s="45">
        <f>C1373&amp;"."&amp;IFERROR(MID(E1373,FIND("(",E1373)+1,FIND(")",E1373)-FIND("(",E1373)-1),"")</f>
      </c>
      <c r="B1373" s="46" t="s">
        <v>1178</v>
      </c>
      <c r="C1373" s="46">
        <v>75770</v>
      </c>
      <c r="D1373" s="46" t="s">
        <v>2855</v>
      </c>
      <c r="E1373" s="46" t="s">
        <v>2856</v>
      </c>
      <c r="F1373" s="46" t="s">
        <v>26</v>
      </c>
      <c r="G1373" s="47">
        <v>1.2</v>
      </c>
      <c r="H1373" s="48">
        <v>3.558</v>
      </c>
      <c r="I1373" s="48">
        <v>3.558</v>
      </c>
      <c r="J1373" s="49">
        <v>1</v>
      </c>
      <c r="K1373" s="49">
        <v>0</v>
      </c>
      <c r="L1373" s="49">
        <v>1</v>
      </c>
    </row>
    <row r="1374" spans="1:12" x14ac:dyDescent="0.25">
      <c r="A1374" s="45">
        <f>C1374&amp;"."&amp;IFERROR(MID(E1374,FIND("(",E1374)+1,FIND(")",E1374)-FIND("(",E1374)-1),"")</f>
      </c>
      <c r="B1374" s="46" t="s">
        <v>1178</v>
      </c>
      <c r="C1374" s="46">
        <v>75773</v>
      </c>
      <c r="D1374" s="46" t="s">
        <v>2857</v>
      </c>
      <c r="E1374" s="46" t="s">
        <v>2858</v>
      </c>
      <c r="F1374" s="46" t="s">
        <v>26</v>
      </c>
      <c r="G1374" s="47">
        <v>0.75</v>
      </c>
      <c r="H1374" s="48">
        <v>9.032</v>
      </c>
      <c r="I1374" s="48">
        <v>36.128</v>
      </c>
      <c r="J1374" s="49">
        <v>4</v>
      </c>
      <c r="K1374" s="49">
        <v>0</v>
      </c>
      <c r="L1374" s="49">
        <v>4</v>
      </c>
    </row>
    <row r="1375" spans="1:12" x14ac:dyDescent="0.25">
      <c r="A1375" s="45">
        <f>C1375&amp;"."&amp;IFERROR(MID(E1375,FIND("(",E1375)+1,FIND(")",E1375)-FIND("(",E1375)-1),"")</f>
      </c>
      <c r="B1375" s="46" t="s">
        <v>1178</v>
      </c>
      <c r="C1375" s="46">
        <v>75773</v>
      </c>
      <c r="D1375" s="46" t="s">
        <v>2857</v>
      </c>
      <c r="E1375" s="46" t="s">
        <v>2859</v>
      </c>
      <c r="F1375" s="46" t="s">
        <v>26</v>
      </c>
      <c r="G1375" s="47">
        <v>0.75</v>
      </c>
      <c r="H1375" s="48">
        <v>4.286</v>
      </c>
      <c r="I1375" s="48">
        <v>47.141</v>
      </c>
      <c r="J1375" s="49">
        <v>11</v>
      </c>
      <c r="K1375" s="49">
        <v>3</v>
      </c>
      <c r="L1375" s="49">
        <v>8</v>
      </c>
    </row>
    <row r="1376" spans="1:12" x14ac:dyDescent="0.25">
      <c r="A1376" s="45">
        <f>C1376&amp;"."&amp;IFERROR(MID(E1376,FIND("(",E1376)+1,FIND(")",E1376)-FIND("(",E1376)-1),"")</f>
      </c>
      <c r="B1376" s="46" t="s">
        <v>1178</v>
      </c>
      <c r="C1376" s="46">
        <v>75773</v>
      </c>
      <c r="D1376" s="46" t="s">
        <v>2857</v>
      </c>
      <c r="E1376" s="46" t="s">
        <v>2860</v>
      </c>
      <c r="F1376" s="46" t="s">
        <v>26</v>
      </c>
      <c r="G1376" s="47">
        <v>0.75</v>
      </c>
      <c r="H1376" s="48">
        <v>2.7</v>
      </c>
      <c r="I1376" s="48">
        <v>18.9</v>
      </c>
      <c r="J1376" s="49">
        <v>7</v>
      </c>
      <c r="K1376" s="49">
        <v>0</v>
      </c>
      <c r="L1376" s="49">
        <v>7</v>
      </c>
    </row>
    <row r="1377" spans="1:12" x14ac:dyDescent="0.25">
      <c r="A1377" s="45">
        <f>C1377&amp;"."&amp;IFERROR(MID(E1377,FIND("(",E1377)+1,FIND(")",E1377)-FIND("(",E1377)-1),"")</f>
      </c>
      <c r="B1377" s="46" t="s">
        <v>1178</v>
      </c>
      <c r="C1377" s="46">
        <v>75774</v>
      </c>
      <c r="D1377" s="46" t="s">
        <v>2861</v>
      </c>
      <c r="E1377" s="46" t="s">
        <v>1248</v>
      </c>
      <c r="F1377" s="46" t="s">
        <v>1495</v>
      </c>
      <c r="G1377" s="47">
        <v>0</v>
      </c>
      <c r="H1377" s="48">
        <v>0.517</v>
      </c>
      <c r="I1377" s="48">
        <v>22.731</v>
      </c>
      <c r="J1377" s="49">
        <v>44</v>
      </c>
      <c r="K1377" s="49">
        <v>0</v>
      </c>
      <c r="L1377" s="49">
        <v>44</v>
      </c>
    </row>
    <row r="1378" spans="1:12" x14ac:dyDescent="0.25">
      <c r="A1378" s="45">
        <f>C1378&amp;"."&amp;IFERROR(MID(E1378,FIND("(",E1378)+1,FIND(")",E1378)-FIND("(",E1378)-1),"")</f>
      </c>
      <c r="B1378" s="46" t="s">
        <v>1178</v>
      </c>
      <c r="C1378" s="46">
        <v>75775</v>
      </c>
      <c r="D1378" s="46" t="s">
        <v>2862</v>
      </c>
      <c r="E1378" s="46" t="s">
        <v>2863</v>
      </c>
      <c r="F1378" s="46" t="s">
        <v>26</v>
      </c>
      <c r="G1378" s="47">
        <v>0.48</v>
      </c>
      <c r="H1378" s="48">
        <v>1.343</v>
      </c>
      <c r="I1378" s="48">
        <v>10.746</v>
      </c>
      <c r="J1378" s="49">
        <v>8</v>
      </c>
      <c r="K1378" s="49">
        <v>0</v>
      </c>
      <c r="L1378" s="49">
        <v>8</v>
      </c>
    </row>
    <row r="1379" spans="1:12" x14ac:dyDescent="0.25">
      <c r="A1379" s="45">
        <f>C1379&amp;"."&amp;IFERROR(MID(E1379,FIND("(",E1379)+1,FIND(")",E1379)-FIND("(",E1379)-1),"")</f>
      </c>
      <c r="B1379" s="46" t="s">
        <v>1178</v>
      </c>
      <c r="C1379" s="46">
        <v>75775</v>
      </c>
      <c r="D1379" s="46" t="s">
        <v>2862</v>
      </c>
      <c r="E1379" s="46" t="s">
        <v>2864</v>
      </c>
      <c r="F1379" s="46" t="s">
        <v>26</v>
      </c>
      <c r="G1379" s="47">
        <v>0.48</v>
      </c>
      <c r="H1379" s="48">
        <v>1.331</v>
      </c>
      <c r="I1379" s="48">
        <v>3.993</v>
      </c>
      <c r="J1379" s="49">
        <v>3</v>
      </c>
      <c r="K1379" s="49">
        <v>0</v>
      </c>
      <c r="L1379" s="49">
        <v>3</v>
      </c>
    </row>
    <row r="1380" spans="1:12" x14ac:dyDescent="0.25">
      <c r="A1380" s="45">
        <f>C1380&amp;"."&amp;IFERROR(MID(E1380,FIND("(",E1380)+1,FIND(")",E1380)-FIND("(",E1380)-1),"")</f>
      </c>
      <c r="B1380" s="46" t="s">
        <v>1178</v>
      </c>
      <c r="C1380" s="46">
        <v>75778</v>
      </c>
      <c r="D1380" s="46" t="s">
        <v>2865</v>
      </c>
      <c r="E1380" s="46" t="s">
        <v>1248</v>
      </c>
      <c r="F1380" s="46" t="s">
        <v>1495</v>
      </c>
      <c r="G1380" s="47">
        <v>0.01</v>
      </c>
      <c r="H1380" s="48">
        <v>0.093</v>
      </c>
      <c r="I1380" s="48">
        <v>7.415</v>
      </c>
      <c r="J1380" s="49">
        <v>80</v>
      </c>
      <c r="K1380" s="49">
        <v>0</v>
      </c>
      <c r="L1380" s="49">
        <v>80</v>
      </c>
    </row>
    <row r="1381" spans="1:12" x14ac:dyDescent="0.25">
      <c r="A1381" s="45">
        <f>C1381&amp;"."&amp;IFERROR(MID(E1381,FIND("(",E1381)+1,FIND(")",E1381)-FIND("(",E1381)-1),"")</f>
      </c>
      <c r="B1381" s="46" t="s">
        <v>1178</v>
      </c>
      <c r="C1381" s="46">
        <v>75779</v>
      </c>
      <c r="D1381" s="46" t="s">
        <v>2866</v>
      </c>
      <c r="E1381" s="46" t="s">
        <v>2867</v>
      </c>
      <c r="F1381" s="46" t="s">
        <v>26</v>
      </c>
      <c r="G1381" s="47">
        <v>0.48</v>
      </c>
      <c r="H1381" s="48">
        <v>1.331</v>
      </c>
      <c r="I1381" s="48">
        <v>7.987</v>
      </c>
      <c r="J1381" s="49">
        <v>6</v>
      </c>
      <c r="K1381" s="49">
        <v>0</v>
      </c>
      <c r="L1381" s="49">
        <v>6</v>
      </c>
    </row>
    <row r="1382" spans="1:12" x14ac:dyDescent="0.25">
      <c r="A1382" s="45">
        <f>C1382&amp;"."&amp;IFERROR(MID(E1382,FIND("(",E1382)+1,FIND(")",E1382)-FIND("(",E1382)-1),"")</f>
      </c>
      <c r="B1382" s="46" t="s">
        <v>1178</v>
      </c>
      <c r="C1382" s="46">
        <v>75779</v>
      </c>
      <c r="D1382" s="46" t="s">
        <v>2866</v>
      </c>
      <c r="E1382" s="46" t="s">
        <v>2868</v>
      </c>
      <c r="F1382" s="46" t="s">
        <v>26</v>
      </c>
      <c r="G1382" s="47">
        <v>0.48</v>
      </c>
      <c r="H1382" s="48">
        <v>1.343</v>
      </c>
      <c r="I1382" s="48">
        <v>13.432</v>
      </c>
      <c r="J1382" s="49">
        <v>10</v>
      </c>
      <c r="K1382" s="49">
        <v>0</v>
      </c>
      <c r="L1382" s="49">
        <v>10</v>
      </c>
    </row>
    <row r="1383" spans="1:12" x14ac:dyDescent="0.25">
      <c r="A1383" s="45">
        <f>C1383&amp;"."&amp;IFERROR(MID(E1383,FIND("(",E1383)+1,FIND(")",E1383)-FIND("(",E1383)-1),"")</f>
      </c>
      <c r="B1383" s="46" t="s">
        <v>1178</v>
      </c>
      <c r="C1383" s="46">
        <v>75780</v>
      </c>
      <c r="D1383" s="46" t="s">
        <v>2869</v>
      </c>
      <c r="E1383" s="46" t="s">
        <v>1248</v>
      </c>
      <c r="F1383" s="46" t="s">
        <v>1495</v>
      </c>
      <c r="G1383" s="47">
        <v>0.03</v>
      </c>
      <c r="H1383" s="48">
        <v>0.103</v>
      </c>
      <c r="I1383" s="48">
        <v>24.936</v>
      </c>
      <c r="J1383" s="49">
        <v>241</v>
      </c>
      <c r="K1383" s="49">
        <v>108</v>
      </c>
      <c r="L1383" s="49">
        <v>133</v>
      </c>
    </row>
    <row r="1384" spans="1:12" x14ac:dyDescent="0.25">
      <c r="A1384" s="45">
        <f>C1384&amp;"."&amp;IFERROR(MID(E1384,FIND("(",E1384)+1,FIND(")",E1384)-FIND("(",E1384)-1),"")</f>
      </c>
      <c r="B1384" s="46" t="s">
        <v>1178</v>
      </c>
      <c r="C1384" s="46">
        <v>75781</v>
      </c>
      <c r="D1384" s="46" t="s">
        <v>2870</v>
      </c>
      <c r="E1384" s="46" t="s">
        <v>2871</v>
      </c>
      <c r="F1384" s="46" t="s">
        <v>26</v>
      </c>
      <c r="G1384" s="47">
        <v>15.71</v>
      </c>
      <c r="H1384" s="48">
        <v>51.284</v>
      </c>
      <c r="I1384" s="48">
        <v>153.852</v>
      </c>
      <c r="J1384" s="49">
        <v>3</v>
      </c>
      <c r="K1384" s="49">
        <v>0</v>
      </c>
      <c r="L1384" s="49">
        <v>3</v>
      </c>
    </row>
    <row r="1385" spans="1:12" x14ac:dyDescent="0.25">
      <c r="A1385" s="45">
        <f>C1385&amp;"."&amp;IFERROR(MID(E1385,FIND("(",E1385)+1,FIND(")",E1385)-FIND("(",E1385)-1),"")</f>
      </c>
      <c r="B1385" s="46" t="s">
        <v>1178</v>
      </c>
      <c r="C1385" s="46">
        <v>75782</v>
      </c>
      <c r="D1385" s="46" t="s">
        <v>2872</v>
      </c>
      <c r="E1385" s="46" t="s">
        <v>1248</v>
      </c>
      <c r="F1385" s="46" t="s">
        <v>1495</v>
      </c>
      <c r="G1385" s="47">
        <v>0</v>
      </c>
      <c r="H1385" s="48">
        <v>0.007</v>
      </c>
      <c r="I1385" s="48">
        <v>0.432</v>
      </c>
      <c r="J1385" s="49">
        <v>60</v>
      </c>
      <c r="K1385" s="49">
        <v>0</v>
      </c>
      <c r="L1385" s="49">
        <v>60</v>
      </c>
    </row>
    <row r="1386" spans="1:12" x14ac:dyDescent="0.25">
      <c r="A1386" s="45">
        <f>C1386&amp;"."&amp;IFERROR(MID(E1386,FIND("(",E1386)+1,FIND(")",E1386)-FIND("(",E1386)-1),"")</f>
      </c>
      <c r="B1386" s="46" t="s">
        <v>1178</v>
      </c>
      <c r="C1386" s="46">
        <v>75783</v>
      </c>
      <c r="D1386" s="46" t="s">
        <v>2873</v>
      </c>
      <c r="E1386" s="46" t="s">
        <v>1248</v>
      </c>
      <c r="F1386" s="46" t="s">
        <v>1495</v>
      </c>
      <c r="G1386" s="47">
        <v>0.04</v>
      </c>
      <c r="H1386" s="48">
        <v>0.008</v>
      </c>
      <c r="I1386" s="48">
        <v>1.445</v>
      </c>
      <c r="J1386" s="49">
        <v>173</v>
      </c>
      <c r="K1386" s="49">
        <v>1</v>
      </c>
      <c r="L1386" s="49">
        <v>172</v>
      </c>
    </row>
    <row r="1387" spans="1:12" x14ac:dyDescent="0.25">
      <c r="A1387" s="45">
        <f>C1387&amp;"."&amp;IFERROR(MID(E1387,FIND("(",E1387)+1,FIND(")",E1387)-FIND("(",E1387)-1),"")</f>
      </c>
      <c r="B1387" s="46" t="s">
        <v>1178</v>
      </c>
      <c r="C1387" s="46">
        <v>75784</v>
      </c>
      <c r="D1387" s="46" t="s">
        <v>2874</v>
      </c>
      <c r="E1387" s="46" t="s">
        <v>2875</v>
      </c>
      <c r="F1387" s="46" t="s">
        <v>26</v>
      </c>
      <c r="G1387" s="47">
        <v>15.71</v>
      </c>
      <c r="H1387" s="48">
        <v>51.284</v>
      </c>
      <c r="I1387" s="48">
        <v>205.136</v>
      </c>
      <c r="J1387" s="49">
        <v>4</v>
      </c>
      <c r="K1387" s="49">
        <v>0</v>
      </c>
      <c r="L1387" s="49">
        <v>4</v>
      </c>
    </row>
    <row r="1388" spans="1:12" x14ac:dyDescent="0.25">
      <c r="A1388" s="45">
        <f>C1388&amp;"."&amp;IFERROR(MID(E1388,FIND("(",E1388)+1,FIND(")",E1388)-FIND("(",E1388)-1),"")</f>
      </c>
      <c r="B1388" s="46" t="s">
        <v>1178</v>
      </c>
      <c r="C1388" s="46">
        <v>75784</v>
      </c>
      <c r="D1388" s="46" t="s">
        <v>2874</v>
      </c>
      <c r="E1388" s="46" t="s">
        <v>2876</v>
      </c>
      <c r="F1388" s="46" t="s">
        <v>26</v>
      </c>
      <c r="G1388" s="47">
        <v>15.71</v>
      </c>
      <c r="H1388" s="48">
        <v>55.706</v>
      </c>
      <c r="I1388" s="48">
        <v>222.823</v>
      </c>
      <c r="J1388" s="49">
        <v>4</v>
      </c>
      <c r="K1388" s="49">
        <v>0</v>
      </c>
      <c r="L1388" s="49">
        <v>4</v>
      </c>
    </row>
    <row r="1389" spans="1:12" x14ac:dyDescent="0.25">
      <c r="A1389" s="45">
        <f>C1389&amp;"."&amp;IFERROR(MID(E1389,FIND("(",E1389)+1,FIND(")",E1389)-FIND("(",E1389)-1),"")</f>
      </c>
      <c r="B1389" s="46" t="s">
        <v>1178</v>
      </c>
      <c r="C1389" s="46">
        <v>75785</v>
      </c>
      <c r="D1389" s="46" t="s">
        <v>2877</v>
      </c>
      <c r="E1389" s="46" t="s">
        <v>1248</v>
      </c>
      <c r="F1389" s="46" t="s">
        <v>1495</v>
      </c>
      <c r="G1389" s="47">
        <v>0.01</v>
      </c>
      <c r="H1389" s="48">
        <v>0.233</v>
      </c>
      <c r="I1389" s="48">
        <v>23.3</v>
      </c>
      <c r="J1389" s="49">
        <v>100</v>
      </c>
      <c r="K1389" s="49">
        <v>3</v>
      </c>
      <c r="L1389" s="49">
        <v>97</v>
      </c>
    </row>
    <row r="1390" spans="1:12" x14ac:dyDescent="0.25">
      <c r="A1390" s="45">
        <f>C1390&amp;"."&amp;IFERROR(MID(E1390,FIND("(",E1390)+1,FIND(")",E1390)-FIND("(",E1390)-1),"")</f>
      </c>
      <c r="B1390" s="46" t="s">
        <v>1178</v>
      </c>
      <c r="C1390" s="46">
        <v>75786</v>
      </c>
      <c r="D1390" s="46" t="s">
        <v>2878</v>
      </c>
      <c r="E1390" s="46" t="s">
        <v>1248</v>
      </c>
      <c r="F1390" s="46" t="s">
        <v>1495</v>
      </c>
      <c r="G1390" s="47">
        <v>0</v>
      </c>
      <c r="H1390" s="48">
        <v>0.257</v>
      </c>
      <c r="I1390" s="48">
        <v>41.333</v>
      </c>
      <c r="J1390" s="49">
        <v>161</v>
      </c>
      <c r="K1390" s="49">
        <v>0</v>
      </c>
      <c r="L1390" s="49">
        <v>161</v>
      </c>
    </row>
    <row r="1391" spans="1:12" x14ac:dyDescent="0.25">
      <c r="A1391" s="45">
        <f>C1391&amp;"."&amp;IFERROR(MID(E1391,FIND("(",E1391)+1,FIND(")",E1391)-FIND("(",E1391)-1),"")</f>
      </c>
      <c r="B1391" s="46" t="s">
        <v>1178</v>
      </c>
      <c r="C1391" s="46">
        <v>75787</v>
      </c>
      <c r="D1391" s="46" t="s">
        <v>2879</v>
      </c>
      <c r="E1391" s="46" t="s">
        <v>1248</v>
      </c>
      <c r="F1391" s="46" t="s">
        <v>1495</v>
      </c>
      <c r="G1391" s="47">
        <v>0</v>
      </c>
      <c r="H1391" s="48">
        <v>0.03</v>
      </c>
      <c r="I1391" s="48">
        <v>1.576</v>
      </c>
      <c r="J1391" s="49">
        <v>52</v>
      </c>
      <c r="K1391" s="49">
        <v>8</v>
      </c>
      <c r="L1391" s="49">
        <v>44</v>
      </c>
    </row>
    <row r="1392" spans="1:12" x14ac:dyDescent="0.25">
      <c r="A1392" s="45">
        <f>C1392&amp;"."&amp;IFERROR(MID(E1392,FIND("(",E1392)+1,FIND(")",E1392)-FIND("(",E1392)-1),"")</f>
      </c>
      <c r="B1392" s="46" t="s">
        <v>1178</v>
      </c>
      <c r="C1392" s="46">
        <v>75789</v>
      </c>
      <c r="D1392" s="46" t="s">
        <v>2880</v>
      </c>
      <c r="E1392" s="46" t="s">
        <v>1248</v>
      </c>
      <c r="F1392" s="46" t="s">
        <v>1495</v>
      </c>
      <c r="G1392" s="47">
        <v>0</v>
      </c>
      <c r="H1392" s="48">
        <v>1.531</v>
      </c>
      <c r="I1392" s="48">
        <v>427.236</v>
      </c>
      <c r="J1392" s="49">
        <v>279</v>
      </c>
      <c r="K1392" s="49">
        <v>95</v>
      </c>
      <c r="L1392" s="49">
        <v>184</v>
      </c>
    </row>
    <row r="1393" spans="1:12" x14ac:dyDescent="0.25">
      <c r="A1393" s="45">
        <f>C1393&amp;"."&amp;IFERROR(MID(E1393,FIND("(",E1393)+1,FIND(")",E1393)-FIND("(",E1393)-1),"")</f>
      </c>
      <c r="B1393" s="46" t="s">
        <v>1178</v>
      </c>
      <c r="C1393" s="46">
        <v>75796</v>
      </c>
      <c r="D1393" s="46" t="s">
        <v>2881</v>
      </c>
      <c r="E1393" s="46" t="s">
        <v>2882</v>
      </c>
      <c r="F1393" s="46" t="s">
        <v>26</v>
      </c>
      <c r="G1393" s="47">
        <v>0.79</v>
      </c>
      <c r="H1393" s="48">
        <v>2.63</v>
      </c>
      <c r="I1393" s="48">
        <v>26.3</v>
      </c>
      <c r="J1393" s="49">
        <v>10</v>
      </c>
      <c r="K1393" s="49">
        <v>0</v>
      </c>
      <c r="L1393" s="49">
        <v>10</v>
      </c>
    </row>
    <row r="1394" spans="1:12" x14ac:dyDescent="0.25">
      <c r="A1394" s="45">
        <f>C1394&amp;"."&amp;IFERROR(MID(E1394,FIND("(",E1394)+1,FIND(")",E1394)-FIND("(",E1394)-1),"")</f>
      </c>
      <c r="B1394" s="46" t="s">
        <v>1178</v>
      </c>
      <c r="C1394" s="46">
        <v>75796</v>
      </c>
      <c r="D1394" s="46" t="s">
        <v>2881</v>
      </c>
      <c r="E1394" s="46" t="s">
        <v>2883</v>
      </c>
      <c r="F1394" s="46" t="s">
        <v>26</v>
      </c>
      <c r="G1394" s="47">
        <v>0.79</v>
      </c>
      <c r="H1394" s="48">
        <v>2.63</v>
      </c>
      <c r="I1394" s="48">
        <v>13.15</v>
      </c>
      <c r="J1394" s="49">
        <v>5</v>
      </c>
      <c r="K1394" s="49">
        <v>0</v>
      </c>
      <c r="L1394" s="49">
        <v>5</v>
      </c>
    </row>
    <row r="1395" spans="1:12" x14ac:dyDescent="0.25">
      <c r="A1395" s="45">
        <f>C1395&amp;"."&amp;IFERROR(MID(E1395,FIND("(",E1395)+1,FIND(")",E1395)-FIND("(",E1395)-1),"")</f>
      </c>
      <c r="B1395" s="46" t="s">
        <v>1178</v>
      </c>
      <c r="C1395" s="46">
        <v>75799</v>
      </c>
      <c r="D1395" s="46" t="s">
        <v>2884</v>
      </c>
      <c r="E1395" s="46" t="s">
        <v>1248</v>
      </c>
      <c r="F1395" s="46" t="s">
        <v>26</v>
      </c>
      <c r="G1395" s="47">
        <v>0.37</v>
      </c>
      <c r="H1395" s="48">
        <v>1.427</v>
      </c>
      <c r="I1395" s="48">
        <v>4.281</v>
      </c>
      <c r="J1395" s="49">
        <v>3</v>
      </c>
      <c r="K1395" s="49">
        <v>0</v>
      </c>
      <c r="L1395" s="49">
        <v>3</v>
      </c>
    </row>
    <row r="1396" spans="1:12" x14ac:dyDescent="0.25">
      <c r="A1396" s="45">
        <f>C1396&amp;"."&amp;IFERROR(MID(E1396,FIND("(",E1396)+1,FIND(")",E1396)-FIND("(",E1396)-1),"")</f>
      </c>
      <c r="B1396" s="46" t="s">
        <v>1178</v>
      </c>
      <c r="C1396" s="46">
        <v>75802</v>
      </c>
      <c r="D1396" s="46" t="s">
        <v>2885</v>
      </c>
      <c r="E1396" s="46" t="s">
        <v>1248</v>
      </c>
      <c r="F1396" s="46" t="s">
        <v>26</v>
      </c>
      <c r="G1396" s="47">
        <v>0.7</v>
      </c>
      <c r="H1396" s="48">
        <v>2.864</v>
      </c>
      <c r="I1396" s="48">
        <v>28.637</v>
      </c>
      <c r="J1396" s="49">
        <v>10</v>
      </c>
      <c r="K1396" s="49">
        <v>0</v>
      </c>
      <c r="L1396" s="49">
        <v>10</v>
      </c>
    </row>
    <row r="1397" spans="1:12" x14ac:dyDescent="0.25">
      <c r="A1397" s="45">
        <f>C1397&amp;"."&amp;IFERROR(MID(E1397,FIND("(",E1397)+1,FIND(")",E1397)-FIND("(",E1397)-1),"")</f>
      </c>
      <c r="B1397" s="46" t="s">
        <v>1178</v>
      </c>
      <c r="C1397" s="46">
        <v>75808</v>
      </c>
      <c r="D1397" s="46" t="s">
        <v>2886</v>
      </c>
      <c r="E1397" s="46" t="s">
        <v>2887</v>
      </c>
      <c r="F1397" s="46" t="s">
        <v>26</v>
      </c>
      <c r="G1397" s="47">
        <v>10.79</v>
      </c>
      <c r="H1397" s="48">
        <v>28.486</v>
      </c>
      <c r="I1397" s="48">
        <v>56.972</v>
      </c>
      <c r="J1397" s="49">
        <v>2</v>
      </c>
      <c r="K1397" s="49">
        <v>0</v>
      </c>
      <c r="L1397" s="49">
        <v>2</v>
      </c>
    </row>
    <row r="1398" spans="1:12" x14ac:dyDescent="0.25">
      <c r="A1398" s="45">
        <f>C1398&amp;"."&amp;IFERROR(MID(E1398,FIND("(",E1398)+1,FIND(")",E1398)-FIND("(",E1398)-1),"")</f>
      </c>
      <c r="B1398" s="46" t="s">
        <v>1178</v>
      </c>
      <c r="C1398" s="46">
        <v>75812</v>
      </c>
      <c r="D1398" s="46" t="s">
        <v>2888</v>
      </c>
      <c r="E1398" s="46" t="s">
        <v>1248</v>
      </c>
      <c r="F1398" s="46" t="s">
        <v>26</v>
      </c>
      <c r="G1398" s="47">
        <v>0.32</v>
      </c>
      <c r="H1398" s="48">
        <v>0.678</v>
      </c>
      <c r="I1398" s="48">
        <v>4.743</v>
      </c>
      <c r="J1398" s="49">
        <v>7</v>
      </c>
      <c r="K1398" s="49">
        <v>0</v>
      </c>
      <c r="L1398" s="49">
        <v>7</v>
      </c>
    </row>
    <row r="1399" spans="1:12" x14ac:dyDescent="0.25">
      <c r="A1399" s="45">
        <f>C1399&amp;"."&amp;IFERROR(MID(E1399,FIND("(",E1399)+1,FIND(")",E1399)-FIND("(",E1399)-1),"")</f>
      </c>
      <c r="B1399" s="46" t="s">
        <v>1178</v>
      </c>
      <c r="C1399" s="46">
        <v>75817</v>
      </c>
      <c r="D1399" s="46" t="s">
        <v>2889</v>
      </c>
      <c r="E1399" s="46" t="s">
        <v>1248</v>
      </c>
      <c r="F1399" s="46" t="s">
        <v>26</v>
      </c>
      <c r="G1399" s="47">
        <v>0.32</v>
      </c>
      <c r="H1399" s="48">
        <v>1.084</v>
      </c>
      <c r="I1399" s="48">
        <v>7.586</v>
      </c>
      <c r="J1399" s="49">
        <v>7</v>
      </c>
      <c r="K1399" s="49">
        <v>0</v>
      </c>
      <c r="L1399" s="49">
        <v>7</v>
      </c>
    </row>
    <row r="1400" spans="1:12" x14ac:dyDescent="0.25">
      <c r="A1400" s="45">
        <f>C1400&amp;"."&amp;IFERROR(MID(E1400,FIND("(",E1400)+1,FIND(")",E1400)-FIND("(",E1400)-1),"")</f>
      </c>
      <c r="B1400" s="46" t="s">
        <v>1178</v>
      </c>
      <c r="C1400" s="46">
        <v>75819</v>
      </c>
      <c r="D1400" s="46" t="s">
        <v>2890</v>
      </c>
      <c r="E1400" s="46" t="s">
        <v>2891</v>
      </c>
      <c r="F1400" s="46" t="s">
        <v>26</v>
      </c>
      <c r="G1400" s="47">
        <v>3.42</v>
      </c>
      <c r="H1400" s="48">
        <v>8.398</v>
      </c>
      <c r="I1400" s="48">
        <v>33.592</v>
      </c>
      <c r="J1400" s="49">
        <v>4</v>
      </c>
      <c r="K1400" s="49">
        <v>0</v>
      </c>
      <c r="L1400" s="49">
        <v>4</v>
      </c>
    </row>
    <row r="1401" spans="1:12" x14ac:dyDescent="0.25">
      <c r="A1401" s="45">
        <f>C1401&amp;"."&amp;IFERROR(MID(E1401,FIND("(",E1401)+1,FIND(")",E1401)-FIND("(",E1401)-1),"")</f>
      </c>
      <c r="B1401" s="46" t="s">
        <v>1178</v>
      </c>
      <c r="C1401" s="46">
        <v>75820</v>
      </c>
      <c r="D1401" s="46" t="s">
        <v>2892</v>
      </c>
      <c r="E1401" s="46" t="s">
        <v>2893</v>
      </c>
      <c r="F1401" s="46" t="s">
        <v>26</v>
      </c>
      <c r="G1401" s="47">
        <v>3.42</v>
      </c>
      <c r="H1401" s="48">
        <v>9.027</v>
      </c>
      <c r="I1401" s="48">
        <v>36.109</v>
      </c>
      <c r="J1401" s="49">
        <v>4</v>
      </c>
      <c r="K1401" s="49">
        <v>0</v>
      </c>
      <c r="L1401" s="49">
        <v>4</v>
      </c>
    </row>
    <row r="1402" spans="1:12" x14ac:dyDescent="0.25">
      <c r="A1402" s="45">
        <f>C1402&amp;"."&amp;IFERROR(MID(E1402,FIND("(",E1402)+1,FIND(")",E1402)-FIND("(",E1402)-1),"")</f>
      </c>
      <c r="B1402" s="46" t="s">
        <v>1178</v>
      </c>
      <c r="C1402" s="46">
        <v>75820</v>
      </c>
      <c r="D1402" s="46" t="s">
        <v>2892</v>
      </c>
      <c r="E1402" s="46" t="s">
        <v>2894</v>
      </c>
      <c r="F1402" s="46" t="s">
        <v>26</v>
      </c>
      <c r="G1402" s="47">
        <v>3.42</v>
      </c>
      <c r="H1402" s="48">
        <v>9.1</v>
      </c>
      <c r="I1402" s="48">
        <v>27.3</v>
      </c>
      <c r="J1402" s="49">
        <v>3</v>
      </c>
      <c r="K1402" s="49">
        <v>0</v>
      </c>
      <c r="L1402" s="49">
        <v>3</v>
      </c>
    </row>
    <row r="1403" spans="1:12" x14ac:dyDescent="0.25">
      <c r="A1403" s="45">
        <f>C1403&amp;"."&amp;IFERROR(MID(E1403,FIND("(",E1403)+1,FIND(")",E1403)-FIND("(",E1403)-1),"")</f>
      </c>
      <c r="B1403" s="46" t="s">
        <v>1178</v>
      </c>
      <c r="C1403" s="46">
        <v>75823</v>
      </c>
      <c r="D1403" s="46" t="s">
        <v>2895</v>
      </c>
      <c r="E1403" s="46" t="s">
        <v>2896</v>
      </c>
      <c r="F1403" s="46" t="s">
        <v>26</v>
      </c>
      <c r="G1403" s="47">
        <v>3.7</v>
      </c>
      <c r="H1403" s="48">
        <v>9.076</v>
      </c>
      <c r="I1403" s="48">
        <v>9.076</v>
      </c>
      <c r="J1403" s="49">
        <v>1</v>
      </c>
      <c r="K1403" s="49">
        <v>0</v>
      </c>
      <c r="L1403" s="49">
        <v>1</v>
      </c>
    </row>
    <row r="1404" spans="1:12" x14ac:dyDescent="0.25">
      <c r="A1404" s="45">
        <f>C1404&amp;"."&amp;IFERROR(MID(E1404,FIND("(",E1404)+1,FIND(")",E1404)-FIND("(",E1404)-1),"")</f>
      </c>
      <c r="B1404" s="46" t="s">
        <v>1178</v>
      </c>
      <c r="C1404" s="46">
        <v>75825</v>
      </c>
      <c r="D1404" s="46" t="s">
        <v>2897</v>
      </c>
      <c r="E1404" s="46" t="s">
        <v>2898</v>
      </c>
      <c r="F1404" s="46" t="s">
        <v>26</v>
      </c>
      <c r="G1404" s="47">
        <v>3.61</v>
      </c>
      <c r="H1404" s="48">
        <v>9.548</v>
      </c>
      <c r="I1404" s="48">
        <v>9.548</v>
      </c>
      <c r="J1404" s="49">
        <v>1</v>
      </c>
      <c r="K1404" s="49">
        <v>0</v>
      </c>
      <c r="L1404" s="49">
        <v>1</v>
      </c>
    </row>
    <row r="1405" spans="1:12" x14ac:dyDescent="0.25">
      <c r="A1405" s="45">
        <f>C1405&amp;"."&amp;IFERROR(MID(E1405,FIND("(",E1405)+1,FIND(")",E1405)-FIND("(",E1405)-1),"")</f>
      </c>
      <c r="B1405" s="46" t="s">
        <v>1178</v>
      </c>
      <c r="C1405" s="46">
        <v>75825</v>
      </c>
      <c r="D1405" s="46" t="s">
        <v>2897</v>
      </c>
      <c r="E1405" s="46" t="s">
        <v>2899</v>
      </c>
      <c r="F1405" s="46" t="s">
        <v>26</v>
      </c>
      <c r="G1405" s="47">
        <v>3.61</v>
      </c>
      <c r="H1405" s="48">
        <v>9.62</v>
      </c>
      <c r="I1405" s="48">
        <v>19.241</v>
      </c>
      <c r="J1405" s="49">
        <v>2</v>
      </c>
      <c r="K1405" s="49">
        <v>0</v>
      </c>
      <c r="L1405" s="49">
        <v>2</v>
      </c>
    </row>
    <row r="1406" spans="1:12" x14ac:dyDescent="0.25">
      <c r="A1406" s="45">
        <f>C1406&amp;"."&amp;IFERROR(MID(E1406,FIND("(",E1406)+1,FIND(")",E1406)-FIND("(",E1406)-1),"")</f>
      </c>
      <c r="B1406" s="46" t="s">
        <v>1178</v>
      </c>
      <c r="C1406" s="46">
        <v>75827</v>
      </c>
      <c r="D1406" s="46" t="s">
        <v>2900</v>
      </c>
      <c r="E1406" s="46" t="s">
        <v>2901</v>
      </c>
      <c r="F1406" s="46" t="s">
        <v>26</v>
      </c>
      <c r="G1406" s="47">
        <v>0.37</v>
      </c>
      <c r="H1406" s="48">
        <v>1.974</v>
      </c>
      <c r="I1406" s="48">
        <v>7.896</v>
      </c>
      <c r="J1406" s="49">
        <v>4</v>
      </c>
      <c r="K1406" s="49">
        <v>1</v>
      </c>
      <c r="L1406" s="49">
        <v>3</v>
      </c>
    </row>
    <row r="1407" spans="1:12" x14ac:dyDescent="0.25">
      <c r="A1407" s="45">
        <f>C1407&amp;"."&amp;IFERROR(MID(E1407,FIND("(",E1407)+1,FIND(")",E1407)-FIND("(",E1407)-1),"")</f>
      </c>
      <c r="B1407" s="46" t="s">
        <v>1178</v>
      </c>
      <c r="C1407" s="46">
        <v>75827</v>
      </c>
      <c r="D1407" s="46" t="s">
        <v>2900</v>
      </c>
      <c r="E1407" s="46" t="s">
        <v>2902</v>
      </c>
      <c r="F1407" s="46" t="s">
        <v>26</v>
      </c>
      <c r="G1407" s="47">
        <v>0.37</v>
      </c>
      <c r="H1407" s="48">
        <v>1.5</v>
      </c>
      <c r="I1407" s="48">
        <v>10.5</v>
      </c>
      <c r="J1407" s="49">
        <v>7</v>
      </c>
      <c r="K1407" s="49">
        <v>0</v>
      </c>
      <c r="L1407" s="49">
        <v>7</v>
      </c>
    </row>
    <row r="1408" spans="1:12" x14ac:dyDescent="0.25">
      <c r="A1408" s="45">
        <f>C1408&amp;"."&amp;IFERROR(MID(E1408,FIND("(",E1408)+1,FIND(")",E1408)-FIND("(",E1408)-1),"")</f>
      </c>
      <c r="B1408" s="46" t="s">
        <v>1178</v>
      </c>
      <c r="C1408" s="46">
        <v>75827</v>
      </c>
      <c r="D1408" s="46" t="s">
        <v>2900</v>
      </c>
      <c r="E1408" s="46" t="s">
        <v>2903</v>
      </c>
      <c r="F1408" s="46" t="s">
        <v>26</v>
      </c>
      <c r="G1408" s="47">
        <v>0.37</v>
      </c>
      <c r="H1408" s="48">
        <v>2.183</v>
      </c>
      <c r="I1408" s="48">
        <v>19.651</v>
      </c>
      <c r="J1408" s="49">
        <v>9</v>
      </c>
      <c r="K1408" s="49">
        <v>0</v>
      </c>
      <c r="L1408" s="49">
        <v>9</v>
      </c>
    </row>
    <row r="1409" spans="1:12" x14ac:dyDescent="0.25">
      <c r="A1409" s="45">
        <f>C1409&amp;"."&amp;IFERROR(MID(E1409,FIND("(",E1409)+1,FIND(")",E1409)-FIND("(",E1409)-1),"")</f>
      </c>
      <c r="B1409" s="46" t="s">
        <v>1178</v>
      </c>
      <c r="C1409" s="46">
        <v>75831</v>
      </c>
      <c r="D1409" s="46" t="s">
        <v>2904</v>
      </c>
      <c r="E1409" s="46" t="s">
        <v>2905</v>
      </c>
      <c r="F1409" s="46" t="s">
        <v>26</v>
      </c>
      <c r="G1409" s="47">
        <v>0.7</v>
      </c>
      <c r="H1409" s="48">
        <v>5.081</v>
      </c>
      <c r="I1409" s="48">
        <v>20.323</v>
      </c>
      <c r="J1409" s="49">
        <v>4</v>
      </c>
      <c r="K1409" s="49">
        <v>0</v>
      </c>
      <c r="L1409" s="49">
        <v>4</v>
      </c>
    </row>
    <row r="1410" spans="1:12" x14ac:dyDescent="0.25">
      <c r="A1410" s="45">
        <f>C1410&amp;"."&amp;IFERROR(MID(E1410,FIND("(",E1410)+1,FIND(")",E1410)-FIND("(",E1410)-1),"")</f>
      </c>
      <c r="B1410" s="46" t="s">
        <v>1178</v>
      </c>
      <c r="C1410" s="46">
        <v>75831</v>
      </c>
      <c r="D1410" s="46" t="s">
        <v>2904</v>
      </c>
      <c r="E1410" s="46" t="s">
        <v>2906</v>
      </c>
      <c r="F1410" s="46" t="s">
        <v>26</v>
      </c>
      <c r="G1410" s="47">
        <v>0.7</v>
      </c>
      <c r="H1410" s="48">
        <v>3.454</v>
      </c>
      <c r="I1410" s="48">
        <v>17.271</v>
      </c>
      <c r="J1410" s="49">
        <v>5</v>
      </c>
      <c r="K1410" s="49">
        <v>1</v>
      </c>
      <c r="L1410" s="49">
        <v>4</v>
      </c>
    </row>
    <row r="1411" spans="1:12" x14ac:dyDescent="0.25">
      <c r="A1411" s="45">
        <f>C1411&amp;"."&amp;IFERROR(MID(E1411,FIND("(",E1411)+1,FIND(")",E1411)-FIND("(",E1411)-1),"")</f>
      </c>
      <c r="B1411" s="46" t="s">
        <v>1178</v>
      </c>
      <c r="C1411" s="46">
        <v>75831</v>
      </c>
      <c r="D1411" s="46" t="s">
        <v>2904</v>
      </c>
      <c r="E1411" s="46" t="s">
        <v>2907</v>
      </c>
      <c r="F1411" s="46" t="s">
        <v>26</v>
      </c>
      <c r="G1411" s="47">
        <v>0.7</v>
      </c>
      <c r="H1411" s="48">
        <v>2.747</v>
      </c>
      <c r="I1411" s="48">
        <v>16.48</v>
      </c>
      <c r="J1411" s="49">
        <v>6</v>
      </c>
      <c r="K1411" s="49">
        <v>1</v>
      </c>
      <c r="L1411" s="49">
        <v>5</v>
      </c>
    </row>
    <row r="1412" spans="1:12" x14ac:dyDescent="0.25">
      <c r="A1412" s="45">
        <f>C1412&amp;"."&amp;IFERROR(MID(E1412,FIND("(",E1412)+1,FIND(")",E1412)-FIND("(",E1412)-1),"")</f>
      </c>
      <c r="B1412" s="46" t="s">
        <v>1178</v>
      </c>
      <c r="C1412" s="46">
        <v>75833</v>
      </c>
      <c r="D1412" s="46" t="s">
        <v>2908</v>
      </c>
      <c r="E1412" s="46" t="s">
        <v>2909</v>
      </c>
      <c r="F1412" s="46" t="s">
        <v>25</v>
      </c>
      <c r="G1412" s="47">
        <v>10.47</v>
      </c>
      <c r="H1412" s="48">
        <v>73.576</v>
      </c>
      <c r="I1412" s="48">
        <v>1103.642</v>
      </c>
      <c r="J1412" s="49">
        <v>15</v>
      </c>
      <c r="K1412" s="49">
        <v>14</v>
      </c>
      <c r="L1412" s="49">
        <v>1</v>
      </c>
    </row>
    <row r="1413" spans="1:12" x14ac:dyDescent="0.25">
      <c r="A1413" s="45">
        <f>C1413&amp;"."&amp;IFERROR(MID(E1413,FIND("(",E1413)+1,FIND(")",E1413)-FIND("(",E1413)-1),"")</f>
      </c>
      <c r="B1413" s="46" t="s">
        <v>1178</v>
      </c>
      <c r="C1413" s="46">
        <v>75833</v>
      </c>
      <c r="D1413" s="46" t="s">
        <v>2908</v>
      </c>
      <c r="E1413" s="46" t="s">
        <v>2910</v>
      </c>
      <c r="F1413" s="46" t="s">
        <v>25</v>
      </c>
      <c r="G1413" s="47">
        <v>10.47</v>
      </c>
      <c r="H1413" s="48">
        <v>35.129</v>
      </c>
      <c r="I1413" s="48">
        <v>1089.005</v>
      </c>
      <c r="J1413" s="49">
        <v>31</v>
      </c>
      <c r="K1413" s="49">
        <v>0</v>
      </c>
      <c r="L1413" s="49">
        <v>31</v>
      </c>
    </row>
    <row r="1414" spans="1:12" x14ac:dyDescent="0.25">
      <c r="A1414" s="45">
        <f>C1414&amp;"."&amp;IFERROR(MID(E1414,FIND("(",E1414)+1,FIND(")",E1414)-FIND("(",E1414)-1),"")</f>
      </c>
      <c r="B1414" s="46" t="s">
        <v>1178</v>
      </c>
      <c r="C1414" s="46">
        <v>75835</v>
      </c>
      <c r="D1414" s="46" t="s">
        <v>2911</v>
      </c>
      <c r="E1414" s="46" t="s">
        <v>2912</v>
      </c>
      <c r="F1414" s="46" t="s">
        <v>26</v>
      </c>
      <c r="G1414" s="47">
        <v>4.79</v>
      </c>
      <c r="H1414" s="48">
        <v>10.452</v>
      </c>
      <c r="I1414" s="48">
        <v>20.904</v>
      </c>
      <c r="J1414" s="49">
        <v>2</v>
      </c>
      <c r="K1414" s="49">
        <v>0</v>
      </c>
      <c r="L1414" s="49">
        <v>2</v>
      </c>
    </row>
    <row r="1415" spans="1:12" x14ac:dyDescent="0.25">
      <c r="A1415" s="45">
        <f>C1415&amp;"."&amp;IFERROR(MID(E1415,FIND("(",E1415)+1,FIND(")",E1415)-FIND("(",E1415)-1),"")</f>
      </c>
      <c r="B1415" s="46" t="s">
        <v>1178</v>
      </c>
      <c r="C1415" s="46">
        <v>75835</v>
      </c>
      <c r="D1415" s="46" t="s">
        <v>2911</v>
      </c>
      <c r="E1415" s="46" t="s">
        <v>2913</v>
      </c>
      <c r="F1415" s="46" t="s">
        <v>26</v>
      </c>
      <c r="G1415" s="47">
        <v>4.79</v>
      </c>
      <c r="H1415" s="48">
        <v>11.234</v>
      </c>
      <c r="I1415" s="48">
        <v>157.274</v>
      </c>
      <c r="J1415" s="49">
        <v>14</v>
      </c>
      <c r="K1415" s="49">
        <v>5</v>
      </c>
      <c r="L1415" s="49">
        <v>9</v>
      </c>
    </row>
    <row r="1416" spans="1:12" x14ac:dyDescent="0.25">
      <c r="A1416" s="45">
        <f>C1416&amp;"."&amp;IFERROR(MID(E1416,FIND("(",E1416)+1,FIND(")",E1416)-FIND("(",E1416)-1),"")</f>
      </c>
      <c r="B1416" s="46" t="s">
        <v>1178</v>
      </c>
      <c r="C1416" s="46">
        <v>75835</v>
      </c>
      <c r="D1416" s="46" t="s">
        <v>2911</v>
      </c>
      <c r="E1416" s="46" t="s">
        <v>2914</v>
      </c>
      <c r="F1416" s="46" t="s">
        <v>26</v>
      </c>
      <c r="G1416" s="47">
        <v>4.79</v>
      </c>
      <c r="H1416" s="48">
        <v>18.862</v>
      </c>
      <c r="I1416" s="48">
        <v>56.585</v>
      </c>
      <c r="J1416" s="49">
        <v>3</v>
      </c>
      <c r="K1416" s="49">
        <v>1</v>
      </c>
      <c r="L1416" s="49">
        <v>2</v>
      </c>
    </row>
    <row r="1417" spans="1:12" x14ac:dyDescent="0.25">
      <c r="A1417" s="45">
        <f>C1417&amp;"."&amp;IFERROR(MID(E1417,FIND("(",E1417)+1,FIND(")",E1417)-FIND("(",E1417)-1),"")</f>
      </c>
      <c r="B1417" s="46" t="s">
        <v>1178</v>
      </c>
      <c r="C1417" s="46">
        <v>75836</v>
      </c>
      <c r="D1417" s="46" t="s">
        <v>2915</v>
      </c>
      <c r="E1417" s="46" t="s">
        <v>2916</v>
      </c>
      <c r="F1417" s="46" t="s">
        <v>26</v>
      </c>
      <c r="G1417" s="47">
        <v>5.09</v>
      </c>
      <c r="H1417" s="48">
        <v>18.81</v>
      </c>
      <c r="I1417" s="48">
        <v>18.81</v>
      </c>
      <c r="J1417" s="49">
        <v>1</v>
      </c>
      <c r="K1417" s="49">
        <v>1</v>
      </c>
      <c r="L1417" s="49">
        <v>0</v>
      </c>
    </row>
    <row r="1418" spans="1:12" x14ac:dyDescent="0.25">
      <c r="A1418" s="45">
        <f>C1418&amp;"."&amp;IFERROR(MID(E1418,FIND("(",E1418)+1,FIND(")",E1418)-FIND("(",E1418)-1),"")</f>
      </c>
      <c r="B1418" s="46" t="s">
        <v>1178</v>
      </c>
      <c r="C1418" s="46">
        <v>75836</v>
      </c>
      <c r="D1418" s="46" t="s">
        <v>2915</v>
      </c>
      <c r="E1418" s="46" t="s">
        <v>2917</v>
      </c>
      <c r="F1418" s="46" t="s">
        <v>26</v>
      </c>
      <c r="G1418" s="47">
        <v>5.09</v>
      </c>
      <c r="H1418" s="48">
        <v>8.176</v>
      </c>
      <c r="I1418" s="48">
        <v>163.529</v>
      </c>
      <c r="J1418" s="49">
        <v>20</v>
      </c>
      <c r="K1418" s="49">
        <v>16</v>
      </c>
      <c r="L1418" s="49">
        <v>4</v>
      </c>
    </row>
    <row r="1419" spans="1:12" x14ac:dyDescent="0.25">
      <c r="A1419" s="45">
        <f>C1419&amp;"."&amp;IFERROR(MID(E1419,FIND("(",E1419)+1,FIND(")",E1419)-FIND("(",E1419)-1),"")</f>
      </c>
      <c r="B1419" s="46" t="s">
        <v>1178</v>
      </c>
      <c r="C1419" s="46">
        <v>75836</v>
      </c>
      <c r="D1419" s="46" t="s">
        <v>2915</v>
      </c>
      <c r="E1419" s="46" t="s">
        <v>2918</v>
      </c>
      <c r="F1419" s="46" t="s">
        <v>26</v>
      </c>
      <c r="G1419" s="47">
        <v>5.09</v>
      </c>
      <c r="H1419" s="48">
        <v>12.72</v>
      </c>
      <c r="I1419" s="48">
        <v>12.72</v>
      </c>
      <c r="J1419" s="49">
        <v>1</v>
      </c>
      <c r="K1419" s="49">
        <v>0</v>
      </c>
      <c r="L1419" s="49">
        <v>1</v>
      </c>
    </row>
    <row r="1420" spans="1:12" x14ac:dyDescent="0.25">
      <c r="A1420" s="45">
        <f>C1420&amp;"."&amp;IFERROR(MID(E1420,FIND("(",E1420)+1,FIND(")",E1420)-FIND("(",E1420)-1),"")</f>
      </c>
      <c r="B1420" s="46" t="s">
        <v>1178</v>
      </c>
      <c r="C1420" s="46">
        <v>75842</v>
      </c>
      <c r="D1420" s="46" t="s">
        <v>2919</v>
      </c>
      <c r="E1420" s="46" t="s">
        <v>2920</v>
      </c>
      <c r="F1420" s="46" t="s">
        <v>26</v>
      </c>
      <c r="G1420" s="47">
        <v>0.79</v>
      </c>
      <c r="H1420" s="48">
        <v>4.668</v>
      </c>
      <c r="I1420" s="48">
        <v>270.737</v>
      </c>
      <c r="J1420" s="49">
        <v>58</v>
      </c>
      <c r="K1420" s="49">
        <v>29</v>
      </c>
      <c r="L1420" s="49">
        <v>29</v>
      </c>
    </row>
    <row r="1421" spans="1:12" x14ac:dyDescent="0.25">
      <c r="A1421" s="45">
        <f>C1421&amp;"."&amp;IFERROR(MID(E1421,FIND("(",E1421)+1,FIND(")",E1421)-FIND("(",E1421)-1),"")</f>
      </c>
      <c r="B1421" s="46" t="s">
        <v>1178</v>
      </c>
      <c r="C1421" s="46">
        <v>75842</v>
      </c>
      <c r="D1421" s="46" t="s">
        <v>2919</v>
      </c>
      <c r="E1421" s="46" t="s">
        <v>2921</v>
      </c>
      <c r="F1421" s="46" t="s">
        <v>26</v>
      </c>
      <c r="G1421" s="47">
        <v>0.79</v>
      </c>
      <c r="H1421" s="48">
        <v>5.139</v>
      </c>
      <c r="I1421" s="48">
        <v>149.027</v>
      </c>
      <c r="J1421" s="49">
        <v>29</v>
      </c>
      <c r="K1421" s="49">
        <v>5</v>
      </c>
      <c r="L1421" s="49">
        <v>24</v>
      </c>
    </row>
    <row r="1422" spans="1:12" x14ac:dyDescent="0.25">
      <c r="A1422" s="45">
        <f>C1422&amp;"."&amp;IFERROR(MID(E1422,FIND("(",E1422)+1,FIND(")",E1422)-FIND("(",E1422)-1),"")</f>
      </c>
      <c r="B1422" s="46" t="s">
        <v>1178</v>
      </c>
      <c r="C1422" s="46">
        <v>75842</v>
      </c>
      <c r="D1422" s="46" t="s">
        <v>2919</v>
      </c>
      <c r="E1422" s="46" t="s">
        <v>2922</v>
      </c>
      <c r="F1422" s="46" t="s">
        <v>26</v>
      </c>
      <c r="G1422" s="47">
        <v>0.79</v>
      </c>
      <c r="H1422" s="48">
        <v>2.444</v>
      </c>
      <c r="I1422" s="48">
        <v>12.22</v>
      </c>
      <c r="J1422" s="49">
        <v>5</v>
      </c>
      <c r="K1422" s="49">
        <v>4</v>
      </c>
      <c r="L1422" s="49">
        <v>1</v>
      </c>
    </row>
    <row r="1423" spans="1:12" x14ac:dyDescent="0.25">
      <c r="A1423" s="45">
        <f>C1423&amp;"."&amp;IFERROR(MID(E1423,FIND("(",E1423)+1,FIND(")",E1423)-FIND("(",E1423)-1),"")</f>
      </c>
      <c r="B1423" s="46" t="s">
        <v>1178</v>
      </c>
      <c r="C1423" s="46">
        <v>75842</v>
      </c>
      <c r="D1423" s="46" t="s">
        <v>2919</v>
      </c>
      <c r="E1423" s="46" t="s">
        <v>2923</v>
      </c>
      <c r="F1423" s="46" t="s">
        <v>26</v>
      </c>
      <c r="G1423" s="47">
        <v>0.79</v>
      </c>
      <c r="H1423" s="48">
        <v>4.403</v>
      </c>
      <c r="I1423" s="48">
        <v>8.807</v>
      </c>
      <c r="J1423" s="49">
        <v>2</v>
      </c>
      <c r="K1423" s="49">
        <v>1</v>
      </c>
      <c r="L1423" s="49">
        <v>1</v>
      </c>
    </row>
    <row r="1424" spans="1:12" x14ac:dyDescent="0.25">
      <c r="A1424" s="45">
        <f>C1424&amp;"."&amp;IFERROR(MID(E1424,FIND("(",E1424)+1,FIND(")",E1424)-FIND("(",E1424)-1),"")</f>
      </c>
      <c r="B1424" s="46" t="s">
        <v>1178</v>
      </c>
      <c r="C1424" s="46">
        <v>75847</v>
      </c>
      <c r="D1424" s="46" t="s">
        <v>2924</v>
      </c>
      <c r="E1424" s="46" t="s">
        <v>2925</v>
      </c>
      <c r="F1424" s="46" t="s">
        <v>26</v>
      </c>
      <c r="G1424" s="47">
        <v>1.26</v>
      </c>
      <c r="H1424" s="48">
        <v>20.117</v>
      </c>
      <c r="I1424" s="48">
        <v>40.235</v>
      </c>
      <c r="J1424" s="49">
        <v>2</v>
      </c>
      <c r="K1424" s="49">
        <v>0</v>
      </c>
      <c r="L1424" s="49">
        <v>2</v>
      </c>
    </row>
    <row r="1425" spans="1:12" x14ac:dyDescent="0.25">
      <c r="A1425" s="45">
        <f>C1425&amp;"."&amp;IFERROR(MID(E1425,FIND("(",E1425)+1,FIND(")",E1425)-FIND("(",E1425)-1),"")</f>
      </c>
      <c r="B1425" s="46" t="s">
        <v>1178</v>
      </c>
      <c r="C1425" s="46">
        <v>75847</v>
      </c>
      <c r="D1425" s="46" t="s">
        <v>2924</v>
      </c>
      <c r="E1425" s="46" t="s">
        <v>2926</v>
      </c>
      <c r="F1425" s="46" t="s">
        <v>26</v>
      </c>
      <c r="G1425" s="47">
        <v>1.26</v>
      </c>
      <c r="H1425" s="48">
        <v>10.655</v>
      </c>
      <c r="I1425" s="48">
        <v>31.966</v>
      </c>
      <c r="J1425" s="49">
        <v>3</v>
      </c>
      <c r="K1425" s="49">
        <v>3</v>
      </c>
      <c r="L1425" s="49">
        <v>0</v>
      </c>
    </row>
    <row r="1426" spans="1:12" x14ac:dyDescent="0.25">
      <c r="A1426" s="45">
        <f>C1426&amp;"."&amp;IFERROR(MID(E1426,FIND("(",E1426)+1,FIND(")",E1426)-FIND("(",E1426)-1),"")</f>
      </c>
      <c r="B1426" s="46" t="s">
        <v>1178</v>
      </c>
      <c r="C1426" s="46">
        <v>75847</v>
      </c>
      <c r="D1426" s="46" t="s">
        <v>2924</v>
      </c>
      <c r="E1426" s="46" t="s">
        <v>2927</v>
      </c>
      <c r="F1426" s="46" t="s">
        <v>26</v>
      </c>
      <c r="G1426" s="47">
        <v>1.26</v>
      </c>
      <c r="H1426" s="48">
        <v>14.955</v>
      </c>
      <c r="I1426" s="48">
        <v>59.82</v>
      </c>
      <c r="J1426" s="49">
        <v>4</v>
      </c>
      <c r="K1426" s="49">
        <v>1</v>
      </c>
      <c r="L1426" s="49">
        <v>3</v>
      </c>
    </row>
    <row r="1427" spans="1:12" x14ac:dyDescent="0.25">
      <c r="A1427" s="45">
        <f>C1427&amp;"."&amp;IFERROR(MID(E1427,FIND("(",E1427)+1,FIND(")",E1427)-FIND("(",E1427)-1),"")</f>
      </c>
      <c r="B1427" s="46" t="s">
        <v>1178</v>
      </c>
      <c r="C1427" s="46">
        <v>75847</v>
      </c>
      <c r="D1427" s="46" t="s">
        <v>2924</v>
      </c>
      <c r="E1427" s="46" t="s">
        <v>2928</v>
      </c>
      <c r="F1427" s="46" t="s">
        <v>26</v>
      </c>
      <c r="G1427" s="47">
        <v>1.26</v>
      </c>
      <c r="H1427" s="48">
        <v>10.835</v>
      </c>
      <c r="I1427" s="48">
        <v>43.341</v>
      </c>
      <c r="J1427" s="49">
        <v>4</v>
      </c>
      <c r="K1427" s="49">
        <v>3</v>
      </c>
      <c r="L1427" s="49">
        <v>1</v>
      </c>
    </row>
    <row r="1428" spans="1:12" x14ac:dyDescent="0.25">
      <c r="A1428" s="45">
        <f>C1428&amp;"."&amp;IFERROR(MID(E1428,FIND("(",E1428)+1,FIND(")",E1428)-FIND("(",E1428)-1),"")</f>
      </c>
      <c r="B1428" s="46" t="s">
        <v>1178</v>
      </c>
      <c r="C1428" s="46">
        <v>75851</v>
      </c>
      <c r="D1428" s="46" t="s">
        <v>2929</v>
      </c>
      <c r="E1428" s="46" t="s">
        <v>2930</v>
      </c>
      <c r="F1428" s="46" t="s">
        <v>26</v>
      </c>
      <c r="G1428" s="47">
        <v>0.7</v>
      </c>
      <c r="H1428" s="48">
        <v>16.496</v>
      </c>
      <c r="I1428" s="48">
        <v>65.986</v>
      </c>
      <c r="J1428" s="49">
        <v>4</v>
      </c>
      <c r="K1428" s="49">
        <v>2</v>
      </c>
      <c r="L1428" s="49">
        <v>2</v>
      </c>
    </row>
    <row r="1429" spans="1:12" x14ac:dyDescent="0.25">
      <c r="A1429" s="45">
        <f>C1429&amp;"."&amp;IFERROR(MID(E1429,FIND("(",E1429)+1,FIND(")",E1429)-FIND("(",E1429)-1),"")</f>
      </c>
      <c r="B1429" s="46" t="s">
        <v>1178</v>
      </c>
      <c r="C1429" s="46">
        <v>75851</v>
      </c>
      <c r="D1429" s="46" t="s">
        <v>2929</v>
      </c>
      <c r="E1429" s="46" t="s">
        <v>2931</v>
      </c>
      <c r="F1429" s="46" t="s">
        <v>26</v>
      </c>
      <c r="G1429" s="47">
        <v>0.7</v>
      </c>
      <c r="H1429" s="48">
        <v>19.635</v>
      </c>
      <c r="I1429" s="48">
        <v>39.27</v>
      </c>
      <c r="J1429" s="49">
        <v>2</v>
      </c>
      <c r="K1429" s="49">
        <v>0</v>
      </c>
      <c r="L1429" s="49">
        <v>2</v>
      </c>
    </row>
    <row r="1430" spans="1:12" x14ac:dyDescent="0.25">
      <c r="A1430" s="45">
        <f>C1430&amp;"."&amp;IFERROR(MID(E1430,FIND("(",E1430)+1,FIND(")",E1430)-FIND("(",E1430)-1),"")</f>
      </c>
      <c r="B1430" s="46" t="s">
        <v>1178</v>
      </c>
      <c r="C1430" s="46">
        <v>75851</v>
      </c>
      <c r="D1430" s="46" t="s">
        <v>2929</v>
      </c>
      <c r="E1430" s="46" t="s">
        <v>2932</v>
      </c>
      <c r="F1430" s="46" t="s">
        <v>26</v>
      </c>
      <c r="G1430" s="47">
        <v>0.7</v>
      </c>
      <c r="H1430" s="48">
        <v>16.557</v>
      </c>
      <c r="I1430" s="48">
        <v>66.228</v>
      </c>
      <c r="J1430" s="49">
        <v>4</v>
      </c>
      <c r="K1430" s="49">
        <v>1</v>
      </c>
      <c r="L1430" s="49">
        <v>3</v>
      </c>
    </row>
    <row r="1431" spans="1:12" x14ac:dyDescent="0.25">
      <c r="A1431" s="45">
        <f>C1431&amp;"."&amp;IFERROR(MID(E1431,FIND("(",E1431)+1,FIND(")",E1431)-FIND("(",E1431)-1),"")</f>
      </c>
      <c r="B1431" s="46" t="s">
        <v>1178</v>
      </c>
      <c r="C1431" s="46">
        <v>75858</v>
      </c>
      <c r="D1431" s="46" t="s">
        <v>2933</v>
      </c>
      <c r="E1431" s="46" t="s">
        <v>2934</v>
      </c>
      <c r="F1431" s="46" t="s">
        <v>26</v>
      </c>
      <c r="G1431" s="47">
        <v>12.87</v>
      </c>
      <c r="H1431" s="48">
        <v>34.15</v>
      </c>
      <c r="I1431" s="48">
        <v>34.15</v>
      </c>
      <c r="J1431" s="49">
        <v>1</v>
      </c>
      <c r="K1431" s="49">
        <v>0</v>
      </c>
      <c r="L1431" s="49">
        <v>1</v>
      </c>
    </row>
    <row r="1432" spans="1:12" x14ac:dyDescent="0.25">
      <c r="A1432" s="45">
        <f>C1432&amp;"."&amp;IFERROR(MID(E1432,FIND("(",E1432)+1,FIND(")",E1432)-FIND("(",E1432)-1),"")</f>
      </c>
      <c r="B1432" s="46" t="s">
        <v>1178</v>
      </c>
      <c r="C1432" s="46">
        <v>75862</v>
      </c>
      <c r="D1432" s="46" t="s">
        <v>2935</v>
      </c>
      <c r="E1432" s="46" t="s">
        <v>2936</v>
      </c>
      <c r="F1432" s="46" t="s">
        <v>26</v>
      </c>
      <c r="G1432" s="47">
        <v>12.87</v>
      </c>
      <c r="H1432" s="48">
        <v>33.82</v>
      </c>
      <c r="I1432" s="48">
        <v>33.82</v>
      </c>
      <c r="J1432" s="49">
        <v>1</v>
      </c>
      <c r="K1432" s="49">
        <v>0</v>
      </c>
      <c r="L1432" s="49">
        <v>1</v>
      </c>
    </row>
    <row r="1433" spans="1:12" x14ac:dyDescent="0.25">
      <c r="A1433" s="45">
        <f>C1433&amp;"."&amp;IFERROR(MID(E1433,FIND("(",E1433)+1,FIND(")",E1433)-FIND("(",E1433)-1),"")</f>
      </c>
      <c r="B1433" s="46" t="s">
        <v>1178</v>
      </c>
      <c r="C1433" s="46">
        <v>75864</v>
      </c>
      <c r="D1433" s="46" t="s">
        <v>2937</v>
      </c>
      <c r="E1433" s="46" t="s">
        <v>2938</v>
      </c>
      <c r="F1433" s="46" t="s">
        <v>26</v>
      </c>
      <c r="G1433" s="47">
        <v>15.7</v>
      </c>
      <c r="H1433" s="48">
        <v>53.239</v>
      </c>
      <c r="I1433" s="48">
        <v>212.957</v>
      </c>
      <c r="J1433" s="49">
        <v>4</v>
      </c>
      <c r="K1433" s="49">
        <v>1</v>
      </c>
      <c r="L1433" s="49">
        <v>3</v>
      </c>
    </row>
    <row r="1434" spans="1:12" x14ac:dyDescent="0.25">
      <c r="A1434" s="45">
        <f>C1434&amp;"."&amp;IFERROR(MID(E1434,FIND("(",E1434)+1,FIND(")",E1434)-FIND("(",E1434)-1),"")</f>
      </c>
      <c r="B1434" s="46" t="s">
        <v>1178</v>
      </c>
      <c r="C1434" s="46">
        <v>75864</v>
      </c>
      <c r="D1434" s="46" t="s">
        <v>2937</v>
      </c>
      <c r="E1434" s="46" t="s">
        <v>2939</v>
      </c>
      <c r="F1434" s="46" t="s">
        <v>26</v>
      </c>
      <c r="G1434" s="47">
        <v>15.7</v>
      </c>
      <c r="H1434" s="48">
        <v>52.696</v>
      </c>
      <c r="I1434" s="48">
        <v>632.348</v>
      </c>
      <c r="J1434" s="49">
        <v>12</v>
      </c>
      <c r="K1434" s="49">
        <v>1</v>
      </c>
      <c r="L1434" s="49">
        <v>11</v>
      </c>
    </row>
    <row r="1435" spans="1:12" x14ac:dyDescent="0.25">
      <c r="A1435" s="45">
        <f>C1435&amp;"."&amp;IFERROR(MID(E1435,FIND("(",E1435)+1,FIND(")",E1435)-FIND("(",E1435)-1),"")</f>
      </c>
      <c r="B1435" s="46" t="s">
        <v>1178</v>
      </c>
      <c r="C1435" s="46">
        <v>75866</v>
      </c>
      <c r="D1435" s="46" t="s">
        <v>2940</v>
      </c>
      <c r="E1435" s="46" t="s">
        <v>2941</v>
      </c>
      <c r="F1435" s="46" t="s">
        <v>26</v>
      </c>
      <c r="G1435" s="47">
        <v>0</v>
      </c>
      <c r="H1435" s="48">
        <v>57.778</v>
      </c>
      <c r="I1435" s="48">
        <v>115.557</v>
      </c>
      <c r="J1435" s="49">
        <v>2</v>
      </c>
      <c r="K1435" s="49">
        <v>2</v>
      </c>
      <c r="L1435" s="49">
        <v>0</v>
      </c>
    </row>
    <row r="1436" spans="1:12" x14ac:dyDescent="0.25">
      <c r="A1436" s="45">
        <f>C1436&amp;"."&amp;IFERROR(MID(E1436,FIND("(",E1436)+1,FIND(")",E1436)-FIND("(",E1436)-1),"")</f>
      </c>
      <c r="B1436" s="46" t="s">
        <v>1178</v>
      </c>
      <c r="C1436" s="46">
        <v>75866</v>
      </c>
      <c r="D1436" s="46" t="s">
        <v>2940</v>
      </c>
      <c r="E1436" s="46" t="s">
        <v>2942</v>
      </c>
      <c r="F1436" s="46" t="s">
        <v>26</v>
      </c>
      <c r="G1436" s="47">
        <v>0</v>
      </c>
      <c r="H1436" s="48">
        <v>57.494</v>
      </c>
      <c r="I1436" s="48">
        <v>459.955</v>
      </c>
      <c r="J1436" s="49">
        <v>8</v>
      </c>
      <c r="K1436" s="49">
        <v>2</v>
      </c>
      <c r="L1436" s="49">
        <v>6</v>
      </c>
    </row>
    <row r="1437" spans="1:12" x14ac:dyDescent="0.25">
      <c r="A1437" s="45">
        <f>C1437&amp;"."&amp;IFERROR(MID(E1437,FIND("(",E1437)+1,FIND(")",E1437)-FIND("(",E1437)-1),"")</f>
      </c>
      <c r="B1437" s="46" t="s">
        <v>1178</v>
      </c>
      <c r="C1437" s="46">
        <v>75866</v>
      </c>
      <c r="D1437" s="46" t="s">
        <v>2940</v>
      </c>
      <c r="E1437" s="46" t="s">
        <v>2943</v>
      </c>
      <c r="F1437" s="46" t="s">
        <v>26</v>
      </c>
      <c r="G1437" s="47">
        <v>0</v>
      </c>
      <c r="H1437" s="48">
        <v>62.6</v>
      </c>
      <c r="I1437" s="48">
        <v>250.4</v>
      </c>
      <c r="J1437" s="49">
        <v>4</v>
      </c>
      <c r="K1437" s="49">
        <v>1</v>
      </c>
      <c r="L1437" s="49">
        <v>3</v>
      </c>
    </row>
    <row r="1438" spans="1:12" x14ac:dyDescent="0.25">
      <c r="A1438" s="45">
        <f>C1438&amp;"."&amp;IFERROR(MID(E1438,FIND("(",E1438)+1,FIND(")",E1438)-FIND("(",E1438)-1),"")</f>
      </c>
      <c r="B1438" s="46" t="s">
        <v>1178</v>
      </c>
      <c r="C1438" s="46">
        <v>75868</v>
      </c>
      <c r="D1438" s="46" t="s">
        <v>357</v>
      </c>
      <c r="E1438" s="46" t="s">
        <v>2944</v>
      </c>
      <c r="F1438" s="46" t="s">
        <v>26</v>
      </c>
      <c r="G1438" s="47">
        <v>61.48</v>
      </c>
      <c r="H1438" s="48">
        <v>235.812</v>
      </c>
      <c r="I1438" s="48">
        <v>31598.829</v>
      </c>
      <c r="J1438" s="49">
        <v>134</v>
      </c>
      <c r="K1438" s="49">
        <v>77</v>
      </c>
      <c r="L1438" s="49">
        <v>57</v>
      </c>
    </row>
    <row r="1439" spans="1:12" x14ac:dyDescent="0.25">
      <c r="A1439" s="45">
        <f>C1439&amp;"."&amp;IFERROR(MID(E1439,FIND("(",E1439)+1,FIND(")",E1439)-FIND("(",E1439)-1),"")</f>
      </c>
      <c r="B1439" s="46" t="s">
        <v>1178</v>
      </c>
      <c r="C1439" s="46">
        <v>75868</v>
      </c>
      <c r="D1439" s="46" t="s">
        <v>357</v>
      </c>
      <c r="E1439" s="46" t="s">
        <v>2945</v>
      </c>
      <c r="F1439" s="46" t="s">
        <v>26</v>
      </c>
      <c r="G1439" s="47">
        <v>61.48</v>
      </c>
      <c r="H1439" s="48">
        <v>233.609</v>
      </c>
      <c r="I1439" s="48">
        <v>20323.97</v>
      </c>
      <c r="J1439" s="49">
        <v>87</v>
      </c>
      <c r="K1439" s="49">
        <v>87</v>
      </c>
      <c r="L1439" s="49">
        <v>0</v>
      </c>
    </row>
    <row r="1440" spans="1:12" x14ac:dyDescent="0.25">
      <c r="A1440" s="45">
        <f>C1440&amp;"."&amp;IFERROR(MID(E1440,FIND("(",E1440)+1,FIND(")",E1440)-FIND("(",E1440)-1),"")</f>
      </c>
      <c r="B1440" s="46" t="s">
        <v>1178</v>
      </c>
      <c r="C1440" s="46">
        <v>75868</v>
      </c>
      <c r="D1440" s="46" t="s">
        <v>357</v>
      </c>
      <c r="E1440" s="46" t="s">
        <v>2946</v>
      </c>
      <c r="F1440" s="46" t="s">
        <v>26</v>
      </c>
      <c r="G1440" s="47">
        <v>61.48</v>
      </c>
      <c r="H1440" s="48">
        <v>209.465</v>
      </c>
      <c r="I1440" s="48">
        <v>53204.112</v>
      </c>
      <c r="J1440" s="49">
        <v>254</v>
      </c>
      <c r="K1440" s="49">
        <v>159</v>
      </c>
      <c r="L1440" s="49">
        <v>95</v>
      </c>
    </row>
    <row r="1441" spans="1:12" x14ac:dyDescent="0.25">
      <c r="A1441" s="45">
        <f>C1441&amp;"."&amp;IFERROR(MID(E1441,FIND("(",E1441)+1,FIND(")",E1441)-FIND("(",E1441)-1),"")</f>
      </c>
      <c r="B1441" s="46" t="s">
        <v>1178</v>
      </c>
      <c r="C1441" s="46">
        <v>75869</v>
      </c>
      <c r="D1441" s="46" t="s">
        <v>2947</v>
      </c>
      <c r="E1441" s="46" t="s">
        <v>2948</v>
      </c>
      <c r="F1441" s="46" t="s">
        <v>26</v>
      </c>
      <c r="G1441" s="47">
        <v>9.6</v>
      </c>
      <c r="H1441" s="48">
        <v>36.74</v>
      </c>
      <c r="I1441" s="48">
        <v>36.74</v>
      </c>
      <c r="J1441" s="49">
        <v>1</v>
      </c>
      <c r="K1441" s="49">
        <v>1</v>
      </c>
      <c r="L1441" s="49">
        <v>0</v>
      </c>
    </row>
    <row r="1442" spans="1:12" x14ac:dyDescent="0.25">
      <c r="A1442" s="45">
        <f>C1442&amp;"."&amp;IFERROR(MID(E1442,FIND("(",E1442)+1,FIND(")",E1442)-FIND("(",E1442)-1),"")</f>
      </c>
      <c r="B1442" s="46" t="s">
        <v>1178</v>
      </c>
      <c r="C1442" s="46">
        <v>75869</v>
      </c>
      <c r="D1442" s="46" t="s">
        <v>2947</v>
      </c>
      <c r="E1442" s="46" t="s">
        <v>2949</v>
      </c>
      <c r="F1442" s="46" t="s">
        <v>26</v>
      </c>
      <c r="G1442" s="47">
        <v>9.6</v>
      </c>
      <c r="H1442" s="48">
        <v>37.068</v>
      </c>
      <c r="I1442" s="48">
        <v>37.068</v>
      </c>
      <c r="J1442" s="49">
        <v>1</v>
      </c>
      <c r="K1442" s="49">
        <v>1</v>
      </c>
      <c r="L1442" s="49">
        <v>0</v>
      </c>
    </row>
    <row r="1443" spans="1:12" x14ac:dyDescent="0.25">
      <c r="A1443" s="45">
        <f>C1443&amp;"."&amp;IFERROR(MID(E1443,FIND("(",E1443)+1,FIND(")",E1443)-FIND("(",E1443)-1),"")</f>
      </c>
      <c r="B1443" s="46" t="s">
        <v>1178</v>
      </c>
      <c r="C1443" s="46">
        <v>75869</v>
      </c>
      <c r="D1443" s="46" t="s">
        <v>2947</v>
      </c>
      <c r="E1443" s="46" t="s">
        <v>2950</v>
      </c>
      <c r="F1443" s="46" t="s">
        <v>26</v>
      </c>
      <c r="G1443" s="47">
        <v>9.6</v>
      </c>
      <c r="H1443" s="48">
        <v>37.357</v>
      </c>
      <c r="I1443" s="48">
        <v>2428.225</v>
      </c>
      <c r="J1443" s="49">
        <v>65</v>
      </c>
      <c r="K1443" s="49">
        <v>28</v>
      </c>
      <c r="L1443" s="49">
        <v>37</v>
      </c>
    </row>
    <row r="1444" spans="1:12" x14ac:dyDescent="0.25">
      <c r="A1444" s="45">
        <f>C1444&amp;"."&amp;IFERROR(MID(E1444,FIND("(",E1444)+1,FIND(")",E1444)-FIND("(",E1444)-1),"")</f>
      </c>
      <c r="B1444" s="46" t="s">
        <v>1178</v>
      </c>
      <c r="C1444" s="46">
        <v>75869</v>
      </c>
      <c r="D1444" s="46" t="s">
        <v>2947</v>
      </c>
      <c r="E1444" s="46" t="s">
        <v>2951</v>
      </c>
      <c r="F1444" s="46" t="s">
        <v>26</v>
      </c>
      <c r="G1444" s="47">
        <v>9.6</v>
      </c>
      <c r="H1444" s="48">
        <v>26.701</v>
      </c>
      <c r="I1444" s="48">
        <v>133.504</v>
      </c>
      <c r="J1444" s="49">
        <v>5</v>
      </c>
      <c r="K1444" s="49">
        <v>0</v>
      </c>
      <c r="L1444" s="49">
        <v>5</v>
      </c>
    </row>
    <row r="1445" spans="1:12" x14ac:dyDescent="0.25">
      <c r="A1445" s="45">
        <f>C1445&amp;"."&amp;IFERROR(MID(E1445,FIND("(",E1445)+1,FIND(")",E1445)-FIND("(",E1445)-1),"")</f>
      </c>
      <c r="B1445" s="46" t="s">
        <v>1178</v>
      </c>
      <c r="C1445" s="46">
        <v>75871</v>
      </c>
      <c r="D1445" s="46" t="s">
        <v>95</v>
      </c>
      <c r="E1445" s="46" t="s">
        <v>2952</v>
      </c>
      <c r="F1445" s="46" t="s">
        <v>26</v>
      </c>
      <c r="G1445" s="47">
        <v>17.5</v>
      </c>
      <c r="H1445" s="48">
        <v>34.462</v>
      </c>
      <c r="I1445" s="48">
        <v>11510.424</v>
      </c>
      <c r="J1445" s="49">
        <v>334</v>
      </c>
      <c r="K1445" s="49">
        <v>235</v>
      </c>
      <c r="L1445" s="49">
        <v>99</v>
      </c>
    </row>
    <row r="1446" spans="1:12" x14ac:dyDescent="0.25">
      <c r="A1446" s="45">
        <f>C1446&amp;"."&amp;IFERROR(MID(E1446,FIND("(",E1446)+1,FIND(")",E1446)-FIND("(",E1446)-1),"")</f>
      </c>
      <c r="B1446" s="46" t="s">
        <v>1178</v>
      </c>
      <c r="C1446" s="46">
        <v>75871</v>
      </c>
      <c r="D1446" s="46" t="s">
        <v>95</v>
      </c>
      <c r="E1446" s="46" t="s">
        <v>2953</v>
      </c>
      <c r="F1446" s="46" t="s">
        <v>26</v>
      </c>
      <c r="G1446" s="47">
        <v>17.5</v>
      </c>
      <c r="H1446" s="48">
        <v>52.092</v>
      </c>
      <c r="I1446" s="48">
        <v>1198.106</v>
      </c>
      <c r="J1446" s="49">
        <v>23</v>
      </c>
      <c r="K1446" s="49">
        <v>0</v>
      </c>
      <c r="L1446" s="49">
        <v>23</v>
      </c>
    </row>
    <row r="1447" spans="1:12" x14ac:dyDescent="0.25">
      <c r="A1447" s="45">
        <f>C1447&amp;"."&amp;IFERROR(MID(E1447,FIND("(",E1447)+1,FIND(")",E1447)-FIND("(",E1447)-1),"")</f>
      </c>
      <c r="B1447" s="46" t="s">
        <v>1178</v>
      </c>
      <c r="C1447" s="46">
        <v>75871</v>
      </c>
      <c r="D1447" s="46" t="s">
        <v>95</v>
      </c>
      <c r="E1447" s="46" t="s">
        <v>2954</v>
      </c>
      <c r="F1447" s="46" t="s">
        <v>26</v>
      </c>
      <c r="G1447" s="47">
        <v>17.5</v>
      </c>
      <c r="H1447" s="48">
        <v>44.211</v>
      </c>
      <c r="I1447" s="48">
        <v>4288.421</v>
      </c>
      <c r="J1447" s="49">
        <v>97</v>
      </c>
      <c r="K1447" s="49">
        <v>87</v>
      </c>
      <c r="L1447" s="49">
        <v>10</v>
      </c>
    </row>
    <row r="1448" spans="1:12" x14ac:dyDescent="0.25">
      <c r="A1448" s="45">
        <f>C1448&amp;"."&amp;IFERROR(MID(E1448,FIND("(",E1448)+1,FIND(")",E1448)-FIND("(",E1448)-1),"")</f>
      </c>
      <c r="B1448" s="46" t="s">
        <v>1178</v>
      </c>
      <c r="C1448" s="46">
        <v>75872</v>
      </c>
      <c r="D1448" s="46" t="s">
        <v>2955</v>
      </c>
      <c r="E1448" s="46" t="s">
        <v>2956</v>
      </c>
      <c r="F1448" s="46" t="s">
        <v>26</v>
      </c>
      <c r="G1448" s="47">
        <v>0.14</v>
      </c>
      <c r="H1448" s="48">
        <v>1.129</v>
      </c>
      <c r="I1448" s="48">
        <v>6.772</v>
      </c>
      <c r="J1448" s="49">
        <v>6</v>
      </c>
      <c r="K1448" s="49">
        <v>6</v>
      </c>
      <c r="L1448" s="49">
        <v>0</v>
      </c>
    </row>
    <row r="1449" spans="1:12" x14ac:dyDescent="0.25">
      <c r="A1449" s="45">
        <f>C1449&amp;"."&amp;IFERROR(MID(E1449,FIND("(",E1449)+1,FIND(")",E1449)-FIND("(",E1449)-1),"")</f>
      </c>
      <c r="B1449" s="46" t="s">
        <v>1178</v>
      </c>
      <c r="C1449" s="46">
        <v>75872</v>
      </c>
      <c r="D1449" s="46" t="s">
        <v>2955</v>
      </c>
      <c r="E1449" s="46" t="s">
        <v>2957</v>
      </c>
      <c r="F1449" s="46" t="s">
        <v>26</v>
      </c>
      <c r="G1449" s="47">
        <v>0.14</v>
      </c>
      <c r="H1449" s="48">
        <v>2.426</v>
      </c>
      <c r="I1449" s="48">
        <v>63.073</v>
      </c>
      <c r="J1449" s="49">
        <v>26</v>
      </c>
      <c r="K1449" s="49">
        <v>6</v>
      </c>
      <c r="L1449" s="49">
        <v>20</v>
      </c>
    </row>
    <row r="1450" spans="1:12" x14ac:dyDescent="0.25">
      <c r="A1450" s="45">
        <f>C1450&amp;"."&amp;IFERROR(MID(E1450,FIND("(",E1450)+1,FIND(")",E1450)-FIND("(",E1450)-1),"")</f>
      </c>
      <c r="B1450" s="46" t="s">
        <v>1178</v>
      </c>
      <c r="C1450" s="46">
        <v>75872</v>
      </c>
      <c r="D1450" s="46" t="s">
        <v>2955</v>
      </c>
      <c r="E1450" s="46" t="s">
        <v>2958</v>
      </c>
      <c r="F1450" s="46" t="s">
        <v>26</v>
      </c>
      <c r="G1450" s="47">
        <v>0.14</v>
      </c>
      <c r="H1450" s="48">
        <v>0.945</v>
      </c>
      <c r="I1450" s="48">
        <v>1.89</v>
      </c>
      <c r="J1450" s="49">
        <v>2</v>
      </c>
      <c r="K1450" s="49">
        <v>0</v>
      </c>
      <c r="L1450" s="49">
        <v>2</v>
      </c>
    </row>
    <row r="1451" spans="1:12" x14ac:dyDescent="0.25">
      <c r="A1451" s="45">
        <f>C1451&amp;"."&amp;IFERROR(MID(E1451,FIND("(",E1451)+1,FIND(")",E1451)-FIND("(",E1451)-1),"")</f>
      </c>
      <c r="B1451" s="46" t="s">
        <v>1178</v>
      </c>
      <c r="C1451" s="46">
        <v>75874</v>
      </c>
      <c r="D1451" s="46" t="s">
        <v>2959</v>
      </c>
      <c r="E1451" s="46" t="s">
        <v>2960</v>
      </c>
      <c r="F1451" s="46" t="s">
        <v>26</v>
      </c>
      <c r="G1451" s="47">
        <v>0.12</v>
      </c>
      <c r="H1451" s="48">
        <v>1.118</v>
      </c>
      <c r="I1451" s="48">
        <v>20.131</v>
      </c>
      <c r="J1451" s="49">
        <v>18</v>
      </c>
      <c r="K1451" s="49">
        <v>12</v>
      </c>
      <c r="L1451" s="49">
        <v>6</v>
      </c>
    </row>
    <row r="1452" spans="1:12" x14ac:dyDescent="0.25">
      <c r="A1452" s="45">
        <f>C1452&amp;"."&amp;IFERROR(MID(E1452,FIND("(",E1452)+1,FIND(")",E1452)-FIND("(",E1452)-1),"")</f>
      </c>
      <c r="B1452" s="46" t="s">
        <v>1178</v>
      </c>
      <c r="C1452" s="46">
        <v>75874</v>
      </c>
      <c r="D1452" s="46" t="s">
        <v>2959</v>
      </c>
      <c r="E1452" s="46" t="s">
        <v>2961</v>
      </c>
      <c r="F1452" s="46" t="s">
        <v>26</v>
      </c>
      <c r="G1452" s="47">
        <v>0.12</v>
      </c>
      <c r="H1452" s="48">
        <v>0.994</v>
      </c>
      <c r="I1452" s="48">
        <v>2.983</v>
      </c>
      <c r="J1452" s="49">
        <v>3</v>
      </c>
      <c r="K1452" s="49">
        <v>0</v>
      </c>
      <c r="L1452" s="49">
        <v>3</v>
      </c>
    </row>
    <row r="1453" spans="1:12" x14ac:dyDescent="0.25">
      <c r="A1453" s="45">
        <f>C1453&amp;"."&amp;IFERROR(MID(E1453,FIND("(",E1453)+1,FIND(")",E1453)-FIND("(",E1453)-1),"")</f>
      </c>
      <c r="B1453" s="46" t="s">
        <v>1178</v>
      </c>
      <c r="C1453" s="46">
        <v>75874</v>
      </c>
      <c r="D1453" s="46" t="s">
        <v>2959</v>
      </c>
      <c r="E1453" s="46" t="s">
        <v>2962</v>
      </c>
      <c r="F1453" s="46" t="s">
        <v>26</v>
      </c>
      <c r="G1453" s="47">
        <v>0.12</v>
      </c>
      <c r="H1453" s="48">
        <v>2.289</v>
      </c>
      <c r="I1453" s="48">
        <v>73.253</v>
      </c>
      <c r="J1453" s="49">
        <v>32</v>
      </c>
      <c r="K1453" s="49">
        <v>15</v>
      </c>
      <c r="L1453" s="49">
        <v>17</v>
      </c>
    </row>
    <row r="1454" spans="1:12" x14ac:dyDescent="0.25">
      <c r="A1454" s="45">
        <f>C1454&amp;"."&amp;IFERROR(MID(E1454,FIND("(",E1454)+1,FIND(")",E1454)-FIND("(",E1454)-1),"")</f>
      </c>
      <c r="B1454" s="46" t="s">
        <v>1178</v>
      </c>
      <c r="C1454" s="46">
        <v>75876</v>
      </c>
      <c r="D1454" s="46" t="s">
        <v>2963</v>
      </c>
      <c r="E1454" s="46" t="s">
        <v>2964</v>
      </c>
      <c r="F1454" s="46" t="s">
        <v>26</v>
      </c>
      <c r="G1454" s="47">
        <v>2.01</v>
      </c>
      <c r="H1454" s="48">
        <v>11.798</v>
      </c>
      <c r="I1454" s="48">
        <v>23.596</v>
      </c>
      <c r="J1454" s="49">
        <v>2</v>
      </c>
      <c r="K1454" s="49">
        <v>0</v>
      </c>
      <c r="L1454" s="49">
        <v>2</v>
      </c>
    </row>
    <row r="1455" spans="1:12" x14ac:dyDescent="0.25">
      <c r="A1455" s="45">
        <f>C1455&amp;"."&amp;IFERROR(MID(E1455,FIND("(",E1455)+1,FIND(")",E1455)-FIND("(",E1455)-1),"")</f>
      </c>
      <c r="B1455" s="46" t="s">
        <v>1178</v>
      </c>
      <c r="C1455" s="46">
        <v>75876</v>
      </c>
      <c r="D1455" s="46" t="s">
        <v>2963</v>
      </c>
      <c r="E1455" s="46" t="s">
        <v>2965</v>
      </c>
      <c r="F1455" s="46" t="s">
        <v>26</v>
      </c>
      <c r="G1455" s="47">
        <v>2.01</v>
      </c>
      <c r="H1455" s="48">
        <v>10.673</v>
      </c>
      <c r="I1455" s="48">
        <v>42.692</v>
      </c>
      <c r="J1455" s="49">
        <v>4</v>
      </c>
      <c r="K1455" s="49">
        <v>0</v>
      </c>
      <c r="L1455" s="49">
        <v>4</v>
      </c>
    </row>
    <row r="1456" spans="1:12" x14ac:dyDescent="0.25">
      <c r="A1456" s="45">
        <f>C1456&amp;"."&amp;IFERROR(MID(E1456,FIND("(",E1456)+1,FIND(")",E1456)-FIND("(",E1456)-1),"")</f>
      </c>
      <c r="B1456" s="46" t="s">
        <v>1178</v>
      </c>
      <c r="C1456" s="46">
        <v>75876</v>
      </c>
      <c r="D1456" s="46" t="s">
        <v>2963</v>
      </c>
      <c r="E1456" s="46" t="s">
        <v>2966</v>
      </c>
      <c r="F1456" s="46" t="s">
        <v>26</v>
      </c>
      <c r="G1456" s="47">
        <v>2.01</v>
      </c>
      <c r="H1456" s="48">
        <v>14.717</v>
      </c>
      <c r="I1456" s="48">
        <v>73.584</v>
      </c>
      <c r="J1456" s="49">
        <v>5</v>
      </c>
      <c r="K1456" s="49">
        <v>5</v>
      </c>
      <c r="L1456" s="49">
        <v>0</v>
      </c>
    </row>
    <row r="1457" spans="1:12" x14ac:dyDescent="0.25">
      <c r="A1457" s="45">
        <f>C1457&amp;"."&amp;IFERROR(MID(E1457,FIND("(",E1457)+1,FIND(")",E1457)-FIND("(",E1457)-1),"")</f>
      </c>
      <c r="B1457" s="46" t="s">
        <v>1178</v>
      </c>
      <c r="C1457" s="46">
        <v>75881</v>
      </c>
      <c r="D1457" s="46" t="s">
        <v>2967</v>
      </c>
      <c r="E1457" s="46" t="s">
        <v>2968</v>
      </c>
      <c r="F1457" s="46" t="s">
        <v>26</v>
      </c>
      <c r="G1457" s="47">
        <v>2.55</v>
      </c>
      <c r="H1457" s="48">
        <v>28.546</v>
      </c>
      <c r="I1457" s="48">
        <v>57.092</v>
      </c>
      <c r="J1457" s="49">
        <v>2</v>
      </c>
      <c r="K1457" s="49">
        <v>2</v>
      </c>
      <c r="L1457" s="49">
        <v>0</v>
      </c>
    </row>
    <row r="1458" spans="1:12" x14ac:dyDescent="0.25">
      <c r="A1458" s="45">
        <f>C1458&amp;"."&amp;IFERROR(MID(E1458,FIND("(",E1458)+1,FIND(")",E1458)-FIND("(",E1458)-1),"")</f>
      </c>
      <c r="B1458" s="46" t="s">
        <v>1178</v>
      </c>
      <c r="C1458" s="46">
        <v>75881</v>
      </c>
      <c r="D1458" s="46" t="s">
        <v>2967</v>
      </c>
      <c r="E1458" s="46" t="s">
        <v>2969</v>
      </c>
      <c r="F1458" s="46" t="s">
        <v>26</v>
      </c>
      <c r="G1458" s="47">
        <v>2.55</v>
      </c>
      <c r="H1458" s="48">
        <v>12.767</v>
      </c>
      <c r="I1458" s="48">
        <v>127.666</v>
      </c>
      <c r="J1458" s="49">
        <v>10</v>
      </c>
      <c r="K1458" s="49">
        <v>0</v>
      </c>
      <c r="L1458" s="49">
        <v>10</v>
      </c>
    </row>
    <row r="1459" spans="1:12" x14ac:dyDescent="0.25">
      <c r="A1459" s="45">
        <f>C1459&amp;"."&amp;IFERROR(MID(E1459,FIND("(",E1459)+1,FIND(")",E1459)-FIND("(",E1459)-1),"")</f>
      </c>
      <c r="B1459" s="46" t="s">
        <v>1178</v>
      </c>
      <c r="C1459" s="46">
        <v>75881</v>
      </c>
      <c r="D1459" s="46" t="s">
        <v>2967</v>
      </c>
      <c r="E1459" s="46" t="s">
        <v>2970</v>
      </c>
      <c r="F1459" s="46" t="s">
        <v>26</v>
      </c>
      <c r="G1459" s="47">
        <v>2.55</v>
      </c>
      <c r="H1459" s="48">
        <v>15.238</v>
      </c>
      <c r="I1459" s="48">
        <v>60.951</v>
      </c>
      <c r="J1459" s="49">
        <v>4</v>
      </c>
      <c r="K1459" s="49">
        <v>0</v>
      </c>
      <c r="L1459" s="49">
        <v>4</v>
      </c>
    </row>
    <row r="1460" spans="1:12" x14ac:dyDescent="0.25">
      <c r="A1460" s="45">
        <f>C1460&amp;"."&amp;IFERROR(MID(E1460,FIND("(",E1460)+1,FIND(")",E1460)-FIND("(",E1460)-1),"")</f>
      </c>
      <c r="B1460" s="46" t="s">
        <v>1178</v>
      </c>
      <c r="C1460" s="46">
        <v>75886</v>
      </c>
      <c r="D1460" s="46" t="s">
        <v>2971</v>
      </c>
      <c r="E1460" s="46" t="s">
        <v>1248</v>
      </c>
      <c r="F1460" s="46" t="s">
        <v>26</v>
      </c>
      <c r="G1460" s="47">
        <v>0.64</v>
      </c>
      <c r="H1460" s="48">
        <v>1.501</v>
      </c>
      <c r="I1460" s="48">
        <v>10.504</v>
      </c>
      <c r="J1460" s="49">
        <v>7</v>
      </c>
      <c r="K1460" s="49">
        <v>0</v>
      </c>
      <c r="L1460" s="49">
        <v>7</v>
      </c>
    </row>
    <row r="1461" spans="1:12" x14ac:dyDescent="0.25">
      <c r="A1461" s="45">
        <f>C1461&amp;"."&amp;IFERROR(MID(E1461,FIND("(",E1461)+1,FIND(")",E1461)-FIND("(",E1461)-1),"")</f>
      </c>
      <c r="B1461" s="46" t="s">
        <v>1178</v>
      </c>
      <c r="C1461" s="46">
        <v>75891</v>
      </c>
      <c r="D1461" s="46" t="s">
        <v>2972</v>
      </c>
      <c r="E1461" s="46" t="s">
        <v>2973</v>
      </c>
      <c r="F1461" s="46" t="s">
        <v>26</v>
      </c>
      <c r="G1461" s="47">
        <v>14.57</v>
      </c>
      <c r="H1461" s="48">
        <v>37.274</v>
      </c>
      <c r="I1461" s="48">
        <v>149.095</v>
      </c>
      <c r="J1461" s="49">
        <v>4</v>
      </c>
      <c r="K1461" s="49">
        <v>4</v>
      </c>
      <c r="L1461" s="49">
        <v>0</v>
      </c>
    </row>
    <row r="1462" spans="1:12" x14ac:dyDescent="0.25">
      <c r="A1462" s="45">
        <f>C1462&amp;"."&amp;IFERROR(MID(E1462,FIND("(",E1462)+1,FIND(")",E1462)-FIND("(",E1462)-1),"")</f>
      </c>
      <c r="B1462" s="46" t="s">
        <v>1178</v>
      </c>
      <c r="C1462" s="46">
        <v>75891</v>
      </c>
      <c r="D1462" s="46" t="s">
        <v>2972</v>
      </c>
      <c r="E1462" s="46" t="s">
        <v>2974</v>
      </c>
      <c r="F1462" s="46" t="s">
        <v>26</v>
      </c>
      <c r="G1462" s="47">
        <v>14.57</v>
      </c>
      <c r="H1462" s="48">
        <v>16.264</v>
      </c>
      <c r="I1462" s="48">
        <v>113.85</v>
      </c>
      <c r="J1462" s="49">
        <v>7</v>
      </c>
      <c r="K1462" s="49">
        <v>1</v>
      </c>
      <c r="L1462" s="49">
        <v>6</v>
      </c>
    </row>
    <row r="1463" spans="1:12" x14ac:dyDescent="0.25">
      <c r="A1463" s="45">
        <f>C1463&amp;"."&amp;IFERROR(MID(E1463,FIND("(",E1463)+1,FIND(")",E1463)-FIND("(",E1463)-1),"")</f>
      </c>
      <c r="B1463" s="46" t="s">
        <v>1178</v>
      </c>
      <c r="C1463" s="46">
        <v>75891</v>
      </c>
      <c r="D1463" s="46" t="s">
        <v>2972</v>
      </c>
      <c r="E1463" s="46" t="s">
        <v>2975</v>
      </c>
      <c r="F1463" s="46" t="s">
        <v>26</v>
      </c>
      <c r="G1463" s="47">
        <v>14.57</v>
      </c>
      <c r="H1463" s="48">
        <v>37.66</v>
      </c>
      <c r="I1463" s="48">
        <v>150.64</v>
      </c>
      <c r="J1463" s="49">
        <v>4</v>
      </c>
      <c r="K1463" s="49">
        <v>0</v>
      </c>
      <c r="L1463" s="49">
        <v>4</v>
      </c>
    </row>
    <row r="1464" spans="1:12" x14ac:dyDescent="0.25">
      <c r="A1464" s="45">
        <f>C1464&amp;"."&amp;IFERROR(MID(E1464,FIND("(",E1464)+1,FIND(")",E1464)-FIND("(",E1464)-1),"")</f>
      </c>
      <c r="B1464" s="46" t="s">
        <v>1178</v>
      </c>
      <c r="C1464" s="46">
        <v>75893</v>
      </c>
      <c r="D1464" s="46" t="s">
        <v>2976</v>
      </c>
      <c r="E1464" s="46" t="s">
        <v>2977</v>
      </c>
      <c r="F1464" s="46" t="s">
        <v>26</v>
      </c>
      <c r="G1464" s="47">
        <v>14.57</v>
      </c>
      <c r="H1464" s="48">
        <v>36.93</v>
      </c>
      <c r="I1464" s="48">
        <v>73.86</v>
      </c>
      <c r="J1464" s="49">
        <v>2</v>
      </c>
      <c r="K1464" s="49">
        <v>0</v>
      </c>
      <c r="L1464" s="49">
        <v>2</v>
      </c>
    </row>
    <row r="1465" spans="1:12" x14ac:dyDescent="0.25">
      <c r="A1465" s="45">
        <f>C1465&amp;"."&amp;IFERROR(MID(E1465,FIND("(",E1465)+1,FIND(")",E1465)-FIND("(",E1465)-1),"")</f>
      </c>
      <c r="B1465" s="46" t="s">
        <v>1178</v>
      </c>
      <c r="C1465" s="46">
        <v>75893</v>
      </c>
      <c r="D1465" s="46" t="s">
        <v>2976</v>
      </c>
      <c r="E1465" s="46" t="s">
        <v>2978</v>
      </c>
      <c r="F1465" s="46" t="s">
        <v>26</v>
      </c>
      <c r="G1465" s="47">
        <v>14.57</v>
      </c>
      <c r="H1465" s="48">
        <v>46.667</v>
      </c>
      <c r="I1465" s="48">
        <v>140.002</v>
      </c>
      <c r="J1465" s="49">
        <v>3</v>
      </c>
      <c r="K1465" s="49">
        <v>1</v>
      </c>
      <c r="L1465" s="49">
        <v>2</v>
      </c>
    </row>
    <row r="1466" spans="1:12" x14ac:dyDescent="0.25">
      <c r="A1466" s="45">
        <f>C1466&amp;"."&amp;IFERROR(MID(E1466,FIND("(",E1466)+1,FIND(")",E1466)-FIND("(",E1466)-1),"")</f>
      </c>
      <c r="B1466" s="46" t="s">
        <v>1178</v>
      </c>
      <c r="C1466" s="46">
        <v>75893</v>
      </c>
      <c r="D1466" s="46" t="s">
        <v>2976</v>
      </c>
      <c r="E1466" s="46" t="s">
        <v>2979</v>
      </c>
      <c r="F1466" s="46" t="s">
        <v>26</v>
      </c>
      <c r="G1466" s="47">
        <v>14.57</v>
      </c>
      <c r="H1466" s="48">
        <v>37.017</v>
      </c>
      <c r="I1466" s="48">
        <v>37.017</v>
      </c>
      <c r="J1466" s="49">
        <v>1</v>
      </c>
      <c r="K1466" s="49">
        <v>0</v>
      </c>
      <c r="L1466" s="49">
        <v>1</v>
      </c>
    </row>
    <row r="1467" spans="1:12" x14ac:dyDescent="0.25">
      <c r="A1467" s="45">
        <f>C1467&amp;"."&amp;IFERROR(MID(E1467,FIND("(",E1467)+1,FIND(")",E1467)-FIND("(",E1467)-1),"")</f>
      </c>
      <c r="B1467" s="46" t="s">
        <v>1178</v>
      </c>
      <c r="C1467" s="46">
        <v>75896</v>
      </c>
      <c r="D1467" s="46" t="s">
        <v>2980</v>
      </c>
      <c r="E1467" s="46" t="s">
        <v>2981</v>
      </c>
      <c r="F1467" s="46" t="s">
        <v>26</v>
      </c>
      <c r="G1467" s="47">
        <v>12.56</v>
      </c>
      <c r="H1467" s="48">
        <v>36.72</v>
      </c>
      <c r="I1467" s="48">
        <v>36.72</v>
      </c>
      <c r="J1467" s="49">
        <v>1</v>
      </c>
      <c r="K1467" s="49">
        <v>0</v>
      </c>
      <c r="L1467" s="49">
        <v>1</v>
      </c>
    </row>
    <row r="1468" spans="1:12" x14ac:dyDescent="0.25">
      <c r="A1468" s="45">
        <f>C1468&amp;"."&amp;IFERROR(MID(E1468,FIND("(",E1468)+1,FIND(")",E1468)-FIND("(",E1468)-1),"")</f>
      </c>
      <c r="B1468" s="46" t="s">
        <v>1178</v>
      </c>
      <c r="C1468" s="46">
        <v>75896</v>
      </c>
      <c r="D1468" s="46" t="s">
        <v>2980</v>
      </c>
      <c r="E1468" s="46" t="s">
        <v>2982</v>
      </c>
      <c r="F1468" s="46" t="s">
        <v>26</v>
      </c>
      <c r="G1468" s="47">
        <v>12.56</v>
      </c>
      <c r="H1468" s="48">
        <v>23.138</v>
      </c>
      <c r="I1468" s="48">
        <v>115.691</v>
      </c>
      <c r="J1468" s="49">
        <v>5</v>
      </c>
      <c r="K1468" s="49">
        <v>5</v>
      </c>
      <c r="L1468" s="49">
        <v>0</v>
      </c>
    </row>
    <row r="1469" spans="1:12" x14ac:dyDescent="0.25">
      <c r="A1469" s="45">
        <f>C1469&amp;"."&amp;IFERROR(MID(E1469,FIND("(",E1469)+1,FIND(")",E1469)-FIND("(",E1469)-1),"")</f>
      </c>
      <c r="B1469" s="46" t="s">
        <v>1178</v>
      </c>
      <c r="C1469" s="46">
        <v>75901</v>
      </c>
      <c r="D1469" s="46" t="s">
        <v>2983</v>
      </c>
      <c r="E1469" s="46" t="s">
        <v>2984</v>
      </c>
      <c r="F1469" s="46" t="s">
        <v>26</v>
      </c>
      <c r="G1469" s="47">
        <v>8.38</v>
      </c>
      <c r="H1469" s="48">
        <v>20.682</v>
      </c>
      <c r="I1469" s="48">
        <v>144.771</v>
      </c>
      <c r="J1469" s="49">
        <v>7</v>
      </c>
      <c r="K1469" s="49">
        <v>7</v>
      </c>
      <c r="L1469" s="49">
        <v>0</v>
      </c>
    </row>
    <row r="1470" spans="1:12" x14ac:dyDescent="0.25">
      <c r="A1470" s="45">
        <f>C1470&amp;"."&amp;IFERROR(MID(E1470,FIND("(",E1470)+1,FIND(")",E1470)-FIND("(",E1470)-1),"")</f>
      </c>
      <c r="B1470" s="46" t="s">
        <v>1178</v>
      </c>
      <c r="C1470" s="46">
        <v>75901</v>
      </c>
      <c r="D1470" s="46" t="s">
        <v>2983</v>
      </c>
      <c r="E1470" s="46" t="s">
        <v>2985</v>
      </c>
      <c r="F1470" s="46" t="s">
        <v>26</v>
      </c>
      <c r="G1470" s="47">
        <v>8.38</v>
      </c>
      <c r="H1470" s="48">
        <v>23.52</v>
      </c>
      <c r="I1470" s="48">
        <v>23.52</v>
      </c>
      <c r="J1470" s="49">
        <v>1</v>
      </c>
      <c r="K1470" s="49">
        <v>0</v>
      </c>
      <c r="L1470" s="49">
        <v>1</v>
      </c>
    </row>
    <row r="1471" spans="1:12" x14ac:dyDescent="0.25">
      <c r="A1471" s="45">
        <f>C1471&amp;"."&amp;IFERROR(MID(E1471,FIND("(",E1471)+1,FIND(")",E1471)-FIND("(",E1471)-1),"")</f>
      </c>
      <c r="B1471" s="46" t="s">
        <v>1178</v>
      </c>
      <c r="C1471" s="46">
        <v>75901</v>
      </c>
      <c r="D1471" s="46" t="s">
        <v>2983</v>
      </c>
      <c r="E1471" s="46" t="s">
        <v>2986</v>
      </c>
      <c r="F1471" s="46" t="s">
        <v>26</v>
      </c>
      <c r="G1471" s="47">
        <v>8.38</v>
      </c>
      <c r="H1471" s="48">
        <v>23.52</v>
      </c>
      <c r="I1471" s="48">
        <v>94.08</v>
      </c>
      <c r="J1471" s="49">
        <v>4</v>
      </c>
      <c r="K1471" s="49">
        <v>2</v>
      </c>
      <c r="L1471" s="49">
        <v>2</v>
      </c>
    </row>
    <row r="1472" spans="1:12" x14ac:dyDescent="0.25">
      <c r="A1472" s="45">
        <f>C1472&amp;"."&amp;IFERROR(MID(E1472,FIND("(",E1472)+1,FIND(")",E1472)-FIND("(",E1472)-1),"")</f>
      </c>
      <c r="B1472" s="46" t="s">
        <v>1178</v>
      </c>
      <c r="C1472" s="46">
        <v>75905</v>
      </c>
      <c r="D1472" s="46" t="s">
        <v>2987</v>
      </c>
      <c r="E1472" s="46" t="s">
        <v>2988</v>
      </c>
      <c r="F1472" s="46" t="s">
        <v>26</v>
      </c>
      <c r="G1472" s="47">
        <v>3.39</v>
      </c>
      <c r="H1472" s="48">
        <v>8.8</v>
      </c>
      <c r="I1472" s="48">
        <v>52.8</v>
      </c>
      <c r="J1472" s="49">
        <v>6</v>
      </c>
      <c r="K1472" s="49">
        <v>0</v>
      </c>
      <c r="L1472" s="49">
        <v>6</v>
      </c>
    </row>
    <row r="1473" spans="1:12" x14ac:dyDescent="0.25">
      <c r="A1473" s="45">
        <f>C1473&amp;"."&amp;IFERROR(MID(E1473,FIND("(",E1473)+1,FIND(")",E1473)-FIND("(",E1473)-1),"")</f>
      </c>
      <c r="B1473" s="46" t="s">
        <v>1178</v>
      </c>
      <c r="C1473" s="46">
        <v>75905</v>
      </c>
      <c r="D1473" s="46" t="s">
        <v>2987</v>
      </c>
      <c r="E1473" s="46" t="s">
        <v>2989</v>
      </c>
      <c r="F1473" s="46" t="s">
        <v>26</v>
      </c>
      <c r="G1473" s="47">
        <v>3.39</v>
      </c>
      <c r="H1473" s="48">
        <v>8.8</v>
      </c>
      <c r="I1473" s="48">
        <v>52.8</v>
      </c>
      <c r="J1473" s="49">
        <v>6</v>
      </c>
      <c r="K1473" s="49">
        <v>0</v>
      </c>
      <c r="L1473" s="49">
        <v>6</v>
      </c>
    </row>
    <row r="1474" spans="1:12" x14ac:dyDescent="0.25">
      <c r="A1474" s="45">
        <f>C1474&amp;"."&amp;IFERROR(MID(E1474,FIND("(",E1474)+1,FIND(")",E1474)-FIND("(",E1474)-1),"")</f>
      </c>
      <c r="B1474" s="46" t="s">
        <v>1178</v>
      </c>
      <c r="C1474" s="46">
        <v>75905</v>
      </c>
      <c r="D1474" s="46" t="s">
        <v>2987</v>
      </c>
      <c r="E1474" s="46" t="s">
        <v>2990</v>
      </c>
      <c r="F1474" s="46" t="s">
        <v>26</v>
      </c>
      <c r="G1474" s="47">
        <v>3.39</v>
      </c>
      <c r="H1474" s="48">
        <v>13.795</v>
      </c>
      <c r="I1474" s="48">
        <v>13.795</v>
      </c>
      <c r="J1474" s="49">
        <v>1</v>
      </c>
      <c r="K1474" s="49">
        <v>1</v>
      </c>
      <c r="L1474" s="49">
        <v>0</v>
      </c>
    </row>
    <row r="1475" spans="1:12" x14ac:dyDescent="0.25">
      <c r="A1475" s="45">
        <f>C1475&amp;"."&amp;IFERROR(MID(E1475,FIND("(",E1475)+1,FIND(")",E1475)-FIND("(",E1475)-1),"")</f>
      </c>
      <c r="B1475" s="46" t="s">
        <v>1178</v>
      </c>
      <c r="C1475" s="46">
        <v>75907</v>
      </c>
      <c r="D1475" s="46" t="s">
        <v>2991</v>
      </c>
      <c r="E1475" s="46" t="s">
        <v>2992</v>
      </c>
      <c r="F1475" s="46" t="s">
        <v>26</v>
      </c>
      <c r="G1475" s="47">
        <v>2.97</v>
      </c>
      <c r="H1475" s="48">
        <v>8.35</v>
      </c>
      <c r="I1475" s="48">
        <v>33.4</v>
      </c>
      <c r="J1475" s="49">
        <v>4</v>
      </c>
      <c r="K1475" s="49">
        <v>0</v>
      </c>
      <c r="L1475" s="49">
        <v>4</v>
      </c>
    </row>
    <row r="1476" spans="1:12" x14ac:dyDescent="0.25">
      <c r="A1476" s="45">
        <f>C1476&amp;"."&amp;IFERROR(MID(E1476,FIND("(",E1476)+1,FIND(")",E1476)-FIND("(",E1476)-1),"")</f>
      </c>
      <c r="B1476" s="46" t="s">
        <v>1178</v>
      </c>
      <c r="C1476" s="46">
        <v>75907</v>
      </c>
      <c r="D1476" s="46" t="s">
        <v>2991</v>
      </c>
      <c r="E1476" s="46" t="s">
        <v>2993</v>
      </c>
      <c r="F1476" s="46" t="s">
        <v>26</v>
      </c>
      <c r="G1476" s="47">
        <v>2.97</v>
      </c>
      <c r="H1476" s="48">
        <v>8.35</v>
      </c>
      <c r="I1476" s="48">
        <v>8.35</v>
      </c>
      <c r="J1476" s="49">
        <v>1</v>
      </c>
      <c r="K1476" s="49">
        <v>0</v>
      </c>
      <c r="L1476" s="49">
        <v>1</v>
      </c>
    </row>
    <row r="1477" spans="1:12" x14ac:dyDescent="0.25">
      <c r="A1477" s="45">
        <f>C1477&amp;"."&amp;IFERROR(MID(E1477,FIND("(",E1477)+1,FIND(")",E1477)-FIND("(",E1477)-1),"")</f>
      </c>
      <c r="B1477" s="46" t="s">
        <v>1178</v>
      </c>
      <c r="C1477" s="46">
        <v>75907</v>
      </c>
      <c r="D1477" s="46" t="s">
        <v>2991</v>
      </c>
      <c r="E1477" s="46" t="s">
        <v>2994</v>
      </c>
      <c r="F1477" s="46" t="s">
        <v>26</v>
      </c>
      <c r="G1477" s="47">
        <v>2.97</v>
      </c>
      <c r="H1477" s="48">
        <v>11.297</v>
      </c>
      <c r="I1477" s="48">
        <v>33.891</v>
      </c>
      <c r="J1477" s="49">
        <v>3</v>
      </c>
      <c r="K1477" s="49">
        <v>0</v>
      </c>
      <c r="L1477" s="49">
        <v>3</v>
      </c>
    </row>
    <row r="1478" spans="1:12" x14ac:dyDescent="0.25">
      <c r="A1478" s="45">
        <f>C1478&amp;"."&amp;IFERROR(MID(E1478,FIND("(",E1478)+1,FIND(")",E1478)-FIND("(",E1478)-1),"")</f>
      </c>
      <c r="B1478" s="46" t="s">
        <v>1178</v>
      </c>
      <c r="C1478" s="46">
        <v>75910</v>
      </c>
      <c r="D1478" s="46" t="s">
        <v>2995</v>
      </c>
      <c r="E1478" s="46" t="s">
        <v>2996</v>
      </c>
      <c r="F1478" s="46" t="s">
        <v>26</v>
      </c>
      <c r="G1478" s="47">
        <v>3.39</v>
      </c>
      <c r="H1478" s="48">
        <v>9.5</v>
      </c>
      <c r="I1478" s="48">
        <v>66.5</v>
      </c>
      <c r="J1478" s="49">
        <v>7</v>
      </c>
      <c r="K1478" s="49">
        <v>0</v>
      </c>
      <c r="L1478" s="49">
        <v>7</v>
      </c>
    </row>
    <row r="1479" spans="1:12" x14ac:dyDescent="0.25">
      <c r="A1479" s="45">
        <f>C1479&amp;"."&amp;IFERROR(MID(E1479,FIND("(",E1479)+1,FIND(")",E1479)-FIND("(",E1479)-1),"")</f>
      </c>
      <c r="B1479" s="46" t="s">
        <v>1178</v>
      </c>
      <c r="C1479" s="46">
        <v>75910</v>
      </c>
      <c r="D1479" s="46" t="s">
        <v>2995</v>
      </c>
      <c r="E1479" s="46" t="s">
        <v>2997</v>
      </c>
      <c r="F1479" s="46" t="s">
        <v>26</v>
      </c>
      <c r="G1479" s="47">
        <v>3.39</v>
      </c>
      <c r="H1479" s="48">
        <v>12.472</v>
      </c>
      <c r="I1479" s="48">
        <v>49.89</v>
      </c>
      <c r="J1479" s="49">
        <v>4</v>
      </c>
      <c r="K1479" s="49">
        <v>1</v>
      </c>
      <c r="L1479" s="49">
        <v>3</v>
      </c>
    </row>
    <row r="1480" spans="1:12" x14ac:dyDescent="0.25">
      <c r="A1480" s="45">
        <f>C1480&amp;"."&amp;IFERROR(MID(E1480,FIND("(",E1480)+1,FIND(")",E1480)-FIND("(",E1480)-1),"")</f>
      </c>
      <c r="B1480" s="46" t="s">
        <v>1178</v>
      </c>
      <c r="C1480" s="46">
        <v>75913</v>
      </c>
      <c r="D1480" s="46" t="s">
        <v>2998</v>
      </c>
      <c r="E1480" s="46" t="s">
        <v>2999</v>
      </c>
      <c r="F1480" s="46" t="s">
        <v>26</v>
      </c>
      <c r="G1480" s="47">
        <v>4.66</v>
      </c>
      <c r="H1480" s="48">
        <v>14.07</v>
      </c>
      <c r="I1480" s="48">
        <v>154.771</v>
      </c>
      <c r="J1480" s="49">
        <v>11</v>
      </c>
      <c r="K1480" s="49">
        <v>11</v>
      </c>
      <c r="L1480" s="49">
        <v>0</v>
      </c>
    </row>
    <row r="1481" spans="1:12" x14ac:dyDescent="0.25">
      <c r="A1481" s="45">
        <f>C1481&amp;"."&amp;IFERROR(MID(E1481,FIND("(",E1481)+1,FIND(")",E1481)-FIND("(",E1481)-1),"")</f>
      </c>
      <c r="B1481" s="46" t="s">
        <v>1178</v>
      </c>
      <c r="C1481" s="46">
        <v>75918</v>
      </c>
      <c r="D1481" s="46" t="s">
        <v>3000</v>
      </c>
      <c r="E1481" s="46" t="s">
        <v>3001</v>
      </c>
      <c r="F1481" s="46" t="s">
        <v>26</v>
      </c>
      <c r="G1481" s="47">
        <v>14.6</v>
      </c>
      <c r="H1481" s="48">
        <v>44.54</v>
      </c>
      <c r="I1481" s="48">
        <v>178.16</v>
      </c>
      <c r="J1481" s="49">
        <v>4</v>
      </c>
      <c r="K1481" s="49">
        <v>0</v>
      </c>
      <c r="L1481" s="49">
        <v>4</v>
      </c>
    </row>
    <row r="1482" spans="1:12" x14ac:dyDescent="0.25">
      <c r="A1482" s="45">
        <f>C1482&amp;"."&amp;IFERROR(MID(E1482,FIND("(",E1482)+1,FIND(")",E1482)-FIND("(",E1482)-1),"")</f>
      </c>
      <c r="B1482" s="46" t="s">
        <v>1178</v>
      </c>
      <c r="C1482" s="46">
        <v>75918</v>
      </c>
      <c r="D1482" s="46" t="s">
        <v>3000</v>
      </c>
      <c r="E1482" s="46" t="s">
        <v>3002</v>
      </c>
      <c r="F1482" s="46" t="s">
        <v>26</v>
      </c>
      <c r="G1482" s="47">
        <v>14.6</v>
      </c>
      <c r="H1482" s="48">
        <v>45.931</v>
      </c>
      <c r="I1482" s="48">
        <v>229.654</v>
      </c>
      <c r="J1482" s="49">
        <v>5</v>
      </c>
      <c r="K1482" s="49">
        <v>5</v>
      </c>
      <c r="L1482" s="49">
        <v>0</v>
      </c>
    </row>
    <row r="1483" spans="1:12" x14ac:dyDescent="0.25">
      <c r="A1483" s="45">
        <f>C1483&amp;"."&amp;IFERROR(MID(E1483,FIND("(",E1483)+1,FIND(")",E1483)-FIND("(",E1483)-1),"")</f>
      </c>
      <c r="B1483" s="46" t="s">
        <v>1178</v>
      </c>
      <c r="C1483" s="46">
        <v>75918</v>
      </c>
      <c r="D1483" s="46" t="s">
        <v>3000</v>
      </c>
      <c r="E1483" s="46" t="s">
        <v>3003</v>
      </c>
      <c r="F1483" s="46" t="s">
        <v>26</v>
      </c>
      <c r="G1483" s="47">
        <v>14.6</v>
      </c>
      <c r="H1483" s="48">
        <v>44.54</v>
      </c>
      <c r="I1483" s="48">
        <v>44.54</v>
      </c>
      <c r="J1483" s="49">
        <v>1</v>
      </c>
      <c r="K1483" s="49">
        <v>1</v>
      </c>
      <c r="L1483" s="49">
        <v>0</v>
      </c>
    </row>
    <row r="1484" spans="1:12" x14ac:dyDescent="0.25">
      <c r="A1484" s="45">
        <f>C1484&amp;"."&amp;IFERROR(MID(E1484,FIND("(",E1484)+1,FIND(")",E1484)-FIND("(",E1484)-1),"")</f>
      </c>
      <c r="B1484" s="46" t="s">
        <v>1178</v>
      </c>
      <c r="C1484" s="46">
        <v>75920</v>
      </c>
      <c r="D1484" s="46" t="s">
        <v>3004</v>
      </c>
      <c r="E1484" s="46" t="s">
        <v>3005</v>
      </c>
      <c r="F1484" s="46" t="s">
        <v>26</v>
      </c>
      <c r="G1484" s="47">
        <v>12.87</v>
      </c>
      <c r="H1484" s="48">
        <v>39.348</v>
      </c>
      <c r="I1484" s="48">
        <v>196.738</v>
      </c>
      <c r="J1484" s="49">
        <v>5</v>
      </c>
      <c r="K1484" s="49">
        <v>3</v>
      </c>
      <c r="L1484" s="49">
        <v>2</v>
      </c>
    </row>
    <row r="1485" spans="1:12" x14ac:dyDescent="0.25">
      <c r="A1485" s="45">
        <f>C1485&amp;"."&amp;IFERROR(MID(E1485,FIND("(",E1485)+1,FIND(")",E1485)-FIND("(",E1485)-1),"")</f>
      </c>
      <c r="B1485" s="46" t="s">
        <v>1178</v>
      </c>
      <c r="C1485" s="46">
        <v>75920</v>
      </c>
      <c r="D1485" s="46" t="s">
        <v>3004</v>
      </c>
      <c r="E1485" s="46" t="s">
        <v>3006</v>
      </c>
      <c r="F1485" s="46" t="s">
        <v>26</v>
      </c>
      <c r="G1485" s="47">
        <v>12.87</v>
      </c>
      <c r="H1485" s="48">
        <v>39.28</v>
      </c>
      <c r="I1485" s="48">
        <v>78.56</v>
      </c>
      <c r="J1485" s="49">
        <v>2</v>
      </c>
      <c r="K1485" s="49">
        <v>2</v>
      </c>
      <c r="L1485" s="49">
        <v>0</v>
      </c>
    </row>
    <row r="1486" spans="1:12" x14ac:dyDescent="0.25">
      <c r="A1486" s="45">
        <f>C1486&amp;"."&amp;IFERROR(MID(E1486,FIND("(",E1486)+1,FIND(")",E1486)-FIND("(",E1486)-1),"")</f>
      </c>
      <c r="B1486" s="46" t="s">
        <v>1178</v>
      </c>
      <c r="C1486" s="46">
        <v>75929</v>
      </c>
      <c r="D1486" s="46" t="s">
        <v>3007</v>
      </c>
      <c r="E1486" s="46" t="s">
        <v>3008</v>
      </c>
      <c r="F1486" s="46" t="s">
        <v>26</v>
      </c>
      <c r="G1486" s="47">
        <v>1.51</v>
      </c>
      <c r="H1486" s="48">
        <v>4.223</v>
      </c>
      <c r="I1486" s="48">
        <v>8.446</v>
      </c>
      <c r="J1486" s="49">
        <v>2</v>
      </c>
      <c r="K1486" s="49">
        <v>0</v>
      </c>
      <c r="L1486" s="49">
        <v>2</v>
      </c>
    </row>
    <row r="1487" spans="1:12" x14ac:dyDescent="0.25">
      <c r="A1487" s="45">
        <f>C1487&amp;"."&amp;IFERROR(MID(E1487,FIND("(",E1487)+1,FIND(")",E1487)-FIND("(",E1487)-1),"")</f>
      </c>
      <c r="B1487" s="46" t="s">
        <v>1178</v>
      </c>
      <c r="C1487" s="46">
        <v>75929</v>
      </c>
      <c r="D1487" s="46" t="s">
        <v>3007</v>
      </c>
      <c r="E1487" s="46" t="s">
        <v>3009</v>
      </c>
      <c r="F1487" s="46" t="s">
        <v>26</v>
      </c>
      <c r="G1487" s="47">
        <v>1.51</v>
      </c>
      <c r="H1487" s="48">
        <v>4.235</v>
      </c>
      <c r="I1487" s="48">
        <v>21.177</v>
      </c>
      <c r="J1487" s="49">
        <v>5</v>
      </c>
      <c r="K1487" s="49">
        <v>0</v>
      </c>
      <c r="L1487" s="49">
        <v>5</v>
      </c>
    </row>
    <row r="1488" spans="1:12" x14ac:dyDescent="0.25">
      <c r="A1488" s="45">
        <f>C1488&amp;"."&amp;IFERROR(MID(E1488,FIND("(",E1488)+1,FIND(")",E1488)-FIND("(",E1488)-1),"")</f>
      </c>
      <c r="B1488" s="46" t="s">
        <v>1178</v>
      </c>
      <c r="C1488" s="46">
        <v>75929</v>
      </c>
      <c r="D1488" s="46" t="s">
        <v>3007</v>
      </c>
      <c r="E1488" s="46" t="s">
        <v>3010</v>
      </c>
      <c r="F1488" s="46" t="s">
        <v>26</v>
      </c>
      <c r="G1488" s="47">
        <v>1.51</v>
      </c>
      <c r="H1488" s="48">
        <v>4.187</v>
      </c>
      <c r="I1488" s="48">
        <v>12.561</v>
      </c>
      <c r="J1488" s="49">
        <v>3</v>
      </c>
      <c r="K1488" s="49">
        <v>0</v>
      </c>
      <c r="L1488" s="49">
        <v>3</v>
      </c>
    </row>
    <row r="1489" spans="1:12" x14ac:dyDescent="0.25">
      <c r="A1489" s="45">
        <f>C1489&amp;"."&amp;IFERROR(MID(E1489,FIND("(",E1489)+1,FIND(")",E1489)-FIND("(",E1489)-1),"")</f>
      </c>
      <c r="B1489" s="46" t="s">
        <v>1178</v>
      </c>
      <c r="C1489" s="46">
        <v>75930</v>
      </c>
      <c r="D1489" s="46" t="s">
        <v>3011</v>
      </c>
      <c r="E1489" s="46" t="s">
        <v>3012</v>
      </c>
      <c r="F1489" s="46" t="s">
        <v>26</v>
      </c>
      <c r="G1489" s="47">
        <v>1.51</v>
      </c>
      <c r="H1489" s="48">
        <v>4.502</v>
      </c>
      <c r="I1489" s="48">
        <v>13.505</v>
      </c>
      <c r="J1489" s="49">
        <v>3</v>
      </c>
      <c r="K1489" s="49">
        <v>0</v>
      </c>
      <c r="L1489" s="49">
        <v>3</v>
      </c>
    </row>
    <row r="1490" spans="1:12" x14ac:dyDescent="0.25">
      <c r="A1490" s="45">
        <f>C1490&amp;"."&amp;IFERROR(MID(E1490,FIND("(",E1490)+1,FIND(")",E1490)-FIND("(",E1490)-1),"")</f>
      </c>
      <c r="B1490" s="46" t="s">
        <v>1178</v>
      </c>
      <c r="C1490" s="46">
        <v>75930</v>
      </c>
      <c r="D1490" s="46" t="s">
        <v>3011</v>
      </c>
      <c r="E1490" s="46" t="s">
        <v>3013</v>
      </c>
      <c r="F1490" s="46" t="s">
        <v>26</v>
      </c>
      <c r="G1490" s="47">
        <v>1.51</v>
      </c>
      <c r="H1490" s="48">
        <v>4.417</v>
      </c>
      <c r="I1490" s="48">
        <v>4.417</v>
      </c>
      <c r="J1490" s="49">
        <v>1</v>
      </c>
      <c r="K1490" s="49">
        <v>0</v>
      </c>
      <c r="L1490" s="49">
        <v>1</v>
      </c>
    </row>
    <row r="1491" spans="1:12" x14ac:dyDescent="0.25">
      <c r="A1491" s="45">
        <f>C1491&amp;"."&amp;IFERROR(MID(E1491,FIND("(",E1491)+1,FIND(")",E1491)-FIND("(",E1491)-1),"")</f>
      </c>
      <c r="B1491" s="46" t="s">
        <v>1178</v>
      </c>
      <c r="C1491" s="46">
        <v>75933</v>
      </c>
      <c r="D1491" s="46" t="s">
        <v>3014</v>
      </c>
      <c r="E1491" s="46" t="s">
        <v>3015</v>
      </c>
      <c r="F1491" s="46" t="s">
        <v>26</v>
      </c>
      <c r="G1491" s="47">
        <v>11.99</v>
      </c>
      <c r="H1491" s="48">
        <v>34.573</v>
      </c>
      <c r="I1491" s="48">
        <v>103.718</v>
      </c>
      <c r="J1491" s="49">
        <v>3</v>
      </c>
      <c r="K1491" s="49">
        <v>0</v>
      </c>
      <c r="L1491" s="49">
        <v>3</v>
      </c>
    </row>
    <row r="1492" spans="1:12" x14ac:dyDescent="0.25">
      <c r="A1492" s="45">
        <f>C1492&amp;"."&amp;IFERROR(MID(E1492,FIND("(",E1492)+1,FIND(")",E1492)-FIND("(",E1492)-1),"")</f>
      </c>
      <c r="B1492" s="46" t="s">
        <v>1178</v>
      </c>
      <c r="C1492" s="46">
        <v>75933</v>
      </c>
      <c r="D1492" s="46" t="s">
        <v>3014</v>
      </c>
      <c r="E1492" s="46" t="s">
        <v>3016</v>
      </c>
      <c r="F1492" s="46" t="s">
        <v>26</v>
      </c>
      <c r="G1492" s="47">
        <v>11.99</v>
      </c>
      <c r="H1492" s="48">
        <v>33.883</v>
      </c>
      <c r="I1492" s="48">
        <v>67.766</v>
      </c>
      <c r="J1492" s="49">
        <v>2</v>
      </c>
      <c r="K1492" s="49">
        <v>0</v>
      </c>
      <c r="L1492" s="49">
        <v>2</v>
      </c>
    </row>
    <row r="1493" spans="1:12" x14ac:dyDescent="0.25">
      <c r="A1493" s="45">
        <f>C1493&amp;"."&amp;IFERROR(MID(E1493,FIND("(",E1493)+1,FIND(")",E1493)-FIND("(",E1493)-1),"")</f>
      </c>
      <c r="B1493" s="46" t="s">
        <v>1178</v>
      </c>
      <c r="C1493" s="46">
        <v>75937</v>
      </c>
      <c r="D1493" s="46" t="s">
        <v>3017</v>
      </c>
      <c r="E1493" s="46" t="s">
        <v>1248</v>
      </c>
      <c r="F1493" s="46" t="s">
        <v>24</v>
      </c>
      <c r="G1493" s="47">
        <v>0.87</v>
      </c>
      <c r="H1493" s="48">
        <v>19.009</v>
      </c>
      <c r="I1493" s="48">
        <v>38.018</v>
      </c>
      <c r="J1493" s="49">
        <v>2</v>
      </c>
      <c r="K1493" s="49">
        <v>2</v>
      </c>
      <c r="L1493" s="49">
        <v>0</v>
      </c>
    </row>
    <row r="1494" spans="1:12" x14ac:dyDescent="0.25">
      <c r="A1494" s="45">
        <f>C1494&amp;"."&amp;IFERROR(MID(E1494,FIND("(",E1494)+1,FIND(")",E1494)-FIND("(",E1494)-1),"")</f>
      </c>
      <c r="B1494" s="46" t="s">
        <v>1178</v>
      </c>
      <c r="C1494" s="46">
        <v>75939</v>
      </c>
      <c r="D1494" s="46" t="s">
        <v>3018</v>
      </c>
      <c r="E1494" s="46" t="s">
        <v>3019</v>
      </c>
      <c r="F1494" s="46" t="s">
        <v>26</v>
      </c>
      <c r="G1494" s="47">
        <v>11.99</v>
      </c>
      <c r="H1494" s="48">
        <v>33.653</v>
      </c>
      <c r="I1494" s="48">
        <v>134.612</v>
      </c>
      <c r="J1494" s="49">
        <v>4</v>
      </c>
      <c r="K1494" s="49">
        <v>0</v>
      </c>
      <c r="L1494" s="49">
        <v>4</v>
      </c>
    </row>
    <row r="1495" spans="1:12" x14ac:dyDescent="0.25">
      <c r="A1495" s="45">
        <f>C1495&amp;"."&amp;IFERROR(MID(E1495,FIND("(",E1495)+1,FIND(")",E1495)-FIND("(",E1495)-1),"")</f>
      </c>
      <c r="B1495" s="46" t="s">
        <v>1178</v>
      </c>
      <c r="C1495" s="46">
        <v>75939</v>
      </c>
      <c r="D1495" s="46" t="s">
        <v>3018</v>
      </c>
      <c r="E1495" s="46" t="s">
        <v>3020</v>
      </c>
      <c r="F1495" s="46" t="s">
        <v>26</v>
      </c>
      <c r="G1495" s="47">
        <v>11.99</v>
      </c>
      <c r="H1495" s="48">
        <v>32.999</v>
      </c>
      <c r="I1495" s="48">
        <v>32.999</v>
      </c>
      <c r="J1495" s="49">
        <v>1</v>
      </c>
      <c r="K1495" s="49">
        <v>0</v>
      </c>
      <c r="L1495" s="49">
        <v>1</v>
      </c>
    </row>
    <row r="1496" spans="1:12" x14ac:dyDescent="0.25">
      <c r="A1496" s="45">
        <f>C1496&amp;"."&amp;IFERROR(MID(E1496,FIND("(",E1496)+1,FIND(")",E1496)-FIND("(",E1496)-1),"")</f>
      </c>
      <c r="B1496" s="46" t="s">
        <v>1178</v>
      </c>
      <c r="C1496" s="46">
        <v>75940</v>
      </c>
      <c r="D1496" s="46" t="s">
        <v>3021</v>
      </c>
      <c r="E1496" s="46" t="s">
        <v>3022</v>
      </c>
      <c r="F1496" s="46" t="s">
        <v>26</v>
      </c>
      <c r="G1496" s="47">
        <v>2.02</v>
      </c>
      <c r="H1496" s="48">
        <v>6.835</v>
      </c>
      <c r="I1496" s="48">
        <v>20.504</v>
      </c>
      <c r="J1496" s="49">
        <v>3</v>
      </c>
      <c r="K1496" s="49">
        <v>0</v>
      </c>
      <c r="L1496" s="49">
        <v>3</v>
      </c>
    </row>
    <row r="1497" spans="1:12" x14ac:dyDescent="0.25">
      <c r="A1497" s="45">
        <f>C1497&amp;"."&amp;IFERROR(MID(E1497,FIND("(",E1497)+1,FIND(")",E1497)-FIND("(",E1497)-1),"")</f>
      </c>
      <c r="B1497" s="46" t="s">
        <v>1178</v>
      </c>
      <c r="C1497" s="46">
        <v>75940</v>
      </c>
      <c r="D1497" s="46" t="s">
        <v>3021</v>
      </c>
      <c r="E1497" s="46" t="s">
        <v>3023</v>
      </c>
      <c r="F1497" s="46" t="s">
        <v>26</v>
      </c>
      <c r="G1497" s="47">
        <v>2.02</v>
      </c>
      <c r="H1497" s="48">
        <v>6.48</v>
      </c>
      <c r="I1497" s="48">
        <v>6.48</v>
      </c>
      <c r="J1497" s="49">
        <v>1</v>
      </c>
      <c r="K1497" s="49">
        <v>0</v>
      </c>
      <c r="L1497" s="49">
        <v>1</v>
      </c>
    </row>
    <row r="1498" spans="1:12" x14ac:dyDescent="0.25">
      <c r="A1498" s="45">
        <f>C1498&amp;"."&amp;IFERROR(MID(E1498,FIND("(",E1498)+1,FIND(")",E1498)-FIND("(",E1498)-1),"")</f>
      </c>
      <c r="B1498" s="46" t="s">
        <v>1178</v>
      </c>
      <c r="C1498" s="46">
        <v>75942</v>
      </c>
      <c r="D1498" s="46" t="s">
        <v>3024</v>
      </c>
      <c r="E1498" s="46" t="s">
        <v>3025</v>
      </c>
      <c r="F1498" s="46" t="s">
        <v>26</v>
      </c>
      <c r="G1498" s="47">
        <v>0.28</v>
      </c>
      <c r="H1498" s="48">
        <v>1.077</v>
      </c>
      <c r="I1498" s="48">
        <v>2.154</v>
      </c>
      <c r="J1498" s="49">
        <v>2</v>
      </c>
      <c r="K1498" s="49">
        <v>0</v>
      </c>
      <c r="L1498" s="49">
        <v>2</v>
      </c>
    </row>
    <row r="1499" spans="1:12" x14ac:dyDescent="0.25">
      <c r="A1499" s="45">
        <f>C1499&amp;"."&amp;IFERROR(MID(E1499,FIND("(",E1499)+1,FIND(")",E1499)-FIND("(",E1499)-1),"")</f>
      </c>
      <c r="B1499" s="46" t="s">
        <v>1178</v>
      </c>
      <c r="C1499" s="46">
        <v>75942</v>
      </c>
      <c r="D1499" s="46" t="s">
        <v>3024</v>
      </c>
      <c r="E1499" s="46" t="s">
        <v>3026</v>
      </c>
      <c r="F1499" s="46" t="s">
        <v>26</v>
      </c>
      <c r="G1499" s="47">
        <v>0.28</v>
      </c>
      <c r="H1499" s="48">
        <v>1.093</v>
      </c>
      <c r="I1499" s="48">
        <v>1.093</v>
      </c>
      <c r="J1499" s="49">
        <v>1</v>
      </c>
      <c r="K1499" s="49">
        <v>0</v>
      </c>
      <c r="L1499" s="49">
        <v>1</v>
      </c>
    </row>
    <row r="1500" spans="1:12" x14ac:dyDescent="0.25">
      <c r="A1500" s="45">
        <f>C1500&amp;"."&amp;IFERROR(MID(E1500,FIND("(",E1500)+1,FIND(")",E1500)-FIND("(",E1500)-1),"")</f>
      </c>
      <c r="B1500" s="46" t="s">
        <v>1178</v>
      </c>
      <c r="C1500" s="46">
        <v>75950</v>
      </c>
      <c r="D1500" s="46" t="s">
        <v>3027</v>
      </c>
      <c r="E1500" s="46" t="s">
        <v>1248</v>
      </c>
      <c r="F1500" s="46" t="s">
        <v>26</v>
      </c>
      <c r="G1500" s="47">
        <v>0.28</v>
      </c>
      <c r="H1500" s="48">
        <v>0.895</v>
      </c>
      <c r="I1500" s="48">
        <v>0.895</v>
      </c>
      <c r="J1500" s="49">
        <v>1</v>
      </c>
      <c r="K1500" s="49">
        <v>0</v>
      </c>
      <c r="L1500" s="49">
        <v>1</v>
      </c>
    </row>
    <row r="1501" spans="1:12" x14ac:dyDescent="0.25">
      <c r="A1501" s="45">
        <f>C1501&amp;"."&amp;IFERROR(MID(E1501,FIND("(",E1501)+1,FIND(")",E1501)-FIND("(",E1501)-1),"")</f>
      </c>
      <c r="B1501" s="46" t="s">
        <v>1178</v>
      </c>
      <c r="C1501" s="46">
        <v>75953</v>
      </c>
      <c r="D1501" s="46" t="s">
        <v>3028</v>
      </c>
      <c r="E1501" s="46" t="s">
        <v>3029</v>
      </c>
      <c r="F1501" s="46" t="s">
        <v>26</v>
      </c>
      <c r="G1501" s="47">
        <v>0.33</v>
      </c>
      <c r="H1501" s="48">
        <v>1.029</v>
      </c>
      <c r="I1501" s="48">
        <v>1.029</v>
      </c>
      <c r="J1501" s="49">
        <v>1</v>
      </c>
      <c r="K1501" s="49">
        <v>0</v>
      </c>
      <c r="L1501" s="49">
        <v>1</v>
      </c>
    </row>
    <row r="1502" spans="1:12" x14ac:dyDescent="0.25">
      <c r="A1502" s="45">
        <f>C1502&amp;"."&amp;IFERROR(MID(E1502,FIND("(",E1502)+1,FIND(")",E1502)-FIND("(",E1502)-1),"")</f>
      </c>
      <c r="B1502" s="46" t="s">
        <v>1178</v>
      </c>
      <c r="C1502" s="46">
        <v>75958</v>
      </c>
      <c r="D1502" s="46" t="s">
        <v>3030</v>
      </c>
      <c r="E1502" s="46" t="s">
        <v>3031</v>
      </c>
      <c r="F1502" s="46" t="s">
        <v>26</v>
      </c>
      <c r="G1502" s="47">
        <v>0.33</v>
      </c>
      <c r="H1502" s="48">
        <v>1.041</v>
      </c>
      <c r="I1502" s="48">
        <v>1.041</v>
      </c>
      <c r="J1502" s="49">
        <v>1</v>
      </c>
      <c r="K1502" s="49">
        <v>0</v>
      </c>
      <c r="L1502" s="49">
        <v>1</v>
      </c>
    </row>
    <row r="1503" spans="1:12" x14ac:dyDescent="0.25">
      <c r="A1503" s="45">
        <f>C1503&amp;"."&amp;IFERROR(MID(E1503,FIND("(",E1503)+1,FIND(")",E1503)-FIND("(",E1503)-1),"")</f>
      </c>
      <c r="B1503" s="46" t="s">
        <v>1178</v>
      </c>
      <c r="C1503" s="46">
        <v>75958</v>
      </c>
      <c r="D1503" s="46" t="s">
        <v>3030</v>
      </c>
      <c r="E1503" s="46" t="s">
        <v>3032</v>
      </c>
      <c r="F1503" s="46" t="s">
        <v>26</v>
      </c>
      <c r="G1503" s="47">
        <v>0.33</v>
      </c>
      <c r="H1503" s="48">
        <v>1.029</v>
      </c>
      <c r="I1503" s="48">
        <v>1.029</v>
      </c>
      <c r="J1503" s="49">
        <v>1</v>
      </c>
      <c r="K1503" s="49">
        <v>0</v>
      </c>
      <c r="L1503" s="49">
        <v>1</v>
      </c>
    </row>
    <row r="1504" spans="1:12" x14ac:dyDescent="0.25">
      <c r="A1504" s="45">
        <f>C1504&amp;"."&amp;IFERROR(MID(E1504,FIND("(",E1504)+1,FIND(")",E1504)-FIND("(",E1504)-1),"")</f>
      </c>
      <c r="B1504" s="46" t="s">
        <v>1178</v>
      </c>
      <c r="C1504" s="46">
        <v>75960</v>
      </c>
      <c r="D1504" s="46" t="s">
        <v>3033</v>
      </c>
      <c r="E1504" s="46" t="s">
        <v>3034</v>
      </c>
      <c r="F1504" s="46" t="s">
        <v>24</v>
      </c>
      <c r="G1504" s="47">
        <v>0.52</v>
      </c>
      <c r="H1504" s="48">
        <v>2.687</v>
      </c>
      <c r="I1504" s="48">
        <v>29.561</v>
      </c>
      <c r="J1504" s="49">
        <v>11</v>
      </c>
      <c r="K1504" s="49">
        <v>0</v>
      </c>
      <c r="L1504" s="49">
        <v>11</v>
      </c>
    </row>
    <row r="1505" spans="1:12" x14ac:dyDescent="0.25">
      <c r="A1505" s="45">
        <f>C1505&amp;"."&amp;IFERROR(MID(E1505,FIND("(",E1505)+1,FIND(")",E1505)-FIND("(",E1505)-1),"")</f>
      </c>
      <c r="B1505" s="46" t="s">
        <v>1178</v>
      </c>
      <c r="C1505" s="46">
        <v>75960</v>
      </c>
      <c r="D1505" s="46" t="s">
        <v>3033</v>
      </c>
      <c r="E1505" s="46" t="s">
        <v>3035</v>
      </c>
      <c r="F1505" s="46" t="s">
        <v>24</v>
      </c>
      <c r="G1505" s="47">
        <v>0.52</v>
      </c>
      <c r="H1505" s="48">
        <v>1.81</v>
      </c>
      <c r="I1505" s="48">
        <v>1.81</v>
      </c>
      <c r="J1505" s="49">
        <v>1</v>
      </c>
      <c r="K1505" s="49">
        <v>0</v>
      </c>
      <c r="L1505" s="49">
        <v>1</v>
      </c>
    </row>
    <row r="1506" spans="1:12" x14ac:dyDescent="0.25">
      <c r="A1506" s="45">
        <f>C1506&amp;"."&amp;IFERROR(MID(E1506,FIND("(",E1506)+1,FIND(")",E1506)-FIND("(",E1506)-1),"")</f>
      </c>
      <c r="B1506" s="46" t="s">
        <v>1178</v>
      </c>
      <c r="C1506" s="46">
        <v>75960</v>
      </c>
      <c r="D1506" s="46" t="s">
        <v>3033</v>
      </c>
      <c r="E1506" s="46" t="s">
        <v>3036</v>
      </c>
      <c r="F1506" s="46" t="s">
        <v>24</v>
      </c>
      <c r="G1506" s="47">
        <v>0.52</v>
      </c>
      <c r="H1506" s="48">
        <v>4.691</v>
      </c>
      <c r="I1506" s="48">
        <v>42.216</v>
      </c>
      <c r="J1506" s="49">
        <v>9</v>
      </c>
      <c r="K1506" s="49">
        <v>1</v>
      </c>
      <c r="L1506" s="49">
        <v>8</v>
      </c>
    </row>
    <row r="1507" spans="1:12" x14ac:dyDescent="0.25">
      <c r="A1507" s="45">
        <f>C1507&amp;"."&amp;IFERROR(MID(E1507,FIND("(",E1507)+1,FIND(")",E1507)-FIND("(",E1507)-1),"")</f>
      </c>
      <c r="B1507" s="46" t="s">
        <v>1178</v>
      </c>
      <c r="C1507" s="46">
        <v>75961</v>
      </c>
      <c r="D1507" s="46" t="s">
        <v>3037</v>
      </c>
      <c r="E1507" s="46" t="s">
        <v>1248</v>
      </c>
      <c r="F1507" s="46" t="s">
        <v>26</v>
      </c>
      <c r="G1507" s="47">
        <v>0</v>
      </c>
      <c r="H1507" s="48">
        <v>14.173</v>
      </c>
      <c r="I1507" s="48">
        <v>311.802</v>
      </c>
      <c r="J1507" s="49">
        <v>22</v>
      </c>
      <c r="K1507" s="49">
        <v>0</v>
      </c>
      <c r="L1507" s="49">
        <v>22</v>
      </c>
    </row>
    <row r="1508" spans="1:12" x14ac:dyDescent="0.25">
      <c r="A1508" s="45">
        <f>C1508&amp;"."&amp;IFERROR(MID(E1508,FIND("(",E1508)+1,FIND(")",E1508)-FIND("(",E1508)-1),"")</f>
      </c>
      <c r="B1508" s="46" t="s">
        <v>1178</v>
      </c>
      <c r="C1508" s="46">
        <v>75962</v>
      </c>
      <c r="D1508" s="46" t="s">
        <v>3038</v>
      </c>
      <c r="E1508" s="46" t="s">
        <v>3039</v>
      </c>
      <c r="F1508" s="46" t="s">
        <v>26</v>
      </c>
      <c r="G1508" s="47">
        <v>13.01</v>
      </c>
      <c r="H1508" s="48">
        <v>39.861</v>
      </c>
      <c r="I1508" s="48">
        <v>39.861</v>
      </c>
      <c r="J1508" s="49">
        <v>1</v>
      </c>
      <c r="K1508" s="49">
        <v>0</v>
      </c>
      <c r="L1508" s="49">
        <v>1</v>
      </c>
    </row>
    <row r="1509" spans="1:12" x14ac:dyDescent="0.25">
      <c r="A1509" s="45">
        <f>C1509&amp;"."&amp;IFERROR(MID(E1509,FIND("(",E1509)+1,FIND(")",E1509)-FIND("(",E1509)-1),"")</f>
      </c>
      <c r="B1509" s="46" t="s">
        <v>1178</v>
      </c>
      <c r="C1509" s="46">
        <v>75962</v>
      </c>
      <c r="D1509" s="46" t="s">
        <v>3038</v>
      </c>
      <c r="E1509" s="46" t="s">
        <v>3040</v>
      </c>
      <c r="F1509" s="46" t="s">
        <v>26</v>
      </c>
      <c r="G1509" s="47">
        <v>13.01</v>
      </c>
      <c r="H1509" s="48">
        <v>40.2</v>
      </c>
      <c r="I1509" s="48">
        <v>160.798</v>
      </c>
      <c r="J1509" s="49">
        <v>4</v>
      </c>
      <c r="K1509" s="49">
        <v>0</v>
      </c>
      <c r="L1509" s="49">
        <v>4</v>
      </c>
    </row>
    <row r="1510" spans="1:12" x14ac:dyDescent="0.25">
      <c r="A1510" s="45">
        <f>C1510&amp;"."&amp;IFERROR(MID(E1510,FIND("(",E1510)+1,FIND(")",E1510)-FIND("(",E1510)-1),"")</f>
      </c>
      <c r="B1510" s="46" t="s">
        <v>1178</v>
      </c>
      <c r="C1510" s="46">
        <v>75963</v>
      </c>
      <c r="D1510" s="46" t="s">
        <v>3041</v>
      </c>
      <c r="E1510" s="46" t="s">
        <v>3042</v>
      </c>
      <c r="F1510" s="46" t="s">
        <v>24</v>
      </c>
      <c r="G1510" s="47">
        <v>1.15</v>
      </c>
      <c r="H1510" s="48">
        <v>6.431</v>
      </c>
      <c r="I1510" s="48">
        <v>45.02</v>
      </c>
      <c r="J1510" s="49">
        <v>7</v>
      </c>
      <c r="K1510" s="49">
        <v>0</v>
      </c>
      <c r="L1510" s="49">
        <v>7</v>
      </c>
    </row>
    <row r="1511" spans="1:12" x14ac:dyDescent="0.25">
      <c r="A1511" s="45">
        <f>C1511&amp;"."&amp;IFERROR(MID(E1511,FIND("(",E1511)+1,FIND(")",E1511)-FIND("(",E1511)-1),"")</f>
      </c>
      <c r="B1511" s="46" t="s">
        <v>1178</v>
      </c>
      <c r="C1511" s="46">
        <v>75963</v>
      </c>
      <c r="D1511" s="46" t="s">
        <v>3041</v>
      </c>
      <c r="E1511" s="46" t="s">
        <v>3043</v>
      </c>
      <c r="F1511" s="46" t="s">
        <v>24</v>
      </c>
      <c r="G1511" s="47">
        <v>1.15</v>
      </c>
      <c r="H1511" s="48">
        <v>5.843</v>
      </c>
      <c r="I1511" s="48">
        <v>81.804</v>
      </c>
      <c r="J1511" s="49">
        <v>14</v>
      </c>
      <c r="K1511" s="49">
        <v>1</v>
      </c>
      <c r="L1511" s="49">
        <v>13</v>
      </c>
    </row>
    <row r="1512" spans="1:12" x14ac:dyDescent="0.25">
      <c r="A1512" s="45">
        <f>C1512&amp;"."&amp;IFERROR(MID(E1512,FIND("(",E1512)+1,FIND(")",E1512)-FIND("(",E1512)-1),"")</f>
      </c>
      <c r="B1512" s="46" t="s">
        <v>1178</v>
      </c>
      <c r="C1512" s="46">
        <v>75963</v>
      </c>
      <c r="D1512" s="46" t="s">
        <v>3041</v>
      </c>
      <c r="E1512" s="46" t="s">
        <v>3044</v>
      </c>
      <c r="F1512" s="46" t="s">
        <v>24</v>
      </c>
      <c r="G1512" s="47">
        <v>1.15</v>
      </c>
      <c r="H1512" s="48">
        <v>6.53</v>
      </c>
      <c r="I1512" s="48">
        <v>124.071</v>
      </c>
      <c r="J1512" s="49">
        <v>19</v>
      </c>
      <c r="K1512" s="49">
        <v>6</v>
      </c>
      <c r="L1512" s="49">
        <v>13</v>
      </c>
    </row>
    <row r="1513" spans="1:12" x14ac:dyDescent="0.25">
      <c r="A1513" s="45">
        <f>C1513&amp;"."&amp;IFERROR(MID(E1513,FIND("(",E1513)+1,FIND(")",E1513)-FIND("(",E1513)-1),"")</f>
      </c>
      <c r="B1513" s="46" t="s">
        <v>1178</v>
      </c>
      <c r="C1513" s="46">
        <v>75963</v>
      </c>
      <c r="D1513" s="46" t="s">
        <v>3041</v>
      </c>
      <c r="E1513" s="46" t="s">
        <v>3045</v>
      </c>
      <c r="F1513" s="46" t="s">
        <v>24</v>
      </c>
      <c r="G1513" s="47">
        <v>1.15</v>
      </c>
      <c r="H1513" s="48">
        <v>6.098</v>
      </c>
      <c r="I1513" s="48">
        <v>36.586</v>
      </c>
      <c r="J1513" s="49">
        <v>6</v>
      </c>
      <c r="K1513" s="49">
        <v>1</v>
      </c>
      <c r="L1513" s="49">
        <v>5</v>
      </c>
    </row>
    <row r="1514" spans="1:12" x14ac:dyDescent="0.25">
      <c r="A1514" s="45">
        <f>C1514&amp;"."&amp;IFERROR(MID(E1514,FIND("(",E1514)+1,FIND(")",E1514)-FIND("(",E1514)-1),"")</f>
      </c>
      <c r="B1514" s="46" t="s">
        <v>1178</v>
      </c>
      <c r="C1514" s="46">
        <v>75964</v>
      </c>
      <c r="D1514" s="46" t="s">
        <v>3046</v>
      </c>
      <c r="E1514" s="46" t="s">
        <v>3047</v>
      </c>
      <c r="F1514" s="46" t="s">
        <v>26</v>
      </c>
      <c r="G1514" s="47">
        <v>13.01</v>
      </c>
      <c r="H1514" s="48">
        <v>40.2</v>
      </c>
      <c r="I1514" s="48">
        <v>160.798</v>
      </c>
      <c r="J1514" s="49">
        <v>4</v>
      </c>
      <c r="K1514" s="49">
        <v>0</v>
      </c>
      <c r="L1514" s="49">
        <v>4</v>
      </c>
    </row>
    <row r="1515" spans="1:12" x14ac:dyDescent="0.25">
      <c r="A1515" s="45">
        <f>C1515&amp;"."&amp;IFERROR(MID(E1515,FIND("(",E1515)+1,FIND(")",E1515)-FIND("(",E1515)-1),"")</f>
      </c>
      <c r="B1515" s="46" t="s">
        <v>1178</v>
      </c>
      <c r="C1515" s="46">
        <v>75964</v>
      </c>
      <c r="D1515" s="46" t="s">
        <v>3046</v>
      </c>
      <c r="E1515" s="46" t="s">
        <v>3048</v>
      </c>
      <c r="F1515" s="46" t="s">
        <v>26</v>
      </c>
      <c r="G1515" s="47">
        <v>13.01</v>
      </c>
      <c r="H1515" s="48">
        <v>39.861</v>
      </c>
      <c r="I1515" s="48">
        <v>119.582</v>
      </c>
      <c r="J1515" s="49">
        <v>3</v>
      </c>
      <c r="K1515" s="49">
        <v>0</v>
      </c>
      <c r="L1515" s="49">
        <v>3</v>
      </c>
    </row>
    <row r="1516" spans="1:12" x14ac:dyDescent="0.25">
      <c r="A1516" s="45">
        <f>C1516&amp;"."&amp;IFERROR(MID(E1516,FIND("(",E1516)+1,FIND(")",E1516)-FIND("(",E1516)-1),"")</f>
      </c>
      <c r="B1516" s="46" t="s">
        <v>1178</v>
      </c>
      <c r="C1516" s="46">
        <v>75966</v>
      </c>
      <c r="D1516" s="46" t="s">
        <v>3049</v>
      </c>
      <c r="E1516" s="46" t="s">
        <v>3050</v>
      </c>
      <c r="F1516" s="46" t="s">
        <v>24</v>
      </c>
      <c r="G1516" s="47">
        <v>0.43</v>
      </c>
      <c r="H1516" s="48">
        <v>1.232</v>
      </c>
      <c r="I1516" s="48">
        <v>12.325</v>
      </c>
      <c r="J1516" s="49">
        <v>10</v>
      </c>
      <c r="K1516" s="49">
        <v>0</v>
      </c>
      <c r="L1516" s="49">
        <v>10</v>
      </c>
    </row>
    <row r="1517" spans="1:12" x14ac:dyDescent="0.25">
      <c r="A1517" s="45">
        <f>C1517&amp;"."&amp;IFERROR(MID(E1517,FIND("(",E1517)+1,FIND(")",E1517)-FIND("(",E1517)-1),"")</f>
      </c>
      <c r="B1517" s="46" t="s">
        <v>1178</v>
      </c>
      <c r="C1517" s="46">
        <v>75966</v>
      </c>
      <c r="D1517" s="46" t="s">
        <v>3049</v>
      </c>
      <c r="E1517" s="46" t="s">
        <v>3051</v>
      </c>
      <c r="F1517" s="46" t="s">
        <v>24</v>
      </c>
      <c r="G1517" s="47">
        <v>0.43</v>
      </c>
      <c r="H1517" s="48">
        <v>1.122</v>
      </c>
      <c r="I1517" s="48">
        <v>6.733</v>
      </c>
      <c r="J1517" s="49">
        <v>6</v>
      </c>
      <c r="K1517" s="49">
        <v>0</v>
      </c>
      <c r="L1517" s="49">
        <v>6</v>
      </c>
    </row>
    <row r="1518" spans="1:12" x14ac:dyDescent="0.25">
      <c r="A1518" s="45">
        <f>C1518&amp;"."&amp;IFERROR(MID(E1518,FIND("(",E1518)+1,FIND(")",E1518)-FIND("(",E1518)-1),"")</f>
      </c>
      <c r="B1518" s="46" t="s">
        <v>1178</v>
      </c>
      <c r="C1518" s="46">
        <v>75968</v>
      </c>
      <c r="D1518" s="46" t="s">
        <v>3052</v>
      </c>
      <c r="E1518" s="46" t="s">
        <v>3053</v>
      </c>
      <c r="F1518" s="46" t="s">
        <v>24</v>
      </c>
      <c r="G1518" s="47">
        <v>0.43</v>
      </c>
      <c r="H1518" s="48">
        <v>1.506</v>
      </c>
      <c r="I1518" s="48">
        <v>15.057</v>
      </c>
      <c r="J1518" s="49">
        <v>10</v>
      </c>
      <c r="K1518" s="49">
        <v>0</v>
      </c>
      <c r="L1518" s="49">
        <v>10</v>
      </c>
    </row>
    <row r="1519" spans="1:12" x14ac:dyDescent="0.25">
      <c r="A1519" s="45">
        <f>C1519&amp;"."&amp;IFERROR(MID(E1519,FIND("(",E1519)+1,FIND(")",E1519)-FIND("(",E1519)-1),"")</f>
      </c>
      <c r="B1519" s="46" t="s">
        <v>1178</v>
      </c>
      <c r="C1519" s="46">
        <v>75968</v>
      </c>
      <c r="D1519" s="46" t="s">
        <v>3052</v>
      </c>
      <c r="E1519" s="46" t="s">
        <v>3054</v>
      </c>
      <c r="F1519" s="46" t="s">
        <v>24</v>
      </c>
      <c r="G1519" s="47">
        <v>0.43</v>
      </c>
      <c r="H1519" s="48">
        <v>1.446</v>
      </c>
      <c r="I1519" s="48">
        <v>15.904</v>
      </c>
      <c r="J1519" s="49">
        <v>11</v>
      </c>
      <c r="K1519" s="49">
        <v>1</v>
      </c>
      <c r="L1519" s="49">
        <v>10</v>
      </c>
    </row>
    <row r="1520" spans="1:12" x14ac:dyDescent="0.25">
      <c r="A1520" s="45">
        <f>C1520&amp;"."&amp;IFERROR(MID(E1520,FIND("(",E1520)+1,FIND(")",E1520)-FIND("(",E1520)-1),"")</f>
      </c>
      <c r="B1520" s="46" t="s">
        <v>1178</v>
      </c>
      <c r="C1520" s="46">
        <v>75970</v>
      </c>
      <c r="D1520" s="46" t="s">
        <v>3055</v>
      </c>
      <c r="E1520" s="46" t="s">
        <v>1248</v>
      </c>
      <c r="F1520" s="46" t="s">
        <v>24</v>
      </c>
      <c r="G1520" s="47">
        <v>0.32</v>
      </c>
      <c r="H1520" s="48">
        <v>0.475</v>
      </c>
      <c r="I1520" s="48">
        <v>5.229</v>
      </c>
      <c r="J1520" s="49">
        <v>11</v>
      </c>
      <c r="K1520" s="49">
        <v>1</v>
      </c>
      <c r="L1520" s="49">
        <v>10</v>
      </c>
    </row>
    <row r="1521" spans="1:12" x14ac:dyDescent="0.25">
      <c r="A1521" s="45">
        <f>C1521&amp;"."&amp;IFERROR(MID(E1521,FIND("(",E1521)+1,FIND(")",E1521)-FIND("(",E1521)-1),"")</f>
      </c>
      <c r="B1521" s="46" t="s">
        <v>1178</v>
      </c>
      <c r="C1521" s="46">
        <v>75972</v>
      </c>
      <c r="D1521" s="46" t="s">
        <v>3056</v>
      </c>
      <c r="E1521" s="46" t="s">
        <v>3057</v>
      </c>
      <c r="F1521" s="46" t="s">
        <v>24</v>
      </c>
      <c r="G1521" s="47">
        <v>0.48</v>
      </c>
      <c r="H1521" s="48">
        <v>0.722</v>
      </c>
      <c r="I1521" s="48">
        <v>7.942</v>
      </c>
      <c r="J1521" s="49">
        <v>11</v>
      </c>
      <c r="K1521" s="49">
        <v>0</v>
      </c>
      <c r="L1521" s="49">
        <v>11</v>
      </c>
    </row>
    <row r="1522" spans="1:12" x14ac:dyDescent="0.25">
      <c r="A1522" s="45">
        <f>C1522&amp;"."&amp;IFERROR(MID(E1522,FIND("(",E1522)+1,FIND(")",E1522)-FIND("(",E1522)-1),"")</f>
      </c>
      <c r="B1522" s="46" t="s">
        <v>1178</v>
      </c>
      <c r="C1522" s="46">
        <v>75972</v>
      </c>
      <c r="D1522" s="46" t="s">
        <v>3056</v>
      </c>
      <c r="E1522" s="46" t="s">
        <v>3058</v>
      </c>
      <c r="F1522" s="46" t="s">
        <v>24</v>
      </c>
      <c r="G1522" s="47">
        <v>0.48</v>
      </c>
      <c r="H1522" s="48">
        <v>0.937</v>
      </c>
      <c r="I1522" s="48">
        <v>18.735</v>
      </c>
      <c r="J1522" s="49">
        <v>20</v>
      </c>
      <c r="K1522" s="49">
        <v>1</v>
      </c>
      <c r="L1522" s="49">
        <v>19</v>
      </c>
    </row>
    <row r="1523" spans="1:12" x14ac:dyDescent="0.25">
      <c r="A1523" s="45">
        <f>C1523&amp;"."&amp;IFERROR(MID(E1523,FIND("(",E1523)+1,FIND(")",E1523)-FIND("(",E1523)-1),"")</f>
      </c>
      <c r="B1523" s="46" t="s">
        <v>1178</v>
      </c>
      <c r="C1523" s="46">
        <v>75974</v>
      </c>
      <c r="D1523" s="46" t="s">
        <v>3059</v>
      </c>
      <c r="E1523" s="46" t="s">
        <v>1248</v>
      </c>
      <c r="F1523" s="46" t="s">
        <v>24</v>
      </c>
      <c r="G1523" s="47">
        <v>1.14</v>
      </c>
      <c r="H1523" s="48">
        <v>3.213</v>
      </c>
      <c r="I1523" s="48">
        <v>28.921</v>
      </c>
      <c r="J1523" s="49">
        <v>9</v>
      </c>
      <c r="K1523" s="49">
        <v>0</v>
      </c>
      <c r="L1523" s="49">
        <v>9</v>
      </c>
    </row>
    <row r="1524" spans="1:12" x14ac:dyDescent="0.25">
      <c r="A1524" s="45">
        <f>C1524&amp;"."&amp;IFERROR(MID(E1524,FIND("(",E1524)+1,FIND(")",E1524)-FIND("(",E1524)-1),"")</f>
      </c>
      <c r="B1524" s="46" t="s">
        <v>1178</v>
      </c>
      <c r="C1524" s="46">
        <v>75976</v>
      </c>
      <c r="D1524" s="46" t="s">
        <v>3060</v>
      </c>
      <c r="E1524" s="46" t="s">
        <v>3061</v>
      </c>
      <c r="F1524" s="46" t="s">
        <v>24</v>
      </c>
      <c r="G1524" s="47">
        <v>1.18</v>
      </c>
      <c r="H1524" s="48">
        <v>3.75</v>
      </c>
      <c r="I1524" s="48">
        <v>3.75</v>
      </c>
      <c r="J1524" s="49">
        <v>1</v>
      </c>
      <c r="K1524" s="49">
        <v>1</v>
      </c>
      <c r="L1524" s="49">
        <v>0</v>
      </c>
    </row>
    <row r="1525" spans="1:12" x14ac:dyDescent="0.25">
      <c r="A1525" s="45">
        <f>C1525&amp;"."&amp;IFERROR(MID(E1525,FIND("(",E1525)+1,FIND(")",E1525)-FIND("(",E1525)-1),"")</f>
      </c>
      <c r="B1525" s="46" t="s">
        <v>1178</v>
      </c>
      <c r="C1525" s="46">
        <v>75976</v>
      </c>
      <c r="D1525" s="46" t="s">
        <v>3060</v>
      </c>
      <c r="E1525" s="46" t="s">
        <v>3062</v>
      </c>
      <c r="F1525" s="46" t="s">
        <v>24</v>
      </c>
      <c r="G1525" s="47">
        <v>1.18</v>
      </c>
      <c r="H1525" s="48">
        <v>3.773</v>
      </c>
      <c r="I1525" s="48">
        <v>33.959</v>
      </c>
      <c r="J1525" s="49">
        <v>9</v>
      </c>
      <c r="K1525" s="49">
        <v>0</v>
      </c>
      <c r="L1525" s="49">
        <v>9</v>
      </c>
    </row>
    <row r="1526" spans="1:12" x14ac:dyDescent="0.25">
      <c r="A1526" s="45">
        <f>C1526&amp;"."&amp;IFERROR(MID(E1526,FIND("(",E1526)+1,FIND(")",E1526)-FIND("(",E1526)-1),"")</f>
      </c>
      <c r="B1526" s="46" t="s">
        <v>1178</v>
      </c>
      <c r="C1526" s="46">
        <v>75976</v>
      </c>
      <c r="D1526" s="46" t="s">
        <v>3060</v>
      </c>
      <c r="E1526" s="46" t="s">
        <v>3063</v>
      </c>
      <c r="F1526" s="46" t="s">
        <v>24</v>
      </c>
      <c r="G1526" s="47">
        <v>1.18</v>
      </c>
      <c r="H1526" s="48">
        <v>3.97</v>
      </c>
      <c r="I1526" s="48">
        <v>23.819</v>
      </c>
      <c r="J1526" s="49">
        <v>6</v>
      </c>
      <c r="K1526" s="49">
        <v>0</v>
      </c>
      <c r="L1526" s="49">
        <v>6</v>
      </c>
    </row>
    <row r="1527" spans="1:12" x14ac:dyDescent="0.25">
      <c r="A1527" s="45">
        <f>C1527&amp;"."&amp;IFERROR(MID(E1527,FIND("(",E1527)+1,FIND(")",E1527)-FIND("(",E1527)-1),"")</f>
      </c>
      <c r="B1527" s="46" t="s">
        <v>1178</v>
      </c>
      <c r="C1527" s="46">
        <v>75977</v>
      </c>
      <c r="D1527" s="46" t="s">
        <v>3064</v>
      </c>
      <c r="E1527" s="46" t="s">
        <v>1248</v>
      </c>
      <c r="F1527" s="46" t="s">
        <v>26</v>
      </c>
      <c r="G1527" s="47">
        <v>0.4</v>
      </c>
      <c r="H1527" s="48">
        <v>1.137</v>
      </c>
      <c r="I1527" s="48">
        <v>7.962</v>
      </c>
      <c r="J1527" s="49">
        <v>7</v>
      </c>
      <c r="K1527" s="49">
        <v>0</v>
      </c>
      <c r="L1527" s="49">
        <v>7</v>
      </c>
    </row>
    <row r="1528" spans="1:12" x14ac:dyDescent="0.25">
      <c r="A1528" s="45">
        <f>C1528&amp;"."&amp;IFERROR(MID(E1528,FIND("(",E1528)+1,FIND(")",E1528)-FIND("(",E1528)-1),"")</f>
      </c>
      <c r="B1528" s="46" t="s">
        <v>1178</v>
      </c>
      <c r="C1528" s="46">
        <v>75978</v>
      </c>
      <c r="D1528" s="46" t="s">
        <v>3065</v>
      </c>
      <c r="E1528" s="46" t="s">
        <v>1248</v>
      </c>
      <c r="F1528" s="46" t="s">
        <v>24</v>
      </c>
      <c r="G1528" s="47">
        <v>1.14</v>
      </c>
      <c r="H1528" s="48">
        <v>2.996</v>
      </c>
      <c r="I1528" s="48">
        <v>29.964</v>
      </c>
      <c r="J1528" s="49">
        <v>10</v>
      </c>
      <c r="K1528" s="49">
        <v>1</v>
      </c>
      <c r="L1528" s="49">
        <v>9</v>
      </c>
    </row>
    <row r="1529" spans="1:12" x14ac:dyDescent="0.25">
      <c r="A1529" s="45">
        <f>C1529&amp;"."&amp;IFERROR(MID(E1529,FIND("(",E1529)+1,FIND(")",E1529)-FIND("(",E1529)-1),"")</f>
      </c>
      <c r="B1529" s="46" t="s">
        <v>1178</v>
      </c>
      <c r="C1529" s="46">
        <v>75988</v>
      </c>
      <c r="D1529" s="46" t="s">
        <v>3066</v>
      </c>
      <c r="E1529" s="46" t="s">
        <v>3067</v>
      </c>
      <c r="F1529" s="46" t="s">
        <v>26</v>
      </c>
      <c r="G1529" s="47">
        <v>5.67</v>
      </c>
      <c r="H1529" s="48">
        <v>17.135</v>
      </c>
      <c r="I1529" s="48">
        <v>17.135</v>
      </c>
      <c r="J1529" s="49">
        <v>1</v>
      </c>
      <c r="K1529" s="49">
        <v>0</v>
      </c>
      <c r="L1529" s="49">
        <v>1</v>
      </c>
    </row>
    <row r="1530" spans="1:12" x14ac:dyDescent="0.25">
      <c r="A1530" s="45">
        <f>C1530&amp;"."&amp;IFERROR(MID(E1530,FIND("(",E1530)+1,FIND(")",E1530)-FIND("(",E1530)-1),"")</f>
      </c>
      <c r="B1530" s="46" t="s">
        <v>1178</v>
      </c>
      <c r="C1530" s="46">
        <v>75988</v>
      </c>
      <c r="D1530" s="46" t="s">
        <v>3066</v>
      </c>
      <c r="E1530" s="46" t="s">
        <v>3068</v>
      </c>
      <c r="F1530" s="46" t="s">
        <v>26</v>
      </c>
      <c r="G1530" s="47">
        <v>5.67</v>
      </c>
      <c r="H1530" s="48">
        <v>16.82</v>
      </c>
      <c r="I1530" s="48">
        <v>67.282</v>
      </c>
      <c r="J1530" s="49">
        <v>4</v>
      </c>
      <c r="K1530" s="49">
        <v>0</v>
      </c>
      <c r="L1530" s="49">
        <v>4</v>
      </c>
    </row>
    <row r="1531" spans="1:12" x14ac:dyDescent="0.25">
      <c r="A1531" s="45">
        <f>C1531&amp;"."&amp;IFERROR(MID(E1531,FIND("(",E1531)+1,FIND(")",E1531)-FIND("(",E1531)-1),"")</f>
      </c>
      <c r="B1531" s="46" t="s">
        <v>1178</v>
      </c>
      <c r="C1531" s="46">
        <v>75988</v>
      </c>
      <c r="D1531" s="46" t="s">
        <v>3066</v>
      </c>
      <c r="E1531" s="46" t="s">
        <v>3069</v>
      </c>
      <c r="F1531" s="46" t="s">
        <v>26</v>
      </c>
      <c r="G1531" s="47">
        <v>5.67</v>
      </c>
      <c r="H1531" s="48">
        <v>17.026</v>
      </c>
      <c r="I1531" s="48">
        <v>34.052</v>
      </c>
      <c r="J1531" s="49">
        <v>2</v>
      </c>
      <c r="K1531" s="49">
        <v>0</v>
      </c>
      <c r="L1531" s="49">
        <v>2</v>
      </c>
    </row>
    <row r="1532" spans="1:12" x14ac:dyDescent="0.25">
      <c r="A1532" s="45">
        <f>C1532&amp;"."&amp;IFERROR(MID(E1532,FIND("(",E1532)+1,FIND(")",E1532)-FIND("(",E1532)-1),"")</f>
      </c>
      <c r="B1532" s="46" t="s">
        <v>1178</v>
      </c>
      <c r="C1532" s="46">
        <v>75994</v>
      </c>
      <c r="D1532" s="46" t="s">
        <v>3070</v>
      </c>
      <c r="E1532" s="46" t="s">
        <v>3071</v>
      </c>
      <c r="F1532" s="46" t="s">
        <v>24</v>
      </c>
      <c r="G1532" s="47">
        <v>0.89</v>
      </c>
      <c r="H1532" s="48">
        <v>2.63</v>
      </c>
      <c r="I1532" s="48">
        <v>15.78</v>
      </c>
      <c r="J1532" s="49">
        <v>6</v>
      </c>
      <c r="K1532" s="49">
        <v>0</v>
      </c>
      <c r="L1532" s="49">
        <v>6</v>
      </c>
    </row>
    <row r="1533" spans="1:12" x14ac:dyDescent="0.25">
      <c r="A1533" s="45">
        <f>C1533&amp;"."&amp;IFERROR(MID(E1533,FIND("(",E1533)+1,FIND(")",E1533)-FIND("(",E1533)-1),"")</f>
      </c>
      <c r="B1533" s="46" t="s">
        <v>1178</v>
      </c>
      <c r="C1533" s="46">
        <v>75994</v>
      </c>
      <c r="D1533" s="46" t="s">
        <v>3070</v>
      </c>
      <c r="E1533" s="46" t="s">
        <v>3072</v>
      </c>
      <c r="F1533" s="46" t="s">
        <v>24</v>
      </c>
      <c r="G1533" s="47">
        <v>0.89</v>
      </c>
      <c r="H1533" s="48">
        <v>2.63</v>
      </c>
      <c r="I1533" s="48">
        <v>10.52</v>
      </c>
      <c r="J1533" s="49">
        <v>4</v>
      </c>
      <c r="K1533" s="49">
        <v>0</v>
      </c>
      <c r="L1533" s="49">
        <v>4</v>
      </c>
    </row>
    <row r="1534" spans="1:12" x14ac:dyDescent="0.25">
      <c r="A1534" s="45">
        <f>C1534&amp;"."&amp;IFERROR(MID(E1534,FIND("(",E1534)+1,FIND(")",E1534)-FIND("(",E1534)-1),"")</f>
      </c>
      <c r="B1534" s="46" t="s">
        <v>1178</v>
      </c>
      <c r="C1534" s="46">
        <v>75994</v>
      </c>
      <c r="D1534" s="46" t="s">
        <v>3070</v>
      </c>
      <c r="E1534" s="46" t="s">
        <v>3073</v>
      </c>
      <c r="F1534" s="46" t="s">
        <v>24</v>
      </c>
      <c r="G1534" s="47">
        <v>0.89</v>
      </c>
      <c r="H1534" s="48">
        <v>2.958</v>
      </c>
      <c r="I1534" s="48">
        <v>32.534</v>
      </c>
      <c r="J1534" s="49">
        <v>11</v>
      </c>
      <c r="K1534" s="49">
        <v>1</v>
      </c>
      <c r="L1534" s="49">
        <v>10</v>
      </c>
    </row>
    <row r="1535" spans="1:12" x14ac:dyDescent="0.25">
      <c r="A1535" s="45">
        <f>C1535&amp;"."&amp;IFERROR(MID(E1535,FIND("(",E1535)+1,FIND(")",E1535)-FIND("(",E1535)-1),"")</f>
      </c>
      <c r="B1535" s="46" t="s">
        <v>1178</v>
      </c>
      <c r="C1535" s="46">
        <v>75997</v>
      </c>
      <c r="D1535" s="46" t="s">
        <v>3074</v>
      </c>
      <c r="E1535" s="46" t="s">
        <v>3075</v>
      </c>
      <c r="F1535" s="46" t="s">
        <v>24</v>
      </c>
      <c r="G1535" s="47">
        <v>13.72</v>
      </c>
      <c r="H1535" s="48">
        <v>26.221</v>
      </c>
      <c r="I1535" s="48">
        <v>157.326</v>
      </c>
      <c r="J1535" s="49">
        <v>6</v>
      </c>
      <c r="K1535" s="49">
        <v>2</v>
      </c>
      <c r="L1535" s="49">
        <v>4</v>
      </c>
    </row>
    <row r="1536" spans="1:12" x14ac:dyDescent="0.25">
      <c r="A1536" s="45">
        <f>C1536&amp;"."&amp;IFERROR(MID(E1536,FIND("(",E1536)+1,FIND(")",E1536)-FIND("(",E1536)-1),"")</f>
      </c>
      <c r="B1536" s="46" t="s">
        <v>1178</v>
      </c>
      <c r="C1536" s="46">
        <v>75997</v>
      </c>
      <c r="D1536" s="46" t="s">
        <v>3074</v>
      </c>
      <c r="E1536" s="46" t="s">
        <v>3076</v>
      </c>
      <c r="F1536" s="46" t="s">
        <v>24</v>
      </c>
      <c r="G1536" s="47">
        <v>13.72</v>
      </c>
      <c r="H1536" s="48">
        <v>31.881</v>
      </c>
      <c r="I1536" s="48">
        <v>127.524</v>
      </c>
      <c r="J1536" s="49">
        <v>4</v>
      </c>
      <c r="K1536" s="49">
        <v>0</v>
      </c>
      <c r="L1536" s="49">
        <v>4</v>
      </c>
    </row>
    <row r="1537" spans="1:12" x14ac:dyDescent="0.25">
      <c r="A1537" s="45">
        <f>C1537&amp;"."&amp;IFERROR(MID(E1537,FIND("(",E1537)+1,FIND(")",E1537)-FIND("(",E1537)-1),"")</f>
      </c>
      <c r="B1537" s="46" t="s">
        <v>1178</v>
      </c>
      <c r="C1537" s="46">
        <v>75997</v>
      </c>
      <c r="D1537" s="46" t="s">
        <v>3074</v>
      </c>
      <c r="E1537" s="46" t="s">
        <v>3077</v>
      </c>
      <c r="F1537" s="46" t="s">
        <v>24</v>
      </c>
      <c r="G1537" s="47">
        <v>13.72</v>
      </c>
      <c r="H1537" s="48">
        <v>27.508</v>
      </c>
      <c r="I1537" s="48">
        <v>495.139</v>
      </c>
      <c r="J1537" s="49">
        <v>18</v>
      </c>
      <c r="K1537" s="49">
        <v>4</v>
      </c>
      <c r="L1537" s="49">
        <v>14</v>
      </c>
    </row>
    <row r="1538" spans="1:12" x14ac:dyDescent="0.25">
      <c r="A1538" s="45">
        <f>C1538&amp;"."&amp;IFERROR(MID(E1538,FIND("(",E1538)+1,FIND(")",E1538)-FIND("(",E1538)-1),"")</f>
      </c>
      <c r="B1538" s="46" t="s">
        <v>1178</v>
      </c>
      <c r="C1538" s="46">
        <v>75998</v>
      </c>
      <c r="D1538" s="46" t="s">
        <v>3078</v>
      </c>
      <c r="E1538" s="46" t="s">
        <v>3079</v>
      </c>
      <c r="F1538" s="46" t="s">
        <v>26</v>
      </c>
      <c r="G1538" s="47">
        <v>2.87</v>
      </c>
      <c r="H1538" s="48">
        <v>8.434</v>
      </c>
      <c r="I1538" s="48">
        <v>42.172</v>
      </c>
      <c r="J1538" s="49">
        <v>5</v>
      </c>
      <c r="K1538" s="49">
        <v>0</v>
      </c>
      <c r="L1538" s="49">
        <v>5</v>
      </c>
    </row>
    <row r="1539" spans="1:12" x14ac:dyDescent="0.25">
      <c r="A1539" s="45">
        <f>C1539&amp;"."&amp;IFERROR(MID(E1539,FIND("(",E1539)+1,FIND(")",E1539)-FIND("(",E1539)-1),"")</f>
      </c>
      <c r="B1539" s="46" t="s">
        <v>1178</v>
      </c>
      <c r="C1539" s="46">
        <v>75998</v>
      </c>
      <c r="D1539" s="46" t="s">
        <v>3078</v>
      </c>
      <c r="E1539" s="46" t="s">
        <v>3080</v>
      </c>
      <c r="F1539" s="46" t="s">
        <v>26</v>
      </c>
      <c r="G1539" s="47">
        <v>2.87</v>
      </c>
      <c r="H1539" s="48">
        <v>8.531</v>
      </c>
      <c r="I1539" s="48">
        <v>17.062</v>
      </c>
      <c r="J1539" s="49">
        <v>2</v>
      </c>
      <c r="K1539" s="49">
        <v>0</v>
      </c>
      <c r="L1539" s="49">
        <v>2</v>
      </c>
    </row>
    <row r="1540" spans="1:12" x14ac:dyDescent="0.25">
      <c r="A1540" s="45">
        <f>C1540&amp;"."&amp;IFERROR(MID(E1540,FIND("(",E1540)+1,FIND(")",E1540)-FIND("(",E1540)-1),"")</f>
      </c>
      <c r="B1540" s="46" t="s">
        <v>1178</v>
      </c>
      <c r="C1540" s="46">
        <v>75999</v>
      </c>
      <c r="D1540" s="46" t="s">
        <v>3081</v>
      </c>
      <c r="E1540" s="46" t="s">
        <v>3082</v>
      </c>
      <c r="F1540" s="46" t="s">
        <v>26</v>
      </c>
      <c r="G1540" s="47">
        <v>1.09</v>
      </c>
      <c r="H1540" s="48">
        <v>3.751</v>
      </c>
      <c r="I1540" s="48">
        <v>22.508</v>
      </c>
      <c r="J1540" s="49">
        <v>6</v>
      </c>
      <c r="K1540" s="49">
        <v>0</v>
      </c>
      <c r="L1540" s="49">
        <v>6</v>
      </c>
    </row>
    <row r="1541" spans="1:12" x14ac:dyDescent="0.25">
      <c r="A1541" s="45">
        <f>C1541&amp;"."&amp;IFERROR(MID(E1541,FIND("(",E1541)+1,FIND(")",E1541)-FIND("(",E1541)-1),"")</f>
      </c>
      <c r="B1541" s="46" t="s">
        <v>1178</v>
      </c>
      <c r="C1541" s="46">
        <v>75999</v>
      </c>
      <c r="D1541" s="46" t="s">
        <v>3081</v>
      </c>
      <c r="E1541" s="46" t="s">
        <v>3083</v>
      </c>
      <c r="F1541" s="46" t="s">
        <v>26</v>
      </c>
      <c r="G1541" s="47">
        <v>1.09</v>
      </c>
      <c r="H1541" s="48">
        <v>3.824</v>
      </c>
      <c r="I1541" s="48">
        <v>3.824</v>
      </c>
      <c r="J1541" s="49">
        <v>1</v>
      </c>
      <c r="K1541" s="49">
        <v>0</v>
      </c>
      <c r="L1541" s="49">
        <v>1</v>
      </c>
    </row>
    <row r="1542" spans="1:12" x14ac:dyDescent="0.25">
      <c r="A1542" s="45">
        <f>C1542&amp;"."&amp;IFERROR(MID(E1542,FIND("(",E1542)+1,FIND(")",E1542)-FIND("(",E1542)-1),"")</f>
      </c>
      <c r="B1542" s="46" t="s">
        <v>1178</v>
      </c>
      <c r="C1542" s="46">
        <v>75999</v>
      </c>
      <c r="D1542" s="46" t="s">
        <v>3081</v>
      </c>
      <c r="E1542" s="46" t="s">
        <v>3084</v>
      </c>
      <c r="F1542" s="46" t="s">
        <v>26</v>
      </c>
      <c r="G1542" s="47">
        <v>1.09</v>
      </c>
      <c r="H1542" s="48">
        <v>3.8</v>
      </c>
      <c r="I1542" s="48">
        <v>15.199</v>
      </c>
      <c r="J1542" s="49">
        <v>4</v>
      </c>
      <c r="K1542" s="49">
        <v>0</v>
      </c>
      <c r="L1542" s="49">
        <v>4</v>
      </c>
    </row>
    <row r="1543" spans="1:12" x14ac:dyDescent="0.25">
      <c r="A1543" s="45">
        <f>C1543&amp;"."&amp;IFERROR(MID(E1543,FIND("(",E1543)+1,FIND(")",E1543)-FIND("(",E1543)-1),"")</f>
      </c>
      <c r="B1543" s="46" t="s">
        <v>1178</v>
      </c>
      <c r="C1543" s="46">
        <v>76003</v>
      </c>
      <c r="D1543" s="46" t="s">
        <v>3085</v>
      </c>
      <c r="E1543" s="46" t="s">
        <v>3086</v>
      </c>
      <c r="F1543" s="46" t="s">
        <v>26</v>
      </c>
      <c r="G1543" s="47">
        <v>0.47</v>
      </c>
      <c r="H1543" s="48">
        <v>1.464</v>
      </c>
      <c r="I1543" s="48">
        <v>2.928</v>
      </c>
      <c r="J1543" s="49">
        <v>2</v>
      </c>
      <c r="K1543" s="49">
        <v>0</v>
      </c>
      <c r="L1543" s="49">
        <v>2</v>
      </c>
    </row>
    <row r="1544" spans="1:12" x14ac:dyDescent="0.25">
      <c r="A1544" s="45">
        <f>C1544&amp;"."&amp;IFERROR(MID(E1544,FIND("(",E1544)+1,FIND(")",E1544)-FIND("(",E1544)-1),"")</f>
      </c>
      <c r="B1544" s="46" t="s">
        <v>1178</v>
      </c>
      <c r="C1544" s="46">
        <v>76003</v>
      </c>
      <c r="D1544" s="46" t="s">
        <v>3085</v>
      </c>
      <c r="E1544" s="46" t="s">
        <v>3087</v>
      </c>
      <c r="F1544" s="46" t="s">
        <v>26</v>
      </c>
      <c r="G1544" s="47">
        <v>0.47</v>
      </c>
      <c r="H1544" s="48">
        <v>1.44</v>
      </c>
      <c r="I1544" s="48">
        <v>7.2</v>
      </c>
      <c r="J1544" s="49">
        <v>5</v>
      </c>
      <c r="K1544" s="49">
        <v>0</v>
      </c>
      <c r="L1544" s="49">
        <v>5</v>
      </c>
    </row>
    <row r="1545" spans="1:12" x14ac:dyDescent="0.25">
      <c r="A1545" s="45">
        <f>C1545&amp;"."&amp;IFERROR(MID(E1545,FIND("(",E1545)+1,FIND(")",E1545)-FIND("(",E1545)-1),"")</f>
      </c>
      <c r="B1545" s="46" t="s">
        <v>1178</v>
      </c>
      <c r="C1545" s="46">
        <v>76003</v>
      </c>
      <c r="D1545" s="46" t="s">
        <v>3085</v>
      </c>
      <c r="E1545" s="46" t="s">
        <v>3088</v>
      </c>
      <c r="F1545" s="46" t="s">
        <v>26</v>
      </c>
      <c r="G1545" s="47">
        <v>0.47</v>
      </c>
      <c r="H1545" s="48">
        <v>1.452</v>
      </c>
      <c r="I1545" s="48">
        <v>18.878</v>
      </c>
      <c r="J1545" s="49">
        <v>13</v>
      </c>
      <c r="K1545" s="49">
        <v>0</v>
      </c>
      <c r="L1545" s="49">
        <v>13</v>
      </c>
    </row>
    <row r="1546" spans="1:12" x14ac:dyDescent="0.25">
      <c r="A1546" s="45">
        <f>C1546&amp;"."&amp;IFERROR(MID(E1546,FIND("(",E1546)+1,FIND(")",E1546)-FIND("(",E1546)-1),"")</f>
      </c>
      <c r="B1546" s="46" t="s">
        <v>1178</v>
      </c>
      <c r="C1546" s="46">
        <v>76004</v>
      </c>
      <c r="D1546" s="46" t="s">
        <v>3089</v>
      </c>
      <c r="E1546" s="46" t="s">
        <v>3090</v>
      </c>
      <c r="F1546" s="46" t="s">
        <v>24</v>
      </c>
      <c r="G1546" s="47">
        <v>1.23</v>
      </c>
      <c r="H1546" s="48">
        <v>2.726</v>
      </c>
      <c r="I1546" s="48">
        <v>21.805</v>
      </c>
      <c r="J1546" s="49">
        <v>8</v>
      </c>
      <c r="K1546" s="49">
        <v>2</v>
      </c>
      <c r="L1546" s="49">
        <v>6</v>
      </c>
    </row>
    <row r="1547" spans="1:12" x14ac:dyDescent="0.25">
      <c r="A1547" s="45">
        <f>C1547&amp;"."&amp;IFERROR(MID(E1547,FIND("(",E1547)+1,FIND(")",E1547)-FIND("(",E1547)-1),"")</f>
      </c>
      <c r="B1547" s="46" t="s">
        <v>1178</v>
      </c>
      <c r="C1547" s="46">
        <v>76004</v>
      </c>
      <c r="D1547" s="46" t="s">
        <v>3089</v>
      </c>
      <c r="E1547" s="46" t="s">
        <v>3091</v>
      </c>
      <c r="F1547" s="46" t="s">
        <v>24</v>
      </c>
      <c r="G1547" s="47">
        <v>1.23</v>
      </c>
      <c r="H1547" s="48">
        <v>5.56</v>
      </c>
      <c r="I1547" s="48">
        <v>5.56</v>
      </c>
      <c r="J1547" s="49">
        <v>1</v>
      </c>
      <c r="K1547" s="49">
        <v>0</v>
      </c>
      <c r="L1547" s="49">
        <v>1</v>
      </c>
    </row>
    <row r="1548" spans="1:12" x14ac:dyDescent="0.25">
      <c r="A1548" s="45">
        <f>C1548&amp;"."&amp;IFERROR(MID(E1548,FIND("(",E1548)+1,FIND(")",E1548)-FIND("(",E1548)-1),"")</f>
      </c>
      <c r="B1548" s="46" t="s">
        <v>1178</v>
      </c>
      <c r="C1548" s="46">
        <v>76004</v>
      </c>
      <c r="D1548" s="46" t="s">
        <v>3089</v>
      </c>
      <c r="E1548" s="46" t="s">
        <v>3092</v>
      </c>
      <c r="F1548" s="46" t="s">
        <v>24</v>
      </c>
      <c r="G1548" s="47">
        <v>1.23</v>
      </c>
      <c r="H1548" s="48">
        <v>2.628</v>
      </c>
      <c r="I1548" s="48">
        <v>18.393</v>
      </c>
      <c r="J1548" s="49">
        <v>7</v>
      </c>
      <c r="K1548" s="49">
        <v>0</v>
      </c>
      <c r="L1548" s="49">
        <v>7</v>
      </c>
    </row>
    <row r="1549" spans="1:12" x14ac:dyDescent="0.25">
      <c r="A1549" s="45">
        <f>C1549&amp;"."&amp;IFERROR(MID(E1549,FIND("(",E1549)+1,FIND(")",E1549)-FIND("(",E1549)-1),"")</f>
      </c>
      <c r="B1549" s="46" t="s">
        <v>1178</v>
      </c>
      <c r="C1549" s="46">
        <v>76006</v>
      </c>
      <c r="D1549" s="46" t="s">
        <v>3093</v>
      </c>
      <c r="E1549" s="46" t="s">
        <v>1248</v>
      </c>
      <c r="F1549" s="46" t="s">
        <v>24</v>
      </c>
      <c r="G1549" s="47">
        <v>1.15</v>
      </c>
      <c r="H1549" s="48">
        <v>2.505</v>
      </c>
      <c r="I1549" s="48">
        <v>10.02</v>
      </c>
      <c r="J1549" s="49">
        <v>4</v>
      </c>
      <c r="K1549" s="49">
        <v>2</v>
      </c>
      <c r="L1549" s="49">
        <v>2</v>
      </c>
    </row>
    <row r="1550" spans="1:12" x14ac:dyDescent="0.25">
      <c r="A1550" s="45">
        <f>C1550&amp;"."&amp;IFERROR(MID(E1550,FIND("(",E1550)+1,FIND(")",E1550)-FIND("(",E1550)-1),"")</f>
      </c>
      <c r="B1550" s="46" t="s">
        <v>1178</v>
      </c>
      <c r="C1550" s="46">
        <v>76007</v>
      </c>
      <c r="D1550" s="46" t="s">
        <v>3094</v>
      </c>
      <c r="E1550" s="46" t="s">
        <v>3095</v>
      </c>
      <c r="F1550" s="46" t="s">
        <v>26</v>
      </c>
      <c r="G1550" s="47">
        <v>0</v>
      </c>
      <c r="H1550" s="48">
        <v>1.464</v>
      </c>
      <c r="I1550" s="48">
        <v>2.928</v>
      </c>
      <c r="J1550" s="49">
        <v>2</v>
      </c>
      <c r="K1550" s="49">
        <v>0</v>
      </c>
      <c r="L1550" s="49">
        <v>2</v>
      </c>
    </row>
    <row r="1551" spans="1:12" x14ac:dyDescent="0.25">
      <c r="A1551" s="45">
        <f>C1551&amp;"."&amp;IFERROR(MID(E1551,FIND("(",E1551)+1,FIND(")",E1551)-FIND("(",E1551)-1),"")</f>
      </c>
      <c r="B1551" s="46" t="s">
        <v>1178</v>
      </c>
      <c r="C1551" s="46">
        <v>76007</v>
      </c>
      <c r="D1551" s="46" t="s">
        <v>3094</v>
      </c>
      <c r="E1551" s="46" t="s">
        <v>3096</v>
      </c>
      <c r="F1551" s="46" t="s">
        <v>26</v>
      </c>
      <c r="G1551" s="47">
        <v>0</v>
      </c>
      <c r="H1551" s="48">
        <v>1.44</v>
      </c>
      <c r="I1551" s="48">
        <v>7.2</v>
      </c>
      <c r="J1551" s="49">
        <v>5</v>
      </c>
      <c r="K1551" s="49">
        <v>0</v>
      </c>
      <c r="L1551" s="49">
        <v>5</v>
      </c>
    </row>
    <row r="1552" spans="1:12" x14ac:dyDescent="0.25">
      <c r="A1552" s="45">
        <f>C1552&amp;"."&amp;IFERROR(MID(E1552,FIND("(",E1552)+1,FIND(")",E1552)-FIND("(",E1552)-1),"")</f>
      </c>
      <c r="B1552" s="46" t="s">
        <v>1178</v>
      </c>
      <c r="C1552" s="46">
        <v>76008</v>
      </c>
      <c r="D1552" s="46" t="s">
        <v>3097</v>
      </c>
      <c r="E1552" s="46" t="s">
        <v>3098</v>
      </c>
      <c r="F1552" s="46" t="s">
        <v>26</v>
      </c>
      <c r="G1552" s="47">
        <v>0.75</v>
      </c>
      <c r="H1552" s="48">
        <v>2.299</v>
      </c>
      <c r="I1552" s="48">
        <v>27.59</v>
      </c>
      <c r="J1552" s="49">
        <v>12</v>
      </c>
      <c r="K1552" s="49">
        <v>0</v>
      </c>
      <c r="L1552" s="49">
        <v>12</v>
      </c>
    </row>
    <row r="1553" spans="1:12" x14ac:dyDescent="0.25">
      <c r="A1553" s="45">
        <f>C1553&amp;"."&amp;IFERROR(MID(E1553,FIND("(",E1553)+1,FIND(")",E1553)-FIND("(",E1553)-1),"")</f>
      </c>
      <c r="B1553" s="46" t="s">
        <v>1178</v>
      </c>
      <c r="C1553" s="46">
        <v>76008</v>
      </c>
      <c r="D1553" s="46" t="s">
        <v>3097</v>
      </c>
      <c r="E1553" s="46" t="s">
        <v>3099</v>
      </c>
      <c r="F1553" s="46" t="s">
        <v>26</v>
      </c>
      <c r="G1553" s="47">
        <v>0.75</v>
      </c>
      <c r="H1553" s="48">
        <v>2.287</v>
      </c>
      <c r="I1553" s="48">
        <v>6.861</v>
      </c>
      <c r="J1553" s="49">
        <v>3</v>
      </c>
      <c r="K1553" s="49">
        <v>0</v>
      </c>
      <c r="L1553" s="49">
        <v>3</v>
      </c>
    </row>
    <row r="1554" spans="1:12" x14ac:dyDescent="0.25">
      <c r="A1554" s="45">
        <f>C1554&amp;"."&amp;IFERROR(MID(E1554,FIND("(",E1554)+1,FIND(")",E1554)-FIND("(",E1554)-1),"")</f>
      </c>
      <c r="B1554" s="46" t="s">
        <v>1178</v>
      </c>
      <c r="C1554" s="46">
        <v>76009</v>
      </c>
      <c r="D1554" s="46" t="s">
        <v>3100</v>
      </c>
      <c r="E1554" s="46" t="s">
        <v>3101</v>
      </c>
      <c r="F1554" s="46" t="s">
        <v>24</v>
      </c>
      <c r="G1554" s="47">
        <v>0.32</v>
      </c>
      <c r="H1554" s="48">
        <v>1.861</v>
      </c>
      <c r="I1554" s="48">
        <v>3.721</v>
      </c>
      <c r="J1554" s="49">
        <v>2</v>
      </c>
      <c r="K1554" s="49">
        <v>1</v>
      </c>
      <c r="L1554" s="49">
        <v>1</v>
      </c>
    </row>
    <row r="1555" spans="1:12" x14ac:dyDescent="0.25">
      <c r="A1555" s="45">
        <f>C1555&amp;"."&amp;IFERROR(MID(E1555,FIND("(",E1555)+1,FIND(")",E1555)-FIND("(",E1555)-1),"")</f>
      </c>
      <c r="B1555" s="46" t="s">
        <v>1178</v>
      </c>
      <c r="C1555" s="46">
        <v>76009</v>
      </c>
      <c r="D1555" s="46" t="s">
        <v>3100</v>
      </c>
      <c r="E1555" s="46" t="s">
        <v>3102</v>
      </c>
      <c r="F1555" s="46" t="s">
        <v>24</v>
      </c>
      <c r="G1555" s="47">
        <v>0.32</v>
      </c>
      <c r="H1555" s="48">
        <v>1.049</v>
      </c>
      <c r="I1555" s="48">
        <v>3.146</v>
      </c>
      <c r="J1555" s="49">
        <v>3</v>
      </c>
      <c r="K1555" s="49">
        <v>0</v>
      </c>
      <c r="L1555" s="49">
        <v>3</v>
      </c>
    </row>
    <row r="1556" spans="1:12" x14ac:dyDescent="0.25">
      <c r="A1556" s="45">
        <f>C1556&amp;"."&amp;IFERROR(MID(E1556,FIND("(",E1556)+1,FIND(")",E1556)-FIND("(",E1556)-1),"")</f>
      </c>
      <c r="B1556" s="46" t="s">
        <v>1178</v>
      </c>
      <c r="C1556" s="46">
        <v>76009</v>
      </c>
      <c r="D1556" s="46" t="s">
        <v>3100</v>
      </c>
      <c r="E1556" s="46" t="s">
        <v>3103</v>
      </c>
      <c r="F1556" s="46" t="s">
        <v>24</v>
      </c>
      <c r="G1556" s="47">
        <v>0.32</v>
      </c>
      <c r="H1556" s="48">
        <v>1.548</v>
      </c>
      <c r="I1556" s="48">
        <v>7.741</v>
      </c>
      <c r="J1556" s="49">
        <v>5</v>
      </c>
      <c r="K1556" s="49">
        <v>1</v>
      </c>
      <c r="L1556" s="49">
        <v>4</v>
      </c>
    </row>
    <row r="1557" spans="1:12" x14ac:dyDescent="0.25">
      <c r="A1557" s="45">
        <f>C1557&amp;"."&amp;IFERROR(MID(E1557,FIND("(",E1557)+1,FIND(")",E1557)-FIND("(",E1557)-1),"")</f>
      </c>
      <c r="B1557" s="46" t="s">
        <v>1178</v>
      </c>
      <c r="C1557" s="46">
        <v>76016</v>
      </c>
      <c r="D1557" s="46" t="s">
        <v>3104</v>
      </c>
      <c r="E1557" s="46" t="s">
        <v>3105</v>
      </c>
      <c r="F1557" s="46" t="s">
        <v>24</v>
      </c>
      <c r="G1557" s="47">
        <v>4.49</v>
      </c>
      <c r="H1557" s="48">
        <v>15.127</v>
      </c>
      <c r="I1557" s="48">
        <v>105.888</v>
      </c>
      <c r="J1557" s="49">
        <v>7</v>
      </c>
      <c r="K1557" s="49">
        <v>7</v>
      </c>
      <c r="L1557" s="49">
        <v>0</v>
      </c>
    </row>
    <row r="1558" spans="1:12" x14ac:dyDescent="0.25">
      <c r="A1558" s="45">
        <f>C1558&amp;"."&amp;IFERROR(MID(E1558,FIND("(",E1558)+1,FIND(")",E1558)-FIND("(",E1558)-1),"")</f>
      </c>
      <c r="B1558" s="46" t="s">
        <v>1178</v>
      </c>
      <c r="C1558" s="46">
        <v>76016</v>
      </c>
      <c r="D1558" s="46" t="s">
        <v>3104</v>
      </c>
      <c r="E1558" s="46" t="s">
        <v>3106</v>
      </c>
      <c r="F1558" s="46" t="s">
        <v>24</v>
      </c>
      <c r="G1558" s="47">
        <v>4.49</v>
      </c>
      <c r="H1558" s="48">
        <v>16.122</v>
      </c>
      <c r="I1558" s="48">
        <v>96.731</v>
      </c>
      <c r="J1558" s="49">
        <v>6</v>
      </c>
      <c r="K1558" s="49">
        <v>4</v>
      </c>
      <c r="L1558" s="49">
        <v>2</v>
      </c>
    </row>
    <row r="1559" spans="1:12" x14ac:dyDescent="0.25">
      <c r="A1559" s="45">
        <f>C1559&amp;"."&amp;IFERROR(MID(E1559,FIND("(",E1559)+1,FIND(")",E1559)-FIND("(",E1559)-1),"")</f>
      </c>
      <c r="B1559" s="46" t="s">
        <v>1178</v>
      </c>
      <c r="C1559" s="46">
        <v>76016</v>
      </c>
      <c r="D1559" s="46" t="s">
        <v>3104</v>
      </c>
      <c r="E1559" s="46" t="s">
        <v>3107</v>
      </c>
      <c r="F1559" s="46" t="s">
        <v>24</v>
      </c>
      <c r="G1559" s="47">
        <v>4.49</v>
      </c>
      <c r="H1559" s="48">
        <v>16.002</v>
      </c>
      <c r="I1559" s="48">
        <v>288.035</v>
      </c>
      <c r="J1559" s="49">
        <v>18</v>
      </c>
      <c r="K1559" s="49">
        <v>3</v>
      </c>
      <c r="L1559" s="49">
        <v>15</v>
      </c>
    </row>
    <row r="1560" spans="1:12" x14ac:dyDescent="0.25">
      <c r="A1560" s="45">
        <f>C1560&amp;"."&amp;IFERROR(MID(E1560,FIND("(",E1560)+1,FIND(")",E1560)-FIND("(",E1560)-1),"")</f>
      </c>
      <c r="B1560" s="46" t="s">
        <v>1178</v>
      </c>
      <c r="C1560" s="46">
        <v>76020</v>
      </c>
      <c r="D1560" s="46" t="s">
        <v>3108</v>
      </c>
      <c r="E1560" s="46" t="s">
        <v>3109</v>
      </c>
      <c r="F1560" s="46" t="s">
        <v>26</v>
      </c>
      <c r="G1560" s="47">
        <v>1.59</v>
      </c>
      <c r="H1560" s="48">
        <v>5.12</v>
      </c>
      <c r="I1560" s="48">
        <v>20.48</v>
      </c>
      <c r="J1560" s="49">
        <v>4</v>
      </c>
      <c r="K1560" s="49">
        <v>0</v>
      </c>
      <c r="L1560" s="49">
        <v>4</v>
      </c>
    </row>
    <row r="1561" spans="1:12" x14ac:dyDescent="0.25">
      <c r="A1561" s="45">
        <f>C1561&amp;"."&amp;IFERROR(MID(E1561,FIND("(",E1561)+1,FIND(")",E1561)-FIND("(",E1561)-1),"")</f>
      </c>
      <c r="B1561" s="46" t="s">
        <v>1178</v>
      </c>
      <c r="C1561" s="46">
        <v>76021</v>
      </c>
      <c r="D1561" s="46" t="s">
        <v>3110</v>
      </c>
      <c r="E1561" s="46" t="s">
        <v>3111</v>
      </c>
      <c r="F1561" s="46" t="s">
        <v>26</v>
      </c>
      <c r="G1561" s="47">
        <v>2.1</v>
      </c>
      <c r="H1561" s="48">
        <v>10.25</v>
      </c>
      <c r="I1561" s="48">
        <v>10.25</v>
      </c>
      <c r="J1561" s="49">
        <v>1</v>
      </c>
      <c r="K1561" s="49">
        <v>0</v>
      </c>
      <c r="L1561" s="49">
        <v>1</v>
      </c>
    </row>
    <row r="1562" spans="1:12" x14ac:dyDescent="0.25">
      <c r="A1562" s="45">
        <f>C1562&amp;"."&amp;IFERROR(MID(E1562,FIND("(",E1562)+1,FIND(")",E1562)-FIND("(",E1562)-1),"")</f>
      </c>
      <c r="B1562" s="46" t="s">
        <v>1178</v>
      </c>
      <c r="C1562" s="46">
        <v>76021</v>
      </c>
      <c r="D1562" s="46" t="s">
        <v>3110</v>
      </c>
      <c r="E1562" s="46" t="s">
        <v>3112</v>
      </c>
      <c r="F1562" s="46" t="s">
        <v>26</v>
      </c>
      <c r="G1562" s="47">
        <v>2.1</v>
      </c>
      <c r="H1562" s="48">
        <v>10.431</v>
      </c>
      <c r="I1562" s="48">
        <v>20.862</v>
      </c>
      <c r="J1562" s="49">
        <v>2</v>
      </c>
      <c r="K1562" s="49">
        <v>0</v>
      </c>
      <c r="L1562" s="49">
        <v>2</v>
      </c>
    </row>
    <row r="1563" spans="1:12" x14ac:dyDescent="0.25">
      <c r="A1563" s="45">
        <f>C1563&amp;"."&amp;IFERROR(MID(E1563,FIND("(",E1563)+1,FIND(")",E1563)-FIND("(",E1563)-1),"")</f>
      </c>
      <c r="B1563" s="46" t="s">
        <v>1178</v>
      </c>
      <c r="C1563" s="46">
        <v>76021</v>
      </c>
      <c r="D1563" s="46" t="s">
        <v>3110</v>
      </c>
      <c r="E1563" s="46" t="s">
        <v>3113</v>
      </c>
      <c r="F1563" s="46" t="s">
        <v>26</v>
      </c>
      <c r="G1563" s="47">
        <v>2.1</v>
      </c>
      <c r="H1563" s="48">
        <v>10.358</v>
      </c>
      <c r="I1563" s="48">
        <v>31.075</v>
      </c>
      <c r="J1563" s="49">
        <v>3</v>
      </c>
      <c r="K1563" s="49">
        <v>0</v>
      </c>
      <c r="L1563" s="49">
        <v>3</v>
      </c>
    </row>
    <row r="1564" spans="1:12" x14ac:dyDescent="0.25">
      <c r="A1564" s="45">
        <f>C1564&amp;"."&amp;IFERROR(MID(E1564,FIND("(",E1564)+1,FIND(")",E1564)-FIND("(",E1564)-1),"")</f>
      </c>
      <c r="B1564" s="46" t="s">
        <v>1178</v>
      </c>
      <c r="C1564" s="46">
        <v>76024</v>
      </c>
      <c r="D1564" s="46" t="s">
        <v>3114</v>
      </c>
      <c r="E1564" s="46" t="s">
        <v>3115</v>
      </c>
      <c r="F1564" s="46" t="s">
        <v>24</v>
      </c>
      <c r="G1564" s="47">
        <v>1.46</v>
      </c>
      <c r="H1564" s="48">
        <v>9.875</v>
      </c>
      <c r="I1564" s="48">
        <v>207.376</v>
      </c>
      <c r="J1564" s="49">
        <v>21</v>
      </c>
      <c r="K1564" s="49">
        <v>2</v>
      </c>
      <c r="L1564" s="49">
        <v>19</v>
      </c>
    </row>
    <row r="1565" spans="1:12" x14ac:dyDescent="0.25">
      <c r="A1565" s="45">
        <f>C1565&amp;"."&amp;IFERROR(MID(E1565,FIND("(",E1565)+1,FIND(")",E1565)-FIND("(",E1565)-1),"")</f>
      </c>
      <c r="B1565" s="46" t="s">
        <v>1178</v>
      </c>
      <c r="C1565" s="46">
        <v>76025</v>
      </c>
      <c r="D1565" s="46" t="s">
        <v>3116</v>
      </c>
      <c r="E1565" s="46" t="s">
        <v>3117</v>
      </c>
      <c r="F1565" s="46" t="s">
        <v>26</v>
      </c>
      <c r="G1565" s="47">
        <v>0.53</v>
      </c>
      <c r="H1565" s="48">
        <v>6.135</v>
      </c>
      <c r="I1565" s="48">
        <v>6.135</v>
      </c>
      <c r="J1565" s="49">
        <v>1</v>
      </c>
      <c r="K1565" s="49">
        <v>0</v>
      </c>
      <c r="L1565" s="49">
        <v>1</v>
      </c>
    </row>
    <row r="1566" spans="1:12" x14ac:dyDescent="0.25">
      <c r="A1566" s="45">
        <f>C1566&amp;"."&amp;IFERROR(MID(E1566,FIND("(",E1566)+1,FIND(")",E1566)-FIND("(",E1566)-1),"")</f>
      </c>
      <c r="B1566" s="46" t="s">
        <v>1178</v>
      </c>
      <c r="C1566" s="46">
        <v>76028</v>
      </c>
      <c r="D1566" s="46" t="s">
        <v>3118</v>
      </c>
      <c r="E1566" s="46" t="s">
        <v>3119</v>
      </c>
      <c r="F1566" s="46" t="s">
        <v>24</v>
      </c>
      <c r="G1566" s="47">
        <v>1.41</v>
      </c>
      <c r="H1566" s="48">
        <v>3.997</v>
      </c>
      <c r="I1566" s="48">
        <v>11.99</v>
      </c>
      <c r="J1566" s="49">
        <v>3</v>
      </c>
      <c r="K1566" s="49">
        <v>2</v>
      </c>
      <c r="L1566" s="49">
        <v>1</v>
      </c>
    </row>
    <row r="1567" spans="1:12" x14ac:dyDescent="0.25">
      <c r="A1567" s="45">
        <f>C1567&amp;"."&amp;IFERROR(MID(E1567,FIND("(",E1567)+1,FIND(")",E1567)-FIND("(",E1567)-1),"")</f>
      </c>
      <c r="B1567" s="46" t="s">
        <v>1178</v>
      </c>
      <c r="C1567" s="46">
        <v>76028</v>
      </c>
      <c r="D1567" s="46" t="s">
        <v>3118</v>
      </c>
      <c r="E1567" s="46" t="s">
        <v>3120</v>
      </c>
      <c r="F1567" s="46" t="s">
        <v>24</v>
      </c>
      <c r="G1567" s="47">
        <v>1.41</v>
      </c>
      <c r="H1567" s="48">
        <v>3.196</v>
      </c>
      <c r="I1567" s="48">
        <v>15.982</v>
      </c>
      <c r="J1567" s="49">
        <v>5</v>
      </c>
      <c r="K1567" s="49">
        <v>1</v>
      </c>
      <c r="L1567" s="49">
        <v>4</v>
      </c>
    </row>
    <row r="1568" spans="1:12" x14ac:dyDescent="0.25">
      <c r="A1568" s="45">
        <f>C1568&amp;"."&amp;IFERROR(MID(E1568,FIND("(",E1568)+1,FIND(")",E1568)-FIND("(",E1568)-1),"")</f>
      </c>
      <c r="B1568" s="46" t="s">
        <v>1178</v>
      </c>
      <c r="C1568" s="46">
        <v>76029</v>
      </c>
      <c r="D1568" s="46" t="s">
        <v>3121</v>
      </c>
      <c r="E1568" s="46" t="s">
        <v>3122</v>
      </c>
      <c r="F1568" s="46" t="s">
        <v>24</v>
      </c>
      <c r="G1568" s="47">
        <v>4.56</v>
      </c>
      <c r="H1568" s="48">
        <v>9.435</v>
      </c>
      <c r="I1568" s="48">
        <v>122.66</v>
      </c>
      <c r="J1568" s="49">
        <v>13</v>
      </c>
      <c r="K1568" s="49">
        <v>1</v>
      </c>
      <c r="L1568" s="49">
        <v>12</v>
      </c>
    </row>
    <row r="1569" spans="1:12" x14ac:dyDescent="0.25">
      <c r="A1569" s="45">
        <f>C1569&amp;"."&amp;IFERROR(MID(E1569,FIND("(",E1569)+1,FIND(")",E1569)-FIND("(",E1569)-1),"")</f>
      </c>
      <c r="B1569" s="46" t="s">
        <v>1178</v>
      </c>
      <c r="C1569" s="46">
        <v>76029</v>
      </c>
      <c r="D1569" s="46" t="s">
        <v>3121</v>
      </c>
      <c r="E1569" s="46" t="s">
        <v>3123</v>
      </c>
      <c r="F1569" s="46" t="s">
        <v>24</v>
      </c>
      <c r="G1569" s="47">
        <v>4.56</v>
      </c>
      <c r="H1569" s="48">
        <v>8.311</v>
      </c>
      <c r="I1569" s="48">
        <v>91.424</v>
      </c>
      <c r="J1569" s="49">
        <v>11</v>
      </c>
      <c r="K1569" s="49">
        <v>1</v>
      </c>
      <c r="L1569" s="49">
        <v>10</v>
      </c>
    </row>
    <row r="1570" spans="1:12" x14ac:dyDescent="0.25">
      <c r="A1570" s="45">
        <f>C1570&amp;"."&amp;IFERROR(MID(E1570,FIND("(",E1570)+1,FIND(")",E1570)-FIND("(",E1570)-1),"")</f>
      </c>
      <c r="B1570" s="46" t="s">
        <v>1178</v>
      </c>
      <c r="C1570" s="46">
        <v>76030</v>
      </c>
      <c r="D1570" s="46" t="s">
        <v>3124</v>
      </c>
      <c r="E1570" s="46" t="s">
        <v>3125</v>
      </c>
      <c r="F1570" s="46" t="s">
        <v>24</v>
      </c>
      <c r="G1570" s="47">
        <v>4.56</v>
      </c>
      <c r="H1570" s="48">
        <v>14.92</v>
      </c>
      <c r="I1570" s="48">
        <v>74.6</v>
      </c>
      <c r="J1570" s="49">
        <v>5</v>
      </c>
      <c r="K1570" s="49">
        <v>0</v>
      </c>
      <c r="L1570" s="49">
        <v>5</v>
      </c>
    </row>
    <row r="1571" spans="1:12" x14ac:dyDescent="0.25">
      <c r="A1571" s="45">
        <f>C1571&amp;"."&amp;IFERROR(MID(E1571,FIND("(",E1571)+1,FIND(")",E1571)-FIND("(",E1571)-1),"")</f>
      </c>
      <c r="B1571" s="46" t="s">
        <v>1178</v>
      </c>
      <c r="C1571" s="46">
        <v>76030</v>
      </c>
      <c r="D1571" s="46" t="s">
        <v>3124</v>
      </c>
      <c r="E1571" s="46" t="s">
        <v>3126</v>
      </c>
      <c r="F1571" s="46" t="s">
        <v>24</v>
      </c>
      <c r="G1571" s="47">
        <v>4.56</v>
      </c>
      <c r="H1571" s="48">
        <v>8.95</v>
      </c>
      <c r="I1571" s="48">
        <v>89.505</v>
      </c>
      <c r="J1571" s="49">
        <v>10</v>
      </c>
      <c r="K1571" s="49">
        <v>1</v>
      </c>
      <c r="L1571" s="49">
        <v>9</v>
      </c>
    </row>
    <row r="1572" spans="1:12" x14ac:dyDescent="0.25">
      <c r="A1572" s="45">
        <f>C1572&amp;"."&amp;IFERROR(MID(E1572,FIND("(",E1572)+1,FIND(")",E1572)-FIND("(",E1572)-1),"")</f>
      </c>
      <c r="B1572" s="46" t="s">
        <v>1178</v>
      </c>
      <c r="C1572" s="46">
        <v>76033</v>
      </c>
      <c r="D1572" s="46" t="s">
        <v>3127</v>
      </c>
      <c r="E1572" s="46" t="s">
        <v>3128</v>
      </c>
      <c r="F1572" s="46" t="s">
        <v>24</v>
      </c>
      <c r="G1572" s="47">
        <v>4.87</v>
      </c>
      <c r="H1572" s="48">
        <v>17.605</v>
      </c>
      <c r="I1572" s="48">
        <v>281.686</v>
      </c>
      <c r="J1572" s="49">
        <v>16</v>
      </c>
      <c r="K1572" s="49">
        <v>1</v>
      </c>
      <c r="L1572" s="49">
        <v>15</v>
      </c>
    </row>
    <row r="1573" spans="1:12" x14ac:dyDescent="0.25">
      <c r="A1573" s="45">
        <f>C1573&amp;"."&amp;IFERROR(MID(E1573,FIND("(",E1573)+1,FIND(")",E1573)-FIND("(",E1573)-1),"")</f>
      </c>
      <c r="B1573" s="46" t="s">
        <v>1178</v>
      </c>
      <c r="C1573" s="46">
        <v>76033</v>
      </c>
      <c r="D1573" s="46" t="s">
        <v>3127</v>
      </c>
      <c r="E1573" s="46" t="s">
        <v>3129</v>
      </c>
      <c r="F1573" s="46" t="s">
        <v>24</v>
      </c>
      <c r="G1573" s="47">
        <v>4.87</v>
      </c>
      <c r="H1573" s="48">
        <v>28.277</v>
      </c>
      <c r="I1573" s="48">
        <v>197.939</v>
      </c>
      <c r="J1573" s="49">
        <v>7</v>
      </c>
      <c r="K1573" s="49">
        <v>0</v>
      </c>
      <c r="L1573" s="49">
        <v>7</v>
      </c>
    </row>
    <row r="1574" spans="1:12" x14ac:dyDescent="0.25">
      <c r="A1574" s="45">
        <f>C1574&amp;"."&amp;IFERROR(MID(E1574,FIND("(",E1574)+1,FIND(")",E1574)-FIND("(",E1574)-1),"")</f>
      </c>
      <c r="B1574" s="46" t="s">
        <v>1178</v>
      </c>
      <c r="C1574" s="46">
        <v>76035</v>
      </c>
      <c r="D1574" s="46" t="s">
        <v>3130</v>
      </c>
      <c r="E1574" s="46" t="s">
        <v>3131</v>
      </c>
      <c r="F1574" s="46" t="s">
        <v>24</v>
      </c>
      <c r="G1574" s="47">
        <v>4.87</v>
      </c>
      <c r="H1574" s="48">
        <v>9</v>
      </c>
      <c r="I1574" s="48">
        <v>162.007</v>
      </c>
      <c r="J1574" s="49">
        <v>18</v>
      </c>
      <c r="K1574" s="49">
        <v>2</v>
      </c>
      <c r="L1574" s="49">
        <v>16</v>
      </c>
    </row>
    <row r="1575" spans="1:12" x14ac:dyDescent="0.25">
      <c r="A1575" s="45">
        <f>C1575&amp;"."&amp;IFERROR(MID(E1575,FIND("(",E1575)+1,FIND(")",E1575)-FIND("(",E1575)-1),"")</f>
      </c>
      <c r="B1575" s="46" t="s">
        <v>1178</v>
      </c>
      <c r="C1575" s="46">
        <v>76035</v>
      </c>
      <c r="D1575" s="46" t="s">
        <v>3130</v>
      </c>
      <c r="E1575" s="46" t="s">
        <v>3132</v>
      </c>
      <c r="F1575" s="46" t="s">
        <v>24</v>
      </c>
      <c r="G1575" s="47">
        <v>4.87</v>
      </c>
      <c r="H1575" s="48">
        <v>19.779</v>
      </c>
      <c r="I1575" s="48">
        <v>217.565</v>
      </c>
      <c r="J1575" s="49">
        <v>11</v>
      </c>
      <c r="K1575" s="49">
        <v>0</v>
      </c>
      <c r="L1575" s="49">
        <v>11</v>
      </c>
    </row>
    <row r="1576" spans="1:12" x14ac:dyDescent="0.25">
      <c r="A1576" s="45">
        <f>C1576&amp;"."&amp;IFERROR(MID(E1576,FIND("(",E1576)+1,FIND(")",E1576)-FIND("(",E1576)-1),"")</f>
      </c>
      <c r="B1576" s="46" t="s">
        <v>1178</v>
      </c>
      <c r="C1576" s="46">
        <v>76037</v>
      </c>
      <c r="D1576" s="46" t="s">
        <v>3133</v>
      </c>
      <c r="E1576" s="46" t="s">
        <v>3134</v>
      </c>
      <c r="F1576" s="46" t="s">
        <v>24</v>
      </c>
      <c r="G1576" s="47">
        <v>0.26</v>
      </c>
      <c r="H1576" s="48">
        <v>0.658</v>
      </c>
      <c r="I1576" s="48">
        <v>4.605</v>
      </c>
      <c r="J1576" s="49">
        <v>7</v>
      </c>
      <c r="K1576" s="49">
        <v>0</v>
      </c>
      <c r="L1576" s="49">
        <v>7</v>
      </c>
    </row>
    <row r="1577" spans="1:12" x14ac:dyDescent="0.25">
      <c r="A1577" s="45">
        <f>C1577&amp;"."&amp;IFERROR(MID(E1577,FIND("(",E1577)+1,FIND(")",E1577)-FIND("(",E1577)-1),"")</f>
      </c>
      <c r="B1577" s="46" t="s">
        <v>1178</v>
      </c>
      <c r="C1577" s="46">
        <v>76037</v>
      </c>
      <c r="D1577" s="46" t="s">
        <v>3133</v>
      </c>
      <c r="E1577" s="46" t="s">
        <v>3135</v>
      </c>
      <c r="F1577" s="46" t="s">
        <v>24</v>
      </c>
      <c r="G1577" s="47">
        <v>0.26</v>
      </c>
      <c r="H1577" s="48">
        <v>0.459</v>
      </c>
      <c r="I1577" s="48">
        <v>4.135</v>
      </c>
      <c r="J1577" s="49">
        <v>9</v>
      </c>
      <c r="K1577" s="49">
        <v>2</v>
      </c>
      <c r="L1577" s="49">
        <v>7</v>
      </c>
    </row>
    <row r="1578" spans="1:12" x14ac:dyDescent="0.25">
      <c r="A1578" s="45">
        <f>C1578&amp;"."&amp;IFERROR(MID(E1578,FIND("(",E1578)+1,FIND(")",E1578)-FIND("(",E1578)-1),"")</f>
      </c>
      <c r="B1578" s="46" t="s">
        <v>1178</v>
      </c>
      <c r="C1578" s="46">
        <v>76045</v>
      </c>
      <c r="D1578" s="46" t="s">
        <v>3136</v>
      </c>
      <c r="E1578" s="46" t="s">
        <v>3137</v>
      </c>
      <c r="F1578" s="46" t="s">
        <v>24</v>
      </c>
      <c r="G1578" s="47">
        <v>0.41</v>
      </c>
      <c r="H1578" s="48">
        <v>1.089</v>
      </c>
      <c r="I1578" s="48">
        <v>1.089</v>
      </c>
      <c r="J1578" s="49">
        <v>1</v>
      </c>
      <c r="K1578" s="49">
        <v>0</v>
      </c>
      <c r="L1578" s="49">
        <v>1</v>
      </c>
    </row>
    <row r="1579" spans="1:12" x14ac:dyDescent="0.25">
      <c r="A1579" s="45">
        <f>C1579&amp;"."&amp;IFERROR(MID(E1579,FIND("(",E1579)+1,FIND(")",E1579)-FIND("(",E1579)-1),"")</f>
      </c>
      <c r="B1579" s="46" t="s">
        <v>1178</v>
      </c>
      <c r="C1579" s="46">
        <v>76045</v>
      </c>
      <c r="D1579" s="46" t="s">
        <v>3136</v>
      </c>
      <c r="E1579" s="46" t="s">
        <v>3138</v>
      </c>
      <c r="F1579" s="46" t="s">
        <v>24</v>
      </c>
      <c r="G1579" s="47">
        <v>0.41</v>
      </c>
      <c r="H1579" s="48">
        <v>1.806</v>
      </c>
      <c r="I1579" s="48">
        <v>10.837</v>
      </c>
      <c r="J1579" s="49">
        <v>6</v>
      </c>
      <c r="K1579" s="49">
        <v>1</v>
      </c>
      <c r="L1579" s="49">
        <v>5</v>
      </c>
    </row>
    <row r="1580" spans="1:12" x14ac:dyDescent="0.25">
      <c r="A1580" s="45">
        <f>C1580&amp;"."&amp;IFERROR(MID(E1580,FIND("(",E1580)+1,FIND(")",E1580)-FIND("(",E1580)-1),"")</f>
      </c>
      <c r="B1580" s="46" t="s">
        <v>1178</v>
      </c>
      <c r="C1580" s="46">
        <v>76045</v>
      </c>
      <c r="D1580" s="46" t="s">
        <v>3136</v>
      </c>
      <c r="E1580" s="46" t="s">
        <v>3139</v>
      </c>
      <c r="F1580" s="46" t="s">
        <v>24</v>
      </c>
      <c r="G1580" s="47">
        <v>0.41</v>
      </c>
      <c r="H1580" s="48">
        <v>1.93</v>
      </c>
      <c r="I1580" s="48">
        <v>11.581</v>
      </c>
      <c r="J1580" s="49">
        <v>6</v>
      </c>
      <c r="K1580" s="49">
        <v>0</v>
      </c>
      <c r="L1580" s="49">
        <v>6</v>
      </c>
    </row>
    <row r="1581" spans="1:12" x14ac:dyDescent="0.25">
      <c r="A1581" s="45">
        <f>C1581&amp;"."&amp;IFERROR(MID(E1581,FIND("(",E1581)+1,FIND(")",E1581)-FIND("(",E1581)-1),"")</f>
      </c>
      <c r="B1581" s="46" t="s">
        <v>1178</v>
      </c>
      <c r="C1581" s="46">
        <v>76050</v>
      </c>
      <c r="D1581" s="46" t="s">
        <v>3140</v>
      </c>
      <c r="E1581" s="46" t="s">
        <v>3141</v>
      </c>
      <c r="F1581" s="46" t="s">
        <v>24</v>
      </c>
      <c r="G1581" s="47">
        <v>0.67</v>
      </c>
      <c r="H1581" s="48">
        <v>1.774</v>
      </c>
      <c r="I1581" s="48">
        <v>8.87</v>
      </c>
      <c r="J1581" s="49">
        <v>5</v>
      </c>
      <c r="K1581" s="49">
        <v>2</v>
      </c>
      <c r="L1581" s="49">
        <v>3</v>
      </c>
    </row>
    <row r="1582" spans="1:12" x14ac:dyDescent="0.25">
      <c r="A1582" s="45">
        <f>C1582&amp;"."&amp;IFERROR(MID(E1582,FIND("(",E1582)+1,FIND(")",E1582)-FIND("(",E1582)-1),"")</f>
      </c>
      <c r="B1582" s="46" t="s">
        <v>1178</v>
      </c>
      <c r="C1582" s="46">
        <v>76050</v>
      </c>
      <c r="D1582" s="46" t="s">
        <v>3140</v>
      </c>
      <c r="E1582" s="46" t="s">
        <v>3142</v>
      </c>
      <c r="F1582" s="46" t="s">
        <v>24</v>
      </c>
      <c r="G1582" s="47">
        <v>0.67</v>
      </c>
      <c r="H1582" s="48">
        <v>0.778</v>
      </c>
      <c r="I1582" s="48">
        <v>3.111</v>
      </c>
      <c r="J1582" s="49">
        <v>4</v>
      </c>
      <c r="K1582" s="49">
        <v>0</v>
      </c>
      <c r="L1582" s="49">
        <v>4</v>
      </c>
    </row>
    <row r="1583" spans="1:12" x14ac:dyDescent="0.25">
      <c r="A1583" s="45">
        <f>C1583&amp;"."&amp;IFERROR(MID(E1583,FIND("(",E1583)+1,FIND(")",E1583)-FIND("(",E1583)-1),"")</f>
      </c>
      <c r="B1583" s="46" t="s">
        <v>1178</v>
      </c>
      <c r="C1583" s="46">
        <v>76050</v>
      </c>
      <c r="D1583" s="46" t="s">
        <v>3140</v>
      </c>
      <c r="E1583" s="46" t="s">
        <v>3143</v>
      </c>
      <c r="F1583" s="46" t="s">
        <v>24</v>
      </c>
      <c r="G1583" s="47">
        <v>0.67</v>
      </c>
      <c r="H1583" s="48">
        <v>1.865</v>
      </c>
      <c r="I1583" s="48">
        <v>18.649</v>
      </c>
      <c r="J1583" s="49">
        <v>10</v>
      </c>
      <c r="K1583" s="49">
        <v>1</v>
      </c>
      <c r="L1583" s="49">
        <v>9</v>
      </c>
    </row>
    <row r="1584" spans="1:12" x14ac:dyDescent="0.25">
      <c r="A1584" s="45">
        <f>C1584&amp;"."&amp;IFERROR(MID(E1584,FIND("(",E1584)+1,FIND(")",E1584)-FIND("(",E1584)-1),"")</f>
      </c>
      <c r="B1584" s="46" t="s">
        <v>1178</v>
      </c>
      <c r="C1584" s="46">
        <v>76067</v>
      </c>
      <c r="D1584" s="46" t="s">
        <v>3144</v>
      </c>
      <c r="E1584" s="46" t="s">
        <v>3145</v>
      </c>
      <c r="F1584" s="46" t="s">
        <v>24</v>
      </c>
      <c r="G1584" s="47">
        <v>12.98</v>
      </c>
      <c r="H1584" s="48">
        <v>33.493</v>
      </c>
      <c r="I1584" s="48">
        <v>435.403</v>
      </c>
      <c r="J1584" s="49">
        <v>13</v>
      </c>
      <c r="K1584" s="49">
        <v>2</v>
      </c>
      <c r="L1584" s="49">
        <v>11</v>
      </c>
    </row>
    <row r="1585" spans="1:12" x14ac:dyDescent="0.25">
      <c r="A1585" s="45">
        <f>C1585&amp;"."&amp;IFERROR(MID(E1585,FIND("(",E1585)+1,FIND(")",E1585)-FIND("(",E1585)-1),"")</f>
      </c>
      <c r="B1585" s="46" t="s">
        <v>1178</v>
      </c>
      <c r="C1585" s="46">
        <v>76067</v>
      </c>
      <c r="D1585" s="46" t="s">
        <v>3144</v>
      </c>
      <c r="E1585" s="46" t="s">
        <v>3146</v>
      </c>
      <c r="F1585" s="46" t="s">
        <v>24</v>
      </c>
      <c r="G1585" s="47">
        <v>12.98</v>
      </c>
      <c r="H1585" s="48">
        <v>34.624</v>
      </c>
      <c r="I1585" s="48">
        <v>623.224</v>
      </c>
      <c r="J1585" s="49">
        <v>18</v>
      </c>
      <c r="K1585" s="49">
        <v>1</v>
      </c>
      <c r="L1585" s="49">
        <v>17</v>
      </c>
    </row>
    <row r="1586" spans="1:12" x14ac:dyDescent="0.25">
      <c r="A1586" s="45">
        <f>C1586&amp;"."&amp;IFERROR(MID(E1586,FIND("(",E1586)+1,FIND(")",E1586)-FIND("(",E1586)-1),"")</f>
      </c>
      <c r="B1586" s="46" t="s">
        <v>1178</v>
      </c>
      <c r="C1586" s="46">
        <v>76075</v>
      </c>
      <c r="D1586" s="46" t="s">
        <v>3147</v>
      </c>
      <c r="E1586" s="46" t="s">
        <v>3148</v>
      </c>
      <c r="F1586" s="46" t="s">
        <v>24</v>
      </c>
      <c r="G1586" s="47">
        <v>1.49</v>
      </c>
      <c r="H1586" s="48">
        <v>9.146</v>
      </c>
      <c r="I1586" s="48">
        <v>109.75</v>
      </c>
      <c r="J1586" s="49">
        <v>12</v>
      </c>
      <c r="K1586" s="49">
        <v>1</v>
      </c>
      <c r="L1586" s="49">
        <v>11</v>
      </c>
    </row>
    <row r="1587" spans="1:12" x14ac:dyDescent="0.25">
      <c r="A1587" s="45">
        <f>C1587&amp;"."&amp;IFERROR(MID(E1587,FIND("(",E1587)+1,FIND(")",E1587)-FIND("(",E1587)-1),"")</f>
      </c>
      <c r="B1587" s="46" t="s">
        <v>1178</v>
      </c>
      <c r="C1587" s="46">
        <v>76075</v>
      </c>
      <c r="D1587" s="46" t="s">
        <v>3147</v>
      </c>
      <c r="E1587" s="46" t="s">
        <v>3149</v>
      </c>
      <c r="F1587" s="46" t="s">
        <v>24</v>
      </c>
      <c r="G1587" s="47">
        <v>1.49</v>
      </c>
      <c r="H1587" s="48">
        <v>4.84</v>
      </c>
      <c r="I1587" s="48">
        <v>19.362</v>
      </c>
      <c r="J1587" s="49">
        <v>4</v>
      </c>
      <c r="K1587" s="49">
        <v>0</v>
      </c>
      <c r="L1587" s="49">
        <v>4</v>
      </c>
    </row>
    <row r="1588" spans="1:12" x14ac:dyDescent="0.25">
      <c r="A1588" s="45">
        <f>C1588&amp;"."&amp;IFERROR(MID(E1588,FIND("(",E1588)+1,FIND(")",E1588)-FIND("(",E1588)-1),"")</f>
      </c>
      <c r="B1588" s="46" t="s">
        <v>1178</v>
      </c>
      <c r="C1588" s="46">
        <v>76075</v>
      </c>
      <c r="D1588" s="46" t="s">
        <v>3147</v>
      </c>
      <c r="E1588" s="46" t="s">
        <v>3150</v>
      </c>
      <c r="F1588" s="46" t="s">
        <v>24</v>
      </c>
      <c r="G1588" s="47">
        <v>1.49</v>
      </c>
      <c r="H1588" s="48">
        <v>8.58</v>
      </c>
      <c r="I1588" s="48">
        <v>111.544</v>
      </c>
      <c r="J1588" s="49">
        <v>13</v>
      </c>
      <c r="K1588" s="49">
        <v>4</v>
      </c>
      <c r="L1588" s="49">
        <v>9</v>
      </c>
    </row>
    <row r="1589" spans="1:12" x14ac:dyDescent="0.25">
      <c r="A1589" s="45">
        <f>C1589&amp;"."&amp;IFERROR(MID(E1589,FIND("(",E1589)+1,FIND(")",E1589)-FIND("(",E1589)-1),"")</f>
      </c>
      <c r="B1589" s="46" t="s">
        <v>1178</v>
      </c>
      <c r="C1589" s="46">
        <v>76076</v>
      </c>
      <c r="D1589" s="46" t="s">
        <v>3151</v>
      </c>
      <c r="E1589" s="46" t="s">
        <v>3152</v>
      </c>
      <c r="F1589" s="46" t="s">
        <v>26</v>
      </c>
      <c r="G1589" s="47">
        <v>0</v>
      </c>
      <c r="H1589" s="48">
        <v>9.44</v>
      </c>
      <c r="I1589" s="48">
        <v>9.44</v>
      </c>
      <c r="J1589" s="49">
        <v>1</v>
      </c>
      <c r="K1589" s="49">
        <v>0</v>
      </c>
      <c r="L1589" s="49">
        <v>1</v>
      </c>
    </row>
    <row r="1590" spans="1:12" x14ac:dyDescent="0.25">
      <c r="A1590" s="45">
        <f>C1590&amp;"."&amp;IFERROR(MID(E1590,FIND("(",E1590)+1,FIND(")",E1590)-FIND("(",E1590)-1),"")</f>
      </c>
      <c r="B1590" s="46" t="s">
        <v>1178</v>
      </c>
      <c r="C1590" s="46">
        <v>76077</v>
      </c>
      <c r="D1590" s="46" t="s">
        <v>3153</v>
      </c>
      <c r="E1590" s="46" t="s">
        <v>3154</v>
      </c>
      <c r="F1590" s="46" t="s">
        <v>24</v>
      </c>
      <c r="G1590" s="47">
        <v>1.49</v>
      </c>
      <c r="H1590" s="48">
        <v>9.183</v>
      </c>
      <c r="I1590" s="48">
        <v>110.198</v>
      </c>
      <c r="J1590" s="49">
        <v>12</v>
      </c>
      <c r="K1590" s="49">
        <v>0</v>
      </c>
      <c r="L1590" s="49">
        <v>12</v>
      </c>
    </row>
    <row r="1591" spans="1:12" x14ac:dyDescent="0.25">
      <c r="A1591" s="45">
        <f>C1591&amp;"."&amp;IFERROR(MID(E1591,FIND("(",E1591)+1,FIND(")",E1591)-FIND("(",E1591)-1),"")</f>
      </c>
      <c r="B1591" s="46" t="s">
        <v>1178</v>
      </c>
      <c r="C1591" s="46">
        <v>76077</v>
      </c>
      <c r="D1591" s="46" t="s">
        <v>3153</v>
      </c>
      <c r="E1591" s="46" t="s">
        <v>3155</v>
      </c>
      <c r="F1591" s="46" t="s">
        <v>24</v>
      </c>
      <c r="G1591" s="47">
        <v>1.49</v>
      </c>
      <c r="H1591" s="48">
        <v>9.392</v>
      </c>
      <c r="I1591" s="48">
        <v>150.272</v>
      </c>
      <c r="J1591" s="49">
        <v>16</v>
      </c>
      <c r="K1591" s="49">
        <v>1</v>
      </c>
      <c r="L1591" s="49">
        <v>15</v>
      </c>
    </row>
    <row r="1592" spans="1:12" x14ac:dyDescent="0.25">
      <c r="A1592" s="45">
        <f>C1592&amp;"."&amp;IFERROR(MID(E1592,FIND("(",E1592)+1,FIND(")",E1592)-FIND("(",E1592)-1),"")</f>
      </c>
      <c r="B1592" s="46" t="s">
        <v>1178</v>
      </c>
      <c r="C1592" s="46">
        <v>76077</v>
      </c>
      <c r="D1592" s="46" t="s">
        <v>3153</v>
      </c>
      <c r="E1592" s="46" t="s">
        <v>3156</v>
      </c>
      <c r="F1592" s="46" t="s">
        <v>24</v>
      </c>
      <c r="G1592" s="47">
        <v>1.49</v>
      </c>
      <c r="H1592" s="48">
        <v>4.84</v>
      </c>
      <c r="I1592" s="48">
        <v>19.362</v>
      </c>
      <c r="J1592" s="49">
        <v>4</v>
      </c>
      <c r="K1592" s="49">
        <v>0</v>
      </c>
      <c r="L1592" s="49">
        <v>4</v>
      </c>
    </row>
    <row r="1593" spans="1:12" x14ac:dyDescent="0.25">
      <c r="A1593" s="45">
        <f>C1593&amp;"."&amp;IFERROR(MID(E1593,FIND("(",E1593)+1,FIND(")",E1593)-FIND("(",E1593)-1),"")</f>
      </c>
      <c r="B1593" s="46" t="s">
        <v>1178</v>
      </c>
      <c r="C1593" s="46">
        <v>76078</v>
      </c>
      <c r="D1593" s="46" t="s">
        <v>3157</v>
      </c>
      <c r="E1593" s="46" t="s">
        <v>3158</v>
      </c>
      <c r="F1593" s="46" t="s">
        <v>26</v>
      </c>
      <c r="G1593" s="47">
        <v>2.32</v>
      </c>
      <c r="H1593" s="48">
        <v>6.79</v>
      </c>
      <c r="I1593" s="48">
        <v>6.79</v>
      </c>
      <c r="J1593" s="49">
        <v>1</v>
      </c>
      <c r="K1593" s="49">
        <v>0</v>
      </c>
      <c r="L1593" s="49">
        <v>1</v>
      </c>
    </row>
    <row r="1594" spans="1:12" x14ac:dyDescent="0.25">
      <c r="A1594" s="45">
        <f>C1594&amp;"."&amp;IFERROR(MID(E1594,FIND("(",E1594)+1,FIND(")",E1594)-FIND("(",E1594)-1),"")</f>
      </c>
      <c r="B1594" s="46" t="s">
        <v>1178</v>
      </c>
      <c r="C1594" s="46">
        <v>76081</v>
      </c>
      <c r="D1594" s="46" t="s">
        <v>3159</v>
      </c>
      <c r="E1594" s="46" t="s">
        <v>3160</v>
      </c>
      <c r="F1594" s="46" t="s">
        <v>24</v>
      </c>
      <c r="G1594" s="47">
        <v>0.34</v>
      </c>
      <c r="H1594" s="48">
        <v>1.016</v>
      </c>
      <c r="I1594" s="48">
        <v>3.049</v>
      </c>
      <c r="J1594" s="49">
        <v>3</v>
      </c>
      <c r="K1594" s="49">
        <v>0</v>
      </c>
      <c r="L1594" s="49">
        <v>3</v>
      </c>
    </row>
    <row r="1595" spans="1:12" x14ac:dyDescent="0.25">
      <c r="A1595" s="45">
        <f>C1595&amp;"."&amp;IFERROR(MID(E1595,FIND("(",E1595)+1,FIND(")",E1595)-FIND("(",E1595)-1),"")</f>
      </c>
      <c r="B1595" s="46" t="s">
        <v>1178</v>
      </c>
      <c r="C1595" s="46">
        <v>76081</v>
      </c>
      <c r="D1595" s="46" t="s">
        <v>3159</v>
      </c>
      <c r="E1595" s="46" t="s">
        <v>3161</v>
      </c>
      <c r="F1595" s="46" t="s">
        <v>24</v>
      </c>
      <c r="G1595" s="47">
        <v>0.34</v>
      </c>
      <c r="H1595" s="48">
        <v>1.004</v>
      </c>
      <c r="I1595" s="48">
        <v>5.022</v>
      </c>
      <c r="J1595" s="49">
        <v>5</v>
      </c>
      <c r="K1595" s="49">
        <v>0</v>
      </c>
      <c r="L1595" s="49">
        <v>5</v>
      </c>
    </row>
    <row r="1596" spans="1:12" x14ac:dyDescent="0.25">
      <c r="A1596" s="45">
        <f>C1596&amp;"."&amp;IFERROR(MID(E1596,FIND("(",E1596)+1,FIND(")",E1596)-FIND("(",E1596)-1),"")</f>
      </c>
      <c r="B1596" s="46" t="s">
        <v>1178</v>
      </c>
      <c r="C1596" s="46">
        <v>76082</v>
      </c>
      <c r="D1596" s="46" t="s">
        <v>3162</v>
      </c>
      <c r="E1596" s="46" t="s">
        <v>3163</v>
      </c>
      <c r="F1596" s="46" t="s">
        <v>26</v>
      </c>
      <c r="G1596" s="47">
        <v>9.87</v>
      </c>
      <c r="H1596" s="48">
        <v>14.76</v>
      </c>
      <c r="I1596" s="48">
        <v>59.042</v>
      </c>
      <c r="J1596" s="49">
        <v>4</v>
      </c>
      <c r="K1596" s="49">
        <v>2</v>
      </c>
      <c r="L1596" s="49">
        <v>2</v>
      </c>
    </row>
    <row r="1597" spans="1:12" x14ac:dyDescent="0.25">
      <c r="A1597" s="45">
        <f>C1597&amp;"."&amp;IFERROR(MID(E1597,FIND("(",E1597)+1,FIND(")",E1597)-FIND("(",E1597)-1),"")</f>
      </c>
      <c r="B1597" s="46" t="s">
        <v>1178</v>
      </c>
      <c r="C1597" s="46">
        <v>76082</v>
      </c>
      <c r="D1597" s="46" t="s">
        <v>3162</v>
      </c>
      <c r="E1597" s="46" t="s">
        <v>3164</v>
      </c>
      <c r="F1597" s="46" t="s">
        <v>26</v>
      </c>
      <c r="G1597" s="47">
        <v>9.87</v>
      </c>
      <c r="H1597" s="48">
        <v>17.631</v>
      </c>
      <c r="I1597" s="48">
        <v>70.523</v>
      </c>
      <c r="J1597" s="49">
        <v>4</v>
      </c>
      <c r="K1597" s="49">
        <v>0</v>
      </c>
      <c r="L1597" s="49">
        <v>4</v>
      </c>
    </row>
    <row r="1598" spans="1:12" x14ac:dyDescent="0.25">
      <c r="A1598" s="45">
        <f>C1598&amp;"."&amp;IFERROR(MID(E1598,FIND("(",E1598)+1,FIND(")",E1598)-FIND("(",E1598)-1),"")</f>
      </c>
      <c r="B1598" s="46" t="s">
        <v>1178</v>
      </c>
      <c r="C1598" s="46">
        <v>76084</v>
      </c>
      <c r="D1598" s="46" t="s">
        <v>3165</v>
      </c>
      <c r="E1598" s="46" t="s">
        <v>3166</v>
      </c>
      <c r="F1598" s="46" t="s">
        <v>24</v>
      </c>
      <c r="G1598" s="47">
        <v>1.08</v>
      </c>
      <c r="H1598" s="48">
        <v>4.718</v>
      </c>
      <c r="I1598" s="48">
        <v>47.182</v>
      </c>
      <c r="J1598" s="49">
        <v>10</v>
      </c>
      <c r="K1598" s="49">
        <v>0</v>
      </c>
      <c r="L1598" s="49">
        <v>10</v>
      </c>
    </row>
    <row r="1599" spans="1:12" x14ac:dyDescent="0.25">
      <c r="A1599" s="45">
        <f>C1599&amp;"."&amp;IFERROR(MID(E1599,FIND("(",E1599)+1,FIND(")",E1599)-FIND("(",E1599)-1),"")</f>
      </c>
      <c r="B1599" s="46" t="s">
        <v>1178</v>
      </c>
      <c r="C1599" s="46">
        <v>76084</v>
      </c>
      <c r="D1599" s="46" t="s">
        <v>3165</v>
      </c>
      <c r="E1599" s="46" t="s">
        <v>3167</v>
      </c>
      <c r="F1599" s="46" t="s">
        <v>24</v>
      </c>
      <c r="G1599" s="47">
        <v>1.08</v>
      </c>
      <c r="H1599" s="48">
        <v>5.077</v>
      </c>
      <c r="I1599" s="48">
        <v>50.775</v>
      </c>
      <c r="J1599" s="49">
        <v>10</v>
      </c>
      <c r="K1599" s="49">
        <v>1</v>
      </c>
      <c r="L1599" s="49">
        <v>9</v>
      </c>
    </row>
    <row r="1600" spans="1:12" x14ac:dyDescent="0.25">
      <c r="A1600" s="45">
        <f>C1600&amp;"."&amp;IFERROR(MID(E1600,FIND("(",E1600)+1,FIND(")",E1600)-FIND("(",E1600)-1),"")</f>
      </c>
      <c r="B1600" s="46" t="s">
        <v>1178</v>
      </c>
      <c r="C1600" s="46">
        <v>76085</v>
      </c>
      <c r="D1600" s="46" t="s">
        <v>3168</v>
      </c>
      <c r="E1600" s="46" t="s">
        <v>3169</v>
      </c>
      <c r="F1600" s="46" t="s">
        <v>26</v>
      </c>
      <c r="G1600" s="47">
        <v>7.9</v>
      </c>
      <c r="H1600" s="48">
        <v>20.431</v>
      </c>
      <c r="I1600" s="48">
        <v>61.292</v>
      </c>
      <c r="J1600" s="49">
        <v>3</v>
      </c>
      <c r="K1600" s="49">
        <v>0</v>
      </c>
      <c r="L1600" s="49">
        <v>3</v>
      </c>
    </row>
    <row r="1601" spans="1:12" x14ac:dyDescent="0.25">
      <c r="A1601" s="45">
        <f>C1601&amp;"."&amp;IFERROR(MID(E1601,FIND("(",E1601)+1,FIND(")",E1601)-FIND("(",E1601)-1),"")</f>
      </c>
      <c r="B1601" s="46" t="s">
        <v>1178</v>
      </c>
      <c r="C1601" s="46">
        <v>76085</v>
      </c>
      <c r="D1601" s="46" t="s">
        <v>3168</v>
      </c>
      <c r="E1601" s="46" t="s">
        <v>3170</v>
      </c>
      <c r="F1601" s="46" t="s">
        <v>26</v>
      </c>
      <c r="G1601" s="47">
        <v>7.9</v>
      </c>
      <c r="H1601" s="48">
        <v>23.561</v>
      </c>
      <c r="I1601" s="48">
        <v>23.561</v>
      </c>
      <c r="J1601" s="49">
        <v>1</v>
      </c>
      <c r="K1601" s="49">
        <v>0</v>
      </c>
      <c r="L1601" s="49">
        <v>1</v>
      </c>
    </row>
    <row r="1602" spans="1:12" x14ac:dyDescent="0.25">
      <c r="A1602" s="45">
        <f>C1602&amp;"."&amp;IFERROR(MID(E1602,FIND("(",E1602)+1,FIND(")",E1602)-FIND("(",E1602)-1),"")</f>
      </c>
      <c r="B1602" s="46" t="s">
        <v>1178</v>
      </c>
      <c r="C1602" s="46">
        <v>76085</v>
      </c>
      <c r="D1602" s="46" t="s">
        <v>3168</v>
      </c>
      <c r="E1602" s="46" t="s">
        <v>3171</v>
      </c>
      <c r="F1602" s="46" t="s">
        <v>26</v>
      </c>
      <c r="G1602" s="47">
        <v>7.9</v>
      </c>
      <c r="H1602" s="48">
        <v>24.517</v>
      </c>
      <c r="I1602" s="48">
        <v>171.616</v>
      </c>
      <c r="J1602" s="49">
        <v>7</v>
      </c>
      <c r="K1602" s="49">
        <v>0</v>
      </c>
      <c r="L1602" s="49">
        <v>7</v>
      </c>
    </row>
    <row r="1603" spans="1:12" x14ac:dyDescent="0.25">
      <c r="A1603" s="45">
        <f>C1603&amp;"."&amp;IFERROR(MID(E1603,FIND("(",E1603)+1,FIND(")",E1603)-FIND("(",E1603)-1),"")</f>
      </c>
      <c r="B1603" s="46" t="s">
        <v>1178</v>
      </c>
      <c r="C1603" s="46">
        <v>76087</v>
      </c>
      <c r="D1603" s="46" t="s">
        <v>3172</v>
      </c>
      <c r="E1603" s="46" t="s">
        <v>3173</v>
      </c>
      <c r="F1603" s="46" t="s">
        <v>26</v>
      </c>
      <c r="G1603" s="47">
        <v>8.7</v>
      </c>
      <c r="H1603" s="48">
        <v>20.994</v>
      </c>
      <c r="I1603" s="48">
        <v>20.994</v>
      </c>
      <c r="J1603" s="49">
        <v>1</v>
      </c>
      <c r="K1603" s="49">
        <v>0</v>
      </c>
      <c r="L1603" s="49">
        <v>1</v>
      </c>
    </row>
    <row r="1604" spans="1:12" x14ac:dyDescent="0.25">
      <c r="A1604" s="45">
        <f>C1604&amp;"."&amp;IFERROR(MID(E1604,FIND("(",E1604)+1,FIND(")",E1604)-FIND("(",E1604)-1),"")</f>
      </c>
      <c r="B1604" s="46" t="s">
        <v>1178</v>
      </c>
      <c r="C1604" s="46">
        <v>76087</v>
      </c>
      <c r="D1604" s="46" t="s">
        <v>3172</v>
      </c>
      <c r="E1604" s="46" t="s">
        <v>3174</v>
      </c>
      <c r="F1604" s="46" t="s">
        <v>26</v>
      </c>
      <c r="G1604" s="47">
        <v>8.7</v>
      </c>
      <c r="H1604" s="48">
        <v>31.124</v>
      </c>
      <c r="I1604" s="48">
        <v>31.124</v>
      </c>
      <c r="J1604" s="49">
        <v>1</v>
      </c>
      <c r="K1604" s="49">
        <v>1</v>
      </c>
      <c r="L1604" s="49">
        <v>0</v>
      </c>
    </row>
    <row r="1605" spans="1:12" x14ac:dyDescent="0.25">
      <c r="A1605" s="45">
        <f>C1605&amp;"."&amp;IFERROR(MID(E1605,FIND("(",E1605)+1,FIND(")",E1605)-FIND("(",E1605)-1),"")</f>
      </c>
      <c r="B1605" s="46" t="s">
        <v>1178</v>
      </c>
      <c r="C1605" s="46">
        <v>76089</v>
      </c>
      <c r="D1605" s="46" t="s">
        <v>3175</v>
      </c>
      <c r="E1605" s="46" t="s">
        <v>3176</v>
      </c>
      <c r="F1605" s="46" t="s">
        <v>26</v>
      </c>
      <c r="G1605" s="47">
        <v>8.7</v>
      </c>
      <c r="H1605" s="48">
        <v>31.124</v>
      </c>
      <c r="I1605" s="48">
        <v>93.371</v>
      </c>
      <c r="J1605" s="49">
        <v>3</v>
      </c>
      <c r="K1605" s="49">
        <v>1</v>
      </c>
      <c r="L1605" s="49">
        <v>2</v>
      </c>
    </row>
    <row r="1606" spans="1:12" x14ac:dyDescent="0.25">
      <c r="A1606" s="45">
        <f>C1606&amp;"."&amp;IFERROR(MID(E1606,FIND("(",E1606)+1,FIND(")",E1606)-FIND("(",E1606)-1),"")</f>
      </c>
      <c r="B1606" s="46" t="s">
        <v>1178</v>
      </c>
      <c r="C1606" s="46">
        <v>76089</v>
      </c>
      <c r="D1606" s="46" t="s">
        <v>3175</v>
      </c>
      <c r="E1606" s="46" t="s">
        <v>3177</v>
      </c>
      <c r="F1606" s="46" t="s">
        <v>26</v>
      </c>
      <c r="G1606" s="47">
        <v>8.7</v>
      </c>
      <c r="H1606" s="48">
        <v>23.152</v>
      </c>
      <c r="I1606" s="48">
        <v>46.304</v>
      </c>
      <c r="J1606" s="49">
        <v>2</v>
      </c>
      <c r="K1606" s="49">
        <v>0</v>
      </c>
      <c r="L1606" s="49">
        <v>2</v>
      </c>
    </row>
    <row r="1607" spans="1:12" x14ac:dyDescent="0.25">
      <c r="A1607" s="45">
        <f>C1607&amp;"."&amp;IFERROR(MID(E1607,FIND("(",E1607)+1,FIND(")",E1607)-FIND("(",E1607)-1),"")</f>
      </c>
      <c r="B1607" s="46" t="s">
        <v>1178</v>
      </c>
      <c r="C1607" s="46">
        <v>76089</v>
      </c>
      <c r="D1607" s="46" t="s">
        <v>3175</v>
      </c>
      <c r="E1607" s="46" t="s">
        <v>3178</v>
      </c>
      <c r="F1607" s="46" t="s">
        <v>26</v>
      </c>
      <c r="G1607" s="47">
        <v>8.7</v>
      </c>
      <c r="H1607" s="48">
        <v>23.483</v>
      </c>
      <c r="I1607" s="48">
        <v>117.415</v>
      </c>
      <c r="J1607" s="49">
        <v>5</v>
      </c>
      <c r="K1607" s="49">
        <v>3</v>
      </c>
      <c r="L1607" s="49">
        <v>2</v>
      </c>
    </row>
    <row r="1608" spans="1:12" x14ac:dyDescent="0.25">
      <c r="A1608" s="45">
        <f>C1608&amp;"."&amp;IFERROR(MID(E1608,FIND("(",E1608)+1,FIND(")",E1608)-FIND("(",E1608)-1),"")</f>
      </c>
      <c r="B1608" s="46" t="s">
        <v>1178</v>
      </c>
      <c r="C1608" s="46">
        <v>76090</v>
      </c>
      <c r="D1608" s="46" t="s">
        <v>3179</v>
      </c>
      <c r="E1608" s="46" t="s">
        <v>3180</v>
      </c>
      <c r="F1608" s="46" t="s">
        <v>24</v>
      </c>
      <c r="G1608" s="47">
        <v>0.75</v>
      </c>
      <c r="H1608" s="48">
        <v>2.7</v>
      </c>
      <c r="I1608" s="48">
        <v>2.7</v>
      </c>
      <c r="J1608" s="49">
        <v>1</v>
      </c>
      <c r="K1608" s="49">
        <v>0</v>
      </c>
      <c r="L1608" s="49">
        <v>1</v>
      </c>
    </row>
    <row r="1609" spans="1:12" x14ac:dyDescent="0.25">
      <c r="A1609" s="45">
        <f>C1609&amp;"."&amp;IFERROR(MID(E1609,FIND("(",E1609)+1,FIND(")",E1609)-FIND("(",E1609)-1),"")</f>
      </c>
      <c r="B1609" s="46" t="s">
        <v>1178</v>
      </c>
      <c r="C1609" s="46">
        <v>76090</v>
      </c>
      <c r="D1609" s="46" t="s">
        <v>3179</v>
      </c>
      <c r="E1609" s="46" t="s">
        <v>3181</v>
      </c>
      <c r="F1609" s="46" t="s">
        <v>24</v>
      </c>
      <c r="G1609" s="47">
        <v>0.75</v>
      </c>
      <c r="H1609" s="48">
        <v>3.853</v>
      </c>
      <c r="I1609" s="48">
        <v>30.821</v>
      </c>
      <c r="J1609" s="49">
        <v>8</v>
      </c>
      <c r="K1609" s="49">
        <v>0</v>
      </c>
      <c r="L1609" s="49">
        <v>8</v>
      </c>
    </row>
    <row r="1610" spans="1:12" x14ac:dyDescent="0.25">
      <c r="A1610" s="45">
        <f>C1610&amp;"."&amp;IFERROR(MID(E1610,FIND("(",E1610)+1,FIND(")",E1610)-FIND("(",E1610)-1),"")</f>
      </c>
      <c r="B1610" s="46" t="s">
        <v>1178</v>
      </c>
      <c r="C1610" s="46">
        <v>76097</v>
      </c>
      <c r="D1610" s="46" t="s">
        <v>3182</v>
      </c>
      <c r="E1610" s="46" t="s">
        <v>3183</v>
      </c>
      <c r="F1610" s="46" t="s">
        <v>26</v>
      </c>
      <c r="G1610" s="47">
        <v>12.83</v>
      </c>
      <c r="H1610" s="48">
        <v>39.7</v>
      </c>
      <c r="I1610" s="48">
        <v>119.1</v>
      </c>
      <c r="J1610" s="49">
        <v>3</v>
      </c>
      <c r="K1610" s="49">
        <v>0</v>
      </c>
      <c r="L1610" s="49">
        <v>3</v>
      </c>
    </row>
    <row r="1611" spans="1:12" x14ac:dyDescent="0.25">
      <c r="A1611" s="45">
        <f>C1611&amp;"."&amp;IFERROR(MID(E1611,FIND("(",E1611)+1,FIND(")",E1611)-FIND("(",E1611)-1),"")</f>
      </c>
      <c r="B1611" s="46" t="s">
        <v>1178</v>
      </c>
      <c r="C1611" s="46">
        <v>76097</v>
      </c>
      <c r="D1611" s="46" t="s">
        <v>3182</v>
      </c>
      <c r="E1611" s="46" t="s">
        <v>3184</v>
      </c>
      <c r="F1611" s="46" t="s">
        <v>26</v>
      </c>
      <c r="G1611" s="47">
        <v>12.83</v>
      </c>
      <c r="H1611" s="48">
        <v>39.7</v>
      </c>
      <c r="I1611" s="48">
        <v>79.4</v>
      </c>
      <c r="J1611" s="49">
        <v>2</v>
      </c>
      <c r="K1611" s="49">
        <v>2</v>
      </c>
      <c r="L1611" s="49">
        <v>0</v>
      </c>
    </row>
    <row r="1612" spans="1:12" x14ac:dyDescent="0.25">
      <c r="A1612" s="45">
        <f>C1612&amp;"."&amp;IFERROR(MID(E1612,FIND("(",E1612)+1,FIND(")",E1612)-FIND("(",E1612)-1),"")</f>
      </c>
      <c r="B1612" s="46" t="s">
        <v>1178</v>
      </c>
      <c r="C1612" s="46">
        <v>76097</v>
      </c>
      <c r="D1612" s="46" t="s">
        <v>3182</v>
      </c>
      <c r="E1612" s="46" t="s">
        <v>3185</v>
      </c>
      <c r="F1612" s="46" t="s">
        <v>26</v>
      </c>
      <c r="G1612" s="47">
        <v>12.83</v>
      </c>
      <c r="H1612" s="48">
        <v>51.232</v>
      </c>
      <c r="I1612" s="48">
        <v>204.929</v>
      </c>
      <c r="J1612" s="49">
        <v>4</v>
      </c>
      <c r="K1612" s="49">
        <v>1</v>
      </c>
      <c r="L1612" s="49">
        <v>3</v>
      </c>
    </row>
    <row r="1613" spans="1:12" x14ac:dyDescent="0.25">
      <c r="A1613" s="45">
        <f>C1613&amp;"."&amp;IFERROR(MID(E1613,FIND("(",E1613)+1,FIND(")",E1613)-FIND("(",E1613)-1),"")</f>
      </c>
      <c r="B1613" s="46" t="s">
        <v>1178</v>
      </c>
      <c r="C1613" s="46">
        <v>76098</v>
      </c>
      <c r="D1613" s="46" t="s">
        <v>3186</v>
      </c>
      <c r="E1613" s="46" t="s">
        <v>3187</v>
      </c>
      <c r="F1613" s="46" t="s">
        <v>26</v>
      </c>
      <c r="G1613" s="47">
        <v>12.64</v>
      </c>
      <c r="H1613" s="48">
        <v>40.14</v>
      </c>
      <c r="I1613" s="48">
        <v>200.7</v>
      </c>
      <c r="J1613" s="49">
        <v>5</v>
      </c>
      <c r="K1613" s="49">
        <v>0</v>
      </c>
      <c r="L1613" s="49">
        <v>5</v>
      </c>
    </row>
    <row r="1614" spans="1:12" x14ac:dyDescent="0.25">
      <c r="A1614" s="45">
        <f>C1614&amp;"."&amp;IFERROR(MID(E1614,FIND("(",E1614)+1,FIND(")",E1614)-FIND("(",E1614)-1),"")</f>
      </c>
      <c r="B1614" s="46" t="s">
        <v>1178</v>
      </c>
      <c r="C1614" s="46">
        <v>76098</v>
      </c>
      <c r="D1614" s="46" t="s">
        <v>3186</v>
      </c>
      <c r="E1614" s="46" t="s">
        <v>3188</v>
      </c>
      <c r="F1614" s="46" t="s">
        <v>26</v>
      </c>
      <c r="G1614" s="47">
        <v>12.64</v>
      </c>
      <c r="H1614" s="48">
        <v>37.39</v>
      </c>
      <c r="I1614" s="48">
        <v>411.287</v>
      </c>
      <c r="J1614" s="49">
        <v>11</v>
      </c>
      <c r="K1614" s="49">
        <v>6</v>
      </c>
      <c r="L1614" s="49">
        <v>5</v>
      </c>
    </row>
    <row r="1615" spans="1:12" x14ac:dyDescent="0.25">
      <c r="A1615" s="45">
        <f>C1615&amp;"."&amp;IFERROR(MID(E1615,FIND("(",E1615)+1,FIND(")",E1615)-FIND("(",E1615)-1),"")</f>
      </c>
      <c r="B1615" s="46" t="s">
        <v>1178</v>
      </c>
      <c r="C1615" s="46">
        <v>76100</v>
      </c>
      <c r="D1615" s="46" t="s">
        <v>3189</v>
      </c>
      <c r="E1615" s="46" t="s">
        <v>3190</v>
      </c>
      <c r="F1615" s="46" t="s">
        <v>26</v>
      </c>
      <c r="G1615" s="47">
        <v>23.32</v>
      </c>
      <c r="H1615" s="48">
        <v>78.437</v>
      </c>
      <c r="I1615" s="48">
        <v>156.873</v>
      </c>
      <c r="J1615" s="49">
        <v>2</v>
      </c>
      <c r="K1615" s="49">
        <v>0</v>
      </c>
      <c r="L1615" s="49">
        <v>2</v>
      </c>
    </row>
    <row r="1616" spans="1:12" x14ac:dyDescent="0.25">
      <c r="A1616" s="45">
        <f>C1616&amp;"."&amp;IFERROR(MID(E1616,FIND("(",E1616)+1,FIND(")",E1616)-FIND("(",E1616)-1),"")</f>
      </c>
      <c r="B1616" s="46" t="s">
        <v>1178</v>
      </c>
      <c r="C1616" s="46">
        <v>76102</v>
      </c>
      <c r="D1616" s="46" t="s">
        <v>3191</v>
      </c>
      <c r="E1616" s="46" t="s">
        <v>1248</v>
      </c>
      <c r="F1616" s="46" t="s">
        <v>24</v>
      </c>
      <c r="G1616" s="47">
        <v>1.63</v>
      </c>
      <c r="H1616" s="48">
        <v>2.534</v>
      </c>
      <c r="I1616" s="48">
        <v>15.201</v>
      </c>
      <c r="J1616" s="49">
        <v>6</v>
      </c>
      <c r="K1616" s="49">
        <v>2</v>
      </c>
      <c r="L1616" s="49">
        <v>4</v>
      </c>
    </row>
    <row r="1617" spans="1:12" x14ac:dyDescent="0.25">
      <c r="A1617" s="45">
        <f>C1617&amp;"."&amp;IFERROR(MID(E1617,FIND("(",E1617)+1,FIND(")",E1617)-FIND("(",E1617)-1),"")</f>
      </c>
      <c r="B1617" s="46" t="s">
        <v>1178</v>
      </c>
      <c r="C1617" s="46">
        <v>76104</v>
      </c>
      <c r="D1617" s="46" t="s">
        <v>3192</v>
      </c>
      <c r="E1617" s="46" t="s">
        <v>3193</v>
      </c>
      <c r="F1617" s="46" t="s">
        <v>24</v>
      </c>
      <c r="G1617" s="47">
        <v>0.7</v>
      </c>
      <c r="H1617" s="48">
        <v>3.006</v>
      </c>
      <c r="I1617" s="48">
        <v>12.024</v>
      </c>
      <c r="J1617" s="49">
        <v>4</v>
      </c>
      <c r="K1617" s="49">
        <v>0</v>
      </c>
      <c r="L1617" s="49">
        <v>4</v>
      </c>
    </row>
    <row r="1618" spans="1:12" x14ac:dyDescent="0.25">
      <c r="A1618" s="45">
        <f>C1618&amp;"."&amp;IFERROR(MID(E1618,FIND("(",E1618)+1,FIND(")",E1618)-FIND("(",E1618)-1),"")</f>
      </c>
      <c r="B1618" s="46" t="s">
        <v>1178</v>
      </c>
      <c r="C1618" s="46">
        <v>76104</v>
      </c>
      <c r="D1618" s="46" t="s">
        <v>3192</v>
      </c>
      <c r="E1618" s="46" t="s">
        <v>3194</v>
      </c>
      <c r="F1618" s="46" t="s">
        <v>24</v>
      </c>
      <c r="G1618" s="47">
        <v>0.7</v>
      </c>
      <c r="H1618" s="48">
        <v>0.825</v>
      </c>
      <c r="I1618" s="48">
        <v>8.245</v>
      </c>
      <c r="J1618" s="49">
        <v>10</v>
      </c>
      <c r="K1618" s="49">
        <v>0</v>
      </c>
      <c r="L1618" s="49">
        <v>10</v>
      </c>
    </row>
    <row r="1619" spans="1:12" x14ac:dyDescent="0.25">
      <c r="A1619" s="45">
        <f>C1619&amp;"."&amp;IFERROR(MID(E1619,FIND("(",E1619)+1,FIND(")",E1619)-FIND("(",E1619)-1),"")</f>
      </c>
      <c r="B1619" s="46" t="s">
        <v>1178</v>
      </c>
      <c r="C1619" s="46">
        <v>76136</v>
      </c>
      <c r="D1619" s="46" t="s">
        <v>3195</v>
      </c>
      <c r="E1619" s="46" t="s">
        <v>3196</v>
      </c>
      <c r="F1619" s="46" t="s">
        <v>26</v>
      </c>
      <c r="G1619" s="47">
        <v>1.45</v>
      </c>
      <c r="H1619" s="48">
        <v>2.797</v>
      </c>
      <c r="I1619" s="48">
        <v>8.39</v>
      </c>
      <c r="J1619" s="49">
        <v>3</v>
      </c>
      <c r="K1619" s="49">
        <v>0</v>
      </c>
      <c r="L1619" s="49">
        <v>3</v>
      </c>
    </row>
    <row r="1620" spans="1:12" x14ac:dyDescent="0.25">
      <c r="A1620" s="45">
        <f>C1620&amp;"."&amp;IFERROR(MID(E1620,FIND("(",E1620)+1,FIND(")",E1620)-FIND("(",E1620)-1),"")</f>
      </c>
      <c r="B1620" s="46" t="s">
        <v>1178</v>
      </c>
      <c r="C1620" s="46">
        <v>76143</v>
      </c>
      <c r="D1620" s="46" t="s">
        <v>3197</v>
      </c>
      <c r="E1620" s="46" t="s">
        <v>3198</v>
      </c>
      <c r="F1620" s="46" t="s">
        <v>24</v>
      </c>
      <c r="G1620" s="47">
        <v>3.66</v>
      </c>
      <c r="H1620" s="48">
        <v>10.976</v>
      </c>
      <c r="I1620" s="48">
        <v>10.976</v>
      </c>
      <c r="J1620" s="49">
        <v>1</v>
      </c>
      <c r="K1620" s="49">
        <v>0</v>
      </c>
      <c r="L1620" s="49">
        <v>1</v>
      </c>
    </row>
    <row r="1621" spans="1:12" x14ac:dyDescent="0.25">
      <c r="A1621" s="45">
        <f>C1621&amp;"."&amp;IFERROR(MID(E1621,FIND("(",E1621)+1,FIND(")",E1621)-FIND("(",E1621)-1),"")</f>
      </c>
      <c r="B1621" s="46" t="s">
        <v>1178</v>
      </c>
      <c r="C1621" s="46">
        <v>76143</v>
      </c>
      <c r="D1621" s="46" t="s">
        <v>3197</v>
      </c>
      <c r="E1621" s="46" t="s">
        <v>3199</v>
      </c>
      <c r="F1621" s="46" t="s">
        <v>24</v>
      </c>
      <c r="G1621" s="47">
        <v>3.66</v>
      </c>
      <c r="H1621" s="48">
        <v>10.661</v>
      </c>
      <c r="I1621" s="48">
        <v>31.983</v>
      </c>
      <c r="J1621" s="49">
        <v>3</v>
      </c>
      <c r="K1621" s="49">
        <v>0</v>
      </c>
      <c r="L1621" s="49">
        <v>3</v>
      </c>
    </row>
    <row r="1622" spans="1:12" x14ac:dyDescent="0.25">
      <c r="A1622" s="45">
        <f>C1622&amp;"."&amp;IFERROR(MID(E1622,FIND("(",E1622)+1,FIND(")",E1622)-FIND("(",E1622)-1),"")</f>
      </c>
      <c r="B1622" s="46" t="s">
        <v>1178</v>
      </c>
      <c r="C1622" s="46">
        <v>76144</v>
      </c>
      <c r="D1622" s="46" t="s">
        <v>3200</v>
      </c>
      <c r="E1622" s="46" t="s">
        <v>3201</v>
      </c>
      <c r="F1622" s="46" t="s">
        <v>24</v>
      </c>
      <c r="G1622" s="47">
        <v>4.59</v>
      </c>
      <c r="H1622" s="48">
        <v>12.43</v>
      </c>
      <c r="I1622" s="48">
        <v>87.011</v>
      </c>
      <c r="J1622" s="49">
        <v>7</v>
      </c>
      <c r="K1622" s="49">
        <v>1</v>
      </c>
      <c r="L1622" s="49">
        <v>6</v>
      </c>
    </row>
    <row r="1623" spans="1:12" x14ac:dyDescent="0.25">
      <c r="A1623" s="45">
        <f>C1623&amp;"."&amp;IFERROR(MID(E1623,FIND("(",E1623)+1,FIND(")",E1623)-FIND("(",E1623)-1),"")</f>
      </c>
      <c r="B1623" s="46" t="s">
        <v>1178</v>
      </c>
      <c r="C1623" s="46">
        <v>76144</v>
      </c>
      <c r="D1623" s="46" t="s">
        <v>3200</v>
      </c>
      <c r="E1623" s="46" t="s">
        <v>3202</v>
      </c>
      <c r="F1623" s="46" t="s">
        <v>24</v>
      </c>
      <c r="G1623" s="47">
        <v>4.59</v>
      </c>
      <c r="H1623" s="48">
        <v>14.572</v>
      </c>
      <c r="I1623" s="48">
        <v>189.442</v>
      </c>
      <c r="J1623" s="49">
        <v>13</v>
      </c>
      <c r="K1623" s="49">
        <v>1</v>
      </c>
      <c r="L1623" s="49">
        <v>12</v>
      </c>
    </row>
    <row r="1624" spans="1:12" x14ac:dyDescent="0.25">
      <c r="A1624" s="45">
        <f>C1624&amp;"."&amp;IFERROR(MID(E1624,FIND("(",E1624)+1,FIND(")",E1624)-FIND("(",E1624)-1),"")</f>
      </c>
      <c r="B1624" s="46" t="s">
        <v>1178</v>
      </c>
      <c r="C1624" s="46">
        <v>76146</v>
      </c>
      <c r="D1624" s="46" t="s">
        <v>3203</v>
      </c>
      <c r="E1624" s="46" t="s">
        <v>3204</v>
      </c>
      <c r="F1624" s="46" t="s">
        <v>24</v>
      </c>
      <c r="G1624" s="47">
        <v>4.59</v>
      </c>
      <c r="H1624" s="48">
        <v>13.769</v>
      </c>
      <c r="I1624" s="48">
        <v>123.923</v>
      </c>
      <c r="J1624" s="49">
        <v>9</v>
      </c>
      <c r="K1624" s="49">
        <v>1</v>
      </c>
      <c r="L1624" s="49">
        <v>8</v>
      </c>
    </row>
    <row r="1625" spans="1:12" x14ac:dyDescent="0.25">
      <c r="A1625" s="45">
        <f>C1625&amp;"."&amp;IFERROR(MID(E1625,FIND("(",E1625)+1,FIND(")",E1625)-FIND("(",E1625)-1),"")</f>
      </c>
      <c r="B1625" s="46" t="s">
        <v>1178</v>
      </c>
      <c r="C1625" s="46">
        <v>76146</v>
      </c>
      <c r="D1625" s="46" t="s">
        <v>3203</v>
      </c>
      <c r="E1625" s="46" t="s">
        <v>3205</v>
      </c>
      <c r="F1625" s="46" t="s">
        <v>24</v>
      </c>
      <c r="G1625" s="47">
        <v>4.59</v>
      </c>
      <c r="H1625" s="48">
        <v>14.423</v>
      </c>
      <c r="I1625" s="48">
        <v>230.762</v>
      </c>
      <c r="J1625" s="49">
        <v>16</v>
      </c>
      <c r="K1625" s="49">
        <v>0</v>
      </c>
      <c r="L1625" s="49">
        <v>16</v>
      </c>
    </row>
    <row r="1626" spans="1:12" x14ac:dyDescent="0.25">
      <c r="A1626" s="45">
        <f>C1626&amp;"."&amp;IFERROR(MID(E1626,FIND("(",E1626)+1,FIND(")",E1626)-FIND("(",E1626)-1),"")</f>
      </c>
      <c r="B1626" s="46" t="s">
        <v>1178</v>
      </c>
      <c r="C1626" s="46">
        <v>76149</v>
      </c>
      <c r="D1626" s="46" t="s">
        <v>3206</v>
      </c>
      <c r="E1626" s="46" t="s">
        <v>3207</v>
      </c>
      <c r="F1626" s="46" t="s">
        <v>26</v>
      </c>
      <c r="G1626" s="47">
        <v>1.72</v>
      </c>
      <c r="H1626" s="48">
        <v>5.191</v>
      </c>
      <c r="I1626" s="48">
        <v>5.191</v>
      </c>
      <c r="J1626" s="49">
        <v>1</v>
      </c>
      <c r="K1626" s="49">
        <v>0</v>
      </c>
      <c r="L1626" s="49">
        <v>1</v>
      </c>
    </row>
    <row r="1627" spans="1:12" x14ac:dyDescent="0.25">
      <c r="A1627" s="45">
        <f>C1627&amp;"."&amp;IFERROR(MID(E1627,FIND("(",E1627)+1,FIND(")",E1627)-FIND("(",E1627)-1),"")</f>
      </c>
      <c r="B1627" s="46" t="s">
        <v>1178</v>
      </c>
      <c r="C1627" s="46">
        <v>76153</v>
      </c>
      <c r="D1627" s="46" t="s">
        <v>3208</v>
      </c>
      <c r="E1627" s="46" t="s">
        <v>3209</v>
      </c>
      <c r="F1627" s="46" t="s">
        <v>24</v>
      </c>
      <c r="G1627" s="47">
        <v>0.62</v>
      </c>
      <c r="H1627" s="48">
        <v>2.323</v>
      </c>
      <c r="I1627" s="48">
        <v>37.169</v>
      </c>
      <c r="J1627" s="49">
        <v>16</v>
      </c>
      <c r="K1627" s="49">
        <v>0</v>
      </c>
      <c r="L1627" s="49">
        <v>16</v>
      </c>
    </row>
    <row r="1628" spans="1:12" x14ac:dyDescent="0.25">
      <c r="A1628" s="45">
        <f>C1628&amp;"."&amp;IFERROR(MID(E1628,FIND("(",E1628)+1,FIND(")",E1628)-FIND("(",E1628)-1),"")</f>
      </c>
      <c r="B1628" s="46" t="s">
        <v>1178</v>
      </c>
      <c r="C1628" s="46">
        <v>76153</v>
      </c>
      <c r="D1628" s="46" t="s">
        <v>3208</v>
      </c>
      <c r="E1628" s="46" t="s">
        <v>3210</v>
      </c>
      <c r="F1628" s="46" t="s">
        <v>24</v>
      </c>
      <c r="G1628" s="47">
        <v>0.62</v>
      </c>
      <c r="H1628" s="48">
        <v>1.912</v>
      </c>
      <c r="I1628" s="48">
        <v>38.239</v>
      </c>
      <c r="J1628" s="49">
        <v>20</v>
      </c>
      <c r="K1628" s="49">
        <v>0</v>
      </c>
      <c r="L1628" s="49">
        <v>20</v>
      </c>
    </row>
    <row r="1629" spans="1:12" x14ac:dyDescent="0.25">
      <c r="A1629" s="45">
        <f>C1629&amp;"."&amp;IFERROR(MID(E1629,FIND("(",E1629)+1,FIND(")",E1629)-FIND("(",E1629)-1),"")</f>
      </c>
      <c r="B1629" s="46" t="s">
        <v>1178</v>
      </c>
      <c r="C1629" s="46">
        <v>76156</v>
      </c>
      <c r="D1629" s="46" t="s">
        <v>3211</v>
      </c>
      <c r="E1629" s="46" t="s">
        <v>3212</v>
      </c>
      <c r="F1629" s="46" t="s">
        <v>26</v>
      </c>
      <c r="G1629" s="47">
        <v>2</v>
      </c>
      <c r="H1629" s="48">
        <v>5.917</v>
      </c>
      <c r="I1629" s="48">
        <v>11.835</v>
      </c>
      <c r="J1629" s="49">
        <v>2</v>
      </c>
      <c r="K1629" s="49">
        <v>0</v>
      </c>
      <c r="L1629" s="49">
        <v>2</v>
      </c>
    </row>
    <row r="1630" spans="1:12" x14ac:dyDescent="0.25">
      <c r="A1630" s="45">
        <f>C1630&amp;"."&amp;IFERROR(MID(E1630,FIND("(",E1630)+1,FIND(")",E1630)-FIND("(",E1630)-1),"")</f>
      </c>
      <c r="B1630" s="46" t="s">
        <v>1178</v>
      </c>
      <c r="C1630" s="46">
        <v>76158</v>
      </c>
      <c r="D1630" s="46" t="s">
        <v>3213</v>
      </c>
      <c r="E1630" s="46" t="s">
        <v>3214</v>
      </c>
      <c r="F1630" s="46" t="s">
        <v>24</v>
      </c>
      <c r="G1630" s="47">
        <v>0.62</v>
      </c>
      <c r="H1630" s="48">
        <v>2.619</v>
      </c>
      <c r="I1630" s="48">
        <v>26.189</v>
      </c>
      <c r="J1630" s="49">
        <v>10</v>
      </c>
      <c r="K1630" s="49">
        <v>2</v>
      </c>
      <c r="L1630" s="49">
        <v>8</v>
      </c>
    </row>
    <row r="1631" spans="1:12" x14ac:dyDescent="0.25">
      <c r="A1631" s="45">
        <f>C1631&amp;"."&amp;IFERROR(MID(E1631,FIND("(",E1631)+1,FIND(")",E1631)-FIND("(",E1631)-1),"")</f>
      </c>
      <c r="B1631" s="46" t="s">
        <v>1178</v>
      </c>
      <c r="C1631" s="46">
        <v>76158</v>
      </c>
      <c r="D1631" s="46" t="s">
        <v>3213</v>
      </c>
      <c r="E1631" s="46" t="s">
        <v>3215</v>
      </c>
      <c r="F1631" s="46" t="s">
        <v>24</v>
      </c>
      <c r="G1631" s="47">
        <v>0.62</v>
      </c>
      <c r="H1631" s="48">
        <v>1.912</v>
      </c>
      <c r="I1631" s="48">
        <v>45.887</v>
      </c>
      <c r="J1631" s="49">
        <v>24</v>
      </c>
      <c r="K1631" s="49">
        <v>0</v>
      </c>
      <c r="L1631" s="49">
        <v>24</v>
      </c>
    </row>
    <row r="1632" spans="1:12" x14ac:dyDescent="0.25">
      <c r="A1632" s="45">
        <f>C1632&amp;"."&amp;IFERROR(MID(E1632,FIND("(",E1632)+1,FIND(")",E1632)-FIND("(",E1632)-1),"")</f>
      </c>
      <c r="B1632" s="46" t="s">
        <v>1178</v>
      </c>
      <c r="C1632" s="46">
        <v>76159</v>
      </c>
      <c r="D1632" s="46" t="s">
        <v>3216</v>
      </c>
      <c r="E1632" s="46" t="s">
        <v>1248</v>
      </c>
      <c r="F1632" s="46" t="s">
        <v>26</v>
      </c>
      <c r="G1632" s="47">
        <v>2</v>
      </c>
      <c r="H1632" s="48">
        <v>5.506</v>
      </c>
      <c r="I1632" s="48">
        <v>11.012</v>
      </c>
      <c r="J1632" s="49">
        <v>2</v>
      </c>
      <c r="K1632" s="49">
        <v>0</v>
      </c>
      <c r="L1632" s="49">
        <v>2</v>
      </c>
    </row>
    <row r="1633" spans="1:12" x14ac:dyDescent="0.25">
      <c r="A1633" s="45">
        <f>C1633&amp;"."&amp;IFERROR(MID(E1633,FIND("(",E1633)+1,FIND(")",E1633)-FIND("(",E1633)-1),"")</f>
      </c>
      <c r="B1633" s="46" t="s">
        <v>1178</v>
      </c>
      <c r="C1633" s="46">
        <v>76162</v>
      </c>
      <c r="D1633" s="46" t="s">
        <v>3217</v>
      </c>
      <c r="E1633" s="46" t="s">
        <v>3218</v>
      </c>
      <c r="F1633" s="46" t="s">
        <v>24</v>
      </c>
      <c r="G1633" s="47">
        <v>1.02</v>
      </c>
      <c r="H1633" s="48">
        <v>11.09</v>
      </c>
      <c r="I1633" s="48">
        <v>110.904</v>
      </c>
      <c r="J1633" s="49">
        <v>10</v>
      </c>
      <c r="K1633" s="49">
        <v>0</v>
      </c>
      <c r="L1633" s="49">
        <v>10</v>
      </c>
    </row>
    <row r="1634" spans="1:12" x14ac:dyDescent="0.25">
      <c r="A1634" s="45">
        <f>C1634&amp;"."&amp;IFERROR(MID(E1634,FIND("(",E1634)+1,FIND(")",E1634)-FIND("(",E1634)-1),"")</f>
      </c>
      <c r="B1634" s="46" t="s">
        <v>1178</v>
      </c>
      <c r="C1634" s="46">
        <v>76162</v>
      </c>
      <c r="D1634" s="46" t="s">
        <v>3217</v>
      </c>
      <c r="E1634" s="46" t="s">
        <v>3219</v>
      </c>
      <c r="F1634" s="46" t="s">
        <v>24</v>
      </c>
      <c r="G1634" s="47">
        <v>1.02</v>
      </c>
      <c r="H1634" s="48">
        <v>10.809</v>
      </c>
      <c r="I1634" s="48">
        <v>118.901</v>
      </c>
      <c r="J1634" s="49">
        <v>11</v>
      </c>
      <c r="K1634" s="49">
        <v>0</v>
      </c>
      <c r="L1634" s="49">
        <v>11</v>
      </c>
    </row>
    <row r="1635" spans="1:12" x14ac:dyDescent="0.25">
      <c r="A1635" s="45">
        <f>C1635&amp;"."&amp;IFERROR(MID(E1635,FIND("(",E1635)+1,FIND(")",E1635)-FIND("(",E1635)-1),"")</f>
      </c>
      <c r="B1635" s="46" t="s">
        <v>1178</v>
      </c>
      <c r="C1635" s="46">
        <v>76164</v>
      </c>
      <c r="D1635" s="46" t="s">
        <v>3220</v>
      </c>
      <c r="E1635" s="46" t="s">
        <v>3221</v>
      </c>
      <c r="F1635" s="46" t="s">
        <v>26</v>
      </c>
      <c r="G1635" s="47">
        <v>16.08</v>
      </c>
      <c r="H1635" s="48">
        <v>46.298</v>
      </c>
      <c r="I1635" s="48">
        <v>46.298</v>
      </c>
      <c r="J1635" s="49">
        <v>1</v>
      </c>
      <c r="K1635" s="49">
        <v>0</v>
      </c>
      <c r="L1635" s="49">
        <v>1</v>
      </c>
    </row>
    <row r="1636" spans="1:12" x14ac:dyDescent="0.25">
      <c r="A1636" s="45">
        <f>C1636&amp;"."&amp;IFERROR(MID(E1636,FIND("(",E1636)+1,FIND(")",E1636)-FIND("(",E1636)-1),"")</f>
      </c>
      <c r="B1636" s="46" t="s">
        <v>1178</v>
      </c>
      <c r="C1636" s="46">
        <v>76169</v>
      </c>
      <c r="D1636" s="46" t="s">
        <v>3222</v>
      </c>
      <c r="E1636" s="46" t="s">
        <v>3223</v>
      </c>
      <c r="F1636" s="46" t="s">
        <v>26</v>
      </c>
      <c r="G1636" s="47">
        <v>16.08</v>
      </c>
      <c r="H1636" s="48">
        <v>34.291</v>
      </c>
      <c r="I1636" s="48">
        <v>102.873</v>
      </c>
      <c r="J1636" s="49">
        <v>3</v>
      </c>
      <c r="K1636" s="49">
        <v>0</v>
      </c>
      <c r="L1636" s="49">
        <v>3</v>
      </c>
    </row>
    <row r="1637" spans="1:12" x14ac:dyDescent="0.25">
      <c r="A1637" s="45">
        <f>C1637&amp;"."&amp;IFERROR(MID(E1637,FIND("(",E1637)+1,FIND(")",E1637)-FIND("(",E1637)-1),"")</f>
      </c>
      <c r="B1637" s="46" t="s">
        <v>1178</v>
      </c>
      <c r="C1637" s="46">
        <v>76172</v>
      </c>
      <c r="D1637" s="46" t="s">
        <v>3224</v>
      </c>
      <c r="E1637" s="46" t="s">
        <v>3225</v>
      </c>
      <c r="F1637" s="46" t="s">
        <v>24</v>
      </c>
      <c r="G1637" s="47">
        <v>0.99</v>
      </c>
      <c r="H1637" s="48">
        <v>3.074</v>
      </c>
      <c r="I1637" s="48">
        <v>64.547</v>
      </c>
      <c r="J1637" s="49">
        <v>21</v>
      </c>
      <c r="K1637" s="49">
        <v>0</v>
      </c>
      <c r="L1637" s="49">
        <v>21</v>
      </c>
    </row>
    <row r="1638" spans="1:12" x14ac:dyDescent="0.25">
      <c r="A1638" s="45">
        <f>C1638&amp;"."&amp;IFERROR(MID(E1638,FIND("(",E1638)+1,FIND(")",E1638)-FIND("(",E1638)-1),"")</f>
      </c>
      <c r="B1638" s="46" t="s">
        <v>1178</v>
      </c>
      <c r="C1638" s="46">
        <v>76172</v>
      </c>
      <c r="D1638" s="46" t="s">
        <v>3224</v>
      </c>
      <c r="E1638" s="46" t="s">
        <v>3226</v>
      </c>
      <c r="F1638" s="46" t="s">
        <v>24</v>
      </c>
      <c r="G1638" s="47">
        <v>0.99</v>
      </c>
      <c r="H1638" s="48">
        <v>3.122</v>
      </c>
      <c r="I1638" s="48">
        <v>3.122</v>
      </c>
      <c r="J1638" s="49">
        <v>1</v>
      </c>
      <c r="K1638" s="49">
        <v>0</v>
      </c>
      <c r="L1638" s="49">
        <v>1</v>
      </c>
    </row>
    <row r="1639" spans="1:12" x14ac:dyDescent="0.25">
      <c r="A1639" s="45">
        <f>C1639&amp;"."&amp;IFERROR(MID(E1639,FIND("(",E1639)+1,FIND(")",E1639)-FIND("(",E1639)-1),"")</f>
      </c>
      <c r="B1639" s="46" t="s">
        <v>1178</v>
      </c>
      <c r="C1639" s="46">
        <v>76186</v>
      </c>
      <c r="D1639" s="46" t="s">
        <v>3227</v>
      </c>
      <c r="E1639" s="46" t="s">
        <v>3228</v>
      </c>
      <c r="F1639" s="46" t="s">
        <v>26</v>
      </c>
      <c r="G1639" s="47">
        <v>13.86</v>
      </c>
      <c r="H1639" s="48">
        <v>42.414</v>
      </c>
      <c r="I1639" s="48">
        <v>42.414</v>
      </c>
      <c r="J1639" s="49">
        <v>1</v>
      </c>
      <c r="K1639" s="49">
        <v>0</v>
      </c>
      <c r="L1639" s="49">
        <v>1</v>
      </c>
    </row>
    <row r="1640" spans="1:12" x14ac:dyDescent="0.25">
      <c r="A1640" s="45">
        <f>C1640&amp;"."&amp;IFERROR(MID(E1640,FIND("(",E1640)+1,FIND(")",E1640)-FIND("(",E1640)-1),"")</f>
      </c>
      <c r="B1640" s="46" t="s">
        <v>1178</v>
      </c>
      <c r="C1640" s="46">
        <v>76186</v>
      </c>
      <c r="D1640" s="46" t="s">
        <v>3227</v>
      </c>
      <c r="E1640" s="46" t="s">
        <v>3229</v>
      </c>
      <c r="F1640" s="46" t="s">
        <v>26</v>
      </c>
      <c r="G1640" s="47">
        <v>13.86</v>
      </c>
      <c r="H1640" s="48">
        <v>42.281</v>
      </c>
      <c r="I1640" s="48">
        <v>42.281</v>
      </c>
      <c r="J1640" s="49">
        <v>1</v>
      </c>
      <c r="K1640" s="49">
        <v>0</v>
      </c>
      <c r="L1640" s="49">
        <v>1</v>
      </c>
    </row>
    <row r="1641" spans="1:12" x14ac:dyDescent="0.25">
      <c r="A1641" s="45">
        <f>C1641&amp;"."&amp;IFERROR(MID(E1641,FIND("(",E1641)+1,FIND(")",E1641)-FIND("(",E1641)-1),"")</f>
      </c>
      <c r="B1641" s="46" t="s">
        <v>1178</v>
      </c>
      <c r="C1641" s="46">
        <v>76188</v>
      </c>
      <c r="D1641" s="46" t="s">
        <v>3230</v>
      </c>
      <c r="E1641" s="46" t="s">
        <v>3231</v>
      </c>
      <c r="F1641" s="46" t="s">
        <v>26</v>
      </c>
      <c r="G1641" s="47">
        <v>13.86</v>
      </c>
      <c r="H1641" s="48">
        <v>52.175</v>
      </c>
      <c r="I1641" s="48">
        <v>156.526</v>
      </c>
      <c r="J1641" s="49">
        <v>3</v>
      </c>
      <c r="K1641" s="49">
        <v>1</v>
      </c>
      <c r="L1641" s="49">
        <v>2</v>
      </c>
    </row>
    <row r="1642" spans="1:12" x14ac:dyDescent="0.25">
      <c r="A1642" s="45">
        <f>C1642&amp;"."&amp;IFERROR(MID(E1642,FIND("(",E1642)+1,FIND(")",E1642)-FIND("(",E1642)-1),"")</f>
      </c>
      <c r="B1642" s="46" t="s">
        <v>1178</v>
      </c>
      <c r="C1642" s="46">
        <v>76188</v>
      </c>
      <c r="D1642" s="46" t="s">
        <v>3230</v>
      </c>
      <c r="E1642" s="46" t="s">
        <v>3232</v>
      </c>
      <c r="F1642" s="46" t="s">
        <v>26</v>
      </c>
      <c r="G1642" s="47">
        <v>13.86</v>
      </c>
      <c r="H1642" s="48">
        <v>42.414</v>
      </c>
      <c r="I1642" s="48">
        <v>42.414</v>
      </c>
      <c r="J1642" s="49">
        <v>1</v>
      </c>
      <c r="K1642" s="49">
        <v>0</v>
      </c>
      <c r="L1642" s="49">
        <v>1</v>
      </c>
    </row>
    <row r="1643" spans="1:12" x14ac:dyDescent="0.25">
      <c r="A1643" s="45">
        <f>C1643&amp;"."&amp;IFERROR(MID(E1643,FIND("(",E1643)+1,FIND(")",E1643)-FIND("(",E1643)-1),"")</f>
      </c>
      <c r="B1643" s="46" t="s">
        <v>1178</v>
      </c>
      <c r="C1643" s="46">
        <v>76192</v>
      </c>
      <c r="D1643" s="46" t="s">
        <v>3233</v>
      </c>
      <c r="E1643" s="46" t="s">
        <v>3234</v>
      </c>
      <c r="F1643" s="46" t="s">
        <v>26</v>
      </c>
      <c r="G1643" s="47">
        <v>0.23</v>
      </c>
      <c r="H1643" s="48">
        <v>0.92</v>
      </c>
      <c r="I1643" s="48">
        <v>4.598</v>
      </c>
      <c r="J1643" s="49">
        <v>5</v>
      </c>
      <c r="K1643" s="49">
        <v>0</v>
      </c>
      <c r="L1643" s="49">
        <v>5</v>
      </c>
    </row>
    <row r="1644" spans="1:12" x14ac:dyDescent="0.25">
      <c r="A1644" s="45">
        <f>C1644&amp;"."&amp;IFERROR(MID(E1644,FIND("(",E1644)+1,FIND(")",E1644)-FIND("(",E1644)-1),"")</f>
      </c>
      <c r="B1644" s="46" t="s">
        <v>1178</v>
      </c>
      <c r="C1644" s="46">
        <v>76201</v>
      </c>
      <c r="D1644" s="46" t="s">
        <v>3235</v>
      </c>
      <c r="E1644" s="46" t="s">
        <v>3236</v>
      </c>
      <c r="F1644" s="46" t="s">
        <v>26</v>
      </c>
      <c r="G1644" s="47">
        <v>4.16</v>
      </c>
      <c r="H1644" s="48">
        <v>11.762</v>
      </c>
      <c r="I1644" s="48">
        <v>58.811</v>
      </c>
      <c r="J1644" s="49">
        <v>5</v>
      </c>
      <c r="K1644" s="49">
        <v>2</v>
      </c>
      <c r="L1644" s="49">
        <v>3</v>
      </c>
    </row>
    <row r="1645" spans="1:12" x14ac:dyDescent="0.25">
      <c r="A1645" s="45">
        <f>C1645&amp;"."&amp;IFERROR(MID(E1645,FIND("(",E1645)+1,FIND(")",E1645)-FIND("(",E1645)-1),"")</f>
      </c>
      <c r="B1645" s="46" t="s">
        <v>1178</v>
      </c>
      <c r="C1645" s="46">
        <v>76202</v>
      </c>
      <c r="D1645" s="46" t="s">
        <v>3237</v>
      </c>
      <c r="E1645" s="46" t="s">
        <v>3238</v>
      </c>
      <c r="F1645" s="46" t="s">
        <v>24</v>
      </c>
      <c r="G1645" s="47">
        <v>3.51</v>
      </c>
      <c r="H1645" s="48">
        <v>17.738</v>
      </c>
      <c r="I1645" s="48">
        <v>425.702</v>
      </c>
      <c r="J1645" s="49">
        <v>24</v>
      </c>
      <c r="K1645" s="49">
        <v>3</v>
      </c>
      <c r="L1645" s="49">
        <v>21</v>
      </c>
    </row>
    <row r="1646" spans="1:12" x14ac:dyDescent="0.25">
      <c r="A1646" s="45">
        <f>C1646&amp;"."&amp;IFERROR(MID(E1646,FIND("(",E1646)+1,FIND(")",E1646)-FIND("(",E1646)-1),"")</f>
      </c>
      <c r="B1646" s="46" t="s">
        <v>1178</v>
      </c>
      <c r="C1646" s="46">
        <v>76202</v>
      </c>
      <c r="D1646" s="46" t="s">
        <v>3237</v>
      </c>
      <c r="E1646" s="46" t="s">
        <v>3239</v>
      </c>
      <c r="F1646" s="46" t="s">
        <v>24</v>
      </c>
      <c r="G1646" s="47">
        <v>3.51</v>
      </c>
      <c r="H1646" s="48">
        <v>15.034</v>
      </c>
      <c r="I1646" s="48">
        <v>75.171</v>
      </c>
      <c r="J1646" s="49">
        <v>5</v>
      </c>
      <c r="K1646" s="49">
        <v>1</v>
      </c>
      <c r="L1646" s="49">
        <v>4</v>
      </c>
    </row>
    <row r="1647" spans="1:12" x14ac:dyDescent="0.25">
      <c r="A1647" s="45">
        <f>C1647&amp;"."&amp;IFERROR(MID(E1647,FIND("(",E1647)+1,FIND(")",E1647)-FIND("(",E1647)-1),"")</f>
      </c>
      <c r="B1647" s="46" t="s">
        <v>1178</v>
      </c>
      <c r="C1647" s="46">
        <v>76203</v>
      </c>
      <c r="D1647" s="46" t="s">
        <v>3240</v>
      </c>
      <c r="E1647" s="46" t="s">
        <v>3241</v>
      </c>
      <c r="F1647" s="46" t="s">
        <v>26</v>
      </c>
      <c r="G1647" s="47">
        <v>3.27</v>
      </c>
      <c r="H1647" s="48">
        <v>19.032</v>
      </c>
      <c r="I1647" s="48">
        <v>95.158</v>
      </c>
      <c r="J1647" s="49">
        <v>5</v>
      </c>
      <c r="K1647" s="49">
        <v>0</v>
      </c>
      <c r="L1647" s="49">
        <v>5</v>
      </c>
    </row>
    <row r="1648" spans="1:12" x14ac:dyDescent="0.25">
      <c r="A1648" s="45">
        <f>C1648&amp;"."&amp;IFERROR(MID(E1648,FIND("(",E1648)+1,FIND(")",E1648)-FIND("(",E1648)-1),"")</f>
      </c>
      <c r="B1648" s="46" t="s">
        <v>1178</v>
      </c>
      <c r="C1648" s="46">
        <v>76205</v>
      </c>
      <c r="D1648" s="46" t="s">
        <v>3242</v>
      </c>
      <c r="E1648" s="46" t="s">
        <v>3243</v>
      </c>
      <c r="F1648" s="46" t="s">
        <v>24</v>
      </c>
      <c r="G1648" s="47">
        <v>1.4</v>
      </c>
      <c r="H1648" s="48">
        <v>3.854</v>
      </c>
      <c r="I1648" s="48">
        <v>26.978</v>
      </c>
      <c r="J1648" s="49">
        <v>7</v>
      </c>
      <c r="K1648" s="49">
        <v>0</v>
      </c>
      <c r="L1648" s="49">
        <v>7</v>
      </c>
    </row>
    <row r="1649" spans="1:12" x14ac:dyDescent="0.25">
      <c r="A1649" s="45">
        <f>C1649&amp;"."&amp;IFERROR(MID(E1649,FIND("(",E1649)+1,FIND(")",E1649)-FIND("(",E1649)-1),"")</f>
      </c>
      <c r="B1649" s="46" t="s">
        <v>1178</v>
      </c>
      <c r="C1649" s="46">
        <v>76205</v>
      </c>
      <c r="D1649" s="46" t="s">
        <v>3242</v>
      </c>
      <c r="E1649" s="46" t="s">
        <v>3244</v>
      </c>
      <c r="F1649" s="46" t="s">
        <v>24</v>
      </c>
      <c r="G1649" s="47">
        <v>1.4</v>
      </c>
      <c r="H1649" s="48">
        <v>3.89</v>
      </c>
      <c r="I1649" s="48">
        <v>38.902</v>
      </c>
      <c r="J1649" s="49">
        <v>10</v>
      </c>
      <c r="K1649" s="49">
        <v>0</v>
      </c>
      <c r="L1649" s="49">
        <v>10</v>
      </c>
    </row>
    <row r="1650" spans="1:12" x14ac:dyDescent="0.25">
      <c r="A1650" s="45">
        <f>C1650&amp;"."&amp;IFERROR(MID(E1650,FIND("(",E1650)+1,FIND(")",E1650)-FIND("(",E1650)-1),"")</f>
      </c>
      <c r="B1650" s="46" t="s">
        <v>1178</v>
      </c>
      <c r="C1650" s="46">
        <v>76207</v>
      </c>
      <c r="D1650" s="46" t="s">
        <v>3245</v>
      </c>
      <c r="E1650" s="46" t="s">
        <v>3246</v>
      </c>
      <c r="F1650" s="46" t="s">
        <v>24</v>
      </c>
      <c r="G1650" s="47">
        <v>4.57</v>
      </c>
      <c r="H1650" s="48">
        <v>13.62</v>
      </c>
      <c r="I1650" s="48">
        <v>136.203</v>
      </c>
      <c r="J1650" s="49">
        <v>10</v>
      </c>
      <c r="K1650" s="49">
        <v>1</v>
      </c>
      <c r="L1650" s="49">
        <v>9</v>
      </c>
    </row>
    <row r="1651" spans="1:12" x14ac:dyDescent="0.25">
      <c r="A1651" s="45">
        <f>C1651&amp;"."&amp;IFERROR(MID(E1651,FIND("(",E1651)+1,FIND(")",E1651)-FIND("(",E1651)-1),"")</f>
      </c>
      <c r="B1651" s="46" t="s">
        <v>1178</v>
      </c>
      <c r="C1651" s="46">
        <v>76207</v>
      </c>
      <c r="D1651" s="46" t="s">
        <v>3245</v>
      </c>
      <c r="E1651" s="46" t="s">
        <v>3247</v>
      </c>
      <c r="F1651" s="46" t="s">
        <v>24</v>
      </c>
      <c r="G1651" s="47">
        <v>4.57</v>
      </c>
      <c r="H1651" s="48">
        <v>12.986</v>
      </c>
      <c r="I1651" s="48">
        <v>181.8</v>
      </c>
      <c r="J1651" s="49">
        <v>14</v>
      </c>
      <c r="K1651" s="49">
        <v>0</v>
      </c>
      <c r="L1651" s="49">
        <v>14</v>
      </c>
    </row>
    <row r="1652" spans="1:12" x14ac:dyDescent="0.25">
      <c r="A1652" s="45">
        <f>C1652&amp;"."&amp;IFERROR(MID(E1652,FIND("(",E1652)+1,FIND(")",E1652)-FIND("(",E1652)-1),"")</f>
      </c>
      <c r="B1652" s="46" t="s">
        <v>1178</v>
      </c>
      <c r="C1652" s="46">
        <v>76209</v>
      </c>
      <c r="D1652" s="46" t="s">
        <v>3248</v>
      </c>
      <c r="E1652" s="46" t="s">
        <v>3249</v>
      </c>
      <c r="F1652" s="46" t="s">
        <v>26</v>
      </c>
      <c r="G1652" s="47">
        <v>12.89</v>
      </c>
      <c r="H1652" s="48">
        <v>38.348</v>
      </c>
      <c r="I1652" s="48">
        <v>38.348</v>
      </c>
      <c r="J1652" s="49">
        <v>1</v>
      </c>
      <c r="K1652" s="49">
        <v>0</v>
      </c>
      <c r="L1652" s="49">
        <v>1</v>
      </c>
    </row>
    <row r="1653" spans="1:12" x14ac:dyDescent="0.25">
      <c r="A1653" s="45">
        <f>C1653&amp;"."&amp;IFERROR(MID(E1653,FIND("(",E1653)+1,FIND(")",E1653)-FIND("(",E1653)-1),"")</f>
      </c>
      <c r="B1653" s="46" t="s">
        <v>1178</v>
      </c>
      <c r="C1653" s="46">
        <v>76209</v>
      </c>
      <c r="D1653" s="46" t="s">
        <v>3248</v>
      </c>
      <c r="E1653" s="46" t="s">
        <v>3250</v>
      </c>
      <c r="F1653" s="46" t="s">
        <v>26</v>
      </c>
      <c r="G1653" s="47">
        <v>12.89</v>
      </c>
      <c r="H1653" s="48">
        <v>38.784</v>
      </c>
      <c r="I1653" s="48">
        <v>116.351</v>
      </c>
      <c r="J1653" s="49">
        <v>3</v>
      </c>
      <c r="K1653" s="49">
        <v>1</v>
      </c>
      <c r="L1653" s="49">
        <v>2</v>
      </c>
    </row>
    <row r="1654" spans="1:12" x14ac:dyDescent="0.25">
      <c r="A1654" s="45">
        <f>C1654&amp;"."&amp;IFERROR(MID(E1654,FIND("(",E1654)+1,FIND(")",E1654)-FIND("(",E1654)-1),"")</f>
      </c>
      <c r="B1654" s="46" t="s">
        <v>1178</v>
      </c>
      <c r="C1654" s="46">
        <v>76210</v>
      </c>
      <c r="D1654" s="46" t="s">
        <v>3251</v>
      </c>
      <c r="E1654" s="46" t="s">
        <v>3252</v>
      </c>
      <c r="F1654" s="46" t="s">
        <v>24</v>
      </c>
      <c r="G1654" s="47">
        <v>0.65</v>
      </c>
      <c r="H1654" s="48">
        <v>5.341</v>
      </c>
      <c r="I1654" s="48">
        <v>37.386</v>
      </c>
      <c r="J1654" s="49">
        <v>7</v>
      </c>
      <c r="K1654" s="49">
        <v>0</v>
      </c>
      <c r="L1654" s="49">
        <v>7</v>
      </c>
    </row>
    <row r="1655" spans="1:12" x14ac:dyDescent="0.25">
      <c r="A1655" s="45">
        <f>C1655&amp;"."&amp;IFERROR(MID(E1655,FIND("(",E1655)+1,FIND(")",E1655)-FIND("(",E1655)-1),"")</f>
      </c>
      <c r="B1655" s="46" t="s">
        <v>1178</v>
      </c>
      <c r="C1655" s="46">
        <v>76210</v>
      </c>
      <c r="D1655" s="46" t="s">
        <v>3251</v>
      </c>
      <c r="E1655" s="46" t="s">
        <v>3253</v>
      </c>
      <c r="F1655" s="46" t="s">
        <v>24</v>
      </c>
      <c r="G1655" s="47">
        <v>0.65</v>
      </c>
      <c r="H1655" s="48">
        <v>2.069</v>
      </c>
      <c r="I1655" s="48">
        <v>2.069</v>
      </c>
      <c r="J1655" s="49">
        <v>1</v>
      </c>
      <c r="K1655" s="49">
        <v>0</v>
      </c>
      <c r="L1655" s="49">
        <v>1</v>
      </c>
    </row>
    <row r="1656" spans="1:12" x14ac:dyDescent="0.25">
      <c r="A1656" s="45">
        <f>C1656&amp;"."&amp;IFERROR(MID(E1656,FIND("(",E1656)+1,FIND(")",E1656)-FIND("(",E1656)-1),"")</f>
      </c>
      <c r="B1656" s="46" t="s">
        <v>1178</v>
      </c>
      <c r="C1656" s="46">
        <v>76210</v>
      </c>
      <c r="D1656" s="46" t="s">
        <v>3251</v>
      </c>
      <c r="E1656" s="46" t="s">
        <v>3254</v>
      </c>
      <c r="F1656" s="46" t="s">
        <v>24</v>
      </c>
      <c r="G1656" s="47">
        <v>0.65</v>
      </c>
      <c r="H1656" s="48">
        <v>5.706</v>
      </c>
      <c r="I1656" s="48">
        <v>45.65</v>
      </c>
      <c r="J1656" s="49">
        <v>8</v>
      </c>
      <c r="K1656" s="49">
        <v>0</v>
      </c>
      <c r="L1656" s="49">
        <v>8</v>
      </c>
    </row>
    <row r="1657" spans="1:12" x14ac:dyDescent="0.25">
      <c r="A1657" s="45">
        <f>C1657&amp;"."&amp;IFERROR(MID(E1657,FIND("(",E1657)+1,FIND(")",E1657)-FIND("(",E1657)-1),"")</f>
      </c>
      <c r="B1657" s="46" t="s">
        <v>1178</v>
      </c>
      <c r="C1657" s="46">
        <v>76212</v>
      </c>
      <c r="D1657" s="46" t="s">
        <v>3255</v>
      </c>
      <c r="E1657" s="46" t="s">
        <v>3256</v>
      </c>
      <c r="F1657" s="46" t="s">
        <v>24</v>
      </c>
      <c r="G1657" s="47">
        <v>1.13</v>
      </c>
      <c r="H1657" s="48">
        <v>5.49</v>
      </c>
      <c r="I1657" s="48">
        <v>27.449</v>
      </c>
      <c r="J1657" s="49">
        <v>5</v>
      </c>
      <c r="K1657" s="49">
        <v>0</v>
      </c>
      <c r="L1657" s="49">
        <v>5</v>
      </c>
    </row>
    <row r="1658" spans="1:12" x14ac:dyDescent="0.25">
      <c r="A1658" s="45">
        <f>C1658&amp;"."&amp;IFERROR(MID(E1658,FIND("(",E1658)+1,FIND(")",E1658)-FIND("(",E1658)-1),"")</f>
      </c>
      <c r="B1658" s="46" t="s">
        <v>1178</v>
      </c>
      <c r="C1658" s="46">
        <v>76212</v>
      </c>
      <c r="D1658" s="46" t="s">
        <v>3255</v>
      </c>
      <c r="E1658" s="46" t="s">
        <v>3257</v>
      </c>
      <c r="F1658" s="46" t="s">
        <v>24</v>
      </c>
      <c r="G1658" s="47">
        <v>1.13</v>
      </c>
      <c r="H1658" s="48">
        <v>5.953</v>
      </c>
      <c r="I1658" s="48">
        <v>107.148</v>
      </c>
      <c r="J1658" s="49">
        <v>18</v>
      </c>
      <c r="K1658" s="49">
        <v>0</v>
      </c>
      <c r="L1658" s="49">
        <v>18</v>
      </c>
    </row>
    <row r="1659" spans="1:12" x14ac:dyDescent="0.25">
      <c r="A1659" s="45">
        <f>C1659&amp;"."&amp;IFERROR(MID(E1659,FIND("(",E1659)+1,FIND(")",E1659)-FIND("(",E1659)-1),"")</f>
      </c>
      <c r="B1659" s="46" t="s">
        <v>1178</v>
      </c>
      <c r="C1659" s="46">
        <v>76213</v>
      </c>
      <c r="D1659" s="46" t="s">
        <v>3258</v>
      </c>
      <c r="E1659" s="46" t="s">
        <v>3259</v>
      </c>
      <c r="F1659" s="46" t="s">
        <v>24</v>
      </c>
      <c r="G1659" s="47">
        <v>5</v>
      </c>
      <c r="H1659" s="48">
        <v>11.567</v>
      </c>
      <c r="I1659" s="48">
        <v>196.631</v>
      </c>
      <c r="J1659" s="49">
        <v>17</v>
      </c>
      <c r="K1659" s="49">
        <v>2</v>
      </c>
      <c r="L1659" s="49">
        <v>15</v>
      </c>
    </row>
    <row r="1660" spans="1:12" x14ac:dyDescent="0.25">
      <c r="A1660" s="45">
        <f>C1660&amp;"."&amp;IFERROR(MID(E1660,FIND("(",E1660)+1,FIND(")",E1660)-FIND("(",E1660)-1),"")</f>
      </c>
      <c r="B1660" s="46" t="s">
        <v>1178</v>
      </c>
      <c r="C1660" s="46">
        <v>76213</v>
      </c>
      <c r="D1660" s="46" t="s">
        <v>3258</v>
      </c>
      <c r="E1660" s="46" t="s">
        <v>3260</v>
      </c>
      <c r="F1660" s="46" t="s">
        <v>24</v>
      </c>
      <c r="G1660" s="47">
        <v>5</v>
      </c>
      <c r="H1660" s="48">
        <v>12.383</v>
      </c>
      <c r="I1660" s="48">
        <v>99.061</v>
      </c>
      <c r="J1660" s="49">
        <v>8</v>
      </c>
      <c r="K1660" s="49">
        <v>1</v>
      </c>
      <c r="L1660" s="49">
        <v>7</v>
      </c>
    </row>
    <row r="1661" spans="1:12" x14ac:dyDescent="0.25">
      <c r="A1661" s="45">
        <f>C1661&amp;"."&amp;IFERROR(MID(E1661,FIND("(",E1661)+1,FIND(")",E1661)-FIND("(",E1661)-1),"")</f>
      </c>
      <c r="B1661" s="46" t="s">
        <v>1178</v>
      </c>
      <c r="C1661" s="46">
        <v>76214</v>
      </c>
      <c r="D1661" s="46" t="s">
        <v>3261</v>
      </c>
      <c r="E1661" s="46" t="s">
        <v>3262</v>
      </c>
      <c r="F1661" s="46" t="s">
        <v>26</v>
      </c>
      <c r="G1661" s="47">
        <v>1.68</v>
      </c>
      <c r="H1661" s="48">
        <v>13.712</v>
      </c>
      <c r="I1661" s="48">
        <v>27.424</v>
      </c>
      <c r="J1661" s="49">
        <v>2</v>
      </c>
      <c r="K1661" s="49">
        <v>0</v>
      </c>
      <c r="L1661" s="49">
        <v>2</v>
      </c>
    </row>
    <row r="1662" spans="1:12" x14ac:dyDescent="0.25">
      <c r="A1662" s="45">
        <f>C1662&amp;"."&amp;IFERROR(MID(E1662,FIND("(",E1662)+1,FIND(")",E1662)-FIND("(",E1662)-1),"")</f>
      </c>
      <c r="B1662" s="46" t="s">
        <v>1178</v>
      </c>
      <c r="C1662" s="46">
        <v>76214</v>
      </c>
      <c r="D1662" s="46" t="s">
        <v>3261</v>
      </c>
      <c r="E1662" s="46" t="s">
        <v>3263</v>
      </c>
      <c r="F1662" s="46" t="s">
        <v>26</v>
      </c>
      <c r="G1662" s="47">
        <v>1.68</v>
      </c>
      <c r="H1662" s="48">
        <v>179.479</v>
      </c>
      <c r="I1662" s="48">
        <v>179.479</v>
      </c>
      <c r="J1662" s="49">
        <v>1</v>
      </c>
      <c r="K1662" s="49">
        <v>0</v>
      </c>
      <c r="L1662" s="49">
        <v>1</v>
      </c>
    </row>
    <row r="1663" spans="1:12" x14ac:dyDescent="0.25">
      <c r="A1663" s="45">
        <f>C1663&amp;"."&amp;IFERROR(MID(E1663,FIND("(",E1663)+1,FIND(")",E1663)-FIND("(",E1663)-1),"")</f>
      </c>
      <c r="B1663" s="46" t="s">
        <v>1178</v>
      </c>
      <c r="C1663" s="46">
        <v>76215</v>
      </c>
      <c r="D1663" s="46" t="s">
        <v>3264</v>
      </c>
      <c r="E1663" s="46" t="s">
        <v>3265</v>
      </c>
      <c r="F1663" s="46" t="s">
        <v>24</v>
      </c>
      <c r="G1663" s="47">
        <v>5</v>
      </c>
      <c r="H1663" s="48">
        <v>11.884</v>
      </c>
      <c r="I1663" s="48">
        <v>83.185</v>
      </c>
      <c r="J1663" s="49">
        <v>7</v>
      </c>
      <c r="K1663" s="49">
        <v>1</v>
      </c>
      <c r="L1663" s="49">
        <v>6</v>
      </c>
    </row>
    <row r="1664" spans="1:12" x14ac:dyDescent="0.25">
      <c r="A1664" s="45">
        <f>C1664&amp;"."&amp;IFERROR(MID(E1664,FIND("(",E1664)+1,FIND(")",E1664)-FIND("(",E1664)-1),"")</f>
      </c>
      <c r="B1664" s="46" t="s">
        <v>1178</v>
      </c>
      <c r="C1664" s="46">
        <v>76215</v>
      </c>
      <c r="D1664" s="46" t="s">
        <v>3264</v>
      </c>
      <c r="E1664" s="46" t="s">
        <v>3266</v>
      </c>
      <c r="F1664" s="46" t="s">
        <v>24</v>
      </c>
      <c r="G1664" s="47">
        <v>5</v>
      </c>
      <c r="H1664" s="48">
        <v>11.728</v>
      </c>
      <c r="I1664" s="48">
        <v>164.195</v>
      </c>
      <c r="J1664" s="49">
        <v>14</v>
      </c>
      <c r="K1664" s="49">
        <v>1</v>
      </c>
      <c r="L1664" s="49">
        <v>13</v>
      </c>
    </row>
    <row r="1665" spans="1:12" x14ac:dyDescent="0.25">
      <c r="A1665" s="45">
        <f>C1665&amp;"."&amp;IFERROR(MID(E1665,FIND("(",E1665)+1,FIND(")",E1665)-FIND("(",E1665)-1),"")</f>
      </c>
      <c r="B1665" s="46" t="s">
        <v>1178</v>
      </c>
      <c r="C1665" s="46">
        <v>76216</v>
      </c>
      <c r="D1665" s="46" t="s">
        <v>3267</v>
      </c>
      <c r="E1665" s="46" t="s">
        <v>3268</v>
      </c>
      <c r="F1665" s="46" t="s">
        <v>24</v>
      </c>
      <c r="G1665" s="47">
        <v>0.48</v>
      </c>
      <c r="H1665" s="48">
        <v>1.329</v>
      </c>
      <c r="I1665" s="48">
        <v>27.903</v>
      </c>
      <c r="J1665" s="49">
        <v>21</v>
      </c>
      <c r="K1665" s="49">
        <v>8</v>
      </c>
      <c r="L1665" s="49">
        <v>13</v>
      </c>
    </row>
    <row r="1666" spans="1:12" x14ac:dyDescent="0.25">
      <c r="A1666" s="45">
        <f>C1666&amp;"."&amp;IFERROR(MID(E1666,FIND("(",E1666)+1,FIND(")",E1666)-FIND("(",E1666)-1),"")</f>
      </c>
      <c r="B1666" s="46" t="s">
        <v>1178</v>
      </c>
      <c r="C1666" s="46">
        <v>76216</v>
      </c>
      <c r="D1666" s="46" t="s">
        <v>3267</v>
      </c>
      <c r="E1666" s="46" t="s">
        <v>3269</v>
      </c>
      <c r="F1666" s="46" t="s">
        <v>24</v>
      </c>
      <c r="G1666" s="47">
        <v>0.48</v>
      </c>
      <c r="H1666" s="48">
        <v>1.631</v>
      </c>
      <c r="I1666" s="48">
        <v>8.154</v>
      </c>
      <c r="J1666" s="49">
        <v>5</v>
      </c>
      <c r="K1666" s="49">
        <v>1</v>
      </c>
      <c r="L1666" s="49">
        <v>4</v>
      </c>
    </row>
    <row r="1667" spans="1:12" x14ac:dyDescent="0.25">
      <c r="A1667" s="45">
        <f>C1667&amp;"."&amp;IFERROR(MID(E1667,FIND("(",E1667)+1,FIND(")",E1667)-FIND("(",E1667)-1),"")</f>
      </c>
      <c r="B1667" s="46" t="s">
        <v>1178</v>
      </c>
      <c r="C1667" s="46">
        <v>76218</v>
      </c>
      <c r="D1667" s="46" t="s">
        <v>3270</v>
      </c>
      <c r="E1667" s="46" t="s">
        <v>3271</v>
      </c>
      <c r="F1667" s="46" t="s">
        <v>24</v>
      </c>
      <c r="G1667" s="47">
        <v>0.48</v>
      </c>
      <c r="H1667" s="48">
        <v>1.511</v>
      </c>
      <c r="I1667" s="48">
        <v>10.577</v>
      </c>
      <c r="J1667" s="49">
        <v>7</v>
      </c>
      <c r="K1667" s="49">
        <v>0</v>
      </c>
      <c r="L1667" s="49">
        <v>7</v>
      </c>
    </row>
    <row r="1668" spans="1:12" x14ac:dyDescent="0.25">
      <c r="A1668" s="45">
        <f>C1668&amp;"."&amp;IFERROR(MID(E1668,FIND("(",E1668)+1,FIND(")",E1668)-FIND("(",E1668)-1),"")</f>
      </c>
      <c r="B1668" s="46" t="s">
        <v>1178</v>
      </c>
      <c r="C1668" s="46">
        <v>76218</v>
      </c>
      <c r="D1668" s="46" t="s">
        <v>3270</v>
      </c>
      <c r="E1668" s="46" t="s">
        <v>3272</v>
      </c>
      <c r="F1668" s="46" t="s">
        <v>24</v>
      </c>
      <c r="G1668" s="47">
        <v>0.48</v>
      </c>
      <c r="H1668" s="48">
        <v>1.542</v>
      </c>
      <c r="I1668" s="48">
        <v>30.835</v>
      </c>
      <c r="J1668" s="49">
        <v>20</v>
      </c>
      <c r="K1668" s="49">
        <v>6</v>
      </c>
      <c r="L1668" s="49">
        <v>14</v>
      </c>
    </row>
    <row r="1669" spans="1:12" x14ac:dyDescent="0.25">
      <c r="A1669" s="45">
        <f>C1669&amp;"."&amp;IFERROR(MID(E1669,FIND("(",E1669)+1,FIND(")",E1669)-FIND("(",E1669)-1),"")</f>
      </c>
      <c r="B1669" s="46" t="s">
        <v>1178</v>
      </c>
      <c r="C1669" s="46">
        <v>76220</v>
      </c>
      <c r="D1669" s="46" t="s">
        <v>3273</v>
      </c>
      <c r="E1669" s="46" t="s">
        <v>1248</v>
      </c>
      <c r="F1669" s="46" t="s">
        <v>26</v>
      </c>
      <c r="G1669" s="47">
        <v>0.42</v>
      </c>
      <c r="H1669" s="48">
        <v>1.162</v>
      </c>
      <c r="I1669" s="48">
        <v>9.294</v>
      </c>
      <c r="J1669" s="49">
        <v>8</v>
      </c>
      <c r="K1669" s="49">
        <v>0</v>
      </c>
      <c r="L1669" s="49">
        <v>8</v>
      </c>
    </row>
    <row r="1670" spans="1:12" x14ac:dyDescent="0.25">
      <c r="A1670" s="45">
        <f>C1670&amp;"."&amp;IFERROR(MID(E1670,FIND("(",E1670)+1,FIND(")",E1670)-FIND("(",E1670)-1),"")</f>
      </c>
      <c r="B1670" s="46" t="s">
        <v>1178</v>
      </c>
      <c r="C1670" s="46">
        <v>76222</v>
      </c>
      <c r="D1670" s="46" t="s">
        <v>3274</v>
      </c>
      <c r="E1670" s="46" t="s">
        <v>3275</v>
      </c>
      <c r="F1670" s="46" t="s">
        <v>24</v>
      </c>
      <c r="G1670" s="47">
        <v>2.84</v>
      </c>
      <c r="H1670" s="48">
        <v>7.149</v>
      </c>
      <c r="I1670" s="48">
        <v>35.746</v>
      </c>
      <c r="J1670" s="49">
        <v>5</v>
      </c>
      <c r="K1670" s="49">
        <v>0</v>
      </c>
      <c r="L1670" s="49">
        <v>5</v>
      </c>
    </row>
    <row r="1671" spans="1:12" x14ac:dyDescent="0.25">
      <c r="A1671" s="45">
        <f>C1671&amp;"."&amp;IFERROR(MID(E1671,FIND("(",E1671)+1,FIND(")",E1671)-FIND("(",E1671)-1),"")</f>
      </c>
      <c r="B1671" s="46" t="s">
        <v>1178</v>
      </c>
      <c r="C1671" s="46">
        <v>76222</v>
      </c>
      <c r="D1671" s="46" t="s">
        <v>3274</v>
      </c>
      <c r="E1671" s="46" t="s">
        <v>3276</v>
      </c>
      <c r="F1671" s="46" t="s">
        <v>24</v>
      </c>
      <c r="G1671" s="47">
        <v>2.84</v>
      </c>
      <c r="H1671" s="48">
        <v>7.218</v>
      </c>
      <c r="I1671" s="48">
        <v>144.368</v>
      </c>
      <c r="J1671" s="49">
        <v>20</v>
      </c>
      <c r="K1671" s="49">
        <v>2</v>
      </c>
      <c r="L1671" s="49">
        <v>18</v>
      </c>
    </row>
    <row r="1672" spans="1:12" x14ac:dyDescent="0.25">
      <c r="A1672" s="45">
        <f>C1672&amp;"."&amp;IFERROR(MID(E1672,FIND("(",E1672)+1,FIND(")",E1672)-FIND("(",E1672)-1),"")</f>
      </c>
      <c r="B1672" s="46" t="s">
        <v>1178</v>
      </c>
      <c r="C1672" s="46">
        <v>76223</v>
      </c>
      <c r="D1672" s="46" t="s">
        <v>3277</v>
      </c>
      <c r="E1672" s="46" t="s">
        <v>3278</v>
      </c>
      <c r="F1672" s="46" t="s">
        <v>24</v>
      </c>
      <c r="G1672" s="47">
        <v>1.05</v>
      </c>
      <c r="H1672" s="48">
        <v>3.303</v>
      </c>
      <c r="I1672" s="48">
        <v>46.246</v>
      </c>
      <c r="J1672" s="49">
        <v>14</v>
      </c>
      <c r="K1672" s="49">
        <v>0</v>
      </c>
      <c r="L1672" s="49">
        <v>14</v>
      </c>
    </row>
    <row r="1673" spans="1:12" x14ac:dyDescent="0.25">
      <c r="A1673" s="45">
        <f>C1673&amp;"."&amp;IFERROR(MID(E1673,FIND("(",E1673)+1,FIND(")",E1673)-FIND("(",E1673)-1),"")</f>
      </c>
      <c r="B1673" s="46" t="s">
        <v>1178</v>
      </c>
      <c r="C1673" s="46">
        <v>76223</v>
      </c>
      <c r="D1673" s="46" t="s">
        <v>3277</v>
      </c>
      <c r="E1673" s="46" t="s">
        <v>3279</v>
      </c>
      <c r="F1673" s="46" t="s">
        <v>24</v>
      </c>
      <c r="G1673" s="47">
        <v>1.05</v>
      </c>
      <c r="H1673" s="48">
        <v>3.494</v>
      </c>
      <c r="I1673" s="48">
        <v>41.925</v>
      </c>
      <c r="J1673" s="49">
        <v>12</v>
      </c>
      <c r="K1673" s="49">
        <v>0</v>
      </c>
      <c r="L1673" s="49">
        <v>12</v>
      </c>
    </row>
    <row r="1674" spans="1:12" x14ac:dyDescent="0.25">
      <c r="A1674" s="45">
        <f>C1674&amp;"."&amp;IFERROR(MID(E1674,FIND("(",E1674)+1,FIND(")",E1674)-FIND("(",E1674)-1),"")</f>
      </c>
      <c r="B1674" s="46" t="s">
        <v>1178</v>
      </c>
      <c r="C1674" s="46">
        <v>76225</v>
      </c>
      <c r="D1674" s="46" t="s">
        <v>3280</v>
      </c>
      <c r="E1674" s="46" t="s">
        <v>3281</v>
      </c>
      <c r="F1674" s="46" t="s">
        <v>26</v>
      </c>
      <c r="G1674" s="47">
        <v>4.16</v>
      </c>
      <c r="H1674" s="48">
        <v>11.762</v>
      </c>
      <c r="I1674" s="48">
        <v>11.762</v>
      </c>
      <c r="J1674" s="49">
        <v>1</v>
      </c>
      <c r="K1674" s="49">
        <v>0</v>
      </c>
      <c r="L1674" s="49">
        <v>1</v>
      </c>
    </row>
    <row r="1675" spans="1:12" x14ac:dyDescent="0.25">
      <c r="A1675" s="45">
        <f>C1675&amp;"."&amp;IFERROR(MID(E1675,FIND("(",E1675)+1,FIND(")",E1675)-FIND("(",E1675)-1),"")</f>
      </c>
      <c r="B1675" s="46" t="s">
        <v>1178</v>
      </c>
      <c r="C1675" s="46">
        <v>76226</v>
      </c>
      <c r="D1675" s="46" t="s">
        <v>3282</v>
      </c>
      <c r="E1675" s="46" t="s">
        <v>1248</v>
      </c>
      <c r="F1675" s="46" t="s">
        <v>24</v>
      </c>
      <c r="G1675" s="47">
        <v>1.05</v>
      </c>
      <c r="H1675" s="48">
        <v>2.408</v>
      </c>
      <c r="I1675" s="48">
        <v>2.408</v>
      </c>
      <c r="J1675" s="49">
        <v>1</v>
      </c>
      <c r="K1675" s="49">
        <v>0</v>
      </c>
      <c r="L1675" s="49">
        <v>1</v>
      </c>
    </row>
    <row r="1676" spans="1:12" x14ac:dyDescent="0.25">
      <c r="A1676" s="45">
        <f>C1676&amp;"."&amp;IFERROR(MID(E1676,FIND("(",E1676)+1,FIND(")",E1676)-FIND("(",E1676)-1),"")</f>
      </c>
      <c r="B1676" s="46" t="s">
        <v>1178</v>
      </c>
      <c r="C1676" s="46">
        <v>76227</v>
      </c>
      <c r="D1676" s="46" t="s">
        <v>3283</v>
      </c>
      <c r="E1676" s="46" t="s">
        <v>3284</v>
      </c>
      <c r="F1676" s="46" t="s">
        <v>26</v>
      </c>
      <c r="G1676" s="47">
        <v>4.16</v>
      </c>
      <c r="H1676" s="48">
        <v>12.464</v>
      </c>
      <c r="I1676" s="48">
        <v>37.392</v>
      </c>
      <c r="J1676" s="49">
        <v>3</v>
      </c>
      <c r="K1676" s="49">
        <v>0</v>
      </c>
      <c r="L1676" s="49">
        <v>3</v>
      </c>
    </row>
    <row r="1677" spans="1:12" x14ac:dyDescent="0.25">
      <c r="A1677" s="45">
        <f>C1677&amp;"."&amp;IFERROR(MID(E1677,FIND("(",E1677)+1,FIND(")",E1677)-FIND("(",E1677)-1),"")</f>
      </c>
      <c r="B1677" s="46" t="s">
        <v>1178</v>
      </c>
      <c r="C1677" s="46">
        <v>76227</v>
      </c>
      <c r="D1677" s="46" t="s">
        <v>3283</v>
      </c>
      <c r="E1677" s="46" t="s">
        <v>3285</v>
      </c>
      <c r="F1677" s="46" t="s">
        <v>26</v>
      </c>
      <c r="G1677" s="47">
        <v>4.16</v>
      </c>
      <c r="H1677" s="48">
        <v>12.307</v>
      </c>
      <c r="I1677" s="48">
        <v>12.307</v>
      </c>
      <c r="J1677" s="49">
        <v>1</v>
      </c>
      <c r="K1677" s="49">
        <v>0</v>
      </c>
      <c r="L1677" s="49">
        <v>1</v>
      </c>
    </row>
    <row r="1678" spans="1:12" x14ac:dyDescent="0.25">
      <c r="A1678" s="45">
        <f>C1678&amp;"."&amp;IFERROR(MID(E1678,FIND("(",E1678)+1,FIND(")",E1678)-FIND("(",E1678)-1),"")</f>
      </c>
      <c r="B1678" s="46" t="s">
        <v>1178</v>
      </c>
      <c r="C1678" s="46">
        <v>76231</v>
      </c>
      <c r="D1678" s="46" t="s">
        <v>3286</v>
      </c>
      <c r="E1678" s="46" t="s">
        <v>3287</v>
      </c>
      <c r="F1678" s="46" t="s">
        <v>26</v>
      </c>
      <c r="G1678" s="47">
        <v>10.44</v>
      </c>
      <c r="H1678" s="48">
        <v>39.256</v>
      </c>
      <c r="I1678" s="48">
        <v>78.513</v>
      </c>
      <c r="J1678" s="49">
        <v>2</v>
      </c>
      <c r="K1678" s="49">
        <v>1</v>
      </c>
      <c r="L1678" s="49">
        <v>1</v>
      </c>
    </row>
    <row r="1679" spans="1:12" x14ac:dyDescent="0.25">
      <c r="A1679" s="45">
        <f>C1679&amp;"."&amp;IFERROR(MID(E1679,FIND("(",E1679)+1,FIND(")",E1679)-FIND("(",E1679)-1),"")</f>
      </c>
      <c r="B1679" s="46" t="s">
        <v>1178</v>
      </c>
      <c r="C1679" s="46">
        <v>76237</v>
      </c>
      <c r="D1679" s="46" t="s">
        <v>3288</v>
      </c>
      <c r="E1679" s="46" t="s">
        <v>3289</v>
      </c>
      <c r="F1679" s="46" t="s">
        <v>26</v>
      </c>
      <c r="G1679" s="47">
        <v>0.5</v>
      </c>
      <c r="H1679" s="48">
        <v>11.842</v>
      </c>
      <c r="I1679" s="48">
        <v>367.091</v>
      </c>
      <c r="J1679" s="49">
        <v>31</v>
      </c>
      <c r="K1679" s="49">
        <v>6</v>
      </c>
      <c r="L1679" s="49">
        <v>25</v>
      </c>
    </row>
    <row r="1680" spans="1:12" x14ac:dyDescent="0.25">
      <c r="A1680" s="45">
        <f>C1680&amp;"."&amp;IFERROR(MID(E1680,FIND("(",E1680)+1,FIND(")",E1680)-FIND("(",E1680)-1),"")</f>
      </c>
      <c r="B1680" s="46" t="s">
        <v>1178</v>
      </c>
      <c r="C1680" s="46">
        <v>76237</v>
      </c>
      <c r="D1680" s="46" t="s">
        <v>3288</v>
      </c>
      <c r="E1680" s="46" t="s">
        <v>3290</v>
      </c>
      <c r="F1680" s="46" t="s">
        <v>26</v>
      </c>
      <c r="G1680" s="47">
        <v>0.5</v>
      </c>
      <c r="H1680" s="48">
        <v>11.871</v>
      </c>
      <c r="I1680" s="48">
        <v>47.484</v>
      </c>
      <c r="J1680" s="49">
        <v>4</v>
      </c>
      <c r="K1680" s="49">
        <v>0</v>
      </c>
      <c r="L1680" s="49">
        <v>4</v>
      </c>
    </row>
    <row r="1681" spans="1:12" x14ac:dyDescent="0.25">
      <c r="A1681" s="45">
        <f>C1681&amp;"."&amp;IFERROR(MID(E1681,FIND("(",E1681)+1,FIND(")",E1681)-FIND("(",E1681)-1),"")</f>
      </c>
      <c r="B1681" s="46" t="s">
        <v>1178</v>
      </c>
      <c r="C1681" s="46">
        <v>76239</v>
      </c>
      <c r="D1681" s="46" t="s">
        <v>3291</v>
      </c>
      <c r="E1681" s="46" t="s">
        <v>3292</v>
      </c>
      <c r="F1681" s="46" t="s">
        <v>26</v>
      </c>
      <c r="G1681" s="47">
        <v>3.54</v>
      </c>
      <c r="H1681" s="48">
        <v>10.697</v>
      </c>
      <c r="I1681" s="48">
        <v>53.486</v>
      </c>
      <c r="J1681" s="49">
        <v>5</v>
      </c>
      <c r="K1681" s="49">
        <v>0</v>
      </c>
      <c r="L1681" s="49">
        <v>5</v>
      </c>
    </row>
    <row r="1682" spans="1:12" x14ac:dyDescent="0.25">
      <c r="A1682" s="45">
        <f>C1682&amp;"."&amp;IFERROR(MID(E1682,FIND("(",E1682)+1,FIND(")",E1682)-FIND("(",E1682)-1),"")</f>
      </c>
      <c r="B1682" s="46" t="s">
        <v>1178</v>
      </c>
      <c r="C1682" s="46">
        <v>76239</v>
      </c>
      <c r="D1682" s="46" t="s">
        <v>3291</v>
      </c>
      <c r="E1682" s="46" t="s">
        <v>3293</v>
      </c>
      <c r="F1682" s="46" t="s">
        <v>26</v>
      </c>
      <c r="G1682" s="47">
        <v>3.54</v>
      </c>
      <c r="H1682" s="48">
        <v>10.528</v>
      </c>
      <c r="I1682" s="48">
        <v>10.528</v>
      </c>
      <c r="J1682" s="49">
        <v>1</v>
      </c>
      <c r="K1682" s="49">
        <v>0</v>
      </c>
      <c r="L1682" s="49">
        <v>1</v>
      </c>
    </row>
    <row r="1683" spans="1:12" x14ac:dyDescent="0.25">
      <c r="A1683" s="45">
        <f>C1683&amp;"."&amp;IFERROR(MID(E1683,FIND("(",E1683)+1,FIND(")",E1683)-FIND("(",E1683)-1),"")</f>
      </c>
      <c r="B1683" s="46" t="s">
        <v>1178</v>
      </c>
      <c r="C1683" s="46">
        <v>76240</v>
      </c>
      <c r="D1683" s="46" t="s">
        <v>3294</v>
      </c>
      <c r="E1683" s="46" t="s">
        <v>3295</v>
      </c>
      <c r="F1683" s="46" t="s">
        <v>24</v>
      </c>
      <c r="G1683" s="47">
        <v>0.48</v>
      </c>
      <c r="H1683" s="48">
        <v>1.71</v>
      </c>
      <c r="I1683" s="48">
        <v>20.519</v>
      </c>
      <c r="J1683" s="49">
        <v>12</v>
      </c>
      <c r="K1683" s="49">
        <v>2</v>
      </c>
      <c r="L1683" s="49">
        <v>10</v>
      </c>
    </row>
    <row r="1684" spans="1:12" x14ac:dyDescent="0.25">
      <c r="A1684" s="45">
        <f>C1684&amp;"."&amp;IFERROR(MID(E1684,FIND("(",E1684)+1,FIND(")",E1684)-FIND("(",E1684)-1),"")</f>
      </c>
      <c r="B1684" s="46" t="s">
        <v>1178</v>
      </c>
      <c r="C1684" s="46">
        <v>76240</v>
      </c>
      <c r="D1684" s="46" t="s">
        <v>3294</v>
      </c>
      <c r="E1684" s="46" t="s">
        <v>3296</v>
      </c>
      <c r="F1684" s="46" t="s">
        <v>24</v>
      </c>
      <c r="G1684" s="47">
        <v>0.48</v>
      </c>
      <c r="H1684" s="48">
        <v>1.307</v>
      </c>
      <c r="I1684" s="48">
        <v>10.455</v>
      </c>
      <c r="J1684" s="49">
        <v>8</v>
      </c>
      <c r="K1684" s="49">
        <v>0</v>
      </c>
      <c r="L1684" s="49">
        <v>8</v>
      </c>
    </row>
    <row r="1685" spans="1:12" x14ac:dyDescent="0.25">
      <c r="A1685" s="45">
        <f>C1685&amp;"."&amp;IFERROR(MID(E1685,FIND("(",E1685)+1,FIND(")",E1685)-FIND("(",E1685)-1),"")</f>
      </c>
      <c r="B1685" s="46" t="s">
        <v>1178</v>
      </c>
      <c r="C1685" s="46">
        <v>76242</v>
      </c>
      <c r="D1685" s="46" t="s">
        <v>3297</v>
      </c>
      <c r="E1685" s="46" t="s">
        <v>3298</v>
      </c>
      <c r="F1685" s="46" t="s">
        <v>24</v>
      </c>
      <c r="G1685" s="47">
        <v>0.29</v>
      </c>
      <c r="H1685" s="48">
        <v>0.356</v>
      </c>
      <c r="I1685" s="48">
        <v>3.202</v>
      </c>
      <c r="J1685" s="49">
        <v>9</v>
      </c>
      <c r="K1685" s="49">
        <v>0</v>
      </c>
      <c r="L1685" s="49">
        <v>9</v>
      </c>
    </row>
    <row r="1686" spans="1:12" x14ac:dyDescent="0.25">
      <c r="A1686" s="45">
        <f>C1686&amp;"."&amp;IFERROR(MID(E1686,FIND("(",E1686)+1,FIND(")",E1686)-FIND("(",E1686)-1),"")</f>
      </c>
      <c r="B1686" s="46" t="s">
        <v>1178</v>
      </c>
      <c r="C1686" s="46">
        <v>76242</v>
      </c>
      <c r="D1686" s="46" t="s">
        <v>3297</v>
      </c>
      <c r="E1686" s="46" t="s">
        <v>3299</v>
      </c>
      <c r="F1686" s="46" t="s">
        <v>24</v>
      </c>
      <c r="G1686" s="47">
        <v>0.29</v>
      </c>
      <c r="H1686" s="48">
        <v>0.552</v>
      </c>
      <c r="I1686" s="48">
        <v>1.105</v>
      </c>
      <c r="J1686" s="49">
        <v>2</v>
      </c>
      <c r="K1686" s="49">
        <v>0</v>
      </c>
      <c r="L1686" s="49">
        <v>2</v>
      </c>
    </row>
    <row r="1687" spans="1:12" x14ac:dyDescent="0.25">
      <c r="A1687" s="45">
        <f>C1687&amp;"."&amp;IFERROR(MID(E1687,FIND("(",E1687)+1,FIND(")",E1687)-FIND("(",E1687)-1),"")</f>
      </c>
      <c r="B1687" s="46" t="s">
        <v>1178</v>
      </c>
      <c r="C1687" s="46">
        <v>76243</v>
      </c>
      <c r="D1687" s="46" t="s">
        <v>3300</v>
      </c>
      <c r="E1687" s="46" t="s">
        <v>3301</v>
      </c>
      <c r="F1687" s="46" t="s">
        <v>26</v>
      </c>
      <c r="G1687" s="47">
        <v>3.54</v>
      </c>
      <c r="H1687" s="48">
        <v>10.092</v>
      </c>
      <c r="I1687" s="48">
        <v>10.092</v>
      </c>
      <c r="J1687" s="49">
        <v>1</v>
      </c>
      <c r="K1687" s="49">
        <v>0</v>
      </c>
      <c r="L1687" s="49">
        <v>1</v>
      </c>
    </row>
    <row r="1688" spans="1:12" x14ac:dyDescent="0.25">
      <c r="A1688" s="45">
        <f>C1688&amp;"."&amp;IFERROR(MID(E1688,FIND("(",E1688)+1,FIND(")",E1688)-FIND("(",E1688)-1),"")</f>
      </c>
      <c r="B1688" s="46" t="s">
        <v>1178</v>
      </c>
      <c r="C1688" s="46">
        <v>76243</v>
      </c>
      <c r="D1688" s="46" t="s">
        <v>3300</v>
      </c>
      <c r="E1688" s="46" t="s">
        <v>3302</v>
      </c>
      <c r="F1688" s="46" t="s">
        <v>26</v>
      </c>
      <c r="G1688" s="47">
        <v>3.54</v>
      </c>
      <c r="H1688" s="48">
        <v>12.005</v>
      </c>
      <c r="I1688" s="48">
        <v>72.029</v>
      </c>
      <c r="J1688" s="49">
        <v>6</v>
      </c>
      <c r="K1688" s="49">
        <v>1</v>
      </c>
      <c r="L1688" s="49">
        <v>5</v>
      </c>
    </row>
    <row r="1689" spans="1:12" x14ac:dyDescent="0.25">
      <c r="A1689" s="45">
        <f>C1689&amp;"."&amp;IFERROR(MID(E1689,FIND("(",E1689)+1,FIND(")",E1689)-FIND("(",E1689)-1),"")</f>
      </c>
      <c r="B1689" s="46" t="s">
        <v>1178</v>
      </c>
      <c r="C1689" s="46">
        <v>76243</v>
      </c>
      <c r="D1689" s="46" t="s">
        <v>3300</v>
      </c>
      <c r="E1689" s="46" t="s">
        <v>3303</v>
      </c>
      <c r="F1689" s="46" t="s">
        <v>26</v>
      </c>
      <c r="G1689" s="47">
        <v>3.54</v>
      </c>
      <c r="H1689" s="48">
        <v>9.935</v>
      </c>
      <c r="I1689" s="48">
        <v>39.74</v>
      </c>
      <c r="J1689" s="49">
        <v>4</v>
      </c>
      <c r="K1689" s="49">
        <v>0</v>
      </c>
      <c r="L1689" s="49">
        <v>4</v>
      </c>
    </row>
    <row r="1690" spans="1:12" x14ac:dyDescent="0.25">
      <c r="A1690" s="45">
        <f>C1690&amp;"."&amp;IFERROR(MID(E1690,FIND("(",E1690)+1,FIND(")",E1690)-FIND("(",E1690)-1),"")</f>
      </c>
      <c r="B1690" s="46" t="s">
        <v>1178</v>
      </c>
      <c r="C1690" s="46">
        <v>76245</v>
      </c>
      <c r="D1690" s="46" t="s">
        <v>3304</v>
      </c>
      <c r="E1690" s="46" t="s">
        <v>1248</v>
      </c>
      <c r="F1690" s="46" t="s">
        <v>24</v>
      </c>
      <c r="G1690" s="47">
        <v>0.34</v>
      </c>
      <c r="H1690" s="48">
        <v>0.762</v>
      </c>
      <c r="I1690" s="48">
        <v>1.525</v>
      </c>
      <c r="J1690" s="49">
        <v>2</v>
      </c>
      <c r="K1690" s="49">
        <v>1</v>
      </c>
      <c r="L1690" s="49">
        <v>1</v>
      </c>
    </row>
    <row r="1691" spans="1:12" x14ac:dyDescent="0.25">
      <c r="A1691" s="45">
        <f>C1691&amp;"."&amp;IFERROR(MID(E1691,FIND("(",E1691)+1,FIND(")",E1691)-FIND("(",E1691)-1),"")</f>
      </c>
      <c r="B1691" s="46" t="s">
        <v>1178</v>
      </c>
      <c r="C1691" s="46">
        <v>76246</v>
      </c>
      <c r="D1691" s="46" t="s">
        <v>3305</v>
      </c>
      <c r="E1691" s="46" t="s">
        <v>3306</v>
      </c>
      <c r="F1691" s="46" t="s">
        <v>26</v>
      </c>
      <c r="G1691" s="47">
        <v>1.78</v>
      </c>
      <c r="H1691" s="48">
        <v>6.341</v>
      </c>
      <c r="I1691" s="48">
        <v>12.682</v>
      </c>
      <c r="J1691" s="49">
        <v>2</v>
      </c>
      <c r="K1691" s="49">
        <v>0</v>
      </c>
      <c r="L1691" s="49">
        <v>2</v>
      </c>
    </row>
    <row r="1692" spans="1:12" x14ac:dyDescent="0.25">
      <c r="A1692" s="45">
        <f>C1692&amp;"."&amp;IFERROR(MID(E1692,FIND("(",E1692)+1,FIND(")",E1692)-FIND("(",E1692)-1),"")</f>
      </c>
      <c r="B1692" s="46" t="s">
        <v>1178</v>
      </c>
      <c r="C1692" s="46">
        <v>76246</v>
      </c>
      <c r="D1692" s="46" t="s">
        <v>3305</v>
      </c>
      <c r="E1692" s="46" t="s">
        <v>3307</v>
      </c>
      <c r="F1692" s="46" t="s">
        <v>26</v>
      </c>
      <c r="G1692" s="47">
        <v>1.78</v>
      </c>
      <c r="H1692" s="48">
        <v>6.537</v>
      </c>
      <c r="I1692" s="48">
        <v>32.687</v>
      </c>
      <c r="J1692" s="49">
        <v>5</v>
      </c>
      <c r="K1692" s="49">
        <v>3</v>
      </c>
      <c r="L1692" s="49">
        <v>2</v>
      </c>
    </row>
    <row r="1693" spans="1:12" x14ac:dyDescent="0.25">
      <c r="A1693" s="45">
        <f>C1693&amp;"."&amp;IFERROR(MID(E1693,FIND("(",E1693)+1,FIND(")",E1693)-FIND("(",E1693)-1),"")</f>
      </c>
      <c r="B1693" s="46" t="s">
        <v>1178</v>
      </c>
      <c r="C1693" s="46">
        <v>76246</v>
      </c>
      <c r="D1693" s="46" t="s">
        <v>3305</v>
      </c>
      <c r="E1693" s="46" t="s">
        <v>3308</v>
      </c>
      <c r="F1693" s="46" t="s">
        <v>26</v>
      </c>
      <c r="G1693" s="47">
        <v>1.78</v>
      </c>
      <c r="H1693" s="48">
        <v>6.172</v>
      </c>
      <c r="I1693" s="48">
        <v>30.858</v>
      </c>
      <c r="J1693" s="49">
        <v>5</v>
      </c>
      <c r="K1693" s="49">
        <v>0</v>
      </c>
      <c r="L1693" s="49">
        <v>5</v>
      </c>
    </row>
    <row r="1694" spans="1:12" x14ac:dyDescent="0.25">
      <c r="A1694" s="45">
        <f>C1694&amp;"."&amp;IFERROR(MID(E1694,FIND("(",E1694)+1,FIND(")",E1694)-FIND("(",E1694)-1),"")</f>
      </c>
      <c r="B1694" s="46" t="s">
        <v>1178</v>
      </c>
      <c r="C1694" s="46">
        <v>76247</v>
      </c>
      <c r="D1694" s="46" t="s">
        <v>3309</v>
      </c>
      <c r="E1694" s="46" t="s">
        <v>1248</v>
      </c>
      <c r="F1694" s="46" t="s">
        <v>26</v>
      </c>
      <c r="G1694" s="47">
        <v>1.78</v>
      </c>
      <c r="H1694" s="48">
        <v>5.772</v>
      </c>
      <c r="I1694" s="48">
        <v>92.355</v>
      </c>
      <c r="J1694" s="49">
        <v>16</v>
      </c>
      <c r="K1694" s="49">
        <v>1</v>
      </c>
      <c r="L1694" s="49">
        <v>15</v>
      </c>
    </row>
    <row r="1695" spans="1:12" x14ac:dyDescent="0.25">
      <c r="A1695" s="45">
        <f>C1695&amp;"."&amp;IFERROR(MID(E1695,FIND("(",E1695)+1,FIND(")",E1695)-FIND("(",E1695)-1),"")</f>
      </c>
      <c r="B1695" s="46" t="s">
        <v>1178</v>
      </c>
      <c r="C1695" s="46">
        <v>76248</v>
      </c>
      <c r="D1695" s="46" t="s">
        <v>3310</v>
      </c>
      <c r="E1695" s="46" t="s">
        <v>3311</v>
      </c>
      <c r="F1695" s="46" t="s">
        <v>24</v>
      </c>
      <c r="G1695" s="47">
        <v>9.21</v>
      </c>
      <c r="H1695" s="48">
        <v>23.172</v>
      </c>
      <c r="I1695" s="48">
        <v>440.268</v>
      </c>
      <c r="J1695" s="49">
        <v>19</v>
      </c>
      <c r="K1695" s="49">
        <v>2</v>
      </c>
      <c r="L1695" s="49">
        <v>17</v>
      </c>
    </row>
    <row r="1696" spans="1:12" x14ac:dyDescent="0.25">
      <c r="A1696" s="45">
        <f>C1696&amp;"."&amp;IFERROR(MID(E1696,FIND("(",E1696)+1,FIND(")",E1696)-FIND("(",E1696)-1),"")</f>
      </c>
      <c r="B1696" s="46" t="s">
        <v>1178</v>
      </c>
      <c r="C1696" s="46">
        <v>76248</v>
      </c>
      <c r="D1696" s="46" t="s">
        <v>3310</v>
      </c>
      <c r="E1696" s="46" t="s">
        <v>3312</v>
      </c>
      <c r="F1696" s="46" t="s">
        <v>24</v>
      </c>
      <c r="G1696" s="47">
        <v>9.21</v>
      </c>
      <c r="H1696" s="48">
        <v>10.051</v>
      </c>
      <c r="I1696" s="48">
        <v>100.514</v>
      </c>
      <c r="J1696" s="49">
        <v>10</v>
      </c>
      <c r="K1696" s="49">
        <v>4</v>
      </c>
      <c r="L1696" s="49">
        <v>6</v>
      </c>
    </row>
    <row r="1697" spans="1:12" x14ac:dyDescent="0.25">
      <c r="A1697" s="45">
        <f>C1697&amp;"."&amp;IFERROR(MID(E1697,FIND("(",E1697)+1,FIND(")",E1697)-FIND("(",E1697)-1),"")</f>
      </c>
      <c r="B1697" s="46" t="s">
        <v>1178</v>
      </c>
      <c r="C1697" s="46">
        <v>76249</v>
      </c>
      <c r="D1697" s="46" t="s">
        <v>3313</v>
      </c>
      <c r="E1697" s="46" t="s">
        <v>3314</v>
      </c>
      <c r="F1697" s="46" t="s">
        <v>24</v>
      </c>
      <c r="G1697" s="47">
        <v>1.15</v>
      </c>
      <c r="H1697" s="48">
        <v>2.467</v>
      </c>
      <c r="I1697" s="48">
        <v>17.272</v>
      </c>
      <c r="J1697" s="49">
        <v>7</v>
      </c>
      <c r="K1697" s="49">
        <v>0</v>
      </c>
      <c r="L1697" s="49">
        <v>7</v>
      </c>
    </row>
    <row r="1698" spans="1:12" x14ac:dyDescent="0.25">
      <c r="A1698" s="45">
        <f>C1698&amp;"."&amp;IFERROR(MID(E1698,FIND("(",E1698)+1,FIND(")",E1698)-FIND("(",E1698)-1),"")</f>
      </c>
      <c r="B1698" s="46" t="s">
        <v>1178</v>
      </c>
      <c r="C1698" s="46">
        <v>76251</v>
      </c>
      <c r="D1698" s="46" t="s">
        <v>3315</v>
      </c>
      <c r="E1698" s="46" t="s">
        <v>1248</v>
      </c>
      <c r="F1698" s="46" t="s">
        <v>24</v>
      </c>
      <c r="G1698" s="47">
        <v>0.39</v>
      </c>
      <c r="H1698" s="48">
        <v>0.849</v>
      </c>
      <c r="I1698" s="48">
        <v>3.394</v>
      </c>
      <c r="J1698" s="49">
        <v>4</v>
      </c>
      <c r="K1698" s="49">
        <v>0</v>
      </c>
      <c r="L1698" s="49">
        <v>4</v>
      </c>
    </row>
    <row r="1699" spans="1:12" x14ac:dyDescent="0.25">
      <c r="A1699" s="45">
        <f>C1699&amp;"."&amp;IFERROR(MID(E1699,FIND("(",E1699)+1,FIND(")",E1699)-FIND("(",E1699)-1),"")</f>
      </c>
      <c r="B1699" s="46" t="s">
        <v>1178</v>
      </c>
      <c r="C1699" s="46">
        <v>76252</v>
      </c>
      <c r="D1699" s="46" t="s">
        <v>3316</v>
      </c>
      <c r="E1699" s="46" t="s">
        <v>3317</v>
      </c>
      <c r="F1699" s="46" t="s">
        <v>24</v>
      </c>
      <c r="G1699" s="47">
        <v>0.64</v>
      </c>
      <c r="H1699" s="48">
        <v>1.613</v>
      </c>
      <c r="I1699" s="48">
        <v>12.901</v>
      </c>
      <c r="J1699" s="49">
        <v>8</v>
      </c>
      <c r="K1699" s="49">
        <v>0</v>
      </c>
      <c r="L1699" s="49">
        <v>8</v>
      </c>
    </row>
    <row r="1700" spans="1:12" x14ac:dyDescent="0.25">
      <c r="A1700" s="45">
        <f>C1700&amp;"."&amp;IFERROR(MID(E1700,FIND("(",E1700)+1,FIND(")",E1700)-FIND("(",E1700)-1),"")</f>
      </c>
      <c r="B1700" s="46" t="s">
        <v>1178</v>
      </c>
      <c r="C1700" s="46">
        <v>76252</v>
      </c>
      <c r="D1700" s="46" t="s">
        <v>3316</v>
      </c>
      <c r="E1700" s="46" t="s">
        <v>3318</v>
      </c>
      <c r="F1700" s="46" t="s">
        <v>24</v>
      </c>
      <c r="G1700" s="47">
        <v>0.64</v>
      </c>
      <c r="H1700" s="48">
        <v>2.186</v>
      </c>
      <c r="I1700" s="48">
        <v>19.67</v>
      </c>
      <c r="J1700" s="49">
        <v>9</v>
      </c>
      <c r="K1700" s="49">
        <v>0</v>
      </c>
      <c r="L1700" s="49">
        <v>9</v>
      </c>
    </row>
    <row r="1701" spans="1:12" x14ac:dyDescent="0.25">
      <c r="A1701" s="45">
        <f>C1701&amp;"."&amp;IFERROR(MID(E1701,FIND("(",E1701)+1,FIND(")",E1701)-FIND("(",E1701)-1),"")</f>
      </c>
      <c r="B1701" s="46" t="s">
        <v>1178</v>
      </c>
      <c r="C1701" s="46">
        <v>76253</v>
      </c>
      <c r="D1701" s="46" t="s">
        <v>3319</v>
      </c>
      <c r="E1701" s="46" t="s">
        <v>3320</v>
      </c>
      <c r="F1701" s="46" t="s">
        <v>26</v>
      </c>
      <c r="G1701" s="47">
        <v>14.28</v>
      </c>
      <c r="H1701" s="48">
        <v>43.984</v>
      </c>
      <c r="I1701" s="48">
        <v>395.859</v>
      </c>
      <c r="J1701" s="49">
        <v>9</v>
      </c>
      <c r="K1701" s="49">
        <v>1</v>
      </c>
      <c r="L1701" s="49">
        <v>8</v>
      </c>
    </row>
    <row r="1702" spans="1:12" x14ac:dyDescent="0.25">
      <c r="A1702" s="45">
        <f>C1702&amp;"."&amp;IFERROR(MID(E1702,FIND("(",E1702)+1,FIND(")",E1702)-FIND("(",E1702)-1),"")</f>
      </c>
      <c r="B1702" s="46" t="s">
        <v>1178</v>
      </c>
      <c r="C1702" s="46">
        <v>76254</v>
      </c>
      <c r="D1702" s="46" t="s">
        <v>3321</v>
      </c>
      <c r="E1702" s="46" t="s">
        <v>3322</v>
      </c>
      <c r="F1702" s="46" t="s">
        <v>24</v>
      </c>
      <c r="G1702" s="47">
        <v>0</v>
      </c>
      <c r="H1702" s="48">
        <v>0.61</v>
      </c>
      <c r="I1702" s="48">
        <v>2.439</v>
      </c>
      <c r="J1702" s="49">
        <v>4</v>
      </c>
      <c r="K1702" s="49">
        <v>0</v>
      </c>
      <c r="L1702" s="49">
        <v>4</v>
      </c>
    </row>
    <row r="1703" spans="1:12" x14ac:dyDescent="0.25">
      <c r="A1703" s="45">
        <f>C1703&amp;"."&amp;IFERROR(MID(E1703,FIND("(",E1703)+1,FIND(")",E1703)-FIND("(",E1703)-1),"")</f>
      </c>
      <c r="B1703" s="46" t="s">
        <v>1178</v>
      </c>
      <c r="C1703" s="46">
        <v>76254</v>
      </c>
      <c r="D1703" s="46" t="s">
        <v>3321</v>
      </c>
      <c r="E1703" s="46" t="s">
        <v>3323</v>
      </c>
      <c r="F1703" s="46" t="s">
        <v>24</v>
      </c>
      <c r="G1703" s="47">
        <v>0</v>
      </c>
      <c r="H1703" s="48">
        <v>1.85</v>
      </c>
      <c r="I1703" s="48">
        <v>16.654</v>
      </c>
      <c r="J1703" s="49">
        <v>9</v>
      </c>
      <c r="K1703" s="49">
        <v>0</v>
      </c>
      <c r="L1703" s="49">
        <v>9</v>
      </c>
    </row>
    <row r="1704" spans="1:12" x14ac:dyDescent="0.25">
      <c r="A1704" s="45">
        <f>C1704&amp;"."&amp;IFERROR(MID(E1704,FIND("(",E1704)+1,FIND(")",E1704)-FIND("(",E1704)-1),"")</f>
      </c>
      <c r="B1704" s="46" t="s">
        <v>1178</v>
      </c>
      <c r="C1704" s="46">
        <v>76255</v>
      </c>
      <c r="D1704" s="46" t="s">
        <v>3324</v>
      </c>
      <c r="E1704" s="46" t="s">
        <v>3325</v>
      </c>
      <c r="F1704" s="46" t="s">
        <v>26</v>
      </c>
      <c r="G1704" s="47">
        <v>14.28</v>
      </c>
      <c r="H1704" s="48">
        <v>43.854</v>
      </c>
      <c r="I1704" s="48">
        <v>43.854</v>
      </c>
      <c r="J1704" s="49">
        <v>1</v>
      </c>
      <c r="K1704" s="49">
        <v>1</v>
      </c>
      <c r="L1704" s="49">
        <v>0</v>
      </c>
    </row>
    <row r="1705" spans="1:12" x14ac:dyDescent="0.25">
      <c r="A1705" s="45">
        <f>C1705&amp;"."&amp;IFERROR(MID(E1705,FIND("(",E1705)+1,FIND(")",E1705)-FIND("(",E1705)-1),"")</f>
      </c>
      <c r="B1705" s="46" t="s">
        <v>1178</v>
      </c>
      <c r="C1705" s="46">
        <v>76257</v>
      </c>
      <c r="D1705" s="46" t="s">
        <v>3326</v>
      </c>
      <c r="E1705" s="46" t="s">
        <v>3327</v>
      </c>
      <c r="F1705" s="46" t="s">
        <v>26</v>
      </c>
      <c r="G1705" s="47">
        <v>0.41</v>
      </c>
      <c r="H1705" s="48">
        <v>3.632</v>
      </c>
      <c r="I1705" s="48">
        <v>7.264</v>
      </c>
      <c r="J1705" s="49">
        <v>2</v>
      </c>
      <c r="K1705" s="49">
        <v>0</v>
      </c>
      <c r="L1705" s="49">
        <v>2</v>
      </c>
    </row>
    <row r="1706" spans="1:12" x14ac:dyDescent="0.25">
      <c r="A1706" s="45">
        <f>C1706&amp;"."&amp;IFERROR(MID(E1706,FIND("(",E1706)+1,FIND(")",E1706)-FIND("(",E1706)-1),"")</f>
      </c>
      <c r="B1706" s="46" t="s">
        <v>1178</v>
      </c>
      <c r="C1706" s="46">
        <v>76257</v>
      </c>
      <c r="D1706" s="46" t="s">
        <v>3326</v>
      </c>
      <c r="E1706" s="46" t="s">
        <v>3328</v>
      </c>
      <c r="F1706" s="46" t="s">
        <v>26</v>
      </c>
      <c r="G1706" s="47">
        <v>0.41</v>
      </c>
      <c r="H1706" s="48">
        <v>2.45</v>
      </c>
      <c r="I1706" s="48">
        <v>12.251</v>
      </c>
      <c r="J1706" s="49">
        <v>5</v>
      </c>
      <c r="K1706" s="49">
        <v>2</v>
      </c>
      <c r="L1706" s="49">
        <v>3</v>
      </c>
    </row>
    <row r="1707" spans="1:12" x14ac:dyDescent="0.25">
      <c r="A1707" s="45">
        <f>C1707&amp;"."&amp;IFERROR(MID(E1707,FIND("(",E1707)+1,FIND(")",E1707)-FIND("(",E1707)-1),"")</f>
      </c>
      <c r="B1707" s="46" t="s">
        <v>1178</v>
      </c>
      <c r="C1707" s="46">
        <v>76261</v>
      </c>
      <c r="D1707" s="46" t="s">
        <v>3329</v>
      </c>
      <c r="E1707" s="46" t="s">
        <v>1248</v>
      </c>
      <c r="F1707" s="46" t="s">
        <v>26</v>
      </c>
      <c r="G1707" s="47">
        <v>0.41</v>
      </c>
      <c r="H1707" s="48">
        <v>1.135</v>
      </c>
      <c r="I1707" s="48">
        <v>3.406</v>
      </c>
      <c r="J1707" s="49">
        <v>3</v>
      </c>
      <c r="K1707" s="49">
        <v>1</v>
      </c>
      <c r="L1707" s="49">
        <v>2</v>
      </c>
    </row>
    <row r="1708" spans="1:12" x14ac:dyDescent="0.25">
      <c r="A1708" s="45">
        <f>C1708&amp;"."&amp;IFERROR(MID(E1708,FIND("(",E1708)+1,FIND(")",E1708)-FIND("(",E1708)-1),"")</f>
      </c>
      <c r="B1708" s="46" t="s">
        <v>1178</v>
      </c>
      <c r="C1708" s="46">
        <v>76264</v>
      </c>
      <c r="D1708" s="46" t="s">
        <v>3330</v>
      </c>
      <c r="E1708" s="46" t="s">
        <v>3331</v>
      </c>
      <c r="F1708" s="46" t="s">
        <v>24</v>
      </c>
      <c r="G1708" s="47">
        <v>0.24</v>
      </c>
      <c r="H1708" s="48">
        <v>32.303</v>
      </c>
      <c r="I1708" s="48">
        <v>64.605</v>
      </c>
      <c r="J1708" s="49">
        <v>2</v>
      </c>
      <c r="K1708" s="49">
        <v>1</v>
      </c>
      <c r="L1708" s="49">
        <v>1</v>
      </c>
    </row>
    <row r="1709" spans="1:12" x14ac:dyDescent="0.25">
      <c r="A1709" s="45">
        <f>C1709&amp;"."&amp;IFERROR(MID(E1709,FIND("(",E1709)+1,FIND(")",E1709)-FIND("(",E1709)-1),"")</f>
      </c>
      <c r="B1709" s="46" t="s">
        <v>1178</v>
      </c>
      <c r="C1709" s="46">
        <v>76264</v>
      </c>
      <c r="D1709" s="46" t="s">
        <v>3330</v>
      </c>
      <c r="E1709" s="46" t="s">
        <v>3332</v>
      </c>
      <c r="F1709" s="46" t="s">
        <v>24</v>
      </c>
      <c r="G1709" s="47">
        <v>0.24</v>
      </c>
      <c r="H1709" s="48">
        <v>22.329</v>
      </c>
      <c r="I1709" s="48">
        <v>44.657</v>
      </c>
      <c r="J1709" s="49">
        <v>2</v>
      </c>
      <c r="K1709" s="49">
        <v>2</v>
      </c>
      <c r="L1709" s="49">
        <v>0</v>
      </c>
    </row>
    <row r="1710" spans="1:12" x14ac:dyDescent="0.25">
      <c r="A1710" s="45">
        <f>C1710&amp;"."&amp;IFERROR(MID(E1710,FIND("(",E1710)+1,FIND(")",E1710)-FIND("(",E1710)-1),"")</f>
      </c>
      <c r="B1710" s="46" t="s">
        <v>1178</v>
      </c>
      <c r="C1710" s="46">
        <v>76264</v>
      </c>
      <c r="D1710" s="46" t="s">
        <v>3330</v>
      </c>
      <c r="E1710" s="46" t="s">
        <v>3333</v>
      </c>
      <c r="F1710" s="46" t="s">
        <v>24</v>
      </c>
      <c r="G1710" s="47">
        <v>0.24</v>
      </c>
      <c r="H1710" s="48">
        <v>30.07</v>
      </c>
      <c r="I1710" s="48">
        <v>30.07</v>
      </c>
      <c r="J1710" s="49">
        <v>1</v>
      </c>
      <c r="K1710" s="49">
        <v>0</v>
      </c>
      <c r="L1710" s="49">
        <v>1</v>
      </c>
    </row>
    <row r="1711" spans="1:12" x14ac:dyDescent="0.25">
      <c r="A1711" s="45">
        <f>C1711&amp;"."&amp;IFERROR(MID(E1711,FIND("(",E1711)+1,FIND(")",E1711)-FIND("(",E1711)-1),"")</f>
      </c>
      <c r="B1711" s="46" t="s">
        <v>1178</v>
      </c>
      <c r="C1711" s="46">
        <v>76265</v>
      </c>
      <c r="D1711" s="46" t="s">
        <v>3334</v>
      </c>
      <c r="E1711" s="46" t="s">
        <v>3335</v>
      </c>
      <c r="F1711" s="46" t="s">
        <v>26</v>
      </c>
      <c r="G1711" s="47">
        <v>10.85</v>
      </c>
      <c r="H1711" s="48">
        <v>32.187</v>
      </c>
      <c r="I1711" s="48">
        <v>96.56</v>
      </c>
      <c r="J1711" s="49">
        <v>3</v>
      </c>
      <c r="K1711" s="49">
        <v>1</v>
      </c>
      <c r="L1711" s="49">
        <v>2</v>
      </c>
    </row>
    <row r="1712" spans="1:12" x14ac:dyDescent="0.25">
      <c r="A1712" s="45">
        <f>C1712&amp;"."&amp;IFERROR(MID(E1712,FIND("(",E1712)+1,FIND(")",E1712)-FIND("(",E1712)-1),"")</f>
      </c>
      <c r="B1712" s="46" t="s">
        <v>1178</v>
      </c>
      <c r="C1712" s="46">
        <v>76265</v>
      </c>
      <c r="D1712" s="46" t="s">
        <v>3334</v>
      </c>
      <c r="E1712" s="46" t="s">
        <v>3336</v>
      </c>
      <c r="F1712" s="46" t="s">
        <v>26</v>
      </c>
      <c r="G1712" s="47">
        <v>10.85</v>
      </c>
      <c r="H1712" s="48">
        <v>32.6</v>
      </c>
      <c r="I1712" s="48">
        <v>163</v>
      </c>
      <c r="J1712" s="49">
        <v>5</v>
      </c>
      <c r="K1712" s="49">
        <v>0</v>
      </c>
      <c r="L1712" s="49">
        <v>5</v>
      </c>
    </row>
    <row r="1713" spans="1:12" x14ac:dyDescent="0.25">
      <c r="A1713" s="45">
        <f>C1713&amp;"."&amp;IFERROR(MID(E1713,FIND("(",E1713)+1,FIND(")",E1713)-FIND("(",E1713)-1),"")</f>
      </c>
      <c r="B1713" s="46" t="s">
        <v>1178</v>
      </c>
      <c r="C1713" s="46">
        <v>76266</v>
      </c>
      <c r="D1713" s="46" t="s">
        <v>3337</v>
      </c>
      <c r="E1713" s="46" t="s">
        <v>3338</v>
      </c>
      <c r="F1713" s="46" t="s">
        <v>26</v>
      </c>
      <c r="G1713" s="47">
        <v>10.01</v>
      </c>
      <c r="H1713" s="48">
        <v>32.6</v>
      </c>
      <c r="I1713" s="48">
        <v>130.4</v>
      </c>
      <c r="J1713" s="49">
        <v>4</v>
      </c>
      <c r="K1713" s="49">
        <v>0</v>
      </c>
      <c r="L1713" s="49">
        <v>4</v>
      </c>
    </row>
    <row r="1714" spans="1:12" x14ac:dyDescent="0.25">
      <c r="A1714" s="45">
        <f>C1714&amp;"."&amp;IFERROR(MID(E1714,FIND("(",E1714)+1,FIND(")",E1714)-FIND("(",E1714)-1),"")</f>
      </c>
      <c r="B1714" s="46" t="s">
        <v>1178</v>
      </c>
      <c r="C1714" s="46">
        <v>76266</v>
      </c>
      <c r="D1714" s="46" t="s">
        <v>3337</v>
      </c>
      <c r="E1714" s="46" t="s">
        <v>3339</v>
      </c>
      <c r="F1714" s="46" t="s">
        <v>26</v>
      </c>
      <c r="G1714" s="47">
        <v>10.01</v>
      </c>
      <c r="H1714" s="48">
        <v>33.214</v>
      </c>
      <c r="I1714" s="48">
        <v>232.499</v>
      </c>
      <c r="J1714" s="49">
        <v>7</v>
      </c>
      <c r="K1714" s="49">
        <v>1</v>
      </c>
      <c r="L1714" s="49">
        <v>6</v>
      </c>
    </row>
    <row r="1715" spans="1:12" x14ac:dyDescent="0.25">
      <c r="A1715" s="45">
        <f>C1715&amp;"."&amp;IFERROR(MID(E1715,FIND("(",E1715)+1,FIND(")",E1715)-FIND("(",E1715)-1),"")</f>
      </c>
      <c r="B1715" s="46" t="s">
        <v>1178</v>
      </c>
      <c r="C1715" s="46">
        <v>76269</v>
      </c>
      <c r="D1715" s="46" t="s">
        <v>3340</v>
      </c>
      <c r="E1715" s="46" t="s">
        <v>3341</v>
      </c>
      <c r="F1715" s="46" t="s">
        <v>26</v>
      </c>
      <c r="G1715" s="47">
        <v>4.11</v>
      </c>
      <c r="H1715" s="48">
        <v>11.629</v>
      </c>
      <c r="I1715" s="48">
        <v>81.403</v>
      </c>
      <c r="J1715" s="49">
        <v>7</v>
      </c>
      <c r="K1715" s="49">
        <v>0</v>
      </c>
      <c r="L1715" s="49">
        <v>7</v>
      </c>
    </row>
    <row r="1716" spans="1:12" x14ac:dyDescent="0.25">
      <c r="A1716" s="45">
        <f>C1716&amp;"."&amp;IFERROR(MID(E1716,FIND("(",E1716)+1,FIND(")",E1716)-FIND("(",E1716)-1),"")</f>
      </c>
      <c r="B1716" s="46" t="s">
        <v>1178</v>
      </c>
      <c r="C1716" s="46">
        <v>76269</v>
      </c>
      <c r="D1716" s="46" t="s">
        <v>3340</v>
      </c>
      <c r="E1716" s="46" t="s">
        <v>3342</v>
      </c>
      <c r="F1716" s="46" t="s">
        <v>26</v>
      </c>
      <c r="G1716" s="47">
        <v>4.11</v>
      </c>
      <c r="H1716" s="48">
        <v>10.919</v>
      </c>
      <c r="I1716" s="48">
        <v>98.269</v>
      </c>
      <c r="J1716" s="49">
        <v>9</v>
      </c>
      <c r="K1716" s="49">
        <v>3</v>
      </c>
      <c r="L1716" s="49">
        <v>6</v>
      </c>
    </row>
    <row r="1717" spans="1:12" x14ac:dyDescent="0.25">
      <c r="A1717" s="45">
        <f>C1717&amp;"."&amp;IFERROR(MID(E1717,FIND("(",E1717)+1,FIND(")",E1717)-FIND("(",E1717)-1),"")</f>
      </c>
      <c r="B1717" s="46" t="s">
        <v>1178</v>
      </c>
      <c r="C1717" s="46">
        <v>76272</v>
      </c>
      <c r="D1717" s="46" t="s">
        <v>3343</v>
      </c>
      <c r="E1717" s="46" t="s">
        <v>3344</v>
      </c>
      <c r="F1717" s="46" t="s">
        <v>24</v>
      </c>
      <c r="G1717" s="47">
        <v>7.25</v>
      </c>
      <c r="H1717" s="48">
        <v>14.867</v>
      </c>
      <c r="I1717" s="48">
        <v>14.867</v>
      </c>
      <c r="J1717" s="49">
        <v>1</v>
      </c>
      <c r="K1717" s="49">
        <v>0</v>
      </c>
      <c r="L1717" s="49">
        <v>1</v>
      </c>
    </row>
    <row r="1718" spans="1:12" x14ac:dyDescent="0.25">
      <c r="A1718" s="45">
        <f>C1718&amp;"."&amp;IFERROR(MID(E1718,FIND("(",E1718)+1,FIND(")",E1718)-FIND("(",E1718)-1),"")</f>
      </c>
      <c r="B1718" s="46" t="s">
        <v>1178</v>
      </c>
      <c r="C1718" s="46">
        <v>76273</v>
      </c>
      <c r="D1718" s="46" t="s">
        <v>3345</v>
      </c>
      <c r="E1718" s="46" t="s">
        <v>3346</v>
      </c>
      <c r="F1718" s="46" t="s">
        <v>26</v>
      </c>
      <c r="G1718" s="47">
        <v>12.16</v>
      </c>
      <c r="H1718" s="48">
        <v>48.706</v>
      </c>
      <c r="I1718" s="48">
        <v>194.826</v>
      </c>
      <c r="J1718" s="49">
        <v>4</v>
      </c>
      <c r="K1718" s="49">
        <v>2</v>
      </c>
      <c r="L1718" s="49">
        <v>2</v>
      </c>
    </row>
    <row r="1719" spans="1:12" x14ac:dyDescent="0.25">
      <c r="A1719" s="45">
        <f>C1719&amp;"."&amp;IFERROR(MID(E1719,FIND("(",E1719)+1,FIND(")",E1719)-FIND("(",E1719)-1),"")</f>
      </c>
      <c r="B1719" s="46" t="s">
        <v>1178</v>
      </c>
      <c r="C1719" s="46">
        <v>76273</v>
      </c>
      <c r="D1719" s="46" t="s">
        <v>3345</v>
      </c>
      <c r="E1719" s="46" t="s">
        <v>3347</v>
      </c>
      <c r="F1719" s="46" t="s">
        <v>26</v>
      </c>
      <c r="G1719" s="47">
        <v>12.16</v>
      </c>
      <c r="H1719" s="48">
        <v>48.707</v>
      </c>
      <c r="I1719" s="48">
        <v>194.826</v>
      </c>
      <c r="J1719" s="49">
        <v>4</v>
      </c>
      <c r="K1719" s="49">
        <v>0</v>
      </c>
      <c r="L1719" s="49">
        <v>4</v>
      </c>
    </row>
    <row r="1720" spans="1:12" x14ac:dyDescent="0.25">
      <c r="A1720" s="45">
        <f>C1720&amp;"."&amp;IFERROR(MID(E1720,FIND("(",E1720)+1,FIND(")",E1720)-FIND("(",E1720)-1),"")</f>
      </c>
      <c r="B1720" s="46" t="s">
        <v>1178</v>
      </c>
      <c r="C1720" s="46">
        <v>76273</v>
      </c>
      <c r="D1720" s="46" t="s">
        <v>3345</v>
      </c>
      <c r="E1720" s="46" t="s">
        <v>3348</v>
      </c>
      <c r="F1720" s="46" t="s">
        <v>26</v>
      </c>
      <c r="G1720" s="47">
        <v>12.16</v>
      </c>
      <c r="H1720" s="48">
        <v>46.069</v>
      </c>
      <c r="I1720" s="48">
        <v>46.069</v>
      </c>
      <c r="J1720" s="49">
        <v>1</v>
      </c>
      <c r="K1720" s="49">
        <v>0</v>
      </c>
      <c r="L1720" s="49">
        <v>1</v>
      </c>
    </row>
    <row r="1721" spans="1:12" x14ac:dyDescent="0.25">
      <c r="A1721" s="45">
        <f>C1721&amp;"."&amp;IFERROR(MID(E1721,FIND("(",E1721)+1,FIND(")",E1721)-FIND("(",E1721)-1),"")</f>
      </c>
      <c r="B1721" s="46" t="s">
        <v>1178</v>
      </c>
      <c r="C1721" s="46">
        <v>76275</v>
      </c>
      <c r="D1721" s="46" t="s">
        <v>3349</v>
      </c>
      <c r="E1721" s="46" t="s">
        <v>3350</v>
      </c>
      <c r="F1721" s="46" t="s">
        <v>26</v>
      </c>
      <c r="G1721" s="47">
        <v>12.16</v>
      </c>
      <c r="H1721" s="48">
        <v>41.141</v>
      </c>
      <c r="I1721" s="48">
        <v>575.978</v>
      </c>
      <c r="J1721" s="49">
        <v>14</v>
      </c>
      <c r="K1721" s="49">
        <v>3</v>
      </c>
      <c r="L1721" s="49">
        <v>11</v>
      </c>
    </row>
    <row r="1722" spans="1:12" x14ac:dyDescent="0.25">
      <c r="A1722" s="45">
        <f>C1722&amp;"."&amp;IFERROR(MID(E1722,FIND("(",E1722)+1,FIND(")",E1722)-FIND("(",E1722)-1),"")</f>
      </c>
      <c r="B1722" s="46" t="s">
        <v>1178</v>
      </c>
      <c r="C1722" s="46">
        <v>76275</v>
      </c>
      <c r="D1722" s="46" t="s">
        <v>3349</v>
      </c>
      <c r="E1722" s="46" t="s">
        <v>3351</v>
      </c>
      <c r="F1722" s="46" t="s">
        <v>26</v>
      </c>
      <c r="G1722" s="47">
        <v>12.16</v>
      </c>
      <c r="H1722" s="48">
        <v>48.707</v>
      </c>
      <c r="I1722" s="48">
        <v>194.826</v>
      </c>
      <c r="J1722" s="49">
        <v>4</v>
      </c>
      <c r="K1722" s="49">
        <v>0</v>
      </c>
      <c r="L1722" s="49">
        <v>4</v>
      </c>
    </row>
    <row r="1723" spans="1:12" x14ac:dyDescent="0.25">
      <c r="A1723" s="45">
        <f>C1723&amp;"."&amp;IFERROR(MID(E1723,FIND("(",E1723)+1,FIND(")",E1723)-FIND("(",E1723)-1),"")</f>
      </c>
      <c r="B1723" s="46" t="s">
        <v>1178</v>
      </c>
      <c r="C1723" s="46">
        <v>76275</v>
      </c>
      <c r="D1723" s="46" t="s">
        <v>3349</v>
      </c>
      <c r="E1723" s="46" t="s">
        <v>3352</v>
      </c>
      <c r="F1723" s="46" t="s">
        <v>26</v>
      </c>
      <c r="G1723" s="47">
        <v>12.16</v>
      </c>
      <c r="H1723" s="48">
        <v>46.069</v>
      </c>
      <c r="I1723" s="48">
        <v>138.206</v>
      </c>
      <c r="J1723" s="49">
        <v>3</v>
      </c>
      <c r="K1723" s="49">
        <v>0</v>
      </c>
      <c r="L1723" s="49">
        <v>3</v>
      </c>
    </row>
    <row r="1724" spans="1:12" x14ac:dyDescent="0.25">
      <c r="A1724" s="45">
        <f>C1724&amp;"."&amp;IFERROR(MID(E1724,FIND("(",E1724)+1,FIND(")",E1724)-FIND("(",E1724)-1),"")</f>
      </c>
      <c r="B1724" s="46" t="s">
        <v>1178</v>
      </c>
      <c r="C1724" s="46">
        <v>76276</v>
      </c>
      <c r="D1724" s="46" t="s">
        <v>3353</v>
      </c>
      <c r="E1724" s="46" t="s">
        <v>3354</v>
      </c>
      <c r="F1724" s="46" t="s">
        <v>26</v>
      </c>
      <c r="G1724" s="47">
        <v>4.11</v>
      </c>
      <c r="H1724" s="48">
        <v>11.965</v>
      </c>
      <c r="I1724" s="48">
        <v>191.442</v>
      </c>
      <c r="J1724" s="49">
        <v>16</v>
      </c>
      <c r="K1724" s="49">
        <v>6</v>
      </c>
      <c r="L1724" s="49">
        <v>10</v>
      </c>
    </row>
    <row r="1725" spans="1:12" x14ac:dyDescent="0.25">
      <c r="A1725" s="45">
        <f>C1725&amp;"."&amp;IFERROR(MID(E1725,FIND("(",E1725)+1,FIND(")",E1725)-FIND("(",E1725)-1),"")</f>
      </c>
      <c r="B1725" s="46" t="s">
        <v>1178</v>
      </c>
      <c r="C1725" s="46">
        <v>76276</v>
      </c>
      <c r="D1725" s="46" t="s">
        <v>3353</v>
      </c>
      <c r="E1725" s="46" t="s">
        <v>3355</v>
      </c>
      <c r="F1725" s="46" t="s">
        <v>26</v>
      </c>
      <c r="G1725" s="47">
        <v>4.11</v>
      </c>
      <c r="H1725" s="48">
        <v>12.319</v>
      </c>
      <c r="I1725" s="48">
        <v>24.638</v>
      </c>
      <c r="J1725" s="49">
        <v>2</v>
      </c>
      <c r="K1725" s="49">
        <v>0</v>
      </c>
      <c r="L1725" s="49">
        <v>2</v>
      </c>
    </row>
    <row r="1726" spans="1:12" x14ac:dyDescent="0.25">
      <c r="A1726" s="45">
        <f>C1726&amp;"."&amp;IFERROR(MID(E1726,FIND("(",E1726)+1,FIND(")",E1726)-FIND("(",E1726)-1),"")</f>
      </c>
      <c r="B1726" s="46" t="s">
        <v>1178</v>
      </c>
      <c r="C1726" s="46">
        <v>76276</v>
      </c>
      <c r="D1726" s="46" t="s">
        <v>3353</v>
      </c>
      <c r="E1726" s="46" t="s">
        <v>3356</v>
      </c>
      <c r="F1726" s="46" t="s">
        <v>26</v>
      </c>
      <c r="G1726" s="47">
        <v>4.11</v>
      </c>
      <c r="H1726" s="48">
        <v>12.404</v>
      </c>
      <c r="I1726" s="48">
        <v>49.614</v>
      </c>
      <c r="J1726" s="49">
        <v>4</v>
      </c>
      <c r="K1726" s="49">
        <v>0</v>
      </c>
      <c r="L1726" s="49">
        <v>4</v>
      </c>
    </row>
    <row r="1727" spans="1:12" x14ac:dyDescent="0.25">
      <c r="A1727" s="45">
        <f>C1727&amp;"."&amp;IFERROR(MID(E1727,FIND("(",E1727)+1,FIND(")",E1727)-FIND("(",E1727)-1),"")</f>
      </c>
      <c r="B1727" s="46" t="s">
        <v>1178</v>
      </c>
      <c r="C1727" s="46">
        <v>76277</v>
      </c>
      <c r="D1727" s="46" t="s">
        <v>3357</v>
      </c>
      <c r="E1727" s="46" t="s">
        <v>3358</v>
      </c>
      <c r="F1727" s="46" t="s">
        <v>26</v>
      </c>
      <c r="G1727" s="47">
        <v>1.22</v>
      </c>
      <c r="H1727" s="48">
        <v>4.453</v>
      </c>
      <c r="I1727" s="48">
        <v>8.906</v>
      </c>
      <c r="J1727" s="49">
        <v>2</v>
      </c>
      <c r="K1727" s="49">
        <v>0</v>
      </c>
      <c r="L1727" s="49">
        <v>2</v>
      </c>
    </row>
    <row r="1728" spans="1:12" x14ac:dyDescent="0.25">
      <c r="A1728" s="45">
        <f>C1728&amp;"."&amp;IFERROR(MID(E1728,FIND("(",E1728)+1,FIND(")",E1728)-FIND("(",E1728)-1),"")</f>
      </c>
      <c r="B1728" s="46" t="s">
        <v>1178</v>
      </c>
      <c r="C1728" s="46">
        <v>76277</v>
      </c>
      <c r="D1728" s="46" t="s">
        <v>3357</v>
      </c>
      <c r="E1728" s="46" t="s">
        <v>3359</v>
      </c>
      <c r="F1728" s="46" t="s">
        <v>26</v>
      </c>
      <c r="G1728" s="47">
        <v>1.22</v>
      </c>
      <c r="H1728" s="48">
        <v>4.477</v>
      </c>
      <c r="I1728" s="48">
        <v>13.432</v>
      </c>
      <c r="J1728" s="49">
        <v>3</v>
      </c>
      <c r="K1728" s="49">
        <v>0</v>
      </c>
      <c r="L1728" s="49">
        <v>3</v>
      </c>
    </row>
    <row r="1729" spans="1:12" x14ac:dyDescent="0.25">
      <c r="A1729" s="45">
        <f>C1729&amp;"."&amp;IFERROR(MID(E1729,FIND("(",E1729)+1,FIND(")",E1729)-FIND("(",E1729)-1),"")</f>
      </c>
      <c r="B1729" s="46" t="s">
        <v>1178</v>
      </c>
      <c r="C1729" s="46">
        <v>76277</v>
      </c>
      <c r="D1729" s="46" t="s">
        <v>3357</v>
      </c>
      <c r="E1729" s="46" t="s">
        <v>3360</v>
      </c>
      <c r="F1729" s="46" t="s">
        <v>26</v>
      </c>
      <c r="G1729" s="47">
        <v>1.22</v>
      </c>
      <c r="H1729" s="48">
        <v>7.173</v>
      </c>
      <c r="I1729" s="48">
        <v>50.209</v>
      </c>
      <c r="J1729" s="49">
        <v>7</v>
      </c>
      <c r="K1729" s="49">
        <v>4</v>
      </c>
      <c r="L1729" s="49">
        <v>3</v>
      </c>
    </row>
    <row r="1730" spans="1:12" x14ac:dyDescent="0.25">
      <c r="A1730" s="45">
        <f>C1730&amp;"."&amp;IFERROR(MID(E1730,FIND("(",E1730)+1,FIND(")",E1730)-FIND("(",E1730)-1),"")</f>
      </c>
      <c r="B1730" s="46" t="s">
        <v>1178</v>
      </c>
      <c r="C1730" s="46">
        <v>76283</v>
      </c>
      <c r="D1730" s="46" t="s">
        <v>3361</v>
      </c>
      <c r="E1730" s="46" t="s">
        <v>3362</v>
      </c>
      <c r="F1730" s="46" t="s">
        <v>26</v>
      </c>
      <c r="G1730" s="47">
        <v>0.5</v>
      </c>
      <c r="H1730" s="48">
        <v>3.972</v>
      </c>
      <c r="I1730" s="48">
        <v>31.776</v>
      </c>
      <c r="J1730" s="49">
        <v>8</v>
      </c>
      <c r="K1730" s="49">
        <v>2</v>
      </c>
      <c r="L1730" s="49">
        <v>6</v>
      </c>
    </row>
    <row r="1731" spans="1:12" x14ac:dyDescent="0.25">
      <c r="A1731" s="45">
        <f>C1731&amp;"."&amp;IFERROR(MID(E1731,FIND("(",E1731)+1,FIND(")",E1731)-FIND("(",E1731)-1),"")</f>
      </c>
      <c r="B1731" s="46" t="s">
        <v>1178</v>
      </c>
      <c r="C1731" s="46">
        <v>76283</v>
      </c>
      <c r="D1731" s="46" t="s">
        <v>3361</v>
      </c>
      <c r="E1731" s="46" t="s">
        <v>3363</v>
      </c>
      <c r="F1731" s="46" t="s">
        <v>26</v>
      </c>
      <c r="G1731" s="47">
        <v>0.5</v>
      </c>
      <c r="H1731" s="48">
        <v>2.335</v>
      </c>
      <c r="I1731" s="48">
        <v>2.335</v>
      </c>
      <c r="J1731" s="49">
        <v>1</v>
      </c>
      <c r="K1731" s="49">
        <v>0</v>
      </c>
      <c r="L1731" s="49">
        <v>1</v>
      </c>
    </row>
    <row r="1732" spans="1:12" x14ac:dyDescent="0.25">
      <c r="A1732" s="45">
        <f>C1732&amp;"."&amp;IFERROR(MID(E1732,FIND("(",E1732)+1,FIND(")",E1732)-FIND("(",E1732)-1),"")</f>
      </c>
      <c r="B1732" s="46" t="s">
        <v>1178</v>
      </c>
      <c r="C1732" s="46">
        <v>76284</v>
      </c>
      <c r="D1732" s="46" t="s">
        <v>3364</v>
      </c>
      <c r="E1732" s="46" t="s">
        <v>3365</v>
      </c>
      <c r="F1732" s="46" t="s">
        <v>26</v>
      </c>
      <c r="G1732" s="47">
        <v>1.47</v>
      </c>
      <c r="H1732" s="48">
        <v>17.866</v>
      </c>
      <c r="I1732" s="48">
        <v>196.521</v>
      </c>
      <c r="J1732" s="49">
        <v>11</v>
      </c>
      <c r="K1732" s="49">
        <v>0</v>
      </c>
      <c r="L1732" s="49">
        <v>11</v>
      </c>
    </row>
    <row r="1733" spans="1:12" x14ac:dyDescent="0.25">
      <c r="A1733" s="45">
        <f>C1733&amp;"."&amp;IFERROR(MID(E1733,FIND("(",E1733)+1,FIND(")",E1733)-FIND("(",E1733)-1),"")</f>
      </c>
      <c r="B1733" s="46" t="s">
        <v>1178</v>
      </c>
      <c r="C1733" s="46">
        <v>76284</v>
      </c>
      <c r="D1733" s="46" t="s">
        <v>3364</v>
      </c>
      <c r="E1733" s="46" t="s">
        <v>3366</v>
      </c>
      <c r="F1733" s="46" t="s">
        <v>26</v>
      </c>
      <c r="G1733" s="47">
        <v>1.47</v>
      </c>
      <c r="H1733" s="48">
        <v>37.647</v>
      </c>
      <c r="I1733" s="48">
        <v>527.055</v>
      </c>
      <c r="J1733" s="49">
        <v>14</v>
      </c>
      <c r="K1733" s="49">
        <v>5</v>
      </c>
      <c r="L1733" s="49">
        <v>9</v>
      </c>
    </row>
    <row r="1734" spans="1:12" x14ac:dyDescent="0.25">
      <c r="A1734" s="45">
        <f>C1734&amp;"."&amp;IFERROR(MID(E1734,FIND("(",E1734)+1,FIND(")",E1734)-FIND("(",E1734)-1),"")</f>
      </c>
      <c r="B1734" s="46" t="s">
        <v>1178</v>
      </c>
      <c r="C1734" s="46">
        <v>76286</v>
      </c>
      <c r="D1734" s="46" t="s">
        <v>3367</v>
      </c>
      <c r="E1734" s="46" t="s">
        <v>1248</v>
      </c>
      <c r="F1734" s="46" t="s">
        <v>26</v>
      </c>
      <c r="G1734" s="47">
        <v>0</v>
      </c>
      <c r="H1734" s="48">
        <v>308.437</v>
      </c>
      <c r="I1734" s="48">
        <v>7710.92</v>
      </c>
      <c r="J1734" s="49">
        <v>25</v>
      </c>
      <c r="K1734" s="49">
        <v>0</v>
      </c>
      <c r="L1734" s="49">
        <v>25</v>
      </c>
    </row>
    <row r="1735" spans="1:12" x14ac:dyDescent="0.25">
      <c r="A1735" s="45">
        <f>C1735&amp;"."&amp;IFERROR(MID(E1735,FIND("(",E1735)+1,FIND(")",E1735)-FIND("(",E1735)-1),"")</f>
      </c>
      <c r="B1735" s="46" t="s">
        <v>1178</v>
      </c>
      <c r="C1735" s="46">
        <v>76287</v>
      </c>
      <c r="D1735" s="46" t="s">
        <v>3368</v>
      </c>
      <c r="E1735" s="46" t="s">
        <v>3369</v>
      </c>
      <c r="F1735" s="46" t="s">
        <v>26</v>
      </c>
      <c r="G1735" s="47">
        <v>0.53</v>
      </c>
      <c r="H1735" s="48">
        <v>1.646</v>
      </c>
      <c r="I1735" s="48">
        <v>3.291</v>
      </c>
      <c r="J1735" s="49">
        <v>2</v>
      </c>
      <c r="K1735" s="49">
        <v>1</v>
      </c>
      <c r="L1735" s="49">
        <v>1</v>
      </c>
    </row>
    <row r="1736" spans="1:12" x14ac:dyDescent="0.25">
      <c r="A1736" s="45">
        <f>C1736&amp;"."&amp;IFERROR(MID(E1736,FIND("(",E1736)+1,FIND(")",E1736)-FIND("(",E1736)-1),"")</f>
      </c>
      <c r="B1736" s="46" t="s">
        <v>1178</v>
      </c>
      <c r="C1736" s="46">
        <v>76287</v>
      </c>
      <c r="D1736" s="46" t="s">
        <v>3368</v>
      </c>
      <c r="E1736" s="46" t="s">
        <v>3370</v>
      </c>
      <c r="F1736" s="46" t="s">
        <v>26</v>
      </c>
      <c r="G1736" s="47">
        <v>0.53</v>
      </c>
      <c r="H1736" s="48">
        <v>1.454</v>
      </c>
      <c r="I1736" s="48">
        <v>1.454</v>
      </c>
      <c r="J1736" s="49">
        <v>1</v>
      </c>
      <c r="K1736" s="49">
        <v>1</v>
      </c>
      <c r="L1736" s="49">
        <v>0</v>
      </c>
    </row>
    <row r="1737" spans="1:12" x14ac:dyDescent="0.25">
      <c r="A1737" s="45">
        <f>C1737&amp;"."&amp;IFERROR(MID(E1737,FIND("(",E1737)+1,FIND(")",E1737)-FIND("(",E1737)-1),"")</f>
      </c>
      <c r="B1737" s="46" t="s">
        <v>1178</v>
      </c>
      <c r="C1737" s="46">
        <v>76287</v>
      </c>
      <c r="D1737" s="46" t="s">
        <v>3368</v>
      </c>
      <c r="E1737" s="46" t="s">
        <v>3371</v>
      </c>
      <c r="F1737" s="46" t="s">
        <v>26</v>
      </c>
      <c r="G1737" s="47">
        <v>0.53</v>
      </c>
      <c r="H1737" s="48">
        <v>1.658</v>
      </c>
      <c r="I1737" s="48">
        <v>4.974</v>
      </c>
      <c r="J1737" s="49">
        <v>3</v>
      </c>
      <c r="K1737" s="49">
        <v>0</v>
      </c>
      <c r="L1737" s="49">
        <v>3</v>
      </c>
    </row>
    <row r="1738" spans="1:12" x14ac:dyDescent="0.25">
      <c r="A1738" s="45">
        <f>C1738&amp;"."&amp;IFERROR(MID(E1738,FIND("(",E1738)+1,FIND(")",E1738)-FIND("(",E1738)-1),"")</f>
      </c>
      <c r="B1738" s="46" t="s">
        <v>1178</v>
      </c>
      <c r="C1738" s="46">
        <v>76289</v>
      </c>
      <c r="D1738" s="46" t="s">
        <v>3372</v>
      </c>
      <c r="E1738" s="46" t="s">
        <v>3373</v>
      </c>
      <c r="F1738" s="46" t="s">
        <v>26</v>
      </c>
      <c r="G1738" s="47">
        <v>0</v>
      </c>
      <c r="H1738" s="48">
        <v>1.646</v>
      </c>
      <c r="I1738" s="48">
        <v>16.457</v>
      </c>
      <c r="J1738" s="49">
        <v>10</v>
      </c>
      <c r="K1738" s="49">
        <v>1</v>
      </c>
      <c r="L1738" s="49">
        <v>9</v>
      </c>
    </row>
    <row r="1739" spans="1:12" x14ac:dyDescent="0.25">
      <c r="A1739" s="45">
        <f>C1739&amp;"."&amp;IFERROR(MID(E1739,FIND("(",E1739)+1,FIND(")",E1739)-FIND("(",E1739)-1),"")</f>
      </c>
      <c r="B1739" s="46" t="s">
        <v>1178</v>
      </c>
      <c r="C1739" s="46">
        <v>76289</v>
      </c>
      <c r="D1739" s="46" t="s">
        <v>3372</v>
      </c>
      <c r="E1739" s="46" t="s">
        <v>3374</v>
      </c>
      <c r="F1739" s="46" t="s">
        <v>26</v>
      </c>
      <c r="G1739" s="47">
        <v>0</v>
      </c>
      <c r="H1739" s="48">
        <v>1.808</v>
      </c>
      <c r="I1739" s="48">
        <v>14.467</v>
      </c>
      <c r="J1739" s="49">
        <v>8</v>
      </c>
      <c r="K1739" s="49">
        <v>1</v>
      </c>
      <c r="L1739" s="49">
        <v>7</v>
      </c>
    </row>
    <row r="1740" spans="1:12" x14ac:dyDescent="0.25">
      <c r="A1740" s="45">
        <f>C1740&amp;"."&amp;IFERROR(MID(E1740,FIND("(",E1740)+1,FIND(")",E1740)-FIND("(",E1740)-1),"")</f>
      </c>
      <c r="B1740" s="46" t="s">
        <v>1178</v>
      </c>
      <c r="C1740" s="46">
        <v>76292</v>
      </c>
      <c r="D1740" s="46" t="s">
        <v>3375</v>
      </c>
      <c r="E1740" s="46" t="s">
        <v>1248</v>
      </c>
      <c r="F1740" s="46" t="s">
        <v>26</v>
      </c>
      <c r="G1740" s="47">
        <v>0.37</v>
      </c>
      <c r="H1740" s="48">
        <v>1.319</v>
      </c>
      <c r="I1740" s="48">
        <v>13.19</v>
      </c>
      <c r="J1740" s="49">
        <v>10</v>
      </c>
      <c r="K1740" s="49">
        <v>2</v>
      </c>
      <c r="L1740" s="49">
        <v>8</v>
      </c>
    </row>
    <row r="1741" spans="1:12" x14ac:dyDescent="0.25">
      <c r="A1741" s="45">
        <f>C1741&amp;"."&amp;IFERROR(MID(E1741,FIND("(",E1741)+1,FIND(")",E1741)-FIND("(",E1741)-1),"")</f>
      </c>
      <c r="B1741" s="46" t="s">
        <v>1178</v>
      </c>
      <c r="C1741" s="46">
        <v>76295</v>
      </c>
      <c r="D1741" s="46" t="s">
        <v>3376</v>
      </c>
      <c r="E1741" s="46" t="s">
        <v>1248</v>
      </c>
      <c r="F1741" s="46" t="s">
        <v>24</v>
      </c>
      <c r="G1741" s="47">
        <v>1.11</v>
      </c>
      <c r="H1741" s="48">
        <v>4.61</v>
      </c>
      <c r="I1741" s="48">
        <v>55.316</v>
      </c>
      <c r="J1741" s="49">
        <v>12</v>
      </c>
      <c r="K1741" s="49">
        <v>0</v>
      </c>
      <c r="L1741" s="49">
        <v>12</v>
      </c>
    </row>
    <row r="1742" spans="1:12" x14ac:dyDescent="0.25">
      <c r="A1742" s="45">
        <f>C1742&amp;"."&amp;IFERROR(MID(E1742,FIND("(",E1742)+1,FIND(")",E1742)-FIND("(",E1742)-1),"")</f>
      </c>
      <c r="B1742" s="46" t="s">
        <v>1178</v>
      </c>
      <c r="C1742" s="46">
        <v>76297</v>
      </c>
      <c r="D1742" s="46" t="s">
        <v>3377</v>
      </c>
      <c r="E1742" s="46" t="s">
        <v>3378</v>
      </c>
      <c r="F1742" s="46" t="s">
        <v>26</v>
      </c>
      <c r="G1742" s="47">
        <v>0.85</v>
      </c>
      <c r="H1742" s="48">
        <v>3.049</v>
      </c>
      <c r="I1742" s="48">
        <v>18.292</v>
      </c>
      <c r="J1742" s="49">
        <v>6</v>
      </c>
      <c r="K1742" s="49">
        <v>1</v>
      </c>
      <c r="L1742" s="49">
        <v>5</v>
      </c>
    </row>
    <row r="1743" spans="1:12" x14ac:dyDescent="0.25">
      <c r="A1743" s="45">
        <f>C1743&amp;"."&amp;IFERROR(MID(E1743,FIND("(",E1743)+1,FIND(")",E1743)-FIND("(",E1743)-1),"")</f>
      </c>
      <c r="B1743" s="46" t="s">
        <v>1178</v>
      </c>
      <c r="C1743" s="46">
        <v>76297</v>
      </c>
      <c r="D1743" s="46" t="s">
        <v>3377</v>
      </c>
      <c r="E1743" s="46" t="s">
        <v>3379</v>
      </c>
      <c r="F1743" s="46" t="s">
        <v>26</v>
      </c>
      <c r="G1743" s="47">
        <v>0.85</v>
      </c>
      <c r="H1743" s="48">
        <v>2.807</v>
      </c>
      <c r="I1743" s="48">
        <v>33.689</v>
      </c>
      <c r="J1743" s="49">
        <v>12</v>
      </c>
      <c r="K1743" s="49">
        <v>0</v>
      </c>
      <c r="L1743" s="49">
        <v>12</v>
      </c>
    </row>
    <row r="1744" spans="1:12" x14ac:dyDescent="0.25">
      <c r="A1744" s="45">
        <f>C1744&amp;"."&amp;IFERROR(MID(E1744,FIND("(",E1744)+1,FIND(")",E1744)-FIND("(",E1744)-1),"")</f>
      </c>
      <c r="B1744" s="46" t="s">
        <v>1178</v>
      </c>
      <c r="C1744" s="46">
        <v>76299</v>
      </c>
      <c r="D1744" s="46" t="s">
        <v>3380</v>
      </c>
      <c r="E1744" s="46" t="s">
        <v>3381</v>
      </c>
      <c r="F1744" s="46" t="s">
        <v>24</v>
      </c>
      <c r="G1744" s="47">
        <v>7.07</v>
      </c>
      <c r="H1744" s="48">
        <v>22.92</v>
      </c>
      <c r="I1744" s="48">
        <v>68.76</v>
      </c>
      <c r="J1744" s="49">
        <v>3</v>
      </c>
      <c r="K1744" s="49">
        <v>0</v>
      </c>
      <c r="L1744" s="49">
        <v>3</v>
      </c>
    </row>
    <row r="1745" spans="1:12" x14ac:dyDescent="0.25">
      <c r="A1745" s="45">
        <f>C1745&amp;"."&amp;IFERROR(MID(E1745,FIND("(",E1745)+1,FIND(")",E1745)-FIND("(",E1745)-1),"")</f>
      </c>
      <c r="B1745" s="46" t="s">
        <v>1178</v>
      </c>
      <c r="C1745" s="46">
        <v>76300</v>
      </c>
      <c r="D1745" s="46" t="s">
        <v>3382</v>
      </c>
      <c r="E1745" s="46" t="s">
        <v>3383</v>
      </c>
      <c r="F1745" s="46" t="s">
        <v>24</v>
      </c>
      <c r="G1745" s="47">
        <v>7.07</v>
      </c>
      <c r="H1745" s="48">
        <v>22.92</v>
      </c>
      <c r="I1745" s="48">
        <v>137.52</v>
      </c>
      <c r="J1745" s="49">
        <v>6</v>
      </c>
      <c r="K1745" s="49">
        <v>0</v>
      </c>
      <c r="L1745" s="49">
        <v>6</v>
      </c>
    </row>
    <row r="1746" spans="1:12" x14ac:dyDescent="0.25">
      <c r="A1746" s="45">
        <f>C1746&amp;"."&amp;IFERROR(MID(E1746,FIND("(",E1746)+1,FIND(")",E1746)-FIND("(",E1746)-1),"")</f>
      </c>
      <c r="B1746" s="46" t="s">
        <v>1178</v>
      </c>
      <c r="C1746" s="46">
        <v>76302</v>
      </c>
      <c r="D1746" s="46" t="s">
        <v>3384</v>
      </c>
      <c r="E1746" s="46" t="s">
        <v>3385</v>
      </c>
      <c r="F1746" s="46" t="s">
        <v>26</v>
      </c>
      <c r="G1746" s="47">
        <v>5.76</v>
      </c>
      <c r="H1746" s="48">
        <v>61.57</v>
      </c>
      <c r="I1746" s="48">
        <v>246.28</v>
      </c>
      <c r="J1746" s="49">
        <v>4</v>
      </c>
      <c r="K1746" s="49">
        <v>0</v>
      </c>
      <c r="L1746" s="49">
        <v>4</v>
      </c>
    </row>
    <row r="1747" spans="1:12" x14ac:dyDescent="0.25">
      <c r="A1747" s="45">
        <f>C1747&amp;"."&amp;IFERROR(MID(E1747,FIND("(",E1747)+1,FIND(")",E1747)-FIND("(",E1747)-1),"")</f>
      </c>
      <c r="B1747" s="46" t="s">
        <v>1178</v>
      </c>
      <c r="C1747" s="46">
        <v>76302</v>
      </c>
      <c r="D1747" s="46" t="s">
        <v>3384</v>
      </c>
      <c r="E1747" s="46" t="s">
        <v>3386</v>
      </c>
      <c r="F1747" s="46" t="s">
        <v>26</v>
      </c>
      <c r="G1747" s="47">
        <v>5.76</v>
      </c>
      <c r="H1747" s="48">
        <v>45.138</v>
      </c>
      <c r="I1747" s="48">
        <v>993.027</v>
      </c>
      <c r="J1747" s="49">
        <v>22</v>
      </c>
      <c r="K1747" s="49">
        <v>13</v>
      </c>
      <c r="L1747" s="49">
        <v>9</v>
      </c>
    </row>
    <row r="1748" spans="1:12" x14ac:dyDescent="0.25">
      <c r="A1748" s="45">
        <f>C1748&amp;"."&amp;IFERROR(MID(E1748,FIND("(",E1748)+1,FIND(")",E1748)-FIND("(",E1748)-1),"")</f>
      </c>
      <c r="B1748" s="46" t="s">
        <v>1178</v>
      </c>
      <c r="C1748" s="46">
        <v>76303</v>
      </c>
      <c r="D1748" s="46" t="s">
        <v>3387</v>
      </c>
      <c r="E1748" s="46" t="s">
        <v>3388</v>
      </c>
      <c r="F1748" s="46" t="s">
        <v>26</v>
      </c>
      <c r="G1748" s="47">
        <v>20.18</v>
      </c>
      <c r="H1748" s="48">
        <v>57.229</v>
      </c>
      <c r="I1748" s="48">
        <v>114.457</v>
      </c>
      <c r="J1748" s="49">
        <v>2</v>
      </c>
      <c r="K1748" s="49">
        <v>0</v>
      </c>
      <c r="L1748" s="49">
        <v>2</v>
      </c>
    </row>
    <row r="1749" spans="1:12" x14ac:dyDescent="0.25">
      <c r="A1749" s="45">
        <f>C1749&amp;"."&amp;IFERROR(MID(E1749,FIND("(",E1749)+1,FIND(")",E1749)-FIND("(",E1749)-1),"")</f>
      </c>
      <c r="B1749" s="46" t="s">
        <v>1178</v>
      </c>
      <c r="C1749" s="46">
        <v>76303</v>
      </c>
      <c r="D1749" s="46" t="s">
        <v>3387</v>
      </c>
      <c r="E1749" s="46" t="s">
        <v>3389</v>
      </c>
      <c r="F1749" s="46" t="s">
        <v>26</v>
      </c>
      <c r="G1749" s="47">
        <v>20.18</v>
      </c>
      <c r="H1749" s="48">
        <v>58.64</v>
      </c>
      <c r="I1749" s="48">
        <v>703.678</v>
      </c>
      <c r="J1749" s="49">
        <v>12</v>
      </c>
      <c r="K1749" s="49">
        <v>10</v>
      </c>
      <c r="L1749" s="49">
        <v>2</v>
      </c>
    </row>
    <row r="1750" spans="1:12" x14ac:dyDescent="0.25">
      <c r="A1750" s="45">
        <f>C1750&amp;"."&amp;IFERROR(MID(E1750,FIND("(",E1750)+1,FIND(")",E1750)-FIND("(",E1750)-1),"")</f>
      </c>
      <c r="B1750" s="46" t="s">
        <v>1178</v>
      </c>
      <c r="C1750" s="46">
        <v>76303</v>
      </c>
      <c r="D1750" s="46" t="s">
        <v>3387</v>
      </c>
      <c r="E1750" s="46" t="s">
        <v>3390</v>
      </c>
      <c r="F1750" s="46" t="s">
        <v>26</v>
      </c>
      <c r="G1750" s="47">
        <v>20.18</v>
      </c>
      <c r="H1750" s="48">
        <v>60.481</v>
      </c>
      <c r="I1750" s="48">
        <v>120.962</v>
      </c>
      <c r="J1750" s="49">
        <v>2</v>
      </c>
      <c r="K1750" s="49">
        <v>0</v>
      </c>
      <c r="L1750" s="49">
        <v>2</v>
      </c>
    </row>
    <row r="1751" spans="1:12" x14ac:dyDescent="0.25">
      <c r="A1751" s="45">
        <f>C1751&amp;"."&amp;IFERROR(MID(E1751,FIND("(",E1751)+1,FIND(")",E1751)-FIND("(",E1751)-1),"")</f>
      </c>
      <c r="B1751" s="46" t="s">
        <v>1178</v>
      </c>
      <c r="C1751" s="46">
        <v>76308</v>
      </c>
      <c r="D1751" s="46" t="s">
        <v>3391</v>
      </c>
      <c r="E1751" s="46" t="s">
        <v>3392</v>
      </c>
      <c r="F1751" s="46" t="s">
        <v>26</v>
      </c>
      <c r="G1751" s="47">
        <v>3.53</v>
      </c>
      <c r="H1751" s="48">
        <v>12.46</v>
      </c>
      <c r="I1751" s="48">
        <v>24.92</v>
      </c>
      <c r="J1751" s="49">
        <v>2</v>
      </c>
      <c r="K1751" s="49">
        <v>0</v>
      </c>
      <c r="L1751" s="49">
        <v>2</v>
      </c>
    </row>
    <row r="1752" spans="1:12" x14ac:dyDescent="0.25">
      <c r="A1752" s="45">
        <f>C1752&amp;"."&amp;IFERROR(MID(E1752,FIND("(",E1752)+1,FIND(")",E1752)-FIND("(",E1752)-1),"")</f>
      </c>
      <c r="B1752" s="46" t="s">
        <v>1178</v>
      </c>
      <c r="C1752" s="46">
        <v>76308</v>
      </c>
      <c r="D1752" s="46" t="s">
        <v>3391</v>
      </c>
      <c r="E1752" s="46" t="s">
        <v>3393</v>
      </c>
      <c r="F1752" s="46" t="s">
        <v>26</v>
      </c>
      <c r="G1752" s="47">
        <v>3.53</v>
      </c>
      <c r="H1752" s="48">
        <v>11.991</v>
      </c>
      <c r="I1752" s="48">
        <v>11.991</v>
      </c>
      <c r="J1752" s="49">
        <v>1</v>
      </c>
      <c r="K1752" s="49">
        <v>1</v>
      </c>
      <c r="L1752" s="49">
        <v>0</v>
      </c>
    </row>
    <row r="1753" spans="1:12" x14ac:dyDescent="0.25">
      <c r="A1753" s="45">
        <f>C1753&amp;"."&amp;IFERROR(MID(E1753,FIND("(",E1753)+1,FIND(")",E1753)-FIND("(",E1753)-1),"")</f>
      </c>
      <c r="B1753" s="46" t="s">
        <v>1178</v>
      </c>
      <c r="C1753" s="46">
        <v>76309</v>
      </c>
      <c r="D1753" s="46" t="s">
        <v>3394</v>
      </c>
      <c r="E1753" s="46" t="s">
        <v>3395</v>
      </c>
      <c r="F1753" s="46" t="s">
        <v>26</v>
      </c>
      <c r="G1753" s="47">
        <v>1.2</v>
      </c>
      <c r="H1753" s="48">
        <v>18.05</v>
      </c>
      <c r="I1753" s="48">
        <v>108.3</v>
      </c>
      <c r="J1753" s="49">
        <v>6</v>
      </c>
      <c r="K1753" s="49">
        <v>0</v>
      </c>
      <c r="L1753" s="49">
        <v>6</v>
      </c>
    </row>
    <row r="1754" spans="1:12" x14ac:dyDescent="0.25">
      <c r="A1754" s="45">
        <f>C1754&amp;"."&amp;IFERROR(MID(E1754,FIND("(",E1754)+1,FIND(")",E1754)-FIND("(",E1754)-1),"")</f>
      </c>
      <c r="B1754" s="46" t="s">
        <v>1178</v>
      </c>
      <c r="C1754" s="46">
        <v>76309</v>
      </c>
      <c r="D1754" s="46" t="s">
        <v>3394</v>
      </c>
      <c r="E1754" s="46" t="s">
        <v>3396</v>
      </c>
      <c r="F1754" s="46" t="s">
        <v>26</v>
      </c>
      <c r="G1754" s="47">
        <v>1.2</v>
      </c>
      <c r="H1754" s="48">
        <v>13.085</v>
      </c>
      <c r="I1754" s="48">
        <v>78.509</v>
      </c>
      <c r="J1754" s="49">
        <v>6</v>
      </c>
      <c r="K1754" s="49">
        <v>1</v>
      </c>
      <c r="L1754" s="49">
        <v>5</v>
      </c>
    </row>
    <row r="1755" spans="1:12" x14ac:dyDescent="0.25">
      <c r="A1755" s="45">
        <f>C1755&amp;"."&amp;IFERROR(MID(E1755,FIND("(",E1755)+1,FIND(")",E1755)-FIND("(",E1755)-1),"")</f>
      </c>
      <c r="B1755" s="46" t="s">
        <v>1178</v>
      </c>
      <c r="C1755" s="46">
        <v>76311</v>
      </c>
      <c r="D1755" s="46" t="s">
        <v>3397</v>
      </c>
      <c r="E1755" s="46" t="s">
        <v>3398</v>
      </c>
      <c r="F1755" s="46" t="s">
        <v>26</v>
      </c>
      <c r="G1755" s="47">
        <v>2.45</v>
      </c>
      <c r="H1755" s="48">
        <v>9.79</v>
      </c>
      <c r="I1755" s="48">
        <v>19.579</v>
      </c>
      <c r="J1755" s="49">
        <v>2</v>
      </c>
      <c r="K1755" s="49">
        <v>0</v>
      </c>
      <c r="L1755" s="49">
        <v>2</v>
      </c>
    </row>
    <row r="1756" spans="1:12" x14ac:dyDescent="0.25">
      <c r="A1756" s="45">
        <f>C1756&amp;"."&amp;IFERROR(MID(E1756,FIND("(",E1756)+1,FIND(")",E1756)-FIND("(",E1756)-1),"")</f>
      </c>
      <c r="B1756" s="46" t="s">
        <v>1178</v>
      </c>
      <c r="C1756" s="46">
        <v>76313</v>
      </c>
      <c r="D1756" s="46" t="s">
        <v>3399</v>
      </c>
      <c r="E1756" s="46" t="s">
        <v>3400</v>
      </c>
      <c r="F1756" s="46" t="s">
        <v>26</v>
      </c>
      <c r="G1756" s="47">
        <v>2.48</v>
      </c>
      <c r="H1756" s="48">
        <v>11.139</v>
      </c>
      <c r="I1756" s="48">
        <v>66.835</v>
      </c>
      <c r="J1756" s="49">
        <v>6</v>
      </c>
      <c r="K1756" s="49">
        <v>1</v>
      </c>
      <c r="L1756" s="49">
        <v>5</v>
      </c>
    </row>
    <row r="1757" spans="1:12" x14ac:dyDescent="0.25">
      <c r="A1757" s="45">
        <f>C1757&amp;"."&amp;IFERROR(MID(E1757,FIND("(",E1757)+1,FIND(")",E1757)-FIND("(",E1757)-1),"")</f>
      </c>
      <c r="B1757" s="46" t="s">
        <v>1178</v>
      </c>
      <c r="C1757" s="46">
        <v>76313</v>
      </c>
      <c r="D1757" s="46" t="s">
        <v>3399</v>
      </c>
      <c r="E1757" s="46" t="s">
        <v>3401</v>
      </c>
      <c r="F1757" s="46" t="s">
        <v>26</v>
      </c>
      <c r="G1757" s="47">
        <v>2.48</v>
      </c>
      <c r="H1757" s="48">
        <v>7.878</v>
      </c>
      <c r="I1757" s="48">
        <v>7.878</v>
      </c>
      <c r="J1757" s="49">
        <v>1</v>
      </c>
      <c r="K1757" s="49">
        <v>0</v>
      </c>
      <c r="L1757" s="49">
        <v>1</v>
      </c>
    </row>
    <row r="1758" spans="1:12" x14ac:dyDescent="0.25">
      <c r="A1758" s="45">
        <f>C1758&amp;"."&amp;IFERROR(MID(E1758,FIND("(",E1758)+1,FIND(")",E1758)-FIND("(",E1758)-1),"")</f>
      </c>
      <c r="B1758" s="46" t="s">
        <v>1178</v>
      </c>
      <c r="C1758" s="46">
        <v>76314</v>
      </c>
      <c r="D1758" s="46" t="s">
        <v>3402</v>
      </c>
      <c r="E1758" s="46" t="s">
        <v>3403</v>
      </c>
      <c r="F1758" s="46" t="s">
        <v>24</v>
      </c>
      <c r="G1758" s="47">
        <v>6</v>
      </c>
      <c r="H1758" s="48">
        <v>20.7</v>
      </c>
      <c r="I1758" s="48">
        <v>41.4</v>
      </c>
      <c r="J1758" s="49">
        <v>2</v>
      </c>
      <c r="K1758" s="49">
        <v>0</v>
      </c>
      <c r="L1758" s="49">
        <v>2</v>
      </c>
    </row>
    <row r="1759" spans="1:12" x14ac:dyDescent="0.25">
      <c r="A1759" s="45">
        <f>C1759&amp;"."&amp;IFERROR(MID(E1759,FIND("(",E1759)+1,FIND(")",E1759)-FIND("(",E1759)-1),"")</f>
      </c>
      <c r="B1759" s="46" t="s">
        <v>1178</v>
      </c>
      <c r="C1759" s="46">
        <v>76318</v>
      </c>
      <c r="D1759" s="46" t="s">
        <v>3404</v>
      </c>
      <c r="E1759" s="46" t="s">
        <v>3405</v>
      </c>
      <c r="F1759" s="46" t="s">
        <v>26</v>
      </c>
      <c r="G1759" s="47">
        <v>1.95</v>
      </c>
      <c r="H1759" s="48">
        <v>5.784</v>
      </c>
      <c r="I1759" s="48">
        <v>11.569</v>
      </c>
      <c r="J1759" s="49">
        <v>2</v>
      </c>
      <c r="K1759" s="49">
        <v>0</v>
      </c>
      <c r="L1759" s="49">
        <v>2</v>
      </c>
    </row>
    <row r="1760" spans="1:12" x14ac:dyDescent="0.25">
      <c r="A1760" s="45">
        <f>C1760&amp;"."&amp;IFERROR(MID(E1760,FIND("(",E1760)+1,FIND(")",E1760)-FIND("(",E1760)-1),"")</f>
      </c>
      <c r="B1760" s="46" t="s">
        <v>1178</v>
      </c>
      <c r="C1760" s="46">
        <v>76318</v>
      </c>
      <c r="D1760" s="46" t="s">
        <v>3404</v>
      </c>
      <c r="E1760" s="46" t="s">
        <v>3406</v>
      </c>
      <c r="F1760" s="46" t="s">
        <v>26</v>
      </c>
      <c r="G1760" s="47">
        <v>1.95</v>
      </c>
      <c r="H1760" s="48">
        <v>5.695</v>
      </c>
      <c r="I1760" s="48">
        <v>11.39</v>
      </c>
      <c r="J1760" s="49">
        <v>2</v>
      </c>
      <c r="K1760" s="49">
        <v>1</v>
      </c>
      <c r="L1760" s="49">
        <v>1</v>
      </c>
    </row>
    <row r="1761" spans="1:12" x14ac:dyDescent="0.25">
      <c r="A1761" s="45">
        <f>C1761&amp;"."&amp;IFERROR(MID(E1761,FIND("(",E1761)+1,FIND(")",E1761)-FIND("(",E1761)-1),"")</f>
      </c>
      <c r="B1761" s="46" t="s">
        <v>1178</v>
      </c>
      <c r="C1761" s="46">
        <v>76319</v>
      </c>
      <c r="D1761" s="46" t="s">
        <v>3407</v>
      </c>
      <c r="E1761" s="46" t="s">
        <v>1248</v>
      </c>
      <c r="F1761" s="46" t="s">
        <v>26</v>
      </c>
      <c r="G1761" s="47">
        <v>1.95</v>
      </c>
      <c r="H1761" s="48">
        <v>5.373</v>
      </c>
      <c r="I1761" s="48">
        <v>48.356</v>
      </c>
      <c r="J1761" s="49">
        <v>9</v>
      </c>
      <c r="K1761" s="49">
        <v>0</v>
      </c>
      <c r="L1761" s="49">
        <v>9</v>
      </c>
    </row>
    <row r="1762" spans="1:12" x14ac:dyDescent="0.25">
      <c r="A1762" s="45">
        <f>C1762&amp;"."&amp;IFERROR(MID(E1762,FIND("(",E1762)+1,FIND(")",E1762)-FIND("(",E1762)-1),"")</f>
      </c>
      <c r="B1762" s="46" t="s">
        <v>1178</v>
      </c>
      <c r="C1762" s="46">
        <v>76322</v>
      </c>
      <c r="D1762" s="46" t="s">
        <v>3408</v>
      </c>
      <c r="E1762" s="46" t="s">
        <v>3409</v>
      </c>
      <c r="F1762" s="46" t="s">
        <v>26</v>
      </c>
      <c r="G1762" s="47">
        <v>15.72</v>
      </c>
      <c r="H1762" s="48">
        <v>119.804</v>
      </c>
      <c r="I1762" s="48">
        <v>479.217</v>
      </c>
      <c r="J1762" s="49">
        <v>4</v>
      </c>
      <c r="K1762" s="49">
        <v>1</v>
      </c>
      <c r="L1762" s="49">
        <v>3</v>
      </c>
    </row>
    <row r="1763" spans="1:12" x14ac:dyDescent="0.25">
      <c r="A1763" s="45">
        <f>C1763&amp;"."&amp;IFERROR(MID(E1763,FIND("(",E1763)+1,FIND(")",E1763)-FIND("(",E1763)-1),"")</f>
      </c>
      <c r="B1763" s="46" t="s">
        <v>1178</v>
      </c>
      <c r="C1763" s="46">
        <v>76324</v>
      </c>
      <c r="D1763" s="46" t="s">
        <v>3410</v>
      </c>
      <c r="E1763" s="46" t="s">
        <v>3411</v>
      </c>
      <c r="F1763" s="46" t="s">
        <v>24</v>
      </c>
      <c r="G1763" s="47">
        <v>11.07</v>
      </c>
      <c r="H1763" s="48">
        <v>40.329</v>
      </c>
      <c r="I1763" s="48">
        <v>362.962</v>
      </c>
      <c r="J1763" s="49">
        <v>9</v>
      </c>
      <c r="K1763" s="49">
        <v>0</v>
      </c>
      <c r="L1763" s="49">
        <v>9</v>
      </c>
    </row>
    <row r="1764" spans="1:12" x14ac:dyDescent="0.25">
      <c r="A1764" s="45">
        <f>C1764&amp;"."&amp;IFERROR(MID(E1764,FIND("(",E1764)+1,FIND(")",E1764)-FIND("(",E1764)-1),"")</f>
      </c>
      <c r="B1764" s="46" t="s">
        <v>1178</v>
      </c>
      <c r="C1764" s="46">
        <v>76325</v>
      </c>
      <c r="D1764" s="46" t="s">
        <v>3412</v>
      </c>
      <c r="E1764" s="46" t="s">
        <v>3413</v>
      </c>
      <c r="F1764" s="46" t="s">
        <v>24</v>
      </c>
      <c r="G1764" s="47">
        <v>6.85</v>
      </c>
      <c r="H1764" s="48">
        <v>20.07</v>
      </c>
      <c r="I1764" s="48">
        <v>80.28</v>
      </c>
      <c r="J1764" s="49">
        <v>4</v>
      </c>
      <c r="K1764" s="49">
        <v>0</v>
      </c>
      <c r="L1764" s="49">
        <v>4</v>
      </c>
    </row>
    <row r="1765" spans="1:12" x14ac:dyDescent="0.25">
      <c r="A1765" s="45">
        <f>C1765&amp;"."&amp;IFERROR(MID(E1765,FIND("(",E1765)+1,FIND(")",E1765)-FIND("(",E1765)-1),"")</f>
      </c>
      <c r="B1765" s="46" t="s">
        <v>1178</v>
      </c>
      <c r="C1765" s="46">
        <v>76326</v>
      </c>
      <c r="D1765" s="46" t="s">
        <v>3414</v>
      </c>
      <c r="E1765" s="46" t="s">
        <v>3415</v>
      </c>
      <c r="F1765" s="46" t="s">
        <v>26</v>
      </c>
      <c r="G1765" s="47">
        <v>15.72</v>
      </c>
      <c r="H1765" s="48">
        <v>16.251</v>
      </c>
      <c r="I1765" s="48">
        <v>113.758</v>
      </c>
      <c r="J1765" s="49">
        <v>7</v>
      </c>
      <c r="K1765" s="49">
        <v>0</v>
      </c>
      <c r="L1765" s="49">
        <v>7</v>
      </c>
    </row>
    <row r="1766" spans="1:12" x14ac:dyDescent="0.25">
      <c r="A1766" s="45">
        <f>C1766&amp;"."&amp;IFERROR(MID(E1766,FIND("(",E1766)+1,FIND(")",E1766)-FIND("(",E1766)-1),"")</f>
      </c>
      <c r="B1766" s="46" t="s">
        <v>1178</v>
      </c>
      <c r="C1766" s="46">
        <v>76326</v>
      </c>
      <c r="D1766" s="46" t="s">
        <v>3414</v>
      </c>
      <c r="E1766" s="46" t="s">
        <v>3416</v>
      </c>
      <c r="F1766" s="46" t="s">
        <v>26</v>
      </c>
      <c r="G1766" s="47">
        <v>15.72</v>
      </c>
      <c r="H1766" s="48">
        <v>34.071</v>
      </c>
      <c r="I1766" s="48">
        <v>136.284</v>
      </c>
      <c r="J1766" s="49">
        <v>4</v>
      </c>
      <c r="K1766" s="49">
        <v>1</v>
      </c>
      <c r="L1766" s="49">
        <v>3</v>
      </c>
    </row>
    <row r="1767" spans="1:12" x14ac:dyDescent="0.25">
      <c r="A1767" s="45">
        <f>C1767&amp;"."&amp;IFERROR(MID(E1767,FIND("(",E1767)+1,FIND(")",E1767)-FIND("(",E1767)-1),"")</f>
      </c>
      <c r="B1767" s="46" t="s">
        <v>1178</v>
      </c>
      <c r="C1767" s="46">
        <v>76327</v>
      </c>
      <c r="D1767" s="46" t="s">
        <v>3417</v>
      </c>
      <c r="E1767" s="46" t="s">
        <v>3418</v>
      </c>
      <c r="F1767" s="46" t="s">
        <v>26</v>
      </c>
      <c r="G1767" s="47">
        <v>0.41</v>
      </c>
      <c r="H1767" s="48">
        <v>2.832</v>
      </c>
      <c r="I1767" s="48">
        <v>25.492</v>
      </c>
      <c r="J1767" s="49">
        <v>9</v>
      </c>
      <c r="K1767" s="49">
        <v>0</v>
      </c>
      <c r="L1767" s="49">
        <v>9</v>
      </c>
    </row>
    <row r="1768" spans="1:12" x14ac:dyDescent="0.25">
      <c r="A1768" s="45">
        <f>C1768&amp;"."&amp;IFERROR(MID(E1768,FIND("(",E1768)+1,FIND(")",E1768)-FIND("(",E1768)-1),"")</f>
      </c>
      <c r="B1768" s="46" t="s">
        <v>1178</v>
      </c>
      <c r="C1768" s="46">
        <v>76327</v>
      </c>
      <c r="D1768" s="46" t="s">
        <v>3417</v>
      </c>
      <c r="E1768" s="46" t="s">
        <v>3419</v>
      </c>
      <c r="F1768" s="46" t="s">
        <v>26</v>
      </c>
      <c r="G1768" s="47">
        <v>0.41</v>
      </c>
      <c r="H1768" s="48">
        <v>1.646</v>
      </c>
      <c r="I1768" s="48">
        <v>14.812</v>
      </c>
      <c r="J1768" s="49">
        <v>9</v>
      </c>
      <c r="K1768" s="49">
        <v>0</v>
      </c>
      <c r="L1768" s="49">
        <v>9</v>
      </c>
    </row>
    <row r="1769" spans="1:12" x14ac:dyDescent="0.25">
      <c r="A1769" s="45">
        <f>C1769&amp;"."&amp;IFERROR(MID(E1769,FIND("(",E1769)+1,FIND(")",E1769)-FIND("(",E1769)-1),"")</f>
      </c>
      <c r="B1769" s="46" t="s">
        <v>1178</v>
      </c>
      <c r="C1769" s="46">
        <v>76331</v>
      </c>
      <c r="D1769" s="46" t="s">
        <v>3420</v>
      </c>
      <c r="E1769" s="46" t="s">
        <v>1248</v>
      </c>
      <c r="F1769" s="46" t="s">
        <v>24</v>
      </c>
      <c r="G1769" s="47">
        <v>3.94</v>
      </c>
      <c r="H1769" s="48">
        <v>10.956</v>
      </c>
      <c r="I1769" s="48">
        <v>10.956</v>
      </c>
      <c r="J1769" s="49">
        <v>1</v>
      </c>
      <c r="K1769" s="49">
        <v>0</v>
      </c>
      <c r="L1769" s="49">
        <v>1</v>
      </c>
    </row>
    <row r="1770" spans="1:12" x14ac:dyDescent="0.25">
      <c r="A1770" s="45">
        <f>C1770&amp;"."&amp;IFERROR(MID(E1770,FIND("(",E1770)+1,FIND(")",E1770)-FIND("(",E1770)-1),"")</f>
      </c>
      <c r="B1770" s="46" t="s">
        <v>1178</v>
      </c>
      <c r="C1770" s="46">
        <v>76332</v>
      </c>
      <c r="D1770" s="46" t="s">
        <v>3421</v>
      </c>
      <c r="E1770" s="46" t="s">
        <v>1248</v>
      </c>
      <c r="F1770" s="46" t="s">
        <v>26</v>
      </c>
      <c r="G1770" s="47">
        <v>0.41</v>
      </c>
      <c r="H1770" s="48">
        <v>0.958</v>
      </c>
      <c r="I1770" s="48">
        <v>3.83</v>
      </c>
      <c r="J1770" s="49">
        <v>4</v>
      </c>
      <c r="K1770" s="49">
        <v>1</v>
      </c>
      <c r="L1770" s="49">
        <v>3</v>
      </c>
    </row>
    <row r="1771" spans="1:12" x14ac:dyDescent="0.25">
      <c r="A1771" s="45">
        <f>C1771&amp;"."&amp;IFERROR(MID(E1771,FIND("(",E1771)+1,FIND(")",E1771)-FIND("(",E1771)-1),"")</f>
      </c>
      <c r="B1771" s="46" t="s">
        <v>1178</v>
      </c>
      <c r="C1771" s="46">
        <v>76336</v>
      </c>
      <c r="D1771" s="46" t="s">
        <v>3422</v>
      </c>
      <c r="E1771" s="46" t="s">
        <v>3423</v>
      </c>
      <c r="F1771" s="46" t="s">
        <v>26</v>
      </c>
      <c r="G1771" s="47">
        <v>10.31</v>
      </c>
      <c r="H1771" s="48">
        <v>30.991</v>
      </c>
      <c r="I1771" s="48">
        <v>61.981</v>
      </c>
      <c r="J1771" s="49">
        <v>2</v>
      </c>
      <c r="K1771" s="49">
        <v>0</v>
      </c>
      <c r="L1771" s="49">
        <v>2</v>
      </c>
    </row>
    <row r="1772" spans="1:12" x14ac:dyDescent="0.25">
      <c r="A1772" s="45">
        <f>C1772&amp;"."&amp;IFERROR(MID(E1772,FIND("(",E1772)+1,FIND(")",E1772)-FIND("(",E1772)-1),"")</f>
      </c>
      <c r="B1772" s="46" t="s">
        <v>1178</v>
      </c>
      <c r="C1772" s="46">
        <v>76336</v>
      </c>
      <c r="D1772" s="46" t="s">
        <v>3422</v>
      </c>
      <c r="E1772" s="46" t="s">
        <v>3424</v>
      </c>
      <c r="F1772" s="46" t="s">
        <v>26</v>
      </c>
      <c r="G1772" s="47">
        <v>10.31</v>
      </c>
      <c r="H1772" s="48">
        <v>30.7</v>
      </c>
      <c r="I1772" s="48">
        <v>92.1</v>
      </c>
      <c r="J1772" s="49">
        <v>3</v>
      </c>
      <c r="K1772" s="49">
        <v>0</v>
      </c>
      <c r="L1772" s="49">
        <v>3</v>
      </c>
    </row>
    <row r="1773" spans="1:12" x14ac:dyDescent="0.25">
      <c r="A1773" s="45">
        <f>C1773&amp;"."&amp;IFERROR(MID(E1773,FIND("(",E1773)+1,FIND(")",E1773)-FIND("(",E1773)-1),"")</f>
      </c>
      <c r="B1773" s="46" t="s">
        <v>1178</v>
      </c>
      <c r="C1773" s="46">
        <v>76337</v>
      </c>
      <c r="D1773" s="46" t="s">
        <v>3425</v>
      </c>
      <c r="E1773" s="46" t="s">
        <v>3426</v>
      </c>
      <c r="F1773" s="46" t="s">
        <v>26</v>
      </c>
      <c r="G1773" s="47">
        <v>10.31</v>
      </c>
      <c r="H1773" s="48">
        <v>21.231</v>
      </c>
      <c r="I1773" s="48">
        <v>42.463</v>
      </c>
      <c r="J1773" s="49">
        <v>2</v>
      </c>
      <c r="K1773" s="49">
        <v>0</v>
      </c>
      <c r="L1773" s="49">
        <v>2</v>
      </c>
    </row>
    <row r="1774" spans="1:12" x14ac:dyDescent="0.25">
      <c r="A1774" s="45">
        <f>C1774&amp;"."&amp;IFERROR(MID(E1774,FIND("(",E1774)+1,FIND(")",E1774)-FIND("(",E1774)-1),"")</f>
      </c>
      <c r="B1774" s="46" t="s">
        <v>1178</v>
      </c>
      <c r="C1774" s="46">
        <v>76337</v>
      </c>
      <c r="D1774" s="46" t="s">
        <v>3425</v>
      </c>
      <c r="E1774" s="46" t="s">
        <v>3427</v>
      </c>
      <c r="F1774" s="46" t="s">
        <v>26</v>
      </c>
      <c r="G1774" s="47">
        <v>10.31</v>
      </c>
      <c r="H1774" s="48">
        <v>30.991</v>
      </c>
      <c r="I1774" s="48">
        <v>61.981</v>
      </c>
      <c r="J1774" s="49">
        <v>2</v>
      </c>
      <c r="K1774" s="49">
        <v>0</v>
      </c>
      <c r="L1774" s="49">
        <v>2</v>
      </c>
    </row>
    <row r="1775" spans="1:12" x14ac:dyDescent="0.25">
      <c r="A1775" s="45">
        <f>C1775&amp;"."&amp;IFERROR(MID(E1775,FIND("(",E1775)+1,FIND(")",E1775)-FIND("(",E1775)-1),"")</f>
      </c>
      <c r="B1775" s="46" t="s">
        <v>1178</v>
      </c>
      <c r="C1775" s="46">
        <v>76339</v>
      </c>
      <c r="D1775" s="46" t="s">
        <v>3428</v>
      </c>
      <c r="E1775" s="46" t="s">
        <v>3429</v>
      </c>
      <c r="F1775" s="46" t="s">
        <v>26</v>
      </c>
      <c r="G1775" s="47">
        <v>0.68</v>
      </c>
      <c r="H1775" s="48">
        <v>2.691</v>
      </c>
      <c r="I1775" s="48">
        <v>2.691</v>
      </c>
      <c r="J1775" s="49">
        <v>1</v>
      </c>
      <c r="K1775" s="49">
        <v>0</v>
      </c>
      <c r="L1775" s="49">
        <v>1</v>
      </c>
    </row>
    <row r="1776" spans="1:12" x14ac:dyDescent="0.25">
      <c r="A1776" s="45">
        <f>C1776&amp;"."&amp;IFERROR(MID(E1776,FIND("(",E1776)+1,FIND(")",E1776)-FIND("(",E1776)-1),"")</f>
      </c>
      <c r="B1776" s="46" t="s">
        <v>1178</v>
      </c>
      <c r="C1776" s="46">
        <v>76339</v>
      </c>
      <c r="D1776" s="46" t="s">
        <v>3428</v>
      </c>
      <c r="E1776" s="46" t="s">
        <v>3430</v>
      </c>
      <c r="F1776" s="46" t="s">
        <v>26</v>
      </c>
      <c r="G1776" s="47">
        <v>0.68</v>
      </c>
      <c r="H1776" s="48">
        <v>1.58</v>
      </c>
      <c r="I1776" s="48">
        <v>41.083</v>
      </c>
      <c r="J1776" s="49">
        <v>26</v>
      </c>
      <c r="K1776" s="49">
        <v>26</v>
      </c>
      <c r="L1776" s="49">
        <v>0</v>
      </c>
    </row>
    <row r="1777" spans="1:12" x14ac:dyDescent="0.25">
      <c r="A1777" s="45">
        <f>C1777&amp;"."&amp;IFERROR(MID(E1777,FIND("(",E1777)+1,FIND(")",E1777)-FIND("(",E1777)-1),"")</f>
      </c>
      <c r="B1777" s="46" t="s">
        <v>1178</v>
      </c>
      <c r="C1777" s="46">
        <v>76340</v>
      </c>
      <c r="D1777" s="46" t="s">
        <v>3431</v>
      </c>
      <c r="E1777" s="46" t="s">
        <v>3432</v>
      </c>
      <c r="F1777" s="46" t="s">
        <v>26</v>
      </c>
      <c r="G1777" s="47">
        <v>13.86</v>
      </c>
      <c r="H1777" s="48">
        <v>27.31</v>
      </c>
      <c r="I1777" s="48">
        <v>27.31</v>
      </c>
      <c r="J1777" s="49">
        <v>1</v>
      </c>
      <c r="K1777" s="49">
        <v>1</v>
      </c>
      <c r="L1777" s="49">
        <v>0</v>
      </c>
    </row>
    <row r="1778" spans="1:12" x14ac:dyDescent="0.25">
      <c r="A1778" s="45">
        <f>C1778&amp;"."&amp;IFERROR(MID(E1778,FIND("(",E1778)+1,FIND(")",E1778)-FIND("(",E1778)-1),"")</f>
      </c>
      <c r="B1778" s="46" t="s">
        <v>1178</v>
      </c>
      <c r="C1778" s="46">
        <v>76341</v>
      </c>
      <c r="D1778" s="46" t="s">
        <v>3433</v>
      </c>
      <c r="E1778" s="46" t="s">
        <v>3434</v>
      </c>
      <c r="F1778" s="46" t="s">
        <v>26</v>
      </c>
      <c r="G1778" s="47">
        <v>13.86</v>
      </c>
      <c r="H1778" s="48">
        <v>44.967</v>
      </c>
      <c r="I1778" s="48">
        <v>269.804</v>
      </c>
      <c r="J1778" s="49">
        <v>6</v>
      </c>
      <c r="K1778" s="49">
        <v>0</v>
      </c>
      <c r="L1778" s="49">
        <v>6</v>
      </c>
    </row>
    <row r="1779" spans="1:12" x14ac:dyDescent="0.25">
      <c r="A1779" s="45">
        <f>C1779&amp;"."&amp;IFERROR(MID(E1779,FIND("(",E1779)+1,FIND(")",E1779)-FIND("(",E1779)-1),"")</f>
      </c>
      <c r="B1779" s="46" t="s">
        <v>1178</v>
      </c>
      <c r="C1779" s="46">
        <v>76341</v>
      </c>
      <c r="D1779" s="46" t="s">
        <v>3433</v>
      </c>
      <c r="E1779" s="46" t="s">
        <v>3435</v>
      </c>
      <c r="F1779" s="46" t="s">
        <v>26</v>
      </c>
      <c r="G1779" s="47">
        <v>13.86</v>
      </c>
      <c r="H1779" s="48">
        <v>46.17</v>
      </c>
      <c r="I1779" s="48">
        <v>138.509</v>
      </c>
      <c r="J1779" s="49">
        <v>3</v>
      </c>
      <c r="K1779" s="49">
        <v>0</v>
      </c>
      <c r="L1779" s="49">
        <v>3</v>
      </c>
    </row>
    <row r="1780" spans="1:12" x14ac:dyDescent="0.25">
      <c r="A1780" s="45">
        <f>C1780&amp;"."&amp;IFERROR(MID(E1780,FIND("(",E1780)+1,FIND(")",E1780)-FIND("(",E1780)-1),"")</f>
      </c>
      <c r="B1780" s="46" t="s">
        <v>1178</v>
      </c>
      <c r="C1780" s="46">
        <v>76341</v>
      </c>
      <c r="D1780" s="46" t="s">
        <v>3433</v>
      </c>
      <c r="E1780" s="46" t="s">
        <v>3436</v>
      </c>
      <c r="F1780" s="46" t="s">
        <v>26</v>
      </c>
      <c r="G1780" s="47">
        <v>13.86</v>
      </c>
      <c r="H1780" s="48">
        <v>36.624</v>
      </c>
      <c r="I1780" s="48">
        <v>109.873</v>
      </c>
      <c r="J1780" s="49">
        <v>3</v>
      </c>
      <c r="K1780" s="49">
        <v>1</v>
      </c>
      <c r="L1780" s="49">
        <v>2</v>
      </c>
    </row>
    <row r="1781" spans="1:12" x14ac:dyDescent="0.25">
      <c r="A1781" s="45">
        <f>C1781&amp;"."&amp;IFERROR(MID(E1781,FIND("(",E1781)+1,FIND(")",E1781)-FIND("(",E1781)-1),"")</f>
      </c>
      <c r="B1781" s="46" t="s">
        <v>1178</v>
      </c>
      <c r="C1781" s="46">
        <v>76345</v>
      </c>
      <c r="D1781" s="46" t="s">
        <v>3437</v>
      </c>
      <c r="E1781" s="46" t="s">
        <v>1248</v>
      </c>
      <c r="F1781" s="46" t="s">
        <v>26</v>
      </c>
      <c r="G1781" s="47">
        <v>0.42</v>
      </c>
      <c r="H1781" s="48">
        <v>1.246</v>
      </c>
      <c r="I1781" s="48">
        <v>19.942</v>
      </c>
      <c r="J1781" s="49">
        <v>16</v>
      </c>
      <c r="K1781" s="49">
        <v>0</v>
      </c>
      <c r="L1781" s="49">
        <v>16</v>
      </c>
    </row>
    <row r="1782" spans="1:12" x14ac:dyDescent="0.25">
      <c r="A1782" s="45">
        <f>C1782&amp;"."&amp;IFERROR(MID(E1782,FIND("(",E1782)+1,FIND(")",E1782)-FIND("(",E1782)-1),"")</f>
      </c>
      <c r="B1782" s="46" t="s">
        <v>1178</v>
      </c>
      <c r="C1782" s="46">
        <v>76349</v>
      </c>
      <c r="D1782" s="46" t="s">
        <v>3438</v>
      </c>
      <c r="E1782" s="46" t="s">
        <v>3439</v>
      </c>
      <c r="F1782" s="46" t="s">
        <v>26</v>
      </c>
      <c r="G1782" s="47">
        <v>4.76</v>
      </c>
      <c r="H1782" s="48">
        <v>14.15</v>
      </c>
      <c r="I1782" s="48">
        <v>14.15</v>
      </c>
      <c r="J1782" s="49">
        <v>1</v>
      </c>
      <c r="K1782" s="49">
        <v>0</v>
      </c>
      <c r="L1782" s="49">
        <v>1</v>
      </c>
    </row>
    <row r="1783" spans="1:12" x14ac:dyDescent="0.25">
      <c r="A1783" s="45">
        <f>C1783&amp;"."&amp;IFERROR(MID(E1783,FIND("(",E1783)+1,FIND(")",E1783)-FIND("(",E1783)-1),"")</f>
      </c>
      <c r="B1783" s="46" t="s">
        <v>1178</v>
      </c>
      <c r="C1783" s="46">
        <v>76349</v>
      </c>
      <c r="D1783" s="46" t="s">
        <v>3438</v>
      </c>
      <c r="E1783" s="46" t="s">
        <v>3440</v>
      </c>
      <c r="F1783" s="46" t="s">
        <v>26</v>
      </c>
      <c r="G1783" s="47">
        <v>4.76</v>
      </c>
      <c r="H1783" s="48">
        <v>14.279</v>
      </c>
      <c r="I1783" s="48">
        <v>57.117</v>
      </c>
      <c r="J1783" s="49">
        <v>4</v>
      </c>
      <c r="K1783" s="49">
        <v>0</v>
      </c>
      <c r="L1783" s="49">
        <v>4</v>
      </c>
    </row>
    <row r="1784" spans="1:12" x14ac:dyDescent="0.25">
      <c r="A1784" s="45">
        <f>C1784&amp;"."&amp;IFERROR(MID(E1784,FIND("(",E1784)+1,FIND(")",E1784)-FIND("(",E1784)-1),"")</f>
      </c>
      <c r="B1784" s="46" t="s">
        <v>1178</v>
      </c>
      <c r="C1784" s="46">
        <v>76351</v>
      </c>
      <c r="D1784" s="46" t="s">
        <v>3441</v>
      </c>
      <c r="E1784" s="46" t="s">
        <v>3442</v>
      </c>
      <c r="F1784" s="46" t="s">
        <v>26</v>
      </c>
      <c r="G1784" s="47">
        <v>3.7</v>
      </c>
      <c r="H1784" s="48">
        <v>11.06</v>
      </c>
      <c r="I1784" s="48">
        <v>33.181</v>
      </c>
      <c r="J1784" s="49">
        <v>3</v>
      </c>
      <c r="K1784" s="49">
        <v>0</v>
      </c>
      <c r="L1784" s="49">
        <v>3</v>
      </c>
    </row>
    <row r="1785" spans="1:12" x14ac:dyDescent="0.25">
      <c r="A1785" s="45">
        <f>C1785&amp;"."&amp;IFERROR(MID(E1785,FIND("(",E1785)+1,FIND(")",E1785)-FIND("(",E1785)-1),"")</f>
      </c>
      <c r="B1785" s="46" t="s">
        <v>1178</v>
      </c>
      <c r="C1785" s="46">
        <v>76351</v>
      </c>
      <c r="D1785" s="46" t="s">
        <v>3441</v>
      </c>
      <c r="E1785" s="46" t="s">
        <v>3443</v>
      </c>
      <c r="F1785" s="46" t="s">
        <v>26</v>
      </c>
      <c r="G1785" s="47">
        <v>3.7</v>
      </c>
      <c r="H1785" s="48">
        <v>4.911</v>
      </c>
      <c r="I1785" s="48">
        <v>39.285</v>
      </c>
      <c r="J1785" s="49">
        <v>8</v>
      </c>
      <c r="K1785" s="49">
        <v>1</v>
      </c>
      <c r="L1785" s="49">
        <v>7</v>
      </c>
    </row>
    <row r="1786" spans="1:12" x14ac:dyDescent="0.25">
      <c r="A1786" s="45">
        <f>C1786&amp;"."&amp;IFERROR(MID(E1786,FIND("(",E1786)+1,FIND(")",E1786)-FIND("(",E1786)-1),"")</f>
      </c>
      <c r="B1786" s="46" t="s">
        <v>1178</v>
      </c>
      <c r="C1786" s="46">
        <v>76352</v>
      </c>
      <c r="D1786" s="46" t="s">
        <v>3444</v>
      </c>
      <c r="E1786" s="46" t="s">
        <v>3445</v>
      </c>
      <c r="F1786" s="46" t="s">
        <v>26</v>
      </c>
      <c r="G1786" s="47">
        <v>0.39</v>
      </c>
      <c r="H1786" s="48">
        <v>0.67</v>
      </c>
      <c r="I1786" s="48">
        <v>2.681</v>
      </c>
      <c r="J1786" s="49">
        <v>4</v>
      </c>
      <c r="K1786" s="49">
        <v>1</v>
      </c>
      <c r="L1786" s="49">
        <v>3</v>
      </c>
    </row>
    <row r="1787" spans="1:12" x14ac:dyDescent="0.25">
      <c r="A1787" s="45">
        <f>C1787&amp;"."&amp;IFERROR(MID(E1787,FIND("(",E1787)+1,FIND(")",E1787)-FIND("(",E1787)-1),"")</f>
      </c>
      <c r="B1787" s="46" t="s">
        <v>1178</v>
      </c>
      <c r="C1787" s="46">
        <v>76352</v>
      </c>
      <c r="D1787" s="46" t="s">
        <v>3444</v>
      </c>
      <c r="E1787" s="46" t="s">
        <v>3446</v>
      </c>
      <c r="F1787" s="46" t="s">
        <v>26</v>
      </c>
      <c r="G1787" s="47">
        <v>0.39</v>
      </c>
      <c r="H1787" s="48">
        <v>1.307</v>
      </c>
      <c r="I1787" s="48">
        <v>9.148</v>
      </c>
      <c r="J1787" s="49">
        <v>7</v>
      </c>
      <c r="K1787" s="49">
        <v>0</v>
      </c>
      <c r="L1787" s="49">
        <v>7</v>
      </c>
    </row>
    <row r="1788" spans="1:12" x14ac:dyDescent="0.25">
      <c r="A1788" s="45">
        <f>C1788&amp;"."&amp;IFERROR(MID(E1788,FIND("(",E1788)+1,FIND(")",E1788)-FIND("(",E1788)-1),"")</f>
      </c>
      <c r="B1788" s="46" t="s">
        <v>1178</v>
      </c>
      <c r="C1788" s="46">
        <v>76353</v>
      </c>
      <c r="D1788" s="46" t="s">
        <v>3447</v>
      </c>
      <c r="E1788" s="46" t="s">
        <v>3448</v>
      </c>
      <c r="F1788" s="46" t="s">
        <v>26</v>
      </c>
      <c r="G1788" s="47">
        <v>0.39</v>
      </c>
      <c r="H1788" s="48">
        <v>1.307</v>
      </c>
      <c r="I1788" s="48">
        <v>10.455</v>
      </c>
      <c r="J1788" s="49">
        <v>8</v>
      </c>
      <c r="K1788" s="49">
        <v>0</v>
      </c>
      <c r="L1788" s="49">
        <v>8</v>
      </c>
    </row>
    <row r="1789" spans="1:12" x14ac:dyDescent="0.25">
      <c r="A1789" s="45">
        <f>C1789&amp;"."&amp;IFERROR(MID(E1789,FIND("(",E1789)+1,FIND(")",E1789)-FIND("(",E1789)-1),"")</f>
      </c>
      <c r="B1789" s="46" t="s">
        <v>1178</v>
      </c>
      <c r="C1789" s="46">
        <v>76353</v>
      </c>
      <c r="D1789" s="46" t="s">
        <v>3447</v>
      </c>
      <c r="E1789" s="46" t="s">
        <v>3449</v>
      </c>
      <c r="F1789" s="46" t="s">
        <v>26</v>
      </c>
      <c r="G1789" s="47">
        <v>0.39</v>
      </c>
      <c r="H1789" s="48">
        <v>1.295</v>
      </c>
      <c r="I1789" s="48">
        <v>1.295</v>
      </c>
      <c r="J1789" s="49">
        <v>1</v>
      </c>
      <c r="K1789" s="49">
        <v>1</v>
      </c>
      <c r="L1789" s="49">
        <v>0</v>
      </c>
    </row>
    <row r="1790" spans="1:12" x14ac:dyDescent="0.25">
      <c r="A1790" s="45">
        <f>C1790&amp;"."&amp;IFERROR(MID(E1790,FIND("(",E1790)+1,FIND(")",E1790)-FIND("(",E1790)-1),"")</f>
      </c>
      <c r="B1790" s="46" t="s">
        <v>1178</v>
      </c>
      <c r="C1790" s="46">
        <v>76356</v>
      </c>
      <c r="D1790" s="46" t="s">
        <v>3450</v>
      </c>
      <c r="E1790" s="46" t="s">
        <v>3451</v>
      </c>
      <c r="F1790" s="46" t="s">
        <v>26</v>
      </c>
      <c r="G1790" s="47">
        <v>1.22</v>
      </c>
      <c r="H1790" s="48">
        <v>8.682</v>
      </c>
      <c r="I1790" s="48">
        <v>95.507</v>
      </c>
      <c r="J1790" s="49">
        <v>11</v>
      </c>
      <c r="K1790" s="49">
        <v>0</v>
      </c>
      <c r="L1790" s="49">
        <v>11</v>
      </c>
    </row>
    <row r="1791" spans="1:12" x14ac:dyDescent="0.25">
      <c r="A1791" s="45">
        <f>C1791&amp;"."&amp;IFERROR(MID(E1791,FIND("(",E1791)+1,FIND(")",E1791)-FIND("(",E1791)-1),"")</f>
      </c>
      <c r="B1791" s="46" t="s">
        <v>1178</v>
      </c>
      <c r="C1791" s="46">
        <v>76356</v>
      </c>
      <c r="D1791" s="46" t="s">
        <v>3450</v>
      </c>
      <c r="E1791" s="46" t="s">
        <v>3452</v>
      </c>
      <c r="F1791" s="46" t="s">
        <v>26</v>
      </c>
      <c r="G1791" s="47">
        <v>1.22</v>
      </c>
      <c r="H1791" s="48">
        <v>4.005</v>
      </c>
      <c r="I1791" s="48">
        <v>32.043</v>
      </c>
      <c r="J1791" s="49">
        <v>8</v>
      </c>
      <c r="K1791" s="49">
        <v>0</v>
      </c>
      <c r="L1791" s="49">
        <v>8</v>
      </c>
    </row>
    <row r="1792" spans="1:12" x14ac:dyDescent="0.25">
      <c r="A1792" s="45">
        <f>C1792&amp;"."&amp;IFERROR(MID(E1792,FIND("(",E1792)+1,FIND(")",E1792)-FIND("(",E1792)-1),"")</f>
      </c>
      <c r="B1792" s="46" t="s">
        <v>1178</v>
      </c>
      <c r="C1792" s="46">
        <v>76359</v>
      </c>
      <c r="D1792" s="46" t="s">
        <v>3453</v>
      </c>
      <c r="E1792" s="46" t="s">
        <v>3454</v>
      </c>
      <c r="F1792" s="46" t="s">
        <v>26</v>
      </c>
      <c r="G1792" s="47">
        <v>0.53</v>
      </c>
      <c r="H1792" s="48">
        <v>0.689</v>
      </c>
      <c r="I1792" s="48">
        <v>4.825</v>
      </c>
      <c r="J1792" s="49">
        <v>7</v>
      </c>
      <c r="K1792" s="49">
        <v>1</v>
      </c>
      <c r="L1792" s="49">
        <v>6</v>
      </c>
    </row>
    <row r="1793" spans="1:12" x14ac:dyDescent="0.25">
      <c r="A1793" s="45">
        <f>C1793&amp;"."&amp;IFERROR(MID(E1793,FIND("(",E1793)+1,FIND(")",E1793)-FIND("(",E1793)-1),"")</f>
      </c>
      <c r="B1793" s="46" t="s">
        <v>1178</v>
      </c>
      <c r="C1793" s="46">
        <v>76359</v>
      </c>
      <c r="D1793" s="46" t="s">
        <v>3453</v>
      </c>
      <c r="E1793" s="46" t="s">
        <v>3455</v>
      </c>
      <c r="F1793" s="46" t="s">
        <v>26</v>
      </c>
      <c r="G1793" s="47">
        <v>0.53</v>
      </c>
      <c r="H1793" s="48">
        <v>1.646</v>
      </c>
      <c r="I1793" s="48">
        <v>16.457</v>
      </c>
      <c r="J1793" s="49">
        <v>10</v>
      </c>
      <c r="K1793" s="49">
        <v>0</v>
      </c>
      <c r="L1793" s="49">
        <v>10</v>
      </c>
    </row>
    <row r="1794" spans="1:12" x14ac:dyDescent="0.25">
      <c r="A1794" s="45">
        <f>C1794&amp;"."&amp;IFERROR(MID(E1794,FIND("(",E1794)+1,FIND(")",E1794)-FIND("(",E1794)-1),"")</f>
      </c>
      <c r="B1794" s="46" t="s">
        <v>1178</v>
      </c>
      <c r="C1794" s="46">
        <v>76360</v>
      </c>
      <c r="D1794" s="46" t="s">
        <v>3456</v>
      </c>
      <c r="E1794" s="46" t="s">
        <v>3457</v>
      </c>
      <c r="F1794" s="46" t="s">
        <v>26</v>
      </c>
      <c r="G1794" s="47">
        <v>0.53</v>
      </c>
      <c r="H1794" s="48">
        <v>1.658</v>
      </c>
      <c r="I1794" s="48">
        <v>3.316</v>
      </c>
      <c r="J1794" s="49">
        <v>2</v>
      </c>
      <c r="K1794" s="49">
        <v>0</v>
      </c>
      <c r="L1794" s="49">
        <v>2</v>
      </c>
    </row>
    <row r="1795" spans="1:12" x14ac:dyDescent="0.25">
      <c r="A1795" s="45">
        <f>C1795&amp;"."&amp;IFERROR(MID(E1795,FIND("(",E1795)+1,FIND(")",E1795)-FIND("(",E1795)-1),"")</f>
      </c>
      <c r="B1795" s="46" t="s">
        <v>1178</v>
      </c>
      <c r="C1795" s="46">
        <v>76360</v>
      </c>
      <c r="D1795" s="46" t="s">
        <v>3456</v>
      </c>
      <c r="E1795" s="46" t="s">
        <v>3458</v>
      </c>
      <c r="F1795" s="46" t="s">
        <v>26</v>
      </c>
      <c r="G1795" s="47">
        <v>0.53</v>
      </c>
      <c r="H1795" s="48">
        <v>0.768</v>
      </c>
      <c r="I1795" s="48">
        <v>6.142</v>
      </c>
      <c r="J1795" s="49">
        <v>8</v>
      </c>
      <c r="K1795" s="49">
        <v>1</v>
      </c>
      <c r="L1795" s="49">
        <v>7</v>
      </c>
    </row>
    <row r="1796" spans="1:12" x14ac:dyDescent="0.25">
      <c r="A1796" s="45">
        <f>C1796&amp;"."&amp;IFERROR(MID(E1796,FIND("(",E1796)+1,FIND(")",E1796)-FIND("(",E1796)-1),"")</f>
      </c>
      <c r="B1796" s="46" t="s">
        <v>1178</v>
      </c>
      <c r="C1796" s="46">
        <v>76360</v>
      </c>
      <c r="D1796" s="46" t="s">
        <v>3456</v>
      </c>
      <c r="E1796" s="46" t="s">
        <v>3459</v>
      </c>
      <c r="F1796" s="46" t="s">
        <v>26</v>
      </c>
      <c r="G1796" s="47">
        <v>0.53</v>
      </c>
      <c r="H1796" s="48">
        <v>1.646</v>
      </c>
      <c r="I1796" s="48">
        <v>19.749</v>
      </c>
      <c r="J1796" s="49">
        <v>12</v>
      </c>
      <c r="K1796" s="49">
        <v>0</v>
      </c>
      <c r="L1796" s="49">
        <v>12</v>
      </c>
    </row>
    <row r="1797" spans="1:12" x14ac:dyDescent="0.25">
      <c r="A1797" s="45">
        <f>C1797&amp;"."&amp;IFERROR(MID(E1797,FIND("(",E1797)+1,FIND(")",E1797)-FIND("(",E1797)-1),"")</f>
      </c>
      <c r="B1797" s="46" t="s">
        <v>1178</v>
      </c>
      <c r="C1797" s="46">
        <v>76362</v>
      </c>
      <c r="D1797" s="46" t="s">
        <v>3460</v>
      </c>
      <c r="E1797" s="46" t="s">
        <v>3461</v>
      </c>
      <c r="F1797" s="46" t="s">
        <v>26</v>
      </c>
      <c r="G1797" s="47">
        <v>2.4</v>
      </c>
      <c r="H1797" s="48">
        <v>4.921</v>
      </c>
      <c r="I1797" s="48">
        <v>14.762</v>
      </c>
      <c r="J1797" s="49">
        <v>3</v>
      </c>
      <c r="K1797" s="49">
        <v>0</v>
      </c>
      <c r="L1797" s="49">
        <v>3</v>
      </c>
    </row>
    <row r="1798" spans="1:12" x14ac:dyDescent="0.25">
      <c r="A1798" s="45">
        <f>C1798&amp;"."&amp;IFERROR(MID(E1798,FIND("(",E1798)+1,FIND(")",E1798)-FIND("(",E1798)-1),"")</f>
      </c>
      <c r="B1798" s="46" t="s">
        <v>1178</v>
      </c>
      <c r="C1798" s="46">
        <v>76362</v>
      </c>
      <c r="D1798" s="46" t="s">
        <v>3460</v>
      </c>
      <c r="E1798" s="46" t="s">
        <v>3462</v>
      </c>
      <c r="F1798" s="46" t="s">
        <v>26</v>
      </c>
      <c r="G1798" s="47">
        <v>2.4</v>
      </c>
      <c r="H1798" s="48">
        <v>6.728</v>
      </c>
      <c r="I1798" s="48">
        <v>53.825</v>
      </c>
      <c r="J1798" s="49">
        <v>8</v>
      </c>
      <c r="K1798" s="49">
        <v>0</v>
      </c>
      <c r="L1798" s="49">
        <v>8</v>
      </c>
    </row>
    <row r="1799" spans="1:12" x14ac:dyDescent="0.25">
      <c r="A1799" s="45">
        <f>C1799&amp;"."&amp;IFERROR(MID(E1799,FIND("(",E1799)+1,FIND(")",E1799)-FIND("(",E1799)-1),"")</f>
      </c>
      <c r="B1799" s="46" t="s">
        <v>1178</v>
      </c>
      <c r="C1799" s="46">
        <v>76363</v>
      </c>
      <c r="D1799" s="46" t="s">
        <v>3463</v>
      </c>
      <c r="E1799" s="46" t="s">
        <v>3464</v>
      </c>
      <c r="F1799" s="46" t="s">
        <v>26</v>
      </c>
      <c r="G1799" s="47">
        <v>2.4</v>
      </c>
      <c r="H1799" s="48">
        <v>7.12</v>
      </c>
      <c r="I1799" s="48">
        <v>14.24</v>
      </c>
      <c r="J1799" s="49">
        <v>2</v>
      </c>
      <c r="K1799" s="49">
        <v>0</v>
      </c>
      <c r="L1799" s="49">
        <v>2</v>
      </c>
    </row>
    <row r="1800" spans="1:12" x14ac:dyDescent="0.25">
      <c r="A1800" s="45">
        <f>C1800&amp;"."&amp;IFERROR(MID(E1800,FIND("(",E1800)+1,FIND(")",E1800)-FIND("(",E1800)-1),"")</f>
      </c>
      <c r="B1800" s="46" t="s">
        <v>1178</v>
      </c>
      <c r="C1800" s="46">
        <v>76363</v>
      </c>
      <c r="D1800" s="46" t="s">
        <v>3463</v>
      </c>
      <c r="E1800" s="46" t="s">
        <v>3465</v>
      </c>
      <c r="F1800" s="46" t="s">
        <v>26</v>
      </c>
      <c r="G1800" s="47">
        <v>2.4</v>
      </c>
      <c r="H1800" s="48">
        <v>7.127</v>
      </c>
      <c r="I1800" s="48">
        <v>7.127</v>
      </c>
      <c r="J1800" s="49">
        <v>1</v>
      </c>
      <c r="K1800" s="49">
        <v>0</v>
      </c>
      <c r="L1800" s="49">
        <v>1</v>
      </c>
    </row>
    <row r="1801" spans="1:12" x14ac:dyDescent="0.25">
      <c r="A1801" s="45">
        <f>C1801&amp;"."&amp;IFERROR(MID(E1801,FIND("(",E1801)+1,FIND(")",E1801)-FIND("(",E1801)-1),"")</f>
      </c>
      <c r="B1801" s="46" t="s">
        <v>1178</v>
      </c>
      <c r="C1801" s="46">
        <v>76364</v>
      </c>
      <c r="D1801" s="46" t="s">
        <v>3466</v>
      </c>
      <c r="E1801" s="46" t="s">
        <v>3467</v>
      </c>
      <c r="F1801" s="46" t="s">
        <v>26</v>
      </c>
      <c r="G1801" s="47">
        <v>2.4</v>
      </c>
      <c r="H1801" s="48">
        <v>2.681</v>
      </c>
      <c r="I1801" s="48">
        <v>8.042</v>
      </c>
      <c r="J1801" s="49">
        <v>3</v>
      </c>
      <c r="K1801" s="49">
        <v>1</v>
      </c>
      <c r="L1801" s="49">
        <v>2</v>
      </c>
    </row>
    <row r="1802" spans="1:12" x14ac:dyDescent="0.25">
      <c r="A1802" s="45">
        <f>C1802&amp;"."&amp;IFERROR(MID(E1802,FIND("(",E1802)+1,FIND(")",E1802)-FIND("(",E1802)-1),"")</f>
      </c>
      <c r="B1802" s="46" t="s">
        <v>1178</v>
      </c>
      <c r="C1802" s="46">
        <v>76364</v>
      </c>
      <c r="D1802" s="46" t="s">
        <v>3466</v>
      </c>
      <c r="E1802" s="46" t="s">
        <v>3468</v>
      </c>
      <c r="F1802" s="46" t="s">
        <v>26</v>
      </c>
      <c r="G1802" s="47">
        <v>2.4</v>
      </c>
      <c r="H1802" s="48">
        <v>15.356</v>
      </c>
      <c r="I1802" s="48">
        <v>30.711</v>
      </c>
      <c r="J1802" s="49">
        <v>2</v>
      </c>
      <c r="K1802" s="49">
        <v>0</v>
      </c>
      <c r="L1802" s="49">
        <v>2</v>
      </c>
    </row>
    <row r="1803" spans="1:12" x14ac:dyDescent="0.25">
      <c r="A1803" s="45">
        <f>C1803&amp;"."&amp;IFERROR(MID(E1803,FIND("(",E1803)+1,FIND(")",E1803)-FIND("(",E1803)-1),"")</f>
      </c>
      <c r="B1803" s="46" t="s">
        <v>1178</v>
      </c>
      <c r="C1803" s="46">
        <v>76365</v>
      </c>
      <c r="D1803" s="46" t="s">
        <v>3469</v>
      </c>
      <c r="E1803" s="46" t="s">
        <v>3470</v>
      </c>
      <c r="F1803" s="46" t="s">
        <v>26</v>
      </c>
      <c r="G1803" s="47">
        <v>8.32</v>
      </c>
      <c r="H1803" s="48">
        <v>5.364</v>
      </c>
      <c r="I1803" s="48">
        <v>21.458</v>
      </c>
      <c r="J1803" s="49">
        <v>4</v>
      </c>
      <c r="K1803" s="49">
        <v>0</v>
      </c>
      <c r="L1803" s="49">
        <v>4</v>
      </c>
    </row>
    <row r="1804" spans="1:12" x14ac:dyDescent="0.25">
      <c r="A1804" s="45">
        <f>C1804&amp;"."&amp;IFERROR(MID(E1804,FIND("(",E1804)+1,FIND(")",E1804)-FIND("(",E1804)-1),"")</f>
      </c>
      <c r="B1804" s="46" t="s">
        <v>1178</v>
      </c>
      <c r="C1804" s="46">
        <v>76365</v>
      </c>
      <c r="D1804" s="46" t="s">
        <v>3469</v>
      </c>
      <c r="E1804" s="46" t="s">
        <v>3471</v>
      </c>
      <c r="F1804" s="46" t="s">
        <v>26</v>
      </c>
      <c r="G1804" s="47">
        <v>8.32</v>
      </c>
      <c r="H1804" s="48">
        <v>22.472</v>
      </c>
      <c r="I1804" s="48">
        <v>22.472</v>
      </c>
      <c r="J1804" s="49">
        <v>1</v>
      </c>
      <c r="K1804" s="49">
        <v>0</v>
      </c>
      <c r="L1804" s="49">
        <v>1</v>
      </c>
    </row>
    <row r="1805" spans="1:12" x14ac:dyDescent="0.25">
      <c r="A1805" s="45">
        <f>C1805&amp;"."&amp;IFERROR(MID(E1805,FIND("(",E1805)+1,FIND(")",E1805)-FIND("(",E1805)-1),"")</f>
      </c>
      <c r="B1805" s="46" t="s">
        <v>1178</v>
      </c>
      <c r="C1805" s="46">
        <v>76368</v>
      </c>
      <c r="D1805" s="46" t="s">
        <v>3472</v>
      </c>
      <c r="E1805" s="46" t="s">
        <v>3473</v>
      </c>
      <c r="F1805" s="46" t="s">
        <v>26</v>
      </c>
      <c r="G1805" s="47">
        <v>8.32</v>
      </c>
      <c r="H1805" s="48">
        <v>4.475</v>
      </c>
      <c r="I1805" s="48">
        <v>8.95</v>
      </c>
      <c r="J1805" s="49">
        <v>2</v>
      </c>
      <c r="K1805" s="49">
        <v>1</v>
      </c>
      <c r="L1805" s="49">
        <v>1</v>
      </c>
    </row>
    <row r="1806" spans="1:12" x14ac:dyDescent="0.25">
      <c r="A1806" s="45">
        <f>C1806&amp;"."&amp;IFERROR(MID(E1806,FIND("(",E1806)+1,FIND(")",E1806)-FIND("(",E1806)-1),"")</f>
      </c>
      <c r="B1806" s="46" t="s">
        <v>1178</v>
      </c>
      <c r="C1806" s="46">
        <v>76368</v>
      </c>
      <c r="D1806" s="46" t="s">
        <v>3472</v>
      </c>
      <c r="E1806" s="46" t="s">
        <v>3474</v>
      </c>
      <c r="F1806" s="46" t="s">
        <v>26</v>
      </c>
      <c r="G1806" s="47">
        <v>8.32</v>
      </c>
      <c r="H1806" s="48">
        <v>22.472</v>
      </c>
      <c r="I1806" s="48">
        <v>22.472</v>
      </c>
      <c r="J1806" s="49">
        <v>1</v>
      </c>
      <c r="K1806" s="49">
        <v>0</v>
      </c>
      <c r="L1806" s="49">
        <v>1</v>
      </c>
    </row>
    <row r="1807" spans="1:12" x14ac:dyDescent="0.25">
      <c r="A1807" s="45">
        <f>C1807&amp;"."&amp;IFERROR(MID(E1807,FIND("(",E1807)+1,FIND(")",E1807)-FIND("(",E1807)-1),"")</f>
      </c>
      <c r="B1807" s="46" t="s">
        <v>1178</v>
      </c>
      <c r="C1807" s="46">
        <v>76371</v>
      </c>
      <c r="D1807" s="46" t="s">
        <v>3475</v>
      </c>
      <c r="E1807" s="46" t="s">
        <v>3476</v>
      </c>
      <c r="F1807" s="46" t="s">
        <v>26</v>
      </c>
      <c r="G1807" s="47">
        <v>0.85</v>
      </c>
      <c r="H1807" s="48">
        <v>1.065</v>
      </c>
      <c r="I1807" s="48">
        <v>4.258</v>
      </c>
      <c r="J1807" s="49">
        <v>4</v>
      </c>
      <c r="K1807" s="49">
        <v>0</v>
      </c>
      <c r="L1807" s="49">
        <v>4</v>
      </c>
    </row>
    <row r="1808" spans="1:12" x14ac:dyDescent="0.25">
      <c r="A1808" s="45">
        <f>C1808&amp;"."&amp;IFERROR(MID(E1808,FIND("(",E1808)+1,FIND(")",E1808)-FIND("(",E1808)-1),"")</f>
      </c>
      <c r="B1808" s="46" t="s">
        <v>1178</v>
      </c>
      <c r="C1808" s="46">
        <v>76371</v>
      </c>
      <c r="D1808" s="46" t="s">
        <v>3475</v>
      </c>
      <c r="E1808" s="46" t="s">
        <v>3477</v>
      </c>
      <c r="F1808" s="46" t="s">
        <v>26</v>
      </c>
      <c r="G1808" s="47">
        <v>0.85</v>
      </c>
      <c r="H1808" s="48">
        <v>2.529</v>
      </c>
      <c r="I1808" s="48">
        <v>15.175</v>
      </c>
      <c r="J1808" s="49">
        <v>6</v>
      </c>
      <c r="K1808" s="49">
        <v>0</v>
      </c>
      <c r="L1808" s="49">
        <v>6</v>
      </c>
    </row>
    <row r="1809" spans="1:12" x14ac:dyDescent="0.25">
      <c r="A1809" s="45">
        <f>C1809&amp;"."&amp;IFERROR(MID(E1809,FIND("(",E1809)+1,FIND(")",E1809)-FIND("(",E1809)-1),"")</f>
      </c>
      <c r="B1809" s="46" t="s">
        <v>1178</v>
      </c>
      <c r="C1809" s="46">
        <v>76374</v>
      </c>
      <c r="D1809" s="46" t="s">
        <v>3478</v>
      </c>
      <c r="E1809" s="46" t="s">
        <v>3479</v>
      </c>
      <c r="F1809" s="46" t="s">
        <v>26</v>
      </c>
      <c r="G1809" s="47">
        <v>9.7</v>
      </c>
      <c r="H1809" s="48">
        <v>39.954</v>
      </c>
      <c r="I1809" s="48">
        <v>239.725</v>
      </c>
      <c r="J1809" s="49">
        <v>6</v>
      </c>
      <c r="K1809" s="49">
        <v>0</v>
      </c>
      <c r="L1809" s="49">
        <v>6</v>
      </c>
    </row>
    <row r="1810" spans="1:12" x14ac:dyDescent="0.25">
      <c r="A1810" s="45">
        <f>C1810&amp;"."&amp;IFERROR(MID(E1810,FIND("(",E1810)+1,FIND(")",E1810)-FIND("(",E1810)-1),"")</f>
      </c>
      <c r="B1810" s="46" t="s">
        <v>1178</v>
      </c>
      <c r="C1810" s="46">
        <v>76374</v>
      </c>
      <c r="D1810" s="46" t="s">
        <v>3478</v>
      </c>
      <c r="E1810" s="46" t="s">
        <v>3480</v>
      </c>
      <c r="F1810" s="46" t="s">
        <v>26</v>
      </c>
      <c r="G1810" s="47">
        <v>9.7</v>
      </c>
      <c r="H1810" s="48">
        <v>30.47</v>
      </c>
      <c r="I1810" s="48">
        <v>30.47</v>
      </c>
      <c r="J1810" s="49">
        <v>1</v>
      </c>
      <c r="K1810" s="49">
        <v>0</v>
      </c>
      <c r="L1810" s="49">
        <v>1</v>
      </c>
    </row>
    <row r="1811" spans="1:12" x14ac:dyDescent="0.25">
      <c r="A1811" s="45">
        <f>C1811&amp;"."&amp;IFERROR(MID(E1811,FIND("(",E1811)+1,FIND(")",E1811)-FIND("(",E1811)-1),"")</f>
      </c>
      <c r="B1811" s="46" t="s">
        <v>1178</v>
      </c>
      <c r="C1811" s="46">
        <v>76374</v>
      </c>
      <c r="D1811" s="46" t="s">
        <v>3478</v>
      </c>
      <c r="E1811" s="46" t="s">
        <v>3481</v>
      </c>
      <c r="F1811" s="46" t="s">
        <v>26</v>
      </c>
      <c r="G1811" s="47">
        <v>9.7</v>
      </c>
      <c r="H1811" s="48">
        <v>24.877</v>
      </c>
      <c r="I1811" s="48">
        <v>199.017</v>
      </c>
      <c r="J1811" s="49">
        <v>8</v>
      </c>
      <c r="K1811" s="49">
        <v>3</v>
      </c>
      <c r="L1811" s="49">
        <v>5</v>
      </c>
    </row>
    <row r="1812" spans="1:12" x14ac:dyDescent="0.25">
      <c r="A1812" s="45">
        <f>C1812&amp;"."&amp;IFERROR(MID(E1812,FIND("(",E1812)+1,FIND(")",E1812)-FIND("(",E1812)-1),"")</f>
      </c>
      <c r="B1812" s="46" t="s">
        <v>1178</v>
      </c>
      <c r="C1812" s="46">
        <v>76381</v>
      </c>
      <c r="D1812" s="46" t="s">
        <v>3482</v>
      </c>
      <c r="E1812" s="46" t="s">
        <v>1248</v>
      </c>
      <c r="F1812" s="46" t="s">
        <v>26</v>
      </c>
      <c r="G1812" s="47">
        <v>0</v>
      </c>
      <c r="H1812" s="48">
        <v>1.826</v>
      </c>
      <c r="I1812" s="48">
        <v>16.438</v>
      </c>
      <c r="J1812" s="49">
        <v>9</v>
      </c>
      <c r="K1812" s="49">
        <v>1</v>
      </c>
      <c r="L1812" s="49">
        <v>8</v>
      </c>
    </row>
    <row r="1813" spans="1:12" x14ac:dyDescent="0.25">
      <c r="A1813" s="45">
        <f>C1813&amp;"."&amp;IFERROR(MID(E1813,FIND("(",E1813)+1,FIND(")",E1813)-FIND("(",E1813)-1),"")</f>
      </c>
      <c r="B1813" s="46" t="s">
        <v>1178</v>
      </c>
      <c r="C1813" s="46">
        <v>76385</v>
      </c>
      <c r="D1813" s="46" t="s">
        <v>3483</v>
      </c>
      <c r="E1813" s="46" t="s">
        <v>3484</v>
      </c>
      <c r="F1813" s="46" t="s">
        <v>26</v>
      </c>
      <c r="G1813" s="47">
        <v>0</v>
      </c>
      <c r="H1813" s="48">
        <v>16.288</v>
      </c>
      <c r="I1813" s="48">
        <v>16.288</v>
      </c>
      <c r="J1813" s="49">
        <v>1</v>
      </c>
      <c r="K1813" s="49">
        <v>0</v>
      </c>
      <c r="L1813" s="49">
        <v>1</v>
      </c>
    </row>
    <row r="1814" spans="1:12" x14ac:dyDescent="0.25">
      <c r="A1814" s="45">
        <f>C1814&amp;"."&amp;IFERROR(MID(E1814,FIND("(",E1814)+1,FIND(")",E1814)-FIND("(",E1814)-1),"")</f>
      </c>
      <c r="B1814" s="46" t="s">
        <v>1178</v>
      </c>
      <c r="C1814" s="46">
        <v>76387</v>
      </c>
      <c r="D1814" s="46" t="s">
        <v>3485</v>
      </c>
      <c r="E1814" s="46" t="s">
        <v>3486</v>
      </c>
      <c r="F1814" s="46" t="s">
        <v>26</v>
      </c>
      <c r="G1814" s="47">
        <v>2.05</v>
      </c>
      <c r="H1814" s="48">
        <v>10.201</v>
      </c>
      <c r="I1814" s="48">
        <v>20.402</v>
      </c>
      <c r="J1814" s="49">
        <v>2</v>
      </c>
      <c r="K1814" s="49">
        <v>0</v>
      </c>
      <c r="L1814" s="49">
        <v>2</v>
      </c>
    </row>
    <row r="1815" spans="1:12" x14ac:dyDescent="0.25">
      <c r="A1815" s="45">
        <f>C1815&amp;"."&amp;IFERROR(MID(E1815,FIND("(",E1815)+1,FIND(")",E1815)-FIND("(",E1815)-1),"")</f>
      </c>
      <c r="B1815" s="46" t="s">
        <v>1178</v>
      </c>
      <c r="C1815" s="46">
        <v>76387</v>
      </c>
      <c r="D1815" s="46" t="s">
        <v>3485</v>
      </c>
      <c r="E1815" s="46" t="s">
        <v>3487</v>
      </c>
      <c r="F1815" s="46" t="s">
        <v>26</v>
      </c>
      <c r="G1815" s="47">
        <v>2.05</v>
      </c>
      <c r="H1815" s="48">
        <v>10.213</v>
      </c>
      <c r="I1815" s="48">
        <v>10.213</v>
      </c>
      <c r="J1815" s="49">
        <v>1</v>
      </c>
      <c r="K1815" s="49">
        <v>0</v>
      </c>
      <c r="L1815" s="49">
        <v>1</v>
      </c>
    </row>
    <row r="1816" spans="1:12" x14ac:dyDescent="0.25">
      <c r="A1816" s="45">
        <f>C1816&amp;"."&amp;IFERROR(MID(E1816,FIND("(",E1816)+1,FIND(")",E1816)-FIND("(",E1816)-1),"")</f>
      </c>
      <c r="B1816" s="46" t="s">
        <v>1178</v>
      </c>
      <c r="C1816" s="46">
        <v>76387</v>
      </c>
      <c r="D1816" s="46" t="s">
        <v>3485</v>
      </c>
      <c r="E1816" s="46" t="s">
        <v>3488</v>
      </c>
      <c r="F1816" s="46" t="s">
        <v>26</v>
      </c>
      <c r="G1816" s="47">
        <v>2.05</v>
      </c>
      <c r="H1816" s="48">
        <v>10.54</v>
      </c>
      <c r="I1816" s="48">
        <v>31.62</v>
      </c>
      <c r="J1816" s="49">
        <v>3</v>
      </c>
      <c r="K1816" s="49">
        <v>0</v>
      </c>
      <c r="L1816" s="49">
        <v>3</v>
      </c>
    </row>
    <row r="1817" spans="1:12" x14ac:dyDescent="0.25">
      <c r="A1817" s="45">
        <f>C1817&amp;"."&amp;IFERROR(MID(E1817,FIND("(",E1817)+1,FIND(")",E1817)-FIND("(",E1817)-1),"")</f>
      </c>
      <c r="B1817" s="46" t="s">
        <v>1178</v>
      </c>
      <c r="C1817" s="46">
        <v>76387</v>
      </c>
      <c r="D1817" s="46" t="s">
        <v>3485</v>
      </c>
      <c r="E1817" s="46" t="s">
        <v>3489</v>
      </c>
      <c r="F1817" s="46" t="s">
        <v>26</v>
      </c>
      <c r="G1817" s="47">
        <v>2.05</v>
      </c>
      <c r="H1817" s="48">
        <v>10.54</v>
      </c>
      <c r="I1817" s="48">
        <v>10.54</v>
      </c>
      <c r="J1817" s="49">
        <v>1</v>
      </c>
      <c r="K1817" s="49">
        <v>0</v>
      </c>
      <c r="L1817" s="49">
        <v>1</v>
      </c>
    </row>
    <row r="1818" spans="1:12" x14ac:dyDescent="0.25">
      <c r="A1818" s="45">
        <f>C1818&amp;"."&amp;IFERROR(MID(E1818,FIND("(",E1818)+1,FIND(")",E1818)-FIND("(",E1818)-1),"")</f>
      </c>
      <c r="B1818" s="46" t="s">
        <v>1178</v>
      </c>
      <c r="C1818" s="46">
        <v>76416</v>
      </c>
      <c r="D1818" s="46" t="s">
        <v>3490</v>
      </c>
      <c r="E1818" s="46" t="s">
        <v>3491</v>
      </c>
      <c r="F1818" s="46" t="s">
        <v>24</v>
      </c>
      <c r="G1818" s="47">
        <v>1.79</v>
      </c>
      <c r="H1818" s="48">
        <v>6.18</v>
      </c>
      <c r="I1818" s="48">
        <v>37.08</v>
      </c>
      <c r="J1818" s="49">
        <v>6</v>
      </c>
      <c r="K1818" s="49">
        <v>0</v>
      </c>
      <c r="L1818" s="49">
        <v>6</v>
      </c>
    </row>
    <row r="1819" spans="1:12" x14ac:dyDescent="0.25">
      <c r="A1819" s="45">
        <f>C1819&amp;"."&amp;IFERROR(MID(E1819,FIND("(",E1819)+1,FIND(")",E1819)-FIND("(",E1819)-1),"")</f>
      </c>
      <c r="B1819" s="46" t="s">
        <v>1178</v>
      </c>
      <c r="C1819" s="46">
        <v>76423</v>
      </c>
      <c r="D1819" s="46" t="s">
        <v>3492</v>
      </c>
      <c r="E1819" s="46" t="s">
        <v>3493</v>
      </c>
      <c r="F1819" s="46" t="s">
        <v>24</v>
      </c>
      <c r="G1819" s="47">
        <v>2.54</v>
      </c>
      <c r="H1819" s="48">
        <v>7.95</v>
      </c>
      <c r="I1819" s="48">
        <v>7.95</v>
      </c>
      <c r="J1819" s="49">
        <v>1</v>
      </c>
      <c r="K1819" s="49">
        <v>0</v>
      </c>
      <c r="L1819" s="49">
        <v>1</v>
      </c>
    </row>
    <row r="1820" spans="1:12" x14ac:dyDescent="0.25">
      <c r="A1820" s="45">
        <f>C1820&amp;"."&amp;IFERROR(MID(E1820,FIND("(",E1820)+1,FIND(")",E1820)-FIND("(",E1820)-1),"")</f>
      </c>
      <c r="B1820" s="46" t="s">
        <v>1178</v>
      </c>
      <c r="C1820" s="46">
        <v>76424</v>
      </c>
      <c r="D1820" s="46" t="s">
        <v>3494</v>
      </c>
      <c r="E1820" s="46" t="s">
        <v>3495</v>
      </c>
      <c r="F1820" s="46" t="s">
        <v>26</v>
      </c>
      <c r="G1820" s="47">
        <v>5.15</v>
      </c>
      <c r="H1820" s="48">
        <v>16.808</v>
      </c>
      <c r="I1820" s="48">
        <v>16.808</v>
      </c>
      <c r="J1820" s="49">
        <v>1</v>
      </c>
      <c r="K1820" s="49">
        <v>0</v>
      </c>
      <c r="L1820" s="49">
        <v>1</v>
      </c>
    </row>
    <row r="1821" spans="1:12" x14ac:dyDescent="0.25">
      <c r="A1821" s="45">
        <f>C1821&amp;"."&amp;IFERROR(MID(E1821,FIND("(",E1821)+1,FIND(")",E1821)-FIND("(",E1821)-1),"")</f>
      </c>
      <c r="B1821" s="46" t="s">
        <v>1178</v>
      </c>
      <c r="C1821" s="46">
        <v>76424</v>
      </c>
      <c r="D1821" s="46" t="s">
        <v>3494</v>
      </c>
      <c r="E1821" s="46" t="s">
        <v>3496</v>
      </c>
      <c r="F1821" s="46" t="s">
        <v>26</v>
      </c>
      <c r="G1821" s="47">
        <v>5.15</v>
      </c>
      <c r="H1821" s="48">
        <v>13.67</v>
      </c>
      <c r="I1821" s="48">
        <v>27.339</v>
      </c>
      <c r="J1821" s="49">
        <v>2</v>
      </c>
      <c r="K1821" s="49">
        <v>0</v>
      </c>
      <c r="L1821" s="49">
        <v>2</v>
      </c>
    </row>
    <row r="1822" spans="1:12" x14ac:dyDescent="0.25">
      <c r="A1822" s="45">
        <f>C1822&amp;"."&amp;IFERROR(MID(E1822,FIND("(",E1822)+1,FIND(")",E1822)-FIND("(",E1822)-1),"")</f>
      </c>
      <c r="B1822" s="46" t="s">
        <v>1178</v>
      </c>
      <c r="C1822" s="46">
        <v>76424</v>
      </c>
      <c r="D1822" s="46" t="s">
        <v>3494</v>
      </c>
      <c r="E1822" s="46" t="s">
        <v>3497</v>
      </c>
      <c r="F1822" s="46" t="s">
        <v>26</v>
      </c>
      <c r="G1822" s="47">
        <v>5.15</v>
      </c>
      <c r="H1822" s="48">
        <v>14.22</v>
      </c>
      <c r="I1822" s="48">
        <v>85.322</v>
      </c>
      <c r="J1822" s="49">
        <v>6</v>
      </c>
      <c r="K1822" s="49">
        <v>1</v>
      </c>
      <c r="L1822" s="49">
        <v>5</v>
      </c>
    </row>
    <row r="1823" spans="1:12" x14ac:dyDescent="0.25">
      <c r="A1823" s="45">
        <f>C1823&amp;"."&amp;IFERROR(MID(E1823,FIND("(",E1823)+1,FIND(")",E1823)-FIND("(",E1823)-1),"")</f>
      </c>
      <c r="B1823" s="46" t="s">
        <v>1178</v>
      </c>
      <c r="C1823" s="46">
        <v>76426</v>
      </c>
      <c r="D1823" s="46" t="s">
        <v>3498</v>
      </c>
      <c r="E1823" s="46" t="s">
        <v>3499</v>
      </c>
      <c r="F1823" s="46" t="s">
        <v>26</v>
      </c>
      <c r="G1823" s="47">
        <v>0.26</v>
      </c>
      <c r="H1823" s="48">
        <v>1.069</v>
      </c>
      <c r="I1823" s="48">
        <v>3.206</v>
      </c>
      <c r="J1823" s="49">
        <v>3</v>
      </c>
      <c r="K1823" s="49">
        <v>1</v>
      </c>
      <c r="L1823" s="49">
        <v>2</v>
      </c>
    </row>
    <row r="1824" spans="1:12" x14ac:dyDescent="0.25">
      <c r="A1824" s="45">
        <f>C1824&amp;"."&amp;IFERROR(MID(E1824,FIND("(",E1824)+1,FIND(")",E1824)-FIND("(",E1824)-1),"")</f>
      </c>
      <c r="B1824" s="46" t="s">
        <v>1178</v>
      </c>
      <c r="C1824" s="46">
        <v>76426</v>
      </c>
      <c r="D1824" s="46" t="s">
        <v>3498</v>
      </c>
      <c r="E1824" s="46" t="s">
        <v>3500</v>
      </c>
      <c r="F1824" s="46" t="s">
        <v>26</v>
      </c>
      <c r="G1824" s="47">
        <v>0.26</v>
      </c>
      <c r="H1824" s="48">
        <v>0.69</v>
      </c>
      <c r="I1824" s="48">
        <v>0.69</v>
      </c>
      <c r="J1824" s="49">
        <v>1</v>
      </c>
      <c r="K1824" s="49">
        <v>1</v>
      </c>
      <c r="L1824" s="49">
        <v>0</v>
      </c>
    </row>
    <row r="1825" spans="1:12" x14ac:dyDescent="0.25">
      <c r="A1825" s="45">
        <f>C1825&amp;"."&amp;IFERROR(MID(E1825,FIND("(",E1825)+1,FIND(")",E1825)-FIND("(",E1825)-1),"")</f>
      </c>
      <c r="B1825" s="46" t="s">
        <v>1178</v>
      </c>
      <c r="C1825" s="46">
        <v>76429</v>
      </c>
      <c r="D1825" s="46" t="s">
        <v>3501</v>
      </c>
      <c r="E1825" s="46" t="s">
        <v>3502</v>
      </c>
      <c r="F1825" s="46" t="s">
        <v>24</v>
      </c>
      <c r="G1825" s="47">
        <v>3.12</v>
      </c>
      <c r="H1825" s="48">
        <v>12.618</v>
      </c>
      <c r="I1825" s="48">
        <v>12.618</v>
      </c>
      <c r="J1825" s="49">
        <v>1</v>
      </c>
      <c r="K1825" s="49">
        <v>0</v>
      </c>
      <c r="L1825" s="49">
        <v>1</v>
      </c>
    </row>
    <row r="1826" spans="1:12" x14ac:dyDescent="0.25">
      <c r="A1826" s="45">
        <f>C1826&amp;"."&amp;IFERROR(MID(E1826,FIND("(",E1826)+1,FIND(")",E1826)-FIND("(",E1826)-1),"")</f>
      </c>
      <c r="B1826" s="46" t="s">
        <v>1178</v>
      </c>
      <c r="C1826" s="46">
        <v>76432</v>
      </c>
      <c r="D1826" s="46" t="s">
        <v>3503</v>
      </c>
      <c r="E1826" s="46" t="s">
        <v>3504</v>
      </c>
      <c r="F1826" s="46" t="s">
        <v>26</v>
      </c>
      <c r="G1826" s="47">
        <v>2.97</v>
      </c>
      <c r="H1826" s="48">
        <v>7.406</v>
      </c>
      <c r="I1826" s="48">
        <v>14.812</v>
      </c>
      <c r="J1826" s="49">
        <v>2</v>
      </c>
      <c r="K1826" s="49">
        <v>0</v>
      </c>
      <c r="L1826" s="49">
        <v>2</v>
      </c>
    </row>
    <row r="1827" spans="1:12" x14ac:dyDescent="0.25">
      <c r="A1827" s="45">
        <f>C1827&amp;"."&amp;IFERROR(MID(E1827,FIND("(",E1827)+1,FIND(")",E1827)-FIND("(",E1827)-1),"")</f>
      </c>
      <c r="B1827" s="46" t="s">
        <v>1178</v>
      </c>
      <c r="C1827" s="46">
        <v>76432</v>
      </c>
      <c r="D1827" s="46" t="s">
        <v>3503</v>
      </c>
      <c r="E1827" s="46" t="s">
        <v>3505</v>
      </c>
      <c r="F1827" s="46" t="s">
        <v>26</v>
      </c>
      <c r="G1827" s="47">
        <v>2.97</v>
      </c>
      <c r="H1827" s="48">
        <v>7.324</v>
      </c>
      <c r="I1827" s="48">
        <v>21.971</v>
      </c>
      <c r="J1827" s="49">
        <v>3</v>
      </c>
      <c r="K1827" s="49">
        <v>0</v>
      </c>
      <c r="L1827" s="49">
        <v>3</v>
      </c>
    </row>
    <row r="1828" spans="1:12" x14ac:dyDescent="0.25">
      <c r="A1828" s="45">
        <f>C1828&amp;"."&amp;IFERROR(MID(E1828,FIND("(",E1828)+1,FIND(")",E1828)-FIND("(",E1828)-1),"")</f>
      </c>
      <c r="B1828" s="46" t="s">
        <v>1178</v>
      </c>
      <c r="C1828" s="46">
        <v>76432</v>
      </c>
      <c r="D1828" s="46" t="s">
        <v>3503</v>
      </c>
      <c r="E1828" s="46" t="s">
        <v>3506</v>
      </c>
      <c r="F1828" s="46" t="s">
        <v>26</v>
      </c>
      <c r="G1828" s="47">
        <v>2.97</v>
      </c>
      <c r="H1828" s="48">
        <v>7.796</v>
      </c>
      <c r="I1828" s="48">
        <v>7.796</v>
      </c>
      <c r="J1828" s="49">
        <v>1</v>
      </c>
      <c r="K1828" s="49">
        <v>1</v>
      </c>
      <c r="L1828" s="49">
        <v>0</v>
      </c>
    </row>
    <row r="1829" spans="1:12" x14ac:dyDescent="0.25">
      <c r="A1829" s="45">
        <f>C1829&amp;"."&amp;IFERROR(MID(E1829,FIND("(",E1829)+1,FIND(")",E1829)-FIND("(",E1829)-1),"")</f>
      </c>
      <c r="B1829" s="46" t="s">
        <v>1178</v>
      </c>
      <c r="C1829" s="46">
        <v>76433</v>
      </c>
      <c r="D1829" s="46" t="s">
        <v>3507</v>
      </c>
      <c r="E1829" s="46" t="s">
        <v>3508</v>
      </c>
      <c r="F1829" s="46" t="s">
        <v>24</v>
      </c>
      <c r="G1829" s="47">
        <v>0</v>
      </c>
      <c r="H1829" s="48">
        <v>4.806</v>
      </c>
      <c r="I1829" s="48">
        <v>48.063</v>
      </c>
      <c r="J1829" s="49">
        <v>10</v>
      </c>
      <c r="K1829" s="49">
        <v>0</v>
      </c>
      <c r="L1829" s="49">
        <v>10</v>
      </c>
    </row>
    <row r="1830" spans="1:12" x14ac:dyDescent="0.25">
      <c r="A1830" s="45">
        <f>C1830&amp;"."&amp;IFERROR(MID(E1830,FIND("(",E1830)+1,FIND(")",E1830)-FIND("(",E1830)-1),"")</f>
      </c>
      <c r="B1830" s="46" t="s">
        <v>1178</v>
      </c>
      <c r="C1830" s="46">
        <v>76434</v>
      </c>
      <c r="D1830" s="46" t="s">
        <v>3509</v>
      </c>
      <c r="E1830" s="46" t="s">
        <v>3510</v>
      </c>
      <c r="F1830" s="46" t="s">
        <v>24</v>
      </c>
      <c r="G1830" s="47">
        <v>0</v>
      </c>
      <c r="H1830" s="48">
        <v>37.158</v>
      </c>
      <c r="I1830" s="48">
        <v>74.316</v>
      </c>
      <c r="J1830" s="49">
        <v>2</v>
      </c>
      <c r="K1830" s="49">
        <v>0</v>
      </c>
      <c r="L1830" s="49">
        <v>2</v>
      </c>
    </row>
    <row r="1831" spans="1:12" x14ac:dyDescent="0.25">
      <c r="A1831" s="45">
        <f>C1831&amp;"."&amp;IFERROR(MID(E1831,FIND("(",E1831)+1,FIND(")",E1831)-FIND("(",E1831)-1),"")</f>
      </c>
      <c r="B1831" s="46" t="s">
        <v>1178</v>
      </c>
      <c r="C1831" s="46">
        <v>76435</v>
      </c>
      <c r="D1831" s="46" t="s">
        <v>3511</v>
      </c>
      <c r="E1831" s="46" t="s">
        <v>3512</v>
      </c>
      <c r="F1831" s="46" t="s">
        <v>26</v>
      </c>
      <c r="G1831" s="47">
        <v>2.97</v>
      </c>
      <c r="H1831" s="48">
        <v>6.361</v>
      </c>
      <c r="I1831" s="48">
        <v>12.721</v>
      </c>
      <c r="J1831" s="49">
        <v>2</v>
      </c>
      <c r="K1831" s="49">
        <v>0</v>
      </c>
      <c r="L1831" s="49">
        <v>2</v>
      </c>
    </row>
    <row r="1832" spans="1:12" x14ac:dyDescent="0.25">
      <c r="A1832" s="45">
        <f>C1832&amp;"."&amp;IFERROR(MID(E1832,FIND("(",E1832)+1,FIND(")",E1832)-FIND("(",E1832)-1),"")</f>
      </c>
      <c r="B1832" s="46" t="s">
        <v>1178</v>
      </c>
      <c r="C1832" s="46">
        <v>76435</v>
      </c>
      <c r="D1832" s="46" t="s">
        <v>3511</v>
      </c>
      <c r="E1832" s="46" t="s">
        <v>3513</v>
      </c>
      <c r="F1832" s="46" t="s">
        <v>26</v>
      </c>
      <c r="G1832" s="47">
        <v>2.97</v>
      </c>
      <c r="H1832" s="48">
        <v>8.297</v>
      </c>
      <c r="I1832" s="48">
        <v>24.891</v>
      </c>
      <c r="J1832" s="49">
        <v>3</v>
      </c>
      <c r="K1832" s="49">
        <v>1</v>
      </c>
      <c r="L1832" s="49">
        <v>2</v>
      </c>
    </row>
    <row r="1833" spans="1:12" x14ac:dyDescent="0.25">
      <c r="A1833" s="45">
        <f>C1833&amp;"."&amp;IFERROR(MID(E1833,FIND("(",E1833)+1,FIND(")",E1833)-FIND("(",E1833)-1),"")</f>
      </c>
      <c r="B1833" s="46" t="s">
        <v>1178</v>
      </c>
      <c r="C1833" s="46">
        <v>76436</v>
      </c>
      <c r="D1833" s="46" t="s">
        <v>3514</v>
      </c>
      <c r="E1833" s="46" t="s">
        <v>3515</v>
      </c>
      <c r="F1833" s="46" t="s">
        <v>26</v>
      </c>
      <c r="G1833" s="47">
        <v>5.81</v>
      </c>
      <c r="H1833" s="48">
        <v>21.587</v>
      </c>
      <c r="I1833" s="48">
        <v>86.348</v>
      </c>
      <c r="J1833" s="49">
        <v>4</v>
      </c>
      <c r="K1833" s="49">
        <v>4</v>
      </c>
      <c r="L1833" s="49">
        <v>0</v>
      </c>
    </row>
    <row r="1834" spans="1:12" x14ac:dyDescent="0.25">
      <c r="A1834" s="45">
        <f>C1834&amp;"."&amp;IFERROR(MID(E1834,FIND("(",E1834)+1,FIND(")",E1834)-FIND("(",E1834)-1),"")</f>
      </c>
      <c r="B1834" s="46" t="s">
        <v>1178</v>
      </c>
      <c r="C1834" s="46">
        <v>76436</v>
      </c>
      <c r="D1834" s="46" t="s">
        <v>3514</v>
      </c>
      <c r="E1834" s="46" t="s">
        <v>3516</v>
      </c>
      <c r="F1834" s="46" t="s">
        <v>26</v>
      </c>
      <c r="G1834" s="47">
        <v>5.81</v>
      </c>
      <c r="H1834" s="48">
        <v>18.999</v>
      </c>
      <c r="I1834" s="48">
        <v>56.996</v>
      </c>
      <c r="J1834" s="49">
        <v>3</v>
      </c>
      <c r="K1834" s="49">
        <v>0</v>
      </c>
      <c r="L1834" s="49">
        <v>3</v>
      </c>
    </row>
    <row r="1835" spans="1:12" x14ac:dyDescent="0.25">
      <c r="A1835" s="45">
        <f>C1835&amp;"."&amp;IFERROR(MID(E1835,FIND("(",E1835)+1,FIND(")",E1835)-FIND("(",E1835)-1),"")</f>
      </c>
      <c r="B1835" s="46" t="s">
        <v>1178</v>
      </c>
      <c r="C1835" s="46">
        <v>76442</v>
      </c>
      <c r="D1835" s="46" t="s">
        <v>3517</v>
      </c>
      <c r="E1835" s="46" t="s">
        <v>3518</v>
      </c>
      <c r="F1835" s="46" t="s">
        <v>26</v>
      </c>
      <c r="G1835" s="47">
        <v>8.66</v>
      </c>
      <c r="H1835" s="48">
        <v>22.012</v>
      </c>
      <c r="I1835" s="48">
        <v>22.012</v>
      </c>
      <c r="J1835" s="49">
        <v>1</v>
      </c>
      <c r="K1835" s="49">
        <v>0</v>
      </c>
      <c r="L1835" s="49">
        <v>1</v>
      </c>
    </row>
    <row r="1836" spans="1:12" x14ac:dyDescent="0.25">
      <c r="A1836" s="45">
        <f>C1836&amp;"."&amp;IFERROR(MID(E1836,FIND("(",E1836)+1,FIND(")",E1836)-FIND("(",E1836)-1),"")</f>
      </c>
      <c r="B1836" s="46" t="s">
        <v>1178</v>
      </c>
      <c r="C1836" s="46">
        <v>76442</v>
      </c>
      <c r="D1836" s="46" t="s">
        <v>3517</v>
      </c>
      <c r="E1836" s="46" t="s">
        <v>3519</v>
      </c>
      <c r="F1836" s="46" t="s">
        <v>26</v>
      </c>
      <c r="G1836" s="47">
        <v>8.66</v>
      </c>
      <c r="H1836" s="48">
        <v>16.7</v>
      </c>
      <c r="I1836" s="48">
        <v>50.099</v>
      </c>
      <c r="J1836" s="49">
        <v>3</v>
      </c>
      <c r="K1836" s="49">
        <v>3</v>
      </c>
      <c r="L1836" s="49">
        <v>0</v>
      </c>
    </row>
    <row r="1837" spans="1:12" x14ac:dyDescent="0.25">
      <c r="A1837" s="45">
        <f>C1837&amp;"."&amp;IFERROR(MID(E1837,FIND("(",E1837)+1,FIND(")",E1837)-FIND("(",E1837)-1),"")</f>
      </c>
      <c r="B1837" s="46" t="s">
        <v>1178</v>
      </c>
      <c r="C1837" s="46">
        <v>76442</v>
      </c>
      <c r="D1837" s="46" t="s">
        <v>3517</v>
      </c>
      <c r="E1837" s="46" t="s">
        <v>3520</v>
      </c>
      <c r="F1837" s="46" t="s">
        <v>26</v>
      </c>
      <c r="G1837" s="47">
        <v>8.66</v>
      </c>
      <c r="H1837" s="48">
        <v>16.576</v>
      </c>
      <c r="I1837" s="48">
        <v>33.152</v>
      </c>
      <c r="J1837" s="49">
        <v>2</v>
      </c>
      <c r="K1837" s="49">
        <v>0</v>
      </c>
      <c r="L1837" s="49">
        <v>2</v>
      </c>
    </row>
    <row r="1838" spans="1:12" x14ac:dyDescent="0.25">
      <c r="A1838" s="45">
        <f>C1838&amp;"."&amp;IFERROR(MID(E1838,FIND("(",E1838)+1,FIND(")",E1838)-FIND("(",E1838)-1),"")</f>
      </c>
      <c r="B1838" s="46" t="s">
        <v>1178</v>
      </c>
      <c r="C1838" s="46">
        <v>76445</v>
      </c>
      <c r="D1838" s="46" t="s">
        <v>3521</v>
      </c>
      <c r="E1838" s="46" t="s">
        <v>1248</v>
      </c>
      <c r="F1838" s="46" t="s">
        <v>24</v>
      </c>
      <c r="G1838" s="47">
        <v>1</v>
      </c>
      <c r="H1838" s="48">
        <v>2.68</v>
      </c>
      <c r="I1838" s="48">
        <v>8.04</v>
      </c>
      <c r="J1838" s="49">
        <v>3</v>
      </c>
      <c r="K1838" s="49">
        <v>0</v>
      </c>
      <c r="L1838" s="49">
        <v>3</v>
      </c>
    </row>
    <row r="1839" spans="1:12" x14ac:dyDescent="0.25">
      <c r="A1839" s="45">
        <f>C1839&amp;"."&amp;IFERROR(MID(E1839,FIND("(",E1839)+1,FIND(")",E1839)-FIND("(",E1839)-1),"")</f>
      </c>
      <c r="B1839" s="46" t="s">
        <v>1178</v>
      </c>
      <c r="C1839" s="46">
        <v>76446</v>
      </c>
      <c r="D1839" s="46" t="s">
        <v>3522</v>
      </c>
      <c r="E1839" s="46" t="s">
        <v>3523</v>
      </c>
      <c r="F1839" s="46" t="s">
        <v>26</v>
      </c>
      <c r="G1839" s="47">
        <v>6.94</v>
      </c>
      <c r="H1839" s="48">
        <v>19.554</v>
      </c>
      <c r="I1839" s="48">
        <v>39.108</v>
      </c>
      <c r="J1839" s="49">
        <v>2</v>
      </c>
      <c r="K1839" s="49">
        <v>1</v>
      </c>
      <c r="L1839" s="49">
        <v>1</v>
      </c>
    </row>
    <row r="1840" spans="1:12" x14ac:dyDescent="0.25">
      <c r="A1840" s="45">
        <f>C1840&amp;"."&amp;IFERROR(MID(E1840,FIND("(",E1840)+1,FIND(")",E1840)-FIND("(",E1840)-1),"")</f>
      </c>
      <c r="B1840" s="46" t="s">
        <v>1178</v>
      </c>
      <c r="C1840" s="46">
        <v>76446</v>
      </c>
      <c r="D1840" s="46" t="s">
        <v>3522</v>
      </c>
      <c r="E1840" s="46" t="s">
        <v>3524</v>
      </c>
      <c r="F1840" s="46" t="s">
        <v>26</v>
      </c>
      <c r="G1840" s="47">
        <v>6.94</v>
      </c>
      <c r="H1840" s="48">
        <v>21.503</v>
      </c>
      <c r="I1840" s="48">
        <v>64.51</v>
      </c>
      <c r="J1840" s="49">
        <v>3</v>
      </c>
      <c r="K1840" s="49">
        <v>0</v>
      </c>
      <c r="L1840" s="49">
        <v>3</v>
      </c>
    </row>
    <row r="1841" spans="1:12" x14ac:dyDescent="0.25">
      <c r="A1841" s="45">
        <f>C1841&amp;"."&amp;IFERROR(MID(E1841,FIND("(",E1841)+1,FIND(")",E1841)-FIND("(",E1841)-1),"")</f>
      </c>
      <c r="B1841" s="46" t="s">
        <v>1178</v>
      </c>
      <c r="C1841" s="46">
        <v>76447</v>
      </c>
      <c r="D1841" s="46" t="s">
        <v>3525</v>
      </c>
      <c r="E1841" s="46" t="s">
        <v>3526</v>
      </c>
      <c r="F1841" s="46" t="s">
        <v>26</v>
      </c>
      <c r="G1841" s="47">
        <v>0.65</v>
      </c>
      <c r="H1841" s="48">
        <v>7.512</v>
      </c>
      <c r="I1841" s="48">
        <v>7.512</v>
      </c>
      <c r="J1841" s="49">
        <v>1</v>
      </c>
      <c r="K1841" s="49">
        <v>0</v>
      </c>
      <c r="L1841" s="49">
        <v>1</v>
      </c>
    </row>
    <row r="1842" spans="1:12" x14ac:dyDescent="0.25">
      <c r="A1842" s="45">
        <f>C1842&amp;"."&amp;IFERROR(MID(E1842,FIND("(",E1842)+1,FIND(")",E1842)-FIND("(",E1842)-1),"")</f>
      </c>
      <c r="B1842" s="46" t="s">
        <v>1178</v>
      </c>
      <c r="C1842" s="46">
        <v>76447</v>
      </c>
      <c r="D1842" s="46" t="s">
        <v>3525</v>
      </c>
      <c r="E1842" s="46" t="s">
        <v>3527</v>
      </c>
      <c r="F1842" s="46" t="s">
        <v>26</v>
      </c>
      <c r="G1842" s="47">
        <v>0.65</v>
      </c>
      <c r="H1842" s="48">
        <v>6.754</v>
      </c>
      <c r="I1842" s="48">
        <v>6.754</v>
      </c>
      <c r="J1842" s="49">
        <v>1</v>
      </c>
      <c r="K1842" s="49">
        <v>1</v>
      </c>
      <c r="L1842" s="49">
        <v>0</v>
      </c>
    </row>
    <row r="1843" spans="1:12" x14ac:dyDescent="0.25">
      <c r="A1843" s="45">
        <f>C1843&amp;"."&amp;IFERROR(MID(E1843,FIND("(",E1843)+1,FIND(")",E1843)-FIND("(",E1843)-1),"")</f>
      </c>
      <c r="B1843" s="46" t="s">
        <v>1178</v>
      </c>
      <c r="C1843" s="46">
        <v>76449</v>
      </c>
      <c r="D1843" s="46" t="s">
        <v>3528</v>
      </c>
      <c r="E1843" s="46" t="s">
        <v>3529</v>
      </c>
      <c r="F1843" s="46" t="s">
        <v>24</v>
      </c>
      <c r="G1843" s="47">
        <v>0.34</v>
      </c>
      <c r="H1843" s="48">
        <v>1.416</v>
      </c>
      <c r="I1843" s="48">
        <v>2.832</v>
      </c>
      <c r="J1843" s="49">
        <v>2</v>
      </c>
      <c r="K1843" s="49">
        <v>0</v>
      </c>
      <c r="L1843" s="49">
        <v>2</v>
      </c>
    </row>
    <row r="1844" spans="1:12" x14ac:dyDescent="0.25">
      <c r="A1844" s="45">
        <f>C1844&amp;"."&amp;IFERROR(MID(E1844,FIND("(",E1844)+1,FIND(")",E1844)-FIND("(",E1844)-1),"")</f>
      </c>
      <c r="B1844" s="46" t="s">
        <v>1178</v>
      </c>
      <c r="C1844" s="46">
        <v>76452</v>
      </c>
      <c r="D1844" s="46" t="s">
        <v>3530</v>
      </c>
      <c r="E1844" s="46" t="s">
        <v>3531</v>
      </c>
      <c r="F1844" s="46" t="s">
        <v>26</v>
      </c>
      <c r="G1844" s="47">
        <v>8.14</v>
      </c>
      <c r="H1844" s="48">
        <v>21.485</v>
      </c>
      <c r="I1844" s="48">
        <v>64.454</v>
      </c>
      <c r="J1844" s="49">
        <v>3</v>
      </c>
      <c r="K1844" s="49">
        <v>3</v>
      </c>
      <c r="L1844" s="49">
        <v>0</v>
      </c>
    </row>
    <row r="1845" spans="1:12" x14ac:dyDescent="0.25">
      <c r="A1845" s="45">
        <f>C1845&amp;"."&amp;IFERROR(MID(E1845,FIND("(",E1845)+1,FIND(")",E1845)-FIND("(",E1845)-1),"")</f>
      </c>
      <c r="B1845" s="46" t="s">
        <v>1178</v>
      </c>
      <c r="C1845" s="46">
        <v>76452</v>
      </c>
      <c r="D1845" s="46" t="s">
        <v>3530</v>
      </c>
      <c r="E1845" s="46" t="s">
        <v>3532</v>
      </c>
      <c r="F1845" s="46" t="s">
        <v>26</v>
      </c>
      <c r="G1845" s="47">
        <v>8.14</v>
      </c>
      <c r="H1845" s="48">
        <v>23.267</v>
      </c>
      <c r="I1845" s="48">
        <v>209.401</v>
      </c>
      <c r="J1845" s="49">
        <v>9</v>
      </c>
      <c r="K1845" s="49">
        <v>9</v>
      </c>
      <c r="L1845" s="49">
        <v>0</v>
      </c>
    </row>
    <row r="1846" spans="1:12" x14ac:dyDescent="0.25">
      <c r="A1846" s="45">
        <f>C1846&amp;"."&amp;IFERROR(MID(E1846,FIND("(",E1846)+1,FIND(")",E1846)-FIND("(",E1846)-1),"")</f>
      </c>
      <c r="B1846" s="46" t="s">
        <v>1178</v>
      </c>
      <c r="C1846" s="46">
        <v>76455</v>
      </c>
      <c r="D1846" s="46" t="s">
        <v>3533</v>
      </c>
      <c r="E1846" s="46" t="s">
        <v>3534</v>
      </c>
      <c r="F1846" s="46" t="s">
        <v>26</v>
      </c>
      <c r="G1846" s="47">
        <v>10.17</v>
      </c>
      <c r="H1846" s="48">
        <v>21.188</v>
      </c>
      <c r="I1846" s="48">
        <v>84.752</v>
      </c>
      <c r="J1846" s="49">
        <v>4</v>
      </c>
      <c r="K1846" s="49">
        <v>4</v>
      </c>
      <c r="L1846" s="49">
        <v>0</v>
      </c>
    </row>
    <row r="1847" spans="1:12" x14ac:dyDescent="0.25">
      <c r="A1847" s="45">
        <f>C1847&amp;"."&amp;IFERROR(MID(E1847,FIND("(",E1847)+1,FIND(")",E1847)-FIND("(",E1847)-1),"")</f>
      </c>
      <c r="B1847" s="46" t="s">
        <v>1178</v>
      </c>
      <c r="C1847" s="46">
        <v>76455</v>
      </c>
      <c r="D1847" s="46" t="s">
        <v>3533</v>
      </c>
      <c r="E1847" s="46" t="s">
        <v>3535</v>
      </c>
      <c r="F1847" s="46" t="s">
        <v>26</v>
      </c>
      <c r="G1847" s="47">
        <v>10.17</v>
      </c>
      <c r="H1847" s="48">
        <v>27.832</v>
      </c>
      <c r="I1847" s="48">
        <v>83.497</v>
      </c>
      <c r="J1847" s="49">
        <v>3</v>
      </c>
      <c r="K1847" s="49">
        <v>0</v>
      </c>
      <c r="L1847" s="49">
        <v>3</v>
      </c>
    </row>
    <row r="1848" spans="1:12" x14ac:dyDescent="0.25">
      <c r="A1848" s="45">
        <f>C1848&amp;"."&amp;IFERROR(MID(E1848,FIND("(",E1848)+1,FIND(")",E1848)-FIND("(",E1848)-1),"")</f>
      </c>
      <c r="B1848" s="46" t="s">
        <v>1178</v>
      </c>
      <c r="C1848" s="46">
        <v>76457</v>
      </c>
      <c r="D1848" s="46" t="s">
        <v>3536</v>
      </c>
      <c r="E1848" s="46" t="s">
        <v>3537</v>
      </c>
      <c r="F1848" s="46" t="s">
        <v>26</v>
      </c>
      <c r="G1848" s="47">
        <v>1.26</v>
      </c>
      <c r="H1848" s="48">
        <v>5.463</v>
      </c>
      <c r="I1848" s="48">
        <v>10.926</v>
      </c>
      <c r="J1848" s="49">
        <v>2</v>
      </c>
      <c r="K1848" s="49">
        <v>2</v>
      </c>
      <c r="L1848" s="49">
        <v>0</v>
      </c>
    </row>
    <row r="1849" spans="1:12" x14ac:dyDescent="0.25">
      <c r="A1849" s="45">
        <f>C1849&amp;"."&amp;IFERROR(MID(E1849,FIND("(",E1849)+1,FIND(")",E1849)-FIND("(",E1849)-1),"")</f>
      </c>
      <c r="B1849" s="46" t="s">
        <v>1178</v>
      </c>
      <c r="C1849" s="46">
        <v>76457</v>
      </c>
      <c r="D1849" s="46" t="s">
        <v>3536</v>
      </c>
      <c r="E1849" s="46" t="s">
        <v>3538</v>
      </c>
      <c r="F1849" s="46" t="s">
        <v>26</v>
      </c>
      <c r="G1849" s="47">
        <v>1.26</v>
      </c>
      <c r="H1849" s="48">
        <v>14.821</v>
      </c>
      <c r="I1849" s="48">
        <v>29.641</v>
      </c>
      <c r="J1849" s="49">
        <v>2</v>
      </c>
      <c r="K1849" s="49">
        <v>0</v>
      </c>
      <c r="L1849" s="49">
        <v>2</v>
      </c>
    </row>
    <row r="1850" spans="1:12" x14ac:dyDescent="0.25">
      <c r="A1850" s="45">
        <f>C1850&amp;"."&amp;IFERROR(MID(E1850,FIND("(",E1850)+1,FIND(")",E1850)-FIND("(",E1850)-1),"")</f>
      </c>
      <c r="B1850" s="46" t="s">
        <v>1178</v>
      </c>
      <c r="C1850" s="46">
        <v>76457</v>
      </c>
      <c r="D1850" s="46" t="s">
        <v>3536</v>
      </c>
      <c r="E1850" s="46" t="s">
        <v>3539</v>
      </c>
      <c r="F1850" s="46" t="s">
        <v>26</v>
      </c>
      <c r="G1850" s="47">
        <v>1.26</v>
      </c>
      <c r="H1850" s="48">
        <v>6.168</v>
      </c>
      <c r="I1850" s="48">
        <v>6.168</v>
      </c>
      <c r="J1850" s="49">
        <v>1</v>
      </c>
      <c r="K1850" s="49">
        <v>1</v>
      </c>
      <c r="L1850" s="49">
        <v>0</v>
      </c>
    </row>
    <row r="1851" spans="1:12" x14ac:dyDescent="0.25">
      <c r="A1851" s="45">
        <f>C1851&amp;"."&amp;IFERROR(MID(E1851,FIND("(",E1851)+1,FIND(")",E1851)-FIND("(",E1851)-1),"")</f>
      </c>
      <c r="B1851" s="46" t="s">
        <v>1178</v>
      </c>
      <c r="C1851" s="46">
        <v>76465</v>
      </c>
      <c r="D1851" s="46" t="s">
        <v>3540</v>
      </c>
      <c r="E1851" s="46" t="s">
        <v>1248</v>
      </c>
      <c r="F1851" s="46" t="s">
        <v>26</v>
      </c>
      <c r="G1851" s="47">
        <v>0.36</v>
      </c>
      <c r="H1851" s="48">
        <v>0.859</v>
      </c>
      <c r="I1851" s="48">
        <v>0.859</v>
      </c>
      <c r="J1851" s="49">
        <v>1</v>
      </c>
      <c r="K1851" s="49">
        <v>0</v>
      </c>
      <c r="L1851" s="49">
        <v>1</v>
      </c>
    </row>
    <row r="1852" spans="1:12" x14ac:dyDescent="0.25">
      <c r="A1852" s="45">
        <f>C1852&amp;"."&amp;IFERROR(MID(E1852,FIND("(",E1852)+1,FIND(")",E1852)-FIND("(",E1852)-1),"")</f>
      </c>
      <c r="B1852" s="46" t="s">
        <v>1178</v>
      </c>
      <c r="C1852" s="46">
        <v>76469</v>
      </c>
      <c r="D1852" s="46" t="s">
        <v>3541</v>
      </c>
      <c r="E1852" s="46" t="s">
        <v>3542</v>
      </c>
      <c r="F1852" s="46" t="s">
        <v>26</v>
      </c>
      <c r="G1852" s="47">
        <v>1.25</v>
      </c>
      <c r="H1852" s="48">
        <v>4.367</v>
      </c>
      <c r="I1852" s="48">
        <v>30.566</v>
      </c>
      <c r="J1852" s="49">
        <v>7</v>
      </c>
      <c r="K1852" s="49">
        <v>0</v>
      </c>
      <c r="L1852" s="49">
        <v>7</v>
      </c>
    </row>
    <row r="1853" spans="1:12" x14ac:dyDescent="0.25">
      <c r="A1853" s="45">
        <f>C1853&amp;"."&amp;IFERROR(MID(E1853,FIND("(",E1853)+1,FIND(")",E1853)-FIND("(",E1853)-1),"")</f>
      </c>
      <c r="B1853" s="46" t="s">
        <v>1178</v>
      </c>
      <c r="C1853" s="46">
        <v>76469</v>
      </c>
      <c r="D1853" s="46" t="s">
        <v>3541</v>
      </c>
      <c r="E1853" s="46" t="s">
        <v>3543</v>
      </c>
      <c r="F1853" s="46" t="s">
        <v>26</v>
      </c>
      <c r="G1853" s="47">
        <v>1.25</v>
      </c>
      <c r="H1853" s="48">
        <v>4.451</v>
      </c>
      <c r="I1853" s="48">
        <v>17.805</v>
      </c>
      <c r="J1853" s="49">
        <v>4</v>
      </c>
      <c r="K1853" s="49">
        <v>0</v>
      </c>
      <c r="L1853" s="49">
        <v>4</v>
      </c>
    </row>
    <row r="1854" spans="1:12" x14ac:dyDescent="0.25">
      <c r="A1854" s="45">
        <f>C1854&amp;"."&amp;IFERROR(MID(E1854,FIND("(",E1854)+1,FIND(")",E1854)-FIND("(",E1854)-1),"")</f>
      </c>
      <c r="B1854" s="46" t="s">
        <v>1178</v>
      </c>
      <c r="C1854" s="46">
        <v>76469</v>
      </c>
      <c r="D1854" s="46" t="s">
        <v>3541</v>
      </c>
      <c r="E1854" s="46" t="s">
        <v>3544</v>
      </c>
      <c r="F1854" s="46" t="s">
        <v>26</v>
      </c>
      <c r="G1854" s="47">
        <v>1.25</v>
      </c>
      <c r="H1854" s="48">
        <v>3.42</v>
      </c>
      <c r="I1854" s="48">
        <v>10.26</v>
      </c>
      <c r="J1854" s="49">
        <v>3</v>
      </c>
      <c r="K1854" s="49">
        <v>0</v>
      </c>
      <c r="L1854" s="49">
        <v>3</v>
      </c>
    </row>
    <row r="1855" spans="1:12" x14ac:dyDescent="0.25">
      <c r="A1855" s="45">
        <f>C1855&amp;"."&amp;IFERROR(MID(E1855,FIND("(",E1855)+1,FIND(")",E1855)-FIND("(",E1855)-1),"")</f>
      </c>
      <c r="B1855" s="46" t="s">
        <v>1178</v>
      </c>
      <c r="C1855" s="46">
        <v>76470</v>
      </c>
      <c r="D1855" s="46" t="s">
        <v>3545</v>
      </c>
      <c r="E1855" s="46" t="s">
        <v>1248</v>
      </c>
      <c r="F1855" s="46" t="s">
        <v>26</v>
      </c>
      <c r="G1855" s="47">
        <v>1.25</v>
      </c>
      <c r="H1855" s="48">
        <v>1.943</v>
      </c>
      <c r="I1855" s="48">
        <v>7.771</v>
      </c>
      <c r="J1855" s="49">
        <v>4</v>
      </c>
      <c r="K1855" s="49">
        <v>0</v>
      </c>
      <c r="L1855" s="49">
        <v>4</v>
      </c>
    </row>
    <row r="1856" spans="1:12" x14ac:dyDescent="0.25">
      <c r="A1856" s="45">
        <f>C1856&amp;"."&amp;IFERROR(MID(E1856,FIND("(",E1856)+1,FIND(")",E1856)-FIND("(",E1856)-1),"")</f>
      </c>
      <c r="B1856" s="46" t="s">
        <v>1178</v>
      </c>
      <c r="C1856" s="46">
        <v>76471</v>
      </c>
      <c r="D1856" s="46" t="s">
        <v>3546</v>
      </c>
      <c r="E1856" s="46" t="s">
        <v>1248</v>
      </c>
      <c r="F1856" s="46" t="s">
        <v>24</v>
      </c>
      <c r="G1856" s="47">
        <v>0.43</v>
      </c>
      <c r="H1856" s="48">
        <v>0.98</v>
      </c>
      <c r="I1856" s="48">
        <v>2.941</v>
      </c>
      <c r="J1856" s="49">
        <v>3</v>
      </c>
      <c r="K1856" s="49">
        <v>0</v>
      </c>
      <c r="L1856" s="49">
        <v>3</v>
      </c>
    </row>
    <row r="1857" spans="1:12" x14ac:dyDescent="0.25">
      <c r="A1857" s="45">
        <f>C1857&amp;"."&amp;IFERROR(MID(E1857,FIND("(",E1857)+1,FIND(")",E1857)-FIND("(",E1857)-1),"")</f>
      </c>
      <c r="B1857" s="46" t="s">
        <v>1178</v>
      </c>
      <c r="C1857" s="46">
        <v>76473</v>
      </c>
      <c r="D1857" s="46" t="s">
        <v>3547</v>
      </c>
      <c r="E1857" s="46" t="s">
        <v>3548</v>
      </c>
      <c r="F1857" s="46" t="s">
        <v>26</v>
      </c>
      <c r="G1857" s="47">
        <v>4.32</v>
      </c>
      <c r="H1857" s="48">
        <v>13.516</v>
      </c>
      <c r="I1857" s="48">
        <v>148.675</v>
      </c>
      <c r="J1857" s="49">
        <v>11</v>
      </c>
      <c r="K1857" s="49">
        <v>5</v>
      </c>
      <c r="L1857" s="49">
        <v>6</v>
      </c>
    </row>
    <row r="1858" spans="1:12" x14ac:dyDescent="0.25">
      <c r="A1858" s="45">
        <f>C1858&amp;"."&amp;IFERROR(MID(E1858,FIND("(",E1858)+1,FIND(")",E1858)-FIND("(",E1858)-1),"")</f>
      </c>
      <c r="B1858" s="46" t="s">
        <v>1178</v>
      </c>
      <c r="C1858" s="46">
        <v>76473</v>
      </c>
      <c r="D1858" s="46" t="s">
        <v>3547</v>
      </c>
      <c r="E1858" s="46" t="s">
        <v>3549</v>
      </c>
      <c r="F1858" s="46" t="s">
        <v>26</v>
      </c>
      <c r="G1858" s="47">
        <v>4.32</v>
      </c>
      <c r="H1858" s="48">
        <v>15.13</v>
      </c>
      <c r="I1858" s="48">
        <v>15.13</v>
      </c>
      <c r="J1858" s="49">
        <v>1</v>
      </c>
      <c r="K1858" s="49">
        <v>0</v>
      </c>
      <c r="L1858" s="49">
        <v>1</v>
      </c>
    </row>
    <row r="1859" spans="1:12" x14ac:dyDescent="0.25">
      <c r="A1859" s="45">
        <f>C1859&amp;"."&amp;IFERROR(MID(E1859,FIND("(",E1859)+1,FIND(")",E1859)-FIND("(",E1859)-1),"")</f>
      </c>
      <c r="B1859" s="46" t="s">
        <v>1178</v>
      </c>
      <c r="C1859" s="46">
        <v>76473</v>
      </c>
      <c r="D1859" s="46" t="s">
        <v>3547</v>
      </c>
      <c r="E1859" s="46" t="s">
        <v>3550</v>
      </c>
      <c r="F1859" s="46" t="s">
        <v>26</v>
      </c>
      <c r="G1859" s="47">
        <v>4.32</v>
      </c>
      <c r="H1859" s="48">
        <v>13.166</v>
      </c>
      <c r="I1859" s="48">
        <v>92.162</v>
      </c>
      <c r="J1859" s="49">
        <v>7</v>
      </c>
      <c r="K1859" s="49">
        <v>6</v>
      </c>
      <c r="L1859" s="49">
        <v>1</v>
      </c>
    </row>
    <row r="1860" spans="1:12" x14ac:dyDescent="0.25">
      <c r="A1860" s="45">
        <f>C1860&amp;"."&amp;IFERROR(MID(E1860,FIND("(",E1860)+1,FIND(")",E1860)-FIND("(",E1860)-1),"")</f>
      </c>
      <c r="B1860" s="46" t="s">
        <v>1178</v>
      </c>
      <c r="C1860" s="46">
        <v>76474</v>
      </c>
      <c r="D1860" s="46" t="s">
        <v>3551</v>
      </c>
      <c r="E1860" s="46" t="s">
        <v>3552</v>
      </c>
      <c r="F1860" s="46" t="s">
        <v>26</v>
      </c>
      <c r="G1860" s="47">
        <v>1.87</v>
      </c>
      <c r="H1860" s="48">
        <v>10.092</v>
      </c>
      <c r="I1860" s="48">
        <v>10.092</v>
      </c>
      <c r="J1860" s="49">
        <v>1</v>
      </c>
      <c r="K1860" s="49">
        <v>0</v>
      </c>
      <c r="L1860" s="49">
        <v>1</v>
      </c>
    </row>
    <row r="1861" spans="1:12" x14ac:dyDescent="0.25">
      <c r="A1861" s="45">
        <f>C1861&amp;"."&amp;IFERROR(MID(E1861,FIND("(",E1861)+1,FIND(")",E1861)-FIND("(",E1861)-1),"")</f>
      </c>
      <c r="B1861" s="46" t="s">
        <v>1178</v>
      </c>
      <c r="C1861" s="46">
        <v>76474</v>
      </c>
      <c r="D1861" s="46" t="s">
        <v>3551</v>
      </c>
      <c r="E1861" s="46" t="s">
        <v>3553</v>
      </c>
      <c r="F1861" s="46" t="s">
        <v>26</v>
      </c>
      <c r="G1861" s="47">
        <v>1.87</v>
      </c>
      <c r="H1861" s="48">
        <v>12.647</v>
      </c>
      <c r="I1861" s="48">
        <v>75.88</v>
      </c>
      <c r="J1861" s="49">
        <v>6</v>
      </c>
      <c r="K1861" s="49">
        <v>4</v>
      </c>
      <c r="L1861" s="49">
        <v>2</v>
      </c>
    </row>
    <row r="1862" spans="1:12" x14ac:dyDescent="0.25">
      <c r="A1862" s="45">
        <f>C1862&amp;"."&amp;IFERROR(MID(E1862,FIND("(",E1862)+1,FIND(")",E1862)-FIND("(",E1862)-1),"")</f>
      </c>
      <c r="B1862" s="46" t="s">
        <v>1178</v>
      </c>
      <c r="C1862" s="46">
        <v>76474</v>
      </c>
      <c r="D1862" s="46" t="s">
        <v>3551</v>
      </c>
      <c r="E1862" s="46" t="s">
        <v>3554</v>
      </c>
      <c r="F1862" s="46" t="s">
        <v>26</v>
      </c>
      <c r="G1862" s="47">
        <v>1.87</v>
      </c>
      <c r="H1862" s="48">
        <v>12.484</v>
      </c>
      <c r="I1862" s="48">
        <v>74.902</v>
      </c>
      <c r="J1862" s="49">
        <v>6</v>
      </c>
      <c r="K1862" s="49">
        <v>3</v>
      </c>
      <c r="L1862" s="49">
        <v>3</v>
      </c>
    </row>
    <row r="1863" spans="1:12" x14ac:dyDescent="0.25">
      <c r="A1863" s="45">
        <f>C1863&amp;"."&amp;IFERROR(MID(E1863,FIND("(",E1863)+1,FIND(")",E1863)-FIND("(",E1863)-1),"")</f>
      </c>
      <c r="B1863" s="46" t="s">
        <v>1178</v>
      </c>
      <c r="C1863" s="46">
        <v>76477</v>
      </c>
      <c r="D1863" s="46" t="s">
        <v>3555</v>
      </c>
      <c r="E1863" s="46" t="s">
        <v>3556</v>
      </c>
      <c r="F1863" s="46" t="s">
        <v>26</v>
      </c>
      <c r="G1863" s="47">
        <v>0</v>
      </c>
      <c r="H1863" s="48">
        <v>14.328</v>
      </c>
      <c r="I1863" s="48">
        <v>71.641</v>
      </c>
      <c r="J1863" s="49">
        <v>5</v>
      </c>
      <c r="K1863" s="49">
        <v>4</v>
      </c>
      <c r="L1863" s="49">
        <v>1</v>
      </c>
    </row>
    <row r="1864" spans="1:12" x14ac:dyDescent="0.25">
      <c r="A1864" s="45">
        <f>C1864&amp;"."&amp;IFERROR(MID(E1864,FIND("(",E1864)+1,FIND(")",E1864)-FIND("(",E1864)-1),"")</f>
      </c>
      <c r="B1864" s="46" t="s">
        <v>1178</v>
      </c>
      <c r="C1864" s="46">
        <v>76481</v>
      </c>
      <c r="D1864" s="46" t="s">
        <v>3557</v>
      </c>
      <c r="E1864" s="46" t="s">
        <v>3558</v>
      </c>
      <c r="F1864" s="46" t="s">
        <v>26</v>
      </c>
      <c r="G1864" s="47">
        <v>12.12</v>
      </c>
      <c r="H1864" s="48">
        <v>37.407</v>
      </c>
      <c r="I1864" s="48">
        <v>261.849</v>
      </c>
      <c r="J1864" s="49">
        <v>7</v>
      </c>
      <c r="K1864" s="49">
        <v>7</v>
      </c>
      <c r="L1864" s="49">
        <v>0</v>
      </c>
    </row>
    <row r="1865" spans="1:12" x14ac:dyDescent="0.25">
      <c r="A1865" s="45">
        <f>C1865&amp;"."&amp;IFERROR(MID(E1865,FIND("(",E1865)+1,FIND(")",E1865)-FIND("(",E1865)-1),"")</f>
      </c>
      <c r="B1865" s="46" t="s">
        <v>1178</v>
      </c>
      <c r="C1865" s="46">
        <v>76481</v>
      </c>
      <c r="D1865" s="46" t="s">
        <v>3557</v>
      </c>
      <c r="E1865" s="46" t="s">
        <v>3559</v>
      </c>
      <c r="F1865" s="46" t="s">
        <v>26</v>
      </c>
      <c r="G1865" s="47">
        <v>12.12</v>
      </c>
      <c r="H1865" s="48">
        <v>51.676</v>
      </c>
      <c r="I1865" s="48">
        <v>155.029</v>
      </c>
      <c r="J1865" s="49">
        <v>3</v>
      </c>
      <c r="K1865" s="49">
        <v>0</v>
      </c>
      <c r="L1865" s="49">
        <v>3</v>
      </c>
    </row>
    <row r="1866" spans="1:12" x14ac:dyDescent="0.25">
      <c r="A1866" s="45">
        <f>C1866&amp;"."&amp;IFERROR(MID(E1866,FIND("(",E1866)+1,FIND(")",E1866)-FIND("(",E1866)-1),"")</f>
      </c>
      <c r="B1866" s="46" t="s">
        <v>1178</v>
      </c>
      <c r="C1866" s="46">
        <v>76481</v>
      </c>
      <c r="D1866" s="46" t="s">
        <v>3557</v>
      </c>
      <c r="E1866" s="46" t="s">
        <v>3560</v>
      </c>
      <c r="F1866" s="46" t="s">
        <v>26</v>
      </c>
      <c r="G1866" s="47">
        <v>12.12</v>
      </c>
      <c r="H1866" s="48">
        <v>37.984</v>
      </c>
      <c r="I1866" s="48">
        <v>607.743</v>
      </c>
      <c r="J1866" s="49">
        <v>16</v>
      </c>
      <c r="K1866" s="49">
        <v>8</v>
      </c>
      <c r="L1866" s="49">
        <v>8</v>
      </c>
    </row>
    <row r="1867" spans="1:12" x14ac:dyDescent="0.25">
      <c r="A1867" s="45">
        <f>C1867&amp;"."&amp;IFERROR(MID(E1867,FIND("(",E1867)+1,FIND(")",E1867)-FIND("(",E1867)-1),"")</f>
      </c>
      <c r="B1867" s="46" t="s">
        <v>1178</v>
      </c>
      <c r="C1867" s="46">
        <v>76483</v>
      </c>
      <c r="D1867" s="46" t="s">
        <v>3561</v>
      </c>
      <c r="E1867" s="46" t="s">
        <v>3562</v>
      </c>
      <c r="F1867" s="46" t="s">
        <v>26</v>
      </c>
      <c r="G1867" s="47">
        <v>19.62</v>
      </c>
      <c r="H1867" s="48">
        <v>101.144</v>
      </c>
      <c r="I1867" s="48">
        <v>101.144</v>
      </c>
      <c r="J1867" s="49">
        <v>1</v>
      </c>
      <c r="K1867" s="49">
        <v>0</v>
      </c>
      <c r="L1867" s="49">
        <v>1</v>
      </c>
    </row>
    <row r="1868" spans="1:12" x14ac:dyDescent="0.25">
      <c r="A1868" s="45">
        <f>C1868&amp;"."&amp;IFERROR(MID(E1868,FIND("(",E1868)+1,FIND(")",E1868)-FIND("(",E1868)-1),"")</f>
      </c>
      <c r="B1868" s="46" t="s">
        <v>1178</v>
      </c>
      <c r="C1868" s="46">
        <v>76483</v>
      </c>
      <c r="D1868" s="46" t="s">
        <v>3561</v>
      </c>
      <c r="E1868" s="46" t="s">
        <v>3563</v>
      </c>
      <c r="F1868" s="46" t="s">
        <v>26</v>
      </c>
      <c r="G1868" s="47">
        <v>19.62</v>
      </c>
      <c r="H1868" s="48">
        <v>120.579</v>
      </c>
      <c r="I1868" s="48">
        <v>602.895</v>
      </c>
      <c r="J1868" s="49">
        <v>5</v>
      </c>
      <c r="K1868" s="49">
        <v>0</v>
      </c>
      <c r="L1868" s="49">
        <v>5</v>
      </c>
    </row>
    <row r="1869" spans="1:12" x14ac:dyDescent="0.25">
      <c r="A1869" s="45">
        <f>C1869&amp;"."&amp;IFERROR(MID(E1869,FIND("(",E1869)+1,FIND(")",E1869)-FIND("(",E1869)-1),"")</f>
      </c>
      <c r="B1869" s="46" t="s">
        <v>1178</v>
      </c>
      <c r="C1869" s="46">
        <v>76485</v>
      </c>
      <c r="D1869" s="46" t="s">
        <v>3564</v>
      </c>
      <c r="E1869" s="46" t="s">
        <v>3565</v>
      </c>
      <c r="F1869" s="46" t="s">
        <v>26</v>
      </c>
      <c r="G1869" s="47">
        <v>1.87</v>
      </c>
      <c r="H1869" s="48">
        <v>13.36</v>
      </c>
      <c r="I1869" s="48">
        <v>26.72</v>
      </c>
      <c r="J1869" s="49">
        <v>2</v>
      </c>
      <c r="K1869" s="49">
        <v>1</v>
      </c>
      <c r="L1869" s="49">
        <v>1</v>
      </c>
    </row>
    <row r="1870" spans="1:12" x14ac:dyDescent="0.25">
      <c r="A1870" s="45">
        <f>C1870&amp;"."&amp;IFERROR(MID(E1870,FIND("(",E1870)+1,FIND(")",E1870)-FIND("(",E1870)-1),"")</f>
      </c>
      <c r="B1870" s="46" t="s">
        <v>1178</v>
      </c>
      <c r="C1870" s="46">
        <v>76485</v>
      </c>
      <c r="D1870" s="46" t="s">
        <v>3564</v>
      </c>
      <c r="E1870" s="46" t="s">
        <v>3566</v>
      </c>
      <c r="F1870" s="46" t="s">
        <v>26</v>
      </c>
      <c r="G1870" s="47">
        <v>1.87</v>
      </c>
      <c r="H1870" s="48">
        <v>11.103</v>
      </c>
      <c r="I1870" s="48">
        <v>66.616</v>
      </c>
      <c r="J1870" s="49">
        <v>6</v>
      </c>
      <c r="K1870" s="49">
        <v>0</v>
      </c>
      <c r="L1870" s="49">
        <v>6</v>
      </c>
    </row>
    <row r="1871" spans="1:12" x14ac:dyDescent="0.25">
      <c r="A1871" s="45">
        <f>C1871&amp;"."&amp;IFERROR(MID(E1871,FIND("(",E1871)+1,FIND(")",E1871)-FIND("(",E1871)-1),"")</f>
      </c>
      <c r="B1871" s="46" t="s">
        <v>1178</v>
      </c>
      <c r="C1871" s="46">
        <v>76485</v>
      </c>
      <c r="D1871" s="46" t="s">
        <v>3564</v>
      </c>
      <c r="E1871" s="46" t="s">
        <v>3567</v>
      </c>
      <c r="F1871" s="46" t="s">
        <v>26</v>
      </c>
      <c r="G1871" s="47">
        <v>1.87</v>
      </c>
      <c r="H1871" s="48">
        <v>0.358</v>
      </c>
      <c r="I1871" s="48">
        <v>0.717</v>
      </c>
      <c r="J1871" s="49">
        <v>2</v>
      </c>
      <c r="K1871" s="49">
        <v>0</v>
      </c>
      <c r="L1871" s="49">
        <v>2</v>
      </c>
    </row>
    <row r="1872" spans="1:12" x14ac:dyDescent="0.25">
      <c r="A1872" s="45">
        <f>C1872&amp;"."&amp;IFERROR(MID(E1872,FIND("(",E1872)+1,FIND(")",E1872)-FIND("(",E1872)-1),"")</f>
      </c>
      <c r="B1872" s="46" t="s">
        <v>1178</v>
      </c>
      <c r="C1872" s="46">
        <v>76488</v>
      </c>
      <c r="D1872" s="46" t="s">
        <v>3568</v>
      </c>
      <c r="E1872" s="46" t="s">
        <v>3569</v>
      </c>
      <c r="F1872" s="46" t="s">
        <v>26</v>
      </c>
      <c r="G1872" s="47">
        <v>3.37</v>
      </c>
      <c r="H1872" s="48">
        <v>0.359</v>
      </c>
      <c r="I1872" s="48">
        <v>0.717</v>
      </c>
      <c r="J1872" s="49">
        <v>2</v>
      </c>
      <c r="K1872" s="49">
        <v>0</v>
      </c>
      <c r="L1872" s="49">
        <v>2</v>
      </c>
    </row>
    <row r="1873" spans="1:12" x14ac:dyDescent="0.25">
      <c r="A1873" s="45">
        <f>C1873&amp;"."&amp;IFERROR(MID(E1873,FIND("(",E1873)+1,FIND(")",E1873)-FIND("(",E1873)-1),"")</f>
      </c>
      <c r="B1873" s="46" t="s">
        <v>1178</v>
      </c>
      <c r="C1873" s="46">
        <v>76488</v>
      </c>
      <c r="D1873" s="46" t="s">
        <v>3568</v>
      </c>
      <c r="E1873" s="46" t="s">
        <v>3570</v>
      </c>
      <c r="F1873" s="46" t="s">
        <v>26</v>
      </c>
      <c r="G1873" s="47">
        <v>3.37</v>
      </c>
      <c r="H1873" s="48">
        <v>13.161</v>
      </c>
      <c r="I1873" s="48">
        <v>52.645</v>
      </c>
      <c r="J1873" s="49">
        <v>4</v>
      </c>
      <c r="K1873" s="49">
        <v>0</v>
      </c>
      <c r="L1873" s="49">
        <v>4</v>
      </c>
    </row>
    <row r="1874" spans="1:12" x14ac:dyDescent="0.25">
      <c r="A1874" s="45">
        <f>C1874&amp;"."&amp;IFERROR(MID(E1874,FIND("(",E1874)+1,FIND(")",E1874)-FIND("(",E1874)-1),"")</f>
      </c>
      <c r="B1874" s="46" t="s">
        <v>1178</v>
      </c>
      <c r="C1874" s="46">
        <v>76488</v>
      </c>
      <c r="D1874" s="46" t="s">
        <v>3568</v>
      </c>
      <c r="E1874" s="46" t="s">
        <v>3571</v>
      </c>
      <c r="F1874" s="46" t="s">
        <v>26</v>
      </c>
      <c r="G1874" s="47">
        <v>3.37</v>
      </c>
      <c r="H1874" s="48">
        <v>15.472</v>
      </c>
      <c r="I1874" s="48">
        <v>61.89</v>
      </c>
      <c r="J1874" s="49">
        <v>4</v>
      </c>
      <c r="K1874" s="49">
        <v>1</v>
      </c>
      <c r="L1874" s="49">
        <v>3</v>
      </c>
    </row>
    <row r="1875" spans="1:12" x14ac:dyDescent="0.25">
      <c r="A1875" s="45">
        <f>C1875&amp;"."&amp;IFERROR(MID(E1875,FIND("(",E1875)+1,FIND(")",E1875)-FIND("(",E1875)-1),"")</f>
      </c>
      <c r="B1875" s="46" t="s">
        <v>1178</v>
      </c>
      <c r="C1875" s="46">
        <v>76498</v>
      </c>
      <c r="D1875" s="46" t="s">
        <v>3572</v>
      </c>
      <c r="E1875" s="46" t="s">
        <v>3573</v>
      </c>
      <c r="F1875" s="46" t="s">
        <v>26</v>
      </c>
      <c r="G1875" s="47">
        <v>4.04</v>
      </c>
      <c r="H1875" s="48">
        <v>11.423</v>
      </c>
      <c r="I1875" s="48">
        <v>11.423</v>
      </c>
      <c r="J1875" s="49">
        <v>1</v>
      </c>
      <c r="K1875" s="49">
        <v>0</v>
      </c>
      <c r="L1875" s="49">
        <v>1</v>
      </c>
    </row>
    <row r="1876" spans="1:12" x14ac:dyDescent="0.25">
      <c r="A1876" s="45">
        <f>C1876&amp;"."&amp;IFERROR(MID(E1876,FIND("(",E1876)+1,FIND(")",E1876)-FIND("(",E1876)-1),"")</f>
      </c>
      <c r="B1876" s="46" t="s">
        <v>1178</v>
      </c>
      <c r="C1876" s="46">
        <v>76498</v>
      </c>
      <c r="D1876" s="46" t="s">
        <v>3572</v>
      </c>
      <c r="E1876" s="46" t="s">
        <v>3574</v>
      </c>
      <c r="F1876" s="46" t="s">
        <v>26</v>
      </c>
      <c r="G1876" s="47">
        <v>4.04</v>
      </c>
      <c r="H1876" s="48">
        <v>8.804</v>
      </c>
      <c r="I1876" s="48">
        <v>35.215</v>
      </c>
      <c r="J1876" s="49">
        <v>4</v>
      </c>
      <c r="K1876" s="49">
        <v>3</v>
      </c>
      <c r="L1876" s="49">
        <v>1</v>
      </c>
    </row>
    <row r="1877" spans="1:12" x14ac:dyDescent="0.25">
      <c r="A1877" s="45">
        <f>C1877&amp;"."&amp;IFERROR(MID(E1877,FIND("(",E1877)+1,FIND(")",E1877)-FIND("(",E1877)-1),"")</f>
      </c>
      <c r="B1877" s="46" t="s">
        <v>1178</v>
      </c>
      <c r="C1877" s="46">
        <v>76498</v>
      </c>
      <c r="D1877" s="46" t="s">
        <v>3572</v>
      </c>
      <c r="E1877" s="46" t="s">
        <v>3575</v>
      </c>
      <c r="F1877" s="46" t="s">
        <v>26</v>
      </c>
      <c r="G1877" s="47">
        <v>4.04</v>
      </c>
      <c r="H1877" s="48">
        <v>9.142</v>
      </c>
      <c r="I1877" s="48">
        <v>118.843</v>
      </c>
      <c r="J1877" s="49">
        <v>13</v>
      </c>
      <c r="K1877" s="49">
        <v>6</v>
      </c>
      <c r="L1877" s="49">
        <v>7</v>
      </c>
    </row>
    <row r="1878" spans="1:12" x14ac:dyDescent="0.25">
      <c r="A1878" s="45">
        <f>C1878&amp;"."&amp;IFERROR(MID(E1878,FIND("(",E1878)+1,FIND(")",E1878)-FIND("(",E1878)-1),"")</f>
      </c>
      <c r="B1878" s="46" t="s">
        <v>1178</v>
      </c>
      <c r="C1878" s="46">
        <v>76502</v>
      </c>
      <c r="D1878" s="46" t="s">
        <v>3576</v>
      </c>
      <c r="E1878" s="46" t="s">
        <v>3577</v>
      </c>
      <c r="F1878" s="46" t="s">
        <v>26</v>
      </c>
      <c r="G1878" s="47">
        <v>2.42</v>
      </c>
      <c r="H1878" s="48">
        <v>7.233</v>
      </c>
      <c r="I1878" s="48">
        <v>43.397</v>
      </c>
      <c r="J1878" s="49">
        <v>6</v>
      </c>
      <c r="K1878" s="49">
        <v>3</v>
      </c>
      <c r="L1878" s="49">
        <v>3</v>
      </c>
    </row>
    <row r="1879" spans="1:12" x14ac:dyDescent="0.25">
      <c r="A1879" s="45">
        <f>C1879&amp;"."&amp;IFERROR(MID(E1879,FIND("(",E1879)+1,FIND(")",E1879)-FIND("(",E1879)-1),"")</f>
      </c>
      <c r="B1879" s="46" t="s">
        <v>1178</v>
      </c>
      <c r="C1879" s="46">
        <v>76503</v>
      </c>
      <c r="D1879" s="46" t="s">
        <v>3578</v>
      </c>
      <c r="E1879" s="46" t="s">
        <v>3579</v>
      </c>
      <c r="F1879" s="46" t="s">
        <v>26</v>
      </c>
      <c r="G1879" s="47">
        <v>6.47</v>
      </c>
      <c r="H1879" s="48">
        <v>19.321</v>
      </c>
      <c r="I1879" s="48">
        <v>463.703</v>
      </c>
      <c r="J1879" s="49">
        <v>24</v>
      </c>
      <c r="K1879" s="49">
        <v>6</v>
      </c>
      <c r="L1879" s="49">
        <v>18</v>
      </c>
    </row>
    <row r="1880" spans="1:12" x14ac:dyDescent="0.25">
      <c r="A1880" s="45">
        <f>C1880&amp;"."&amp;IFERROR(MID(E1880,FIND("(",E1880)+1,FIND(")",E1880)-FIND("(",E1880)-1),"")</f>
      </c>
      <c r="B1880" s="46" t="s">
        <v>1178</v>
      </c>
      <c r="C1880" s="46">
        <v>76503</v>
      </c>
      <c r="D1880" s="46" t="s">
        <v>3578</v>
      </c>
      <c r="E1880" s="46" t="s">
        <v>3580</v>
      </c>
      <c r="F1880" s="46" t="s">
        <v>26</v>
      </c>
      <c r="G1880" s="47">
        <v>6.47</v>
      </c>
      <c r="H1880" s="48">
        <v>19.384</v>
      </c>
      <c r="I1880" s="48">
        <v>38.768</v>
      </c>
      <c r="J1880" s="49">
        <v>2</v>
      </c>
      <c r="K1880" s="49">
        <v>0</v>
      </c>
      <c r="L1880" s="49">
        <v>2</v>
      </c>
    </row>
    <row r="1881" spans="1:12" x14ac:dyDescent="0.25">
      <c r="A1881" s="45">
        <f>C1881&amp;"."&amp;IFERROR(MID(E1881,FIND("(",E1881)+1,FIND(")",E1881)-FIND("(",E1881)-1),"")</f>
      </c>
      <c r="B1881" s="46" t="s">
        <v>1178</v>
      </c>
      <c r="C1881" s="46">
        <v>76505</v>
      </c>
      <c r="D1881" s="46" t="s">
        <v>3581</v>
      </c>
      <c r="E1881" s="46" t="s">
        <v>3582</v>
      </c>
      <c r="F1881" s="46" t="s">
        <v>26</v>
      </c>
      <c r="G1881" s="47">
        <v>0.66</v>
      </c>
      <c r="H1881" s="48">
        <v>6.002</v>
      </c>
      <c r="I1881" s="48">
        <v>168.064</v>
      </c>
      <c r="J1881" s="49">
        <v>28</v>
      </c>
      <c r="K1881" s="49">
        <v>5</v>
      </c>
      <c r="L1881" s="49">
        <v>23</v>
      </c>
    </row>
    <row r="1882" spans="1:12" x14ac:dyDescent="0.25">
      <c r="A1882" s="45">
        <f>C1882&amp;"."&amp;IFERROR(MID(E1882,FIND("(",E1882)+1,FIND(")",E1882)-FIND("(",E1882)-1),"")</f>
      </c>
      <c r="B1882" s="46" t="s">
        <v>1178</v>
      </c>
      <c r="C1882" s="46">
        <v>76505</v>
      </c>
      <c r="D1882" s="46" t="s">
        <v>3581</v>
      </c>
      <c r="E1882" s="46" t="s">
        <v>3583</v>
      </c>
      <c r="F1882" s="46" t="s">
        <v>26</v>
      </c>
      <c r="G1882" s="47">
        <v>0.66</v>
      </c>
      <c r="H1882" s="48">
        <v>2.081</v>
      </c>
      <c r="I1882" s="48">
        <v>6.244</v>
      </c>
      <c r="J1882" s="49">
        <v>3</v>
      </c>
      <c r="K1882" s="49">
        <v>0</v>
      </c>
      <c r="L1882" s="49">
        <v>3</v>
      </c>
    </row>
    <row r="1883" spans="1:12" x14ac:dyDescent="0.25">
      <c r="A1883" s="45">
        <f>C1883&amp;"."&amp;IFERROR(MID(E1883,FIND("(",E1883)+1,FIND(")",E1883)-FIND("(",E1883)-1),"")</f>
      </c>
      <c r="B1883" s="46" t="s">
        <v>1178</v>
      </c>
      <c r="C1883" s="46">
        <v>76510</v>
      </c>
      <c r="D1883" s="46" t="s">
        <v>3584</v>
      </c>
      <c r="E1883" s="46" t="s">
        <v>3585</v>
      </c>
      <c r="F1883" s="46" t="s">
        <v>26</v>
      </c>
      <c r="G1883" s="47">
        <v>0.45</v>
      </c>
      <c r="H1883" s="48">
        <v>1.278</v>
      </c>
      <c r="I1883" s="48">
        <v>19.166</v>
      </c>
      <c r="J1883" s="49">
        <v>15</v>
      </c>
      <c r="K1883" s="49">
        <v>2</v>
      </c>
      <c r="L1883" s="49">
        <v>13</v>
      </c>
    </row>
    <row r="1884" spans="1:12" x14ac:dyDescent="0.25">
      <c r="A1884" s="45">
        <f>C1884&amp;"."&amp;IFERROR(MID(E1884,FIND("(",E1884)+1,FIND(")",E1884)-FIND("(",E1884)-1),"")</f>
      </c>
      <c r="B1884" s="46" t="s">
        <v>1178</v>
      </c>
      <c r="C1884" s="46">
        <v>76510</v>
      </c>
      <c r="D1884" s="46" t="s">
        <v>3584</v>
      </c>
      <c r="E1884" s="46" t="s">
        <v>3586</v>
      </c>
      <c r="F1884" s="46" t="s">
        <v>26</v>
      </c>
      <c r="G1884" s="47">
        <v>0.45</v>
      </c>
      <c r="H1884" s="48">
        <v>1.416</v>
      </c>
      <c r="I1884" s="48">
        <v>2.832</v>
      </c>
      <c r="J1884" s="49">
        <v>2</v>
      </c>
      <c r="K1884" s="49">
        <v>0</v>
      </c>
      <c r="L1884" s="49">
        <v>2</v>
      </c>
    </row>
    <row r="1885" spans="1:12" x14ac:dyDescent="0.25">
      <c r="A1885" s="45">
        <f>C1885&amp;"."&amp;IFERROR(MID(E1885,FIND("(",E1885)+1,FIND(")",E1885)-FIND("(",E1885)-1),"")</f>
      </c>
      <c r="B1885" s="46" t="s">
        <v>1178</v>
      </c>
      <c r="C1885" s="46">
        <v>76510</v>
      </c>
      <c r="D1885" s="46" t="s">
        <v>3584</v>
      </c>
      <c r="E1885" s="46" t="s">
        <v>3587</v>
      </c>
      <c r="F1885" s="46" t="s">
        <v>26</v>
      </c>
      <c r="G1885" s="47">
        <v>0.45</v>
      </c>
      <c r="H1885" s="48">
        <v>1.571</v>
      </c>
      <c r="I1885" s="48">
        <v>23.563</v>
      </c>
      <c r="J1885" s="49">
        <v>15</v>
      </c>
      <c r="K1885" s="49">
        <v>7</v>
      </c>
      <c r="L1885" s="49">
        <v>8</v>
      </c>
    </row>
    <row r="1886" spans="1:12" x14ac:dyDescent="0.25">
      <c r="A1886" s="45">
        <f>C1886&amp;"."&amp;IFERROR(MID(E1886,FIND("(",E1886)+1,FIND(")",E1886)-FIND("(",E1886)-1),"")</f>
      </c>
      <c r="B1886" s="46" t="s">
        <v>1178</v>
      </c>
      <c r="C1886" s="46">
        <v>76512</v>
      </c>
      <c r="D1886" s="46" t="s">
        <v>3588</v>
      </c>
      <c r="E1886" s="46" t="s">
        <v>1248</v>
      </c>
      <c r="F1886" s="46" t="s">
        <v>26</v>
      </c>
      <c r="G1886" s="47">
        <v>0.52</v>
      </c>
      <c r="H1886" s="48">
        <v>7.266</v>
      </c>
      <c r="I1886" s="48">
        <v>14.531</v>
      </c>
      <c r="J1886" s="49">
        <v>2</v>
      </c>
      <c r="K1886" s="49">
        <v>2</v>
      </c>
      <c r="L1886" s="49">
        <v>0</v>
      </c>
    </row>
    <row r="1887" spans="1:12" x14ac:dyDescent="0.25">
      <c r="A1887" s="45">
        <f>C1887&amp;"."&amp;IFERROR(MID(E1887,FIND("(",E1887)+1,FIND(")",E1887)-FIND("(",E1887)-1),"")</f>
      </c>
      <c r="B1887" s="46" t="s">
        <v>1178</v>
      </c>
      <c r="C1887" s="46">
        <v>76513</v>
      </c>
      <c r="D1887" s="46" t="s">
        <v>3589</v>
      </c>
      <c r="E1887" s="46" t="s">
        <v>3590</v>
      </c>
      <c r="F1887" s="46" t="s">
        <v>25</v>
      </c>
      <c r="G1887" s="47">
        <v>0.95</v>
      </c>
      <c r="H1887" s="48">
        <v>5.787</v>
      </c>
      <c r="I1887" s="48">
        <v>28.933</v>
      </c>
      <c r="J1887" s="49">
        <v>5</v>
      </c>
      <c r="K1887" s="49">
        <v>1</v>
      </c>
      <c r="L1887" s="49">
        <v>4</v>
      </c>
    </row>
    <row r="1888" spans="1:12" x14ac:dyDescent="0.25">
      <c r="A1888" s="45">
        <f>C1888&amp;"."&amp;IFERROR(MID(E1888,FIND("(",E1888)+1,FIND(")",E1888)-FIND("(",E1888)-1),"")</f>
      </c>
      <c r="B1888" s="46" t="s">
        <v>1178</v>
      </c>
      <c r="C1888" s="46">
        <v>76514</v>
      </c>
      <c r="D1888" s="46" t="s">
        <v>3591</v>
      </c>
      <c r="E1888" s="46" t="s">
        <v>3592</v>
      </c>
      <c r="F1888" s="46" t="s">
        <v>26</v>
      </c>
      <c r="G1888" s="47">
        <v>0.77</v>
      </c>
      <c r="H1888" s="48">
        <v>12.425</v>
      </c>
      <c r="I1888" s="48">
        <v>12.425</v>
      </c>
      <c r="J1888" s="49">
        <v>1</v>
      </c>
      <c r="K1888" s="49">
        <v>1</v>
      </c>
      <c r="L1888" s="49">
        <v>0</v>
      </c>
    </row>
    <row r="1889" spans="1:12" x14ac:dyDescent="0.25">
      <c r="A1889" s="45">
        <f>C1889&amp;"."&amp;IFERROR(MID(E1889,FIND("(",E1889)+1,FIND(")",E1889)-FIND("(",E1889)-1),"")</f>
      </c>
      <c r="B1889" s="46" t="s">
        <v>1178</v>
      </c>
      <c r="C1889" s="46">
        <v>76514</v>
      </c>
      <c r="D1889" s="46" t="s">
        <v>3591</v>
      </c>
      <c r="E1889" s="46" t="s">
        <v>3593</v>
      </c>
      <c r="F1889" s="46" t="s">
        <v>26</v>
      </c>
      <c r="G1889" s="47">
        <v>0.77</v>
      </c>
      <c r="H1889" s="48">
        <v>12.354</v>
      </c>
      <c r="I1889" s="48">
        <v>123.545</v>
      </c>
      <c r="J1889" s="49">
        <v>10</v>
      </c>
      <c r="K1889" s="49">
        <v>6</v>
      </c>
      <c r="L1889" s="49">
        <v>4</v>
      </c>
    </row>
    <row r="1890" spans="1:12" x14ac:dyDescent="0.25">
      <c r="A1890" s="45">
        <f>C1890&amp;"."&amp;IFERROR(MID(E1890,FIND("(",E1890)+1,FIND(")",E1890)-FIND("(",E1890)-1),"")</f>
      </c>
      <c r="B1890" s="46" t="s">
        <v>1178</v>
      </c>
      <c r="C1890" s="46">
        <v>76514</v>
      </c>
      <c r="D1890" s="46" t="s">
        <v>3591</v>
      </c>
      <c r="E1890" s="46" t="s">
        <v>3594</v>
      </c>
      <c r="F1890" s="46" t="s">
        <v>26</v>
      </c>
      <c r="G1890" s="47">
        <v>0.77</v>
      </c>
      <c r="H1890" s="48">
        <v>12.961</v>
      </c>
      <c r="I1890" s="48">
        <v>25.922</v>
      </c>
      <c r="J1890" s="49">
        <v>2</v>
      </c>
      <c r="K1890" s="49">
        <v>1</v>
      </c>
      <c r="L1890" s="49">
        <v>1</v>
      </c>
    </row>
    <row r="1891" spans="1:12" x14ac:dyDescent="0.25">
      <c r="A1891" s="45">
        <f>C1891&amp;"."&amp;IFERROR(MID(E1891,FIND("(",E1891)+1,FIND(")",E1891)-FIND("(",E1891)-1),"")</f>
      </c>
      <c r="B1891" s="46" t="s">
        <v>1178</v>
      </c>
      <c r="C1891" s="46">
        <v>76516</v>
      </c>
      <c r="D1891" s="46" t="s">
        <v>3595</v>
      </c>
      <c r="E1891" s="46" t="s">
        <v>3596</v>
      </c>
      <c r="F1891" s="46" t="s">
        <v>26</v>
      </c>
      <c r="G1891" s="47">
        <v>7.08</v>
      </c>
      <c r="H1891" s="48">
        <v>20.209</v>
      </c>
      <c r="I1891" s="48">
        <v>262.714</v>
      </c>
      <c r="J1891" s="49">
        <v>13</v>
      </c>
      <c r="K1891" s="49">
        <v>6</v>
      </c>
      <c r="L1891" s="49">
        <v>7</v>
      </c>
    </row>
    <row r="1892" spans="1:12" x14ac:dyDescent="0.25">
      <c r="A1892" s="45">
        <f>C1892&amp;"."&amp;IFERROR(MID(E1892,FIND("(",E1892)+1,FIND(")",E1892)-FIND("(",E1892)-1),"")</f>
      </c>
      <c r="B1892" s="46" t="s">
        <v>1178</v>
      </c>
      <c r="C1892" s="46">
        <v>76516</v>
      </c>
      <c r="D1892" s="46" t="s">
        <v>3595</v>
      </c>
      <c r="E1892" s="46" t="s">
        <v>3597</v>
      </c>
      <c r="F1892" s="46" t="s">
        <v>26</v>
      </c>
      <c r="G1892" s="47">
        <v>7.08</v>
      </c>
      <c r="H1892" s="48">
        <v>21.032</v>
      </c>
      <c r="I1892" s="48">
        <v>252.378</v>
      </c>
      <c r="J1892" s="49">
        <v>12</v>
      </c>
      <c r="K1892" s="49">
        <v>0</v>
      </c>
      <c r="L1892" s="49">
        <v>12</v>
      </c>
    </row>
    <row r="1893" spans="1:12" x14ac:dyDescent="0.25">
      <c r="A1893" s="45">
        <f>C1893&amp;"."&amp;IFERROR(MID(E1893,FIND("(",E1893)+1,FIND(")",E1893)-FIND("(",E1893)-1),"")</f>
      </c>
      <c r="B1893" s="46" t="s">
        <v>1178</v>
      </c>
      <c r="C1893" s="46">
        <v>76516</v>
      </c>
      <c r="D1893" s="46" t="s">
        <v>3595</v>
      </c>
      <c r="E1893" s="46" t="s">
        <v>3598</v>
      </c>
      <c r="F1893" s="46" t="s">
        <v>26</v>
      </c>
      <c r="G1893" s="47">
        <v>7.08</v>
      </c>
      <c r="H1893" s="48">
        <v>20.081</v>
      </c>
      <c r="I1893" s="48">
        <v>963.864</v>
      </c>
      <c r="J1893" s="49">
        <v>48</v>
      </c>
      <c r="K1893" s="49">
        <v>24</v>
      </c>
      <c r="L1893" s="49">
        <v>24</v>
      </c>
    </row>
    <row r="1894" spans="1:12" x14ac:dyDescent="0.25">
      <c r="A1894" s="45">
        <f>C1894&amp;"."&amp;IFERROR(MID(E1894,FIND("(",E1894)+1,FIND(")",E1894)-FIND("(",E1894)-1),"")</f>
      </c>
      <c r="B1894" s="46" t="s">
        <v>1178</v>
      </c>
      <c r="C1894" s="46">
        <v>76517</v>
      </c>
      <c r="D1894" s="46" t="s">
        <v>3599</v>
      </c>
      <c r="E1894" s="46" t="s">
        <v>3600</v>
      </c>
      <c r="F1894" s="46" t="s">
        <v>25</v>
      </c>
      <c r="G1894" s="47">
        <v>0.95</v>
      </c>
      <c r="H1894" s="48">
        <v>5.759</v>
      </c>
      <c r="I1894" s="48">
        <v>46.069</v>
      </c>
      <c r="J1894" s="49">
        <v>8</v>
      </c>
      <c r="K1894" s="49">
        <v>0</v>
      </c>
      <c r="L1894" s="49">
        <v>8</v>
      </c>
    </row>
    <row r="1895" spans="1:12" x14ac:dyDescent="0.25">
      <c r="A1895" s="45">
        <f>C1895&amp;"."&amp;IFERROR(MID(E1895,FIND("(",E1895)+1,FIND(")",E1895)-FIND("(",E1895)-1),"")</f>
      </c>
      <c r="B1895" s="46" t="s">
        <v>1178</v>
      </c>
      <c r="C1895" s="46">
        <v>76517</v>
      </c>
      <c r="D1895" s="46" t="s">
        <v>3599</v>
      </c>
      <c r="E1895" s="46" t="s">
        <v>3601</v>
      </c>
      <c r="F1895" s="46" t="s">
        <v>25</v>
      </c>
      <c r="G1895" s="47">
        <v>0.95</v>
      </c>
      <c r="H1895" s="48">
        <v>4.06</v>
      </c>
      <c r="I1895" s="48">
        <v>4.06</v>
      </c>
      <c r="J1895" s="49">
        <v>1</v>
      </c>
      <c r="K1895" s="49">
        <v>0</v>
      </c>
      <c r="L1895" s="49">
        <v>1</v>
      </c>
    </row>
    <row r="1896" spans="1:12" x14ac:dyDescent="0.25">
      <c r="A1896" s="45">
        <f>C1896&amp;"."&amp;IFERROR(MID(E1896,FIND("(",E1896)+1,FIND(")",E1896)-FIND("(",E1896)-1),"")</f>
      </c>
      <c r="B1896" s="46" t="s">
        <v>1178</v>
      </c>
      <c r="C1896" s="46">
        <v>76518</v>
      </c>
      <c r="D1896" s="46" t="s">
        <v>3602</v>
      </c>
      <c r="E1896" s="46" t="s">
        <v>3603</v>
      </c>
      <c r="F1896" s="46" t="s">
        <v>26</v>
      </c>
      <c r="G1896" s="47">
        <v>7.08</v>
      </c>
      <c r="H1896" s="48">
        <v>21.032</v>
      </c>
      <c r="I1896" s="48">
        <v>252.378</v>
      </c>
      <c r="J1896" s="49">
        <v>12</v>
      </c>
      <c r="K1896" s="49">
        <v>0</v>
      </c>
      <c r="L1896" s="49">
        <v>12</v>
      </c>
    </row>
    <row r="1897" spans="1:12" x14ac:dyDescent="0.25">
      <c r="A1897" s="45">
        <f>C1897&amp;"."&amp;IFERROR(MID(E1897,FIND("(",E1897)+1,FIND(")",E1897)-FIND("(",E1897)-1),"")</f>
      </c>
      <c r="B1897" s="46" t="s">
        <v>1178</v>
      </c>
      <c r="C1897" s="46">
        <v>76518</v>
      </c>
      <c r="D1897" s="46" t="s">
        <v>3602</v>
      </c>
      <c r="E1897" s="46" t="s">
        <v>3604</v>
      </c>
      <c r="F1897" s="46" t="s">
        <v>26</v>
      </c>
      <c r="G1897" s="47">
        <v>7.08</v>
      </c>
      <c r="H1897" s="48">
        <v>19.989</v>
      </c>
      <c r="I1897" s="48">
        <v>899.51</v>
      </c>
      <c r="J1897" s="49">
        <v>45</v>
      </c>
      <c r="K1897" s="49">
        <v>22</v>
      </c>
      <c r="L1897" s="49">
        <v>23</v>
      </c>
    </row>
    <row r="1898" spans="1:12" x14ac:dyDescent="0.25">
      <c r="A1898" s="45">
        <f>C1898&amp;"."&amp;IFERROR(MID(E1898,FIND("(",E1898)+1,FIND(")",E1898)-FIND("(",E1898)-1),"")</f>
      </c>
      <c r="B1898" s="46" t="s">
        <v>1178</v>
      </c>
      <c r="C1898" s="46">
        <v>76518</v>
      </c>
      <c r="D1898" s="46" t="s">
        <v>3602</v>
      </c>
      <c r="E1898" s="46" t="s">
        <v>3605</v>
      </c>
      <c r="F1898" s="46" t="s">
        <v>26</v>
      </c>
      <c r="G1898" s="47">
        <v>7.08</v>
      </c>
      <c r="H1898" s="48">
        <v>20.448</v>
      </c>
      <c r="I1898" s="48">
        <v>224.925</v>
      </c>
      <c r="J1898" s="49">
        <v>11</v>
      </c>
      <c r="K1898" s="49">
        <v>5</v>
      </c>
      <c r="L1898" s="49">
        <v>6</v>
      </c>
    </row>
    <row r="1899" spans="1:12" x14ac:dyDescent="0.25">
      <c r="A1899" s="45">
        <f>C1899&amp;"."&amp;IFERROR(MID(E1899,FIND("(",E1899)+1,FIND(")",E1899)-FIND("(",E1899)-1),"")</f>
      </c>
      <c r="B1899" s="46" t="s">
        <v>1178</v>
      </c>
      <c r="C1899" s="46">
        <v>76520</v>
      </c>
      <c r="D1899" s="46" t="s">
        <v>3606</v>
      </c>
      <c r="E1899" s="46" t="s">
        <v>3607</v>
      </c>
      <c r="F1899" s="46" t="s">
        <v>26</v>
      </c>
      <c r="G1899" s="47">
        <v>1.83</v>
      </c>
      <c r="H1899" s="48">
        <v>11.239</v>
      </c>
      <c r="I1899" s="48">
        <v>134.872</v>
      </c>
      <c r="J1899" s="49">
        <v>12</v>
      </c>
      <c r="K1899" s="49">
        <v>7</v>
      </c>
      <c r="L1899" s="49">
        <v>5</v>
      </c>
    </row>
    <row r="1900" spans="1:12" x14ac:dyDescent="0.25">
      <c r="A1900" s="45">
        <f>C1900&amp;"."&amp;IFERROR(MID(E1900,FIND("(",E1900)+1,FIND(")",E1900)-FIND("(",E1900)-1),"")</f>
      </c>
      <c r="B1900" s="46" t="s">
        <v>1178</v>
      </c>
      <c r="C1900" s="46">
        <v>76520</v>
      </c>
      <c r="D1900" s="46" t="s">
        <v>3606</v>
      </c>
      <c r="E1900" s="46" t="s">
        <v>3608</v>
      </c>
      <c r="F1900" s="46" t="s">
        <v>26</v>
      </c>
      <c r="G1900" s="47">
        <v>1.83</v>
      </c>
      <c r="H1900" s="48">
        <v>11.107</v>
      </c>
      <c r="I1900" s="48">
        <v>1066.318</v>
      </c>
      <c r="J1900" s="49">
        <v>96</v>
      </c>
      <c r="K1900" s="49">
        <v>49</v>
      </c>
      <c r="L1900" s="49">
        <v>47</v>
      </c>
    </row>
    <row r="1901" spans="1:12" x14ac:dyDescent="0.25">
      <c r="A1901" s="45">
        <f>C1901&amp;"."&amp;IFERROR(MID(E1901,FIND("(",E1901)+1,FIND(")",E1901)-FIND("(",E1901)-1),"")</f>
      </c>
      <c r="B1901" s="46" t="s">
        <v>1178</v>
      </c>
      <c r="C1901" s="46">
        <v>76520</v>
      </c>
      <c r="D1901" s="46" t="s">
        <v>3606</v>
      </c>
      <c r="E1901" s="46" t="s">
        <v>3609</v>
      </c>
      <c r="F1901" s="46" t="s">
        <v>26</v>
      </c>
      <c r="G1901" s="47">
        <v>1.83</v>
      </c>
      <c r="H1901" s="48">
        <v>7.746</v>
      </c>
      <c r="I1901" s="48">
        <v>7.746</v>
      </c>
      <c r="J1901" s="49">
        <v>1</v>
      </c>
      <c r="K1901" s="49">
        <v>0</v>
      </c>
      <c r="L1901" s="49">
        <v>1</v>
      </c>
    </row>
    <row r="1902" spans="1:12" x14ac:dyDescent="0.25">
      <c r="A1902" s="45">
        <f>C1902&amp;"."&amp;IFERROR(MID(E1902,FIND("(",E1902)+1,FIND(")",E1902)-FIND("(",E1902)-1),"")</f>
      </c>
      <c r="B1902" s="46" t="s">
        <v>1178</v>
      </c>
      <c r="C1902" s="46">
        <v>76521</v>
      </c>
      <c r="D1902" s="46" t="s">
        <v>3610</v>
      </c>
      <c r="E1902" s="46" t="s">
        <v>3611</v>
      </c>
      <c r="F1902" s="46" t="s">
        <v>25</v>
      </c>
      <c r="G1902" s="47">
        <v>0</v>
      </c>
      <c r="H1902" s="48">
        <v>0.82</v>
      </c>
      <c r="I1902" s="48">
        <v>3.28</v>
      </c>
      <c r="J1902" s="49">
        <v>4</v>
      </c>
      <c r="K1902" s="49">
        <v>0</v>
      </c>
      <c r="L1902" s="49">
        <v>4</v>
      </c>
    </row>
    <row r="1903" spans="1:12" x14ac:dyDescent="0.25">
      <c r="A1903" s="45">
        <f>C1903&amp;"."&amp;IFERROR(MID(E1903,FIND("(",E1903)+1,FIND(")",E1903)-FIND("(",E1903)-1),"")</f>
      </c>
      <c r="B1903" s="46" t="s">
        <v>1178</v>
      </c>
      <c r="C1903" s="46">
        <v>76521</v>
      </c>
      <c r="D1903" s="46" t="s">
        <v>3610</v>
      </c>
      <c r="E1903" s="46" t="s">
        <v>3612</v>
      </c>
      <c r="F1903" s="46" t="s">
        <v>25</v>
      </c>
      <c r="G1903" s="47">
        <v>0</v>
      </c>
      <c r="H1903" s="48">
        <v>0.82</v>
      </c>
      <c r="I1903" s="48">
        <v>0.82</v>
      </c>
      <c r="J1903" s="49">
        <v>1</v>
      </c>
      <c r="K1903" s="49">
        <v>0</v>
      </c>
      <c r="L1903" s="49">
        <v>1</v>
      </c>
    </row>
    <row r="1904" spans="1:12" x14ac:dyDescent="0.25">
      <c r="A1904" s="45">
        <f>C1904&amp;"."&amp;IFERROR(MID(E1904,FIND("(",E1904)+1,FIND(")",E1904)-FIND("(",E1904)-1),"")</f>
      </c>
      <c r="B1904" s="46" t="s">
        <v>1178</v>
      </c>
      <c r="C1904" s="46">
        <v>76525</v>
      </c>
      <c r="D1904" s="46" t="s">
        <v>3613</v>
      </c>
      <c r="E1904" s="46" t="s">
        <v>3614</v>
      </c>
      <c r="F1904" s="46" t="s">
        <v>26</v>
      </c>
      <c r="G1904" s="47">
        <v>1.48</v>
      </c>
      <c r="H1904" s="48">
        <v>6.858</v>
      </c>
      <c r="I1904" s="48">
        <v>157.745</v>
      </c>
      <c r="J1904" s="49">
        <v>23</v>
      </c>
      <c r="K1904" s="49">
        <v>3</v>
      </c>
      <c r="L1904" s="49">
        <v>20</v>
      </c>
    </row>
    <row r="1905" spans="1:12" x14ac:dyDescent="0.25">
      <c r="A1905" s="45">
        <f>C1905&amp;"."&amp;IFERROR(MID(E1905,FIND("(",E1905)+1,FIND(")",E1905)-FIND("(",E1905)-1),"")</f>
      </c>
      <c r="B1905" s="46" t="s">
        <v>1178</v>
      </c>
      <c r="C1905" s="46">
        <v>76525</v>
      </c>
      <c r="D1905" s="46" t="s">
        <v>3613</v>
      </c>
      <c r="E1905" s="46" t="s">
        <v>3615</v>
      </c>
      <c r="F1905" s="46" t="s">
        <v>26</v>
      </c>
      <c r="G1905" s="47">
        <v>1.48</v>
      </c>
      <c r="H1905" s="48">
        <v>12.24</v>
      </c>
      <c r="I1905" s="48">
        <v>342.728</v>
      </c>
      <c r="J1905" s="49">
        <v>28</v>
      </c>
      <c r="K1905" s="49">
        <v>11</v>
      </c>
      <c r="L1905" s="49">
        <v>17</v>
      </c>
    </row>
    <row r="1906" spans="1:12" x14ac:dyDescent="0.25">
      <c r="A1906" s="45">
        <f>C1906&amp;"."&amp;IFERROR(MID(E1906,FIND("(",E1906)+1,FIND(")",E1906)-FIND("(",E1906)-1),"")</f>
      </c>
      <c r="B1906" s="46" t="s">
        <v>1178</v>
      </c>
      <c r="C1906" s="46">
        <v>76526</v>
      </c>
      <c r="D1906" s="46" t="s">
        <v>3616</v>
      </c>
      <c r="E1906" s="46" t="s">
        <v>3617</v>
      </c>
      <c r="F1906" s="46" t="s">
        <v>26</v>
      </c>
      <c r="G1906" s="47">
        <v>1.63</v>
      </c>
      <c r="H1906" s="48">
        <v>2.932</v>
      </c>
      <c r="I1906" s="48">
        <v>11.726</v>
      </c>
      <c r="J1906" s="49">
        <v>4</v>
      </c>
      <c r="K1906" s="49">
        <v>3</v>
      </c>
      <c r="L1906" s="49">
        <v>1</v>
      </c>
    </row>
    <row r="1907" spans="1:12" x14ac:dyDescent="0.25">
      <c r="A1907" s="45">
        <f>C1907&amp;"."&amp;IFERROR(MID(E1907,FIND("(",E1907)+1,FIND(")",E1907)-FIND("(",E1907)-1),"")</f>
      </c>
      <c r="B1907" s="46" t="s">
        <v>1178</v>
      </c>
      <c r="C1907" s="46">
        <v>76526</v>
      </c>
      <c r="D1907" s="46" t="s">
        <v>3616</v>
      </c>
      <c r="E1907" s="46" t="s">
        <v>3618</v>
      </c>
      <c r="F1907" s="46" t="s">
        <v>26</v>
      </c>
      <c r="G1907" s="47">
        <v>1.63</v>
      </c>
      <c r="H1907" s="48">
        <v>2.78</v>
      </c>
      <c r="I1907" s="48">
        <v>127.879</v>
      </c>
      <c r="J1907" s="49">
        <v>46</v>
      </c>
      <c r="K1907" s="49">
        <v>25</v>
      </c>
      <c r="L1907" s="49">
        <v>21</v>
      </c>
    </row>
    <row r="1908" spans="1:12" x14ac:dyDescent="0.25">
      <c r="A1908" s="45">
        <f>C1908&amp;"."&amp;IFERROR(MID(E1908,FIND("(",E1908)+1,FIND(")",E1908)-FIND("(",E1908)-1),"")</f>
      </c>
      <c r="B1908" s="46" t="s">
        <v>1178</v>
      </c>
      <c r="C1908" s="46">
        <v>76527</v>
      </c>
      <c r="D1908" s="46" t="s">
        <v>3619</v>
      </c>
      <c r="E1908" s="46" t="s">
        <v>1248</v>
      </c>
      <c r="F1908" s="46" t="s">
        <v>26</v>
      </c>
      <c r="G1908" s="47">
        <v>1.63</v>
      </c>
      <c r="H1908" s="48">
        <v>2.182</v>
      </c>
      <c r="I1908" s="48">
        <v>71.997</v>
      </c>
      <c r="J1908" s="49">
        <v>33</v>
      </c>
      <c r="K1908" s="49">
        <v>30</v>
      </c>
      <c r="L1908" s="49">
        <v>3</v>
      </c>
    </row>
    <row r="1909" spans="1:12" x14ac:dyDescent="0.25">
      <c r="A1909" s="45">
        <f>C1909&amp;"."&amp;IFERROR(MID(E1909,FIND("(",E1909)+1,FIND(")",E1909)-FIND("(",E1909)-1),"")</f>
      </c>
      <c r="B1909" s="46" t="s">
        <v>1178</v>
      </c>
      <c r="C1909" s="46">
        <v>76531</v>
      </c>
      <c r="D1909" s="46" t="s">
        <v>3620</v>
      </c>
      <c r="E1909" s="46" t="s">
        <v>3621</v>
      </c>
      <c r="F1909" s="46" t="s">
        <v>26</v>
      </c>
      <c r="G1909" s="47">
        <v>4.44</v>
      </c>
      <c r="H1909" s="48">
        <v>7.712</v>
      </c>
      <c r="I1909" s="48">
        <v>38.561</v>
      </c>
      <c r="J1909" s="49">
        <v>5</v>
      </c>
      <c r="K1909" s="49">
        <v>1</v>
      </c>
      <c r="L1909" s="49">
        <v>4</v>
      </c>
    </row>
    <row r="1910" spans="1:12" x14ac:dyDescent="0.25">
      <c r="A1910" s="45">
        <f>C1910&amp;"."&amp;IFERROR(MID(E1910,FIND("(",E1910)+1,FIND(")",E1910)-FIND("(",E1910)-1),"")</f>
      </c>
      <c r="B1910" s="46" t="s">
        <v>1178</v>
      </c>
      <c r="C1910" s="46">
        <v>76531</v>
      </c>
      <c r="D1910" s="46" t="s">
        <v>3620</v>
      </c>
      <c r="E1910" s="46" t="s">
        <v>3622</v>
      </c>
      <c r="F1910" s="46" t="s">
        <v>26</v>
      </c>
      <c r="G1910" s="47">
        <v>4.44</v>
      </c>
      <c r="H1910" s="48">
        <v>7.196</v>
      </c>
      <c r="I1910" s="48">
        <v>14.392</v>
      </c>
      <c r="J1910" s="49">
        <v>2</v>
      </c>
      <c r="K1910" s="49">
        <v>0</v>
      </c>
      <c r="L1910" s="49">
        <v>2</v>
      </c>
    </row>
    <row r="1911" spans="1:12" x14ac:dyDescent="0.25">
      <c r="A1911" s="45">
        <f>C1911&amp;"."&amp;IFERROR(MID(E1911,FIND("(",E1911)+1,FIND(")",E1911)-FIND("(",E1911)-1),"")</f>
      </c>
      <c r="B1911" s="46" t="s">
        <v>1178</v>
      </c>
      <c r="C1911" s="46">
        <v>76531</v>
      </c>
      <c r="D1911" s="46" t="s">
        <v>3620</v>
      </c>
      <c r="E1911" s="46" t="s">
        <v>3623</v>
      </c>
      <c r="F1911" s="46" t="s">
        <v>26</v>
      </c>
      <c r="G1911" s="47">
        <v>4.44</v>
      </c>
      <c r="H1911" s="48">
        <v>7.706</v>
      </c>
      <c r="I1911" s="48">
        <v>15.411</v>
      </c>
      <c r="J1911" s="49">
        <v>2</v>
      </c>
      <c r="K1911" s="49">
        <v>2</v>
      </c>
      <c r="L1911" s="49">
        <v>0</v>
      </c>
    </row>
    <row r="1912" spans="1:12" x14ac:dyDescent="0.25">
      <c r="A1912" s="45">
        <f>C1912&amp;"."&amp;IFERROR(MID(E1912,FIND("(",E1912)+1,FIND(")",E1912)-FIND("(",E1912)-1),"")</f>
      </c>
      <c r="B1912" s="46" t="s">
        <v>1178</v>
      </c>
      <c r="C1912" s="46">
        <v>76535</v>
      </c>
      <c r="D1912" s="46" t="s">
        <v>3624</v>
      </c>
      <c r="E1912" s="46" t="s">
        <v>3625</v>
      </c>
      <c r="F1912" s="46" t="s">
        <v>26</v>
      </c>
      <c r="G1912" s="47">
        <v>8.07</v>
      </c>
      <c r="H1912" s="48">
        <v>11.927</v>
      </c>
      <c r="I1912" s="48">
        <v>655.977</v>
      </c>
      <c r="J1912" s="49">
        <v>55</v>
      </c>
      <c r="K1912" s="49">
        <v>27</v>
      </c>
      <c r="L1912" s="49">
        <v>28</v>
      </c>
    </row>
    <row r="1913" spans="1:12" x14ac:dyDescent="0.25">
      <c r="A1913" s="45">
        <f>C1913&amp;"."&amp;IFERROR(MID(E1913,FIND("(",E1913)+1,FIND(")",E1913)-FIND("(",E1913)-1),"")</f>
      </c>
      <c r="B1913" s="46" t="s">
        <v>1178</v>
      </c>
      <c r="C1913" s="46">
        <v>76535</v>
      </c>
      <c r="D1913" s="46" t="s">
        <v>3624</v>
      </c>
      <c r="E1913" s="46" t="s">
        <v>3626</v>
      </c>
      <c r="F1913" s="46" t="s">
        <v>26</v>
      </c>
      <c r="G1913" s="47">
        <v>8.07</v>
      </c>
      <c r="H1913" s="48">
        <v>22.415</v>
      </c>
      <c r="I1913" s="48">
        <v>67.245</v>
      </c>
      <c r="J1913" s="49">
        <v>3</v>
      </c>
      <c r="K1913" s="49">
        <v>2</v>
      </c>
      <c r="L1913" s="49">
        <v>1</v>
      </c>
    </row>
    <row r="1914" spans="1:12" x14ac:dyDescent="0.25">
      <c r="A1914" s="45">
        <f>C1914&amp;"."&amp;IFERROR(MID(E1914,FIND("(",E1914)+1,FIND(")",E1914)-FIND("(",E1914)-1),"")</f>
      </c>
      <c r="B1914" s="46" t="s">
        <v>1178</v>
      </c>
      <c r="C1914" s="46">
        <v>76537</v>
      </c>
      <c r="D1914" s="46" t="s">
        <v>3627</v>
      </c>
      <c r="E1914" s="46" t="s">
        <v>3628</v>
      </c>
      <c r="F1914" s="46" t="s">
        <v>25</v>
      </c>
      <c r="G1914" s="47">
        <v>0.37</v>
      </c>
      <c r="H1914" s="48">
        <v>1.55</v>
      </c>
      <c r="I1914" s="48">
        <v>6.202</v>
      </c>
      <c r="J1914" s="49">
        <v>4</v>
      </c>
      <c r="K1914" s="49">
        <v>0</v>
      </c>
      <c r="L1914" s="49">
        <v>4</v>
      </c>
    </row>
    <row r="1915" spans="1:12" x14ac:dyDescent="0.25">
      <c r="A1915" s="45">
        <f>C1915&amp;"."&amp;IFERROR(MID(E1915,FIND("(",E1915)+1,FIND(")",E1915)-FIND("(",E1915)-1),"")</f>
      </c>
      <c r="B1915" s="46" t="s">
        <v>1178</v>
      </c>
      <c r="C1915" s="46">
        <v>76537</v>
      </c>
      <c r="D1915" s="46" t="s">
        <v>3627</v>
      </c>
      <c r="E1915" s="46" t="s">
        <v>3629</v>
      </c>
      <c r="F1915" s="46" t="s">
        <v>25</v>
      </c>
      <c r="G1915" s="47">
        <v>0.37</v>
      </c>
      <c r="H1915" s="48">
        <v>1.534</v>
      </c>
      <c r="I1915" s="48">
        <v>13.805</v>
      </c>
      <c r="J1915" s="49">
        <v>9</v>
      </c>
      <c r="K1915" s="49">
        <v>0</v>
      </c>
      <c r="L1915" s="49">
        <v>9</v>
      </c>
    </row>
    <row r="1916" spans="1:12" x14ac:dyDescent="0.25">
      <c r="A1916" s="45">
        <f>C1916&amp;"."&amp;IFERROR(MID(E1916,FIND("(",E1916)+1,FIND(")",E1916)-FIND("(",E1916)-1),"")</f>
      </c>
      <c r="B1916" s="46" t="s">
        <v>1178</v>
      </c>
      <c r="C1916" s="46">
        <v>76538</v>
      </c>
      <c r="D1916" s="46" t="s">
        <v>3630</v>
      </c>
      <c r="E1916" s="46" t="s">
        <v>3631</v>
      </c>
      <c r="F1916" s="46" t="s">
        <v>26</v>
      </c>
      <c r="G1916" s="47">
        <v>0.32</v>
      </c>
      <c r="H1916" s="48">
        <v>0.932</v>
      </c>
      <c r="I1916" s="48">
        <v>0.932</v>
      </c>
      <c r="J1916" s="49">
        <v>1</v>
      </c>
      <c r="K1916" s="49">
        <v>0</v>
      </c>
      <c r="L1916" s="49">
        <v>1</v>
      </c>
    </row>
    <row r="1917" spans="1:12" x14ac:dyDescent="0.25">
      <c r="A1917" s="45">
        <f>C1917&amp;"."&amp;IFERROR(MID(E1917,FIND("(",E1917)+1,FIND(")",E1917)-FIND("(",E1917)-1),"")</f>
      </c>
      <c r="B1917" s="46" t="s">
        <v>1178</v>
      </c>
      <c r="C1917" s="46">
        <v>76538</v>
      </c>
      <c r="D1917" s="46" t="s">
        <v>3630</v>
      </c>
      <c r="E1917" s="46" t="s">
        <v>3632</v>
      </c>
      <c r="F1917" s="46" t="s">
        <v>26</v>
      </c>
      <c r="G1917" s="47">
        <v>0.32</v>
      </c>
      <c r="H1917" s="48">
        <v>1.062</v>
      </c>
      <c r="I1917" s="48">
        <v>12.745</v>
      </c>
      <c r="J1917" s="49">
        <v>12</v>
      </c>
      <c r="K1917" s="49">
        <v>8</v>
      </c>
      <c r="L1917" s="49">
        <v>4</v>
      </c>
    </row>
    <row r="1918" spans="1:12" x14ac:dyDescent="0.25">
      <c r="A1918" s="45">
        <f>C1918&amp;"."&amp;IFERROR(MID(E1918,FIND("(",E1918)+1,FIND(")",E1918)-FIND("(",E1918)-1),"")</f>
      </c>
      <c r="B1918" s="46" t="s">
        <v>1178</v>
      </c>
      <c r="C1918" s="46">
        <v>76538</v>
      </c>
      <c r="D1918" s="46" t="s">
        <v>3630</v>
      </c>
      <c r="E1918" s="46" t="s">
        <v>3633</v>
      </c>
      <c r="F1918" s="46" t="s">
        <v>26</v>
      </c>
      <c r="G1918" s="47">
        <v>0.32</v>
      </c>
      <c r="H1918" s="48">
        <v>1.017</v>
      </c>
      <c r="I1918" s="48">
        <v>6.101</v>
      </c>
      <c r="J1918" s="49">
        <v>6</v>
      </c>
      <c r="K1918" s="49">
        <v>1</v>
      </c>
      <c r="L1918" s="49">
        <v>5</v>
      </c>
    </row>
    <row r="1919" spans="1:12" x14ac:dyDescent="0.25">
      <c r="A1919" s="45">
        <f>C1919&amp;"."&amp;IFERROR(MID(E1919,FIND("(",E1919)+1,FIND(")",E1919)-FIND("(",E1919)-1),"")</f>
      </c>
      <c r="B1919" s="46" t="s">
        <v>1178</v>
      </c>
      <c r="C1919" s="46">
        <v>76539</v>
      </c>
      <c r="D1919" s="46" t="s">
        <v>3634</v>
      </c>
      <c r="E1919" s="46" t="s">
        <v>3635</v>
      </c>
      <c r="F1919" s="46" t="s">
        <v>25</v>
      </c>
      <c r="G1919" s="47">
        <v>0.37</v>
      </c>
      <c r="H1919" s="48">
        <v>1.568</v>
      </c>
      <c r="I1919" s="48">
        <v>7.84</v>
      </c>
      <c r="J1919" s="49">
        <v>5</v>
      </c>
      <c r="K1919" s="49">
        <v>0</v>
      </c>
      <c r="L1919" s="49">
        <v>5</v>
      </c>
    </row>
    <row r="1920" spans="1:12" x14ac:dyDescent="0.25">
      <c r="A1920" s="45">
        <f>C1920&amp;"."&amp;IFERROR(MID(E1920,FIND("(",E1920)+1,FIND(")",E1920)-FIND("(",E1920)-1),"")</f>
      </c>
      <c r="B1920" s="46" t="s">
        <v>1178</v>
      </c>
      <c r="C1920" s="46">
        <v>76540</v>
      </c>
      <c r="D1920" s="46" t="s">
        <v>3636</v>
      </c>
      <c r="E1920" s="46" t="s">
        <v>3637</v>
      </c>
      <c r="F1920" s="46" t="s">
        <v>25</v>
      </c>
      <c r="G1920" s="47">
        <v>1.32</v>
      </c>
      <c r="H1920" s="48">
        <v>2.577</v>
      </c>
      <c r="I1920" s="48">
        <v>15.463</v>
      </c>
      <c r="J1920" s="49">
        <v>6</v>
      </c>
      <c r="K1920" s="49">
        <v>1</v>
      </c>
      <c r="L1920" s="49">
        <v>5</v>
      </c>
    </row>
    <row r="1921" spans="1:12" x14ac:dyDescent="0.25">
      <c r="A1921" s="45">
        <f>C1921&amp;"."&amp;IFERROR(MID(E1921,FIND("(",E1921)+1,FIND(")",E1921)-FIND("(",E1921)-1),"")</f>
      </c>
      <c r="B1921" s="46" t="s">
        <v>1178</v>
      </c>
      <c r="C1921" s="46">
        <v>76542</v>
      </c>
      <c r="D1921" s="46" t="s">
        <v>3638</v>
      </c>
      <c r="E1921" s="46" t="s">
        <v>3639</v>
      </c>
      <c r="F1921" s="46" t="s">
        <v>25</v>
      </c>
      <c r="G1921" s="47">
        <v>1.32</v>
      </c>
      <c r="H1921" s="48">
        <v>4.75</v>
      </c>
      <c r="I1921" s="48">
        <v>14.25</v>
      </c>
      <c r="J1921" s="49">
        <v>3</v>
      </c>
      <c r="K1921" s="49">
        <v>0</v>
      </c>
      <c r="L1921" s="49">
        <v>3</v>
      </c>
    </row>
    <row r="1922" spans="1:12" x14ac:dyDescent="0.25">
      <c r="A1922" s="45">
        <f>C1922&amp;"."&amp;IFERROR(MID(E1922,FIND("(",E1922)+1,FIND(")",E1922)-FIND("(",E1922)-1),"")</f>
      </c>
      <c r="B1922" s="46" t="s">
        <v>1178</v>
      </c>
      <c r="C1922" s="46">
        <v>76544</v>
      </c>
      <c r="D1922" s="46" t="s">
        <v>3640</v>
      </c>
      <c r="E1922" s="46" t="s">
        <v>3641</v>
      </c>
      <c r="F1922" s="46" t="s">
        <v>26</v>
      </c>
      <c r="G1922" s="47">
        <v>2.76</v>
      </c>
      <c r="H1922" s="48">
        <v>9.076</v>
      </c>
      <c r="I1922" s="48">
        <v>9.076</v>
      </c>
      <c r="J1922" s="49">
        <v>1</v>
      </c>
      <c r="K1922" s="49">
        <v>0</v>
      </c>
      <c r="L1922" s="49">
        <v>1</v>
      </c>
    </row>
    <row r="1923" spans="1:12" x14ac:dyDescent="0.25">
      <c r="A1923" s="45">
        <f>C1923&amp;"."&amp;IFERROR(MID(E1923,FIND("(",E1923)+1,FIND(")",E1923)-FIND("(",E1923)-1),"")</f>
      </c>
      <c r="B1923" s="46" t="s">
        <v>1178</v>
      </c>
      <c r="C1923" s="46">
        <v>76544</v>
      </c>
      <c r="D1923" s="46" t="s">
        <v>3640</v>
      </c>
      <c r="E1923" s="46" t="s">
        <v>3642</v>
      </c>
      <c r="F1923" s="46" t="s">
        <v>26</v>
      </c>
      <c r="G1923" s="47">
        <v>2.76</v>
      </c>
      <c r="H1923" s="48">
        <v>9.652</v>
      </c>
      <c r="I1923" s="48">
        <v>318.53</v>
      </c>
      <c r="J1923" s="49">
        <v>33</v>
      </c>
      <c r="K1923" s="49">
        <v>29</v>
      </c>
      <c r="L1923" s="49">
        <v>4</v>
      </c>
    </row>
    <row r="1924" spans="1:12" x14ac:dyDescent="0.25">
      <c r="A1924" s="45">
        <f>C1924&amp;"."&amp;IFERROR(MID(E1924,FIND("(",E1924)+1,FIND(")",E1924)-FIND("(",E1924)-1),"")</f>
      </c>
      <c r="B1924" s="46" t="s">
        <v>1178</v>
      </c>
      <c r="C1924" s="46">
        <v>76545</v>
      </c>
      <c r="D1924" s="46" t="s">
        <v>3643</v>
      </c>
      <c r="E1924" s="46" t="s">
        <v>3644</v>
      </c>
      <c r="F1924" s="46" t="s">
        <v>25</v>
      </c>
      <c r="G1924" s="47">
        <v>0.3</v>
      </c>
      <c r="H1924" s="48">
        <v>1.488</v>
      </c>
      <c r="I1924" s="48">
        <v>4.465</v>
      </c>
      <c r="J1924" s="49">
        <v>3</v>
      </c>
      <c r="K1924" s="49">
        <v>0</v>
      </c>
      <c r="L1924" s="49">
        <v>3</v>
      </c>
    </row>
    <row r="1925" spans="1:12" x14ac:dyDescent="0.25">
      <c r="A1925" s="45">
        <f>C1925&amp;"."&amp;IFERROR(MID(E1925,FIND("(",E1925)+1,FIND(")",E1925)-FIND("(",E1925)-1),"")</f>
      </c>
      <c r="B1925" s="46" t="s">
        <v>1178</v>
      </c>
      <c r="C1925" s="46">
        <v>76552</v>
      </c>
      <c r="D1925" s="46" t="s">
        <v>3645</v>
      </c>
      <c r="E1925" s="46" t="s">
        <v>3646</v>
      </c>
      <c r="F1925" s="46" t="s">
        <v>26</v>
      </c>
      <c r="G1925" s="47">
        <v>1.48</v>
      </c>
      <c r="H1925" s="48">
        <v>4.892</v>
      </c>
      <c r="I1925" s="48">
        <v>58.699</v>
      </c>
      <c r="J1925" s="49">
        <v>12</v>
      </c>
      <c r="K1925" s="49">
        <v>7</v>
      </c>
      <c r="L1925" s="49">
        <v>5</v>
      </c>
    </row>
    <row r="1926" spans="1:12" x14ac:dyDescent="0.25">
      <c r="A1926" s="45">
        <f>C1926&amp;"."&amp;IFERROR(MID(E1926,FIND("(",E1926)+1,FIND(")",E1926)-FIND("(",E1926)-1),"")</f>
      </c>
      <c r="B1926" s="46" t="s">
        <v>1178</v>
      </c>
      <c r="C1926" s="46">
        <v>76552</v>
      </c>
      <c r="D1926" s="46" t="s">
        <v>3645</v>
      </c>
      <c r="E1926" s="46" t="s">
        <v>3647</v>
      </c>
      <c r="F1926" s="46" t="s">
        <v>26</v>
      </c>
      <c r="G1926" s="47">
        <v>1.48</v>
      </c>
      <c r="H1926" s="48">
        <v>237.323</v>
      </c>
      <c r="I1926" s="48">
        <v>4034.484</v>
      </c>
      <c r="J1926" s="49">
        <v>17</v>
      </c>
      <c r="K1926" s="49">
        <v>0</v>
      </c>
      <c r="L1926" s="49">
        <v>17</v>
      </c>
    </row>
    <row r="1927" spans="1:12" x14ac:dyDescent="0.25">
      <c r="A1927" s="45">
        <f>C1927&amp;"."&amp;IFERROR(MID(E1927,FIND("(",E1927)+1,FIND(")",E1927)-FIND("(",E1927)-1),"")</f>
      </c>
      <c r="B1927" s="46" t="s">
        <v>1178</v>
      </c>
      <c r="C1927" s="46">
        <v>76558</v>
      </c>
      <c r="D1927" s="46" t="s">
        <v>3648</v>
      </c>
      <c r="E1927" s="46" t="s">
        <v>3649</v>
      </c>
      <c r="F1927" s="46" t="s">
        <v>25</v>
      </c>
      <c r="G1927" s="47">
        <v>1.76</v>
      </c>
      <c r="H1927" s="48">
        <v>12.769</v>
      </c>
      <c r="I1927" s="48">
        <v>12.769</v>
      </c>
      <c r="J1927" s="49">
        <v>1</v>
      </c>
      <c r="K1927" s="49">
        <v>0</v>
      </c>
      <c r="L1927" s="49">
        <v>1</v>
      </c>
    </row>
    <row r="1928" spans="1:12" x14ac:dyDescent="0.25">
      <c r="A1928" s="45">
        <f>C1928&amp;"."&amp;IFERROR(MID(E1928,FIND("(",E1928)+1,FIND(")",E1928)-FIND("(",E1928)-1),"")</f>
      </c>
      <c r="B1928" s="46" t="s">
        <v>1178</v>
      </c>
      <c r="C1928" s="46">
        <v>76562</v>
      </c>
      <c r="D1928" s="46" t="s">
        <v>3650</v>
      </c>
      <c r="E1928" s="46" t="s">
        <v>3651</v>
      </c>
      <c r="F1928" s="46" t="s">
        <v>25</v>
      </c>
      <c r="G1928" s="47">
        <v>1.76</v>
      </c>
      <c r="H1928" s="48">
        <v>5.098</v>
      </c>
      <c r="I1928" s="48">
        <v>25.488</v>
      </c>
      <c r="J1928" s="49">
        <v>5</v>
      </c>
      <c r="K1928" s="49">
        <v>1</v>
      </c>
      <c r="L1928" s="49">
        <v>4</v>
      </c>
    </row>
    <row r="1929" spans="1:12" x14ac:dyDescent="0.25">
      <c r="A1929" s="45">
        <f>C1929&amp;"."&amp;IFERROR(MID(E1929,FIND("(",E1929)+1,FIND(")",E1929)-FIND("(",E1929)-1),"")</f>
      </c>
      <c r="B1929" s="46" t="s">
        <v>1178</v>
      </c>
      <c r="C1929" s="46">
        <v>76562</v>
      </c>
      <c r="D1929" s="46" t="s">
        <v>3650</v>
      </c>
      <c r="E1929" s="46" t="s">
        <v>3652</v>
      </c>
      <c r="F1929" s="46" t="s">
        <v>25</v>
      </c>
      <c r="G1929" s="47">
        <v>1.76</v>
      </c>
      <c r="H1929" s="48">
        <v>5.775</v>
      </c>
      <c r="I1929" s="48">
        <v>40.423</v>
      </c>
      <c r="J1929" s="49">
        <v>7</v>
      </c>
      <c r="K1929" s="49">
        <v>1</v>
      </c>
      <c r="L1929" s="49">
        <v>6</v>
      </c>
    </row>
    <row r="1930" spans="1:12" x14ac:dyDescent="0.25">
      <c r="A1930" s="45">
        <f>C1930&amp;"."&amp;IFERROR(MID(E1930,FIND("(",E1930)+1,FIND(")",E1930)-FIND("(",E1930)-1),"")</f>
      </c>
      <c r="B1930" s="46" t="s">
        <v>1178</v>
      </c>
      <c r="C1930" s="46">
        <v>76562</v>
      </c>
      <c r="D1930" s="46" t="s">
        <v>3650</v>
      </c>
      <c r="E1930" s="46" t="s">
        <v>3653</v>
      </c>
      <c r="F1930" s="46" t="s">
        <v>25</v>
      </c>
      <c r="G1930" s="47">
        <v>1.76</v>
      </c>
      <c r="H1930" s="48">
        <v>6.37</v>
      </c>
      <c r="I1930" s="48">
        <v>6.37</v>
      </c>
      <c r="J1930" s="49">
        <v>1</v>
      </c>
      <c r="K1930" s="49">
        <v>0</v>
      </c>
      <c r="L1930" s="49">
        <v>1</v>
      </c>
    </row>
    <row r="1931" spans="1:12" x14ac:dyDescent="0.25">
      <c r="A1931" s="45">
        <f>C1931&amp;"."&amp;IFERROR(MID(E1931,FIND("(",E1931)+1,FIND(")",E1931)-FIND("(",E1931)-1),"")</f>
      </c>
      <c r="B1931" s="46" t="s">
        <v>1178</v>
      </c>
      <c r="C1931" s="46">
        <v>76591</v>
      </c>
      <c r="D1931" s="46" t="s">
        <v>3654</v>
      </c>
      <c r="E1931" s="46" t="s">
        <v>3655</v>
      </c>
      <c r="F1931" s="46" t="s">
        <v>25</v>
      </c>
      <c r="G1931" s="47">
        <v>0.45</v>
      </c>
      <c r="H1931" s="48">
        <v>1.546</v>
      </c>
      <c r="I1931" s="48">
        <v>6.182</v>
      </c>
      <c r="J1931" s="49">
        <v>4</v>
      </c>
      <c r="K1931" s="49">
        <v>0</v>
      </c>
      <c r="L1931" s="49">
        <v>4</v>
      </c>
    </row>
    <row r="1932" spans="1:12" x14ac:dyDescent="0.25">
      <c r="A1932" s="45">
        <f>C1932&amp;"."&amp;IFERROR(MID(E1932,FIND("(",E1932)+1,FIND(")",E1932)-FIND("(",E1932)-1),"")</f>
      </c>
      <c r="B1932" s="46" t="s">
        <v>1178</v>
      </c>
      <c r="C1932" s="46">
        <v>76604</v>
      </c>
      <c r="D1932" s="46" t="s">
        <v>3656</v>
      </c>
      <c r="E1932" s="46" t="s">
        <v>1248</v>
      </c>
      <c r="F1932" s="46" t="s">
        <v>1495</v>
      </c>
      <c r="G1932" s="47">
        <v>0</v>
      </c>
      <c r="H1932" s="48">
        <v>0.991</v>
      </c>
      <c r="I1932" s="48">
        <v>9.914</v>
      </c>
      <c r="J1932" s="49">
        <v>10</v>
      </c>
      <c r="K1932" s="49">
        <v>0</v>
      </c>
      <c r="L1932" s="49">
        <v>10</v>
      </c>
    </row>
    <row r="1933" spans="1:12" x14ac:dyDescent="0.25">
      <c r="A1933" s="45">
        <f>C1933&amp;"."&amp;IFERROR(MID(E1933,FIND("(",E1933)+1,FIND(")",E1933)-FIND("(",E1933)-1),"")</f>
      </c>
      <c r="B1933" s="46" t="s">
        <v>1178</v>
      </c>
      <c r="C1933" s="46">
        <v>76605</v>
      </c>
      <c r="D1933" s="46" t="s">
        <v>3657</v>
      </c>
      <c r="E1933" s="46" t="s">
        <v>1248</v>
      </c>
      <c r="F1933" s="46" t="s">
        <v>25</v>
      </c>
      <c r="G1933" s="47">
        <v>0.31</v>
      </c>
      <c r="H1933" s="48">
        <v>1.827</v>
      </c>
      <c r="I1933" s="48">
        <v>12.788</v>
      </c>
      <c r="J1933" s="49">
        <v>7</v>
      </c>
      <c r="K1933" s="49">
        <v>0</v>
      </c>
      <c r="L1933" s="49">
        <v>7</v>
      </c>
    </row>
    <row r="1934" spans="1:12" x14ac:dyDescent="0.25">
      <c r="A1934" s="45">
        <f>C1934&amp;"."&amp;IFERROR(MID(E1934,FIND("(",E1934)+1,FIND(")",E1934)-FIND("(",E1934)-1),"")</f>
      </c>
      <c r="B1934" s="46" t="s">
        <v>1178</v>
      </c>
      <c r="C1934" s="46">
        <v>76606</v>
      </c>
      <c r="D1934" s="46" t="s">
        <v>3658</v>
      </c>
      <c r="E1934" s="46" t="s">
        <v>3659</v>
      </c>
      <c r="F1934" s="46" t="s">
        <v>25</v>
      </c>
      <c r="G1934" s="47">
        <v>0.3</v>
      </c>
      <c r="H1934" s="48">
        <v>1.15</v>
      </c>
      <c r="I1934" s="48">
        <v>1.15</v>
      </c>
      <c r="J1934" s="49">
        <v>1</v>
      </c>
      <c r="K1934" s="49">
        <v>0</v>
      </c>
      <c r="L1934" s="49">
        <v>1</v>
      </c>
    </row>
    <row r="1935" spans="1:12" x14ac:dyDescent="0.25">
      <c r="A1935" s="45">
        <f>C1935&amp;"."&amp;IFERROR(MID(E1935,FIND("(",E1935)+1,FIND(")",E1935)-FIND("(",E1935)-1),"")</f>
      </c>
      <c r="B1935" s="46" t="s">
        <v>1178</v>
      </c>
      <c r="C1935" s="46">
        <v>76606</v>
      </c>
      <c r="D1935" s="46" t="s">
        <v>3658</v>
      </c>
      <c r="E1935" s="46" t="s">
        <v>3660</v>
      </c>
      <c r="F1935" s="46" t="s">
        <v>25</v>
      </c>
      <c r="G1935" s="47">
        <v>0.3</v>
      </c>
      <c r="H1935" s="48">
        <v>1.96</v>
      </c>
      <c r="I1935" s="48">
        <v>3.92</v>
      </c>
      <c r="J1935" s="49">
        <v>2</v>
      </c>
      <c r="K1935" s="49">
        <v>0</v>
      </c>
      <c r="L1935" s="49">
        <v>2</v>
      </c>
    </row>
    <row r="1936" spans="1:12" x14ac:dyDescent="0.25">
      <c r="A1936" s="45">
        <f>C1936&amp;"."&amp;IFERROR(MID(E1936,FIND("(",E1936)+1,FIND(")",E1936)-FIND("(",E1936)-1),"")</f>
      </c>
      <c r="B1936" s="46" t="s">
        <v>1178</v>
      </c>
      <c r="C1936" s="46">
        <v>76607</v>
      </c>
      <c r="D1936" s="46" t="s">
        <v>3661</v>
      </c>
      <c r="E1936" s="46" t="s">
        <v>1248</v>
      </c>
      <c r="F1936" s="46" t="s">
        <v>26</v>
      </c>
      <c r="G1936" s="47">
        <v>1.23</v>
      </c>
      <c r="H1936" s="48">
        <v>2.226</v>
      </c>
      <c r="I1936" s="48">
        <v>6.678</v>
      </c>
      <c r="J1936" s="49">
        <v>3</v>
      </c>
      <c r="K1936" s="49">
        <v>0</v>
      </c>
      <c r="L1936" s="49">
        <v>3</v>
      </c>
    </row>
    <row r="1937" spans="1:12" x14ac:dyDescent="0.25">
      <c r="A1937" s="45">
        <f>C1937&amp;"."&amp;IFERROR(MID(E1937,FIND("(",E1937)+1,FIND(")",E1937)-FIND("(",E1937)-1),"")</f>
      </c>
      <c r="B1937" s="46" t="s">
        <v>1178</v>
      </c>
      <c r="C1937" s="46">
        <v>76612</v>
      </c>
      <c r="D1937" s="46" t="s">
        <v>3662</v>
      </c>
      <c r="E1937" s="46" t="s">
        <v>3663</v>
      </c>
      <c r="F1937" s="46" t="s">
        <v>26</v>
      </c>
      <c r="G1937" s="47">
        <v>6.05</v>
      </c>
      <c r="H1937" s="48">
        <v>18.09</v>
      </c>
      <c r="I1937" s="48">
        <v>18.09</v>
      </c>
      <c r="J1937" s="49">
        <v>1</v>
      </c>
      <c r="K1937" s="49">
        <v>0</v>
      </c>
      <c r="L1937" s="49">
        <v>1</v>
      </c>
    </row>
    <row r="1938" spans="1:12" x14ac:dyDescent="0.25">
      <c r="A1938" s="45">
        <f>C1938&amp;"."&amp;IFERROR(MID(E1938,FIND("(",E1938)+1,FIND(")",E1938)-FIND("(",E1938)-1),"")</f>
      </c>
      <c r="B1938" s="46" t="s">
        <v>1178</v>
      </c>
      <c r="C1938" s="46">
        <v>76619</v>
      </c>
      <c r="D1938" s="46" t="s">
        <v>3664</v>
      </c>
      <c r="E1938" s="46" t="s">
        <v>3665</v>
      </c>
      <c r="F1938" s="46" t="s">
        <v>26</v>
      </c>
      <c r="G1938" s="47">
        <v>1.96</v>
      </c>
      <c r="H1938" s="48">
        <v>7.303</v>
      </c>
      <c r="I1938" s="48">
        <v>36.516</v>
      </c>
      <c r="J1938" s="49">
        <v>5</v>
      </c>
      <c r="K1938" s="49">
        <v>1</v>
      </c>
      <c r="L1938" s="49">
        <v>4</v>
      </c>
    </row>
    <row r="1939" spans="1:12" x14ac:dyDescent="0.25">
      <c r="A1939" s="45">
        <f>C1939&amp;"."&amp;IFERROR(MID(E1939,FIND("(",E1939)+1,FIND(")",E1939)-FIND("(",E1939)-1),"")</f>
      </c>
      <c r="B1939" s="46" t="s">
        <v>1178</v>
      </c>
      <c r="C1939" s="46">
        <v>76658</v>
      </c>
      <c r="D1939" s="46" t="s">
        <v>3666</v>
      </c>
      <c r="E1939" s="46" t="s">
        <v>1248</v>
      </c>
      <c r="F1939" s="46" t="s">
        <v>24</v>
      </c>
      <c r="G1939" s="47">
        <v>0</v>
      </c>
      <c r="H1939" s="48">
        <v>15.947</v>
      </c>
      <c r="I1939" s="48">
        <v>15.947</v>
      </c>
      <c r="J1939" s="49">
        <v>1</v>
      </c>
      <c r="K1939" s="49">
        <v>1</v>
      </c>
      <c r="L1939" s="49">
        <v>0</v>
      </c>
    </row>
    <row r="1940" spans="1:12" x14ac:dyDescent="0.25">
      <c r="A1940" s="45">
        <f>C1940&amp;"."&amp;IFERROR(MID(E1940,FIND("(",E1940)+1,FIND(")",E1940)-FIND("(",E1940)-1),"")</f>
      </c>
      <c r="B1940" s="46" t="s">
        <v>1178</v>
      </c>
      <c r="C1940" s="46">
        <v>76661</v>
      </c>
      <c r="D1940" s="46" t="s">
        <v>3667</v>
      </c>
      <c r="E1940" s="46" t="s">
        <v>1248</v>
      </c>
      <c r="F1940" s="46" t="s">
        <v>1495</v>
      </c>
      <c r="G1940" s="47">
        <v>0</v>
      </c>
      <c r="H1940" s="48">
        <v>1.206</v>
      </c>
      <c r="I1940" s="48">
        <v>9.649</v>
      </c>
      <c r="J1940" s="49">
        <v>8</v>
      </c>
      <c r="K1940" s="49">
        <v>0</v>
      </c>
      <c r="L1940" s="49">
        <v>8</v>
      </c>
    </row>
    <row r="1941" spans="1:12" x14ac:dyDescent="0.25">
      <c r="A1941" s="45">
        <f>C1941&amp;"."&amp;IFERROR(MID(E1941,FIND("(",E1941)+1,FIND(")",E1941)-FIND("(",E1941)-1),"")</f>
      </c>
      <c r="B1941" s="46" t="s">
        <v>1178</v>
      </c>
      <c r="C1941" s="46">
        <v>76673</v>
      </c>
      <c r="D1941" s="46" t="s">
        <v>3668</v>
      </c>
      <c r="E1941" s="46" t="s">
        <v>1248</v>
      </c>
      <c r="F1941" s="46" t="s">
        <v>1495</v>
      </c>
      <c r="G1941" s="47">
        <v>0.06</v>
      </c>
      <c r="H1941" s="48">
        <v>5.568</v>
      </c>
      <c r="I1941" s="48">
        <v>33.408</v>
      </c>
      <c r="J1941" s="49">
        <v>6</v>
      </c>
      <c r="K1941" s="49">
        <v>0</v>
      </c>
      <c r="L1941" s="49">
        <v>6</v>
      </c>
    </row>
    <row r="1942" spans="1:12" x14ac:dyDescent="0.25">
      <c r="A1942" s="45">
        <f>C1942&amp;"."&amp;IFERROR(MID(E1942,FIND("(",E1942)+1,FIND(")",E1942)-FIND("(",E1942)-1),"")</f>
      </c>
      <c r="B1942" s="46" t="s">
        <v>1178</v>
      </c>
      <c r="C1942" s="46">
        <v>76694</v>
      </c>
      <c r="D1942" s="46" t="s">
        <v>3669</v>
      </c>
      <c r="E1942" s="46" t="s">
        <v>1248</v>
      </c>
      <c r="F1942" s="46" t="s">
        <v>1926</v>
      </c>
      <c r="G1942" s="47">
        <v>0</v>
      </c>
      <c r="H1942" s="48">
        <v>0.847</v>
      </c>
      <c r="I1942" s="48">
        <v>1.694</v>
      </c>
      <c r="J1942" s="49">
        <v>2</v>
      </c>
      <c r="K1942" s="49">
        <v>0</v>
      </c>
      <c r="L1942" s="49">
        <v>2</v>
      </c>
    </row>
    <row r="1943" spans="1:12" x14ac:dyDescent="0.25">
      <c r="A1943" s="45">
        <f>C1943&amp;"."&amp;IFERROR(MID(E1943,FIND("(",E1943)+1,FIND(")",E1943)-FIND("(",E1943)-1),"")</f>
      </c>
      <c r="B1943" s="46" t="s">
        <v>1178</v>
      </c>
      <c r="C1943" s="46">
        <v>76700</v>
      </c>
      <c r="D1943" s="46" t="s">
        <v>3670</v>
      </c>
      <c r="E1943" s="46" t="s">
        <v>1248</v>
      </c>
      <c r="F1943" s="46" t="s">
        <v>1495</v>
      </c>
      <c r="G1943" s="47">
        <v>0</v>
      </c>
      <c r="H1943" s="48">
        <v>1.059</v>
      </c>
      <c r="I1943" s="48">
        <v>9.529</v>
      </c>
      <c r="J1943" s="49">
        <v>9</v>
      </c>
      <c r="K1943" s="49">
        <v>0</v>
      </c>
      <c r="L1943" s="49">
        <v>9</v>
      </c>
    </row>
    <row r="1944" spans="1:12" x14ac:dyDescent="0.25">
      <c r="A1944" s="45">
        <f>C1944&amp;"."&amp;IFERROR(MID(E1944,FIND("(",E1944)+1,FIND(")",E1944)-FIND("(",E1944)-1),"")</f>
      </c>
      <c r="B1944" s="46" t="s">
        <v>1178</v>
      </c>
      <c r="C1944" s="46">
        <v>76701</v>
      </c>
      <c r="D1944" s="46" t="s">
        <v>3671</v>
      </c>
      <c r="E1944" s="46" t="s">
        <v>3672</v>
      </c>
      <c r="F1944" s="46" t="s">
        <v>26</v>
      </c>
      <c r="G1944" s="47">
        <v>2</v>
      </c>
      <c r="H1944" s="48">
        <v>4.95</v>
      </c>
      <c r="I1944" s="48">
        <v>9.9</v>
      </c>
      <c r="J1944" s="49">
        <v>2</v>
      </c>
      <c r="K1944" s="49">
        <v>0</v>
      </c>
      <c r="L1944" s="49">
        <v>2</v>
      </c>
    </row>
    <row r="1945" spans="1:12" x14ac:dyDescent="0.25">
      <c r="A1945" s="45">
        <f>C1945&amp;"."&amp;IFERROR(MID(E1945,FIND("(",E1945)+1,FIND(")",E1945)-FIND("(",E1945)-1),"")</f>
      </c>
      <c r="B1945" s="46" t="s">
        <v>1178</v>
      </c>
      <c r="C1945" s="46">
        <v>76702</v>
      </c>
      <c r="D1945" s="46" t="s">
        <v>3673</v>
      </c>
      <c r="E1945" s="46" t="s">
        <v>1248</v>
      </c>
      <c r="F1945" s="46" t="s">
        <v>1495</v>
      </c>
      <c r="G1945" s="47">
        <v>0</v>
      </c>
      <c r="H1945" s="48">
        <v>0.933</v>
      </c>
      <c r="I1945" s="48">
        <v>10.263</v>
      </c>
      <c r="J1945" s="49">
        <v>11</v>
      </c>
      <c r="K1945" s="49">
        <v>0</v>
      </c>
      <c r="L1945" s="49">
        <v>11</v>
      </c>
    </row>
    <row r="1946" spans="1:12" x14ac:dyDescent="0.25">
      <c r="A1946" s="45">
        <f>C1946&amp;"."&amp;IFERROR(MID(E1946,FIND("(",E1946)+1,FIND(")",E1946)-FIND("(",E1946)-1),"")</f>
      </c>
      <c r="B1946" s="46" t="s">
        <v>1178</v>
      </c>
      <c r="C1946" s="46">
        <v>76703</v>
      </c>
      <c r="D1946" s="46" t="s">
        <v>3674</v>
      </c>
      <c r="E1946" s="46" t="s">
        <v>3675</v>
      </c>
      <c r="F1946" s="46" t="s">
        <v>26</v>
      </c>
      <c r="G1946" s="47">
        <v>9.49</v>
      </c>
      <c r="H1946" s="48">
        <v>27.84</v>
      </c>
      <c r="I1946" s="48">
        <v>306.24</v>
      </c>
      <c r="J1946" s="49">
        <v>11</v>
      </c>
      <c r="K1946" s="49">
        <v>0</v>
      </c>
      <c r="L1946" s="49">
        <v>11</v>
      </c>
    </row>
    <row r="1947" spans="1:12" x14ac:dyDescent="0.25">
      <c r="A1947" s="45">
        <f>C1947&amp;"."&amp;IFERROR(MID(E1947,FIND("(",E1947)+1,FIND(")",E1947)-FIND("(",E1947)-1),"")</f>
      </c>
      <c r="B1947" s="46" t="s">
        <v>1178</v>
      </c>
      <c r="C1947" s="46">
        <v>76703</v>
      </c>
      <c r="D1947" s="46" t="s">
        <v>3674</v>
      </c>
      <c r="E1947" s="46" t="s">
        <v>3676</v>
      </c>
      <c r="F1947" s="46" t="s">
        <v>26</v>
      </c>
      <c r="G1947" s="47">
        <v>9.49</v>
      </c>
      <c r="H1947" s="48">
        <v>27.84</v>
      </c>
      <c r="I1947" s="48">
        <v>250.56</v>
      </c>
      <c r="J1947" s="49">
        <v>9</v>
      </c>
      <c r="K1947" s="49">
        <v>0</v>
      </c>
      <c r="L1947" s="49">
        <v>9</v>
      </c>
    </row>
    <row r="1948" spans="1:12" x14ac:dyDescent="0.25">
      <c r="A1948" s="45">
        <f>C1948&amp;"."&amp;IFERROR(MID(E1948,FIND("(",E1948)+1,FIND(")",E1948)-FIND("(",E1948)-1),"")</f>
      </c>
      <c r="B1948" s="46" t="s">
        <v>1178</v>
      </c>
      <c r="C1948" s="46">
        <v>76703</v>
      </c>
      <c r="D1948" s="46" t="s">
        <v>3674</v>
      </c>
      <c r="E1948" s="46" t="s">
        <v>3677</v>
      </c>
      <c r="F1948" s="46" t="s">
        <v>26</v>
      </c>
      <c r="G1948" s="47">
        <v>9.49</v>
      </c>
      <c r="H1948" s="48">
        <v>27.84</v>
      </c>
      <c r="I1948" s="48">
        <v>27.84</v>
      </c>
      <c r="J1948" s="49">
        <v>1</v>
      </c>
      <c r="K1948" s="49">
        <v>0</v>
      </c>
      <c r="L1948" s="49">
        <v>1</v>
      </c>
    </row>
    <row r="1949" spans="1:12" x14ac:dyDescent="0.25">
      <c r="A1949" s="45">
        <f>C1949&amp;"."&amp;IFERROR(MID(E1949,FIND("(",E1949)+1,FIND(")",E1949)-FIND("(",E1949)-1),"")</f>
      </c>
      <c r="B1949" s="46" t="s">
        <v>1178</v>
      </c>
      <c r="C1949" s="46">
        <v>76705</v>
      </c>
      <c r="D1949" s="46" t="s">
        <v>3678</v>
      </c>
      <c r="E1949" s="46" t="s">
        <v>1248</v>
      </c>
      <c r="F1949" s="46" t="s">
        <v>1495</v>
      </c>
      <c r="G1949" s="47">
        <v>0</v>
      </c>
      <c r="H1949" s="48">
        <v>1.3</v>
      </c>
      <c r="I1949" s="48">
        <v>18.2</v>
      </c>
      <c r="J1949" s="49">
        <v>14</v>
      </c>
      <c r="K1949" s="49">
        <v>0</v>
      </c>
      <c r="L1949" s="49">
        <v>14</v>
      </c>
    </row>
    <row r="1950" spans="1:12" x14ac:dyDescent="0.25">
      <c r="A1950" s="45">
        <f>C1950&amp;"."&amp;IFERROR(MID(E1950,FIND("(",E1950)+1,FIND(")",E1950)-FIND("(",E1950)-1),"")</f>
      </c>
      <c r="B1950" s="46" t="s">
        <v>1178</v>
      </c>
      <c r="C1950" s="46">
        <v>76707</v>
      </c>
      <c r="D1950" s="46" t="s">
        <v>3679</v>
      </c>
      <c r="E1950" s="46" t="s">
        <v>3680</v>
      </c>
      <c r="F1950" s="46" t="s">
        <v>26</v>
      </c>
      <c r="G1950" s="47">
        <v>11.9</v>
      </c>
      <c r="H1950" s="48">
        <v>34.694</v>
      </c>
      <c r="I1950" s="48">
        <v>69.387</v>
      </c>
      <c r="J1950" s="49">
        <v>2</v>
      </c>
      <c r="K1950" s="49">
        <v>0</v>
      </c>
      <c r="L1950" s="49">
        <v>2</v>
      </c>
    </row>
    <row r="1951" spans="1:12" x14ac:dyDescent="0.25">
      <c r="A1951" s="45">
        <f>C1951&amp;"."&amp;IFERROR(MID(E1951,FIND("(",E1951)+1,FIND(")",E1951)-FIND("(",E1951)-1),"")</f>
      </c>
      <c r="B1951" s="46" t="s">
        <v>1178</v>
      </c>
      <c r="C1951" s="46">
        <v>76707</v>
      </c>
      <c r="D1951" s="46" t="s">
        <v>3679</v>
      </c>
      <c r="E1951" s="46" t="s">
        <v>3681</v>
      </c>
      <c r="F1951" s="46" t="s">
        <v>26</v>
      </c>
      <c r="G1951" s="47">
        <v>11.9</v>
      </c>
      <c r="H1951" s="48">
        <v>33.88</v>
      </c>
      <c r="I1951" s="48">
        <v>33.88</v>
      </c>
      <c r="J1951" s="49">
        <v>1</v>
      </c>
      <c r="K1951" s="49">
        <v>0</v>
      </c>
      <c r="L1951" s="49">
        <v>1</v>
      </c>
    </row>
    <row r="1952" spans="1:12" x14ac:dyDescent="0.25">
      <c r="A1952" s="45">
        <f>C1952&amp;"."&amp;IFERROR(MID(E1952,FIND("(",E1952)+1,FIND(")",E1952)-FIND("(",E1952)-1),"")</f>
      </c>
      <c r="B1952" s="46" t="s">
        <v>1178</v>
      </c>
      <c r="C1952" s="46">
        <v>76708</v>
      </c>
      <c r="D1952" s="46" t="s">
        <v>3682</v>
      </c>
      <c r="E1952" s="46" t="s">
        <v>3683</v>
      </c>
      <c r="F1952" s="46" t="s">
        <v>26</v>
      </c>
      <c r="G1952" s="47">
        <v>11.9</v>
      </c>
      <c r="H1952" s="48">
        <v>34.694</v>
      </c>
      <c r="I1952" s="48">
        <v>208.161</v>
      </c>
      <c r="J1952" s="49">
        <v>6</v>
      </c>
      <c r="K1952" s="49">
        <v>0</v>
      </c>
      <c r="L1952" s="49">
        <v>6</v>
      </c>
    </row>
    <row r="1953" spans="1:12" x14ac:dyDescent="0.25">
      <c r="A1953" s="45">
        <f>C1953&amp;"."&amp;IFERROR(MID(E1953,FIND("(",E1953)+1,FIND(")",E1953)-FIND("(",E1953)-1),"")</f>
      </c>
      <c r="B1953" s="46" t="s">
        <v>1178</v>
      </c>
      <c r="C1953" s="46">
        <v>76708</v>
      </c>
      <c r="D1953" s="46" t="s">
        <v>3682</v>
      </c>
      <c r="E1953" s="46" t="s">
        <v>3684</v>
      </c>
      <c r="F1953" s="46" t="s">
        <v>26</v>
      </c>
      <c r="G1953" s="47">
        <v>11.9</v>
      </c>
      <c r="H1953" s="48">
        <v>33.88</v>
      </c>
      <c r="I1953" s="48">
        <v>67.76</v>
      </c>
      <c r="J1953" s="49">
        <v>2</v>
      </c>
      <c r="K1953" s="49">
        <v>0</v>
      </c>
      <c r="L1953" s="49">
        <v>2</v>
      </c>
    </row>
    <row r="1954" spans="1:12" x14ac:dyDescent="0.25">
      <c r="A1954" s="45">
        <f>C1954&amp;"."&amp;IFERROR(MID(E1954,FIND("(",E1954)+1,FIND(")",E1954)-FIND("(",E1954)-1),"")</f>
      </c>
      <c r="B1954" s="46" t="s">
        <v>1178</v>
      </c>
      <c r="C1954" s="46">
        <v>76708</v>
      </c>
      <c r="D1954" s="46" t="s">
        <v>3682</v>
      </c>
      <c r="E1954" s="46" t="s">
        <v>3685</v>
      </c>
      <c r="F1954" s="46" t="s">
        <v>26</v>
      </c>
      <c r="G1954" s="47">
        <v>11.9</v>
      </c>
      <c r="H1954" s="48">
        <v>7.121</v>
      </c>
      <c r="I1954" s="48">
        <v>21.362</v>
      </c>
      <c r="J1954" s="49">
        <v>3</v>
      </c>
      <c r="K1954" s="49">
        <v>0</v>
      </c>
      <c r="L1954" s="49">
        <v>3</v>
      </c>
    </row>
    <row r="1955" spans="1:12" x14ac:dyDescent="0.25">
      <c r="A1955" s="45">
        <f>C1955&amp;"."&amp;IFERROR(MID(E1955,FIND("(",E1955)+1,FIND(")",E1955)-FIND("(",E1955)-1),"")</f>
      </c>
      <c r="B1955" s="46" t="s">
        <v>1178</v>
      </c>
      <c r="C1955" s="46">
        <v>76713</v>
      </c>
      <c r="D1955" s="46" t="s">
        <v>3686</v>
      </c>
      <c r="E1955" s="46" t="s">
        <v>3687</v>
      </c>
      <c r="F1955" s="46" t="s">
        <v>26</v>
      </c>
      <c r="G1955" s="47">
        <v>0</v>
      </c>
      <c r="H1955" s="48">
        <v>7.696</v>
      </c>
      <c r="I1955" s="48">
        <v>7.696</v>
      </c>
      <c r="J1955" s="49">
        <v>1</v>
      </c>
      <c r="K1955" s="49">
        <v>0</v>
      </c>
      <c r="L1955" s="49">
        <v>1</v>
      </c>
    </row>
    <row r="1956" spans="1:12" x14ac:dyDescent="0.25">
      <c r="A1956" s="45">
        <f>C1956&amp;"."&amp;IFERROR(MID(E1956,FIND("(",E1956)+1,FIND(")",E1956)-FIND("(",E1956)-1),"")</f>
      </c>
      <c r="B1956" s="46" t="s">
        <v>1178</v>
      </c>
      <c r="C1956" s="46">
        <v>76716</v>
      </c>
      <c r="D1956" s="46" t="s">
        <v>3688</v>
      </c>
      <c r="E1956" s="46" t="s">
        <v>1248</v>
      </c>
      <c r="F1956" s="46" t="s">
        <v>1495</v>
      </c>
      <c r="G1956" s="47">
        <v>0.03</v>
      </c>
      <c r="H1956" s="48">
        <v>1.851</v>
      </c>
      <c r="I1956" s="48">
        <v>57.371</v>
      </c>
      <c r="J1956" s="49">
        <v>31</v>
      </c>
      <c r="K1956" s="49">
        <v>20</v>
      </c>
      <c r="L1956" s="49">
        <v>11</v>
      </c>
    </row>
    <row r="1957" spans="1:12" x14ac:dyDescent="0.25">
      <c r="A1957" s="45">
        <f>C1957&amp;"."&amp;IFERROR(MID(E1957,FIND("(",E1957)+1,FIND(")",E1957)-FIND("(",E1957)-1),"")</f>
      </c>
      <c r="B1957" s="46" t="s">
        <v>1178</v>
      </c>
      <c r="C1957" s="46">
        <v>76717</v>
      </c>
      <c r="D1957" s="46" t="s">
        <v>3689</v>
      </c>
      <c r="E1957" s="46" t="s">
        <v>1248</v>
      </c>
      <c r="F1957" s="46" t="s">
        <v>1495</v>
      </c>
      <c r="G1957" s="47">
        <v>0</v>
      </c>
      <c r="H1957" s="48">
        <v>0.344</v>
      </c>
      <c r="I1957" s="48">
        <v>4.815</v>
      </c>
      <c r="J1957" s="49">
        <v>14</v>
      </c>
      <c r="K1957" s="49">
        <v>5</v>
      </c>
      <c r="L1957" s="49">
        <v>9</v>
      </c>
    </row>
    <row r="1958" spans="1:12" x14ac:dyDescent="0.25">
      <c r="A1958" s="45">
        <f>C1958&amp;"."&amp;IFERROR(MID(E1958,FIND("(",E1958)+1,FIND(")",E1958)-FIND("(",E1958)-1),"")</f>
      </c>
      <c r="B1958" s="46" t="s">
        <v>1178</v>
      </c>
      <c r="C1958" s="46">
        <v>76722</v>
      </c>
      <c r="D1958" s="46" t="s">
        <v>3690</v>
      </c>
      <c r="E1958" s="46" t="s">
        <v>1248</v>
      </c>
      <c r="F1958" s="46" t="s">
        <v>1495</v>
      </c>
      <c r="G1958" s="47">
        <v>0</v>
      </c>
      <c r="H1958" s="48">
        <v>0.231</v>
      </c>
      <c r="I1958" s="48">
        <v>5.092</v>
      </c>
      <c r="J1958" s="49">
        <v>22</v>
      </c>
      <c r="K1958" s="49">
        <v>0</v>
      </c>
      <c r="L1958" s="49">
        <v>22</v>
      </c>
    </row>
    <row r="1959" spans="1:12" x14ac:dyDescent="0.25">
      <c r="A1959" s="45">
        <f>C1959&amp;"."&amp;IFERROR(MID(E1959,FIND("(",E1959)+1,FIND(")",E1959)-FIND("(",E1959)-1),"")</f>
      </c>
      <c r="B1959" s="46" t="s">
        <v>1178</v>
      </c>
      <c r="C1959" s="46">
        <v>76726</v>
      </c>
      <c r="D1959" s="46" t="s">
        <v>3691</v>
      </c>
      <c r="E1959" s="46" t="s">
        <v>3692</v>
      </c>
      <c r="F1959" s="46" t="s">
        <v>26</v>
      </c>
      <c r="G1959" s="47">
        <v>0.33</v>
      </c>
      <c r="H1959" s="48">
        <v>1.053</v>
      </c>
      <c r="I1959" s="48">
        <v>4.211</v>
      </c>
      <c r="J1959" s="49">
        <v>4</v>
      </c>
      <c r="K1959" s="49">
        <v>0</v>
      </c>
      <c r="L1959" s="49">
        <v>4</v>
      </c>
    </row>
    <row r="1960" spans="1:12" x14ac:dyDescent="0.25">
      <c r="A1960" s="45">
        <f>C1960&amp;"."&amp;IFERROR(MID(E1960,FIND("(",E1960)+1,FIND(")",E1960)-FIND("(",E1960)-1),"")</f>
      </c>
      <c r="B1960" s="46" t="s">
        <v>1178</v>
      </c>
      <c r="C1960" s="46">
        <v>76726</v>
      </c>
      <c r="D1960" s="46" t="s">
        <v>3691</v>
      </c>
      <c r="E1960" s="46" t="s">
        <v>3693</v>
      </c>
      <c r="F1960" s="46" t="s">
        <v>26</v>
      </c>
      <c r="G1960" s="47">
        <v>0.33</v>
      </c>
      <c r="H1960" s="48">
        <v>1.016</v>
      </c>
      <c r="I1960" s="48">
        <v>4.066</v>
      </c>
      <c r="J1960" s="49">
        <v>4</v>
      </c>
      <c r="K1960" s="49">
        <v>0</v>
      </c>
      <c r="L1960" s="49">
        <v>4</v>
      </c>
    </row>
    <row r="1961" spans="1:12" x14ac:dyDescent="0.25">
      <c r="A1961" s="45">
        <f>C1961&amp;"."&amp;IFERROR(MID(E1961,FIND("(",E1961)+1,FIND(")",E1961)-FIND("(",E1961)-1),"")</f>
      </c>
      <c r="B1961" s="46" t="s">
        <v>1178</v>
      </c>
      <c r="C1961" s="46">
        <v>76729</v>
      </c>
      <c r="D1961" s="46" t="s">
        <v>3694</v>
      </c>
      <c r="E1961" s="46" t="s">
        <v>3695</v>
      </c>
      <c r="F1961" s="46" t="s">
        <v>26</v>
      </c>
      <c r="G1961" s="47">
        <v>1.8</v>
      </c>
      <c r="H1961" s="48">
        <v>4.913</v>
      </c>
      <c r="I1961" s="48">
        <v>34.391</v>
      </c>
      <c r="J1961" s="49">
        <v>7</v>
      </c>
      <c r="K1961" s="49">
        <v>0</v>
      </c>
      <c r="L1961" s="49">
        <v>7</v>
      </c>
    </row>
    <row r="1962" spans="1:12" x14ac:dyDescent="0.25">
      <c r="A1962" s="45">
        <f>C1962&amp;"."&amp;IFERROR(MID(E1962,FIND("(",E1962)+1,FIND(")",E1962)-FIND("(",E1962)-1),"")</f>
      </c>
      <c r="B1962" s="46" t="s">
        <v>1178</v>
      </c>
      <c r="C1962" s="46">
        <v>76729</v>
      </c>
      <c r="D1962" s="46" t="s">
        <v>3694</v>
      </c>
      <c r="E1962" s="46" t="s">
        <v>3696</v>
      </c>
      <c r="F1962" s="46" t="s">
        <v>26</v>
      </c>
      <c r="G1962" s="47">
        <v>1.8</v>
      </c>
      <c r="H1962" s="48">
        <v>5.01</v>
      </c>
      <c r="I1962" s="48">
        <v>10.02</v>
      </c>
      <c r="J1962" s="49">
        <v>2</v>
      </c>
      <c r="K1962" s="49">
        <v>0</v>
      </c>
      <c r="L1962" s="49">
        <v>2</v>
      </c>
    </row>
    <row r="1963" spans="1:12" x14ac:dyDescent="0.25">
      <c r="A1963" s="45">
        <f>C1963&amp;"."&amp;IFERROR(MID(E1963,FIND("(",E1963)+1,FIND(")",E1963)-FIND("(",E1963)-1),"")</f>
      </c>
      <c r="B1963" s="46" t="s">
        <v>1178</v>
      </c>
      <c r="C1963" s="46">
        <v>76729</v>
      </c>
      <c r="D1963" s="46" t="s">
        <v>3694</v>
      </c>
      <c r="E1963" s="46" t="s">
        <v>3697</v>
      </c>
      <c r="F1963" s="46" t="s">
        <v>26</v>
      </c>
      <c r="G1963" s="47">
        <v>1.8</v>
      </c>
      <c r="H1963" s="48">
        <v>4.913</v>
      </c>
      <c r="I1963" s="48">
        <v>9.826</v>
      </c>
      <c r="J1963" s="49">
        <v>2</v>
      </c>
      <c r="K1963" s="49">
        <v>0</v>
      </c>
      <c r="L1963" s="49">
        <v>2</v>
      </c>
    </row>
    <row r="1964" spans="1:12" x14ac:dyDescent="0.25">
      <c r="A1964" s="45">
        <f>C1964&amp;"."&amp;IFERROR(MID(E1964,FIND("(",E1964)+1,FIND(")",E1964)-FIND("(",E1964)-1),"")</f>
      </c>
      <c r="B1964" s="46" t="s">
        <v>1178</v>
      </c>
      <c r="C1964" s="46">
        <v>76731</v>
      </c>
      <c r="D1964" s="46" t="s">
        <v>3698</v>
      </c>
      <c r="E1964" s="46" t="s">
        <v>3699</v>
      </c>
      <c r="F1964" s="46" t="s">
        <v>26</v>
      </c>
      <c r="G1964" s="47">
        <v>0.66</v>
      </c>
      <c r="H1964" s="48">
        <v>1.827</v>
      </c>
      <c r="I1964" s="48">
        <v>3.655</v>
      </c>
      <c r="J1964" s="49">
        <v>2</v>
      </c>
      <c r="K1964" s="49">
        <v>0</v>
      </c>
      <c r="L1964" s="49">
        <v>2</v>
      </c>
    </row>
    <row r="1965" spans="1:12" x14ac:dyDescent="0.25">
      <c r="A1965" s="45">
        <f>C1965&amp;"."&amp;IFERROR(MID(E1965,FIND("(",E1965)+1,FIND(")",E1965)-FIND("(",E1965)-1),"")</f>
      </c>
      <c r="B1965" s="46" t="s">
        <v>1178</v>
      </c>
      <c r="C1965" s="46">
        <v>76731</v>
      </c>
      <c r="D1965" s="46" t="s">
        <v>3698</v>
      </c>
      <c r="E1965" s="46" t="s">
        <v>3700</v>
      </c>
      <c r="F1965" s="46" t="s">
        <v>26</v>
      </c>
      <c r="G1965" s="47">
        <v>0.66</v>
      </c>
      <c r="H1965" s="48">
        <v>1.864</v>
      </c>
      <c r="I1965" s="48">
        <v>5.591</v>
      </c>
      <c r="J1965" s="49">
        <v>3</v>
      </c>
      <c r="K1965" s="49">
        <v>0</v>
      </c>
      <c r="L1965" s="49">
        <v>3</v>
      </c>
    </row>
    <row r="1966" spans="1:12" x14ac:dyDescent="0.25">
      <c r="A1966" s="45">
        <f>C1966&amp;"."&amp;IFERROR(MID(E1966,FIND("(",E1966)+1,FIND(")",E1966)-FIND("(",E1966)-1),"")</f>
      </c>
      <c r="B1966" s="46" t="s">
        <v>1178</v>
      </c>
      <c r="C1966" s="46">
        <v>76731</v>
      </c>
      <c r="D1966" s="46" t="s">
        <v>3698</v>
      </c>
      <c r="E1966" s="46" t="s">
        <v>3701</v>
      </c>
      <c r="F1966" s="46" t="s">
        <v>26</v>
      </c>
      <c r="G1966" s="47">
        <v>0.66</v>
      </c>
      <c r="H1966" s="48">
        <v>1.827</v>
      </c>
      <c r="I1966" s="48">
        <v>10.964</v>
      </c>
      <c r="J1966" s="49">
        <v>6</v>
      </c>
      <c r="K1966" s="49">
        <v>0</v>
      </c>
      <c r="L1966" s="49">
        <v>6</v>
      </c>
    </row>
    <row r="1967" spans="1:12" x14ac:dyDescent="0.25">
      <c r="A1967" s="45">
        <f>C1967&amp;"."&amp;IFERROR(MID(E1967,FIND("(",E1967)+1,FIND(")",E1967)-FIND("(",E1967)-1),"")</f>
      </c>
      <c r="B1967" s="46" t="s">
        <v>1178</v>
      </c>
      <c r="C1967" s="46">
        <v>76744</v>
      </c>
      <c r="D1967" s="46" t="s">
        <v>3702</v>
      </c>
      <c r="E1967" s="46" t="s">
        <v>1248</v>
      </c>
      <c r="F1967" s="46" t="s">
        <v>1495</v>
      </c>
      <c r="G1967" s="47">
        <v>0.04</v>
      </c>
      <c r="H1967" s="48">
        <v>0.504</v>
      </c>
      <c r="I1967" s="48">
        <v>67.025</v>
      </c>
      <c r="J1967" s="49">
        <v>133</v>
      </c>
      <c r="K1967" s="49">
        <v>44</v>
      </c>
      <c r="L1967" s="49">
        <v>89</v>
      </c>
    </row>
    <row r="1968" spans="1:12" x14ac:dyDescent="0.25">
      <c r="A1968" s="45">
        <f>C1968&amp;"."&amp;IFERROR(MID(E1968,FIND("(",E1968)+1,FIND(")",E1968)-FIND("(",E1968)-1),"")</f>
      </c>
      <c r="B1968" s="46" t="s">
        <v>1178</v>
      </c>
      <c r="C1968" s="46">
        <v>76748</v>
      </c>
      <c r="D1968" s="46" t="s">
        <v>3703</v>
      </c>
      <c r="E1968" s="46" t="s">
        <v>1248</v>
      </c>
      <c r="F1968" s="46" t="s">
        <v>1495</v>
      </c>
      <c r="G1968" s="47">
        <v>0</v>
      </c>
      <c r="H1968" s="48">
        <v>0.308</v>
      </c>
      <c r="I1968" s="48">
        <v>0.923</v>
      </c>
      <c r="J1968" s="49">
        <v>3</v>
      </c>
      <c r="K1968" s="49">
        <v>1</v>
      </c>
      <c r="L1968" s="49">
        <v>2</v>
      </c>
    </row>
    <row r="1969" spans="1:12" x14ac:dyDescent="0.25">
      <c r="A1969" s="45">
        <f>C1969&amp;"."&amp;IFERROR(MID(E1969,FIND("(",E1969)+1,FIND(")",E1969)-FIND("(",E1969)-1),"")</f>
      </c>
      <c r="B1969" s="46" t="s">
        <v>1178</v>
      </c>
      <c r="C1969" s="46">
        <v>76750</v>
      </c>
      <c r="D1969" s="46" t="s">
        <v>3704</v>
      </c>
      <c r="E1969" s="46" t="s">
        <v>1248</v>
      </c>
      <c r="F1969" s="46" t="s">
        <v>1495</v>
      </c>
      <c r="G1969" s="47">
        <v>0</v>
      </c>
      <c r="H1969" s="48">
        <v>0.966</v>
      </c>
      <c r="I1969" s="48">
        <v>11.59</v>
      </c>
      <c r="J1969" s="49">
        <v>12</v>
      </c>
      <c r="K1969" s="49">
        <v>0</v>
      </c>
      <c r="L1969" s="49">
        <v>12</v>
      </c>
    </row>
    <row r="1970" spans="1:12" x14ac:dyDescent="0.25">
      <c r="A1970" s="45">
        <f>C1970&amp;"."&amp;IFERROR(MID(E1970,FIND("(",E1970)+1,FIND(")",E1970)-FIND("(",E1970)-1),"")</f>
      </c>
      <c r="B1970" s="46" t="s">
        <v>1178</v>
      </c>
      <c r="C1970" s="46">
        <v>76753</v>
      </c>
      <c r="D1970" s="46" t="s">
        <v>3705</v>
      </c>
      <c r="E1970" s="46" t="s">
        <v>1248</v>
      </c>
      <c r="F1970" s="46" t="s">
        <v>1495</v>
      </c>
      <c r="G1970" s="47">
        <v>0</v>
      </c>
      <c r="H1970" s="48">
        <v>0.205</v>
      </c>
      <c r="I1970" s="48">
        <v>2.251</v>
      </c>
      <c r="J1970" s="49">
        <v>11</v>
      </c>
      <c r="K1970" s="49">
        <v>0</v>
      </c>
      <c r="L1970" s="49">
        <v>11</v>
      </c>
    </row>
    <row r="1971" spans="1:12" x14ac:dyDescent="0.25">
      <c r="A1971" s="45">
        <f>C1971&amp;"."&amp;IFERROR(MID(E1971,FIND("(",E1971)+1,FIND(")",E1971)-FIND("(",E1971)-1),"")</f>
      </c>
      <c r="B1971" s="46" t="s">
        <v>1178</v>
      </c>
      <c r="C1971" s="46">
        <v>76754</v>
      </c>
      <c r="D1971" s="46" t="s">
        <v>3706</v>
      </c>
      <c r="E1971" s="46" t="s">
        <v>1248</v>
      </c>
      <c r="F1971" s="46" t="s">
        <v>1495</v>
      </c>
      <c r="G1971" s="47">
        <v>0.05</v>
      </c>
      <c r="H1971" s="48">
        <v>0.404</v>
      </c>
      <c r="I1971" s="48">
        <v>26.242</v>
      </c>
      <c r="J1971" s="49">
        <v>65</v>
      </c>
      <c r="K1971" s="49">
        <v>2</v>
      </c>
      <c r="L1971" s="49">
        <v>63</v>
      </c>
    </row>
    <row r="1972" spans="1:12" x14ac:dyDescent="0.25">
      <c r="A1972" s="45">
        <f>C1972&amp;"."&amp;IFERROR(MID(E1972,FIND("(",E1972)+1,FIND(")",E1972)-FIND("(",E1972)-1),"")</f>
      </c>
      <c r="B1972" s="46" t="s">
        <v>1178</v>
      </c>
      <c r="C1972" s="46">
        <v>76767</v>
      </c>
      <c r="D1972" s="46" t="s">
        <v>3707</v>
      </c>
      <c r="E1972" s="46" t="s">
        <v>3708</v>
      </c>
      <c r="F1972" s="46" t="s">
        <v>25</v>
      </c>
      <c r="G1972" s="47">
        <v>0.68</v>
      </c>
      <c r="H1972" s="48">
        <v>2.31</v>
      </c>
      <c r="I1972" s="48">
        <v>4.62</v>
      </c>
      <c r="J1972" s="49">
        <v>2</v>
      </c>
      <c r="K1972" s="49">
        <v>0</v>
      </c>
      <c r="L1972" s="49">
        <v>2</v>
      </c>
    </row>
    <row r="1973" spans="1:12" x14ac:dyDescent="0.25">
      <c r="A1973" s="45">
        <f>C1973&amp;"."&amp;IFERROR(MID(E1973,FIND("(",E1973)+1,FIND(")",E1973)-FIND("(",E1973)-1),"")</f>
      </c>
      <c r="B1973" s="46" t="s">
        <v>1178</v>
      </c>
      <c r="C1973" s="46">
        <v>76767</v>
      </c>
      <c r="D1973" s="46" t="s">
        <v>3707</v>
      </c>
      <c r="E1973" s="46" t="s">
        <v>3709</v>
      </c>
      <c r="F1973" s="46" t="s">
        <v>25</v>
      </c>
      <c r="G1973" s="47">
        <v>0.68</v>
      </c>
      <c r="H1973" s="48">
        <v>2.31</v>
      </c>
      <c r="I1973" s="48">
        <v>2.31</v>
      </c>
      <c r="J1973" s="49">
        <v>1</v>
      </c>
      <c r="K1973" s="49">
        <v>0</v>
      </c>
      <c r="L1973" s="49">
        <v>1</v>
      </c>
    </row>
    <row r="1974" spans="1:12" x14ac:dyDescent="0.25">
      <c r="A1974" s="45">
        <f>C1974&amp;"."&amp;IFERROR(MID(E1974,FIND("(",E1974)+1,FIND(")",E1974)-FIND("(",E1974)-1),"")</f>
      </c>
      <c r="B1974" s="46" t="s">
        <v>1178</v>
      </c>
      <c r="C1974" s="46">
        <v>76770</v>
      </c>
      <c r="D1974" s="46" t="s">
        <v>3710</v>
      </c>
      <c r="E1974" s="46" t="s">
        <v>3711</v>
      </c>
      <c r="F1974" s="46" t="s">
        <v>25</v>
      </c>
      <c r="G1974" s="47">
        <v>0.43</v>
      </c>
      <c r="H1974" s="48">
        <v>1.174</v>
      </c>
      <c r="I1974" s="48">
        <v>1.174</v>
      </c>
      <c r="J1974" s="49">
        <v>1</v>
      </c>
      <c r="K1974" s="49">
        <v>0</v>
      </c>
      <c r="L1974" s="49">
        <v>1</v>
      </c>
    </row>
    <row r="1975" spans="1:12" x14ac:dyDescent="0.25">
      <c r="A1975" s="45">
        <f>C1975&amp;"."&amp;IFERROR(MID(E1975,FIND("(",E1975)+1,FIND(")",E1975)-FIND("(",E1975)-1),"")</f>
      </c>
      <c r="B1975" s="46" t="s">
        <v>1178</v>
      </c>
      <c r="C1975" s="46">
        <v>76772</v>
      </c>
      <c r="D1975" s="46" t="s">
        <v>3712</v>
      </c>
      <c r="E1975" s="46" t="s">
        <v>3713</v>
      </c>
      <c r="F1975" s="46" t="s">
        <v>25</v>
      </c>
      <c r="G1975" s="47">
        <v>0.43</v>
      </c>
      <c r="H1975" s="48">
        <v>1.174</v>
      </c>
      <c r="I1975" s="48">
        <v>1.174</v>
      </c>
      <c r="J1975" s="49">
        <v>1</v>
      </c>
      <c r="K1975" s="49">
        <v>0</v>
      </c>
      <c r="L1975" s="49">
        <v>1</v>
      </c>
    </row>
    <row r="1976" spans="1:12" x14ac:dyDescent="0.25">
      <c r="A1976" s="45">
        <f>C1976&amp;"."&amp;IFERROR(MID(E1976,FIND("(",E1976)+1,FIND(")",E1976)-FIND("(",E1976)-1),"")</f>
      </c>
      <c r="B1976" s="46" t="s">
        <v>1178</v>
      </c>
      <c r="C1976" s="46">
        <v>76776</v>
      </c>
      <c r="D1976" s="46" t="s">
        <v>3714</v>
      </c>
      <c r="E1976" s="46" t="s">
        <v>3715</v>
      </c>
      <c r="F1976" s="46" t="s">
        <v>25</v>
      </c>
      <c r="G1976" s="47">
        <v>0.81</v>
      </c>
      <c r="H1976" s="48">
        <v>2.227</v>
      </c>
      <c r="I1976" s="48">
        <v>2.227</v>
      </c>
      <c r="J1976" s="49">
        <v>1</v>
      </c>
      <c r="K1976" s="49">
        <v>0</v>
      </c>
      <c r="L1976" s="49">
        <v>1</v>
      </c>
    </row>
    <row r="1977" spans="1:12" x14ac:dyDescent="0.25">
      <c r="A1977" s="45">
        <f>C1977&amp;"."&amp;IFERROR(MID(E1977,FIND("(",E1977)+1,FIND(")",E1977)-FIND("(",E1977)-1),"")</f>
      </c>
      <c r="B1977" s="46" t="s">
        <v>1178</v>
      </c>
      <c r="C1977" s="46">
        <v>76778</v>
      </c>
      <c r="D1977" s="46" t="s">
        <v>3716</v>
      </c>
      <c r="E1977" s="46" t="s">
        <v>3717</v>
      </c>
      <c r="F1977" s="46" t="s">
        <v>26</v>
      </c>
      <c r="G1977" s="47">
        <v>2.13</v>
      </c>
      <c r="H1977" s="48">
        <v>13.636</v>
      </c>
      <c r="I1977" s="48">
        <v>81.814</v>
      </c>
      <c r="J1977" s="49">
        <v>6</v>
      </c>
      <c r="K1977" s="49">
        <v>2</v>
      </c>
      <c r="L1977" s="49">
        <v>4</v>
      </c>
    </row>
    <row r="1978" spans="1:12" x14ac:dyDescent="0.25">
      <c r="A1978" s="45">
        <f>C1978&amp;"."&amp;IFERROR(MID(E1978,FIND("(",E1978)+1,FIND(")",E1978)-FIND("(",E1978)-1),"")</f>
      </c>
      <c r="B1978" s="46" t="s">
        <v>1178</v>
      </c>
      <c r="C1978" s="46">
        <v>76778</v>
      </c>
      <c r="D1978" s="46" t="s">
        <v>3716</v>
      </c>
      <c r="E1978" s="46" t="s">
        <v>3718</v>
      </c>
      <c r="F1978" s="46" t="s">
        <v>26</v>
      </c>
      <c r="G1978" s="47">
        <v>2.13</v>
      </c>
      <c r="H1978" s="48">
        <v>11.582</v>
      </c>
      <c r="I1978" s="48">
        <v>69.491</v>
      </c>
      <c r="J1978" s="49">
        <v>6</v>
      </c>
      <c r="K1978" s="49">
        <v>0</v>
      </c>
      <c r="L1978" s="49">
        <v>6</v>
      </c>
    </row>
    <row r="1979" spans="1:12" x14ac:dyDescent="0.25">
      <c r="A1979" s="45">
        <f>C1979&amp;"."&amp;IFERROR(MID(E1979,FIND("(",E1979)+1,FIND(")",E1979)-FIND("(",E1979)-1),"")</f>
      </c>
      <c r="B1979" s="46" t="s">
        <v>1178</v>
      </c>
      <c r="C1979" s="46">
        <v>76779</v>
      </c>
      <c r="D1979" s="46" t="s">
        <v>3719</v>
      </c>
      <c r="E1979" s="46" t="s">
        <v>3720</v>
      </c>
      <c r="F1979" s="46" t="s">
        <v>24</v>
      </c>
      <c r="G1979" s="47">
        <v>10.43</v>
      </c>
      <c r="H1979" s="48">
        <v>30.001</v>
      </c>
      <c r="I1979" s="48">
        <v>150.004</v>
      </c>
      <c r="J1979" s="49">
        <v>5</v>
      </c>
      <c r="K1979" s="49">
        <v>5</v>
      </c>
      <c r="L1979" s="49">
        <v>0</v>
      </c>
    </row>
    <row r="1980" spans="1:12" x14ac:dyDescent="0.25">
      <c r="A1980" s="45">
        <f>C1980&amp;"."&amp;IFERROR(MID(E1980,FIND("(",E1980)+1,FIND(")",E1980)-FIND("(",E1980)-1),"")</f>
      </c>
      <c r="B1980" s="46" t="s">
        <v>1178</v>
      </c>
      <c r="C1980" s="46">
        <v>76779</v>
      </c>
      <c r="D1980" s="46" t="s">
        <v>3719</v>
      </c>
      <c r="E1980" s="46" t="s">
        <v>3721</v>
      </c>
      <c r="F1980" s="46" t="s">
        <v>24</v>
      </c>
      <c r="G1980" s="47">
        <v>10.43</v>
      </c>
      <c r="H1980" s="48">
        <v>31.72</v>
      </c>
      <c r="I1980" s="48">
        <v>31.72</v>
      </c>
      <c r="J1980" s="49">
        <v>1</v>
      </c>
      <c r="K1980" s="49">
        <v>0</v>
      </c>
      <c r="L1980" s="49">
        <v>1</v>
      </c>
    </row>
    <row r="1981" spans="1:12" x14ac:dyDescent="0.25">
      <c r="A1981" s="45">
        <f>C1981&amp;"."&amp;IFERROR(MID(E1981,FIND("(",E1981)+1,FIND(")",E1981)-FIND("(",E1981)-1),"")</f>
      </c>
      <c r="B1981" s="46" t="s">
        <v>1178</v>
      </c>
      <c r="C1981" s="46">
        <v>76779</v>
      </c>
      <c r="D1981" s="46" t="s">
        <v>3719</v>
      </c>
      <c r="E1981" s="46" t="s">
        <v>3722</v>
      </c>
      <c r="F1981" s="46" t="s">
        <v>24</v>
      </c>
      <c r="G1981" s="47">
        <v>10.43</v>
      </c>
      <c r="H1981" s="48">
        <v>24.36</v>
      </c>
      <c r="I1981" s="48">
        <v>48.72</v>
      </c>
      <c r="J1981" s="49">
        <v>2</v>
      </c>
      <c r="K1981" s="49">
        <v>1</v>
      </c>
      <c r="L1981" s="49">
        <v>1</v>
      </c>
    </row>
    <row r="1982" spans="1:12" x14ac:dyDescent="0.25">
      <c r="A1982" s="45">
        <f>C1982&amp;"."&amp;IFERROR(MID(E1982,FIND("(",E1982)+1,FIND(")",E1982)-FIND("(",E1982)-1),"")</f>
      </c>
      <c r="B1982" s="46" t="s">
        <v>1178</v>
      </c>
      <c r="C1982" s="46">
        <v>76781</v>
      </c>
      <c r="D1982" s="46" t="s">
        <v>3723</v>
      </c>
      <c r="E1982" s="46" t="s">
        <v>3724</v>
      </c>
      <c r="F1982" s="46" t="s">
        <v>24</v>
      </c>
      <c r="G1982" s="47">
        <v>1.74</v>
      </c>
      <c r="H1982" s="48">
        <v>6.02</v>
      </c>
      <c r="I1982" s="48">
        <v>24.08</v>
      </c>
      <c r="J1982" s="49">
        <v>4</v>
      </c>
      <c r="K1982" s="49">
        <v>0</v>
      </c>
      <c r="L1982" s="49">
        <v>4</v>
      </c>
    </row>
    <row r="1983" spans="1:12" x14ac:dyDescent="0.25">
      <c r="A1983" s="45">
        <f>C1983&amp;"."&amp;IFERROR(MID(E1983,FIND("(",E1983)+1,FIND(")",E1983)-FIND("(",E1983)-1),"")</f>
      </c>
      <c r="B1983" s="46" t="s">
        <v>1178</v>
      </c>
      <c r="C1983" s="46">
        <v>76781</v>
      </c>
      <c r="D1983" s="46" t="s">
        <v>3723</v>
      </c>
      <c r="E1983" s="46" t="s">
        <v>3725</v>
      </c>
      <c r="F1983" s="46" t="s">
        <v>24</v>
      </c>
      <c r="G1983" s="47">
        <v>1.74</v>
      </c>
      <c r="H1983" s="48">
        <v>4.899</v>
      </c>
      <c r="I1983" s="48">
        <v>14.698</v>
      </c>
      <c r="J1983" s="49">
        <v>3</v>
      </c>
      <c r="K1983" s="49">
        <v>0</v>
      </c>
      <c r="L1983" s="49">
        <v>3</v>
      </c>
    </row>
    <row r="1984" spans="1:12" x14ac:dyDescent="0.25">
      <c r="A1984" s="45">
        <f>C1984&amp;"."&amp;IFERROR(MID(E1984,FIND("(",E1984)+1,FIND(")",E1984)-FIND("(",E1984)-1),"")</f>
      </c>
      <c r="B1984" s="46" t="s">
        <v>1178</v>
      </c>
      <c r="C1984" s="46">
        <v>76781</v>
      </c>
      <c r="D1984" s="46" t="s">
        <v>3723</v>
      </c>
      <c r="E1984" s="46" t="s">
        <v>3726</v>
      </c>
      <c r="F1984" s="46" t="s">
        <v>24</v>
      </c>
      <c r="G1984" s="47">
        <v>1.74</v>
      </c>
      <c r="H1984" s="48">
        <v>4.857</v>
      </c>
      <c r="I1984" s="48">
        <v>53.43</v>
      </c>
      <c r="J1984" s="49">
        <v>11</v>
      </c>
      <c r="K1984" s="49">
        <v>1</v>
      </c>
      <c r="L1984" s="49">
        <v>10</v>
      </c>
    </row>
    <row r="1985" spans="1:12" x14ac:dyDescent="0.25">
      <c r="A1985" s="45">
        <f>C1985&amp;"."&amp;IFERROR(MID(E1985,FIND("(",E1985)+1,FIND(")",E1985)-FIND("(",E1985)-1),"")</f>
      </c>
      <c r="B1985" s="46" t="s">
        <v>1178</v>
      </c>
      <c r="C1985" s="46">
        <v>76783</v>
      </c>
      <c r="D1985" s="46" t="s">
        <v>3727</v>
      </c>
      <c r="E1985" s="46" t="s">
        <v>3728</v>
      </c>
      <c r="F1985" s="46" t="s">
        <v>26</v>
      </c>
      <c r="G1985" s="47">
        <v>2.7</v>
      </c>
      <c r="H1985" s="48">
        <v>16.89</v>
      </c>
      <c r="I1985" s="48">
        <v>50.67</v>
      </c>
      <c r="J1985" s="49">
        <v>3</v>
      </c>
      <c r="K1985" s="49">
        <v>3</v>
      </c>
      <c r="L1985" s="49">
        <v>0</v>
      </c>
    </row>
    <row r="1986" spans="1:12" x14ac:dyDescent="0.25">
      <c r="A1986" s="45">
        <f>C1986&amp;"."&amp;IFERROR(MID(E1986,FIND("(",E1986)+1,FIND(")",E1986)-FIND("(",E1986)-1),"")</f>
      </c>
      <c r="B1986" s="46" t="s">
        <v>1178</v>
      </c>
      <c r="C1986" s="46">
        <v>76783</v>
      </c>
      <c r="D1986" s="46" t="s">
        <v>3727</v>
      </c>
      <c r="E1986" s="46" t="s">
        <v>3729</v>
      </c>
      <c r="F1986" s="46" t="s">
        <v>26</v>
      </c>
      <c r="G1986" s="47">
        <v>2.7</v>
      </c>
      <c r="H1986" s="48">
        <v>13.623</v>
      </c>
      <c r="I1986" s="48">
        <v>95.362</v>
      </c>
      <c r="J1986" s="49">
        <v>7</v>
      </c>
      <c r="K1986" s="49">
        <v>0</v>
      </c>
      <c r="L1986" s="49">
        <v>7</v>
      </c>
    </row>
    <row r="1987" spans="1:12" x14ac:dyDescent="0.25">
      <c r="A1987" s="45">
        <f>C1987&amp;"."&amp;IFERROR(MID(E1987,FIND("(",E1987)+1,FIND(")",E1987)-FIND("(",E1987)-1),"")</f>
      </c>
      <c r="B1987" s="46" t="s">
        <v>1178</v>
      </c>
      <c r="C1987" s="46">
        <v>76785</v>
      </c>
      <c r="D1987" s="46" t="s">
        <v>3730</v>
      </c>
      <c r="E1987" s="46" t="s">
        <v>3731</v>
      </c>
      <c r="F1987" s="46" t="s">
        <v>24</v>
      </c>
      <c r="G1987" s="47">
        <v>6.2</v>
      </c>
      <c r="H1987" s="48">
        <v>14.189</v>
      </c>
      <c r="I1987" s="48">
        <v>56.757</v>
      </c>
      <c r="J1987" s="49">
        <v>4</v>
      </c>
      <c r="K1987" s="49">
        <v>0</v>
      </c>
      <c r="L1987" s="49">
        <v>4</v>
      </c>
    </row>
    <row r="1988" spans="1:12" x14ac:dyDescent="0.25">
      <c r="A1988" s="45">
        <f>C1988&amp;"."&amp;IFERROR(MID(E1988,FIND("(",E1988)+1,FIND(")",E1988)-FIND("(",E1988)-1),"")</f>
      </c>
      <c r="B1988" s="46" t="s">
        <v>1178</v>
      </c>
      <c r="C1988" s="46">
        <v>76785</v>
      </c>
      <c r="D1988" s="46" t="s">
        <v>3730</v>
      </c>
      <c r="E1988" s="46" t="s">
        <v>3732</v>
      </c>
      <c r="F1988" s="46" t="s">
        <v>24</v>
      </c>
      <c r="G1988" s="47">
        <v>6.2</v>
      </c>
      <c r="H1988" s="48">
        <v>20.92</v>
      </c>
      <c r="I1988" s="48">
        <v>62.76</v>
      </c>
      <c r="J1988" s="49">
        <v>3</v>
      </c>
      <c r="K1988" s="49">
        <v>0</v>
      </c>
      <c r="L1988" s="49">
        <v>3</v>
      </c>
    </row>
    <row r="1989" spans="1:12" x14ac:dyDescent="0.25">
      <c r="A1989" s="45">
        <f>C1989&amp;"."&amp;IFERROR(MID(E1989,FIND("(",E1989)+1,FIND(")",E1989)-FIND("(",E1989)-1),"")</f>
      </c>
      <c r="B1989" s="46" t="s">
        <v>1178</v>
      </c>
      <c r="C1989" s="46">
        <v>76785</v>
      </c>
      <c r="D1989" s="46" t="s">
        <v>3730</v>
      </c>
      <c r="E1989" s="46" t="s">
        <v>3733</v>
      </c>
      <c r="F1989" s="46" t="s">
        <v>24</v>
      </c>
      <c r="G1989" s="47">
        <v>6.2</v>
      </c>
      <c r="H1989" s="48">
        <v>16.753</v>
      </c>
      <c r="I1989" s="48">
        <v>167.535</v>
      </c>
      <c r="J1989" s="49">
        <v>10</v>
      </c>
      <c r="K1989" s="49">
        <v>2</v>
      </c>
      <c r="L1989" s="49">
        <v>8</v>
      </c>
    </row>
    <row r="1990" spans="1:12" x14ac:dyDescent="0.25">
      <c r="A1990" s="45">
        <f>C1990&amp;"."&amp;IFERROR(MID(E1990,FIND("(",E1990)+1,FIND(")",E1990)-FIND("(",E1990)-1),"")</f>
      </c>
      <c r="B1990" s="46" t="s">
        <v>1178</v>
      </c>
      <c r="C1990" s="46">
        <v>76789</v>
      </c>
      <c r="D1990" s="46" t="s">
        <v>3734</v>
      </c>
      <c r="E1990" s="46" t="s">
        <v>3735</v>
      </c>
      <c r="F1990" s="46" t="s">
        <v>24</v>
      </c>
      <c r="G1990" s="47">
        <v>0.93</v>
      </c>
      <c r="H1990" s="48">
        <v>3.26</v>
      </c>
      <c r="I1990" s="48">
        <v>3.26</v>
      </c>
      <c r="J1990" s="49">
        <v>1</v>
      </c>
      <c r="K1990" s="49">
        <v>0</v>
      </c>
      <c r="L1990" s="49">
        <v>1</v>
      </c>
    </row>
    <row r="1991" spans="1:12" x14ac:dyDescent="0.25">
      <c r="A1991" s="45">
        <f>C1991&amp;"."&amp;IFERROR(MID(E1991,FIND("(",E1991)+1,FIND(")",E1991)-FIND("(",E1991)-1),"")</f>
      </c>
      <c r="B1991" s="46" t="s">
        <v>1178</v>
      </c>
      <c r="C1991" s="46">
        <v>76789</v>
      </c>
      <c r="D1991" s="46" t="s">
        <v>3734</v>
      </c>
      <c r="E1991" s="46" t="s">
        <v>3736</v>
      </c>
      <c r="F1991" s="46" t="s">
        <v>24</v>
      </c>
      <c r="G1991" s="47">
        <v>0.93</v>
      </c>
      <c r="H1991" s="48">
        <v>3.26</v>
      </c>
      <c r="I1991" s="48">
        <v>16.3</v>
      </c>
      <c r="J1991" s="49">
        <v>5</v>
      </c>
      <c r="K1991" s="49">
        <v>0</v>
      </c>
      <c r="L1991" s="49">
        <v>5</v>
      </c>
    </row>
    <row r="1992" spans="1:12" x14ac:dyDescent="0.25">
      <c r="A1992" s="45">
        <f>C1992&amp;"."&amp;IFERROR(MID(E1992,FIND("(",E1992)+1,FIND(")",E1992)-FIND("(",E1992)-1),"")</f>
      </c>
      <c r="B1992" s="46" t="s">
        <v>1178</v>
      </c>
      <c r="C1992" s="46">
        <v>76789</v>
      </c>
      <c r="D1992" s="46" t="s">
        <v>3734</v>
      </c>
      <c r="E1992" s="46" t="s">
        <v>3737</v>
      </c>
      <c r="F1992" s="46" t="s">
        <v>24</v>
      </c>
      <c r="G1992" s="47">
        <v>0.93</v>
      </c>
      <c r="H1992" s="48">
        <v>3.393</v>
      </c>
      <c r="I1992" s="48">
        <v>40.71</v>
      </c>
      <c r="J1992" s="49">
        <v>12</v>
      </c>
      <c r="K1992" s="49">
        <v>0</v>
      </c>
      <c r="L1992" s="49">
        <v>12</v>
      </c>
    </row>
    <row r="1993" spans="1:12" x14ac:dyDescent="0.25">
      <c r="A1993" s="45">
        <f>C1993&amp;"."&amp;IFERROR(MID(E1993,FIND("(",E1993)+1,FIND(")",E1993)-FIND("(",E1993)-1),"")</f>
      </c>
      <c r="B1993" s="46" t="s">
        <v>1178</v>
      </c>
      <c r="C1993" s="46">
        <v>76793</v>
      </c>
      <c r="D1993" s="46" t="s">
        <v>3738</v>
      </c>
      <c r="E1993" s="46" t="s">
        <v>3739</v>
      </c>
      <c r="F1993" s="46" t="s">
        <v>24</v>
      </c>
      <c r="G1993" s="47">
        <v>0.37</v>
      </c>
      <c r="H1993" s="48">
        <v>1.19</v>
      </c>
      <c r="I1993" s="48">
        <v>5.95</v>
      </c>
      <c r="J1993" s="49">
        <v>5</v>
      </c>
      <c r="K1993" s="49">
        <v>0</v>
      </c>
      <c r="L1993" s="49">
        <v>5</v>
      </c>
    </row>
    <row r="1994" spans="1:12" x14ac:dyDescent="0.25">
      <c r="A1994" s="45">
        <f>C1994&amp;"."&amp;IFERROR(MID(E1994,FIND("(",E1994)+1,FIND(")",E1994)-FIND("(",E1994)-1),"")</f>
      </c>
      <c r="B1994" s="46" t="s">
        <v>1178</v>
      </c>
      <c r="C1994" s="46">
        <v>76793</v>
      </c>
      <c r="D1994" s="46" t="s">
        <v>3738</v>
      </c>
      <c r="E1994" s="46" t="s">
        <v>3740</v>
      </c>
      <c r="F1994" s="46" t="s">
        <v>24</v>
      </c>
      <c r="G1994" s="47">
        <v>0.37</v>
      </c>
      <c r="H1994" s="48">
        <v>1.288</v>
      </c>
      <c r="I1994" s="48">
        <v>5.153</v>
      </c>
      <c r="J1994" s="49">
        <v>4</v>
      </c>
      <c r="K1994" s="49">
        <v>0</v>
      </c>
      <c r="L1994" s="49">
        <v>4</v>
      </c>
    </row>
    <row r="1995" spans="1:12" x14ac:dyDescent="0.25">
      <c r="A1995" s="45">
        <f>C1995&amp;"."&amp;IFERROR(MID(E1995,FIND("(",E1995)+1,FIND(")",E1995)-FIND("(",E1995)-1),"")</f>
      </c>
      <c r="B1995" s="46" t="s">
        <v>1178</v>
      </c>
      <c r="C1995" s="46">
        <v>76793</v>
      </c>
      <c r="D1995" s="46" t="s">
        <v>3738</v>
      </c>
      <c r="E1995" s="46" t="s">
        <v>3741</v>
      </c>
      <c r="F1995" s="46" t="s">
        <v>24</v>
      </c>
      <c r="G1995" s="47">
        <v>0.37</v>
      </c>
      <c r="H1995" s="48">
        <v>0.989</v>
      </c>
      <c r="I1995" s="48">
        <v>11.862</v>
      </c>
      <c r="J1995" s="49">
        <v>12</v>
      </c>
      <c r="K1995" s="49">
        <v>0</v>
      </c>
      <c r="L1995" s="49">
        <v>12</v>
      </c>
    </row>
    <row r="1996" spans="1:12" x14ac:dyDescent="0.25">
      <c r="A1996" s="45">
        <f>C1996&amp;"."&amp;IFERROR(MID(E1996,FIND("(",E1996)+1,FIND(")",E1996)-FIND("(",E1996)-1),"")</f>
      </c>
      <c r="B1996" s="46" t="s">
        <v>1178</v>
      </c>
      <c r="C1996" s="46">
        <v>76795</v>
      </c>
      <c r="D1996" s="46" t="s">
        <v>3742</v>
      </c>
      <c r="E1996" s="46" t="s">
        <v>3743</v>
      </c>
      <c r="F1996" s="46" t="s">
        <v>24</v>
      </c>
      <c r="G1996" s="47">
        <v>0.37</v>
      </c>
      <c r="H1996" s="48">
        <v>1.19</v>
      </c>
      <c r="I1996" s="48">
        <v>5.95</v>
      </c>
      <c r="J1996" s="49">
        <v>5</v>
      </c>
      <c r="K1996" s="49">
        <v>0</v>
      </c>
      <c r="L1996" s="49">
        <v>5</v>
      </c>
    </row>
    <row r="1997" spans="1:12" x14ac:dyDescent="0.25">
      <c r="A1997" s="45">
        <f>C1997&amp;"."&amp;IFERROR(MID(E1997,FIND("(",E1997)+1,FIND(")",E1997)-FIND("(",E1997)-1),"")</f>
      </c>
      <c r="B1997" s="46" t="s">
        <v>1178</v>
      </c>
      <c r="C1997" s="46">
        <v>76795</v>
      </c>
      <c r="D1997" s="46" t="s">
        <v>3742</v>
      </c>
      <c r="E1997" s="46" t="s">
        <v>3744</v>
      </c>
      <c r="F1997" s="46" t="s">
        <v>24</v>
      </c>
      <c r="G1997" s="47">
        <v>0.37</v>
      </c>
      <c r="H1997" s="48">
        <v>1.19</v>
      </c>
      <c r="I1997" s="48">
        <v>1.19</v>
      </c>
      <c r="J1997" s="49">
        <v>1</v>
      </c>
      <c r="K1997" s="49">
        <v>0</v>
      </c>
      <c r="L1997" s="49">
        <v>1</v>
      </c>
    </row>
    <row r="1998" spans="1:12" x14ac:dyDescent="0.25">
      <c r="A1998" s="45">
        <f>C1998&amp;"."&amp;IFERROR(MID(E1998,FIND("(",E1998)+1,FIND(")",E1998)-FIND("(",E1998)-1),"")</f>
      </c>
      <c r="B1998" s="46" t="s">
        <v>1178</v>
      </c>
      <c r="C1998" s="46">
        <v>76795</v>
      </c>
      <c r="D1998" s="46" t="s">
        <v>3742</v>
      </c>
      <c r="E1998" s="46" t="s">
        <v>3745</v>
      </c>
      <c r="F1998" s="46" t="s">
        <v>24</v>
      </c>
      <c r="G1998" s="47">
        <v>0.37</v>
      </c>
      <c r="H1998" s="48">
        <v>1.288</v>
      </c>
      <c r="I1998" s="48">
        <v>3.865</v>
      </c>
      <c r="J1998" s="49">
        <v>3</v>
      </c>
      <c r="K1998" s="49">
        <v>0</v>
      </c>
      <c r="L1998" s="49">
        <v>3</v>
      </c>
    </row>
    <row r="1999" spans="1:12" x14ac:dyDescent="0.25">
      <c r="A1999" s="45">
        <f>C1999&amp;"."&amp;IFERROR(MID(E1999,FIND("(",E1999)+1,FIND(")",E1999)-FIND("(",E1999)-1),"")</f>
      </c>
      <c r="B1999" s="46" t="s">
        <v>1178</v>
      </c>
      <c r="C1999" s="46">
        <v>76796</v>
      </c>
      <c r="D1999" s="46" t="s">
        <v>3746</v>
      </c>
      <c r="E1999" s="46" t="s">
        <v>3747</v>
      </c>
      <c r="F1999" s="46" t="s">
        <v>26</v>
      </c>
      <c r="G1999" s="47">
        <v>15.52</v>
      </c>
      <c r="H1999" s="48">
        <v>46.468</v>
      </c>
      <c r="I1999" s="48">
        <v>92.936</v>
      </c>
      <c r="J1999" s="49">
        <v>2</v>
      </c>
      <c r="K1999" s="49">
        <v>0</v>
      </c>
      <c r="L1999" s="49">
        <v>2</v>
      </c>
    </row>
    <row r="2000" spans="1:12" x14ac:dyDescent="0.25">
      <c r="A2000" s="45">
        <f>C2000&amp;"."&amp;IFERROR(MID(E2000,FIND("(",E2000)+1,FIND(")",E2000)-FIND("(",E2000)-1),"")</f>
      </c>
      <c r="B2000" s="46" t="s">
        <v>1178</v>
      </c>
      <c r="C2000" s="46">
        <v>76796</v>
      </c>
      <c r="D2000" s="46" t="s">
        <v>3746</v>
      </c>
      <c r="E2000" s="46" t="s">
        <v>3748</v>
      </c>
      <c r="F2000" s="46" t="s">
        <v>26</v>
      </c>
      <c r="G2000" s="47">
        <v>15.52</v>
      </c>
      <c r="H2000" s="48">
        <v>48.295</v>
      </c>
      <c r="I2000" s="48">
        <v>144.885</v>
      </c>
      <c r="J2000" s="49">
        <v>3</v>
      </c>
      <c r="K2000" s="49">
        <v>0</v>
      </c>
      <c r="L2000" s="49">
        <v>3</v>
      </c>
    </row>
    <row r="2001" spans="1:12" x14ac:dyDescent="0.25">
      <c r="A2001" s="45">
        <f>C2001&amp;"."&amp;IFERROR(MID(E2001,FIND("(",E2001)+1,FIND(")",E2001)-FIND("(",E2001)-1),"")</f>
      </c>
      <c r="B2001" s="46" t="s">
        <v>1178</v>
      </c>
      <c r="C2001" s="46">
        <v>76798</v>
      </c>
      <c r="D2001" s="46" t="s">
        <v>3749</v>
      </c>
      <c r="E2001" s="46" t="s">
        <v>3750</v>
      </c>
      <c r="F2001" s="46" t="s">
        <v>26</v>
      </c>
      <c r="G2001" s="47">
        <v>15.24</v>
      </c>
      <c r="H2001" s="48">
        <v>40.805</v>
      </c>
      <c r="I2001" s="48">
        <v>122.415</v>
      </c>
      <c r="J2001" s="49">
        <v>3</v>
      </c>
      <c r="K2001" s="49">
        <v>2</v>
      </c>
      <c r="L2001" s="49">
        <v>1</v>
      </c>
    </row>
    <row r="2002" spans="1:12" x14ac:dyDescent="0.25">
      <c r="A2002" s="45">
        <f>C2002&amp;"."&amp;IFERROR(MID(E2002,FIND("(",E2002)+1,FIND(")",E2002)-FIND("(",E2002)-1),"")</f>
      </c>
      <c r="B2002" s="46" t="s">
        <v>1178</v>
      </c>
      <c r="C2002" s="46">
        <v>76798</v>
      </c>
      <c r="D2002" s="46" t="s">
        <v>3749</v>
      </c>
      <c r="E2002" s="46" t="s">
        <v>3751</v>
      </c>
      <c r="F2002" s="46" t="s">
        <v>26</v>
      </c>
      <c r="G2002" s="47">
        <v>15.24</v>
      </c>
      <c r="H2002" s="48">
        <v>49.81</v>
      </c>
      <c r="I2002" s="48">
        <v>49.81</v>
      </c>
      <c r="J2002" s="49">
        <v>1</v>
      </c>
      <c r="K2002" s="49">
        <v>1</v>
      </c>
      <c r="L2002" s="49">
        <v>0</v>
      </c>
    </row>
    <row r="2003" spans="1:12" x14ac:dyDescent="0.25">
      <c r="A2003" s="45">
        <f>C2003&amp;"."&amp;IFERROR(MID(E2003,FIND("(",E2003)+1,FIND(")",E2003)-FIND("(",E2003)-1),"")</f>
      </c>
      <c r="B2003" s="46" t="s">
        <v>1178</v>
      </c>
      <c r="C2003" s="46">
        <v>76800</v>
      </c>
      <c r="D2003" s="46" t="s">
        <v>3752</v>
      </c>
      <c r="E2003" s="46" t="s">
        <v>3753</v>
      </c>
      <c r="F2003" s="46" t="s">
        <v>24</v>
      </c>
      <c r="G2003" s="47">
        <v>1.65</v>
      </c>
      <c r="H2003" s="48">
        <v>4.294</v>
      </c>
      <c r="I2003" s="48">
        <v>30.061</v>
      </c>
      <c r="J2003" s="49">
        <v>7</v>
      </c>
      <c r="K2003" s="49">
        <v>0</v>
      </c>
      <c r="L2003" s="49">
        <v>7</v>
      </c>
    </row>
    <row r="2004" spans="1:12" x14ac:dyDescent="0.25">
      <c r="A2004" s="45">
        <f>C2004&amp;"."&amp;IFERROR(MID(E2004,FIND("(",E2004)+1,FIND(")",E2004)-FIND("(",E2004)-1),"")</f>
      </c>
      <c r="B2004" s="46" t="s">
        <v>1178</v>
      </c>
      <c r="C2004" s="46">
        <v>76800</v>
      </c>
      <c r="D2004" s="46" t="s">
        <v>3752</v>
      </c>
      <c r="E2004" s="46" t="s">
        <v>3754</v>
      </c>
      <c r="F2004" s="46" t="s">
        <v>24</v>
      </c>
      <c r="G2004" s="47">
        <v>1.65</v>
      </c>
      <c r="H2004" s="48">
        <v>5.7</v>
      </c>
      <c r="I2004" s="48">
        <v>5.7</v>
      </c>
      <c r="J2004" s="49">
        <v>1</v>
      </c>
      <c r="K2004" s="49">
        <v>0</v>
      </c>
      <c r="L2004" s="49">
        <v>1</v>
      </c>
    </row>
    <row r="2005" spans="1:12" x14ac:dyDescent="0.25">
      <c r="A2005" s="45">
        <f>C2005&amp;"."&amp;IFERROR(MID(E2005,FIND("(",E2005)+1,FIND(")",E2005)-FIND("(",E2005)-1),"")</f>
      </c>
      <c r="B2005" s="46" t="s">
        <v>1178</v>
      </c>
      <c r="C2005" s="46">
        <v>76800</v>
      </c>
      <c r="D2005" s="46" t="s">
        <v>3752</v>
      </c>
      <c r="E2005" s="46" t="s">
        <v>3755</v>
      </c>
      <c r="F2005" s="46" t="s">
        <v>24</v>
      </c>
      <c r="G2005" s="47">
        <v>1.65</v>
      </c>
      <c r="H2005" s="48">
        <v>5.7</v>
      </c>
      <c r="I2005" s="48">
        <v>96.9</v>
      </c>
      <c r="J2005" s="49">
        <v>17</v>
      </c>
      <c r="K2005" s="49">
        <v>0</v>
      </c>
      <c r="L2005" s="49">
        <v>17</v>
      </c>
    </row>
    <row r="2006" spans="1:12" x14ac:dyDescent="0.25">
      <c r="A2006" s="45">
        <f>C2006&amp;"."&amp;IFERROR(MID(E2006,FIND("(",E2006)+1,FIND(")",E2006)-FIND("(",E2006)-1),"")</f>
      </c>
      <c r="B2006" s="46" t="s">
        <v>1178</v>
      </c>
      <c r="C2006" s="46">
        <v>76802</v>
      </c>
      <c r="D2006" s="46" t="s">
        <v>3756</v>
      </c>
      <c r="E2006" s="46" t="s">
        <v>3757</v>
      </c>
      <c r="F2006" s="46" t="s">
        <v>24</v>
      </c>
      <c r="G2006" s="47">
        <v>1.65</v>
      </c>
      <c r="H2006" s="48">
        <v>5.7</v>
      </c>
      <c r="I2006" s="48">
        <v>22.8</v>
      </c>
      <c r="J2006" s="49">
        <v>4</v>
      </c>
      <c r="K2006" s="49">
        <v>0</v>
      </c>
      <c r="L2006" s="49">
        <v>4</v>
      </c>
    </row>
    <row r="2007" spans="1:12" x14ac:dyDescent="0.25">
      <c r="A2007" s="45">
        <f>C2007&amp;"."&amp;IFERROR(MID(E2007,FIND("(",E2007)+1,FIND(")",E2007)-FIND("(",E2007)-1),"")</f>
      </c>
      <c r="B2007" s="46" t="s">
        <v>1178</v>
      </c>
      <c r="C2007" s="46">
        <v>76802</v>
      </c>
      <c r="D2007" s="46" t="s">
        <v>3756</v>
      </c>
      <c r="E2007" s="46" t="s">
        <v>3758</v>
      </c>
      <c r="F2007" s="46" t="s">
        <v>24</v>
      </c>
      <c r="G2007" s="47">
        <v>1.65</v>
      </c>
      <c r="H2007" s="48">
        <v>5.7</v>
      </c>
      <c r="I2007" s="48">
        <v>5.7</v>
      </c>
      <c r="J2007" s="49">
        <v>1</v>
      </c>
      <c r="K2007" s="49">
        <v>0</v>
      </c>
      <c r="L2007" s="49">
        <v>1</v>
      </c>
    </row>
    <row r="2008" spans="1:12" x14ac:dyDescent="0.25">
      <c r="A2008" s="45">
        <f>C2008&amp;"."&amp;IFERROR(MID(E2008,FIND("(",E2008)+1,FIND(")",E2008)-FIND("(",E2008)-1),"")</f>
      </c>
      <c r="B2008" s="46" t="s">
        <v>1178</v>
      </c>
      <c r="C2008" s="46">
        <v>76802</v>
      </c>
      <c r="D2008" s="46" t="s">
        <v>3756</v>
      </c>
      <c r="E2008" s="46" t="s">
        <v>3759</v>
      </c>
      <c r="F2008" s="46" t="s">
        <v>24</v>
      </c>
      <c r="G2008" s="47">
        <v>1.65</v>
      </c>
      <c r="H2008" s="48">
        <v>4.722</v>
      </c>
      <c r="I2008" s="48">
        <v>37.78</v>
      </c>
      <c r="J2008" s="49">
        <v>8</v>
      </c>
      <c r="K2008" s="49">
        <v>0</v>
      </c>
      <c r="L2008" s="49">
        <v>8</v>
      </c>
    </row>
    <row r="2009" spans="1:12" x14ac:dyDescent="0.25">
      <c r="A2009" s="45">
        <f>C2009&amp;"."&amp;IFERROR(MID(E2009,FIND("(",E2009)+1,FIND(")",E2009)-FIND("(",E2009)-1),"")</f>
      </c>
      <c r="B2009" s="46" t="s">
        <v>1178</v>
      </c>
      <c r="C2009" s="46">
        <v>76813</v>
      </c>
      <c r="D2009" s="46" t="s">
        <v>3760</v>
      </c>
      <c r="E2009" s="46" t="s">
        <v>3761</v>
      </c>
      <c r="F2009" s="46" t="s">
        <v>26</v>
      </c>
      <c r="G2009" s="47">
        <v>2.7</v>
      </c>
      <c r="H2009" s="48">
        <v>18.355</v>
      </c>
      <c r="I2009" s="48">
        <v>183.551</v>
      </c>
      <c r="J2009" s="49">
        <v>10</v>
      </c>
      <c r="K2009" s="49">
        <v>4</v>
      </c>
      <c r="L2009" s="49">
        <v>6</v>
      </c>
    </row>
    <row r="2010" spans="1:12" x14ac:dyDescent="0.25">
      <c r="A2010" s="45">
        <f>C2010&amp;"."&amp;IFERROR(MID(E2010,FIND("(",E2010)+1,FIND(")",E2010)-FIND("(",E2010)-1),"")</f>
      </c>
      <c r="B2010" s="46" t="s">
        <v>1178</v>
      </c>
      <c r="C2010" s="46">
        <v>76813</v>
      </c>
      <c r="D2010" s="46" t="s">
        <v>3760</v>
      </c>
      <c r="E2010" s="46" t="s">
        <v>3762</v>
      </c>
      <c r="F2010" s="46" t="s">
        <v>26</v>
      </c>
      <c r="G2010" s="47">
        <v>2.7</v>
      </c>
      <c r="H2010" s="48">
        <v>12.255</v>
      </c>
      <c r="I2010" s="48">
        <v>98.044</v>
      </c>
      <c r="J2010" s="49">
        <v>8</v>
      </c>
      <c r="K2010" s="49">
        <v>0</v>
      </c>
      <c r="L2010" s="49">
        <v>8</v>
      </c>
    </row>
    <row r="2011" spans="1:12" x14ac:dyDescent="0.25">
      <c r="A2011" s="45">
        <f>C2011&amp;"."&amp;IFERROR(MID(E2011,FIND("(",E2011)+1,FIND(")",E2011)-FIND("(",E2011)-1),"")</f>
      </c>
      <c r="B2011" s="46" t="s">
        <v>1178</v>
      </c>
      <c r="C2011" s="46">
        <v>76813</v>
      </c>
      <c r="D2011" s="46" t="s">
        <v>3760</v>
      </c>
      <c r="E2011" s="46" t="s">
        <v>3763</v>
      </c>
      <c r="F2011" s="46" t="s">
        <v>26</v>
      </c>
      <c r="G2011" s="47">
        <v>2.7</v>
      </c>
      <c r="H2011" s="48">
        <v>14.26</v>
      </c>
      <c r="I2011" s="48">
        <v>28.52</v>
      </c>
      <c r="J2011" s="49">
        <v>2</v>
      </c>
      <c r="K2011" s="49">
        <v>0</v>
      </c>
      <c r="L2011" s="49">
        <v>2</v>
      </c>
    </row>
    <row r="2012" spans="1:12" x14ac:dyDescent="0.25">
      <c r="A2012" s="45">
        <f>C2012&amp;"."&amp;IFERROR(MID(E2012,FIND("(",E2012)+1,FIND(")",E2012)-FIND("(",E2012)-1),"")</f>
      </c>
      <c r="B2012" s="46" t="s">
        <v>1178</v>
      </c>
      <c r="C2012" s="46">
        <v>76816</v>
      </c>
      <c r="D2012" s="46" t="s">
        <v>3764</v>
      </c>
      <c r="E2012" s="46" t="s">
        <v>3765</v>
      </c>
      <c r="F2012" s="46" t="s">
        <v>24</v>
      </c>
      <c r="G2012" s="47">
        <v>22.74</v>
      </c>
      <c r="H2012" s="48">
        <v>60.713</v>
      </c>
      <c r="I2012" s="48">
        <v>121.426</v>
      </c>
      <c r="J2012" s="49">
        <v>2</v>
      </c>
      <c r="K2012" s="49">
        <v>2</v>
      </c>
      <c r="L2012" s="49">
        <v>0</v>
      </c>
    </row>
    <row r="2013" spans="1:12" x14ac:dyDescent="0.25">
      <c r="A2013" s="45">
        <f>C2013&amp;"."&amp;IFERROR(MID(E2013,FIND("(",E2013)+1,FIND(")",E2013)-FIND("(",E2013)-1),"")</f>
      </c>
      <c r="B2013" s="46" t="s">
        <v>1178</v>
      </c>
      <c r="C2013" s="46">
        <v>76816</v>
      </c>
      <c r="D2013" s="46" t="s">
        <v>3764</v>
      </c>
      <c r="E2013" s="46" t="s">
        <v>3766</v>
      </c>
      <c r="F2013" s="46" t="s">
        <v>24</v>
      </c>
      <c r="G2013" s="47">
        <v>22.74</v>
      </c>
      <c r="H2013" s="48">
        <v>60.451</v>
      </c>
      <c r="I2013" s="48">
        <v>120.903</v>
      </c>
      <c r="J2013" s="49">
        <v>2</v>
      </c>
      <c r="K2013" s="49">
        <v>1</v>
      </c>
      <c r="L2013" s="49">
        <v>1</v>
      </c>
    </row>
    <row r="2014" spans="1:12" x14ac:dyDescent="0.25">
      <c r="A2014" s="45">
        <f>C2014&amp;"."&amp;IFERROR(MID(E2014,FIND("(",E2014)+1,FIND(")",E2014)-FIND("(",E2014)-1),"")</f>
      </c>
      <c r="B2014" s="46" t="s">
        <v>1178</v>
      </c>
      <c r="C2014" s="46">
        <v>76828</v>
      </c>
      <c r="D2014" s="46" t="s">
        <v>3767</v>
      </c>
      <c r="E2014" s="46" t="s">
        <v>3768</v>
      </c>
      <c r="F2014" s="46" t="s">
        <v>24</v>
      </c>
      <c r="G2014" s="47">
        <v>0.49</v>
      </c>
      <c r="H2014" s="48">
        <v>1.116</v>
      </c>
      <c r="I2014" s="48">
        <v>13.393</v>
      </c>
      <c r="J2014" s="49">
        <v>12</v>
      </c>
      <c r="K2014" s="49">
        <v>0</v>
      </c>
      <c r="L2014" s="49">
        <v>12</v>
      </c>
    </row>
    <row r="2015" spans="1:12" x14ac:dyDescent="0.25">
      <c r="A2015" s="45">
        <f>C2015&amp;"."&amp;IFERROR(MID(E2015,FIND("(",E2015)+1,FIND(")",E2015)-FIND("(",E2015)-1),"")</f>
      </c>
      <c r="B2015" s="46" t="s">
        <v>1178</v>
      </c>
      <c r="C2015" s="46">
        <v>76828</v>
      </c>
      <c r="D2015" s="46" t="s">
        <v>3767</v>
      </c>
      <c r="E2015" s="46" t="s">
        <v>3769</v>
      </c>
      <c r="F2015" s="46" t="s">
        <v>24</v>
      </c>
      <c r="G2015" s="47">
        <v>0.49</v>
      </c>
      <c r="H2015" s="48">
        <v>1.348</v>
      </c>
      <c r="I2015" s="48">
        <v>5.391</v>
      </c>
      <c r="J2015" s="49">
        <v>4</v>
      </c>
      <c r="K2015" s="49">
        <v>0</v>
      </c>
      <c r="L2015" s="49">
        <v>4</v>
      </c>
    </row>
    <row r="2016" spans="1:12" x14ac:dyDescent="0.25">
      <c r="A2016" s="45">
        <f>C2016&amp;"."&amp;IFERROR(MID(E2016,FIND("(",E2016)+1,FIND(")",E2016)-FIND("(",E2016)-1),"")</f>
      </c>
      <c r="B2016" s="46" t="s">
        <v>1178</v>
      </c>
      <c r="C2016" s="46">
        <v>76830</v>
      </c>
      <c r="D2016" s="46" t="s">
        <v>3770</v>
      </c>
      <c r="E2016" s="46" t="s">
        <v>3771</v>
      </c>
      <c r="F2016" s="46" t="s">
        <v>24</v>
      </c>
      <c r="G2016" s="47">
        <v>3.27</v>
      </c>
      <c r="H2016" s="48">
        <v>19.67</v>
      </c>
      <c r="I2016" s="48">
        <v>78.679</v>
      </c>
      <c r="J2016" s="49">
        <v>4</v>
      </c>
      <c r="K2016" s="49">
        <v>0</v>
      </c>
      <c r="L2016" s="49">
        <v>4</v>
      </c>
    </row>
    <row r="2017" spans="1:12" x14ac:dyDescent="0.25">
      <c r="A2017" s="45">
        <f>C2017&amp;"."&amp;IFERROR(MID(E2017,FIND("(",E2017)+1,FIND(")",E2017)-FIND("(",E2017)-1),"")</f>
      </c>
      <c r="B2017" s="46" t="s">
        <v>1178</v>
      </c>
      <c r="C2017" s="46">
        <v>76830</v>
      </c>
      <c r="D2017" s="46" t="s">
        <v>3770</v>
      </c>
      <c r="E2017" s="46" t="s">
        <v>3772</v>
      </c>
      <c r="F2017" s="46" t="s">
        <v>24</v>
      </c>
      <c r="G2017" s="47">
        <v>3.27</v>
      </c>
      <c r="H2017" s="48">
        <v>10.29</v>
      </c>
      <c r="I2017" s="48">
        <v>82.32</v>
      </c>
      <c r="J2017" s="49">
        <v>8</v>
      </c>
      <c r="K2017" s="49">
        <v>0</v>
      </c>
      <c r="L2017" s="49">
        <v>8</v>
      </c>
    </row>
    <row r="2018" spans="1:12" x14ac:dyDescent="0.25">
      <c r="A2018" s="45">
        <f>C2018&amp;"."&amp;IFERROR(MID(E2018,FIND("(",E2018)+1,FIND(")",E2018)-FIND("(",E2018)-1),"")</f>
      </c>
      <c r="B2018" s="46" t="s">
        <v>1178</v>
      </c>
      <c r="C2018" s="46">
        <v>76830</v>
      </c>
      <c r="D2018" s="46" t="s">
        <v>3770</v>
      </c>
      <c r="E2018" s="46" t="s">
        <v>3773</v>
      </c>
      <c r="F2018" s="46" t="s">
        <v>24</v>
      </c>
      <c r="G2018" s="47">
        <v>3.27</v>
      </c>
      <c r="H2018" s="48">
        <v>20.915</v>
      </c>
      <c r="I2018" s="48">
        <v>41.83</v>
      </c>
      <c r="J2018" s="49">
        <v>2</v>
      </c>
      <c r="K2018" s="49">
        <v>1</v>
      </c>
      <c r="L2018" s="49">
        <v>1</v>
      </c>
    </row>
    <row r="2019" spans="1:12" x14ac:dyDescent="0.25">
      <c r="A2019" s="45">
        <f>C2019&amp;"."&amp;IFERROR(MID(E2019,FIND("(",E2019)+1,FIND(")",E2019)-FIND("(",E2019)-1),"")</f>
      </c>
      <c r="B2019" s="46" t="s">
        <v>1178</v>
      </c>
      <c r="C2019" s="46">
        <v>76831</v>
      </c>
      <c r="D2019" s="46" t="s">
        <v>3774</v>
      </c>
      <c r="E2019" s="46" t="s">
        <v>3775</v>
      </c>
      <c r="F2019" s="46" t="s">
        <v>24</v>
      </c>
      <c r="G2019" s="47">
        <v>0.33</v>
      </c>
      <c r="H2019" s="48">
        <v>2.01</v>
      </c>
      <c r="I2019" s="48">
        <v>8.04</v>
      </c>
      <c r="J2019" s="49">
        <v>4</v>
      </c>
      <c r="K2019" s="49">
        <v>0</v>
      </c>
      <c r="L2019" s="49">
        <v>4</v>
      </c>
    </row>
    <row r="2020" spans="1:12" x14ac:dyDescent="0.25">
      <c r="A2020" s="45">
        <f>C2020&amp;"."&amp;IFERROR(MID(E2020,FIND("(",E2020)+1,FIND(")",E2020)-FIND("(",E2020)-1),"")</f>
      </c>
      <c r="B2020" s="46" t="s">
        <v>1178</v>
      </c>
      <c r="C2020" s="46">
        <v>76831</v>
      </c>
      <c r="D2020" s="46" t="s">
        <v>3774</v>
      </c>
      <c r="E2020" s="46" t="s">
        <v>3776</v>
      </c>
      <c r="F2020" s="46" t="s">
        <v>24</v>
      </c>
      <c r="G2020" s="47">
        <v>0.33</v>
      </c>
      <c r="H2020" s="48">
        <v>0.834</v>
      </c>
      <c r="I2020" s="48">
        <v>5.836</v>
      </c>
      <c r="J2020" s="49">
        <v>7</v>
      </c>
      <c r="K2020" s="49">
        <v>1</v>
      </c>
      <c r="L2020" s="49">
        <v>6</v>
      </c>
    </row>
    <row r="2021" spans="1:12" x14ac:dyDescent="0.25">
      <c r="A2021" s="45">
        <f>C2021&amp;"."&amp;IFERROR(MID(E2021,FIND("(",E2021)+1,FIND(")",E2021)-FIND("(",E2021)-1),"")</f>
      </c>
      <c r="B2021" s="46" t="s">
        <v>1178</v>
      </c>
      <c r="C2021" s="46">
        <v>76847</v>
      </c>
      <c r="D2021" s="46" t="s">
        <v>3777</v>
      </c>
      <c r="E2021" s="46" t="s">
        <v>3778</v>
      </c>
      <c r="F2021" s="46" t="s">
        <v>26</v>
      </c>
      <c r="G2021" s="47">
        <v>3.16</v>
      </c>
      <c r="H2021" s="48">
        <v>7.757</v>
      </c>
      <c r="I2021" s="48">
        <v>23.27</v>
      </c>
      <c r="J2021" s="49">
        <v>3</v>
      </c>
      <c r="K2021" s="49">
        <v>0</v>
      </c>
      <c r="L2021" s="49">
        <v>3</v>
      </c>
    </row>
    <row r="2022" spans="1:12" x14ac:dyDescent="0.25">
      <c r="A2022" s="45">
        <f>C2022&amp;"."&amp;IFERROR(MID(E2022,FIND("(",E2022)+1,FIND(")",E2022)-FIND("(",E2022)-1),"")</f>
      </c>
      <c r="B2022" s="46" t="s">
        <v>1178</v>
      </c>
      <c r="C2022" s="46">
        <v>76847</v>
      </c>
      <c r="D2022" s="46" t="s">
        <v>3777</v>
      </c>
      <c r="E2022" s="46" t="s">
        <v>3779</v>
      </c>
      <c r="F2022" s="46" t="s">
        <v>26</v>
      </c>
      <c r="G2022" s="47">
        <v>3.16</v>
      </c>
      <c r="H2022" s="48">
        <v>7.696</v>
      </c>
      <c r="I2022" s="48">
        <v>7.696</v>
      </c>
      <c r="J2022" s="49">
        <v>1</v>
      </c>
      <c r="K2022" s="49">
        <v>0</v>
      </c>
      <c r="L2022" s="49">
        <v>1</v>
      </c>
    </row>
    <row r="2023" spans="1:12" x14ac:dyDescent="0.25">
      <c r="A2023" s="45">
        <f>C2023&amp;"."&amp;IFERROR(MID(E2023,FIND("(",E2023)+1,FIND(")",E2023)-FIND("(",E2023)-1),"")</f>
      </c>
      <c r="B2023" s="46" t="s">
        <v>1178</v>
      </c>
      <c r="C2023" s="46">
        <v>76849</v>
      </c>
      <c r="D2023" s="46" t="s">
        <v>3780</v>
      </c>
      <c r="E2023" s="46" t="s">
        <v>3781</v>
      </c>
      <c r="F2023" s="46" t="s">
        <v>26</v>
      </c>
      <c r="G2023" s="47">
        <v>3.16</v>
      </c>
      <c r="H2023" s="48">
        <v>8.398</v>
      </c>
      <c r="I2023" s="48">
        <v>25.194</v>
      </c>
      <c r="J2023" s="49">
        <v>3</v>
      </c>
      <c r="K2023" s="49">
        <v>0</v>
      </c>
      <c r="L2023" s="49">
        <v>3</v>
      </c>
    </row>
    <row r="2024" spans="1:12" x14ac:dyDescent="0.25">
      <c r="A2024" s="45">
        <f>C2024&amp;"."&amp;IFERROR(MID(E2024,FIND("(",E2024)+1,FIND(")",E2024)-FIND("(",E2024)-1),"")</f>
      </c>
      <c r="B2024" s="46" t="s">
        <v>1178</v>
      </c>
      <c r="C2024" s="46">
        <v>76850</v>
      </c>
      <c r="D2024" s="46" t="s">
        <v>3782</v>
      </c>
      <c r="E2024" s="46" t="s">
        <v>3783</v>
      </c>
      <c r="F2024" s="46" t="s">
        <v>26</v>
      </c>
      <c r="G2024" s="47">
        <v>1.61</v>
      </c>
      <c r="H2024" s="48">
        <v>3.28</v>
      </c>
      <c r="I2024" s="48">
        <v>26.236</v>
      </c>
      <c r="J2024" s="49">
        <v>8</v>
      </c>
      <c r="K2024" s="49">
        <v>0</v>
      </c>
      <c r="L2024" s="49">
        <v>8</v>
      </c>
    </row>
    <row r="2025" spans="1:12" x14ac:dyDescent="0.25">
      <c r="A2025" s="45">
        <f>C2025&amp;"."&amp;IFERROR(MID(E2025,FIND("(",E2025)+1,FIND(")",E2025)-FIND("(",E2025)-1),"")</f>
      </c>
      <c r="B2025" s="46" t="s">
        <v>1178</v>
      </c>
      <c r="C2025" s="46">
        <v>76851</v>
      </c>
      <c r="D2025" s="46" t="s">
        <v>3784</v>
      </c>
      <c r="E2025" s="46" t="s">
        <v>1248</v>
      </c>
      <c r="F2025" s="46" t="s">
        <v>26</v>
      </c>
      <c r="G2025" s="47">
        <v>1.61</v>
      </c>
      <c r="H2025" s="48">
        <v>3.812</v>
      </c>
      <c r="I2025" s="48">
        <v>7.624</v>
      </c>
      <c r="J2025" s="49">
        <v>2</v>
      </c>
      <c r="K2025" s="49">
        <v>0</v>
      </c>
      <c r="L2025" s="49">
        <v>2</v>
      </c>
    </row>
    <row r="2026" spans="1:12" x14ac:dyDescent="0.25">
      <c r="A2026" s="45">
        <f>C2026&amp;"."&amp;IFERROR(MID(E2026,FIND("(",E2026)+1,FIND(")",E2026)-FIND("(",E2026)-1),"")</f>
      </c>
      <c r="B2026" s="46" t="s">
        <v>1178</v>
      </c>
      <c r="C2026" s="46">
        <v>76853</v>
      </c>
      <c r="D2026" s="46" t="s">
        <v>3785</v>
      </c>
      <c r="E2026" s="46" t="s">
        <v>3786</v>
      </c>
      <c r="F2026" s="46" t="s">
        <v>26</v>
      </c>
      <c r="G2026" s="47">
        <v>11.95</v>
      </c>
      <c r="H2026" s="48">
        <v>30.749</v>
      </c>
      <c r="I2026" s="48">
        <v>30.749</v>
      </c>
      <c r="J2026" s="49">
        <v>1</v>
      </c>
      <c r="K2026" s="49">
        <v>0</v>
      </c>
      <c r="L2026" s="49">
        <v>1</v>
      </c>
    </row>
    <row r="2027" spans="1:12" x14ac:dyDescent="0.25">
      <c r="A2027" s="45">
        <f>C2027&amp;"."&amp;IFERROR(MID(E2027,FIND("(",E2027)+1,FIND(")",E2027)-FIND("(",E2027)-1),"")</f>
      </c>
      <c r="B2027" s="46" t="s">
        <v>1178</v>
      </c>
      <c r="C2027" s="46">
        <v>76853</v>
      </c>
      <c r="D2027" s="46" t="s">
        <v>3785</v>
      </c>
      <c r="E2027" s="46" t="s">
        <v>3787</v>
      </c>
      <c r="F2027" s="46" t="s">
        <v>26</v>
      </c>
      <c r="G2027" s="47">
        <v>11.95</v>
      </c>
      <c r="H2027" s="48">
        <v>31.935</v>
      </c>
      <c r="I2027" s="48">
        <v>159.673</v>
      </c>
      <c r="J2027" s="49">
        <v>5</v>
      </c>
      <c r="K2027" s="49">
        <v>0</v>
      </c>
      <c r="L2027" s="49">
        <v>5</v>
      </c>
    </row>
    <row r="2028" spans="1:12" x14ac:dyDescent="0.25">
      <c r="A2028" s="45">
        <f>C2028&amp;"."&amp;IFERROR(MID(E2028,FIND("(",E2028)+1,FIND(")",E2028)-FIND("(",E2028)-1),"")</f>
      </c>
      <c r="B2028" s="46" t="s">
        <v>1178</v>
      </c>
      <c r="C2028" s="46">
        <v>76854</v>
      </c>
      <c r="D2028" s="46" t="s">
        <v>3788</v>
      </c>
      <c r="E2028" s="46" t="s">
        <v>3789</v>
      </c>
      <c r="F2028" s="46" t="s">
        <v>26</v>
      </c>
      <c r="G2028" s="47">
        <v>12.26</v>
      </c>
      <c r="H2028" s="48">
        <v>29.962</v>
      </c>
      <c r="I2028" s="48">
        <v>29.962</v>
      </c>
      <c r="J2028" s="49">
        <v>1</v>
      </c>
      <c r="K2028" s="49">
        <v>0</v>
      </c>
      <c r="L2028" s="49">
        <v>1</v>
      </c>
    </row>
    <row r="2029" spans="1:12" x14ac:dyDescent="0.25">
      <c r="A2029" s="45">
        <f>C2029&amp;"."&amp;IFERROR(MID(E2029,FIND("(",E2029)+1,FIND(")",E2029)-FIND("(",E2029)-1),"")</f>
      </c>
      <c r="B2029" s="46" t="s">
        <v>1178</v>
      </c>
      <c r="C2029" s="46">
        <v>76854</v>
      </c>
      <c r="D2029" s="46" t="s">
        <v>3788</v>
      </c>
      <c r="E2029" s="46" t="s">
        <v>3790</v>
      </c>
      <c r="F2029" s="46" t="s">
        <v>26</v>
      </c>
      <c r="G2029" s="47">
        <v>12.26</v>
      </c>
      <c r="H2029" s="48">
        <v>30.216</v>
      </c>
      <c r="I2029" s="48">
        <v>30.216</v>
      </c>
      <c r="J2029" s="49">
        <v>1</v>
      </c>
      <c r="K2029" s="49">
        <v>0</v>
      </c>
      <c r="L2029" s="49">
        <v>1</v>
      </c>
    </row>
    <row r="2030" spans="1:12" x14ac:dyDescent="0.25">
      <c r="A2030" s="45">
        <f>C2030&amp;"."&amp;IFERROR(MID(E2030,FIND("(",E2030)+1,FIND(")",E2030)-FIND("(",E2030)-1),"")</f>
      </c>
      <c r="B2030" s="46" t="s">
        <v>1178</v>
      </c>
      <c r="C2030" s="46">
        <v>76857</v>
      </c>
      <c r="D2030" s="46" t="s">
        <v>3791</v>
      </c>
      <c r="E2030" s="46" t="s">
        <v>3792</v>
      </c>
      <c r="F2030" s="46" t="s">
        <v>26</v>
      </c>
      <c r="G2030" s="47">
        <v>0</v>
      </c>
      <c r="H2030" s="48">
        <v>6.68</v>
      </c>
      <c r="I2030" s="48">
        <v>6.68</v>
      </c>
      <c r="J2030" s="49">
        <v>1</v>
      </c>
      <c r="K2030" s="49">
        <v>0</v>
      </c>
      <c r="L2030" s="49">
        <v>1</v>
      </c>
    </row>
    <row r="2031" spans="1:12" x14ac:dyDescent="0.25">
      <c r="A2031" s="45">
        <f>C2031&amp;"."&amp;IFERROR(MID(E2031,FIND("(",E2031)+1,FIND(")",E2031)-FIND("(",E2031)-1),"")</f>
      </c>
      <c r="B2031" s="46" t="s">
        <v>1178</v>
      </c>
      <c r="C2031" s="46">
        <v>76857</v>
      </c>
      <c r="D2031" s="46" t="s">
        <v>3791</v>
      </c>
      <c r="E2031" s="46" t="s">
        <v>3793</v>
      </c>
      <c r="F2031" s="46" t="s">
        <v>26</v>
      </c>
      <c r="G2031" s="47">
        <v>0</v>
      </c>
      <c r="H2031" s="48">
        <v>6.849</v>
      </c>
      <c r="I2031" s="48">
        <v>6.849</v>
      </c>
      <c r="J2031" s="49">
        <v>1</v>
      </c>
      <c r="K2031" s="49">
        <v>0</v>
      </c>
      <c r="L2031" s="49">
        <v>1</v>
      </c>
    </row>
    <row r="2032" spans="1:12" x14ac:dyDescent="0.25">
      <c r="A2032" s="45">
        <f>C2032&amp;"."&amp;IFERROR(MID(E2032,FIND("(",E2032)+1,FIND(")",E2032)-FIND("(",E2032)-1),"")</f>
      </c>
      <c r="B2032" s="46" t="s">
        <v>1178</v>
      </c>
      <c r="C2032" s="46">
        <v>76857</v>
      </c>
      <c r="D2032" s="46" t="s">
        <v>3791</v>
      </c>
      <c r="E2032" s="46" t="s">
        <v>3794</v>
      </c>
      <c r="F2032" s="46" t="s">
        <v>26</v>
      </c>
      <c r="G2032" s="47">
        <v>0</v>
      </c>
      <c r="H2032" s="48">
        <v>22.947</v>
      </c>
      <c r="I2032" s="48">
        <v>91.787</v>
      </c>
      <c r="J2032" s="49">
        <v>4</v>
      </c>
      <c r="K2032" s="49">
        <v>0</v>
      </c>
      <c r="L2032" s="49">
        <v>4</v>
      </c>
    </row>
    <row r="2033" spans="1:12" x14ac:dyDescent="0.25">
      <c r="A2033" s="45">
        <f>C2033&amp;"."&amp;IFERROR(MID(E2033,FIND("(",E2033)+1,FIND(")",E2033)-FIND("(",E2033)-1),"")</f>
      </c>
      <c r="B2033" s="46" t="s">
        <v>1178</v>
      </c>
      <c r="C2033" s="46">
        <v>76860</v>
      </c>
      <c r="D2033" s="46" t="s">
        <v>3795</v>
      </c>
      <c r="E2033" s="46" t="s">
        <v>3796</v>
      </c>
      <c r="F2033" s="46" t="s">
        <v>26</v>
      </c>
      <c r="G2033" s="47">
        <v>3.18</v>
      </c>
      <c r="H2033" s="48">
        <v>8.676</v>
      </c>
      <c r="I2033" s="48">
        <v>17.353</v>
      </c>
      <c r="J2033" s="49">
        <v>2</v>
      </c>
      <c r="K2033" s="49">
        <v>0</v>
      </c>
      <c r="L2033" s="49">
        <v>2</v>
      </c>
    </row>
    <row r="2034" spans="1:12" x14ac:dyDescent="0.25">
      <c r="A2034" s="45">
        <f>C2034&amp;"."&amp;IFERROR(MID(E2034,FIND("(",E2034)+1,FIND(")",E2034)-FIND("(",E2034)-1),"")</f>
      </c>
      <c r="B2034" s="46" t="s">
        <v>1178</v>
      </c>
      <c r="C2034" s="46">
        <v>76860</v>
      </c>
      <c r="D2034" s="46" t="s">
        <v>3795</v>
      </c>
      <c r="E2034" s="46" t="s">
        <v>3797</v>
      </c>
      <c r="F2034" s="46" t="s">
        <v>26</v>
      </c>
      <c r="G2034" s="47">
        <v>3.18</v>
      </c>
      <c r="H2034" s="48">
        <v>8.652</v>
      </c>
      <c r="I2034" s="48">
        <v>8.652</v>
      </c>
      <c r="J2034" s="49">
        <v>1</v>
      </c>
      <c r="K2034" s="49">
        <v>0</v>
      </c>
      <c r="L2034" s="49">
        <v>1</v>
      </c>
    </row>
    <row r="2035" spans="1:12" x14ac:dyDescent="0.25">
      <c r="A2035" s="45">
        <f>C2035&amp;"."&amp;IFERROR(MID(E2035,FIND("(",E2035)+1,FIND(")",E2035)-FIND("(",E2035)-1),"")</f>
      </c>
      <c r="B2035" s="46" t="s">
        <v>1178</v>
      </c>
      <c r="C2035" s="46">
        <v>76869</v>
      </c>
      <c r="D2035" s="46" t="s">
        <v>3798</v>
      </c>
      <c r="E2035" s="46" t="s">
        <v>3799</v>
      </c>
      <c r="F2035" s="46" t="s">
        <v>25</v>
      </c>
      <c r="G2035" s="47">
        <v>1.1</v>
      </c>
      <c r="H2035" s="48">
        <v>4.24</v>
      </c>
      <c r="I2035" s="48">
        <v>4.24</v>
      </c>
      <c r="J2035" s="49">
        <v>1</v>
      </c>
      <c r="K2035" s="49">
        <v>0</v>
      </c>
      <c r="L2035" s="49">
        <v>1</v>
      </c>
    </row>
    <row r="2036" spans="1:12" x14ac:dyDescent="0.25">
      <c r="A2036" s="45">
        <f>C2036&amp;"."&amp;IFERROR(MID(E2036,FIND("(",E2036)+1,FIND(")",E2036)-FIND("(",E2036)-1),"")</f>
      </c>
      <c r="B2036" s="46" t="s">
        <v>1178</v>
      </c>
      <c r="C2036" s="46">
        <v>76869</v>
      </c>
      <c r="D2036" s="46" t="s">
        <v>3798</v>
      </c>
      <c r="E2036" s="46" t="s">
        <v>3800</v>
      </c>
      <c r="F2036" s="46" t="s">
        <v>25</v>
      </c>
      <c r="G2036" s="47">
        <v>1.1</v>
      </c>
      <c r="H2036" s="48">
        <v>4.24</v>
      </c>
      <c r="I2036" s="48">
        <v>21.2</v>
      </c>
      <c r="J2036" s="49">
        <v>5</v>
      </c>
      <c r="K2036" s="49">
        <v>0</v>
      </c>
      <c r="L2036" s="49">
        <v>5</v>
      </c>
    </row>
    <row r="2037" spans="1:12" x14ac:dyDescent="0.25">
      <c r="A2037" s="45">
        <f>C2037&amp;"."&amp;IFERROR(MID(E2037,FIND("(",E2037)+1,FIND(")",E2037)-FIND("(",E2037)-1),"")</f>
      </c>
      <c r="B2037" s="46" t="s">
        <v>1178</v>
      </c>
      <c r="C2037" s="46">
        <v>76872</v>
      </c>
      <c r="D2037" s="46" t="s">
        <v>3801</v>
      </c>
      <c r="E2037" s="46" t="s">
        <v>3802</v>
      </c>
      <c r="F2037" s="46" t="s">
        <v>25</v>
      </c>
      <c r="G2037" s="47">
        <v>0.6</v>
      </c>
      <c r="H2037" s="48">
        <v>2.07</v>
      </c>
      <c r="I2037" s="48">
        <v>8.28</v>
      </c>
      <c r="J2037" s="49">
        <v>4</v>
      </c>
      <c r="K2037" s="49">
        <v>0</v>
      </c>
      <c r="L2037" s="49">
        <v>4</v>
      </c>
    </row>
    <row r="2038" spans="1:12" x14ac:dyDescent="0.25">
      <c r="A2038" s="45">
        <f>C2038&amp;"."&amp;IFERROR(MID(E2038,FIND("(",E2038)+1,FIND(")",E2038)-FIND("(",E2038)-1),"")</f>
      </c>
      <c r="B2038" s="46" t="s">
        <v>1178</v>
      </c>
      <c r="C2038" s="46">
        <v>76903</v>
      </c>
      <c r="D2038" s="46" t="s">
        <v>3803</v>
      </c>
      <c r="E2038" s="46" t="s">
        <v>3804</v>
      </c>
      <c r="F2038" s="46" t="s">
        <v>26</v>
      </c>
      <c r="G2038" s="47">
        <v>13.69</v>
      </c>
      <c r="H2038" s="48">
        <v>42.75</v>
      </c>
      <c r="I2038" s="48">
        <v>42.75</v>
      </c>
      <c r="J2038" s="49">
        <v>1</v>
      </c>
      <c r="K2038" s="49">
        <v>0</v>
      </c>
      <c r="L2038" s="49">
        <v>1</v>
      </c>
    </row>
    <row r="2039" spans="1:12" x14ac:dyDescent="0.25">
      <c r="A2039" s="45">
        <f>C2039&amp;"."&amp;IFERROR(MID(E2039,FIND("(",E2039)+1,FIND(")",E2039)-FIND("(",E2039)-1),"")</f>
      </c>
      <c r="B2039" s="46" t="s">
        <v>1178</v>
      </c>
      <c r="C2039" s="46">
        <v>76921</v>
      </c>
      <c r="D2039" s="46" t="s">
        <v>3805</v>
      </c>
      <c r="E2039" s="46" t="s">
        <v>3806</v>
      </c>
      <c r="F2039" s="46" t="s">
        <v>26</v>
      </c>
      <c r="G2039" s="47">
        <v>13.41</v>
      </c>
      <c r="H2039" s="48">
        <v>41.89</v>
      </c>
      <c r="I2039" s="48">
        <v>209.45</v>
      </c>
      <c r="J2039" s="49">
        <v>5</v>
      </c>
      <c r="K2039" s="49">
        <v>0</v>
      </c>
      <c r="L2039" s="49">
        <v>5</v>
      </c>
    </row>
    <row r="2040" spans="1:12" x14ac:dyDescent="0.25">
      <c r="A2040" s="45">
        <f>C2040&amp;"."&amp;IFERROR(MID(E2040,FIND("(",E2040)+1,FIND(")",E2040)-FIND("(",E2040)-1),"")</f>
      </c>
      <c r="B2040" s="46" t="s">
        <v>1178</v>
      </c>
      <c r="C2040" s="46">
        <v>76956</v>
      </c>
      <c r="D2040" s="46" t="s">
        <v>3807</v>
      </c>
      <c r="E2040" s="46" t="s">
        <v>3808</v>
      </c>
      <c r="F2040" s="46" t="s">
        <v>1926</v>
      </c>
      <c r="G2040" s="47">
        <v>0</v>
      </c>
      <c r="H2040" s="48">
        <v>2.26</v>
      </c>
      <c r="I2040" s="48">
        <v>2.26</v>
      </c>
      <c r="J2040" s="49">
        <v>1</v>
      </c>
      <c r="K2040" s="49">
        <v>0</v>
      </c>
      <c r="L2040" s="49">
        <v>1</v>
      </c>
    </row>
    <row r="2041" spans="1:12" x14ac:dyDescent="0.25">
      <c r="A2041" s="45">
        <f>C2041&amp;"."&amp;IFERROR(MID(E2041,FIND("(",E2041)+1,FIND(")",E2041)-FIND("(",E2041)-1),"")</f>
      </c>
      <c r="B2041" s="46" t="s">
        <v>1178</v>
      </c>
      <c r="C2041" s="46">
        <v>76957</v>
      </c>
      <c r="D2041" s="46" t="s">
        <v>3809</v>
      </c>
      <c r="E2041" s="46" t="s">
        <v>3810</v>
      </c>
      <c r="F2041" s="46" t="s">
        <v>26</v>
      </c>
      <c r="G2041" s="47">
        <v>1.97</v>
      </c>
      <c r="H2041" s="48">
        <v>13.81</v>
      </c>
      <c r="I2041" s="48">
        <v>193.342</v>
      </c>
      <c r="J2041" s="49">
        <v>14</v>
      </c>
      <c r="K2041" s="49">
        <v>6</v>
      </c>
      <c r="L2041" s="49">
        <v>8</v>
      </c>
    </row>
    <row r="2042" spans="1:12" x14ac:dyDescent="0.25">
      <c r="A2042" s="45">
        <f>C2042&amp;"."&amp;IFERROR(MID(E2042,FIND("(",E2042)+1,FIND(")",E2042)-FIND("(",E2042)-1),"")</f>
      </c>
      <c r="B2042" s="46" t="s">
        <v>1178</v>
      </c>
      <c r="C2042" s="46">
        <v>76957</v>
      </c>
      <c r="D2042" s="46" t="s">
        <v>3809</v>
      </c>
      <c r="E2042" s="46" t="s">
        <v>3811</v>
      </c>
      <c r="F2042" s="46" t="s">
        <v>26</v>
      </c>
      <c r="G2042" s="47">
        <v>1.97</v>
      </c>
      <c r="H2042" s="48">
        <v>10.914</v>
      </c>
      <c r="I2042" s="48">
        <v>32.742</v>
      </c>
      <c r="J2042" s="49">
        <v>3</v>
      </c>
      <c r="K2042" s="49">
        <v>1</v>
      </c>
      <c r="L2042" s="49">
        <v>2</v>
      </c>
    </row>
    <row r="2043" spans="1:12" x14ac:dyDescent="0.25">
      <c r="A2043" s="45">
        <f>C2043&amp;"."&amp;IFERROR(MID(E2043,FIND("(",E2043)+1,FIND(")",E2043)-FIND("(",E2043)-1),"")</f>
      </c>
      <c r="B2043" s="46" t="s">
        <v>1178</v>
      </c>
      <c r="C2043" s="46">
        <v>76961</v>
      </c>
      <c r="D2043" s="46" t="s">
        <v>3812</v>
      </c>
      <c r="E2043" s="46" t="s">
        <v>3813</v>
      </c>
      <c r="F2043" s="46" t="s">
        <v>26</v>
      </c>
      <c r="G2043" s="47">
        <v>2.45</v>
      </c>
      <c r="H2043" s="48">
        <v>10.946</v>
      </c>
      <c r="I2043" s="48">
        <v>32.838</v>
      </c>
      <c r="J2043" s="49">
        <v>3</v>
      </c>
      <c r="K2043" s="49">
        <v>2</v>
      </c>
      <c r="L2043" s="49">
        <v>1</v>
      </c>
    </row>
    <row r="2044" spans="1:12" x14ac:dyDescent="0.25">
      <c r="A2044" s="45">
        <f>C2044&amp;"."&amp;IFERROR(MID(E2044,FIND("(",E2044)+1,FIND(")",E2044)-FIND("(",E2044)-1),"")</f>
      </c>
      <c r="B2044" s="46" t="s">
        <v>1178</v>
      </c>
      <c r="C2044" s="46">
        <v>76961</v>
      </c>
      <c r="D2044" s="46" t="s">
        <v>3812</v>
      </c>
      <c r="E2044" s="46" t="s">
        <v>3814</v>
      </c>
      <c r="F2044" s="46" t="s">
        <v>26</v>
      </c>
      <c r="G2044" s="47">
        <v>2.45</v>
      </c>
      <c r="H2044" s="48">
        <v>12.128</v>
      </c>
      <c r="I2044" s="48">
        <v>121.282</v>
      </c>
      <c r="J2044" s="49">
        <v>10</v>
      </c>
      <c r="K2044" s="49">
        <v>0</v>
      </c>
      <c r="L2044" s="49">
        <v>10</v>
      </c>
    </row>
    <row r="2045" spans="1:12" x14ac:dyDescent="0.25">
      <c r="A2045" s="45">
        <f>C2045&amp;"."&amp;IFERROR(MID(E2045,FIND("(",E2045)+1,FIND(")",E2045)-FIND("(",E2045)-1),"")</f>
      </c>
      <c r="B2045" s="46" t="s">
        <v>1178</v>
      </c>
      <c r="C2045" s="46">
        <v>76961</v>
      </c>
      <c r="D2045" s="46" t="s">
        <v>3812</v>
      </c>
      <c r="E2045" s="46" t="s">
        <v>3815</v>
      </c>
      <c r="F2045" s="46" t="s">
        <v>26</v>
      </c>
      <c r="G2045" s="47">
        <v>2.45</v>
      </c>
      <c r="H2045" s="48">
        <v>8.374</v>
      </c>
      <c r="I2045" s="48">
        <v>16.748</v>
      </c>
      <c r="J2045" s="49">
        <v>2</v>
      </c>
      <c r="K2045" s="49">
        <v>0</v>
      </c>
      <c r="L2045" s="49">
        <v>2</v>
      </c>
    </row>
    <row r="2046" spans="1:12" x14ac:dyDescent="0.25">
      <c r="A2046" s="45">
        <f>C2046&amp;"."&amp;IFERROR(MID(E2046,FIND("(",E2046)+1,FIND(")",E2046)-FIND("(",E2046)-1),"")</f>
      </c>
      <c r="B2046" s="46" t="s">
        <v>1178</v>
      </c>
      <c r="C2046" s="46">
        <v>76963</v>
      </c>
      <c r="D2046" s="46" t="s">
        <v>3816</v>
      </c>
      <c r="E2046" s="46" t="s">
        <v>3817</v>
      </c>
      <c r="F2046" s="46" t="s">
        <v>26</v>
      </c>
      <c r="G2046" s="47">
        <v>0.35</v>
      </c>
      <c r="H2046" s="48">
        <v>1.13</v>
      </c>
      <c r="I2046" s="48">
        <v>2.26</v>
      </c>
      <c r="J2046" s="49">
        <v>2</v>
      </c>
      <c r="K2046" s="49">
        <v>0</v>
      </c>
      <c r="L2046" s="49">
        <v>2</v>
      </c>
    </row>
    <row r="2047" spans="1:12" x14ac:dyDescent="0.25">
      <c r="A2047" s="45">
        <f>C2047&amp;"."&amp;IFERROR(MID(E2047,FIND("(",E2047)+1,FIND(")",E2047)-FIND("(",E2047)-1),"")</f>
      </c>
      <c r="B2047" s="46" t="s">
        <v>1178</v>
      </c>
      <c r="C2047" s="46">
        <v>76963</v>
      </c>
      <c r="D2047" s="46" t="s">
        <v>3816</v>
      </c>
      <c r="E2047" s="46" t="s">
        <v>3818</v>
      </c>
      <c r="F2047" s="46" t="s">
        <v>26</v>
      </c>
      <c r="G2047" s="47">
        <v>0.35</v>
      </c>
      <c r="H2047" s="48">
        <v>1.13</v>
      </c>
      <c r="I2047" s="48">
        <v>5.65</v>
      </c>
      <c r="J2047" s="49">
        <v>5</v>
      </c>
      <c r="K2047" s="49">
        <v>0</v>
      </c>
      <c r="L2047" s="49">
        <v>5</v>
      </c>
    </row>
    <row r="2048" spans="1:12" x14ac:dyDescent="0.25">
      <c r="A2048" s="45">
        <f>C2048&amp;"."&amp;IFERROR(MID(E2048,FIND("(",E2048)+1,FIND(")",E2048)-FIND("(",E2048)-1),"")</f>
      </c>
      <c r="B2048" s="46" t="s">
        <v>1178</v>
      </c>
      <c r="C2048" s="46">
        <v>76963</v>
      </c>
      <c r="D2048" s="46" t="s">
        <v>3816</v>
      </c>
      <c r="E2048" s="46" t="s">
        <v>3819</v>
      </c>
      <c r="F2048" s="46" t="s">
        <v>26</v>
      </c>
      <c r="G2048" s="47">
        <v>0.35</v>
      </c>
      <c r="H2048" s="48">
        <v>1.13</v>
      </c>
      <c r="I2048" s="48">
        <v>5.65</v>
      </c>
      <c r="J2048" s="49">
        <v>5</v>
      </c>
      <c r="K2048" s="49">
        <v>0</v>
      </c>
      <c r="L2048" s="49">
        <v>5</v>
      </c>
    </row>
    <row r="2049" spans="1:12" x14ac:dyDescent="0.25">
      <c r="A2049" s="45">
        <f>C2049&amp;"."&amp;IFERROR(MID(E2049,FIND("(",E2049)+1,FIND(")",E2049)-FIND("(",E2049)-1),"")</f>
      </c>
      <c r="B2049" s="46" t="s">
        <v>1178</v>
      </c>
      <c r="C2049" s="46">
        <v>77001</v>
      </c>
      <c r="D2049" s="46" t="s">
        <v>3820</v>
      </c>
      <c r="E2049" s="46" t="s">
        <v>3821</v>
      </c>
      <c r="F2049" s="46" t="s">
        <v>26</v>
      </c>
      <c r="G2049" s="47">
        <v>15.6</v>
      </c>
      <c r="H2049" s="48">
        <v>44.413</v>
      </c>
      <c r="I2049" s="48">
        <v>310.892</v>
      </c>
      <c r="J2049" s="49">
        <v>7</v>
      </c>
      <c r="K2049" s="49">
        <v>7</v>
      </c>
      <c r="L2049" s="49">
        <v>0</v>
      </c>
    </row>
    <row r="2050" spans="1:12" x14ac:dyDescent="0.25">
      <c r="A2050" s="45">
        <f>C2050&amp;"."&amp;IFERROR(MID(E2050,FIND("(",E2050)+1,FIND(")",E2050)-FIND("(",E2050)-1),"")</f>
      </c>
      <c r="B2050" s="46" t="s">
        <v>1178</v>
      </c>
      <c r="C2050" s="46">
        <v>77001</v>
      </c>
      <c r="D2050" s="46" t="s">
        <v>3820</v>
      </c>
      <c r="E2050" s="46" t="s">
        <v>3822</v>
      </c>
      <c r="F2050" s="46" t="s">
        <v>26</v>
      </c>
      <c r="G2050" s="47">
        <v>15.6</v>
      </c>
      <c r="H2050" s="48">
        <v>41.046</v>
      </c>
      <c r="I2050" s="48">
        <v>82.092</v>
      </c>
      <c r="J2050" s="49">
        <v>2</v>
      </c>
      <c r="K2050" s="49">
        <v>2</v>
      </c>
      <c r="L2050" s="49">
        <v>0</v>
      </c>
    </row>
    <row r="2051" spans="1:12" x14ac:dyDescent="0.25">
      <c r="A2051" s="45">
        <f>C2051&amp;"."&amp;IFERROR(MID(E2051,FIND("(",E2051)+1,FIND(")",E2051)-FIND("(",E2051)-1),"")</f>
      </c>
      <c r="B2051" s="46" t="s">
        <v>1178</v>
      </c>
      <c r="C2051" s="46">
        <v>77002</v>
      </c>
      <c r="D2051" s="46" t="s">
        <v>3823</v>
      </c>
      <c r="E2051" s="46" t="s">
        <v>3824</v>
      </c>
      <c r="F2051" s="46" t="s">
        <v>26</v>
      </c>
      <c r="G2051" s="47">
        <v>0.8</v>
      </c>
      <c r="H2051" s="48">
        <v>11.074</v>
      </c>
      <c r="I2051" s="48">
        <v>553.724</v>
      </c>
      <c r="J2051" s="49">
        <v>50</v>
      </c>
      <c r="K2051" s="49">
        <v>19</v>
      </c>
      <c r="L2051" s="49">
        <v>31</v>
      </c>
    </row>
    <row r="2052" spans="1:12" x14ac:dyDescent="0.25">
      <c r="A2052" s="45">
        <f>C2052&amp;"."&amp;IFERROR(MID(E2052,FIND("(",E2052)+1,FIND(")",E2052)-FIND("(",E2052)-1),"")</f>
      </c>
      <c r="B2052" s="46" t="s">
        <v>1178</v>
      </c>
      <c r="C2052" s="46">
        <v>77002</v>
      </c>
      <c r="D2052" s="46" t="s">
        <v>3823</v>
      </c>
      <c r="E2052" s="46" t="s">
        <v>3825</v>
      </c>
      <c r="F2052" s="46" t="s">
        <v>26</v>
      </c>
      <c r="G2052" s="47">
        <v>0.8</v>
      </c>
      <c r="H2052" s="48">
        <v>11.29</v>
      </c>
      <c r="I2052" s="48">
        <v>11.29</v>
      </c>
      <c r="J2052" s="49">
        <v>1</v>
      </c>
      <c r="K2052" s="49">
        <v>0</v>
      </c>
      <c r="L2052" s="49">
        <v>1</v>
      </c>
    </row>
    <row r="2053" spans="1:12" x14ac:dyDescent="0.25">
      <c r="A2053" s="45">
        <f>C2053&amp;"."&amp;IFERROR(MID(E2053,FIND("(",E2053)+1,FIND(")",E2053)-FIND("(",E2053)-1),"")</f>
      </c>
      <c r="B2053" s="46" t="s">
        <v>1178</v>
      </c>
      <c r="C2053" s="46">
        <v>77002</v>
      </c>
      <c r="D2053" s="46" t="s">
        <v>3823</v>
      </c>
      <c r="E2053" s="46" t="s">
        <v>3826</v>
      </c>
      <c r="F2053" s="46" t="s">
        <v>26</v>
      </c>
      <c r="G2053" s="47">
        <v>0.8</v>
      </c>
      <c r="H2053" s="48">
        <v>9.655</v>
      </c>
      <c r="I2053" s="48">
        <v>28.966</v>
      </c>
      <c r="J2053" s="49">
        <v>3</v>
      </c>
      <c r="K2053" s="49">
        <v>2</v>
      </c>
      <c r="L2053" s="49">
        <v>1</v>
      </c>
    </row>
    <row r="2054" spans="1:12" x14ac:dyDescent="0.25">
      <c r="A2054" s="45">
        <f>C2054&amp;"."&amp;IFERROR(MID(E2054,FIND("(",E2054)+1,FIND(")",E2054)-FIND("(",E2054)-1),"")</f>
      </c>
      <c r="B2054" s="46" t="s">
        <v>1178</v>
      </c>
      <c r="C2054" s="46">
        <v>77021</v>
      </c>
      <c r="D2054" s="46" t="s">
        <v>3827</v>
      </c>
      <c r="E2054" s="46" t="s">
        <v>3828</v>
      </c>
      <c r="F2054" s="46" t="s">
        <v>26</v>
      </c>
      <c r="G2054" s="47">
        <v>11.9</v>
      </c>
      <c r="H2054" s="48">
        <v>26.422</v>
      </c>
      <c r="I2054" s="48">
        <v>79.265</v>
      </c>
      <c r="J2054" s="49">
        <v>3</v>
      </c>
      <c r="K2054" s="49">
        <v>0</v>
      </c>
      <c r="L2054" s="49">
        <v>3</v>
      </c>
    </row>
    <row r="2055" spans="1:12" x14ac:dyDescent="0.25">
      <c r="A2055" s="45">
        <f>C2055&amp;"."&amp;IFERROR(MID(E2055,FIND("(",E2055)+1,FIND(")",E2055)-FIND("(",E2055)-1),"")</f>
      </c>
      <c r="B2055" s="46" t="s">
        <v>1178</v>
      </c>
      <c r="C2055" s="46">
        <v>77021</v>
      </c>
      <c r="D2055" s="46" t="s">
        <v>3827</v>
      </c>
      <c r="E2055" s="46" t="s">
        <v>3829</v>
      </c>
      <c r="F2055" s="46" t="s">
        <v>26</v>
      </c>
      <c r="G2055" s="47">
        <v>11.9</v>
      </c>
      <c r="H2055" s="48">
        <v>31.52</v>
      </c>
      <c r="I2055" s="48">
        <v>63.04</v>
      </c>
      <c r="J2055" s="49">
        <v>2</v>
      </c>
      <c r="K2055" s="49">
        <v>0</v>
      </c>
      <c r="L2055" s="49">
        <v>2</v>
      </c>
    </row>
    <row r="2056" spans="1:12" x14ac:dyDescent="0.25">
      <c r="A2056" s="45">
        <f>C2056&amp;"."&amp;IFERROR(MID(E2056,FIND("(",E2056)+1,FIND(")",E2056)-FIND("(",E2056)-1),"")</f>
      </c>
      <c r="B2056" s="46" t="s">
        <v>1178</v>
      </c>
      <c r="C2056" s="46">
        <v>77026</v>
      </c>
      <c r="D2056" s="46" t="s">
        <v>3830</v>
      </c>
      <c r="E2056" s="46" t="s">
        <v>3831</v>
      </c>
      <c r="F2056" s="46" t="s">
        <v>26</v>
      </c>
      <c r="G2056" s="47">
        <v>0.54</v>
      </c>
      <c r="H2056" s="48">
        <v>1.65</v>
      </c>
      <c r="I2056" s="48">
        <v>3.3</v>
      </c>
      <c r="J2056" s="49">
        <v>2</v>
      </c>
      <c r="K2056" s="49">
        <v>0</v>
      </c>
      <c r="L2056" s="49">
        <v>2</v>
      </c>
    </row>
    <row r="2057" spans="1:12" x14ac:dyDescent="0.25">
      <c r="A2057" s="45">
        <f>C2057&amp;"."&amp;IFERROR(MID(E2057,FIND("(",E2057)+1,FIND(")",E2057)-FIND("(",E2057)-1),"")</f>
      </c>
      <c r="B2057" s="46" t="s">
        <v>1178</v>
      </c>
      <c r="C2057" s="46">
        <v>77026</v>
      </c>
      <c r="D2057" s="46" t="s">
        <v>3830</v>
      </c>
      <c r="E2057" s="46" t="s">
        <v>3832</v>
      </c>
      <c r="F2057" s="46" t="s">
        <v>26</v>
      </c>
      <c r="G2057" s="47">
        <v>0.54</v>
      </c>
      <c r="H2057" s="48">
        <v>1.65</v>
      </c>
      <c r="I2057" s="48">
        <v>3.3</v>
      </c>
      <c r="J2057" s="49">
        <v>2</v>
      </c>
      <c r="K2057" s="49">
        <v>0</v>
      </c>
      <c r="L2057" s="49">
        <v>2</v>
      </c>
    </row>
    <row r="2058" spans="1:12" x14ac:dyDescent="0.25">
      <c r="A2058" s="45">
        <f>C2058&amp;"."&amp;IFERROR(MID(E2058,FIND("(",E2058)+1,FIND(")",E2058)-FIND("(",E2058)-1),"")</f>
      </c>
      <c r="B2058" s="46" t="s">
        <v>1178</v>
      </c>
      <c r="C2058" s="46">
        <v>77026</v>
      </c>
      <c r="D2058" s="46" t="s">
        <v>3830</v>
      </c>
      <c r="E2058" s="46" t="s">
        <v>3833</v>
      </c>
      <c r="F2058" s="46" t="s">
        <v>26</v>
      </c>
      <c r="G2058" s="47">
        <v>0.54</v>
      </c>
      <c r="H2058" s="48">
        <v>1.65</v>
      </c>
      <c r="I2058" s="48">
        <v>1.65</v>
      </c>
      <c r="J2058" s="49">
        <v>1</v>
      </c>
      <c r="K2058" s="49">
        <v>0</v>
      </c>
      <c r="L2058" s="49">
        <v>1</v>
      </c>
    </row>
    <row r="2059" spans="1:12" x14ac:dyDescent="0.25">
      <c r="A2059" s="45">
        <f>C2059&amp;"."&amp;IFERROR(MID(E2059,FIND("(",E2059)+1,FIND(")",E2059)-FIND("(",E2059)-1),"")</f>
      </c>
      <c r="B2059" s="46" t="s">
        <v>1178</v>
      </c>
      <c r="C2059" s="46">
        <v>77029</v>
      </c>
      <c r="D2059" s="46" t="s">
        <v>3834</v>
      </c>
      <c r="E2059" s="46" t="s">
        <v>3835</v>
      </c>
      <c r="F2059" s="46" t="s">
        <v>26</v>
      </c>
      <c r="G2059" s="47">
        <v>3.11</v>
      </c>
      <c r="H2059" s="48">
        <v>11.36</v>
      </c>
      <c r="I2059" s="48">
        <v>56.8</v>
      </c>
      <c r="J2059" s="49">
        <v>5</v>
      </c>
      <c r="K2059" s="49">
        <v>0</v>
      </c>
      <c r="L2059" s="49">
        <v>5</v>
      </c>
    </row>
    <row r="2060" spans="1:12" x14ac:dyDescent="0.25">
      <c r="A2060" s="45">
        <f>C2060&amp;"."&amp;IFERROR(MID(E2060,FIND("(",E2060)+1,FIND(")",E2060)-FIND("(",E2060)-1),"")</f>
      </c>
      <c r="B2060" s="46" t="s">
        <v>1178</v>
      </c>
      <c r="C2060" s="46">
        <v>77029</v>
      </c>
      <c r="D2060" s="46" t="s">
        <v>3834</v>
      </c>
      <c r="E2060" s="46" t="s">
        <v>3836</v>
      </c>
      <c r="F2060" s="46" t="s">
        <v>26</v>
      </c>
      <c r="G2060" s="47">
        <v>3.11</v>
      </c>
      <c r="H2060" s="48">
        <v>11.36</v>
      </c>
      <c r="I2060" s="48">
        <v>56.8</v>
      </c>
      <c r="J2060" s="49">
        <v>5</v>
      </c>
      <c r="K2060" s="49">
        <v>0</v>
      </c>
      <c r="L2060" s="49">
        <v>5</v>
      </c>
    </row>
    <row r="2061" spans="1:12" x14ac:dyDescent="0.25">
      <c r="A2061" s="45">
        <f>C2061&amp;"."&amp;IFERROR(MID(E2061,FIND("(",E2061)+1,FIND(")",E2061)-FIND("(",E2061)-1),"")</f>
      </c>
      <c r="B2061" s="46" t="s">
        <v>1178</v>
      </c>
      <c r="C2061" s="46">
        <v>77029</v>
      </c>
      <c r="D2061" s="46" t="s">
        <v>3834</v>
      </c>
      <c r="E2061" s="46" t="s">
        <v>3837</v>
      </c>
      <c r="F2061" s="46" t="s">
        <v>26</v>
      </c>
      <c r="G2061" s="47">
        <v>3.11</v>
      </c>
      <c r="H2061" s="48">
        <v>11.36</v>
      </c>
      <c r="I2061" s="48">
        <v>102.24</v>
      </c>
      <c r="J2061" s="49">
        <v>9</v>
      </c>
      <c r="K2061" s="49">
        <v>0</v>
      </c>
      <c r="L2061" s="49">
        <v>9</v>
      </c>
    </row>
    <row r="2062" spans="1:12" x14ac:dyDescent="0.25">
      <c r="A2062" s="45">
        <f>C2062&amp;"."&amp;IFERROR(MID(E2062,FIND("(",E2062)+1,FIND(")",E2062)-FIND("(",E2062)-1),"")</f>
      </c>
      <c r="B2062" s="46" t="s">
        <v>1178</v>
      </c>
      <c r="C2062" s="46">
        <v>77033</v>
      </c>
      <c r="D2062" s="46" t="s">
        <v>3838</v>
      </c>
      <c r="E2062" s="46" t="s">
        <v>3839</v>
      </c>
      <c r="F2062" s="46" t="s">
        <v>26</v>
      </c>
      <c r="G2062" s="47">
        <v>10.42</v>
      </c>
      <c r="H2062" s="48">
        <v>18.173</v>
      </c>
      <c r="I2062" s="48">
        <v>290.769</v>
      </c>
      <c r="J2062" s="49">
        <v>16</v>
      </c>
      <c r="K2062" s="49">
        <v>1</v>
      </c>
      <c r="L2062" s="49">
        <v>15</v>
      </c>
    </row>
    <row r="2063" spans="1:12" x14ac:dyDescent="0.25">
      <c r="A2063" s="45">
        <f>C2063&amp;"."&amp;IFERROR(MID(E2063,FIND("(",E2063)+1,FIND(")",E2063)-FIND("(",E2063)-1),"")</f>
      </c>
      <c r="B2063" s="46" t="s">
        <v>1178</v>
      </c>
      <c r="C2063" s="46">
        <v>77033</v>
      </c>
      <c r="D2063" s="46" t="s">
        <v>3838</v>
      </c>
      <c r="E2063" s="46" t="s">
        <v>3840</v>
      </c>
      <c r="F2063" s="46" t="s">
        <v>26</v>
      </c>
      <c r="G2063" s="47">
        <v>10.42</v>
      </c>
      <c r="H2063" s="48">
        <v>28.685</v>
      </c>
      <c r="I2063" s="48">
        <v>286.85</v>
      </c>
      <c r="J2063" s="49">
        <v>10</v>
      </c>
      <c r="K2063" s="49">
        <v>0</v>
      </c>
      <c r="L2063" s="49">
        <v>10</v>
      </c>
    </row>
    <row r="2064" spans="1:12" x14ac:dyDescent="0.25">
      <c r="A2064" s="45">
        <f>C2064&amp;"."&amp;IFERROR(MID(E2064,FIND("(",E2064)+1,FIND(")",E2064)-FIND("(",E2064)-1),"")</f>
      </c>
      <c r="B2064" s="46" t="s">
        <v>1178</v>
      </c>
      <c r="C2064" s="46">
        <v>77033</v>
      </c>
      <c r="D2064" s="46" t="s">
        <v>3838</v>
      </c>
      <c r="E2064" s="46" t="s">
        <v>3841</v>
      </c>
      <c r="F2064" s="46" t="s">
        <v>26</v>
      </c>
      <c r="G2064" s="47">
        <v>10.42</v>
      </c>
      <c r="H2064" s="48">
        <v>34.654</v>
      </c>
      <c r="I2064" s="48">
        <v>103.963</v>
      </c>
      <c r="J2064" s="49">
        <v>3</v>
      </c>
      <c r="K2064" s="49">
        <v>0</v>
      </c>
      <c r="L2064" s="49">
        <v>3</v>
      </c>
    </row>
    <row r="2065" spans="1:12" x14ac:dyDescent="0.25">
      <c r="A2065" s="45">
        <f>C2065&amp;"."&amp;IFERROR(MID(E2065,FIND("(",E2065)+1,FIND(")",E2065)-FIND("(",E2065)-1),"")</f>
      </c>
      <c r="B2065" s="46" t="s">
        <v>1178</v>
      </c>
      <c r="C2065" s="46">
        <v>77037</v>
      </c>
      <c r="D2065" s="46" t="s">
        <v>3842</v>
      </c>
      <c r="E2065" s="46" t="s">
        <v>3843</v>
      </c>
      <c r="F2065" s="46" t="s">
        <v>26</v>
      </c>
      <c r="G2065" s="47">
        <v>1.92</v>
      </c>
      <c r="H2065" s="48">
        <v>10.531</v>
      </c>
      <c r="I2065" s="48">
        <v>168.495</v>
      </c>
      <c r="J2065" s="49">
        <v>16</v>
      </c>
      <c r="K2065" s="49">
        <v>1</v>
      </c>
      <c r="L2065" s="49">
        <v>15</v>
      </c>
    </row>
    <row r="2066" spans="1:12" x14ac:dyDescent="0.25">
      <c r="A2066" s="45">
        <f>C2066&amp;"."&amp;IFERROR(MID(E2066,FIND("(",E2066)+1,FIND(")",E2066)-FIND("(",E2066)-1),"")</f>
      </c>
      <c r="B2066" s="46" t="s">
        <v>1178</v>
      </c>
      <c r="C2066" s="46">
        <v>77037</v>
      </c>
      <c r="D2066" s="46" t="s">
        <v>3842</v>
      </c>
      <c r="E2066" s="46" t="s">
        <v>3844</v>
      </c>
      <c r="F2066" s="46" t="s">
        <v>26</v>
      </c>
      <c r="G2066" s="47">
        <v>1.92</v>
      </c>
      <c r="H2066" s="48">
        <v>11.45</v>
      </c>
      <c r="I2066" s="48">
        <v>34.35</v>
      </c>
      <c r="J2066" s="49">
        <v>3</v>
      </c>
      <c r="K2066" s="49">
        <v>0</v>
      </c>
      <c r="L2066" s="49">
        <v>3</v>
      </c>
    </row>
    <row r="2067" spans="1:12" x14ac:dyDescent="0.25">
      <c r="A2067" s="45">
        <f>C2067&amp;"."&amp;IFERROR(MID(E2067,FIND("(",E2067)+1,FIND(")",E2067)-FIND("(",E2067)-1),"")</f>
      </c>
      <c r="B2067" s="46" t="s">
        <v>1178</v>
      </c>
      <c r="C2067" s="46">
        <v>77048</v>
      </c>
      <c r="D2067" s="46" t="s">
        <v>3845</v>
      </c>
      <c r="E2067" s="46" t="s">
        <v>3846</v>
      </c>
      <c r="F2067" s="46" t="s">
        <v>24</v>
      </c>
      <c r="G2067" s="47">
        <v>0.09</v>
      </c>
      <c r="H2067" s="48">
        <v>0.798</v>
      </c>
      <c r="I2067" s="48">
        <v>2.393</v>
      </c>
      <c r="J2067" s="49">
        <v>3</v>
      </c>
      <c r="K2067" s="49">
        <v>0</v>
      </c>
      <c r="L2067" s="49">
        <v>3</v>
      </c>
    </row>
    <row r="2068" spans="1:12" x14ac:dyDescent="0.25">
      <c r="A2068" s="45">
        <f>C2068&amp;"."&amp;IFERROR(MID(E2068,FIND("(",E2068)+1,FIND(")",E2068)-FIND("(",E2068)-1),"")</f>
      </c>
      <c r="B2068" s="46" t="s">
        <v>1178</v>
      </c>
      <c r="C2068" s="46">
        <v>77048</v>
      </c>
      <c r="D2068" s="46" t="s">
        <v>3845</v>
      </c>
      <c r="E2068" s="46" t="s">
        <v>3847</v>
      </c>
      <c r="F2068" s="46" t="s">
        <v>24</v>
      </c>
      <c r="G2068" s="47">
        <v>0.09</v>
      </c>
      <c r="H2068" s="48">
        <v>1.24</v>
      </c>
      <c r="I2068" s="48">
        <v>1.24</v>
      </c>
      <c r="J2068" s="49">
        <v>1</v>
      </c>
      <c r="K2068" s="49">
        <v>0</v>
      </c>
      <c r="L2068" s="49">
        <v>1</v>
      </c>
    </row>
    <row r="2069" spans="1:12" x14ac:dyDescent="0.25">
      <c r="A2069" s="45">
        <f>C2069&amp;"."&amp;IFERROR(MID(E2069,FIND("(",E2069)+1,FIND(")",E2069)-FIND("(",E2069)-1),"")</f>
      </c>
      <c r="B2069" s="46" t="s">
        <v>1178</v>
      </c>
      <c r="C2069" s="46">
        <v>77049</v>
      </c>
      <c r="D2069" s="46" t="s">
        <v>3848</v>
      </c>
      <c r="E2069" s="46" t="s">
        <v>3849</v>
      </c>
      <c r="F2069" s="46" t="s">
        <v>24</v>
      </c>
      <c r="G2069" s="47">
        <v>0.68</v>
      </c>
      <c r="H2069" s="48">
        <v>8.54</v>
      </c>
      <c r="I2069" s="48">
        <v>25.621</v>
      </c>
      <c r="J2069" s="49">
        <v>3</v>
      </c>
      <c r="K2069" s="49">
        <v>1</v>
      </c>
      <c r="L2069" s="49">
        <v>2</v>
      </c>
    </row>
    <row r="2070" spans="1:12" x14ac:dyDescent="0.25">
      <c r="A2070" s="45">
        <f>C2070&amp;"."&amp;IFERROR(MID(E2070,FIND("(",E2070)+1,FIND(")",E2070)-FIND("(",E2070)-1),"")</f>
      </c>
      <c r="B2070" s="46" t="s">
        <v>1178</v>
      </c>
      <c r="C2070" s="46">
        <v>77050</v>
      </c>
      <c r="D2070" s="46" t="s">
        <v>3850</v>
      </c>
      <c r="E2070" s="46" t="s">
        <v>1248</v>
      </c>
      <c r="F2070" s="46" t="s">
        <v>24</v>
      </c>
      <c r="G2070" s="47">
        <v>0.68</v>
      </c>
      <c r="H2070" s="48">
        <v>4.636</v>
      </c>
      <c r="I2070" s="48">
        <v>37.092</v>
      </c>
      <c r="J2070" s="49">
        <v>8</v>
      </c>
      <c r="K2070" s="49">
        <v>1</v>
      </c>
      <c r="L2070" s="49">
        <v>7</v>
      </c>
    </row>
    <row r="2071" spans="1:12" x14ac:dyDescent="0.25">
      <c r="A2071" s="45">
        <f>C2071&amp;"."&amp;IFERROR(MID(E2071,FIND("(",E2071)+1,FIND(")",E2071)-FIND("(",E2071)-1),"")</f>
      </c>
      <c r="B2071" s="46" t="s">
        <v>1178</v>
      </c>
      <c r="C2071" s="46">
        <v>77051</v>
      </c>
      <c r="D2071" s="46" t="s">
        <v>3851</v>
      </c>
      <c r="E2071" s="46" t="s">
        <v>3852</v>
      </c>
      <c r="F2071" s="46" t="s">
        <v>24</v>
      </c>
      <c r="G2071" s="47">
        <v>3.95</v>
      </c>
      <c r="H2071" s="48">
        <v>11.72</v>
      </c>
      <c r="I2071" s="48">
        <v>11.72</v>
      </c>
      <c r="J2071" s="49">
        <v>1</v>
      </c>
      <c r="K2071" s="49">
        <v>0</v>
      </c>
      <c r="L2071" s="49">
        <v>1</v>
      </c>
    </row>
    <row r="2072" spans="1:12" x14ac:dyDescent="0.25">
      <c r="A2072" s="45">
        <f>C2072&amp;"."&amp;IFERROR(MID(E2072,FIND("(",E2072)+1,FIND(")",E2072)-FIND("(",E2072)-1),"")</f>
      </c>
      <c r="B2072" s="46" t="s">
        <v>1178</v>
      </c>
      <c r="C2072" s="46">
        <v>77054</v>
      </c>
      <c r="D2072" s="46" t="s">
        <v>3853</v>
      </c>
      <c r="E2072" s="46" t="s">
        <v>3854</v>
      </c>
      <c r="F2072" s="46" t="s">
        <v>24</v>
      </c>
      <c r="G2072" s="47">
        <v>1.68</v>
      </c>
      <c r="H2072" s="48">
        <v>6.74</v>
      </c>
      <c r="I2072" s="48">
        <v>47.18</v>
      </c>
      <c r="J2072" s="49">
        <v>7</v>
      </c>
      <c r="K2072" s="49">
        <v>0</v>
      </c>
      <c r="L2072" s="49">
        <v>7</v>
      </c>
    </row>
    <row r="2073" spans="1:12" x14ac:dyDescent="0.25">
      <c r="A2073" s="45">
        <f>C2073&amp;"."&amp;IFERROR(MID(E2073,FIND("(",E2073)+1,FIND(")",E2073)-FIND("(",E2073)-1),"")</f>
      </c>
      <c r="B2073" s="46" t="s">
        <v>1178</v>
      </c>
      <c r="C2073" s="46">
        <v>77055</v>
      </c>
      <c r="D2073" s="46" t="s">
        <v>3855</v>
      </c>
      <c r="E2073" s="46" t="s">
        <v>3856</v>
      </c>
      <c r="F2073" s="46" t="s">
        <v>24</v>
      </c>
      <c r="G2073" s="47">
        <v>1.69</v>
      </c>
      <c r="H2073" s="48">
        <v>6.74</v>
      </c>
      <c r="I2073" s="48">
        <v>6.74</v>
      </c>
      <c r="J2073" s="49">
        <v>1</v>
      </c>
      <c r="K2073" s="49">
        <v>1</v>
      </c>
      <c r="L2073" s="49">
        <v>0</v>
      </c>
    </row>
    <row r="2074" spans="1:12" x14ac:dyDescent="0.25">
      <c r="A2074" s="45">
        <f>C2074&amp;"."&amp;IFERROR(MID(E2074,FIND("(",E2074)+1,FIND(")",E2074)-FIND("(",E2074)-1),"")</f>
      </c>
      <c r="B2074" s="46" t="s">
        <v>1178</v>
      </c>
      <c r="C2074" s="46">
        <v>77055</v>
      </c>
      <c r="D2074" s="46" t="s">
        <v>3855</v>
      </c>
      <c r="E2074" s="46" t="s">
        <v>3857</v>
      </c>
      <c r="F2074" s="46" t="s">
        <v>24</v>
      </c>
      <c r="G2074" s="47">
        <v>1.69</v>
      </c>
      <c r="H2074" s="48">
        <v>6.74</v>
      </c>
      <c r="I2074" s="48">
        <v>40.44</v>
      </c>
      <c r="J2074" s="49">
        <v>6</v>
      </c>
      <c r="K2074" s="49">
        <v>0</v>
      </c>
      <c r="L2074" s="49">
        <v>6</v>
      </c>
    </row>
    <row r="2075" spans="1:12" x14ac:dyDescent="0.25">
      <c r="A2075" s="45">
        <f>C2075&amp;"."&amp;IFERROR(MID(E2075,FIND("(",E2075)+1,FIND(")",E2075)-FIND("(",E2075)-1),"")</f>
      </c>
      <c r="B2075" s="46" t="s">
        <v>1178</v>
      </c>
      <c r="C2075" s="46">
        <v>77056</v>
      </c>
      <c r="D2075" s="46" t="s">
        <v>3858</v>
      </c>
      <c r="E2075" s="46" t="s">
        <v>3859</v>
      </c>
      <c r="F2075" s="46" t="s">
        <v>26</v>
      </c>
      <c r="G2075" s="47">
        <v>1.21</v>
      </c>
      <c r="H2075" s="48">
        <v>3.134</v>
      </c>
      <c r="I2075" s="48">
        <v>3.134</v>
      </c>
      <c r="J2075" s="49">
        <v>1</v>
      </c>
      <c r="K2075" s="49">
        <v>0</v>
      </c>
      <c r="L2075" s="49">
        <v>1</v>
      </c>
    </row>
    <row r="2076" spans="1:12" x14ac:dyDescent="0.25">
      <c r="A2076" s="45">
        <f>C2076&amp;"."&amp;IFERROR(MID(E2076,FIND("(",E2076)+1,FIND(")",E2076)-FIND("(",E2076)-1),"")</f>
      </c>
      <c r="B2076" s="46" t="s">
        <v>1178</v>
      </c>
      <c r="C2076" s="46">
        <v>77056</v>
      </c>
      <c r="D2076" s="46" t="s">
        <v>3858</v>
      </c>
      <c r="E2076" s="46" t="s">
        <v>3860</v>
      </c>
      <c r="F2076" s="46" t="s">
        <v>26</v>
      </c>
      <c r="G2076" s="47">
        <v>1.21</v>
      </c>
      <c r="H2076" s="48">
        <v>3.243</v>
      </c>
      <c r="I2076" s="48">
        <v>9.729</v>
      </c>
      <c r="J2076" s="49">
        <v>3</v>
      </c>
      <c r="K2076" s="49">
        <v>0</v>
      </c>
      <c r="L2076" s="49">
        <v>3</v>
      </c>
    </row>
    <row r="2077" spans="1:12" x14ac:dyDescent="0.25">
      <c r="A2077" s="45">
        <f>C2077&amp;"."&amp;IFERROR(MID(E2077,FIND("(",E2077)+1,FIND(")",E2077)-FIND("(",E2077)-1),"")</f>
      </c>
      <c r="B2077" s="46" t="s">
        <v>1178</v>
      </c>
      <c r="C2077" s="46">
        <v>77057</v>
      </c>
      <c r="D2077" s="46" t="s">
        <v>3861</v>
      </c>
      <c r="E2077" s="46" t="s">
        <v>3862</v>
      </c>
      <c r="F2077" s="46" t="s">
        <v>24</v>
      </c>
      <c r="G2077" s="47">
        <v>0.48</v>
      </c>
      <c r="H2077" s="48">
        <v>1.598</v>
      </c>
      <c r="I2077" s="48">
        <v>33.568</v>
      </c>
      <c r="J2077" s="49">
        <v>21</v>
      </c>
      <c r="K2077" s="49">
        <v>1</v>
      </c>
      <c r="L2077" s="49">
        <v>20</v>
      </c>
    </row>
    <row r="2078" spans="1:12" x14ac:dyDescent="0.25">
      <c r="A2078" s="45">
        <f>C2078&amp;"."&amp;IFERROR(MID(E2078,FIND("(",E2078)+1,FIND(")",E2078)-FIND("(",E2078)-1),"")</f>
      </c>
      <c r="B2078" s="46" t="s">
        <v>1178</v>
      </c>
      <c r="C2078" s="46">
        <v>77057</v>
      </c>
      <c r="D2078" s="46" t="s">
        <v>3861</v>
      </c>
      <c r="E2078" s="46" t="s">
        <v>3863</v>
      </c>
      <c r="F2078" s="46" t="s">
        <v>24</v>
      </c>
      <c r="G2078" s="47">
        <v>0.48</v>
      </c>
      <c r="H2078" s="48">
        <v>1.6</v>
      </c>
      <c r="I2078" s="48">
        <v>1.6</v>
      </c>
      <c r="J2078" s="49">
        <v>1</v>
      </c>
      <c r="K2078" s="49">
        <v>0</v>
      </c>
      <c r="L2078" s="49">
        <v>1</v>
      </c>
    </row>
    <row r="2079" spans="1:12" x14ac:dyDescent="0.25">
      <c r="A2079" s="45">
        <f>C2079&amp;"."&amp;IFERROR(MID(E2079,FIND("(",E2079)+1,FIND(")",E2079)-FIND("(",E2079)-1),"")</f>
      </c>
      <c r="B2079" s="46" t="s">
        <v>1178</v>
      </c>
      <c r="C2079" s="46">
        <v>77057</v>
      </c>
      <c r="D2079" s="46" t="s">
        <v>3861</v>
      </c>
      <c r="E2079" s="46" t="s">
        <v>3864</v>
      </c>
      <c r="F2079" s="46" t="s">
        <v>24</v>
      </c>
      <c r="G2079" s="47">
        <v>0.48</v>
      </c>
      <c r="H2079" s="48">
        <v>1.6</v>
      </c>
      <c r="I2079" s="48">
        <v>1.6</v>
      </c>
      <c r="J2079" s="49">
        <v>1</v>
      </c>
      <c r="K2079" s="49">
        <v>0</v>
      </c>
      <c r="L2079" s="49">
        <v>1</v>
      </c>
    </row>
    <row r="2080" spans="1:12" x14ac:dyDescent="0.25">
      <c r="A2080" s="45">
        <f>C2080&amp;"."&amp;IFERROR(MID(E2080,FIND("(",E2080)+1,FIND(")",E2080)-FIND("(",E2080)-1),"")</f>
      </c>
      <c r="B2080" s="46" t="s">
        <v>1178</v>
      </c>
      <c r="C2080" s="46">
        <v>77058</v>
      </c>
      <c r="D2080" s="46" t="s">
        <v>3865</v>
      </c>
      <c r="E2080" s="46" t="s">
        <v>1248</v>
      </c>
      <c r="F2080" s="46" t="s">
        <v>26</v>
      </c>
      <c r="G2080" s="47">
        <v>1.21</v>
      </c>
      <c r="H2080" s="48">
        <v>2.856</v>
      </c>
      <c r="I2080" s="48">
        <v>2.856</v>
      </c>
      <c r="J2080" s="49">
        <v>1</v>
      </c>
      <c r="K2080" s="49">
        <v>0</v>
      </c>
      <c r="L2080" s="49">
        <v>1</v>
      </c>
    </row>
    <row r="2081" spans="1:12" x14ac:dyDescent="0.25">
      <c r="A2081" s="45">
        <f>C2081&amp;"."&amp;IFERROR(MID(E2081,FIND("(",E2081)+1,FIND(")",E2081)-FIND("(",E2081)-1),"")</f>
      </c>
      <c r="B2081" s="46" t="s">
        <v>1178</v>
      </c>
      <c r="C2081" s="46">
        <v>77059</v>
      </c>
      <c r="D2081" s="46" t="s">
        <v>3866</v>
      </c>
      <c r="E2081" s="46" t="s">
        <v>3867</v>
      </c>
      <c r="F2081" s="46" t="s">
        <v>24</v>
      </c>
      <c r="G2081" s="47">
        <v>0.48</v>
      </c>
      <c r="H2081" s="48">
        <v>1.604</v>
      </c>
      <c r="I2081" s="48">
        <v>33.687</v>
      </c>
      <c r="J2081" s="49">
        <v>21</v>
      </c>
      <c r="K2081" s="49">
        <v>1</v>
      </c>
      <c r="L2081" s="49">
        <v>20</v>
      </c>
    </row>
    <row r="2082" spans="1:12" x14ac:dyDescent="0.25">
      <c r="A2082" s="45">
        <f>C2082&amp;"."&amp;IFERROR(MID(E2082,FIND("(",E2082)+1,FIND(")",E2082)-FIND("(",E2082)-1),"")</f>
      </c>
      <c r="B2082" s="46" t="s">
        <v>1178</v>
      </c>
      <c r="C2082" s="46">
        <v>77059</v>
      </c>
      <c r="D2082" s="46" t="s">
        <v>3866</v>
      </c>
      <c r="E2082" s="46" t="s">
        <v>3868</v>
      </c>
      <c r="F2082" s="46" t="s">
        <v>24</v>
      </c>
      <c r="G2082" s="47">
        <v>0.48</v>
      </c>
      <c r="H2082" s="48">
        <v>1.6</v>
      </c>
      <c r="I2082" s="48">
        <v>1.6</v>
      </c>
      <c r="J2082" s="49">
        <v>1</v>
      </c>
      <c r="K2082" s="49">
        <v>0</v>
      </c>
      <c r="L2082" s="49">
        <v>1</v>
      </c>
    </row>
    <row r="2083" spans="1:12" x14ac:dyDescent="0.25">
      <c r="A2083" s="45">
        <f>C2083&amp;"."&amp;IFERROR(MID(E2083,FIND("(",E2083)+1,FIND(")",E2083)-FIND("(",E2083)-1),"")</f>
      </c>
      <c r="B2083" s="46" t="s">
        <v>1178</v>
      </c>
      <c r="C2083" s="46">
        <v>77061</v>
      </c>
      <c r="D2083" s="46" t="s">
        <v>3869</v>
      </c>
      <c r="E2083" s="46" t="s">
        <v>3870</v>
      </c>
      <c r="F2083" s="46" t="s">
        <v>26</v>
      </c>
      <c r="G2083" s="47">
        <v>9.19</v>
      </c>
      <c r="H2083" s="48">
        <v>23.791</v>
      </c>
      <c r="I2083" s="48">
        <v>118.953</v>
      </c>
      <c r="J2083" s="49">
        <v>5</v>
      </c>
      <c r="K2083" s="49">
        <v>0</v>
      </c>
      <c r="L2083" s="49">
        <v>5</v>
      </c>
    </row>
    <row r="2084" spans="1:12" x14ac:dyDescent="0.25">
      <c r="A2084" s="45">
        <f>C2084&amp;"."&amp;IFERROR(MID(E2084,FIND("(",E2084)+1,FIND(")",E2084)-FIND("(",E2084)-1),"")</f>
      </c>
      <c r="B2084" s="46" t="s">
        <v>1178</v>
      </c>
      <c r="C2084" s="46">
        <v>77061</v>
      </c>
      <c r="D2084" s="46" t="s">
        <v>3869</v>
      </c>
      <c r="E2084" s="46" t="s">
        <v>3871</v>
      </c>
      <c r="F2084" s="46" t="s">
        <v>26</v>
      </c>
      <c r="G2084" s="47">
        <v>9.19</v>
      </c>
      <c r="H2084" s="48">
        <v>22.907</v>
      </c>
      <c r="I2084" s="48">
        <v>22.907</v>
      </c>
      <c r="J2084" s="49">
        <v>1</v>
      </c>
      <c r="K2084" s="49">
        <v>0</v>
      </c>
      <c r="L2084" s="49">
        <v>1</v>
      </c>
    </row>
    <row r="2085" spans="1:12" x14ac:dyDescent="0.25">
      <c r="A2085" s="45">
        <f>C2085&amp;"."&amp;IFERROR(MID(E2085,FIND("(",E2085)+1,FIND(")",E2085)-FIND("(",E2085)-1),"")</f>
      </c>
      <c r="B2085" s="46" t="s">
        <v>1178</v>
      </c>
      <c r="C2085" s="46">
        <v>77062</v>
      </c>
      <c r="D2085" s="46" t="s">
        <v>3872</v>
      </c>
      <c r="E2085" s="46" t="s">
        <v>3873</v>
      </c>
      <c r="F2085" s="46" t="s">
        <v>24</v>
      </c>
      <c r="G2085" s="47">
        <v>0.63</v>
      </c>
      <c r="H2085" s="48">
        <v>3.352</v>
      </c>
      <c r="I2085" s="48">
        <v>3.352</v>
      </c>
      <c r="J2085" s="49">
        <v>1</v>
      </c>
      <c r="K2085" s="49">
        <v>0</v>
      </c>
      <c r="L2085" s="49">
        <v>1</v>
      </c>
    </row>
    <row r="2086" spans="1:12" x14ac:dyDescent="0.25">
      <c r="A2086" s="45">
        <f>C2086&amp;"."&amp;IFERROR(MID(E2086,FIND("(",E2086)+1,FIND(")",E2086)-FIND("(",E2086)-1),"")</f>
      </c>
      <c r="B2086" s="46" t="s">
        <v>1178</v>
      </c>
      <c r="C2086" s="46">
        <v>77062</v>
      </c>
      <c r="D2086" s="46" t="s">
        <v>3872</v>
      </c>
      <c r="E2086" s="46" t="s">
        <v>3874</v>
      </c>
      <c r="F2086" s="46" t="s">
        <v>24</v>
      </c>
      <c r="G2086" s="47">
        <v>0.63</v>
      </c>
      <c r="H2086" s="48">
        <v>3.328</v>
      </c>
      <c r="I2086" s="48">
        <v>3.328</v>
      </c>
      <c r="J2086" s="49">
        <v>1</v>
      </c>
      <c r="K2086" s="49">
        <v>0</v>
      </c>
      <c r="L2086" s="49">
        <v>1</v>
      </c>
    </row>
    <row r="2087" spans="1:12" x14ac:dyDescent="0.25">
      <c r="A2087" s="45">
        <f>C2087&amp;"."&amp;IFERROR(MID(E2087,FIND("(",E2087)+1,FIND(")",E2087)-FIND("(",E2087)-1),"")</f>
      </c>
      <c r="B2087" s="46" t="s">
        <v>1178</v>
      </c>
      <c r="C2087" s="46">
        <v>77064</v>
      </c>
      <c r="D2087" s="46" t="s">
        <v>3875</v>
      </c>
      <c r="E2087" s="46" t="s">
        <v>1248</v>
      </c>
      <c r="F2087" s="46" t="s">
        <v>24</v>
      </c>
      <c r="G2087" s="47">
        <v>0.51</v>
      </c>
      <c r="H2087" s="48">
        <v>2.225</v>
      </c>
      <c r="I2087" s="48">
        <v>44.504</v>
      </c>
      <c r="J2087" s="49">
        <v>20</v>
      </c>
      <c r="K2087" s="49">
        <v>1</v>
      </c>
      <c r="L2087" s="49">
        <v>19</v>
      </c>
    </row>
    <row r="2088" spans="1:12" x14ac:dyDescent="0.25">
      <c r="A2088" s="45">
        <f>C2088&amp;"."&amp;IFERROR(MID(E2088,FIND("(",E2088)+1,FIND(")",E2088)-FIND("(",E2088)-1),"")</f>
      </c>
      <c r="B2088" s="46" t="s">
        <v>1178</v>
      </c>
      <c r="C2088" s="46">
        <v>77066</v>
      </c>
      <c r="D2088" s="46" t="s">
        <v>3876</v>
      </c>
      <c r="E2088" s="46" t="s">
        <v>3877</v>
      </c>
      <c r="F2088" s="46" t="s">
        <v>24</v>
      </c>
      <c r="G2088" s="47">
        <v>0.21</v>
      </c>
      <c r="H2088" s="48">
        <v>1.357</v>
      </c>
      <c r="I2088" s="48">
        <v>17.638</v>
      </c>
      <c r="J2088" s="49">
        <v>13</v>
      </c>
      <c r="K2088" s="49">
        <v>1</v>
      </c>
      <c r="L2088" s="49">
        <v>12</v>
      </c>
    </row>
    <row r="2089" spans="1:12" x14ac:dyDescent="0.25">
      <c r="A2089" s="45">
        <f>C2089&amp;"."&amp;IFERROR(MID(E2089,FIND("(",E2089)+1,FIND(")",E2089)-FIND("(",E2089)-1),"")</f>
      </c>
      <c r="B2089" s="46" t="s">
        <v>1178</v>
      </c>
      <c r="C2089" s="46">
        <v>77066</v>
      </c>
      <c r="D2089" s="46" t="s">
        <v>3876</v>
      </c>
      <c r="E2089" s="46" t="s">
        <v>3878</v>
      </c>
      <c r="F2089" s="46" t="s">
        <v>24</v>
      </c>
      <c r="G2089" s="47">
        <v>0.21</v>
      </c>
      <c r="H2089" s="48">
        <v>1.537</v>
      </c>
      <c r="I2089" s="48">
        <v>16.906</v>
      </c>
      <c r="J2089" s="49">
        <v>11</v>
      </c>
      <c r="K2089" s="49">
        <v>0</v>
      </c>
      <c r="L2089" s="49">
        <v>11</v>
      </c>
    </row>
    <row r="2090" spans="1:12" x14ac:dyDescent="0.25">
      <c r="A2090" s="45">
        <f>C2090&amp;"."&amp;IFERROR(MID(E2090,FIND("(",E2090)+1,FIND(")",E2090)-FIND("(",E2090)-1),"")</f>
      </c>
      <c r="B2090" s="46" t="s">
        <v>1178</v>
      </c>
      <c r="C2090" s="46">
        <v>77068</v>
      </c>
      <c r="D2090" s="46" t="s">
        <v>3879</v>
      </c>
      <c r="E2090" s="46" t="s">
        <v>3880</v>
      </c>
      <c r="F2090" s="46" t="s">
        <v>26</v>
      </c>
      <c r="G2090" s="47">
        <v>11.9</v>
      </c>
      <c r="H2090" s="48">
        <v>32.394</v>
      </c>
      <c r="I2090" s="48">
        <v>64.789</v>
      </c>
      <c r="J2090" s="49">
        <v>2</v>
      </c>
      <c r="K2090" s="49">
        <v>0</v>
      </c>
      <c r="L2090" s="49">
        <v>2</v>
      </c>
    </row>
    <row r="2091" spans="1:12" x14ac:dyDescent="0.25">
      <c r="A2091" s="45">
        <f>C2091&amp;"."&amp;IFERROR(MID(E2091,FIND("(",E2091)+1,FIND(")",E2091)-FIND("(",E2091)-1),"")</f>
      </c>
      <c r="B2091" s="46" t="s">
        <v>1178</v>
      </c>
      <c r="C2091" s="46">
        <v>77068</v>
      </c>
      <c r="D2091" s="46" t="s">
        <v>3879</v>
      </c>
      <c r="E2091" s="46" t="s">
        <v>3881</v>
      </c>
      <c r="F2091" s="46" t="s">
        <v>26</v>
      </c>
      <c r="G2091" s="47">
        <v>11.9</v>
      </c>
      <c r="H2091" s="48">
        <v>34.694</v>
      </c>
      <c r="I2091" s="48">
        <v>69.387</v>
      </c>
      <c r="J2091" s="49">
        <v>2</v>
      </c>
      <c r="K2091" s="49">
        <v>0</v>
      </c>
      <c r="L2091" s="49">
        <v>2</v>
      </c>
    </row>
    <row r="2092" spans="1:12" x14ac:dyDescent="0.25">
      <c r="A2092" s="45">
        <f>C2092&amp;"."&amp;IFERROR(MID(E2092,FIND("(",E2092)+1,FIND(")",E2092)-FIND("(",E2092)-1),"")</f>
      </c>
      <c r="B2092" s="46" t="s">
        <v>1178</v>
      </c>
      <c r="C2092" s="46">
        <v>77073</v>
      </c>
      <c r="D2092" s="46" t="s">
        <v>3882</v>
      </c>
      <c r="E2092" s="46" t="s">
        <v>3883</v>
      </c>
      <c r="F2092" s="46" t="s">
        <v>24</v>
      </c>
      <c r="G2092" s="47">
        <v>0.75</v>
      </c>
      <c r="H2092" s="48">
        <v>2.166</v>
      </c>
      <c r="I2092" s="48">
        <v>17.33</v>
      </c>
      <c r="J2092" s="49">
        <v>8</v>
      </c>
      <c r="K2092" s="49">
        <v>0</v>
      </c>
      <c r="L2092" s="49">
        <v>8</v>
      </c>
    </row>
    <row r="2093" spans="1:12" x14ac:dyDescent="0.25">
      <c r="A2093" s="45">
        <f>C2093&amp;"."&amp;IFERROR(MID(E2093,FIND("(",E2093)+1,FIND(")",E2093)-FIND("(",E2093)-1),"")</f>
      </c>
      <c r="B2093" s="46" t="s">
        <v>1178</v>
      </c>
      <c r="C2093" s="46">
        <v>77073</v>
      </c>
      <c r="D2093" s="46" t="s">
        <v>3882</v>
      </c>
      <c r="E2093" s="46" t="s">
        <v>3884</v>
      </c>
      <c r="F2093" s="46" t="s">
        <v>24</v>
      </c>
      <c r="G2093" s="47">
        <v>0.75</v>
      </c>
      <c r="H2093" s="48">
        <v>2.081</v>
      </c>
      <c r="I2093" s="48">
        <v>2.081</v>
      </c>
      <c r="J2093" s="49">
        <v>1</v>
      </c>
      <c r="K2093" s="49">
        <v>0</v>
      </c>
      <c r="L2093" s="49">
        <v>1</v>
      </c>
    </row>
    <row r="2094" spans="1:12" x14ac:dyDescent="0.25">
      <c r="A2094" s="45">
        <f>C2094&amp;"."&amp;IFERROR(MID(E2094,FIND("(",E2094)+1,FIND(")",E2094)-FIND("(",E2094)-1),"")</f>
      </c>
      <c r="B2094" s="46" t="s">
        <v>1178</v>
      </c>
      <c r="C2094" s="46">
        <v>77075</v>
      </c>
      <c r="D2094" s="46" t="s">
        <v>3885</v>
      </c>
      <c r="E2094" s="46" t="s">
        <v>1248</v>
      </c>
      <c r="F2094" s="46" t="s">
        <v>24</v>
      </c>
      <c r="G2094" s="47">
        <v>0.38</v>
      </c>
      <c r="H2094" s="48">
        <v>1.347</v>
      </c>
      <c r="I2094" s="48">
        <v>13.472</v>
      </c>
      <c r="J2094" s="49">
        <v>10</v>
      </c>
      <c r="K2094" s="49">
        <v>0</v>
      </c>
      <c r="L2094" s="49">
        <v>10</v>
      </c>
    </row>
    <row r="2095" spans="1:12" x14ac:dyDescent="0.25">
      <c r="A2095" s="45">
        <f>C2095&amp;"."&amp;IFERROR(MID(E2095,FIND("(",E2095)+1,FIND(")",E2095)-FIND("(",E2095)-1),"")</f>
      </c>
      <c r="B2095" s="46" t="s">
        <v>1178</v>
      </c>
      <c r="C2095" s="46">
        <v>77077</v>
      </c>
      <c r="D2095" s="46" t="s">
        <v>3886</v>
      </c>
      <c r="E2095" s="46" t="s">
        <v>1248</v>
      </c>
      <c r="F2095" s="46" t="s">
        <v>24</v>
      </c>
      <c r="G2095" s="47">
        <v>1.75</v>
      </c>
      <c r="H2095" s="48">
        <v>2.133</v>
      </c>
      <c r="I2095" s="48">
        <v>12.797</v>
      </c>
      <c r="J2095" s="49">
        <v>6</v>
      </c>
      <c r="K2095" s="49">
        <v>5</v>
      </c>
      <c r="L2095" s="49">
        <v>1</v>
      </c>
    </row>
    <row r="2096" spans="1:12" x14ac:dyDescent="0.25">
      <c r="A2096" s="45">
        <f>C2096&amp;"."&amp;IFERROR(MID(E2096,FIND("(",E2096)+1,FIND(")",E2096)-FIND("(",E2096)-1),"")</f>
      </c>
      <c r="B2096" s="46" t="s">
        <v>1178</v>
      </c>
      <c r="C2096" s="46">
        <v>77078</v>
      </c>
      <c r="D2096" s="46" t="s">
        <v>3887</v>
      </c>
      <c r="E2096" s="46" t="s">
        <v>3888</v>
      </c>
      <c r="F2096" s="46" t="s">
        <v>24</v>
      </c>
      <c r="G2096" s="47">
        <v>0.66</v>
      </c>
      <c r="H2096" s="48">
        <v>1.723</v>
      </c>
      <c r="I2096" s="48">
        <v>13.785</v>
      </c>
      <c r="J2096" s="49">
        <v>8</v>
      </c>
      <c r="K2096" s="49">
        <v>1</v>
      </c>
      <c r="L2096" s="49">
        <v>7</v>
      </c>
    </row>
    <row r="2097" spans="1:12" x14ac:dyDescent="0.25">
      <c r="A2097" s="45">
        <f>C2097&amp;"."&amp;IFERROR(MID(E2097,FIND("(",E2097)+1,FIND(")",E2097)-FIND("(",E2097)-1),"")</f>
      </c>
      <c r="B2097" s="46" t="s">
        <v>1178</v>
      </c>
      <c r="C2097" s="46">
        <v>77078</v>
      </c>
      <c r="D2097" s="46" t="s">
        <v>3887</v>
      </c>
      <c r="E2097" s="46" t="s">
        <v>3889</v>
      </c>
      <c r="F2097" s="46" t="s">
        <v>24</v>
      </c>
      <c r="G2097" s="47">
        <v>0.66</v>
      </c>
      <c r="H2097" s="48">
        <v>2.025</v>
      </c>
      <c r="I2097" s="48">
        <v>14.174</v>
      </c>
      <c r="J2097" s="49">
        <v>7</v>
      </c>
      <c r="K2097" s="49">
        <v>1</v>
      </c>
      <c r="L2097" s="49">
        <v>6</v>
      </c>
    </row>
    <row r="2098" spans="1:12" x14ac:dyDescent="0.25">
      <c r="A2098" s="45">
        <f>C2098&amp;"."&amp;IFERROR(MID(E2098,FIND("(",E2098)+1,FIND(")",E2098)-FIND("(",E2098)-1),"")</f>
      </c>
      <c r="B2098" s="46" t="s">
        <v>1178</v>
      </c>
      <c r="C2098" s="46">
        <v>77081</v>
      </c>
      <c r="D2098" s="46" t="s">
        <v>3890</v>
      </c>
      <c r="E2098" s="46" t="s">
        <v>3891</v>
      </c>
      <c r="F2098" s="46" t="s">
        <v>24</v>
      </c>
      <c r="G2098" s="47">
        <v>0</v>
      </c>
      <c r="H2098" s="48">
        <v>15.75</v>
      </c>
      <c r="I2098" s="48">
        <v>15.75</v>
      </c>
      <c r="J2098" s="49">
        <v>1</v>
      </c>
      <c r="K2098" s="49">
        <v>0</v>
      </c>
      <c r="L2098" s="49">
        <v>1</v>
      </c>
    </row>
    <row r="2099" spans="1:12" x14ac:dyDescent="0.25">
      <c r="A2099" s="45">
        <f>C2099&amp;"."&amp;IFERROR(MID(E2099,FIND("(",E2099)+1,FIND(")",E2099)-FIND("(",E2099)-1),"")</f>
      </c>
      <c r="B2099" s="46" t="s">
        <v>1178</v>
      </c>
      <c r="C2099" s="46">
        <v>77082</v>
      </c>
      <c r="D2099" s="46" t="s">
        <v>3892</v>
      </c>
      <c r="E2099" s="46" t="s">
        <v>3893</v>
      </c>
      <c r="F2099" s="46" t="s">
        <v>26</v>
      </c>
      <c r="G2099" s="47">
        <v>1.94</v>
      </c>
      <c r="H2099" s="48">
        <v>5.506</v>
      </c>
      <c r="I2099" s="48">
        <v>11.012</v>
      </c>
      <c r="J2099" s="49">
        <v>2</v>
      </c>
      <c r="K2099" s="49">
        <v>0</v>
      </c>
      <c r="L2099" s="49">
        <v>2</v>
      </c>
    </row>
    <row r="2100" spans="1:12" x14ac:dyDescent="0.25">
      <c r="A2100" s="45">
        <f>C2100&amp;"."&amp;IFERROR(MID(E2100,FIND("(",E2100)+1,FIND(")",E2100)-FIND("(",E2100)-1),"")</f>
      </c>
      <c r="B2100" s="46" t="s">
        <v>1178</v>
      </c>
      <c r="C2100" s="46">
        <v>77084</v>
      </c>
      <c r="D2100" s="46" t="s">
        <v>3894</v>
      </c>
      <c r="E2100" s="46" t="s">
        <v>3895</v>
      </c>
      <c r="F2100" s="46" t="s">
        <v>26</v>
      </c>
      <c r="G2100" s="47">
        <v>1.17</v>
      </c>
      <c r="H2100" s="48">
        <v>3.533</v>
      </c>
      <c r="I2100" s="48">
        <v>14.134</v>
      </c>
      <c r="J2100" s="49">
        <v>4</v>
      </c>
      <c r="K2100" s="49">
        <v>0</v>
      </c>
      <c r="L2100" s="49">
        <v>4</v>
      </c>
    </row>
    <row r="2101" spans="1:12" x14ac:dyDescent="0.25">
      <c r="A2101" s="45">
        <f>C2101&amp;"."&amp;IFERROR(MID(E2101,FIND("(",E2101)+1,FIND(")",E2101)-FIND("(",E2101)-1),"")</f>
      </c>
      <c r="B2101" s="46" t="s">
        <v>1178</v>
      </c>
      <c r="C2101" s="46">
        <v>77084</v>
      </c>
      <c r="D2101" s="46" t="s">
        <v>3894</v>
      </c>
      <c r="E2101" s="46" t="s">
        <v>3896</v>
      </c>
      <c r="F2101" s="46" t="s">
        <v>26</v>
      </c>
      <c r="G2101" s="47">
        <v>1.17</v>
      </c>
      <c r="H2101" s="48">
        <v>3.691</v>
      </c>
      <c r="I2101" s="48">
        <v>11.072</v>
      </c>
      <c r="J2101" s="49">
        <v>3</v>
      </c>
      <c r="K2101" s="49">
        <v>0</v>
      </c>
      <c r="L2101" s="49">
        <v>3</v>
      </c>
    </row>
    <row r="2102" spans="1:12" x14ac:dyDescent="0.25">
      <c r="A2102" s="45">
        <f>C2102&amp;"."&amp;IFERROR(MID(E2102,FIND("(",E2102)+1,FIND(")",E2102)-FIND("(",E2102)-1),"")</f>
      </c>
      <c r="B2102" s="46" t="s">
        <v>1178</v>
      </c>
      <c r="C2102" s="46">
        <v>77092</v>
      </c>
      <c r="D2102" s="46" t="s">
        <v>3897</v>
      </c>
      <c r="E2102" s="46" t="s">
        <v>3898</v>
      </c>
      <c r="F2102" s="46" t="s">
        <v>24</v>
      </c>
      <c r="G2102" s="47">
        <v>3.34</v>
      </c>
      <c r="H2102" s="48">
        <v>11.04</v>
      </c>
      <c r="I2102" s="48">
        <v>22.08</v>
      </c>
      <c r="J2102" s="49">
        <v>2</v>
      </c>
      <c r="K2102" s="49">
        <v>0</v>
      </c>
      <c r="L2102" s="49">
        <v>2</v>
      </c>
    </row>
    <row r="2103" spans="1:12" x14ac:dyDescent="0.25">
      <c r="A2103" s="45">
        <f>C2103&amp;"."&amp;IFERROR(MID(E2103,FIND("(",E2103)+1,FIND(")",E2103)-FIND("(",E2103)-1),"")</f>
      </c>
      <c r="B2103" s="46" t="s">
        <v>1178</v>
      </c>
      <c r="C2103" s="46">
        <v>77093</v>
      </c>
      <c r="D2103" s="46" t="s">
        <v>3899</v>
      </c>
      <c r="E2103" s="46" t="s">
        <v>3900</v>
      </c>
      <c r="F2103" s="46" t="s">
        <v>24</v>
      </c>
      <c r="G2103" s="47">
        <v>10.42</v>
      </c>
      <c r="H2103" s="48">
        <v>32.503</v>
      </c>
      <c r="I2103" s="48">
        <v>32.503</v>
      </c>
      <c r="J2103" s="49">
        <v>1</v>
      </c>
      <c r="K2103" s="49">
        <v>0</v>
      </c>
      <c r="L2103" s="49">
        <v>1</v>
      </c>
    </row>
    <row r="2104" spans="1:12" x14ac:dyDescent="0.25">
      <c r="A2104" s="45">
        <f>C2104&amp;"."&amp;IFERROR(MID(E2104,FIND("(",E2104)+1,FIND(")",E2104)-FIND("(",E2104)-1),"")</f>
      </c>
      <c r="B2104" s="46" t="s">
        <v>1178</v>
      </c>
      <c r="C2104" s="46">
        <v>77093</v>
      </c>
      <c r="D2104" s="46" t="s">
        <v>3899</v>
      </c>
      <c r="E2104" s="46" t="s">
        <v>3901</v>
      </c>
      <c r="F2104" s="46" t="s">
        <v>24</v>
      </c>
      <c r="G2104" s="47">
        <v>10.42</v>
      </c>
      <c r="H2104" s="48">
        <v>31.862</v>
      </c>
      <c r="I2104" s="48">
        <v>31.862</v>
      </c>
      <c r="J2104" s="49">
        <v>1</v>
      </c>
      <c r="K2104" s="49">
        <v>0</v>
      </c>
      <c r="L2104" s="49">
        <v>1</v>
      </c>
    </row>
    <row r="2105" spans="1:12" x14ac:dyDescent="0.25">
      <c r="A2105" s="45">
        <f>C2105&amp;"."&amp;IFERROR(MID(E2105,FIND("(",E2105)+1,FIND(")",E2105)-FIND("(",E2105)-1),"")</f>
      </c>
      <c r="B2105" s="46" t="s">
        <v>1178</v>
      </c>
      <c r="C2105" s="46">
        <v>77094</v>
      </c>
      <c r="D2105" s="46" t="s">
        <v>3902</v>
      </c>
      <c r="E2105" s="46" t="s">
        <v>3903</v>
      </c>
      <c r="F2105" s="46" t="s">
        <v>24</v>
      </c>
      <c r="G2105" s="47">
        <v>10.42</v>
      </c>
      <c r="H2105" s="48">
        <v>31.862</v>
      </c>
      <c r="I2105" s="48">
        <v>31.862</v>
      </c>
      <c r="J2105" s="49">
        <v>1</v>
      </c>
      <c r="K2105" s="49">
        <v>0</v>
      </c>
      <c r="L2105" s="49">
        <v>1</v>
      </c>
    </row>
    <row r="2106" spans="1:12" x14ac:dyDescent="0.25">
      <c r="A2106" s="45">
        <f>C2106&amp;"."&amp;IFERROR(MID(E2106,FIND("(",E2106)+1,FIND(")",E2106)-FIND("(",E2106)-1),"")</f>
      </c>
      <c r="B2106" s="46" t="s">
        <v>1178</v>
      </c>
      <c r="C2106" s="46">
        <v>77099</v>
      </c>
      <c r="D2106" s="46" t="s">
        <v>3904</v>
      </c>
      <c r="E2106" s="46" t="s">
        <v>3905</v>
      </c>
      <c r="F2106" s="46" t="s">
        <v>26</v>
      </c>
      <c r="G2106" s="47">
        <v>0.46</v>
      </c>
      <c r="H2106" s="48">
        <v>11.363</v>
      </c>
      <c r="I2106" s="48">
        <v>45.451</v>
      </c>
      <c r="J2106" s="49">
        <v>4</v>
      </c>
      <c r="K2106" s="49">
        <v>0</v>
      </c>
      <c r="L2106" s="49">
        <v>4</v>
      </c>
    </row>
    <row r="2107" spans="1:12" x14ac:dyDescent="0.25">
      <c r="A2107" s="45">
        <f>C2107&amp;"."&amp;IFERROR(MID(E2107,FIND("(",E2107)+1,FIND(")",E2107)-FIND("(",E2107)-1),"")</f>
      </c>
      <c r="B2107" s="46" t="s">
        <v>1178</v>
      </c>
      <c r="C2107" s="46">
        <v>77099</v>
      </c>
      <c r="D2107" s="46" t="s">
        <v>3904</v>
      </c>
      <c r="E2107" s="46" t="s">
        <v>3906</v>
      </c>
      <c r="F2107" s="46" t="s">
        <v>26</v>
      </c>
      <c r="G2107" s="47">
        <v>0.46</v>
      </c>
      <c r="H2107" s="48">
        <v>11.363</v>
      </c>
      <c r="I2107" s="48">
        <v>34.089</v>
      </c>
      <c r="J2107" s="49">
        <v>3</v>
      </c>
      <c r="K2107" s="49">
        <v>0</v>
      </c>
      <c r="L2107" s="49">
        <v>3</v>
      </c>
    </row>
    <row r="2108" spans="1:12" x14ac:dyDescent="0.25">
      <c r="A2108" s="45">
        <f>C2108&amp;"."&amp;IFERROR(MID(E2108,FIND("(",E2108)+1,FIND(")",E2108)-FIND("(",E2108)-1),"")</f>
      </c>
      <c r="B2108" s="46" t="s">
        <v>1178</v>
      </c>
      <c r="C2108" s="46">
        <v>77099</v>
      </c>
      <c r="D2108" s="46" t="s">
        <v>3904</v>
      </c>
      <c r="E2108" s="46" t="s">
        <v>3907</v>
      </c>
      <c r="F2108" s="46" t="s">
        <v>26</v>
      </c>
      <c r="G2108" s="47">
        <v>0.46</v>
      </c>
      <c r="H2108" s="48">
        <v>11.532</v>
      </c>
      <c r="I2108" s="48">
        <v>46.129</v>
      </c>
      <c r="J2108" s="49">
        <v>4</v>
      </c>
      <c r="K2108" s="49">
        <v>0</v>
      </c>
      <c r="L2108" s="49">
        <v>4</v>
      </c>
    </row>
    <row r="2109" spans="1:12" x14ac:dyDescent="0.25">
      <c r="A2109" s="45">
        <f>C2109&amp;"."&amp;IFERROR(MID(E2109,FIND("(",E2109)+1,FIND(")",E2109)-FIND("(",E2109)-1),"")</f>
      </c>
      <c r="B2109" s="46" t="s">
        <v>1178</v>
      </c>
      <c r="C2109" s="46">
        <v>77101</v>
      </c>
      <c r="D2109" s="46" t="s">
        <v>3908</v>
      </c>
      <c r="E2109" s="46" t="s">
        <v>3909</v>
      </c>
      <c r="F2109" s="46" t="s">
        <v>26</v>
      </c>
      <c r="G2109" s="47">
        <v>0.87</v>
      </c>
      <c r="H2109" s="48">
        <v>2.94</v>
      </c>
      <c r="I2109" s="48">
        <v>8.82</v>
      </c>
      <c r="J2109" s="49">
        <v>3</v>
      </c>
      <c r="K2109" s="49">
        <v>0</v>
      </c>
      <c r="L2109" s="49">
        <v>3</v>
      </c>
    </row>
    <row r="2110" spans="1:12" x14ac:dyDescent="0.25">
      <c r="A2110" s="45">
        <f>C2110&amp;"."&amp;IFERROR(MID(E2110,FIND("(",E2110)+1,FIND(")",E2110)-FIND("(",E2110)-1),"")</f>
      </c>
      <c r="B2110" s="46" t="s">
        <v>1178</v>
      </c>
      <c r="C2110" s="46">
        <v>77107</v>
      </c>
      <c r="D2110" s="46" t="s">
        <v>3910</v>
      </c>
      <c r="E2110" s="46" t="s">
        <v>3911</v>
      </c>
      <c r="F2110" s="46" t="s">
        <v>24</v>
      </c>
      <c r="G2110" s="47">
        <v>0</v>
      </c>
      <c r="H2110" s="48">
        <v>26.35</v>
      </c>
      <c r="I2110" s="48">
        <v>26.35</v>
      </c>
      <c r="J2110" s="49">
        <v>1</v>
      </c>
      <c r="K2110" s="49">
        <v>0</v>
      </c>
      <c r="L2110" s="49">
        <v>1</v>
      </c>
    </row>
    <row r="2111" spans="1:12" x14ac:dyDescent="0.25">
      <c r="A2111" s="45">
        <f>C2111&amp;"."&amp;IFERROR(MID(E2111,FIND("(",E2111)+1,FIND(")",E2111)-FIND("(",E2111)-1),"")</f>
      </c>
      <c r="B2111" s="46" t="s">
        <v>1178</v>
      </c>
      <c r="C2111" s="46">
        <v>77113</v>
      </c>
      <c r="D2111" s="46" t="s">
        <v>3912</v>
      </c>
      <c r="E2111" s="46" t="s">
        <v>3913</v>
      </c>
      <c r="F2111" s="46" t="s">
        <v>24</v>
      </c>
      <c r="G2111" s="47">
        <v>6.99</v>
      </c>
      <c r="H2111" s="48">
        <v>22.783</v>
      </c>
      <c r="I2111" s="48">
        <v>205.047</v>
      </c>
      <c r="J2111" s="49">
        <v>9</v>
      </c>
      <c r="K2111" s="49">
        <v>0</v>
      </c>
      <c r="L2111" s="49">
        <v>9</v>
      </c>
    </row>
    <row r="2112" spans="1:12" x14ac:dyDescent="0.25">
      <c r="A2112" s="45">
        <f>C2112&amp;"."&amp;IFERROR(MID(E2112,FIND("(",E2112)+1,FIND(")",E2112)-FIND("(",E2112)-1),"")</f>
      </c>
      <c r="B2112" s="46" t="s">
        <v>1178</v>
      </c>
      <c r="C2112" s="46">
        <v>77113</v>
      </c>
      <c r="D2112" s="46" t="s">
        <v>3912</v>
      </c>
      <c r="E2112" s="46" t="s">
        <v>3914</v>
      </c>
      <c r="F2112" s="46" t="s">
        <v>24</v>
      </c>
      <c r="G2112" s="47">
        <v>6.99</v>
      </c>
      <c r="H2112" s="48">
        <v>21.06</v>
      </c>
      <c r="I2112" s="48">
        <v>42.12</v>
      </c>
      <c r="J2112" s="49">
        <v>2</v>
      </c>
      <c r="K2112" s="49">
        <v>0</v>
      </c>
      <c r="L2112" s="49">
        <v>2</v>
      </c>
    </row>
    <row r="2113" spans="1:12" x14ac:dyDescent="0.25">
      <c r="A2113" s="45">
        <f>C2113&amp;"."&amp;IFERROR(MID(E2113,FIND("(",E2113)+1,FIND(")",E2113)-FIND("(",E2113)-1),"")</f>
      </c>
      <c r="B2113" s="46" t="s">
        <v>1178</v>
      </c>
      <c r="C2113" s="46">
        <v>77114</v>
      </c>
      <c r="D2113" s="46" t="s">
        <v>3915</v>
      </c>
      <c r="E2113" s="46" t="s">
        <v>3916</v>
      </c>
      <c r="F2113" s="46" t="s">
        <v>24</v>
      </c>
      <c r="G2113" s="47">
        <v>0.51</v>
      </c>
      <c r="H2113" s="48">
        <v>1.7</v>
      </c>
      <c r="I2113" s="48">
        <v>1.7</v>
      </c>
      <c r="J2113" s="49">
        <v>1</v>
      </c>
      <c r="K2113" s="49">
        <v>0</v>
      </c>
      <c r="L2113" s="49">
        <v>1</v>
      </c>
    </row>
    <row r="2114" spans="1:12" x14ac:dyDescent="0.25">
      <c r="A2114" s="45">
        <f>C2114&amp;"."&amp;IFERROR(MID(E2114,FIND("(",E2114)+1,FIND(")",E2114)-FIND("(",E2114)-1),"")</f>
      </c>
      <c r="B2114" s="46" t="s">
        <v>1178</v>
      </c>
      <c r="C2114" s="46">
        <v>77115</v>
      </c>
      <c r="D2114" s="46" t="s">
        <v>3917</v>
      </c>
      <c r="E2114" s="46" t="s">
        <v>3918</v>
      </c>
      <c r="F2114" s="46" t="s">
        <v>24</v>
      </c>
      <c r="G2114" s="47">
        <v>1.55</v>
      </c>
      <c r="H2114" s="48">
        <v>4.467</v>
      </c>
      <c r="I2114" s="48">
        <v>13.402</v>
      </c>
      <c r="J2114" s="49">
        <v>3</v>
      </c>
      <c r="K2114" s="49">
        <v>1</v>
      </c>
      <c r="L2114" s="49">
        <v>2</v>
      </c>
    </row>
    <row r="2115" spans="1:12" x14ac:dyDescent="0.25">
      <c r="A2115" s="45">
        <f>C2115&amp;"."&amp;IFERROR(MID(E2115,FIND("(",E2115)+1,FIND(")",E2115)-FIND("(",E2115)-1),"")</f>
      </c>
      <c r="B2115" s="46" t="s">
        <v>1178</v>
      </c>
      <c r="C2115" s="46">
        <v>77116</v>
      </c>
      <c r="D2115" s="46" t="s">
        <v>3919</v>
      </c>
      <c r="E2115" s="46" t="s">
        <v>3920</v>
      </c>
      <c r="F2115" s="46" t="s">
        <v>24</v>
      </c>
      <c r="G2115" s="47">
        <v>1.55</v>
      </c>
      <c r="H2115" s="48">
        <v>4.368</v>
      </c>
      <c r="I2115" s="48">
        <v>4.368</v>
      </c>
      <c r="J2115" s="49">
        <v>1</v>
      </c>
      <c r="K2115" s="49">
        <v>1</v>
      </c>
      <c r="L2115" s="49">
        <v>0</v>
      </c>
    </row>
    <row r="2116" spans="1:12" x14ac:dyDescent="0.25">
      <c r="A2116" s="45">
        <f>C2116&amp;"."&amp;IFERROR(MID(E2116,FIND("(",E2116)+1,FIND(")",E2116)-FIND("(",E2116)-1),"")</f>
      </c>
      <c r="B2116" s="46" t="s">
        <v>1178</v>
      </c>
      <c r="C2116" s="46">
        <v>77116</v>
      </c>
      <c r="D2116" s="46" t="s">
        <v>3919</v>
      </c>
      <c r="E2116" s="46" t="s">
        <v>3921</v>
      </c>
      <c r="F2116" s="46" t="s">
        <v>24</v>
      </c>
      <c r="G2116" s="47">
        <v>1.55</v>
      </c>
      <c r="H2116" s="48">
        <v>4.28</v>
      </c>
      <c r="I2116" s="48">
        <v>4.28</v>
      </c>
      <c r="J2116" s="49">
        <v>1</v>
      </c>
      <c r="K2116" s="49">
        <v>0</v>
      </c>
      <c r="L2116" s="49">
        <v>1</v>
      </c>
    </row>
    <row r="2117" spans="1:12" x14ac:dyDescent="0.25">
      <c r="A2117" s="45">
        <f>C2117&amp;"."&amp;IFERROR(MID(E2117,FIND("(",E2117)+1,FIND(")",E2117)-FIND("(",E2117)-1),"")</f>
      </c>
      <c r="B2117" s="46" t="s">
        <v>1178</v>
      </c>
      <c r="C2117" s="46">
        <v>77117</v>
      </c>
      <c r="D2117" s="46" t="s">
        <v>3922</v>
      </c>
      <c r="E2117" s="46" t="s">
        <v>3923</v>
      </c>
      <c r="F2117" s="46" t="s">
        <v>24</v>
      </c>
      <c r="G2117" s="47">
        <v>0.28</v>
      </c>
      <c r="H2117" s="48">
        <v>0.811</v>
      </c>
      <c r="I2117" s="48">
        <v>0.811</v>
      </c>
      <c r="J2117" s="49">
        <v>1</v>
      </c>
      <c r="K2117" s="49">
        <v>0</v>
      </c>
      <c r="L2117" s="49">
        <v>1</v>
      </c>
    </row>
    <row r="2118" spans="1:12" x14ac:dyDescent="0.25">
      <c r="A2118" s="45">
        <f>C2118&amp;"."&amp;IFERROR(MID(E2118,FIND("(",E2118)+1,FIND(")",E2118)-FIND("(",E2118)-1),"")</f>
      </c>
      <c r="B2118" s="46" t="s">
        <v>1178</v>
      </c>
      <c r="C2118" s="46">
        <v>77117</v>
      </c>
      <c r="D2118" s="46" t="s">
        <v>3922</v>
      </c>
      <c r="E2118" s="46" t="s">
        <v>3924</v>
      </c>
      <c r="F2118" s="46" t="s">
        <v>24</v>
      </c>
      <c r="G2118" s="47">
        <v>0.28</v>
      </c>
      <c r="H2118" s="48">
        <v>0.81</v>
      </c>
      <c r="I2118" s="48">
        <v>1.62</v>
      </c>
      <c r="J2118" s="49">
        <v>2</v>
      </c>
      <c r="K2118" s="49">
        <v>0</v>
      </c>
      <c r="L2118" s="49">
        <v>2</v>
      </c>
    </row>
    <row r="2119" spans="1:12" x14ac:dyDescent="0.25">
      <c r="A2119" s="45">
        <f>C2119&amp;"."&amp;IFERROR(MID(E2119,FIND("(",E2119)+1,FIND(")",E2119)-FIND("(",E2119)-1),"")</f>
      </c>
      <c r="B2119" s="46" t="s">
        <v>1178</v>
      </c>
      <c r="C2119" s="46">
        <v>77118</v>
      </c>
      <c r="D2119" s="46" t="s">
        <v>3925</v>
      </c>
      <c r="E2119" s="46" t="s">
        <v>3926</v>
      </c>
      <c r="F2119" s="46" t="s">
        <v>24</v>
      </c>
      <c r="G2119" s="47">
        <v>0.28</v>
      </c>
      <c r="H2119" s="48">
        <v>0.81</v>
      </c>
      <c r="I2119" s="48">
        <v>2.43</v>
      </c>
      <c r="J2119" s="49">
        <v>3</v>
      </c>
      <c r="K2119" s="49">
        <v>0</v>
      </c>
      <c r="L2119" s="49">
        <v>3</v>
      </c>
    </row>
    <row r="2120" spans="1:12" x14ac:dyDescent="0.25">
      <c r="A2120" s="45">
        <f>C2120&amp;"."&amp;IFERROR(MID(E2120,FIND("(",E2120)+1,FIND(")",E2120)-FIND("(",E2120)-1),"")</f>
      </c>
      <c r="B2120" s="46" t="s">
        <v>1178</v>
      </c>
      <c r="C2120" s="46">
        <v>77119</v>
      </c>
      <c r="D2120" s="46" t="s">
        <v>3927</v>
      </c>
      <c r="E2120" s="46" t="s">
        <v>3928</v>
      </c>
      <c r="F2120" s="46" t="s">
        <v>24</v>
      </c>
      <c r="G2120" s="47">
        <v>1.18</v>
      </c>
      <c r="H2120" s="48">
        <v>3.37</v>
      </c>
      <c r="I2120" s="48">
        <v>6.74</v>
      </c>
      <c r="J2120" s="49">
        <v>2</v>
      </c>
      <c r="K2120" s="49">
        <v>0</v>
      </c>
      <c r="L2120" s="49">
        <v>2</v>
      </c>
    </row>
    <row r="2121" spans="1:12" x14ac:dyDescent="0.25">
      <c r="A2121" s="45">
        <f>C2121&amp;"."&amp;IFERROR(MID(E2121,FIND("(",E2121)+1,FIND(")",E2121)-FIND("(",E2121)-1),"")</f>
      </c>
      <c r="B2121" s="46" t="s">
        <v>1178</v>
      </c>
      <c r="C2121" s="46">
        <v>77120</v>
      </c>
      <c r="D2121" s="46" t="s">
        <v>3929</v>
      </c>
      <c r="E2121" s="46" t="s">
        <v>3930</v>
      </c>
      <c r="F2121" s="46" t="s">
        <v>24</v>
      </c>
      <c r="G2121" s="47">
        <v>0.24</v>
      </c>
      <c r="H2121" s="48">
        <v>0.569</v>
      </c>
      <c r="I2121" s="48">
        <v>0.569</v>
      </c>
      <c r="J2121" s="49">
        <v>1</v>
      </c>
      <c r="K2121" s="49">
        <v>1</v>
      </c>
      <c r="L2121" s="49">
        <v>0</v>
      </c>
    </row>
    <row r="2122" spans="1:12" x14ac:dyDescent="0.25">
      <c r="A2122" s="45">
        <f>C2122&amp;"."&amp;IFERROR(MID(E2122,FIND("(",E2122)+1,FIND(")",E2122)-FIND("(",E2122)-1),"")</f>
      </c>
      <c r="B2122" s="46" t="s">
        <v>1178</v>
      </c>
      <c r="C2122" s="46">
        <v>77120</v>
      </c>
      <c r="D2122" s="46" t="s">
        <v>3929</v>
      </c>
      <c r="E2122" s="46" t="s">
        <v>3931</v>
      </c>
      <c r="F2122" s="46" t="s">
        <v>24</v>
      </c>
      <c r="G2122" s="47">
        <v>0.24</v>
      </c>
      <c r="H2122" s="48">
        <v>0.612</v>
      </c>
      <c r="I2122" s="48">
        <v>1.224</v>
      </c>
      <c r="J2122" s="49">
        <v>2</v>
      </c>
      <c r="K2122" s="49">
        <v>0</v>
      </c>
      <c r="L2122" s="49">
        <v>2</v>
      </c>
    </row>
    <row r="2123" spans="1:12" x14ac:dyDescent="0.25">
      <c r="A2123" s="45">
        <f>C2123&amp;"."&amp;IFERROR(MID(E2123,FIND("(",E2123)+1,FIND(")",E2123)-FIND("(",E2123)-1),"")</f>
      </c>
      <c r="B2123" s="46" t="s">
        <v>1178</v>
      </c>
      <c r="C2123" s="46">
        <v>77124</v>
      </c>
      <c r="D2123" s="46" t="s">
        <v>3932</v>
      </c>
      <c r="E2123" s="46" t="s">
        <v>3933</v>
      </c>
      <c r="F2123" s="46" t="s">
        <v>24</v>
      </c>
      <c r="G2123" s="47">
        <v>0.19</v>
      </c>
      <c r="H2123" s="48">
        <v>0.532</v>
      </c>
      <c r="I2123" s="48">
        <v>1.065</v>
      </c>
      <c r="J2123" s="49">
        <v>2</v>
      </c>
      <c r="K2123" s="49">
        <v>0</v>
      </c>
      <c r="L2123" s="49">
        <v>2</v>
      </c>
    </row>
    <row r="2124" spans="1:12" x14ac:dyDescent="0.25">
      <c r="A2124" s="45">
        <f>C2124&amp;"."&amp;IFERROR(MID(E2124,FIND("(",E2124)+1,FIND(")",E2124)-FIND("(",E2124)-1),"")</f>
      </c>
      <c r="B2124" s="46" t="s">
        <v>1178</v>
      </c>
      <c r="C2124" s="46">
        <v>77124</v>
      </c>
      <c r="D2124" s="46" t="s">
        <v>3932</v>
      </c>
      <c r="E2124" s="46" t="s">
        <v>3934</v>
      </c>
      <c r="F2124" s="46" t="s">
        <v>24</v>
      </c>
      <c r="G2124" s="47">
        <v>0.19</v>
      </c>
      <c r="H2124" s="48">
        <v>1.054</v>
      </c>
      <c r="I2124" s="48">
        <v>9.482</v>
      </c>
      <c r="J2124" s="49">
        <v>9</v>
      </c>
      <c r="K2124" s="49">
        <v>0</v>
      </c>
      <c r="L2124" s="49">
        <v>9</v>
      </c>
    </row>
    <row r="2125" spans="1:12" x14ac:dyDescent="0.25">
      <c r="A2125" s="45">
        <f>C2125&amp;"."&amp;IFERROR(MID(E2125,FIND("(",E2125)+1,FIND(")",E2125)-FIND("(",E2125)-1),"")</f>
      </c>
      <c r="B2125" s="46" t="s">
        <v>1178</v>
      </c>
      <c r="C2125" s="46">
        <v>77127</v>
      </c>
      <c r="D2125" s="46" t="s">
        <v>3935</v>
      </c>
      <c r="E2125" s="46" t="s">
        <v>3936</v>
      </c>
      <c r="F2125" s="46" t="s">
        <v>26</v>
      </c>
      <c r="G2125" s="47">
        <v>1.26</v>
      </c>
      <c r="H2125" s="48">
        <v>3.96</v>
      </c>
      <c r="I2125" s="48">
        <v>3.96</v>
      </c>
      <c r="J2125" s="49">
        <v>1</v>
      </c>
      <c r="K2125" s="49">
        <v>0</v>
      </c>
      <c r="L2125" s="49">
        <v>1</v>
      </c>
    </row>
    <row r="2126" spans="1:12" x14ac:dyDescent="0.25">
      <c r="A2126" s="45">
        <f>C2126&amp;"."&amp;IFERROR(MID(E2126,FIND("(",E2126)+1,FIND(")",E2126)-FIND("(",E2126)-1),"")</f>
      </c>
      <c r="B2126" s="46" t="s">
        <v>1178</v>
      </c>
      <c r="C2126" s="46">
        <v>77127</v>
      </c>
      <c r="D2126" s="46" t="s">
        <v>3935</v>
      </c>
      <c r="E2126" s="46" t="s">
        <v>3937</v>
      </c>
      <c r="F2126" s="46" t="s">
        <v>26</v>
      </c>
      <c r="G2126" s="47">
        <v>1.26</v>
      </c>
      <c r="H2126" s="48">
        <v>3.96</v>
      </c>
      <c r="I2126" s="48">
        <v>11.88</v>
      </c>
      <c r="J2126" s="49">
        <v>3</v>
      </c>
      <c r="K2126" s="49">
        <v>0</v>
      </c>
      <c r="L2126" s="49">
        <v>3</v>
      </c>
    </row>
    <row r="2127" spans="1:12" x14ac:dyDescent="0.25">
      <c r="A2127" s="45">
        <f>C2127&amp;"."&amp;IFERROR(MID(E2127,FIND("(",E2127)+1,FIND(")",E2127)-FIND("(",E2127)-1),"")</f>
      </c>
      <c r="B2127" s="46" t="s">
        <v>1178</v>
      </c>
      <c r="C2127" s="46">
        <v>77131</v>
      </c>
      <c r="D2127" s="46" t="s">
        <v>3938</v>
      </c>
      <c r="E2127" s="46" t="s">
        <v>3939</v>
      </c>
      <c r="F2127" s="46" t="s">
        <v>26</v>
      </c>
      <c r="G2127" s="47">
        <v>0.68</v>
      </c>
      <c r="H2127" s="48">
        <v>1.987</v>
      </c>
      <c r="I2127" s="48">
        <v>35.758</v>
      </c>
      <c r="J2127" s="49">
        <v>18</v>
      </c>
      <c r="K2127" s="49">
        <v>0</v>
      </c>
      <c r="L2127" s="49">
        <v>18</v>
      </c>
    </row>
    <row r="2128" spans="1:12" x14ac:dyDescent="0.25">
      <c r="A2128" s="45">
        <f>C2128&amp;"."&amp;IFERROR(MID(E2128,FIND("(",E2128)+1,FIND(")",E2128)-FIND("(",E2128)-1),"")</f>
      </c>
      <c r="B2128" s="46" t="s">
        <v>1178</v>
      </c>
      <c r="C2128" s="46">
        <v>77131</v>
      </c>
      <c r="D2128" s="46" t="s">
        <v>3938</v>
      </c>
      <c r="E2128" s="46" t="s">
        <v>3940</v>
      </c>
      <c r="F2128" s="46" t="s">
        <v>26</v>
      </c>
      <c r="G2128" s="47">
        <v>0.68</v>
      </c>
      <c r="H2128" s="48">
        <v>6.307</v>
      </c>
      <c r="I2128" s="48">
        <v>37.842</v>
      </c>
      <c r="J2128" s="49">
        <v>6</v>
      </c>
      <c r="K2128" s="49">
        <v>2</v>
      </c>
      <c r="L2128" s="49">
        <v>4</v>
      </c>
    </row>
    <row r="2129" spans="1:12" x14ac:dyDescent="0.25">
      <c r="A2129" s="45">
        <f>C2129&amp;"."&amp;IFERROR(MID(E2129,FIND("(",E2129)+1,FIND(")",E2129)-FIND("(",E2129)-1),"")</f>
      </c>
      <c r="B2129" s="46" t="s">
        <v>1178</v>
      </c>
      <c r="C2129" s="46">
        <v>77131</v>
      </c>
      <c r="D2129" s="46" t="s">
        <v>3938</v>
      </c>
      <c r="E2129" s="46" t="s">
        <v>3941</v>
      </c>
      <c r="F2129" s="46" t="s">
        <v>26</v>
      </c>
      <c r="G2129" s="47">
        <v>0.68</v>
      </c>
      <c r="H2129" s="48">
        <v>2.38</v>
      </c>
      <c r="I2129" s="48">
        <v>7.14</v>
      </c>
      <c r="J2129" s="49">
        <v>3</v>
      </c>
      <c r="K2129" s="49">
        <v>0</v>
      </c>
      <c r="L2129" s="49">
        <v>3</v>
      </c>
    </row>
    <row r="2130" spans="1:12" x14ac:dyDescent="0.25">
      <c r="A2130" s="45">
        <f>C2130&amp;"."&amp;IFERROR(MID(E2130,FIND("(",E2130)+1,FIND(")",E2130)-FIND("(",E2130)-1),"")</f>
      </c>
      <c r="B2130" s="46" t="s">
        <v>1178</v>
      </c>
      <c r="C2130" s="46">
        <v>77132</v>
      </c>
      <c r="D2130" s="46" t="s">
        <v>3942</v>
      </c>
      <c r="E2130" s="46" t="s">
        <v>3943</v>
      </c>
      <c r="F2130" s="46" t="s">
        <v>24</v>
      </c>
      <c r="G2130" s="47">
        <v>0.27</v>
      </c>
      <c r="H2130" s="48">
        <v>1438.057</v>
      </c>
      <c r="I2130" s="48">
        <v>2876.113</v>
      </c>
      <c r="J2130" s="49">
        <v>2</v>
      </c>
      <c r="K2130" s="49">
        <v>0</v>
      </c>
      <c r="L2130" s="49">
        <v>2</v>
      </c>
    </row>
    <row r="2131" spans="1:12" x14ac:dyDescent="0.25">
      <c r="A2131" s="45">
        <f>C2131&amp;"."&amp;IFERROR(MID(E2131,FIND("(",E2131)+1,FIND(")",E2131)-FIND("(",E2131)-1),"")</f>
      </c>
      <c r="B2131" s="46" t="s">
        <v>1178</v>
      </c>
      <c r="C2131" s="46">
        <v>77134</v>
      </c>
      <c r="D2131" s="46" t="s">
        <v>3944</v>
      </c>
      <c r="E2131" s="46" t="s">
        <v>3945</v>
      </c>
      <c r="F2131" s="46" t="s">
        <v>25</v>
      </c>
      <c r="G2131" s="47">
        <v>0.42</v>
      </c>
      <c r="H2131" s="48">
        <v>10.766</v>
      </c>
      <c r="I2131" s="48">
        <v>10.766</v>
      </c>
      <c r="J2131" s="49">
        <v>1</v>
      </c>
      <c r="K2131" s="49">
        <v>1</v>
      </c>
      <c r="L2131" s="49">
        <v>0</v>
      </c>
    </row>
    <row r="2132" spans="1:12" x14ac:dyDescent="0.25">
      <c r="A2132" s="45">
        <f>C2132&amp;"."&amp;IFERROR(MID(E2132,FIND("(",E2132)+1,FIND(")",E2132)-FIND("(",E2132)-1),"")</f>
      </c>
      <c r="B2132" s="46" t="s">
        <v>1178</v>
      </c>
      <c r="C2132" s="46">
        <v>77143</v>
      </c>
      <c r="D2132" s="46" t="s">
        <v>516</v>
      </c>
      <c r="E2132" s="46" t="s">
        <v>3946</v>
      </c>
      <c r="F2132" s="46" t="s">
        <v>26</v>
      </c>
      <c r="G2132" s="47">
        <v>28</v>
      </c>
      <c r="H2132" s="48">
        <v>172.654</v>
      </c>
      <c r="I2132" s="48">
        <v>47307.327</v>
      </c>
      <c r="J2132" s="49">
        <v>274</v>
      </c>
      <c r="K2132" s="49">
        <v>54</v>
      </c>
      <c r="L2132" s="49">
        <v>220</v>
      </c>
    </row>
    <row r="2133" spans="1:12" x14ac:dyDescent="0.25">
      <c r="A2133" s="45">
        <f>C2133&amp;"."&amp;IFERROR(MID(E2133,FIND("(",E2133)+1,FIND(")",E2133)-FIND("(",E2133)-1),"")</f>
      </c>
      <c r="B2133" s="46" t="s">
        <v>1178</v>
      </c>
      <c r="C2133" s="46">
        <v>77143</v>
      </c>
      <c r="D2133" s="46" t="s">
        <v>516</v>
      </c>
      <c r="E2133" s="46" t="s">
        <v>3947</v>
      </c>
      <c r="F2133" s="46" t="s">
        <v>26</v>
      </c>
      <c r="G2133" s="47">
        <v>28</v>
      </c>
      <c r="H2133" s="48">
        <v>181.792</v>
      </c>
      <c r="I2133" s="48">
        <v>77443.495</v>
      </c>
      <c r="J2133" s="49">
        <v>426</v>
      </c>
      <c r="K2133" s="49">
        <v>395</v>
      </c>
      <c r="L2133" s="49">
        <v>31</v>
      </c>
    </row>
    <row r="2134" spans="1:12" x14ac:dyDescent="0.25">
      <c r="A2134" s="45">
        <f>C2134&amp;"."&amp;IFERROR(MID(E2134,FIND("(",E2134)+1,FIND(")",E2134)-FIND("(",E2134)-1),"")</f>
      </c>
      <c r="B2134" s="46" t="s">
        <v>1178</v>
      </c>
      <c r="C2134" s="46">
        <v>77150</v>
      </c>
      <c r="D2134" s="46" t="s">
        <v>3948</v>
      </c>
      <c r="E2134" s="46" t="s">
        <v>3949</v>
      </c>
      <c r="F2134" s="46" t="s">
        <v>25</v>
      </c>
      <c r="G2134" s="47">
        <v>1.68</v>
      </c>
      <c r="H2134" s="48">
        <v>5.179</v>
      </c>
      <c r="I2134" s="48">
        <v>36.255</v>
      </c>
      <c r="J2134" s="49">
        <v>7</v>
      </c>
      <c r="K2134" s="49">
        <v>0</v>
      </c>
      <c r="L2134" s="49">
        <v>7</v>
      </c>
    </row>
    <row r="2135" spans="1:12" x14ac:dyDescent="0.25">
      <c r="A2135" s="45">
        <f>C2135&amp;"."&amp;IFERROR(MID(E2135,FIND("(",E2135)+1,FIND(")",E2135)-FIND("(",E2135)-1),"")</f>
      </c>
      <c r="B2135" s="46" t="s">
        <v>1178</v>
      </c>
      <c r="C2135" s="46">
        <v>77152</v>
      </c>
      <c r="D2135" s="46" t="s">
        <v>3950</v>
      </c>
      <c r="E2135" s="46" t="s">
        <v>3951</v>
      </c>
      <c r="F2135" s="46" t="s">
        <v>25</v>
      </c>
      <c r="G2135" s="47">
        <v>0.56</v>
      </c>
      <c r="H2135" s="48">
        <v>2.323</v>
      </c>
      <c r="I2135" s="48">
        <v>18.586</v>
      </c>
      <c r="J2135" s="49">
        <v>8</v>
      </c>
      <c r="K2135" s="49">
        <v>0</v>
      </c>
      <c r="L2135" s="49">
        <v>8</v>
      </c>
    </row>
    <row r="2136" spans="1:12" x14ac:dyDescent="0.25">
      <c r="A2136" s="45">
        <f>C2136&amp;"."&amp;IFERROR(MID(E2136,FIND("(",E2136)+1,FIND(")",E2136)-FIND("(",E2136)-1),"")</f>
      </c>
      <c r="B2136" s="46" t="s">
        <v>1178</v>
      </c>
      <c r="C2136" s="46">
        <v>77152</v>
      </c>
      <c r="D2136" s="46" t="s">
        <v>3950</v>
      </c>
      <c r="E2136" s="46" t="s">
        <v>3952</v>
      </c>
      <c r="F2136" s="46" t="s">
        <v>25</v>
      </c>
      <c r="G2136" s="47">
        <v>0.56</v>
      </c>
      <c r="H2136" s="48">
        <v>2.233</v>
      </c>
      <c r="I2136" s="48">
        <v>15.63</v>
      </c>
      <c r="J2136" s="49">
        <v>7</v>
      </c>
      <c r="K2136" s="49">
        <v>0</v>
      </c>
      <c r="L2136" s="49">
        <v>7</v>
      </c>
    </row>
    <row r="2137" spans="1:12" x14ac:dyDescent="0.25">
      <c r="A2137" s="45">
        <f>C2137&amp;"."&amp;IFERROR(MID(E2137,FIND("(",E2137)+1,FIND(")",E2137)-FIND("(",E2137)-1),"")</f>
      </c>
      <c r="B2137" s="46" t="s">
        <v>1178</v>
      </c>
      <c r="C2137" s="46">
        <v>77152</v>
      </c>
      <c r="D2137" s="46" t="s">
        <v>3950</v>
      </c>
      <c r="E2137" s="46" t="s">
        <v>3953</v>
      </c>
      <c r="F2137" s="46" t="s">
        <v>25</v>
      </c>
      <c r="G2137" s="47">
        <v>0.56</v>
      </c>
      <c r="H2137" s="48">
        <v>2.294</v>
      </c>
      <c r="I2137" s="48">
        <v>13.763</v>
      </c>
      <c r="J2137" s="49">
        <v>6</v>
      </c>
      <c r="K2137" s="49">
        <v>0</v>
      </c>
      <c r="L2137" s="49">
        <v>6</v>
      </c>
    </row>
    <row r="2138" spans="1:12" x14ac:dyDescent="0.25">
      <c r="A2138" s="45">
        <f>C2138&amp;"."&amp;IFERROR(MID(E2138,FIND("(",E2138)+1,FIND(")",E2138)-FIND("(",E2138)-1),"")</f>
      </c>
      <c r="B2138" s="46" t="s">
        <v>1178</v>
      </c>
      <c r="C2138" s="46">
        <v>77155</v>
      </c>
      <c r="D2138" s="46" t="s">
        <v>3954</v>
      </c>
      <c r="E2138" s="46" t="s">
        <v>3955</v>
      </c>
      <c r="F2138" s="46" t="s">
        <v>25</v>
      </c>
      <c r="G2138" s="47">
        <v>0.56</v>
      </c>
      <c r="H2138" s="48">
        <v>2.257</v>
      </c>
      <c r="I2138" s="48">
        <v>6.772</v>
      </c>
      <c r="J2138" s="49">
        <v>3</v>
      </c>
      <c r="K2138" s="49">
        <v>0</v>
      </c>
      <c r="L2138" s="49">
        <v>3</v>
      </c>
    </row>
    <row r="2139" spans="1:12" x14ac:dyDescent="0.25">
      <c r="A2139" s="45">
        <f>C2139&amp;"."&amp;IFERROR(MID(E2139,FIND("(",E2139)+1,FIND(")",E2139)-FIND("(",E2139)-1),"")</f>
      </c>
      <c r="B2139" s="46" t="s">
        <v>1178</v>
      </c>
      <c r="C2139" s="46">
        <v>77155</v>
      </c>
      <c r="D2139" s="46" t="s">
        <v>3954</v>
      </c>
      <c r="E2139" s="46" t="s">
        <v>3956</v>
      </c>
      <c r="F2139" s="46" t="s">
        <v>25</v>
      </c>
      <c r="G2139" s="47">
        <v>0.56</v>
      </c>
      <c r="H2139" s="48">
        <v>2.294</v>
      </c>
      <c r="I2139" s="48">
        <v>13.763</v>
      </c>
      <c r="J2139" s="49">
        <v>6</v>
      </c>
      <c r="K2139" s="49">
        <v>0</v>
      </c>
      <c r="L2139" s="49">
        <v>6</v>
      </c>
    </row>
    <row r="2140" spans="1:12" x14ac:dyDescent="0.25">
      <c r="A2140" s="45">
        <f>C2140&amp;"."&amp;IFERROR(MID(E2140,FIND("(",E2140)+1,FIND(")",E2140)-FIND("(",E2140)-1),"")</f>
      </c>
      <c r="B2140" s="46" t="s">
        <v>1178</v>
      </c>
      <c r="C2140" s="46">
        <v>77168</v>
      </c>
      <c r="D2140" s="46" t="s">
        <v>3957</v>
      </c>
      <c r="E2140" s="46" t="s">
        <v>3958</v>
      </c>
      <c r="F2140" s="46" t="s">
        <v>25</v>
      </c>
      <c r="G2140" s="47">
        <v>0.77</v>
      </c>
      <c r="H2140" s="48">
        <v>2.517</v>
      </c>
      <c r="I2140" s="48">
        <v>15.101</v>
      </c>
      <c r="J2140" s="49">
        <v>6</v>
      </c>
      <c r="K2140" s="49">
        <v>0</v>
      </c>
      <c r="L2140" s="49">
        <v>6</v>
      </c>
    </row>
    <row r="2141" spans="1:12" x14ac:dyDescent="0.25">
      <c r="A2141" s="45">
        <f>C2141&amp;"."&amp;IFERROR(MID(E2141,FIND("(",E2141)+1,FIND(")",E2141)-FIND("(",E2141)-1),"")</f>
      </c>
      <c r="B2141" s="46" t="s">
        <v>1178</v>
      </c>
      <c r="C2141" s="46">
        <v>77168</v>
      </c>
      <c r="D2141" s="46" t="s">
        <v>3957</v>
      </c>
      <c r="E2141" s="46" t="s">
        <v>3959</v>
      </c>
      <c r="F2141" s="46" t="s">
        <v>25</v>
      </c>
      <c r="G2141" s="47">
        <v>0.77</v>
      </c>
      <c r="H2141" s="48">
        <v>2.34</v>
      </c>
      <c r="I2141" s="48">
        <v>9.36</v>
      </c>
      <c r="J2141" s="49">
        <v>4</v>
      </c>
      <c r="K2141" s="49">
        <v>0</v>
      </c>
      <c r="L2141" s="49">
        <v>4</v>
      </c>
    </row>
    <row r="2142" spans="1:12" x14ac:dyDescent="0.25">
      <c r="A2142" s="45">
        <f>C2142&amp;"."&amp;IFERROR(MID(E2142,FIND("(",E2142)+1,FIND(")",E2142)-FIND("(",E2142)-1),"")</f>
      </c>
      <c r="B2142" s="46" t="s">
        <v>1178</v>
      </c>
      <c r="C2142" s="46">
        <v>77171</v>
      </c>
      <c r="D2142" s="46" t="s">
        <v>3960</v>
      </c>
      <c r="E2142" s="46" t="s">
        <v>3961</v>
      </c>
      <c r="F2142" s="46" t="s">
        <v>25</v>
      </c>
      <c r="G2142" s="47">
        <v>7.46</v>
      </c>
      <c r="H2142" s="48">
        <v>17.785</v>
      </c>
      <c r="I2142" s="48">
        <v>35.57</v>
      </c>
      <c r="J2142" s="49">
        <v>2</v>
      </c>
      <c r="K2142" s="49">
        <v>0</v>
      </c>
      <c r="L2142" s="49">
        <v>2</v>
      </c>
    </row>
    <row r="2143" spans="1:12" x14ac:dyDescent="0.25">
      <c r="A2143" s="45">
        <f>C2143&amp;"."&amp;IFERROR(MID(E2143,FIND("(",E2143)+1,FIND(")",E2143)-FIND("(",E2143)-1),"")</f>
      </c>
      <c r="B2143" s="46" t="s">
        <v>1178</v>
      </c>
      <c r="C2143" s="46">
        <v>77171</v>
      </c>
      <c r="D2143" s="46" t="s">
        <v>3960</v>
      </c>
      <c r="E2143" s="46" t="s">
        <v>3962</v>
      </c>
      <c r="F2143" s="46" t="s">
        <v>25</v>
      </c>
      <c r="G2143" s="47">
        <v>7.46</v>
      </c>
      <c r="H2143" s="48">
        <v>17.158</v>
      </c>
      <c r="I2143" s="48">
        <v>634.854</v>
      </c>
      <c r="J2143" s="49">
        <v>37</v>
      </c>
      <c r="K2143" s="49">
        <v>0</v>
      </c>
      <c r="L2143" s="49">
        <v>37</v>
      </c>
    </row>
    <row r="2144" spans="1:12" x14ac:dyDescent="0.25">
      <c r="A2144" s="45">
        <f>C2144&amp;"."&amp;IFERROR(MID(E2144,FIND("(",E2144)+1,FIND(")",E2144)-FIND("(",E2144)-1),"")</f>
      </c>
      <c r="B2144" s="46" t="s">
        <v>1178</v>
      </c>
      <c r="C2144" s="46">
        <v>77171</v>
      </c>
      <c r="D2144" s="46" t="s">
        <v>3960</v>
      </c>
      <c r="E2144" s="46" t="s">
        <v>3963</v>
      </c>
      <c r="F2144" s="46" t="s">
        <v>25</v>
      </c>
      <c r="G2144" s="47">
        <v>7.46</v>
      </c>
      <c r="H2144" s="48">
        <v>16.86</v>
      </c>
      <c r="I2144" s="48">
        <v>404.632</v>
      </c>
      <c r="J2144" s="49">
        <v>24</v>
      </c>
      <c r="K2144" s="49">
        <v>2</v>
      </c>
      <c r="L2144" s="49">
        <v>22</v>
      </c>
    </row>
    <row r="2145" spans="1:12" x14ac:dyDescent="0.25">
      <c r="A2145" s="45">
        <f>C2145&amp;"."&amp;IFERROR(MID(E2145,FIND("(",E2145)+1,FIND(")",E2145)-FIND("(",E2145)-1),"")</f>
      </c>
      <c r="B2145" s="46" t="s">
        <v>1178</v>
      </c>
      <c r="C2145" s="46">
        <v>77179</v>
      </c>
      <c r="D2145" s="46" t="s">
        <v>3964</v>
      </c>
      <c r="E2145" s="46" t="s">
        <v>1248</v>
      </c>
      <c r="F2145" s="46" t="s">
        <v>1495</v>
      </c>
      <c r="G2145" s="47">
        <v>0</v>
      </c>
      <c r="H2145" s="48">
        <v>1.067</v>
      </c>
      <c r="I2145" s="48">
        <v>5.336</v>
      </c>
      <c r="J2145" s="49">
        <v>5</v>
      </c>
      <c r="K2145" s="49">
        <v>1</v>
      </c>
      <c r="L2145" s="49">
        <v>4</v>
      </c>
    </row>
    <row r="2146" spans="1:12" x14ac:dyDescent="0.25">
      <c r="A2146" s="45">
        <f>C2146&amp;"."&amp;IFERROR(MID(E2146,FIND("(",E2146)+1,FIND(")",E2146)-FIND("(",E2146)-1),"")</f>
      </c>
      <c r="B2146" s="46" t="s">
        <v>1178</v>
      </c>
      <c r="C2146" s="46">
        <v>77181</v>
      </c>
      <c r="D2146" s="46" t="s">
        <v>3965</v>
      </c>
      <c r="E2146" s="46" t="s">
        <v>1248</v>
      </c>
      <c r="F2146" s="46" t="s">
        <v>1495</v>
      </c>
      <c r="G2146" s="47">
        <v>0</v>
      </c>
      <c r="H2146" s="48">
        <v>0.741</v>
      </c>
      <c r="I2146" s="48">
        <v>2.223</v>
      </c>
      <c r="J2146" s="49">
        <v>3</v>
      </c>
      <c r="K2146" s="49">
        <v>0</v>
      </c>
      <c r="L2146" s="49">
        <v>3</v>
      </c>
    </row>
    <row r="2147" spans="1:12" x14ac:dyDescent="0.25">
      <c r="A2147" s="45">
        <f>C2147&amp;"."&amp;IFERROR(MID(E2147,FIND("(",E2147)+1,FIND(")",E2147)-FIND("(",E2147)-1),"")</f>
      </c>
      <c r="B2147" s="46" t="s">
        <v>1178</v>
      </c>
      <c r="C2147" s="46">
        <v>77190</v>
      </c>
      <c r="D2147" s="46" t="s">
        <v>3966</v>
      </c>
      <c r="E2147" s="46" t="s">
        <v>3967</v>
      </c>
      <c r="F2147" s="46" t="s">
        <v>26</v>
      </c>
      <c r="G2147" s="47">
        <v>0.37</v>
      </c>
      <c r="H2147" s="48">
        <v>18.89</v>
      </c>
      <c r="I2147" s="48">
        <v>18.89</v>
      </c>
      <c r="J2147" s="49">
        <v>1</v>
      </c>
      <c r="K2147" s="49">
        <v>0</v>
      </c>
      <c r="L2147" s="49">
        <v>1</v>
      </c>
    </row>
    <row r="2148" spans="1:12" x14ac:dyDescent="0.25">
      <c r="A2148" s="45">
        <f>C2148&amp;"."&amp;IFERROR(MID(E2148,FIND("(",E2148)+1,FIND(")",E2148)-FIND("(",E2148)-1),"")</f>
      </c>
      <c r="B2148" s="46" t="s">
        <v>1178</v>
      </c>
      <c r="C2148" s="46">
        <v>77193</v>
      </c>
      <c r="D2148" s="46" t="s">
        <v>3968</v>
      </c>
      <c r="E2148" s="46" t="s">
        <v>1248</v>
      </c>
      <c r="F2148" s="46" t="s">
        <v>1495</v>
      </c>
      <c r="G2148" s="47">
        <v>0</v>
      </c>
      <c r="H2148" s="48">
        <v>0.029</v>
      </c>
      <c r="I2148" s="48">
        <v>0.116</v>
      </c>
      <c r="J2148" s="49">
        <v>4</v>
      </c>
      <c r="K2148" s="49">
        <v>0</v>
      </c>
      <c r="L2148" s="49">
        <v>4</v>
      </c>
    </row>
    <row r="2149" spans="1:12" x14ac:dyDescent="0.25">
      <c r="A2149" s="45">
        <f>C2149&amp;"."&amp;IFERROR(MID(E2149,FIND("(",E2149)+1,FIND(")",E2149)-FIND("(",E2149)-1),"")</f>
      </c>
      <c r="B2149" s="46" t="s">
        <v>1178</v>
      </c>
      <c r="C2149" s="46">
        <v>77196</v>
      </c>
      <c r="D2149" s="46" t="s">
        <v>3969</v>
      </c>
      <c r="E2149" s="46" t="s">
        <v>1248</v>
      </c>
      <c r="F2149" s="46" t="s">
        <v>1495</v>
      </c>
      <c r="G2149" s="47">
        <v>0</v>
      </c>
      <c r="H2149" s="48">
        <v>0.258</v>
      </c>
      <c r="I2149" s="48">
        <v>2.064</v>
      </c>
      <c r="J2149" s="49">
        <v>8</v>
      </c>
      <c r="K2149" s="49">
        <v>0</v>
      </c>
      <c r="L2149" s="49">
        <v>8</v>
      </c>
    </row>
    <row r="2150" spans="1:12" x14ac:dyDescent="0.25">
      <c r="A2150" s="45">
        <f>C2150&amp;"."&amp;IFERROR(MID(E2150,FIND("(",E2150)+1,FIND(")",E2150)-FIND("(",E2150)-1),"")</f>
      </c>
      <c r="B2150" s="46" t="s">
        <v>1178</v>
      </c>
      <c r="C2150" s="46">
        <v>77197</v>
      </c>
      <c r="D2150" s="46" t="s">
        <v>217</v>
      </c>
      <c r="E2150" s="46" t="s">
        <v>3970</v>
      </c>
      <c r="F2150" s="46" t="s">
        <v>26</v>
      </c>
      <c r="G2150" s="47">
        <v>29</v>
      </c>
      <c r="H2150" s="48">
        <v>121.142</v>
      </c>
      <c r="I2150" s="48">
        <v>10660.53</v>
      </c>
      <c r="J2150" s="49">
        <v>88</v>
      </c>
      <c r="K2150" s="49">
        <v>31</v>
      </c>
      <c r="L2150" s="49">
        <v>57</v>
      </c>
    </row>
    <row r="2151" spans="1:12" x14ac:dyDescent="0.25">
      <c r="A2151" s="45">
        <f>C2151&amp;"."&amp;IFERROR(MID(E2151,FIND("(",E2151)+1,FIND(")",E2151)-FIND("(",E2151)-1),"")</f>
      </c>
      <c r="B2151" s="46" t="s">
        <v>1178</v>
      </c>
      <c r="C2151" s="46">
        <v>77198</v>
      </c>
      <c r="D2151" s="46" t="s">
        <v>3971</v>
      </c>
      <c r="E2151" s="46" t="s">
        <v>1248</v>
      </c>
      <c r="F2151" s="46" t="s">
        <v>1495</v>
      </c>
      <c r="G2151" s="47">
        <v>0</v>
      </c>
      <c r="H2151" s="48">
        <v>1.488</v>
      </c>
      <c r="I2151" s="48">
        <v>20.832</v>
      </c>
      <c r="J2151" s="49">
        <v>14</v>
      </c>
      <c r="K2151" s="49">
        <v>0</v>
      </c>
      <c r="L2151" s="49">
        <v>14</v>
      </c>
    </row>
    <row r="2152" spans="1:12" x14ac:dyDescent="0.25">
      <c r="A2152" s="45">
        <f>C2152&amp;"."&amp;IFERROR(MID(E2152,FIND("(",E2152)+1,FIND(")",E2152)-FIND("(",E2152)-1),"")</f>
      </c>
      <c r="B2152" s="46" t="s">
        <v>1178</v>
      </c>
      <c r="C2152" s="46">
        <v>77199</v>
      </c>
      <c r="D2152" s="46" t="s">
        <v>3972</v>
      </c>
      <c r="E2152" s="46" t="s">
        <v>1248</v>
      </c>
      <c r="F2152" s="46" t="s">
        <v>1495</v>
      </c>
      <c r="G2152" s="47">
        <v>0</v>
      </c>
      <c r="H2152" s="48">
        <v>1.45</v>
      </c>
      <c r="I2152" s="48">
        <v>2.9</v>
      </c>
      <c r="J2152" s="49">
        <v>2</v>
      </c>
      <c r="K2152" s="49">
        <v>0</v>
      </c>
      <c r="L2152" s="49">
        <v>2</v>
      </c>
    </row>
    <row r="2153" spans="1:12" x14ac:dyDescent="0.25">
      <c r="A2153" s="45">
        <f>C2153&amp;"."&amp;IFERROR(MID(E2153,FIND("(",E2153)+1,FIND(")",E2153)-FIND("(",E2153)-1),"")</f>
      </c>
      <c r="B2153" s="46" t="s">
        <v>1178</v>
      </c>
      <c r="C2153" s="46">
        <v>77225</v>
      </c>
      <c r="D2153" s="46" t="s">
        <v>3973</v>
      </c>
      <c r="E2153" s="46" t="s">
        <v>3974</v>
      </c>
      <c r="F2153" s="46" t="s">
        <v>24</v>
      </c>
      <c r="G2153" s="47">
        <v>4.2</v>
      </c>
      <c r="H2153" s="48">
        <v>16.041</v>
      </c>
      <c r="I2153" s="48">
        <v>288.733</v>
      </c>
      <c r="J2153" s="49">
        <v>18</v>
      </c>
      <c r="K2153" s="49">
        <v>5</v>
      </c>
      <c r="L2153" s="49">
        <v>13</v>
      </c>
    </row>
    <row r="2154" spans="1:12" x14ac:dyDescent="0.25">
      <c r="A2154" s="45">
        <f>C2154&amp;"."&amp;IFERROR(MID(E2154,FIND("(",E2154)+1,FIND(")",E2154)-FIND("(",E2154)-1),"")</f>
      </c>
      <c r="B2154" s="46" t="s">
        <v>1178</v>
      </c>
      <c r="C2154" s="46">
        <v>77225</v>
      </c>
      <c r="D2154" s="46" t="s">
        <v>3973</v>
      </c>
      <c r="E2154" s="46" t="s">
        <v>3975</v>
      </c>
      <c r="F2154" s="46" t="s">
        <v>24</v>
      </c>
      <c r="G2154" s="47">
        <v>4.2</v>
      </c>
      <c r="H2154" s="48">
        <v>14.001</v>
      </c>
      <c r="I2154" s="48">
        <v>42.003</v>
      </c>
      <c r="J2154" s="49">
        <v>3</v>
      </c>
      <c r="K2154" s="49">
        <v>0</v>
      </c>
      <c r="L2154" s="49">
        <v>3</v>
      </c>
    </row>
    <row r="2155" spans="1:12" x14ac:dyDescent="0.25">
      <c r="A2155" s="45">
        <f>C2155&amp;"."&amp;IFERROR(MID(E2155,FIND("(",E2155)+1,FIND(")",E2155)-FIND("(",E2155)-1),"")</f>
      </c>
      <c r="B2155" s="46" t="s">
        <v>1178</v>
      </c>
      <c r="C2155" s="46">
        <v>77225</v>
      </c>
      <c r="D2155" s="46" t="s">
        <v>3973</v>
      </c>
      <c r="E2155" s="46" t="s">
        <v>3976</v>
      </c>
      <c r="F2155" s="46" t="s">
        <v>24</v>
      </c>
      <c r="G2155" s="47">
        <v>4.2</v>
      </c>
      <c r="H2155" s="48">
        <v>6.846</v>
      </c>
      <c r="I2155" s="48">
        <v>13.692</v>
      </c>
      <c r="J2155" s="49">
        <v>2</v>
      </c>
      <c r="K2155" s="49">
        <v>0</v>
      </c>
      <c r="L2155" s="49">
        <v>2</v>
      </c>
    </row>
    <row r="2156" spans="1:12" x14ac:dyDescent="0.25">
      <c r="A2156" s="45">
        <f>C2156&amp;"."&amp;IFERROR(MID(E2156,FIND("(",E2156)+1,FIND(")",E2156)-FIND("(",E2156)-1),"")</f>
      </c>
      <c r="B2156" s="46" t="s">
        <v>1178</v>
      </c>
      <c r="C2156" s="46">
        <v>77233</v>
      </c>
      <c r="D2156" s="46" t="s">
        <v>3977</v>
      </c>
      <c r="E2156" s="46" t="s">
        <v>3978</v>
      </c>
      <c r="F2156" s="46" t="s">
        <v>24</v>
      </c>
      <c r="G2156" s="47">
        <v>6.78</v>
      </c>
      <c r="H2156" s="48">
        <v>135.966</v>
      </c>
      <c r="I2156" s="48">
        <v>1631.588</v>
      </c>
      <c r="J2156" s="49">
        <v>12</v>
      </c>
      <c r="K2156" s="49">
        <v>0</v>
      </c>
      <c r="L2156" s="49">
        <v>12</v>
      </c>
    </row>
    <row r="2157" spans="1:12" x14ac:dyDescent="0.25">
      <c r="A2157" s="45">
        <f>C2157&amp;"."&amp;IFERROR(MID(E2157,FIND("(",E2157)+1,FIND(")",E2157)-FIND("(",E2157)-1),"")</f>
      </c>
      <c r="B2157" s="46" t="s">
        <v>1178</v>
      </c>
      <c r="C2157" s="46">
        <v>77233</v>
      </c>
      <c r="D2157" s="46" t="s">
        <v>3977</v>
      </c>
      <c r="E2157" s="46" t="s">
        <v>3979</v>
      </c>
      <c r="F2157" s="46" t="s">
        <v>24</v>
      </c>
      <c r="G2157" s="47">
        <v>6.78</v>
      </c>
      <c r="H2157" s="48">
        <v>17.879</v>
      </c>
      <c r="I2157" s="48">
        <v>53.636</v>
      </c>
      <c r="J2157" s="49">
        <v>3</v>
      </c>
      <c r="K2157" s="49">
        <v>0</v>
      </c>
      <c r="L2157" s="49">
        <v>3</v>
      </c>
    </row>
    <row r="2158" spans="1:12" x14ac:dyDescent="0.25">
      <c r="A2158" s="45">
        <f>C2158&amp;"."&amp;IFERROR(MID(E2158,FIND("(",E2158)+1,FIND(")",E2158)-FIND("(",E2158)-1),"")</f>
      </c>
      <c r="B2158" s="46" t="s">
        <v>1178</v>
      </c>
      <c r="C2158" s="46">
        <v>77234</v>
      </c>
      <c r="D2158" s="46" t="s">
        <v>3980</v>
      </c>
      <c r="E2158" s="46" t="s">
        <v>3981</v>
      </c>
      <c r="F2158" s="46" t="s">
        <v>24</v>
      </c>
      <c r="G2158" s="47">
        <v>4.85</v>
      </c>
      <c r="H2158" s="48">
        <v>16.084</v>
      </c>
      <c r="I2158" s="48">
        <v>160.841</v>
      </c>
      <c r="J2158" s="49">
        <v>10</v>
      </c>
      <c r="K2158" s="49">
        <v>2</v>
      </c>
      <c r="L2158" s="49">
        <v>8</v>
      </c>
    </row>
    <row r="2159" spans="1:12" x14ac:dyDescent="0.25">
      <c r="A2159" s="45">
        <f>C2159&amp;"."&amp;IFERROR(MID(E2159,FIND("(",E2159)+1,FIND(")",E2159)-FIND("(",E2159)-1),"")</f>
      </c>
      <c r="B2159" s="46" t="s">
        <v>1178</v>
      </c>
      <c r="C2159" s="46">
        <v>77234</v>
      </c>
      <c r="D2159" s="46" t="s">
        <v>3980</v>
      </c>
      <c r="E2159" s="46" t="s">
        <v>3982</v>
      </c>
      <c r="F2159" s="46" t="s">
        <v>24</v>
      </c>
      <c r="G2159" s="47">
        <v>4.85</v>
      </c>
      <c r="H2159" s="48">
        <v>14.853</v>
      </c>
      <c r="I2159" s="48">
        <v>74.266</v>
      </c>
      <c r="J2159" s="49">
        <v>5</v>
      </c>
      <c r="K2159" s="49">
        <v>0</v>
      </c>
      <c r="L2159" s="49">
        <v>5</v>
      </c>
    </row>
    <row r="2160" spans="1:12" x14ac:dyDescent="0.25">
      <c r="A2160" s="45">
        <f>C2160&amp;"."&amp;IFERROR(MID(E2160,FIND("(",E2160)+1,FIND(")",E2160)-FIND("(",E2160)-1),"")</f>
      </c>
      <c r="B2160" s="46" t="s">
        <v>1178</v>
      </c>
      <c r="C2160" s="46">
        <v>77253</v>
      </c>
      <c r="D2160" s="46" t="s">
        <v>3983</v>
      </c>
      <c r="E2160" s="46" t="s">
        <v>3984</v>
      </c>
      <c r="F2160" s="46" t="s">
        <v>26</v>
      </c>
      <c r="G2160" s="47">
        <v>10.76</v>
      </c>
      <c r="H2160" s="48">
        <v>35.16</v>
      </c>
      <c r="I2160" s="48">
        <v>70.32</v>
      </c>
      <c r="J2160" s="49">
        <v>2</v>
      </c>
      <c r="K2160" s="49">
        <v>0</v>
      </c>
      <c r="L2160" s="49">
        <v>2</v>
      </c>
    </row>
    <row r="2161" spans="1:12" x14ac:dyDescent="0.25">
      <c r="A2161" s="45">
        <f>C2161&amp;"."&amp;IFERROR(MID(E2161,FIND("(",E2161)+1,FIND(")",E2161)-FIND("(",E2161)-1),"")</f>
      </c>
      <c r="B2161" s="46" t="s">
        <v>1178</v>
      </c>
      <c r="C2161" s="46">
        <v>77254</v>
      </c>
      <c r="D2161" s="46" t="s">
        <v>3985</v>
      </c>
      <c r="E2161" s="46" t="s">
        <v>3986</v>
      </c>
      <c r="F2161" s="46" t="s">
        <v>26</v>
      </c>
      <c r="G2161" s="47">
        <v>10.76</v>
      </c>
      <c r="H2161" s="48">
        <v>35.16</v>
      </c>
      <c r="I2161" s="48">
        <v>70.32</v>
      </c>
      <c r="J2161" s="49">
        <v>2</v>
      </c>
      <c r="K2161" s="49">
        <v>0</v>
      </c>
      <c r="L2161" s="49">
        <v>2</v>
      </c>
    </row>
    <row r="2162" spans="1:12" x14ac:dyDescent="0.25">
      <c r="A2162" s="45">
        <f>C2162&amp;"."&amp;IFERROR(MID(E2162,FIND("(",E2162)+1,FIND(")",E2162)-FIND("(",E2162)-1),"")</f>
      </c>
      <c r="B2162" s="46" t="s">
        <v>1178</v>
      </c>
      <c r="C2162" s="46">
        <v>77269</v>
      </c>
      <c r="D2162" s="46" t="s">
        <v>3987</v>
      </c>
      <c r="E2162" s="46" t="s">
        <v>3988</v>
      </c>
      <c r="F2162" s="46" t="s">
        <v>24</v>
      </c>
      <c r="G2162" s="47">
        <v>6.78</v>
      </c>
      <c r="H2162" s="48">
        <v>18.357</v>
      </c>
      <c r="I2162" s="48">
        <v>36.714</v>
      </c>
      <c r="J2162" s="49">
        <v>2</v>
      </c>
      <c r="K2162" s="49">
        <v>0</v>
      </c>
      <c r="L2162" s="49">
        <v>2</v>
      </c>
    </row>
    <row r="2163" spans="1:12" x14ac:dyDescent="0.25">
      <c r="A2163" s="45">
        <f>C2163&amp;"."&amp;IFERROR(MID(E2163,FIND("(",E2163)+1,FIND(")",E2163)-FIND("(",E2163)-1),"")</f>
      </c>
      <c r="B2163" s="46" t="s">
        <v>1178</v>
      </c>
      <c r="C2163" s="46">
        <v>77269</v>
      </c>
      <c r="D2163" s="46" t="s">
        <v>3987</v>
      </c>
      <c r="E2163" s="46" t="s">
        <v>3989</v>
      </c>
      <c r="F2163" s="46" t="s">
        <v>24</v>
      </c>
      <c r="G2163" s="47">
        <v>6.78</v>
      </c>
      <c r="H2163" s="48">
        <v>18.66</v>
      </c>
      <c r="I2163" s="48">
        <v>205.26</v>
      </c>
      <c r="J2163" s="49">
        <v>11</v>
      </c>
      <c r="K2163" s="49">
        <v>0</v>
      </c>
      <c r="L2163" s="49">
        <v>11</v>
      </c>
    </row>
    <row r="2164" spans="1:12" x14ac:dyDescent="0.25">
      <c r="A2164" s="45">
        <f>C2164&amp;"."&amp;IFERROR(MID(E2164,FIND("(",E2164)+1,FIND(")",E2164)-FIND("(",E2164)-1),"")</f>
      </c>
      <c r="B2164" s="46" t="s">
        <v>1178</v>
      </c>
      <c r="C2164" s="46">
        <v>77286</v>
      </c>
      <c r="D2164" s="46" t="s">
        <v>3990</v>
      </c>
      <c r="E2164" s="46" t="s">
        <v>3991</v>
      </c>
      <c r="F2164" s="46" t="s">
        <v>24</v>
      </c>
      <c r="G2164" s="47">
        <v>3.15</v>
      </c>
      <c r="H2164" s="48">
        <v>13.105</v>
      </c>
      <c r="I2164" s="48">
        <v>13.105</v>
      </c>
      <c r="J2164" s="49">
        <v>1</v>
      </c>
      <c r="K2164" s="49">
        <v>0</v>
      </c>
      <c r="L2164" s="49">
        <v>1</v>
      </c>
    </row>
    <row r="2165" spans="1:12" x14ac:dyDescent="0.25">
      <c r="A2165" s="45">
        <f>C2165&amp;"."&amp;IFERROR(MID(E2165,FIND("(",E2165)+1,FIND(")",E2165)-FIND("(",E2165)-1),"")</f>
      </c>
      <c r="B2165" s="46" t="s">
        <v>1178</v>
      </c>
      <c r="C2165" s="46">
        <v>77286</v>
      </c>
      <c r="D2165" s="46" t="s">
        <v>3990</v>
      </c>
      <c r="E2165" s="46" t="s">
        <v>3992</v>
      </c>
      <c r="F2165" s="46" t="s">
        <v>24</v>
      </c>
      <c r="G2165" s="47">
        <v>3.15</v>
      </c>
      <c r="H2165" s="48">
        <v>19.445</v>
      </c>
      <c r="I2165" s="48">
        <v>77.782</v>
      </c>
      <c r="J2165" s="49">
        <v>4</v>
      </c>
      <c r="K2165" s="49">
        <v>0</v>
      </c>
      <c r="L2165" s="49">
        <v>4</v>
      </c>
    </row>
    <row r="2166" spans="1:12" x14ac:dyDescent="0.25">
      <c r="A2166" s="45">
        <f>C2166&amp;"."&amp;IFERROR(MID(E2166,FIND("(",E2166)+1,FIND(")",E2166)-FIND("(",E2166)-1),"")</f>
      </c>
      <c r="B2166" s="46" t="s">
        <v>1178</v>
      </c>
      <c r="C2166" s="46">
        <v>77294</v>
      </c>
      <c r="D2166" s="46" t="s">
        <v>3993</v>
      </c>
      <c r="E2166" s="46" t="s">
        <v>3994</v>
      </c>
      <c r="F2166" s="46" t="s">
        <v>24</v>
      </c>
      <c r="G2166" s="47">
        <v>3.14</v>
      </c>
      <c r="H2166" s="48">
        <v>19.418</v>
      </c>
      <c r="I2166" s="48">
        <v>77.672</v>
      </c>
      <c r="J2166" s="49">
        <v>4</v>
      </c>
      <c r="K2166" s="49">
        <v>0</v>
      </c>
      <c r="L2166" s="49">
        <v>4</v>
      </c>
    </row>
    <row r="2167" spans="1:12" x14ac:dyDescent="0.25">
      <c r="A2167" s="45">
        <f>C2167&amp;"."&amp;IFERROR(MID(E2167,FIND("(",E2167)+1,FIND(")",E2167)-FIND("(",E2167)-1),"")</f>
      </c>
      <c r="B2167" s="46" t="s">
        <v>1178</v>
      </c>
      <c r="C2167" s="46">
        <v>77294</v>
      </c>
      <c r="D2167" s="46" t="s">
        <v>3993</v>
      </c>
      <c r="E2167" s="46" t="s">
        <v>3995</v>
      </c>
      <c r="F2167" s="46" t="s">
        <v>24</v>
      </c>
      <c r="G2167" s="47">
        <v>3.14</v>
      </c>
      <c r="H2167" s="48">
        <v>13.105</v>
      </c>
      <c r="I2167" s="48">
        <v>26.211</v>
      </c>
      <c r="J2167" s="49">
        <v>2</v>
      </c>
      <c r="K2167" s="49">
        <v>0</v>
      </c>
      <c r="L2167" s="49">
        <v>2</v>
      </c>
    </row>
    <row r="2168" spans="1:12" x14ac:dyDescent="0.25">
      <c r="A2168" s="45">
        <f>C2168&amp;"."&amp;IFERROR(MID(E2168,FIND("(",E2168)+1,FIND(")",E2168)-FIND("(",E2168)-1),"")</f>
      </c>
      <c r="B2168" s="46" t="s">
        <v>1178</v>
      </c>
      <c r="C2168" s="46">
        <v>77311</v>
      </c>
      <c r="D2168" s="46" t="s">
        <v>3996</v>
      </c>
      <c r="E2168" s="46" t="s">
        <v>3997</v>
      </c>
      <c r="F2168" s="46" t="s">
        <v>24</v>
      </c>
      <c r="G2168" s="47">
        <v>0.62</v>
      </c>
      <c r="H2168" s="48">
        <v>5.349</v>
      </c>
      <c r="I2168" s="48">
        <v>5.349</v>
      </c>
      <c r="J2168" s="49">
        <v>1</v>
      </c>
      <c r="K2168" s="49">
        <v>0</v>
      </c>
      <c r="L2168" s="49">
        <v>1</v>
      </c>
    </row>
    <row r="2169" spans="1:12" x14ac:dyDescent="0.25">
      <c r="A2169" s="45">
        <f>C2169&amp;"."&amp;IFERROR(MID(E2169,FIND("(",E2169)+1,FIND(")",E2169)-FIND("(",E2169)-1),"")</f>
      </c>
      <c r="B2169" s="46" t="s">
        <v>1178</v>
      </c>
      <c r="C2169" s="46">
        <v>77314</v>
      </c>
      <c r="D2169" s="46" t="s">
        <v>3998</v>
      </c>
      <c r="E2169" s="46" t="s">
        <v>3999</v>
      </c>
      <c r="F2169" s="46" t="s">
        <v>24</v>
      </c>
      <c r="G2169" s="47">
        <v>0.62</v>
      </c>
      <c r="H2169" s="48">
        <v>5.276</v>
      </c>
      <c r="I2169" s="48">
        <v>10.552</v>
      </c>
      <c r="J2169" s="49">
        <v>2</v>
      </c>
      <c r="K2169" s="49">
        <v>0</v>
      </c>
      <c r="L2169" s="49">
        <v>2</v>
      </c>
    </row>
    <row r="2170" spans="1:12" x14ac:dyDescent="0.25">
      <c r="A2170" s="45">
        <f>C2170&amp;"."&amp;IFERROR(MID(E2170,FIND("(",E2170)+1,FIND(")",E2170)-FIND("(",E2170)-1),"")</f>
      </c>
      <c r="B2170" s="46" t="s">
        <v>1178</v>
      </c>
      <c r="C2170" s="46">
        <v>77314</v>
      </c>
      <c r="D2170" s="46" t="s">
        <v>3998</v>
      </c>
      <c r="E2170" s="46" t="s">
        <v>4000</v>
      </c>
      <c r="F2170" s="46" t="s">
        <v>24</v>
      </c>
      <c r="G2170" s="47">
        <v>0.62</v>
      </c>
      <c r="H2170" s="48">
        <v>8.297</v>
      </c>
      <c r="I2170" s="48">
        <v>8.297</v>
      </c>
      <c r="J2170" s="49">
        <v>1</v>
      </c>
      <c r="K2170" s="49">
        <v>0</v>
      </c>
      <c r="L2170" s="49">
        <v>1</v>
      </c>
    </row>
    <row r="2171" spans="1:12" x14ac:dyDescent="0.25">
      <c r="A2171" s="45">
        <f>C2171&amp;"."&amp;IFERROR(MID(E2171,FIND("(",E2171)+1,FIND(")",E2171)-FIND("(",E2171)-1),"")</f>
      </c>
      <c r="B2171" s="46" t="s">
        <v>1178</v>
      </c>
      <c r="C2171" s="46">
        <v>77314</v>
      </c>
      <c r="D2171" s="46" t="s">
        <v>3998</v>
      </c>
      <c r="E2171" s="46" t="s">
        <v>4001</v>
      </c>
      <c r="F2171" s="46" t="s">
        <v>24</v>
      </c>
      <c r="G2171" s="47">
        <v>0.62</v>
      </c>
      <c r="H2171" s="48">
        <v>5.349</v>
      </c>
      <c r="I2171" s="48">
        <v>5.349</v>
      </c>
      <c r="J2171" s="49">
        <v>1</v>
      </c>
      <c r="K2171" s="49">
        <v>0</v>
      </c>
      <c r="L2171" s="49">
        <v>1</v>
      </c>
    </row>
    <row r="2172" spans="1:12" x14ac:dyDescent="0.25">
      <c r="A2172" s="45">
        <f>C2172&amp;"."&amp;IFERROR(MID(E2172,FIND("(",E2172)+1,FIND(")",E2172)-FIND("(",E2172)-1),"")</f>
      </c>
      <c r="B2172" s="46" t="s">
        <v>1178</v>
      </c>
      <c r="C2172" s="46">
        <v>77316</v>
      </c>
      <c r="D2172" s="46" t="s">
        <v>4002</v>
      </c>
      <c r="E2172" s="46" t="s">
        <v>4003</v>
      </c>
      <c r="F2172" s="46" t="s">
        <v>24</v>
      </c>
      <c r="G2172" s="47">
        <v>1.1</v>
      </c>
      <c r="H2172" s="48">
        <v>3.993</v>
      </c>
      <c r="I2172" s="48">
        <v>23.957</v>
      </c>
      <c r="J2172" s="49">
        <v>6</v>
      </c>
      <c r="K2172" s="49">
        <v>0</v>
      </c>
      <c r="L2172" s="49">
        <v>6</v>
      </c>
    </row>
    <row r="2173" spans="1:12" x14ac:dyDescent="0.25">
      <c r="A2173" s="45">
        <f>C2173&amp;"."&amp;IFERROR(MID(E2173,FIND("(",E2173)+1,FIND(")",E2173)-FIND("(",E2173)-1),"")</f>
      </c>
      <c r="B2173" s="46" t="s">
        <v>1178</v>
      </c>
      <c r="C2173" s="46">
        <v>77316</v>
      </c>
      <c r="D2173" s="46" t="s">
        <v>4002</v>
      </c>
      <c r="E2173" s="46" t="s">
        <v>4004</v>
      </c>
      <c r="F2173" s="46" t="s">
        <v>24</v>
      </c>
      <c r="G2173" s="47">
        <v>1.1</v>
      </c>
      <c r="H2173" s="48">
        <v>5.029</v>
      </c>
      <c r="I2173" s="48">
        <v>25.143</v>
      </c>
      <c r="J2173" s="49">
        <v>5</v>
      </c>
      <c r="K2173" s="49">
        <v>0</v>
      </c>
      <c r="L2173" s="49">
        <v>5</v>
      </c>
    </row>
    <row r="2174" spans="1:12" x14ac:dyDescent="0.25">
      <c r="A2174" s="45">
        <f>C2174&amp;"."&amp;IFERROR(MID(E2174,FIND("(",E2174)+1,FIND(")",E2174)-FIND("(",E2174)-1),"")</f>
      </c>
      <c r="B2174" s="46" t="s">
        <v>1178</v>
      </c>
      <c r="C2174" s="46">
        <v>77316</v>
      </c>
      <c r="D2174" s="46" t="s">
        <v>4002</v>
      </c>
      <c r="E2174" s="46" t="s">
        <v>4005</v>
      </c>
      <c r="F2174" s="46" t="s">
        <v>24</v>
      </c>
      <c r="G2174" s="47">
        <v>1.1</v>
      </c>
      <c r="H2174" s="48">
        <v>3.979</v>
      </c>
      <c r="I2174" s="48">
        <v>39.793</v>
      </c>
      <c r="J2174" s="49">
        <v>10</v>
      </c>
      <c r="K2174" s="49">
        <v>1</v>
      </c>
      <c r="L2174" s="49">
        <v>9</v>
      </c>
    </row>
    <row r="2175" spans="1:12" x14ac:dyDescent="0.25">
      <c r="A2175" s="45">
        <f>C2175&amp;"."&amp;IFERROR(MID(E2175,FIND("(",E2175)+1,FIND(")",E2175)-FIND("(",E2175)-1),"")</f>
      </c>
      <c r="B2175" s="46" t="s">
        <v>1178</v>
      </c>
      <c r="C2175" s="46">
        <v>77317</v>
      </c>
      <c r="D2175" s="46" t="s">
        <v>4006</v>
      </c>
      <c r="E2175" s="46" t="s">
        <v>4007</v>
      </c>
      <c r="F2175" s="46" t="s">
        <v>24</v>
      </c>
      <c r="G2175" s="47">
        <v>0</v>
      </c>
      <c r="H2175" s="48">
        <v>23.86</v>
      </c>
      <c r="I2175" s="48">
        <v>47.72</v>
      </c>
      <c r="J2175" s="49">
        <v>2</v>
      </c>
      <c r="K2175" s="49">
        <v>0</v>
      </c>
      <c r="L2175" s="49">
        <v>2</v>
      </c>
    </row>
    <row r="2176" spans="1:12" x14ac:dyDescent="0.25">
      <c r="A2176" s="45">
        <f>C2176&amp;"."&amp;IFERROR(MID(E2176,FIND("(",E2176)+1,FIND(")",E2176)-FIND("(",E2176)-1),"")</f>
      </c>
      <c r="B2176" s="46" t="s">
        <v>1178</v>
      </c>
      <c r="C2176" s="46">
        <v>77317</v>
      </c>
      <c r="D2176" s="46" t="s">
        <v>4006</v>
      </c>
      <c r="E2176" s="46" t="s">
        <v>4008</v>
      </c>
      <c r="F2176" s="46" t="s">
        <v>24</v>
      </c>
      <c r="G2176" s="47">
        <v>0</v>
      </c>
      <c r="H2176" s="48">
        <v>25.078</v>
      </c>
      <c r="I2176" s="48">
        <v>75.233</v>
      </c>
      <c r="J2176" s="49">
        <v>3</v>
      </c>
      <c r="K2176" s="49">
        <v>0</v>
      </c>
      <c r="L2176" s="49">
        <v>3</v>
      </c>
    </row>
    <row r="2177" spans="1:12" x14ac:dyDescent="0.25">
      <c r="A2177" s="45">
        <f>C2177&amp;"."&amp;IFERROR(MID(E2177,FIND("(",E2177)+1,FIND(")",E2177)-FIND("(",E2177)-1),"")</f>
      </c>
      <c r="B2177" s="46" t="s">
        <v>1178</v>
      </c>
      <c r="C2177" s="46">
        <v>77317</v>
      </c>
      <c r="D2177" s="46" t="s">
        <v>4006</v>
      </c>
      <c r="E2177" s="46" t="s">
        <v>4009</v>
      </c>
      <c r="F2177" s="46" t="s">
        <v>24</v>
      </c>
      <c r="G2177" s="47">
        <v>0</v>
      </c>
      <c r="H2177" s="48">
        <v>24.478</v>
      </c>
      <c r="I2177" s="48">
        <v>24.478</v>
      </c>
      <c r="J2177" s="49">
        <v>1</v>
      </c>
      <c r="K2177" s="49">
        <v>0</v>
      </c>
      <c r="L2177" s="49">
        <v>1</v>
      </c>
    </row>
    <row r="2178" spans="1:12" x14ac:dyDescent="0.25">
      <c r="A2178" s="45">
        <f>C2178&amp;"."&amp;IFERROR(MID(E2178,FIND("(",E2178)+1,FIND(")",E2178)-FIND("(",E2178)-1),"")</f>
      </c>
      <c r="B2178" s="46" t="s">
        <v>1178</v>
      </c>
      <c r="C2178" s="46">
        <v>77321</v>
      </c>
      <c r="D2178" s="46" t="s">
        <v>4010</v>
      </c>
      <c r="E2178" s="46" t="s">
        <v>4011</v>
      </c>
      <c r="F2178" s="46" t="s">
        <v>24</v>
      </c>
      <c r="G2178" s="47">
        <v>0</v>
      </c>
      <c r="H2178" s="48">
        <v>25.14</v>
      </c>
      <c r="I2178" s="48">
        <v>50.28</v>
      </c>
      <c r="J2178" s="49">
        <v>2</v>
      </c>
      <c r="K2178" s="49">
        <v>0</v>
      </c>
      <c r="L2178" s="49">
        <v>2</v>
      </c>
    </row>
    <row r="2179" spans="1:12" x14ac:dyDescent="0.25">
      <c r="A2179" s="45">
        <f>C2179&amp;"."&amp;IFERROR(MID(E2179,FIND("(",E2179)+1,FIND(")",E2179)-FIND("(",E2179)-1),"")</f>
      </c>
      <c r="B2179" s="46" t="s">
        <v>1178</v>
      </c>
      <c r="C2179" s="46">
        <v>77321</v>
      </c>
      <c r="D2179" s="46" t="s">
        <v>4010</v>
      </c>
      <c r="E2179" s="46" t="s">
        <v>4012</v>
      </c>
      <c r="F2179" s="46" t="s">
        <v>24</v>
      </c>
      <c r="G2179" s="47">
        <v>0</v>
      </c>
      <c r="H2179" s="48">
        <v>25.14</v>
      </c>
      <c r="I2179" s="48">
        <v>25.14</v>
      </c>
      <c r="J2179" s="49">
        <v>1</v>
      </c>
      <c r="K2179" s="49">
        <v>0</v>
      </c>
      <c r="L2179" s="49">
        <v>1</v>
      </c>
    </row>
    <row r="2180" spans="1:12" x14ac:dyDescent="0.25">
      <c r="A2180" s="45">
        <f>C2180&amp;"."&amp;IFERROR(MID(E2180,FIND("(",E2180)+1,FIND(")",E2180)-FIND("(",E2180)-1),"")</f>
      </c>
      <c r="B2180" s="46" t="s">
        <v>1178</v>
      </c>
      <c r="C2180" s="46">
        <v>77321</v>
      </c>
      <c r="D2180" s="46" t="s">
        <v>4010</v>
      </c>
      <c r="E2180" s="46" t="s">
        <v>4013</v>
      </c>
      <c r="F2180" s="46" t="s">
        <v>24</v>
      </c>
      <c r="G2180" s="47">
        <v>0</v>
      </c>
      <c r="H2180" s="48">
        <v>25.14</v>
      </c>
      <c r="I2180" s="48">
        <v>25.14</v>
      </c>
      <c r="J2180" s="49">
        <v>1</v>
      </c>
      <c r="K2180" s="49">
        <v>0</v>
      </c>
      <c r="L2180" s="49">
        <v>1</v>
      </c>
    </row>
    <row r="2181" spans="1:12" x14ac:dyDescent="0.25">
      <c r="A2181" s="45">
        <f>C2181&amp;"."&amp;IFERROR(MID(E2181,FIND("(",E2181)+1,FIND(")",E2181)-FIND("(",E2181)-1),"")</f>
      </c>
      <c r="B2181" s="46" t="s">
        <v>1178</v>
      </c>
      <c r="C2181" s="46">
        <v>77321</v>
      </c>
      <c r="D2181" s="46" t="s">
        <v>4010</v>
      </c>
      <c r="E2181" s="46" t="s">
        <v>4014</v>
      </c>
      <c r="F2181" s="46" t="s">
        <v>24</v>
      </c>
      <c r="G2181" s="47">
        <v>0</v>
      </c>
      <c r="H2181" s="48">
        <v>25.198</v>
      </c>
      <c r="I2181" s="48">
        <v>75.595</v>
      </c>
      <c r="J2181" s="49">
        <v>3</v>
      </c>
      <c r="K2181" s="49">
        <v>0</v>
      </c>
      <c r="L2181" s="49">
        <v>3</v>
      </c>
    </row>
    <row r="2182" spans="1:12" x14ac:dyDescent="0.25">
      <c r="A2182" s="45">
        <f>C2182&amp;"."&amp;IFERROR(MID(E2182,FIND("(",E2182)+1,FIND(")",E2182)-FIND("(",E2182)-1),"")</f>
      </c>
      <c r="B2182" s="46" t="s">
        <v>1178</v>
      </c>
      <c r="C2182" s="46">
        <v>77330</v>
      </c>
      <c r="D2182" s="46" t="s">
        <v>4015</v>
      </c>
      <c r="E2182" s="46" t="s">
        <v>4016</v>
      </c>
      <c r="F2182" s="46" t="s">
        <v>26</v>
      </c>
      <c r="G2182" s="47">
        <v>11.12</v>
      </c>
      <c r="H2182" s="48">
        <v>35.75</v>
      </c>
      <c r="I2182" s="48">
        <v>35.75</v>
      </c>
      <c r="J2182" s="49">
        <v>1</v>
      </c>
      <c r="K2182" s="49">
        <v>0</v>
      </c>
      <c r="L2182" s="49">
        <v>1</v>
      </c>
    </row>
    <row r="2183" spans="1:12" x14ac:dyDescent="0.25">
      <c r="A2183" s="45">
        <f>C2183&amp;"."&amp;IFERROR(MID(E2183,FIND("(",E2183)+1,FIND(")",E2183)-FIND("(",E2183)-1),"")</f>
      </c>
      <c r="B2183" s="46" t="s">
        <v>1178</v>
      </c>
      <c r="C2183" s="46">
        <v>77411</v>
      </c>
      <c r="D2183" s="46" t="s">
        <v>4017</v>
      </c>
      <c r="E2183" s="46" t="s">
        <v>1248</v>
      </c>
      <c r="F2183" s="46" t="s">
        <v>1495</v>
      </c>
      <c r="G2183" s="47">
        <v>0</v>
      </c>
      <c r="H2183" s="48">
        <v>2.081</v>
      </c>
      <c r="I2183" s="48">
        <v>4.161</v>
      </c>
      <c r="J2183" s="49">
        <v>2</v>
      </c>
      <c r="K2183" s="49">
        <v>0</v>
      </c>
      <c r="L2183" s="49">
        <v>2</v>
      </c>
    </row>
    <row r="2184" spans="1:12" x14ac:dyDescent="0.25">
      <c r="A2184" s="45">
        <f>C2184&amp;"."&amp;IFERROR(MID(E2184,FIND("(",E2184)+1,FIND(")",E2184)-FIND("(",E2184)-1),"")</f>
      </c>
      <c r="B2184" s="46" t="s">
        <v>1178</v>
      </c>
      <c r="C2184" s="46">
        <v>77455</v>
      </c>
      <c r="D2184" s="46" t="s">
        <v>4018</v>
      </c>
      <c r="E2184" s="46" t="s">
        <v>4019</v>
      </c>
      <c r="F2184" s="46" t="s">
        <v>24</v>
      </c>
      <c r="G2184" s="47">
        <v>0.85</v>
      </c>
      <c r="H2184" s="48">
        <v>16.66</v>
      </c>
      <c r="I2184" s="48">
        <v>16.66</v>
      </c>
      <c r="J2184" s="49">
        <v>1</v>
      </c>
      <c r="K2184" s="49">
        <v>0</v>
      </c>
      <c r="L2184" s="49">
        <v>1</v>
      </c>
    </row>
    <row r="2185" spans="1:12" x14ac:dyDescent="0.25">
      <c r="A2185" s="45">
        <f>C2185&amp;"."&amp;IFERROR(MID(E2185,FIND("(",E2185)+1,FIND(")",E2185)-FIND("(",E2185)-1),"")</f>
      </c>
      <c r="B2185" s="46" t="s">
        <v>1178</v>
      </c>
      <c r="C2185" s="46">
        <v>77456</v>
      </c>
      <c r="D2185" s="46" t="s">
        <v>4020</v>
      </c>
      <c r="E2185" s="46" t="s">
        <v>4021</v>
      </c>
      <c r="F2185" s="46" t="s">
        <v>24</v>
      </c>
      <c r="G2185" s="47">
        <v>0.55</v>
      </c>
      <c r="H2185" s="48">
        <v>12.134</v>
      </c>
      <c r="I2185" s="48">
        <v>12.134</v>
      </c>
      <c r="J2185" s="49">
        <v>1</v>
      </c>
      <c r="K2185" s="49">
        <v>1</v>
      </c>
      <c r="L2185" s="49">
        <v>0</v>
      </c>
    </row>
    <row r="2186" spans="1:12" x14ac:dyDescent="0.25">
      <c r="A2186" s="45">
        <f>C2186&amp;"."&amp;IFERROR(MID(E2186,FIND("(",E2186)+1,FIND(")",E2186)-FIND("(",E2186)-1),"")</f>
      </c>
      <c r="B2186" s="46" t="s">
        <v>1178</v>
      </c>
      <c r="C2186" s="46">
        <v>77480</v>
      </c>
      <c r="D2186" s="46" t="s">
        <v>4022</v>
      </c>
      <c r="E2186" s="46" t="s">
        <v>1248</v>
      </c>
      <c r="F2186" s="46" t="s">
        <v>1495</v>
      </c>
      <c r="G2186" s="47">
        <v>0</v>
      </c>
      <c r="H2186" s="48">
        <v>0.566</v>
      </c>
      <c r="I2186" s="48">
        <v>5.092</v>
      </c>
      <c r="J2186" s="49">
        <v>9</v>
      </c>
      <c r="K2186" s="49">
        <v>0</v>
      </c>
      <c r="L2186" s="49">
        <v>9</v>
      </c>
    </row>
    <row r="2187" spans="1:12" x14ac:dyDescent="0.25">
      <c r="A2187" s="45">
        <f>C2187&amp;"."&amp;IFERROR(MID(E2187,FIND("(",E2187)+1,FIND(")",E2187)-FIND("(",E2187)-1),"")</f>
      </c>
      <c r="B2187" s="46" t="s">
        <v>1178</v>
      </c>
      <c r="C2187" s="46">
        <v>77481</v>
      </c>
      <c r="D2187" s="46" t="s">
        <v>4023</v>
      </c>
      <c r="E2187" s="46" t="s">
        <v>1248</v>
      </c>
      <c r="F2187" s="46" t="s">
        <v>1495</v>
      </c>
      <c r="G2187" s="47">
        <v>0</v>
      </c>
      <c r="H2187" s="48">
        <v>0.912</v>
      </c>
      <c r="I2187" s="48">
        <v>9.124</v>
      </c>
      <c r="J2187" s="49">
        <v>10</v>
      </c>
      <c r="K2187" s="49">
        <v>8</v>
      </c>
      <c r="L2187" s="49">
        <v>2</v>
      </c>
    </row>
    <row r="2188" spans="1:12" x14ac:dyDescent="0.25">
      <c r="A2188" s="45">
        <f>C2188&amp;"."&amp;IFERROR(MID(E2188,FIND("(",E2188)+1,FIND(")",E2188)-FIND("(",E2188)-1),"")</f>
      </c>
      <c r="B2188" s="46" t="s">
        <v>1178</v>
      </c>
      <c r="C2188" s="46">
        <v>77489</v>
      </c>
      <c r="D2188" s="46" t="s">
        <v>4024</v>
      </c>
      <c r="E2188" s="46" t="s">
        <v>1248</v>
      </c>
      <c r="F2188" s="46" t="s">
        <v>1495</v>
      </c>
      <c r="G2188" s="47">
        <v>0</v>
      </c>
      <c r="H2188" s="48">
        <v>0.985</v>
      </c>
      <c r="I2188" s="48">
        <v>6.894</v>
      </c>
      <c r="J2188" s="49">
        <v>7</v>
      </c>
      <c r="K2188" s="49">
        <v>2</v>
      </c>
      <c r="L2188" s="49">
        <v>5</v>
      </c>
    </row>
    <row r="2189" spans="1:12" x14ac:dyDescent="0.25">
      <c r="A2189" s="45">
        <f>C2189&amp;"."&amp;IFERROR(MID(E2189,FIND("(",E2189)+1,FIND(")",E2189)-FIND("(",E2189)-1),"")</f>
      </c>
      <c r="B2189" s="46" t="s">
        <v>1178</v>
      </c>
      <c r="C2189" s="46">
        <v>77490</v>
      </c>
      <c r="D2189" s="46" t="s">
        <v>4025</v>
      </c>
      <c r="E2189" s="46" t="s">
        <v>1248</v>
      </c>
      <c r="F2189" s="46" t="s">
        <v>1495</v>
      </c>
      <c r="G2189" s="47">
        <v>0.06</v>
      </c>
      <c r="H2189" s="48">
        <v>5.741</v>
      </c>
      <c r="I2189" s="48">
        <v>74.638</v>
      </c>
      <c r="J2189" s="49">
        <v>13</v>
      </c>
      <c r="K2189" s="49">
        <v>2</v>
      </c>
      <c r="L2189" s="49">
        <v>11</v>
      </c>
    </row>
    <row r="2190" spans="1:12" x14ac:dyDescent="0.25">
      <c r="A2190" s="45">
        <f>C2190&amp;"."&amp;IFERROR(MID(E2190,FIND("(",E2190)+1,FIND(")",E2190)-FIND("(",E2190)-1),"")</f>
      </c>
      <c r="B2190" s="46" t="s">
        <v>1178</v>
      </c>
      <c r="C2190" s="46">
        <v>77493</v>
      </c>
      <c r="D2190" s="46" t="s">
        <v>4026</v>
      </c>
      <c r="E2190" s="46" t="s">
        <v>1248</v>
      </c>
      <c r="F2190" s="46" t="s">
        <v>1495</v>
      </c>
      <c r="G2190" s="47">
        <v>0.07</v>
      </c>
      <c r="H2190" s="48">
        <v>1.324</v>
      </c>
      <c r="I2190" s="48">
        <v>29.133</v>
      </c>
      <c r="J2190" s="49">
        <v>22</v>
      </c>
      <c r="K2190" s="49">
        <v>13</v>
      </c>
      <c r="L2190" s="49">
        <v>9</v>
      </c>
    </row>
    <row r="2191" spans="1:12" x14ac:dyDescent="0.25">
      <c r="A2191" s="45">
        <f>C2191&amp;"."&amp;IFERROR(MID(E2191,FIND("(",E2191)+1,FIND(")",E2191)-FIND("(",E2191)-1),"")</f>
      </c>
      <c r="B2191" s="46" t="s">
        <v>1178</v>
      </c>
      <c r="C2191" s="46">
        <v>77494</v>
      </c>
      <c r="D2191" s="46" t="s">
        <v>4027</v>
      </c>
      <c r="E2191" s="46" t="s">
        <v>1248</v>
      </c>
      <c r="F2191" s="46" t="s">
        <v>1495</v>
      </c>
      <c r="G2191" s="47">
        <v>0</v>
      </c>
      <c r="H2191" s="48">
        <v>1.26</v>
      </c>
      <c r="I2191" s="48">
        <v>10.08</v>
      </c>
      <c r="J2191" s="49">
        <v>8</v>
      </c>
      <c r="K2191" s="49">
        <v>5</v>
      </c>
      <c r="L2191" s="49">
        <v>3</v>
      </c>
    </row>
    <row r="2192" spans="1:12" x14ac:dyDescent="0.25">
      <c r="A2192" s="45">
        <f>C2192&amp;"."&amp;IFERROR(MID(E2192,FIND("(",E2192)+1,FIND(")",E2192)-FIND("(",E2192)-1),"")</f>
      </c>
      <c r="B2192" s="46" t="s">
        <v>1178</v>
      </c>
      <c r="C2192" s="46">
        <v>77497</v>
      </c>
      <c r="D2192" s="46" t="s">
        <v>4028</v>
      </c>
      <c r="E2192" s="46" t="s">
        <v>1248</v>
      </c>
      <c r="F2192" s="46" t="s">
        <v>1495</v>
      </c>
      <c r="G2192" s="47">
        <v>0</v>
      </c>
      <c r="H2192" s="48">
        <v>1.34</v>
      </c>
      <c r="I2192" s="48">
        <v>14.743</v>
      </c>
      <c r="J2192" s="49">
        <v>11</v>
      </c>
      <c r="K2192" s="49">
        <v>8</v>
      </c>
      <c r="L2192" s="49">
        <v>3</v>
      </c>
    </row>
    <row r="2193" spans="1:12" x14ac:dyDescent="0.25">
      <c r="A2193" s="45">
        <f>C2193&amp;"."&amp;IFERROR(MID(E2193,FIND("(",E2193)+1,FIND(")",E2193)-FIND("(",E2193)-1),"")</f>
      </c>
      <c r="B2193" s="46" t="s">
        <v>1178</v>
      </c>
      <c r="C2193" s="46">
        <v>77498</v>
      </c>
      <c r="D2193" s="46" t="s">
        <v>4029</v>
      </c>
      <c r="E2193" s="46" t="s">
        <v>1248</v>
      </c>
      <c r="F2193" s="46" t="s">
        <v>1495</v>
      </c>
      <c r="G2193" s="47">
        <v>0</v>
      </c>
      <c r="H2193" s="48">
        <v>1.425</v>
      </c>
      <c r="I2193" s="48">
        <v>2.85</v>
      </c>
      <c r="J2193" s="49">
        <v>2</v>
      </c>
      <c r="K2193" s="49">
        <v>0</v>
      </c>
      <c r="L2193" s="49">
        <v>2</v>
      </c>
    </row>
    <row r="2194" spans="1:12" x14ac:dyDescent="0.25">
      <c r="A2194" s="45">
        <f>C2194&amp;"."&amp;IFERROR(MID(E2194,FIND("(",E2194)+1,FIND(")",E2194)-FIND("(",E2194)-1),"")</f>
      </c>
      <c r="B2194" s="46" t="s">
        <v>1178</v>
      </c>
      <c r="C2194" s="46">
        <v>77500</v>
      </c>
      <c r="D2194" s="46" t="s">
        <v>4030</v>
      </c>
      <c r="E2194" s="46" t="s">
        <v>1248</v>
      </c>
      <c r="F2194" s="46" t="s">
        <v>1495</v>
      </c>
      <c r="G2194" s="47">
        <v>0.07</v>
      </c>
      <c r="H2194" s="48">
        <v>1.289</v>
      </c>
      <c r="I2194" s="48">
        <v>2.577</v>
      </c>
      <c r="J2194" s="49">
        <v>2</v>
      </c>
      <c r="K2194" s="49">
        <v>0</v>
      </c>
      <c r="L2194" s="49">
        <v>2</v>
      </c>
    </row>
    <row r="2195" spans="1:12" x14ac:dyDescent="0.25">
      <c r="A2195" s="45">
        <f>C2195&amp;"."&amp;IFERROR(MID(E2195,FIND("(",E2195)+1,FIND(")",E2195)-FIND("(",E2195)-1),"")</f>
      </c>
      <c r="B2195" s="46" t="s">
        <v>1178</v>
      </c>
      <c r="C2195" s="46">
        <v>77503</v>
      </c>
      <c r="D2195" s="46" t="s">
        <v>4031</v>
      </c>
      <c r="E2195" s="46" t="s">
        <v>1248</v>
      </c>
      <c r="F2195" s="46" t="s">
        <v>1495</v>
      </c>
      <c r="G2195" s="47">
        <v>0</v>
      </c>
      <c r="H2195" s="48">
        <v>1.246</v>
      </c>
      <c r="I2195" s="48">
        <v>11.211</v>
      </c>
      <c r="J2195" s="49">
        <v>9</v>
      </c>
      <c r="K2195" s="49">
        <v>2</v>
      </c>
      <c r="L2195" s="49">
        <v>7</v>
      </c>
    </row>
    <row r="2196" spans="1:12" x14ac:dyDescent="0.25">
      <c r="A2196" s="45">
        <f>C2196&amp;"."&amp;IFERROR(MID(E2196,FIND("(",E2196)+1,FIND(")",E2196)-FIND("(",E2196)-1),"")</f>
      </c>
      <c r="B2196" s="46" t="s">
        <v>1178</v>
      </c>
      <c r="C2196" s="46">
        <v>77504</v>
      </c>
      <c r="D2196" s="46" t="s">
        <v>4032</v>
      </c>
      <c r="E2196" s="46" t="s">
        <v>1248</v>
      </c>
      <c r="F2196" s="46" t="s">
        <v>1495</v>
      </c>
      <c r="G2196" s="47">
        <v>0</v>
      </c>
      <c r="H2196" s="48">
        <v>1.521</v>
      </c>
      <c r="I2196" s="48">
        <v>33.458</v>
      </c>
      <c r="J2196" s="49">
        <v>22</v>
      </c>
      <c r="K2196" s="49">
        <v>2</v>
      </c>
      <c r="L2196" s="49">
        <v>20</v>
      </c>
    </row>
    <row r="2197" spans="1:12" x14ac:dyDescent="0.25">
      <c r="A2197" s="45">
        <f>C2197&amp;"."&amp;IFERROR(MID(E2197,FIND("(",E2197)+1,FIND(")",E2197)-FIND("(",E2197)-1),"")</f>
      </c>
      <c r="B2197" s="46" t="s">
        <v>1178</v>
      </c>
      <c r="C2197" s="46">
        <v>77506</v>
      </c>
      <c r="D2197" s="46" t="s">
        <v>4033</v>
      </c>
      <c r="E2197" s="46" t="s">
        <v>1248</v>
      </c>
      <c r="F2197" s="46" t="s">
        <v>1495</v>
      </c>
      <c r="G2197" s="47">
        <v>0</v>
      </c>
      <c r="H2197" s="48">
        <v>0.787</v>
      </c>
      <c r="I2197" s="48">
        <v>2.361</v>
      </c>
      <c r="J2197" s="49">
        <v>3</v>
      </c>
      <c r="K2197" s="49">
        <v>0</v>
      </c>
      <c r="L2197" s="49">
        <v>3</v>
      </c>
    </row>
    <row r="2198" spans="1:12" x14ac:dyDescent="0.25">
      <c r="A2198" s="45">
        <f>C2198&amp;"."&amp;IFERROR(MID(E2198,FIND("(",E2198)+1,FIND(")",E2198)-FIND("(",E2198)-1),"")</f>
      </c>
      <c r="B2198" s="46" t="s">
        <v>1178</v>
      </c>
      <c r="C2198" s="46">
        <v>77525</v>
      </c>
      <c r="D2198" s="46" t="s">
        <v>4034</v>
      </c>
      <c r="E2198" s="46" t="s">
        <v>1248</v>
      </c>
      <c r="F2198" s="46" t="s">
        <v>1495</v>
      </c>
      <c r="G2198" s="47">
        <v>0</v>
      </c>
      <c r="H2198" s="48">
        <v>0.207</v>
      </c>
      <c r="I2198" s="48">
        <v>9.72</v>
      </c>
      <c r="J2198" s="49">
        <v>47</v>
      </c>
      <c r="K2198" s="49">
        <v>0</v>
      </c>
      <c r="L2198" s="49">
        <v>47</v>
      </c>
    </row>
    <row r="2199" spans="1:12" x14ac:dyDescent="0.25">
      <c r="A2199" s="45">
        <f>C2199&amp;"."&amp;IFERROR(MID(E2199,FIND("(",E2199)+1,FIND(")",E2199)-FIND("(",E2199)-1),"")</f>
      </c>
      <c r="B2199" s="46" t="s">
        <v>1178</v>
      </c>
      <c r="C2199" s="46">
        <v>77530</v>
      </c>
      <c r="D2199" s="46" t="s">
        <v>4035</v>
      </c>
      <c r="E2199" s="46" t="s">
        <v>1248</v>
      </c>
      <c r="F2199" s="46" t="s">
        <v>1495</v>
      </c>
      <c r="G2199" s="47">
        <v>0</v>
      </c>
      <c r="H2199" s="48">
        <v>0.587</v>
      </c>
      <c r="I2199" s="48">
        <v>9.975</v>
      </c>
      <c r="J2199" s="49">
        <v>17</v>
      </c>
      <c r="K2199" s="49">
        <v>1</v>
      </c>
      <c r="L2199" s="49">
        <v>16</v>
      </c>
    </row>
    <row r="2200" spans="1:12" x14ac:dyDescent="0.25">
      <c r="A2200" s="45">
        <f>C2200&amp;"."&amp;IFERROR(MID(E2200,FIND("(",E2200)+1,FIND(")",E2200)-FIND("(",E2200)-1),"")</f>
      </c>
      <c r="B2200" s="46" t="s">
        <v>1178</v>
      </c>
      <c r="C2200" s="46">
        <v>77547</v>
      </c>
      <c r="D2200" s="46" t="s">
        <v>4036</v>
      </c>
      <c r="E2200" s="46" t="s">
        <v>1248</v>
      </c>
      <c r="F2200" s="46" t="s">
        <v>1495</v>
      </c>
      <c r="G2200" s="47">
        <v>0</v>
      </c>
      <c r="H2200" s="48">
        <v>1.168</v>
      </c>
      <c r="I2200" s="48">
        <v>1.168</v>
      </c>
      <c r="J2200" s="49">
        <v>1</v>
      </c>
      <c r="K2200" s="49">
        <v>0</v>
      </c>
      <c r="L2200" s="49">
        <v>1</v>
      </c>
    </row>
    <row r="2201" spans="1:12" x14ac:dyDescent="0.25">
      <c r="A2201" s="45">
        <f>C2201&amp;"."&amp;IFERROR(MID(E2201,FIND("(",E2201)+1,FIND(")",E2201)-FIND("(",E2201)-1),"")</f>
      </c>
      <c r="B2201" s="46" t="s">
        <v>1178</v>
      </c>
      <c r="C2201" s="46">
        <v>77549</v>
      </c>
      <c r="D2201" s="46" t="s">
        <v>4037</v>
      </c>
      <c r="E2201" s="46" t="s">
        <v>1248</v>
      </c>
      <c r="F2201" s="46" t="s">
        <v>1495</v>
      </c>
      <c r="G2201" s="47">
        <v>0</v>
      </c>
      <c r="H2201" s="48">
        <v>1.386</v>
      </c>
      <c r="I2201" s="48">
        <v>4.158</v>
      </c>
      <c r="J2201" s="49">
        <v>3</v>
      </c>
      <c r="K2201" s="49">
        <v>0</v>
      </c>
      <c r="L2201" s="49">
        <v>3</v>
      </c>
    </row>
    <row r="2202" spans="1:12" x14ac:dyDescent="0.25">
      <c r="A2202" s="45">
        <f>C2202&amp;"."&amp;IFERROR(MID(E2202,FIND("(",E2202)+1,FIND(")",E2202)-FIND("(",E2202)-1),"")</f>
      </c>
      <c r="B2202" s="46" t="s">
        <v>1178</v>
      </c>
      <c r="C2202" s="46">
        <v>77551</v>
      </c>
      <c r="D2202" s="46" t="s">
        <v>4038</v>
      </c>
      <c r="E2202" s="46" t="s">
        <v>1248</v>
      </c>
      <c r="F2202" s="46" t="s">
        <v>1495</v>
      </c>
      <c r="G2202" s="47">
        <v>0</v>
      </c>
      <c r="H2202" s="48">
        <v>1.159</v>
      </c>
      <c r="I2202" s="48">
        <v>6.953</v>
      </c>
      <c r="J2202" s="49">
        <v>6</v>
      </c>
      <c r="K2202" s="49">
        <v>0</v>
      </c>
      <c r="L2202" s="49">
        <v>6</v>
      </c>
    </row>
    <row r="2203" spans="1:12" x14ac:dyDescent="0.25">
      <c r="A2203" s="45">
        <f>C2203&amp;"."&amp;IFERROR(MID(E2203,FIND("(",E2203)+1,FIND(")",E2203)-FIND("(",E2203)-1),"")</f>
      </c>
      <c r="B2203" s="46" t="s">
        <v>1178</v>
      </c>
      <c r="C2203" s="46">
        <v>77570</v>
      </c>
      <c r="D2203" s="46" t="s">
        <v>4039</v>
      </c>
      <c r="E2203" s="46" t="s">
        <v>1248</v>
      </c>
      <c r="F2203" s="46" t="s">
        <v>1495</v>
      </c>
      <c r="G2203" s="47">
        <v>0</v>
      </c>
      <c r="H2203" s="48">
        <v>0.068</v>
      </c>
      <c r="I2203" s="48">
        <v>15.448</v>
      </c>
      <c r="J2203" s="49">
        <v>226</v>
      </c>
      <c r="K2203" s="49">
        <v>13</v>
      </c>
      <c r="L2203" s="49">
        <v>213</v>
      </c>
    </row>
    <row r="2204" spans="1:12" x14ac:dyDescent="0.25">
      <c r="A2204" s="45">
        <f>C2204&amp;"."&amp;IFERROR(MID(E2204,FIND("(",E2204)+1,FIND(")",E2204)-FIND("(",E2204)-1),"")</f>
      </c>
      <c r="B2204" s="46" t="s">
        <v>1178</v>
      </c>
      <c r="C2204" s="46">
        <v>77576</v>
      </c>
      <c r="D2204" s="46" t="s">
        <v>4040</v>
      </c>
      <c r="E2204" s="46" t="s">
        <v>1248</v>
      </c>
      <c r="F2204" s="46" t="s">
        <v>1495</v>
      </c>
      <c r="G2204" s="47">
        <v>0.44</v>
      </c>
      <c r="H2204" s="48">
        <v>1.32</v>
      </c>
      <c r="I2204" s="48">
        <v>27.724</v>
      </c>
      <c r="J2204" s="49">
        <v>21</v>
      </c>
      <c r="K2204" s="49">
        <v>2</v>
      </c>
      <c r="L2204" s="49">
        <v>19</v>
      </c>
    </row>
    <row r="2205" spans="1:12" x14ac:dyDescent="0.25">
      <c r="A2205" s="45">
        <f>C2205&amp;"."&amp;IFERROR(MID(E2205,FIND("(",E2205)+1,FIND(")",E2205)-FIND("(",E2205)-1),"")</f>
      </c>
      <c r="B2205" s="46" t="s">
        <v>1178</v>
      </c>
      <c r="C2205" s="46">
        <v>77588</v>
      </c>
      <c r="D2205" s="46" t="s">
        <v>4041</v>
      </c>
      <c r="E2205" s="46" t="s">
        <v>1248</v>
      </c>
      <c r="F2205" s="46" t="s">
        <v>1495</v>
      </c>
      <c r="G2205" s="47">
        <v>117.6</v>
      </c>
      <c r="H2205" s="48">
        <v>2.959</v>
      </c>
      <c r="I2205" s="48">
        <v>76.928</v>
      </c>
      <c r="J2205" s="49">
        <v>26</v>
      </c>
      <c r="K2205" s="49">
        <v>13</v>
      </c>
      <c r="L2205" s="49">
        <v>13</v>
      </c>
    </row>
    <row r="2206" spans="1:12" x14ac:dyDescent="0.25">
      <c r="A2206" s="45">
        <f>C2206&amp;"."&amp;IFERROR(MID(E2206,FIND("(",E2206)+1,FIND(")",E2206)-FIND("(",E2206)-1),"")</f>
      </c>
      <c r="B2206" s="46" t="s">
        <v>1178</v>
      </c>
      <c r="C2206" s="46">
        <v>77598</v>
      </c>
      <c r="D2206" s="46" t="s">
        <v>4042</v>
      </c>
      <c r="E2206" s="46" t="s">
        <v>1248</v>
      </c>
      <c r="F2206" s="46" t="s">
        <v>1495</v>
      </c>
      <c r="G2206" s="47">
        <v>0</v>
      </c>
      <c r="H2206" s="48">
        <v>2.135</v>
      </c>
      <c r="I2206" s="48">
        <v>34.165</v>
      </c>
      <c r="J2206" s="49">
        <v>16</v>
      </c>
      <c r="K2206" s="49">
        <v>1</v>
      </c>
      <c r="L2206" s="49">
        <v>15</v>
      </c>
    </row>
    <row r="2207" spans="1:12" x14ac:dyDescent="0.25">
      <c r="A2207" s="45">
        <f>C2207&amp;"."&amp;IFERROR(MID(E2207,FIND("(",E2207)+1,FIND(")",E2207)-FIND("(",E2207)-1),"")</f>
      </c>
      <c r="B2207" s="46" t="s">
        <v>1178</v>
      </c>
      <c r="C2207" s="46">
        <v>77608</v>
      </c>
      <c r="D2207" s="46" t="s">
        <v>4043</v>
      </c>
      <c r="E2207" s="46" t="s">
        <v>4044</v>
      </c>
      <c r="F2207" s="46" t="s">
        <v>24</v>
      </c>
      <c r="G2207" s="47">
        <v>4.39</v>
      </c>
      <c r="H2207" s="48">
        <v>17.48</v>
      </c>
      <c r="I2207" s="48">
        <v>17.48</v>
      </c>
      <c r="J2207" s="49">
        <v>1</v>
      </c>
      <c r="K2207" s="49">
        <v>0</v>
      </c>
      <c r="L2207" s="49">
        <v>1</v>
      </c>
    </row>
    <row r="2208" spans="1:12" x14ac:dyDescent="0.25">
      <c r="A2208" s="45">
        <f>C2208&amp;"."&amp;IFERROR(MID(E2208,FIND("(",E2208)+1,FIND(")",E2208)-FIND("(",E2208)-1),"")</f>
      </c>
      <c r="B2208" s="46" t="s">
        <v>1178</v>
      </c>
      <c r="C2208" s="46">
        <v>77608</v>
      </c>
      <c r="D2208" s="46" t="s">
        <v>4043</v>
      </c>
      <c r="E2208" s="46" t="s">
        <v>4045</v>
      </c>
      <c r="F2208" s="46" t="s">
        <v>24</v>
      </c>
      <c r="G2208" s="47">
        <v>4.39</v>
      </c>
      <c r="H2208" s="48">
        <v>14.694</v>
      </c>
      <c r="I2208" s="48">
        <v>235.111</v>
      </c>
      <c r="J2208" s="49">
        <v>16</v>
      </c>
      <c r="K2208" s="49">
        <v>1</v>
      </c>
      <c r="L2208" s="49">
        <v>15</v>
      </c>
    </row>
    <row r="2209" spans="1:12" x14ac:dyDescent="0.25">
      <c r="A2209" s="45">
        <f>C2209&amp;"."&amp;IFERROR(MID(E2209,FIND("(",E2209)+1,FIND(")",E2209)-FIND("(",E2209)-1),"")</f>
      </c>
      <c r="B2209" s="46" t="s">
        <v>1178</v>
      </c>
      <c r="C2209" s="46">
        <v>77608</v>
      </c>
      <c r="D2209" s="46" t="s">
        <v>4043</v>
      </c>
      <c r="E2209" s="46" t="s">
        <v>4046</v>
      </c>
      <c r="F2209" s="46" t="s">
        <v>24</v>
      </c>
      <c r="G2209" s="47">
        <v>4.39</v>
      </c>
      <c r="H2209" s="48">
        <v>17.48</v>
      </c>
      <c r="I2209" s="48">
        <v>34.96</v>
      </c>
      <c r="J2209" s="49">
        <v>2</v>
      </c>
      <c r="K2209" s="49">
        <v>0</v>
      </c>
      <c r="L2209" s="49">
        <v>2</v>
      </c>
    </row>
    <row r="2210" spans="1:12" x14ac:dyDescent="0.25">
      <c r="A2210" s="45">
        <f>C2210&amp;"."&amp;IFERROR(MID(E2210,FIND("(",E2210)+1,FIND(")",E2210)-FIND("(",E2210)-1),"")</f>
      </c>
      <c r="B2210" s="46" t="s">
        <v>1178</v>
      </c>
      <c r="C2210" s="46">
        <v>77611</v>
      </c>
      <c r="D2210" s="46" t="s">
        <v>4047</v>
      </c>
      <c r="E2210" s="46" t="s">
        <v>4048</v>
      </c>
      <c r="F2210" s="46" t="s">
        <v>24</v>
      </c>
      <c r="G2210" s="47">
        <v>2.56</v>
      </c>
      <c r="H2210" s="48">
        <v>11.822</v>
      </c>
      <c r="I2210" s="48">
        <v>189.149</v>
      </c>
      <c r="J2210" s="49">
        <v>16</v>
      </c>
      <c r="K2210" s="49">
        <v>1</v>
      </c>
      <c r="L2210" s="49">
        <v>15</v>
      </c>
    </row>
    <row r="2211" spans="1:12" x14ac:dyDescent="0.25">
      <c r="A2211" s="45">
        <f>C2211&amp;"."&amp;IFERROR(MID(E2211,FIND("(",E2211)+1,FIND(")",E2211)-FIND("(",E2211)-1),"")</f>
      </c>
      <c r="B2211" s="46" t="s">
        <v>1178</v>
      </c>
      <c r="C2211" s="46">
        <v>77611</v>
      </c>
      <c r="D2211" s="46" t="s">
        <v>4047</v>
      </c>
      <c r="E2211" s="46" t="s">
        <v>4049</v>
      </c>
      <c r="F2211" s="46" t="s">
        <v>24</v>
      </c>
      <c r="G2211" s="47">
        <v>2.56</v>
      </c>
      <c r="H2211" s="48">
        <v>10.37</v>
      </c>
      <c r="I2211" s="48">
        <v>10.37</v>
      </c>
      <c r="J2211" s="49">
        <v>1</v>
      </c>
      <c r="K2211" s="49">
        <v>0</v>
      </c>
      <c r="L2211" s="49">
        <v>1</v>
      </c>
    </row>
    <row r="2212" spans="1:12" x14ac:dyDescent="0.25">
      <c r="A2212" s="45">
        <f>C2212&amp;"."&amp;IFERROR(MID(E2212,FIND("(",E2212)+1,FIND(")",E2212)-FIND("(",E2212)-1),"")</f>
      </c>
      <c r="B2212" s="46" t="s">
        <v>1178</v>
      </c>
      <c r="C2212" s="46">
        <v>77621</v>
      </c>
      <c r="D2212" s="46" t="s">
        <v>4050</v>
      </c>
      <c r="E2212" s="46" t="s">
        <v>4051</v>
      </c>
      <c r="F2212" s="46" t="s">
        <v>24</v>
      </c>
      <c r="G2212" s="47">
        <v>4.26</v>
      </c>
      <c r="H2212" s="48">
        <v>11.532</v>
      </c>
      <c r="I2212" s="48">
        <v>23.065</v>
      </c>
      <c r="J2212" s="49">
        <v>2</v>
      </c>
      <c r="K2212" s="49">
        <v>0</v>
      </c>
      <c r="L2212" s="49">
        <v>2</v>
      </c>
    </row>
    <row r="2213" spans="1:12" x14ac:dyDescent="0.25">
      <c r="A2213" s="45">
        <f>C2213&amp;"."&amp;IFERROR(MID(E2213,FIND("(",E2213)+1,FIND(")",E2213)-FIND("(",E2213)-1),"")</f>
      </c>
      <c r="B2213" s="46" t="s">
        <v>1178</v>
      </c>
      <c r="C2213" s="46">
        <v>77621</v>
      </c>
      <c r="D2213" s="46" t="s">
        <v>4050</v>
      </c>
      <c r="E2213" s="46" t="s">
        <v>4052</v>
      </c>
      <c r="F2213" s="46" t="s">
        <v>24</v>
      </c>
      <c r="G2213" s="47">
        <v>4.26</v>
      </c>
      <c r="H2213" s="48">
        <v>11.036</v>
      </c>
      <c r="I2213" s="48">
        <v>11.036</v>
      </c>
      <c r="J2213" s="49">
        <v>1</v>
      </c>
      <c r="K2213" s="49">
        <v>0</v>
      </c>
      <c r="L2213" s="49">
        <v>1</v>
      </c>
    </row>
    <row r="2214" spans="1:12" x14ac:dyDescent="0.25">
      <c r="A2214" s="45">
        <f>C2214&amp;"."&amp;IFERROR(MID(E2214,FIND("(",E2214)+1,FIND(")",E2214)-FIND("(",E2214)-1),"")</f>
      </c>
      <c r="B2214" s="46" t="s">
        <v>1178</v>
      </c>
      <c r="C2214" s="46">
        <v>77621</v>
      </c>
      <c r="D2214" s="46" t="s">
        <v>4050</v>
      </c>
      <c r="E2214" s="46" t="s">
        <v>4053</v>
      </c>
      <c r="F2214" s="46" t="s">
        <v>24</v>
      </c>
      <c r="G2214" s="47">
        <v>4.26</v>
      </c>
      <c r="H2214" s="48">
        <v>10.909</v>
      </c>
      <c r="I2214" s="48">
        <v>109.089</v>
      </c>
      <c r="J2214" s="49">
        <v>10</v>
      </c>
      <c r="K2214" s="49">
        <v>0</v>
      </c>
      <c r="L2214" s="49">
        <v>10</v>
      </c>
    </row>
    <row r="2215" spans="1:12" x14ac:dyDescent="0.25">
      <c r="A2215" s="45">
        <f>C2215&amp;"."&amp;IFERROR(MID(E2215,FIND("(",E2215)+1,FIND(")",E2215)-FIND("(",E2215)-1),"")</f>
      </c>
      <c r="B2215" s="46" t="s">
        <v>1178</v>
      </c>
      <c r="C2215" s="46">
        <v>77658</v>
      </c>
      <c r="D2215" s="46" t="s">
        <v>4054</v>
      </c>
      <c r="E2215" s="46" t="s">
        <v>1248</v>
      </c>
      <c r="F2215" s="46" t="s">
        <v>1495</v>
      </c>
      <c r="G2215" s="47">
        <v>0</v>
      </c>
      <c r="H2215" s="48">
        <v>0.089</v>
      </c>
      <c r="I2215" s="48">
        <v>10.949</v>
      </c>
      <c r="J2215" s="49">
        <v>123</v>
      </c>
      <c r="K2215" s="49">
        <v>24</v>
      </c>
      <c r="L2215" s="49">
        <v>99</v>
      </c>
    </row>
    <row r="2216" spans="1:12" x14ac:dyDescent="0.25">
      <c r="A2216" s="45">
        <f>C2216&amp;"."&amp;IFERROR(MID(E2216,FIND("(",E2216)+1,FIND(")",E2216)-FIND("(",E2216)-1),"")</f>
      </c>
      <c r="B2216" s="46" t="s">
        <v>1178</v>
      </c>
      <c r="C2216" s="46">
        <v>77718</v>
      </c>
      <c r="D2216" s="46" t="s">
        <v>4055</v>
      </c>
      <c r="E2216" s="46" t="s">
        <v>1248</v>
      </c>
      <c r="F2216" s="46" t="s">
        <v>1495</v>
      </c>
      <c r="G2216" s="47">
        <v>0.02</v>
      </c>
      <c r="H2216" s="48">
        <v>0.103</v>
      </c>
      <c r="I2216" s="48">
        <v>18.36</v>
      </c>
      <c r="J2216" s="49">
        <v>179</v>
      </c>
      <c r="K2216" s="49">
        <v>0</v>
      </c>
      <c r="L2216" s="49">
        <v>179</v>
      </c>
    </row>
    <row r="2217" spans="1:12" x14ac:dyDescent="0.25">
      <c r="A2217" s="45">
        <f>C2217&amp;"."&amp;IFERROR(MID(E2217,FIND("(",E2217)+1,FIND(")",E2217)-FIND("(",E2217)-1),"")</f>
      </c>
      <c r="B2217" s="46" t="s">
        <v>1178</v>
      </c>
      <c r="C2217" s="46">
        <v>77789</v>
      </c>
      <c r="D2217" s="46" t="s">
        <v>4056</v>
      </c>
      <c r="E2217" s="46" t="s">
        <v>4057</v>
      </c>
      <c r="F2217" s="46" t="s">
        <v>26</v>
      </c>
      <c r="G2217" s="47">
        <v>0.35</v>
      </c>
      <c r="H2217" s="48">
        <v>0.98</v>
      </c>
      <c r="I2217" s="48">
        <v>1.96</v>
      </c>
      <c r="J2217" s="49">
        <v>2</v>
      </c>
      <c r="K2217" s="49">
        <v>0</v>
      </c>
      <c r="L2217" s="49">
        <v>2</v>
      </c>
    </row>
    <row r="2218" spans="1:12" x14ac:dyDescent="0.25">
      <c r="A2218" s="45">
        <f>C2218&amp;"."&amp;IFERROR(MID(E2218,FIND("(",E2218)+1,FIND(")",E2218)-FIND("(",E2218)-1),"")</f>
      </c>
      <c r="B2218" s="46" t="s">
        <v>1178</v>
      </c>
      <c r="C2218" s="46">
        <v>77790</v>
      </c>
      <c r="D2218" s="46" t="s">
        <v>4058</v>
      </c>
      <c r="E2218" s="46" t="s">
        <v>4059</v>
      </c>
      <c r="F2218" s="46" t="s">
        <v>26</v>
      </c>
      <c r="G2218" s="47">
        <v>0</v>
      </c>
      <c r="H2218" s="48">
        <v>0.98</v>
      </c>
      <c r="I2218" s="48">
        <v>1.96</v>
      </c>
      <c r="J2218" s="49">
        <v>2</v>
      </c>
      <c r="K2218" s="49">
        <v>0</v>
      </c>
      <c r="L2218" s="49">
        <v>2</v>
      </c>
    </row>
    <row r="2219" spans="1:12" x14ac:dyDescent="0.25">
      <c r="A2219" s="45">
        <f>C2219&amp;"."&amp;IFERROR(MID(E2219,FIND("(",E2219)+1,FIND(")",E2219)-FIND("(",E2219)-1),"")</f>
      </c>
      <c r="B2219" s="46" t="s">
        <v>1178</v>
      </c>
      <c r="C2219" s="46">
        <v>77879</v>
      </c>
      <c r="D2219" s="46" t="s">
        <v>4060</v>
      </c>
      <c r="E2219" s="46" t="s">
        <v>1248</v>
      </c>
      <c r="F2219" s="46" t="s">
        <v>1495</v>
      </c>
      <c r="G2219" s="47">
        <v>0</v>
      </c>
      <c r="H2219" s="48">
        <v>0.038</v>
      </c>
      <c r="I2219" s="48">
        <v>7.634</v>
      </c>
      <c r="J2219" s="49">
        <v>199</v>
      </c>
      <c r="K2219" s="49">
        <v>0</v>
      </c>
      <c r="L2219" s="49">
        <v>199</v>
      </c>
    </row>
    <row r="2220" spans="1:12" x14ac:dyDescent="0.25">
      <c r="A2220" s="45">
        <f>C2220&amp;"."&amp;IFERROR(MID(E2220,FIND("(",E2220)+1,FIND(")",E2220)-FIND("(",E2220)-1),"")</f>
      </c>
      <c r="B2220" s="46" t="s">
        <v>1178</v>
      </c>
      <c r="C2220" s="46">
        <v>77882</v>
      </c>
      <c r="D2220" s="46" t="s">
        <v>4061</v>
      </c>
      <c r="E2220" s="46" t="s">
        <v>1248</v>
      </c>
      <c r="F2220" s="46" t="s">
        <v>1495</v>
      </c>
      <c r="G2220" s="47">
        <v>0</v>
      </c>
      <c r="H2220" s="48">
        <v>0.238</v>
      </c>
      <c r="I2220" s="48">
        <v>8.81</v>
      </c>
      <c r="J2220" s="49">
        <v>37</v>
      </c>
      <c r="K2220" s="49">
        <v>0</v>
      </c>
      <c r="L2220" s="49">
        <v>37</v>
      </c>
    </row>
    <row r="2221" spans="1:12" x14ac:dyDescent="0.25">
      <c r="A2221" s="45">
        <f>C2221&amp;"."&amp;IFERROR(MID(E2221,FIND("(",E2221)+1,FIND(")",E2221)-FIND("(",E2221)-1),"")</f>
      </c>
      <c r="B2221" s="46" t="s">
        <v>1178</v>
      </c>
      <c r="C2221" s="46">
        <v>77884</v>
      </c>
      <c r="D2221" s="46" t="s">
        <v>4062</v>
      </c>
      <c r="E2221" s="46" t="s">
        <v>1248</v>
      </c>
      <c r="F2221" s="46" t="s">
        <v>1495</v>
      </c>
      <c r="G2221" s="47">
        <v>0</v>
      </c>
      <c r="H2221" s="48">
        <v>0.39</v>
      </c>
      <c r="I2221" s="48">
        <v>3.118</v>
      </c>
      <c r="J2221" s="49">
        <v>8</v>
      </c>
      <c r="K2221" s="49">
        <v>0</v>
      </c>
      <c r="L2221" s="49">
        <v>8</v>
      </c>
    </row>
    <row r="2222" spans="1:12" x14ac:dyDescent="0.25">
      <c r="A2222" s="45">
        <f>C2222&amp;"."&amp;IFERROR(MID(E2222,FIND("(",E2222)+1,FIND(")",E2222)-FIND("(",E2222)-1),"")</f>
      </c>
      <c r="B2222" s="46" t="s">
        <v>1178</v>
      </c>
      <c r="C2222" s="46">
        <v>77889</v>
      </c>
      <c r="D2222" s="46" t="s">
        <v>4063</v>
      </c>
      <c r="E2222" s="46" t="s">
        <v>1248</v>
      </c>
      <c r="F2222" s="46" t="s">
        <v>1495</v>
      </c>
      <c r="G2222" s="47">
        <v>0.7</v>
      </c>
      <c r="H2222" s="48">
        <v>0.423</v>
      </c>
      <c r="I2222" s="48">
        <v>9.297</v>
      </c>
      <c r="J2222" s="49">
        <v>22</v>
      </c>
      <c r="K2222" s="49">
        <v>0</v>
      </c>
      <c r="L2222" s="49">
        <v>22</v>
      </c>
    </row>
    <row r="2223" spans="1:12" x14ac:dyDescent="0.25">
      <c r="A2223" s="45">
        <f>C2223&amp;"."&amp;IFERROR(MID(E2223,FIND("(",E2223)+1,FIND(")",E2223)-FIND("(",E2223)-1),"")</f>
      </c>
      <c r="B2223" s="46" t="s">
        <v>1178</v>
      </c>
      <c r="C2223" s="46">
        <v>77891</v>
      </c>
      <c r="D2223" s="46" t="s">
        <v>4064</v>
      </c>
      <c r="E2223" s="46" t="s">
        <v>4065</v>
      </c>
      <c r="F2223" s="46" t="s">
        <v>26</v>
      </c>
      <c r="G2223" s="47">
        <v>0.13</v>
      </c>
      <c r="H2223" s="48">
        <v>1.718</v>
      </c>
      <c r="I2223" s="48">
        <v>5.155</v>
      </c>
      <c r="J2223" s="49">
        <v>3</v>
      </c>
      <c r="K2223" s="49">
        <v>0</v>
      </c>
      <c r="L2223" s="49">
        <v>3</v>
      </c>
    </row>
    <row r="2224" spans="1:12" x14ac:dyDescent="0.25">
      <c r="A2224" s="45">
        <f>C2224&amp;"."&amp;IFERROR(MID(E2224,FIND("(",E2224)+1,FIND(")",E2224)-FIND("(",E2224)-1),"")</f>
      </c>
      <c r="B2224" s="46" t="s">
        <v>1178</v>
      </c>
      <c r="C2224" s="46">
        <v>77893</v>
      </c>
      <c r="D2224" s="46" t="s">
        <v>4066</v>
      </c>
      <c r="E2224" s="46" t="s">
        <v>1248</v>
      </c>
      <c r="F2224" s="46" t="s">
        <v>1495</v>
      </c>
      <c r="G2224" s="47">
        <v>6</v>
      </c>
      <c r="H2224" s="48">
        <v>6.76</v>
      </c>
      <c r="I2224" s="48">
        <v>344.737</v>
      </c>
      <c r="J2224" s="49">
        <v>51</v>
      </c>
      <c r="K2224" s="49">
        <v>31</v>
      </c>
      <c r="L2224" s="49">
        <v>20</v>
      </c>
    </row>
    <row r="2225" spans="1:12" x14ac:dyDescent="0.25">
      <c r="A2225" s="45">
        <f>C2225&amp;"."&amp;IFERROR(MID(E2225,FIND("(",E2225)+1,FIND(")",E2225)-FIND("(",E2225)-1),"")</f>
      </c>
      <c r="B2225" s="46" t="s">
        <v>1178</v>
      </c>
      <c r="C2225" s="46">
        <v>77900</v>
      </c>
      <c r="D2225" s="46" t="s">
        <v>4067</v>
      </c>
      <c r="E2225" s="46" t="s">
        <v>4068</v>
      </c>
      <c r="F2225" s="46" t="s">
        <v>1926</v>
      </c>
      <c r="G2225" s="47">
        <v>0.62</v>
      </c>
      <c r="H2225" s="48">
        <v>13.23</v>
      </c>
      <c r="I2225" s="48">
        <v>13.23</v>
      </c>
      <c r="J2225" s="49">
        <v>1</v>
      </c>
      <c r="K2225" s="49">
        <v>0</v>
      </c>
      <c r="L2225" s="49">
        <v>1</v>
      </c>
    </row>
    <row r="2226" spans="1:12" x14ac:dyDescent="0.25">
      <c r="A2226" s="45">
        <f>C2226&amp;"."&amp;IFERROR(MID(E2226,FIND("(",E2226)+1,FIND(")",E2226)-FIND("(",E2226)-1),"")</f>
      </c>
      <c r="B2226" s="46" t="s">
        <v>1178</v>
      </c>
      <c r="C2226" s="46">
        <v>77901</v>
      </c>
      <c r="D2226" s="46" t="s">
        <v>4069</v>
      </c>
      <c r="E2226" s="46" t="s">
        <v>4070</v>
      </c>
      <c r="F2226" s="46" t="s">
        <v>26</v>
      </c>
      <c r="G2226" s="47">
        <v>1.84</v>
      </c>
      <c r="H2226" s="48">
        <v>5.603</v>
      </c>
      <c r="I2226" s="48">
        <v>33.617</v>
      </c>
      <c r="J2226" s="49">
        <v>6</v>
      </c>
      <c r="K2226" s="49">
        <v>0</v>
      </c>
      <c r="L2226" s="49">
        <v>6</v>
      </c>
    </row>
    <row r="2227" spans="1:12" x14ac:dyDescent="0.25">
      <c r="A2227" s="45">
        <f>C2227&amp;"."&amp;IFERROR(MID(E2227,FIND("(",E2227)+1,FIND(")",E2227)-FIND("(",E2227)-1),"")</f>
      </c>
      <c r="B2227" s="46" t="s">
        <v>1178</v>
      </c>
      <c r="C2227" s="46">
        <v>77901</v>
      </c>
      <c r="D2227" s="46" t="s">
        <v>4069</v>
      </c>
      <c r="E2227" s="46" t="s">
        <v>4071</v>
      </c>
      <c r="F2227" s="46" t="s">
        <v>26</v>
      </c>
      <c r="G2227" s="47">
        <v>1.84</v>
      </c>
      <c r="H2227" s="48">
        <v>16.898</v>
      </c>
      <c r="I2227" s="48">
        <v>67.594</v>
      </c>
      <c r="J2227" s="49">
        <v>4</v>
      </c>
      <c r="K2227" s="49">
        <v>0</v>
      </c>
      <c r="L2227" s="49">
        <v>4</v>
      </c>
    </row>
    <row r="2228" spans="1:12" x14ac:dyDescent="0.25">
      <c r="A2228" s="45">
        <f>C2228&amp;"."&amp;IFERROR(MID(E2228,FIND("(",E2228)+1,FIND(")",E2228)-FIND("(",E2228)-1),"")</f>
      </c>
      <c r="B2228" s="46" t="s">
        <v>1178</v>
      </c>
      <c r="C2228" s="46">
        <v>77904</v>
      </c>
      <c r="D2228" s="46" t="s">
        <v>4072</v>
      </c>
      <c r="E2228" s="46" t="s">
        <v>1248</v>
      </c>
      <c r="F2228" s="46" t="s">
        <v>1495</v>
      </c>
      <c r="G2228" s="47">
        <v>0.09</v>
      </c>
      <c r="H2228" s="48">
        <v>0.399</v>
      </c>
      <c r="I2228" s="48">
        <v>63.089</v>
      </c>
      <c r="J2228" s="49">
        <v>158</v>
      </c>
      <c r="K2228" s="49">
        <v>0</v>
      </c>
      <c r="L2228" s="49">
        <v>158</v>
      </c>
    </row>
    <row r="2229" spans="1:12" x14ac:dyDescent="0.25">
      <c r="A2229" s="45">
        <f>C2229&amp;"."&amp;IFERROR(MID(E2229,FIND("(",E2229)+1,FIND(")",E2229)-FIND("(",E2229)-1),"")</f>
      </c>
      <c r="B2229" s="46" t="s">
        <v>1178</v>
      </c>
      <c r="C2229" s="46">
        <v>77912</v>
      </c>
      <c r="D2229" s="46" t="s">
        <v>4073</v>
      </c>
      <c r="E2229" s="46" t="s">
        <v>4074</v>
      </c>
      <c r="F2229" s="46" t="s">
        <v>24</v>
      </c>
      <c r="G2229" s="47">
        <v>3.05</v>
      </c>
      <c r="H2229" s="48">
        <v>8.241</v>
      </c>
      <c r="I2229" s="48">
        <v>8.241</v>
      </c>
      <c r="J2229" s="49">
        <v>1</v>
      </c>
      <c r="K2229" s="49">
        <v>0</v>
      </c>
      <c r="L2229" s="49">
        <v>1</v>
      </c>
    </row>
    <row r="2230" spans="1:12" x14ac:dyDescent="0.25">
      <c r="A2230" s="45">
        <f>C2230&amp;"."&amp;IFERROR(MID(E2230,FIND("(",E2230)+1,FIND(")",E2230)-FIND("(",E2230)-1),"")</f>
      </c>
      <c r="B2230" s="46" t="s">
        <v>1178</v>
      </c>
      <c r="C2230" s="46">
        <v>77912</v>
      </c>
      <c r="D2230" s="46" t="s">
        <v>4073</v>
      </c>
      <c r="E2230" s="46" t="s">
        <v>4075</v>
      </c>
      <c r="F2230" s="46" t="s">
        <v>24</v>
      </c>
      <c r="G2230" s="47">
        <v>3.05</v>
      </c>
      <c r="H2230" s="48">
        <v>7.878</v>
      </c>
      <c r="I2230" s="48">
        <v>7.878</v>
      </c>
      <c r="J2230" s="49">
        <v>1</v>
      </c>
      <c r="K2230" s="49">
        <v>0</v>
      </c>
      <c r="L2230" s="49">
        <v>1</v>
      </c>
    </row>
    <row r="2231" spans="1:12" x14ac:dyDescent="0.25">
      <c r="A2231" s="45">
        <f>C2231&amp;"."&amp;IFERROR(MID(E2231,FIND("(",E2231)+1,FIND(")",E2231)-FIND("(",E2231)-1),"")</f>
      </c>
      <c r="B2231" s="46" t="s">
        <v>1178</v>
      </c>
      <c r="C2231" s="46">
        <v>77912</v>
      </c>
      <c r="D2231" s="46" t="s">
        <v>4073</v>
      </c>
      <c r="E2231" s="46" t="s">
        <v>4076</v>
      </c>
      <c r="F2231" s="46" t="s">
        <v>24</v>
      </c>
      <c r="G2231" s="47">
        <v>3.05</v>
      </c>
      <c r="H2231" s="48">
        <v>10.821</v>
      </c>
      <c r="I2231" s="48">
        <v>140.677</v>
      </c>
      <c r="J2231" s="49">
        <v>13</v>
      </c>
      <c r="K2231" s="49">
        <v>1</v>
      </c>
      <c r="L2231" s="49">
        <v>12</v>
      </c>
    </row>
    <row r="2232" spans="1:12" x14ac:dyDescent="0.25">
      <c r="A2232" s="45">
        <f>C2232&amp;"."&amp;IFERROR(MID(E2232,FIND("(",E2232)+1,FIND(")",E2232)-FIND("(",E2232)-1),"")</f>
      </c>
      <c r="B2232" s="46" t="s">
        <v>1178</v>
      </c>
      <c r="C2232" s="46">
        <v>77913</v>
      </c>
      <c r="D2232" s="46" t="s">
        <v>4077</v>
      </c>
      <c r="E2232" s="46" t="s">
        <v>4078</v>
      </c>
      <c r="F2232" s="46" t="s">
        <v>26</v>
      </c>
      <c r="G2232" s="47">
        <v>1.59</v>
      </c>
      <c r="H2232" s="48">
        <v>4.32</v>
      </c>
      <c r="I2232" s="48">
        <v>8.64</v>
      </c>
      <c r="J2232" s="49">
        <v>2</v>
      </c>
      <c r="K2232" s="49">
        <v>0</v>
      </c>
      <c r="L2232" s="49">
        <v>2</v>
      </c>
    </row>
    <row r="2233" spans="1:12" x14ac:dyDescent="0.25">
      <c r="A2233" s="45">
        <f>C2233&amp;"."&amp;IFERROR(MID(E2233,FIND("(",E2233)+1,FIND(")",E2233)-FIND("(",E2233)-1),"")</f>
      </c>
      <c r="B2233" s="46" t="s">
        <v>1178</v>
      </c>
      <c r="C2233" s="46">
        <v>77917</v>
      </c>
      <c r="D2233" s="46" t="s">
        <v>4079</v>
      </c>
      <c r="E2233" s="46" t="s">
        <v>4080</v>
      </c>
      <c r="F2233" s="46" t="s">
        <v>26</v>
      </c>
      <c r="G2233" s="47">
        <v>8.1</v>
      </c>
      <c r="H2233" s="48">
        <v>22.5</v>
      </c>
      <c r="I2233" s="48">
        <v>45</v>
      </c>
      <c r="J2233" s="49">
        <v>2</v>
      </c>
      <c r="K2233" s="49">
        <v>0</v>
      </c>
      <c r="L2233" s="49">
        <v>2</v>
      </c>
    </row>
    <row r="2234" spans="1:12" x14ac:dyDescent="0.25">
      <c r="A2234" s="45">
        <f>C2234&amp;"."&amp;IFERROR(MID(E2234,FIND("(",E2234)+1,FIND(")",E2234)-FIND("(",E2234)-1),"")</f>
      </c>
      <c r="B2234" s="46" t="s">
        <v>1178</v>
      </c>
      <c r="C2234" s="46">
        <v>77920</v>
      </c>
      <c r="D2234" s="46" t="s">
        <v>4081</v>
      </c>
      <c r="E2234" s="46" t="s">
        <v>4082</v>
      </c>
      <c r="F2234" s="46" t="s">
        <v>26</v>
      </c>
      <c r="G2234" s="47">
        <v>8.1</v>
      </c>
      <c r="H2234" s="48">
        <v>26.2</v>
      </c>
      <c r="I2234" s="48">
        <v>78.6</v>
      </c>
      <c r="J2234" s="49">
        <v>3</v>
      </c>
      <c r="K2234" s="49">
        <v>2</v>
      </c>
      <c r="L2234" s="49">
        <v>1</v>
      </c>
    </row>
    <row r="2235" spans="1:12" x14ac:dyDescent="0.25">
      <c r="A2235" s="45">
        <f>C2235&amp;"."&amp;IFERROR(MID(E2235,FIND("(",E2235)+1,FIND(")",E2235)-FIND("(",E2235)-1),"")</f>
      </c>
      <c r="B2235" s="46" t="s">
        <v>1178</v>
      </c>
      <c r="C2235" s="46">
        <v>77925</v>
      </c>
      <c r="D2235" s="46" t="s">
        <v>4083</v>
      </c>
      <c r="E2235" s="46" t="s">
        <v>4084</v>
      </c>
      <c r="F2235" s="46" t="s">
        <v>24</v>
      </c>
      <c r="G2235" s="47">
        <v>4.27</v>
      </c>
      <c r="H2235" s="48">
        <v>11.796</v>
      </c>
      <c r="I2235" s="48">
        <v>117.959</v>
      </c>
      <c r="J2235" s="49">
        <v>10</v>
      </c>
      <c r="K2235" s="49">
        <v>0</v>
      </c>
      <c r="L2235" s="49">
        <v>10</v>
      </c>
    </row>
    <row r="2236" spans="1:12" x14ac:dyDescent="0.25">
      <c r="A2236" s="45">
        <f>C2236&amp;"."&amp;IFERROR(MID(E2236,FIND("(",E2236)+1,FIND(")",E2236)-FIND("(",E2236)-1),"")</f>
      </c>
      <c r="B2236" s="46" t="s">
        <v>1178</v>
      </c>
      <c r="C2236" s="46">
        <v>77926</v>
      </c>
      <c r="D2236" s="46" t="s">
        <v>4085</v>
      </c>
      <c r="E2236" s="46" t="s">
        <v>4086</v>
      </c>
      <c r="F2236" s="46" t="s">
        <v>26</v>
      </c>
      <c r="G2236" s="47">
        <v>0.29</v>
      </c>
      <c r="H2236" s="48">
        <v>0.883</v>
      </c>
      <c r="I2236" s="48">
        <v>2.65</v>
      </c>
      <c r="J2236" s="49">
        <v>3</v>
      </c>
      <c r="K2236" s="49">
        <v>0</v>
      </c>
      <c r="L2236" s="49">
        <v>3</v>
      </c>
    </row>
    <row r="2237" spans="1:12" x14ac:dyDescent="0.25">
      <c r="A2237" s="45">
        <f>C2237&amp;"."&amp;IFERROR(MID(E2237,FIND("(",E2237)+1,FIND(")",E2237)-FIND("(",E2237)-1),"")</f>
      </c>
      <c r="B2237" s="46" t="s">
        <v>1178</v>
      </c>
      <c r="C2237" s="46">
        <v>77930</v>
      </c>
      <c r="D2237" s="46" t="s">
        <v>4087</v>
      </c>
      <c r="E2237" s="46" t="s">
        <v>4088</v>
      </c>
      <c r="F2237" s="46" t="s">
        <v>26</v>
      </c>
      <c r="G2237" s="47">
        <v>0.79</v>
      </c>
      <c r="H2237" s="48">
        <v>2.348</v>
      </c>
      <c r="I2237" s="48">
        <v>4.695</v>
      </c>
      <c r="J2237" s="49">
        <v>2</v>
      </c>
      <c r="K2237" s="49">
        <v>0</v>
      </c>
      <c r="L2237" s="49">
        <v>2</v>
      </c>
    </row>
    <row r="2238" spans="1:12" x14ac:dyDescent="0.25">
      <c r="A2238" s="45">
        <f>C2238&amp;"."&amp;IFERROR(MID(E2238,FIND("(",E2238)+1,FIND(")",E2238)-FIND("(",E2238)-1),"")</f>
      </c>
      <c r="B2238" s="46" t="s">
        <v>1178</v>
      </c>
      <c r="C2238" s="46">
        <v>77935</v>
      </c>
      <c r="D2238" s="46" t="s">
        <v>4089</v>
      </c>
      <c r="E2238" s="46" t="s">
        <v>4090</v>
      </c>
      <c r="F2238" s="46" t="s">
        <v>26</v>
      </c>
      <c r="G2238" s="47">
        <v>7.53</v>
      </c>
      <c r="H2238" s="48">
        <v>3.995</v>
      </c>
      <c r="I2238" s="48">
        <v>7.99</v>
      </c>
      <c r="J2238" s="49">
        <v>2</v>
      </c>
      <c r="K2238" s="49">
        <v>0</v>
      </c>
      <c r="L2238" s="49">
        <v>2</v>
      </c>
    </row>
    <row r="2239" spans="1:12" x14ac:dyDescent="0.25">
      <c r="A2239" s="45">
        <f>C2239&amp;"."&amp;IFERROR(MID(E2239,FIND("(",E2239)+1,FIND(")",E2239)-FIND("(",E2239)-1),"")</f>
      </c>
      <c r="B2239" s="46" t="s">
        <v>1178</v>
      </c>
      <c r="C2239" s="46">
        <v>77936</v>
      </c>
      <c r="D2239" s="46" t="s">
        <v>4091</v>
      </c>
      <c r="E2239" s="46" t="s">
        <v>4092</v>
      </c>
      <c r="F2239" s="46" t="s">
        <v>26</v>
      </c>
      <c r="G2239" s="47">
        <v>7.53</v>
      </c>
      <c r="H2239" s="48">
        <v>1.72</v>
      </c>
      <c r="I2239" s="48">
        <v>5.159</v>
      </c>
      <c r="J2239" s="49">
        <v>3</v>
      </c>
      <c r="K2239" s="49">
        <v>0</v>
      </c>
      <c r="L2239" s="49">
        <v>3</v>
      </c>
    </row>
    <row r="2240" spans="1:12" x14ac:dyDescent="0.25">
      <c r="A2240" s="45">
        <f>C2240&amp;"."&amp;IFERROR(MID(E2240,FIND("(",E2240)+1,FIND(")",E2240)-FIND("(",E2240)-1),"")</f>
      </c>
      <c r="B2240" s="46" t="s">
        <v>1178</v>
      </c>
      <c r="C2240" s="46">
        <v>77944</v>
      </c>
      <c r="D2240" s="46" t="s">
        <v>4093</v>
      </c>
      <c r="E2240" s="46" t="s">
        <v>1248</v>
      </c>
      <c r="F2240" s="46" t="s">
        <v>26</v>
      </c>
      <c r="G2240" s="47">
        <v>0.3</v>
      </c>
      <c r="H2240" s="48">
        <v>0.738</v>
      </c>
      <c r="I2240" s="48">
        <v>1.476</v>
      </c>
      <c r="J2240" s="49">
        <v>2</v>
      </c>
      <c r="K2240" s="49">
        <v>0</v>
      </c>
      <c r="L2240" s="49">
        <v>2</v>
      </c>
    </row>
    <row r="2241" spans="1:12" x14ac:dyDescent="0.25">
      <c r="A2241" s="45">
        <f>C2241&amp;"."&amp;IFERROR(MID(E2241,FIND("(",E2241)+1,FIND(")",E2241)-FIND("(",E2241)-1),"")</f>
      </c>
      <c r="B2241" s="46" t="s">
        <v>1178</v>
      </c>
      <c r="C2241" s="46">
        <v>77948</v>
      </c>
      <c r="D2241" s="46" t="s">
        <v>4094</v>
      </c>
      <c r="E2241" s="46" t="s">
        <v>4095</v>
      </c>
      <c r="F2241" s="46" t="s">
        <v>26</v>
      </c>
      <c r="G2241" s="47">
        <v>1.56</v>
      </c>
      <c r="H2241" s="48">
        <v>4.33</v>
      </c>
      <c r="I2241" s="48">
        <v>4.33</v>
      </c>
      <c r="J2241" s="49">
        <v>1</v>
      </c>
      <c r="K2241" s="49">
        <v>0</v>
      </c>
      <c r="L2241" s="49">
        <v>1</v>
      </c>
    </row>
    <row r="2242" spans="1:12" x14ac:dyDescent="0.25">
      <c r="A2242" s="45">
        <f>C2242&amp;"."&amp;IFERROR(MID(E2242,FIND("(",E2242)+1,FIND(")",E2242)-FIND("(",E2242)-1),"")</f>
      </c>
      <c r="B2242" s="46" t="s">
        <v>1178</v>
      </c>
      <c r="C2242" s="46">
        <v>77949</v>
      </c>
      <c r="D2242" s="46" t="s">
        <v>4096</v>
      </c>
      <c r="E2242" s="46" t="s">
        <v>4097</v>
      </c>
      <c r="F2242" s="46" t="s">
        <v>26</v>
      </c>
      <c r="G2242" s="47">
        <v>1.56</v>
      </c>
      <c r="H2242" s="48">
        <v>5.176</v>
      </c>
      <c r="I2242" s="48">
        <v>25.88</v>
      </c>
      <c r="J2242" s="49">
        <v>5</v>
      </c>
      <c r="K2242" s="49">
        <v>0</v>
      </c>
      <c r="L2242" s="49">
        <v>5</v>
      </c>
    </row>
    <row r="2243" spans="1:12" x14ac:dyDescent="0.25">
      <c r="A2243" s="45">
        <f>C2243&amp;"."&amp;IFERROR(MID(E2243,FIND("(",E2243)+1,FIND(")",E2243)-FIND("(",E2243)-1),"")</f>
      </c>
      <c r="B2243" s="46" t="s">
        <v>1178</v>
      </c>
      <c r="C2243" s="46">
        <v>77951</v>
      </c>
      <c r="D2243" s="46" t="s">
        <v>4098</v>
      </c>
      <c r="E2243" s="46" t="s">
        <v>4099</v>
      </c>
      <c r="F2243" s="46" t="s">
        <v>26</v>
      </c>
      <c r="G2243" s="47">
        <v>0.44</v>
      </c>
      <c r="H2243" s="48">
        <v>1.21</v>
      </c>
      <c r="I2243" s="48">
        <v>2.42</v>
      </c>
      <c r="J2243" s="49">
        <v>2</v>
      </c>
      <c r="K2243" s="49">
        <v>0</v>
      </c>
      <c r="L2243" s="49">
        <v>2</v>
      </c>
    </row>
    <row r="2244" spans="1:12" x14ac:dyDescent="0.25">
      <c r="A2244" s="45">
        <f>C2244&amp;"."&amp;IFERROR(MID(E2244,FIND("(",E2244)+1,FIND(")",E2244)-FIND("(",E2244)-1),"")</f>
      </c>
      <c r="B2244" s="46" t="s">
        <v>1178</v>
      </c>
      <c r="C2244" s="46">
        <v>77955</v>
      </c>
      <c r="D2244" s="46" t="s">
        <v>4100</v>
      </c>
      <c r="E2244" s="46" t="s">
        <v>4101</v>
      </c>
      <c r="F2244" s="46" t="s">
        <v>26</v>
      </c>
      <c r="G2244" s="47">
        <v>7.12</v>
      </c>
      <c r="H2244" s="48">
        <v>18.853</v>
      </c>
      <c r="I2244" s="48">
        <v>94.267</v>
      </c>
      <c r="J2244" s="49">
        <v>5</v>
      </c>
      <c r="K2244" s="49">
        <v>0</v>
      </c>
      <c r="L2244" s="49">
        <v>5</v>
      </c>
    </row>
    <row r="2245" spans="1:12" x14ac:dyDescent="0.25">
      <c r="A2245" s="45">
        <f>C2245&amp;"."&amp;IFERROR(MID(E2245,FIND("(",E2245)+1,FIND(")",E2245)-FIND("(",E2245)-1),"")</f>
      </c>
      <c r="B2245" s="46" t="s">
        <v>1178</v>
      </c>
      <c r="C2245" s="46">
        <v>77959</v>
      </c>
      <c r="D2245" s="46" t="s">
        <v>4102</v>
      </c>
      <c r="E2245" s="46" t="s">
        <v>4103</v>
      </c>
      <c r="F2245" s="46" t="s">
        <v>26</v>
      </c>
      <c r="G2245" s="47">
        <v>1.56</v>
      </c>
      <c r="H2245" s="48">
        <v>4.03</v>
      </c>
      <c r="I2245" s="48">
        <v>8.06</v>
      </c>
      <c r="J2245" s="49">
        <v>2</v>
      </c>
      <c r="K2245" s="49">
        <v>0</v>
      </c>
      <c r="L2245" s="49">
        <v>2</v>
      </c>
    </row>
    <row r="2246" spans="1:12" x14ac:dyDescent="0.25">
      <c r="A2246" s="45">
        <f>C2246&amp;"."&amp;IFERROR(MID(E2246,FIND("(",E2246)+1,FIND(")",E2246)-FIND("(",E2246)-1),"")</f>
      </c>
      <c r="B2246" s="46" t="s">
        <v>1178</v>
      </c>
      <c r="C2246" s="46">
        <v>77967</v>
      </c>
      <c r="D2246" s="46" t="s">
        <v>4104</v>
      </c>
      <c r="E2246" s="46" t="s">
        <v>4105</v>
      </c>
      <c r="F2246" s="46" t="s">
        <v>26</v>
      </c>
      <c r="G2246" s="47">
        <v>6.16</v>
      </c>
      <c r="H2246" s="48">
        <v>17.915</v>
      </c>
      <c r="I2246" s="48">
        <v>376.214</v>
      </c>
      <c r="J2246" s="49">
        <v>21</v>
      </c>
      <c r="K2246" s="49">
        <v>0</v>
      </c>
      <c r="L2246" s="49">
        <v>21</v>
      </c>
    </row>
    <row r="2247" spans="1:12" x14ac:dyDescent="0.25">
      <c r="A2247" s="45">
        <f>C2247&amp;"."&amp;IFERROR(MID(E2247,FIND("(",E2247)+1,FIND(")",E2247)-FIND("(",E2247)-1),"")</f>
      </c>
      <c r="B2247" s="46" t="s">
        <v>1178</v>
      </c>
      <c r="C2247" s="46">
        <v>77972</v>
      </c>
      <c r="D2247" s="46" t="s">
        <v>4106</v>
      </c>
      <c r="E2247" s="46" t="s">
        <v>4107</v>
      </c>
      <c r="F2247" s="46" t="s">
        <v>24</v>
      </c>
      <c r="G2247" s="47">
        <v>0.7</v>
      </c>
      <c r="H2247" s="48">
        <v>3.379</v>
      </c>
      <c r="I2247" s="48">
        <v>16.894</v>
      </c>
      <c r="J2247" s="49">
        <v>5</v>
      </c>
      <c r="K2247" s="49">
        <v>0</v>
      </c>
      <c r="L2247" s="49">
        <v>5</v>
      </c>
    </row>
    <row r="2248" spans="1:12" x14ac:dyDescent="0.25">
      <c r="A2248" s="45">
        <f>C2248&amp;"."&amp;IFERROR(MID(E2248,FIND("(",E2248)+1,FIND(")",E2248)-FIND("(",E2248)-1),"")</f>
      </c>
      <c r="B2248" s="46" t="s">
        <v>1178</v>
      </c>
      <c r="C2248" s="46">
        <v>77972</v>
      </c>
      <c r="D2248" s="46" t="s">
        <v>4106</v>
      </c>
      <c r="E2248" s="46" t="s">
        <v>4108</v>
      </c>
      <c r="F2248" s="46" t="s">
        <v>24</v>
      </c>
      <c r="G2248" s="47">
        <v>0.7</v>
      </c>
      <c r="H2248" s="48">
        <v>2.537</v>
      </c>
      <c r="I2248" s="48">
        <v>38.056</v>
      </c>
      <c r="J2248" s="49">
        <v>15</v>
      </c>
      <c r="K2248" s="49">
        <v>0</v>
      </c>
      <c r="L2248" s="49">
        <v>15</v>
      </c>
    </row>
    <row r="2249" spans="1:12" x14ac:dyDescent="0.25">
      <c r="A2249" s="45">
        <f>C2249&amp;"."&amp;IFERROR(MID(E2249,FIND("(",E2249)+1,FIND(")",E2249)-FIND("(",E2249)-1),"")</f>
      </c>
      <c r="B2249" s="46" t="s">
        <v>1178</v>
      </c>
      <c r="C2249" s="46">
        <v>77976</v>
      </c>
      <c r="D2249" s="46" t="s">
        <v>4109</v>
      </c>
      <c r="E2249" s="46" t="s">
        <v>4110</v>
      </c>
      <c r="F2249" s="46" t="s">
        <v>24</v>
      </c>
      <c r="G2249" s="47">
        <v>3.15</v>
      </c>
      <c r="H2249" s="48">
        <v>19.261</v>
      </c>
      <c r="I2249" s="48">
        <v>77.043</v>
      </c>
      <c r="J2249" s="49">
        <v>4</v>
      </c>
      <c r="K2249" s="49">
        <v>1</v>
      </c>
      <c r="L2249" s="49">
        <v>3</v>
      </c>
    </row>
    <row r="2250" spans="1:12" x14ac:dyDescent="0.25">
      <c r="A2250" s="45">
        <f>C2250&amp;"."&amp;IFERROR(MID(E2250,FIND("(",E2250)+1,FIND(")",E2250)-FIND("(",E2250)-1),"")</f>
      </c>
      <c r="B2250" s="46" t="s">
        <v>1178</v>
      </c>
      <c r="C2250" s="46">
        <v>77976</v>
      </c>
      <c r="D2250" s="46" t="s">
        <v>4109</v>
      </c>
      <c r="E2250" s="46" t="s">
        <v>4111</v>
      </c>
      <c r="F2250" s="46" t="s">
        <v>24</v>
      </c>
      <c r="G2250" s="47">
        <v>3.15</v>
      </c>
      <c r="H2250" s="48">
        <v>17.433</v>
      </c>
      <c r="I2250" s="48">
        <v>87.167</v>
      </c>
      <c r="J2250" s="49">
        <v>5</v>
      </c>
      <c r="K2250" s="49">
        <v>1</v>
      </c>
      <c r="L2250" s="49">
        <v>4</v>
      </c>
    </row>
    <row r="2251" spans="1:12" x14ac:dyDescent="0.25">
      <c r="A2251" s="45">
        <f>C2251&amp;"."&amp;IFERROR(MID(E2251,FIND("(",E2251)+1,FIND(")",E2251)-FIND("(",E2251)-1),"")</f>
      </c>
      <c r="B2251" s="46" t="s">
        <v>1178</v>
      </c>
      <c r="C2251" s="46">
        <v>77976</v>
      </c>
      <c r="D2251" s="46" t="s">
        <v>4109</v>
      </c>
      <c r="E2251" s="46" t="s">
        <v>4112</v>
      </c>
      <c r="F2251" s="46" t="s">
        <v>24</v>
      </c>
      <c r="G2251" s="47">
        <v>3.15</v>
      </c>
      <c r="H2251" s="48">
        <v>17.341</v>
      </c>
      <c r="I2251" s="48">
        <v>17.341</v>
      </c>
      <c r="J2251" s="49">
        <v>1</v>
      </c>
      <c r="K2251" s="49">
        <v>1</v>
      </c>
      <c r="L2251" s="49">
        <v>0</v>
      </c>
    </row>
    <row r="2252" spans="1:12" x14ac:dyDescent="0.25">
      <c r="A2252" s="45">
        <f>C2252&amp;"."&amp;IFERROR(MID(E2252,FIND("(",E2252)+1,FIND(")",E2252)-FIND("(",E2252)-1),"")</f>
      </c>
      <c r="B2252" s="46" t="s">
        <v>1178</v>
      </c>
      <c r="C2252" s="46">
        <v>77978</v>
      </c>
      <c r="D2252" s="46" t="s">
        <v>4113</v>
      </c>
      <c r="E2252" s="46" t="s">
        <v>4114</v>
      </c>
      <c r="F2252" s="46" t="s">
        <v>24</v>
      </c>
      <c r="G2252" s="47">
        <v>0</v>
      </c>
      <c r="H2252" s="48">
        <v>19.517</v>
      </c>
      <c r="I2252" s="48">
        <v>97.585</v>
      </c>
      <c r="J2252" s="49">
        <v>5</v>
      </c>
      <c r="K2252" s="49">
        <v>1</v>
      </c>
      <c r="L2252" s="49">
        <v>4</v>
      </c>
    </row>
    <row r="2253" spans="1:12" x14ac:dyDescent="0.25">
      <c r="A2253" s="45">
        <f>C2253&amp;"."&amp;IFERROR(MID(E2253,FIND("(",E2253)+1,FIND(")",E2253)-FIND("(",E2253)-1),"")</f>
      </c>
      <c r="B2253" s="46" t="s">
        <v>1178</v>
      </c>
      <c r="C2253" s="46">
        <v>77978</v>
      </c>
      <c r="D2253" s="46" t="s">
        <v>4113</v>
      </c>
      <c r="E2253" s="46" t="s">
        <v>4115</v>
      </c>
      <c r="F2253" s="46" t="s">
        <v>24</v>
      </c>
      <c r="G2253" s="47">
        <v>0</v>
      </c>
      <c r="H2253" s="48">
        <v>18.342</v>
      </c>
      <c r="I2253" s="48">
        <v>55.027</v>
      </c>
      <c r="J2253" s="49">
        <v>3</v>
      </c>
      <c r="K2253" s="49">
        <v>1</v>
      </c>
      <c r="L2253" s="49">
        <v>2</v>
      </c>
    </row>
    <row r="2254" spans="1:12" x14ac:dyDescent="0.25">
      <c r="A2254" s="45">
        <f>C2254&amp;"."&amp;IFERROR(MID(E2254,FIND("(",E2254)+1,FIND(")",E2254)-FIND("(",E2254)-1),"")</f>
      </c>
      <c r="B2254" s="46" t="s">
        <v>1178</v>
      </c>
      <c r="C2254" s="46">
        <v>77978</v>
      </c>
      <c r="D2254" s="46" t="s">
        <v>4113</v>
      </c>
      <c r="E2254" s="46" t="s">
        <v>4116</v>
      </c>
      <c r="F2254" s="46" t="s">
        <v>24</v>
      </c>
      <c r="G2254" s="47">
        <v>0</v>
      </c>
      <c r="H2254" s="48">
        <v>18.555</v>
      </c>
      <c r="I2254" s="48">
        <v>74.22</v>
      </c>
      <c r="J2254" s="49">
        <v>4</v>
      </c>
      <c r="K2254" s="49">
        <v>0</v>
      </c>
      <c r="L2254" s="49">
        <v>4</v>
      </c>
    </row>
    <row r="2255" spans="1:12" x14ac:dyDescent="0.25">
      <c r="A2255" s="45">
        <f>C2255&amp;"."&amp;IFERROR(MID(E2255,FIND("(",E2255)+1,FIND(")",E2255)-FIND("(",E2255)-1),"")</f>
      </c>
      <c r="B2255" s="46" t="s">
        <v>1178</v>
      </c>
      <c r="C2255" s="46">
        <v>77979</v>
      </c>
      <c r="D2255" s="46" t="s">
        <v>4117</v>
      </c>
      <c r="E2255" s="46" t="s">
        <v>4118</v>
      </c>
      <c r="F2255" s="46" t="s">
        <v>26</v>
      </c>
      <c r="G2255" s="47">
        <v>1.88</v>
      </c>
      <c r="H2255" s="48">
        <v>6.293</v>
      </c>
      <c r="I2255" s="48">
        <v>31.463</v>
      </c>
      <c r="J2255" s="49">
        <v>5</v>
      </c>
      <c r="K2255" s="49">
        <v>0</v>
      </c>
      <c r="L2255" s="49">
        <v>5</v>
      </c>
    </row>
    <row r="2256" spans="1:12" x14ac:dyDescent="0.25">
      <c r="A2256" s="45">
        <f>C2256&amp;"."&amp;IFERROR(MID(E2256,FIND("(",E2256)+1,FIND(")",E2256)-FIND("(",E2256)-1),"")</f>
      </c>
      <c r="B2256" s="46" t="s">
        <v>1178</v>
      </c>
      <c r="C2256" s="46">
        <v>78016</v>
      </c>
      <c r="D2256" s="46" t="s">
        <v>4119</v>
      </c>
      <c r="E2256" s="46" t="s">
        <v>4120</v>
      </c>
      <c r="F2256" s="46" t="s">
        <v>26</v>
      </c>
      <c r="G2256" s="47">
        <v>13.86</v>
      </c>
      <c r="H2256" s="48">
        <v>42.281</v>
      </c>
      <c r="I2256" s="48">
        <v>126.843</v>
      </c>
      <c r="J2256" s="49">
        <v>3</v>
      </c>
      <c r="K2256" s="49">
        <v>0</v>
      </c>
      <c r="L2256" s="49">
        <v>3</v>
      </c>
    </row>
    <row r="2257" spans="1:12" x14ac:dyDescent="0.25">
      <c r="A2257" s="45">
        <f>C2257&amp;"."&amp;IFERROR(MID(E2257,FIND("(",E2257)+1,FIND(")",E2257)-FIND("(",E2257)-1),"")</f>
      </c>
      <c r="B2257" s="46" t="s">
        <v>1178</v>
      </c>
      <c r="C2257" s="46">
        <v>78017</v>
      </c>
      <c r="D2257" s="46" t="s">
        <v>4121</v>
      </c>
      <c r="E2257" s="46" t="s">
        <v>4122</v>
      </c>
      <c r="F2257" s="46" t="s">
        <v>26</v>
      </c>
      <c r="G2257" s="47">
        <v>13.86</v>
      </c>
      <c r="H2257" s="48">
        <v>42.281</v>
      </c>
      <c r="I2257" s="48">
        <v>42.281</v>
      </c>
      <c r="J2257" s="49">
        <v>1</v>
      </c>
      <c r="K2257" s="49">
        <v>0</v>
      </c>
      <c r="L2257" s="49">
        <v>1</v>
      </c>
    </row>
    <row r="2258" spans="1:12" x14ac:dyDescent="0.25">
      <c r="A2258" s="45">
        <f>C2258&amp;"."&amp;IFERROR(MID(E2258,FIND("(",E2258)+1,FIND(")",E2258)-FIND("(",E2258)-1),"")</f>
      </c>
      <c r="B2258" s="46" t="s">
        <v>1178</v>
      </c>
      <c r="C2258" s="46">
        <v>78049</v>
      </c>
      <c r="D2258" s="46" t="s">
        <v>4123</v>
      </c>
      <c r="E2258" s="46" t="s">
        <v>4124</v>
      </c>
      <c r="F2258" s="46" t="s">
        <v>24</v>
      </c>
      <c r="G2258" s="47">
        <v>8.22</v>
      </c>
      <c r="H2258" s="48">
        <v>22.788</v>
      </c>
      <c r="I2258" s="48">
        <v>159.516</v>
      </c>
      <c r="J2258" s="49">
        <v>7</v>
      </c>
      <c r="K2258" s="49">
        <v>0</v>
      </c>
      <c r="L2258" s="49">
        <v>7</v>
      </c>
    </row>
    <row r="2259" spans="1:12" x14ac:dyDescent="0.25">
      <c r="A2259" s="45">
        <f>C2259&amp;"."&amp;IFERROR(MID(E2259,FIND("(",E2259)+1,FIND(")",E2259)-FIND("(",E2259)-1),"")</f>
      </c>
      <c r="B2259" s="46" t="s">
        <v>1178</v>
      </c>
      <c r="C2259" s="46">
        <v>78049</v>
      </c>
      <c r="D2259" s="46" t="s">
        <v>4123</v>
      </c>
      <c r="E2259" s="46" t="s">
        <v>4125</v>
      </c>
      <c r="F2259" s="46" t="s">
        <v>24</v>
      </c>
      <c r="G2259" s="47">
        <v>8.22</v>
      </c>
      <c r="H2259" s="48">
        <v>21.043</v>
      </c>
      <c r="I2259" s="48">
        <v>168.347</v>
      </c>
      <c r="J2259" s="49">
        <v>8</v>
      </c>
      <c r="K2259" s="49">
        <v>0</v>
      </c>
      <c r="L2259" s="49">
        <v>8</v>
      </c>
    </row>
    <row r="2260" spans="1:12" x14ac:dyDescent="0.25">
      <c r="A2260" s="45">
        <f>C2260&amp;"."&amp;IFERROR(MID(E2260,FIND("(",E2260)+1,FIND(")",E2260)-FIND("(",E2260)-1),"")</f>
      </c>
      <c r="B2260" s="46" t="s">
        <v>1178</v>
      </c>
      <c r="C2260" s="46">
        <v>78049</v>
      </c>
      <c r="D2260" s="46" t="s">
        <v>4123</v>
      </c>
      <c r="E2260" s="46" t="s">
        <v>4126</v>
      </c>
      <c r="F2260" s="46" t="s">
        <v>24</v>
      </c>
      <c r="G2260" s="47">
        <v>8.22</v>
      </c>
      <c r="H2260" s="48">
        <v>23.892</v>
      </c>
      <c r="I2260" s="48">
        <v>286.699</v>
      </c>
      <c r="J2260" s="49">
        <v>12</v>
      </c>
      <c r="K2260" s="49">
        <v>1</v>
      </c>
      <c r="L2260" s="49">
        <v>11</v>
      </c>
    </row>
    <row r="2261" spans="1:12" x14ac:dyDescent="0.25">
      <c r="A2261" s="45">
        <f>C2261&amp;"."&amp;IFERROR(MID(E2261,FIND("(",E2261)+1,FIND(")",E2261)-FIND("(",E2261)-1),"")</f>
      </c>
      <c r="B2261" s="46" t="s">
        <v>1178</v>
      </c>
      <c r="C2261" s="46">
        <v>78050</v>
      </c>
      <c r="D2261" s="46" t="s">
        <v>4127</v>
      </c>
      <c r="E2261" s="46" t="s">
        <v>4128</v>
      </c>
      <c r="F2261" s="46" t="s">
        <v>26</v>
      </c>
      <c r="G2261" s="47">
        <v>1.34</v>
      </c>
      <c r="H2261" s="48">
        <v>4.187</v>
      </c>
      <c r="I2261" s="48">
        <v>58.617</v>
      </c>
      <c r="J2261" s="49">
        <v>14</v>
      </c>
      <c r="K2261" s="49">
        <v>0</v>
      </c>
      <c r="L2261" s="49">
        <v>14</v>
      </c>
    </row>
    <row r="2262" spans="1:12" x14ac:dyDescent="0.25">
      <c r="A2262" s="45">
        <f>C2262&amp;"."&amp;IFERROR(MID(E2262,FIND("(",E2262)+1,FIND(")",E2262)-FIND("(",E2262)-1),"")</f>
      </c>
      <c r="B2262" s="46" t="s">
        <v>1178</v>
      </c>
      <c r="C2262" s="46">
        <v>78050</v>
      </c>
      <c r="D2262" s="46" t="s">
        <v>4127</v>
      </c>
      <c r="E2262" s="46" t="s">
        <v>4129</v>
      </c>
      <c r="F2262" s="46" t="s">
        <v>26</v>
      </c>
      <c r="G2262" s="47">
        <v>1.34</v>
      </c>
      <c r="H2262" s="48">
        <v>4.242</v>
      </c>
      <c r="I2262" s="48">
        <v>33.932</v>
      </c>
      <c r="J2262" s="49">
        <v>8</v>
      </c>
      <c r="K2262" s="49">
        <v>0</v>
      </c>
      <c r="L2262" s="49">
        <v>8</v>
      </c>
    </row>
    <row r="2263" spans="1:12" x14ac:dyDescent="0.25">
      <c r="A2263" s="45">
        <f>C2263&amp;"."&amp;IFERROR(MID(E2263,FIND("(",E2263)+1,FIND(")",E2263)-FIND("(",E2263)-1),"")</f>
      </c>
      <c r="B2263" s="46" t="s">
        <v>1178</v>
      </c>
      <c r="C2263" s="46">
        <v>78051</v>
      </c>
      <c r="D2263" s="46" t="s">
        <v>4130</v>
      </c>
      <c r="E2263" s="46" t="s">
        <v>4131</v>
      </c>
      <c r="F2263" s="46" t="s">
        <v>24</v>
      </c>
      <c r="G2263" s="47">
        <v>6.23</v>
      </c>
      <c r="H2263" s="48">
        <v>19.679</v>
      </c>
      <c r="I2263" s="48">
        <v>177.113</v>
      </c>
      <c r="J2263" s="49">
        <v>9</v>
      </c>
      <c r="K2263" s="49">
        <v>0</v>
      </c>
      <c r="L2263" s="49">
        <v>9</v>
      </c>
    </row>
    <row r="2264" spans="1:12" x14ac:dyDescent="0.25">
      <c r="A2264" s="45">
        <f>C2264&amp;"."&amp;IFERROR(MID(E2264,FIND("(",E2264)+1,FIND(")",E2264)-FIND("(",E2264)-1),"")</f>
      </c>
      <c r="B2264" s="46" t="s">
        <v>1178</v>
      </c>
      <c r="C2264" s="46">
        <v>78051</v>
      </c>
      <c r="D2264" s="46" t="s">
        <v>4130</v>
      </c>
      <c r="E2264" s="46" t="s">
        <v>4132</v>
      </c>
      <c r="F2264" s="46" t="s">
        <v>24</v>
      </c>
      <c r="G2264" s="47">
        <v>6.23</v>
      </c>
      <c r="H2264" s="48">
        <v>20.102</v>
      </c>
      <c r="I2264" s="48">
        <v>120.612</v>
      </c>
      <c r="J2264" s="49">
        <v>6</v>
      </c>
      <c r="K2264" s="49">
        <v>2</v>
      </c>
      <c r="L2264" s="49">
        <v>4</v>
      </c>
    </row>
    <row r="2265" spans="1:12" x14ac:dyDescent="0.25">
      <c r="A2265" s="45">
        <f>C2265&amp;"."&amp;IFERROR(MID(E2265,FIND("(",E2265)+1,FIND(")",E2265)-FIND("(",E2265)-1),"")</f>
      </c>
      <c r="B2265" s="46" t="s">
        <v>1178</v>
      </c>
      <c r="C2265" s="46">
        <v>78053</v>
      </c>
      <c r="D2265" s="46" t="s">
        <v>4133</v>
      </c>
      <c r="E2265" s="46" t="s">
        <v>4134</v>
      </c>
      <c r="F2265" s="46" t="s">
        <v>26</v>
      </c>
      <c r="G2265" s="47">
        <v>0.53</v>
      </c>
      <c r="H2265" s="48">
        <v>1.646</v>
      </c>
      <c r="I2265" s="48">
        <v>47.726</v>
      </c>
      <c r="J2265" s="49">
        <v>29</v>
      </c>
      <c r="K2265" s="49">
        <v>0</v>
      </c>
      <c r="L2265" s="49">
        <v>29</v>
      </c>
    </row>
    <row r="2266" spans="1:12" x14ac:dyDescent="0.25">
      <c r="A2266" s="45">
        <f>C2266&amp;"."&amp;IFERROR(MID(E2266,FIND("(",E2266)+1,FIND(")",E2266)-FIND("(",E2266)-1),"")</f>
      </c>
      <c r="B2266" s="46" t="s">
        <v>1178</v>
      </c>
      <c r="C2266" s="46">
        <v>78053</v>
      </c>
      <c r="D2266" s="46" t="s">
        <v>4133</v>
      </c>
      <c r="E2266" s="46" t="s">
        <v>4135</v>
      </c>
      <c r="F2266" s="46" t="s">
        <v>26</v>
      </c>
      <c r="G2266" s="47">
        <v>0.53</v>
      </c>
      <c r="H2266" s="48">
        <v>1.634</v>
      </c>
      <c r="I2266" s="48">
        <v>3.267</v>
      </c>
      <c r="J2266" s="49">
        <v>2</v>
      </c>
      <c r="K2266" s="49">
        <v>0</v>
      </c>
      <c r="L2266" s="49">
        <v>2</v>
      </c>
    </row>
    <row r="2267" spans="1:12" x14ac:dyDescent="0.25">
      <c r="A2267" s="45">
        <f>C2267&amp;"."&amp;IFERROR(MID(E2267,FIND("(",E2267)+1,FIND(")",E2267)-FIND("(",E2267)-1),"")</f>
      </c>
      <c r="B2267" s="46" t="s">
        <v>1178</v>
      </c>
      <c r="C2267" s="46">
        <v>78054</v>
      </c>
      <c r="D2267" s="46" t="s">
        <v>4136</v>
      </c>
      <c r="E2267" s="46" t="s">
        <v>4137</v>
      </c>
      <c r="F2267" s="46" t="s">
        <v>26</v>
      </c>
      <c r="G2267" s="47">
        <v>0.53</v>
      </c>
      <c r="H2267" s="48">
        <v>1.646</v>
      </c>
      <c r="I2267" s="48">
        <v>23.04</v>
      </c>
      <c r="J2267" s="49">
        <v>14</v>
      </c>
      <c r="K2267" s="49">
        <v>0</v>
      </c>
      <c r="L2267" s="49">
        <v>14</v>
      </c>
    </row>
    <row r="2268" spans="1:12" x14ac:dyDescent="0.25">
      <c r="A2268" s="45">
        <f>C2268&amp;"."&amp;IFERROR(MID(E2268,FIND("(",E2268)+1,FIND(")",E2268)-FIND("(",E2268)-1),"")</f>
      </c>
      <c r="B2268" s="46" t="s">
        <v>1178</v>
      </c>
      <c r="C2268" s="46">
        <v>78054</v>
      </c>
      <c r="D2268" s="46" t="s">
        <v>4136</v>
      </c>
      <c r="E2268" s="46" t="s">
        <v>4138</v>
      </c>
      <c r="F2268" s="46" t="s">
        <v>26</v>
      </c>
      <c r="G2268" s="47">
        <v>0.53</v>
      </c>
      <c r="H2268" s="48">
        <v>1.634</v>
      </c>
      <c r="I2268" s="48">
        <v>1.634</v>
      </c>
      <c r="J2268" s="49">
        <v>1</v>
      </c>
      <c r="K2268" s="49">
        <v>0</v>
      </c>
      <c r="L2268" s="49">
        <v>1</v>
      </c>
    </row>
    <row r="2269" spans="1:12" x14ac:dyDescent="0.25">
      <c r="A2269" s="45">
        <f>C2269&amp;"."&amp;IFERROR(MID(E2269,FIND("(",E2269)+1,FIND(")",E2269)-FIND("(",E2269)-1),"")</f>
      </c>
      <c r="B2269" s="46" t="s">
        <v>1178</v>
      </c>
      <c r="C2269" s="46">
        <v>78055</v>
      </c>
      <c r="D2269" s="46" t="s">
        <v>4139</v>
      </c>
      <c r="E2269" s="46" t="s">
        <v>4140</v>
      </c>
      <c r="F2269" s="46" t="s">
        <v>24</v>
      </c>
      <c r="G2269" s="47">
        <v>1.39</v>
      </c>
      <c r="H2269" s="48">
        <v>3.342</v>
      </c>
      <c r="I2269" s="48">
        <v>53.472</v>
      </c>
      <c r="J2269" s="49">
        <v>16</v>
      </c>
      <c r="K2269" s="49">
        <v>4</v>
      </c>
      <c r="L2269" s="49">
        <v>12</v>
      </c>
    </row>
    <row r="2270" spans="1:12" x14ac:dyDescent="0.25">
      <c r="A2270" s="45">
        <f>C2270&amp;"."&amp;IFERROR(MID(E2270,FIND("(",E2270)+1,FIND(")",E2270)-FIND("(",E2270)-1),"")</f>
      </c>
      <c r="B2270" s="46" t="s">
        <v>1178</v>
      </c>
      <c r="C2270" s="46">
        <v>78055</v>
      </c>
      <c r="D2270" s="46" t="s">
        <v>4139</v>
      </c>
      <c r="E2270" s="46" t="s">
        <v>4141</v>
      </c>
      <c r="F2270" s="46" t="s">
        <v>24</v>
      </c>
      <c r="G2270" s="47">
        <v>1.39</v>
      </c>
      <c r="H2270" s="48">
        <v>4.219</v>
      </c>
      <c r="I2270" s="48">
        <v>37.969</v>
      </c>
      <c r="J2270" s="49">
        <v>9</v>
      </c>
      <c r="K2270" s="49">
        <v>0</v>
      </c>
      <c r="L2270" s="49">
        <v>9</v>
      </c>
    </row>
    <row r="2271" spans="1:12" x14ac:dyDescent="0.25">
      <c r="A2271" s="45">
        <f>C2271&amp;"."&amp;IFERROR(MID(E2271,FIND("(",E2271)+1,FIND(")",E2271)-FIND("(",E2271)-1),"")</f>
      </c>
      <c r="B2271" s="46" t="s">
        <v>1178</v>
      </c>
      <c r="C2271" s="46">
        <v>78055</v>
      </c>
      <c r="D2271" s="46" t="s">
        <v>4139</v>
      </c>
      <c r="E2271" s="46" t="s">
        <v>4142</v>
      </c>
      <c r="F2271" s="46" t="s">
        <v>24</v>
      </c>
      <c r="G2271" s="47">
        <v>1.39</v>
      </c>
      <c r="H2271" s="48">
        <v>4.6</v>
      </c>
      <c r="I2271" s="48">
        <v>73.598</v>
      </c>
      <c r="J2271" s="49">
        <v>16</v>
      </c>
      <c r="K2271" s="49">
        <v>1</v>
      </c>
      <c r="L2271" s="49">
        <v>15</v>
      </c>
    </row>
    <row r="2272" spans="1:12" x14ac:dyDescent="0.25">
      <c r="A2272" s="45">
        <f>C2272&amp;"."&amp;IFERROR(MID(E2272,FIND("(",E2272)+1,FIND(")",E2272)-FIND("(",E2272)-1),"")</f>
      </c>
      <c r="B2272" s="46" t="s">
        <v>1178</v>
      </c>
      <c r="C2272" s="46">
        <v>78057</v>
      </c>
      <c r="D2272" s="46" t="s">
        <v>4143</v>
      </c>
      <c r="E2272" s="46" t="s">
        <v>4144</v>
      </c>
      <c r="F2272" s="46" t="s">
        <v>24</v>
      </c>
      <c r="G2272" s="47">
        <v>1.71</v>
      </c>
      <c r="H2272" s="48">
        <v>4.91</v>
      </c>
      <c r="I2272" s="48">
        <v>9.82</v>
      </c>
      <c r="J2272" s="49">
        <v>2</v>
      </c>
      <c r="K2272" s="49">
        <v>0</v>
      </c>
      <c r="L2272" s="49">
        <v>2</v>
      </c>
    </row>
    <row r="2273" spans="1:12" x14ac:dyDescent="0.25">
      <c r="A2273" s="45">
        <f>C2273&amp;"."&amp;IFERROR(MID(E2273,FIND("(",E2273)+1,FIND(")",E2273)-FIND("(",E2273)-1),"")</f>
      </c>
      <c r="B2273" s="46" t="s">
        <v>1178</v>
      </c>
      <c r="C2273" s="46">
        <v>78057</v>
      </c>
      <c r="D2273" s="46" t="s">
        <v>4143</v>
      </c>
      <c r="E2273" s="46" t="s">
        <v>4145</v>
      </c>
      <c r="F2273" s="46" t="s">
        <v>24</v>
      </c>
      <c r="G2273" s="47">
        <v>1.71</v>
      </c>
      <c r="H2273" s="48">
        <v>5.955</v>
      </c>
      <c r="I2273" s="48">
        <v>23.819</v>
      </c>
      <c r="J2273" s="49">
        <v>4</v>
      </c>
      <c r="K2273" s="49">
        <v>0</v>
      </c>
      <c r="L2273" s="49">
        <v>4</v>
      </c>
    </row>
    <row r="2274" spans="1:12" x14ac:dyDescent="0.25">
      <c r="A2274" s="45">
        <f>C2274&amp;"."&amp;IFERROR(MID(E2274,FIND("(",E2274)+1,FIND(")",E2274)-FIND("(",E2274)-1),"")</f>
      </c>
      <c r="B2274" s="46" t="s">
        <v>1178</v>
      </c>
      <c r="C2274" s="46">
        <v>78057</v>
      </c>
      <c r="D2274" s="46" t="s">
        <v>4143</v>
      </c>
      <c r="E2274" s="46" t="s">
        <v>4146</v>
      </c>
      <c r="F2274" s="46" t="s">
        <v>24</v>
      </c>
      <c r="G2274" s="47">
        <v>1.71</v>
      </c>
      <c r="H2274" s="48">
        <v>4.652</v>
      </c>
      <c r="I2274" s="48">
        <v>37.213</v>
      </c>
      <c r="J2274" s="49">
        <v>8</v>
      </c>
      <c r="K2274" s="49">
        <v>0</v>
      </c>
      <c r="L2274" s="49">
        <v>8</v>
      </c>
    </row>
    <row r="2275" spans="1:12" x14ac:dyDescent="0.25">
      <c r="A2275" s="45">
        <f>C2275&amp;"."&amp;IFERROR(MID(E2275,FIND("(",E2275)+1,FIND(")",E2275)-FIND("(",E2275)-1),"")</f>
      </c>
      <c r="B2275" s="46" t="s">
        <v>1178</v>
      </c>
      <c r="C2275" s="46">
        <v>78058</v>
      </c>
      <c r="D2275" s="46" t="s">
        <v>4147</v>
      </c>
      <c r="E2275" s="46" t="s">
        <v>4148</v>
      </c>
      <c r="F2275" s="46" t="s">
        <v>26</v>
      </c>
      <c r="G2275" s="47">
        <v>0.95</v>
      </c>
      <c r="H2275" s="48">
        <v>2.735</v>
      </c>
      <c r="I2275" s="48">
        <v>2.735</v>
      </c>
      <c r="J2275" s="49">
        <v>1</v>
      </c>
      <c r="K2275" s="49">
        <v>0</v>
      </c>
      <c r="L2275" s="49">
        <v>1</v>
      </c>
    </row>
    <row r="2276" spans="1:12" x14ac:dyDescent="0.25">
      <c r="A2276" s="45">
        <f>C2276&amp;"."&amp;IFERROR(MID(E2276,FIND("(",E2276)+1,FIND(")",E2276)-FIND("(",E2276)-1),"")</f>
      </c>
      <c r="B2276" s="46" t="s">
        <v>1178</v>
      </c>
      <c r="C2276" s="46">
        <v>78058</v>
      </c>
      <c r="D2276" s="46" t="s">
        <v>4147</v>
      </c>
      <c r="E2276" s="46" t="s">
        <v>4149</v>
      </c>
      <c r="F2276" s="46" t="s">
        <v>26</v>
      </c>
      <c r="G2276" s="47">
        <v>0.95</v>
      </c>
      <c r="H2276" s="48">
        <v>2.783</v>
      </c>
      <c r="I2276" s="48">
        <v>8.35</v>
      </c>
      <c r="J2276" s="49">
        <v>3</v>
      </c>
      <c r="K2276" s="49">
        <v>0</v>
      </c>
      <c r="L2276" s="49">
        <v>3</v>
      </c>
    </row>
    <row r="2277" spans="1:12" x14ac:dyDescent="0.25">
      <c r="A2277" s="45">
        <f>C2277&amp;"."&amp;IFERROR(MID(E2277,FIND("(",E2277)+1,FIND(")",E2277)-FIND("(",E2277)-1),"")</f>
      </c>
      <c r="B2277" s="46" t="s">
        <v>1178</v>
      </c>
      <c r="C2277" s="46">
        <v>78059</v>
      </c>
      <c r="D2277" s="46" t="s">
        <v>4150</v>
      </c>
      <c r="E2277" s="46" t="s">
        <v>4151</v>
      </c>
      <c r="F2277" s="46" t="s">
        <v>24</v>
      </c>
      <c r="G2277" s="47">
        <v>0.61</v>
      </c>
      <c r="H2277" s="48">
        <v>5.389</v>
      </c>
      <c r="I2277" s="48">
        <v>21.554</v>
      </c>
      <c r="J2277" s="49">
        <v>4</v>
      </c>
      <c r="K2277" s="49">
        <v>0</v>
      </c>
      <c r="L2277" s="49">
        <v>4</v>
      </c>
    </row>
    <row r="2278" spans="1:12" x14ac:dyDescent="0.25">
      <c r="A2278" s="45">
        <f>C2278&amp;"."&amp;IFERROR(MID(E2278,FIND("(",E2278)+1,FIND(")",E2278)-FIND("(",E2278)-1),"")</f>
      </c>
      <c r="B2278" s="46" t="s">
        <v>1178</v>
      </c>
      <c r="C2278" s="46">
        <v>78059</v>
      </c>
      <c r="D2278" s="46" t="s">
        <v>4150</v>
      </c>
      <c r="E2278" s="46" t="s">
        <v>4152</v>
      </c>
      <c r="F2278" s="46" t="s">
        <v>24</v>
      </c>
      <c r="G2278" s="47">
        <v>0.61</v>
      </c>
      <c r="H2278" s="48">
        <v>6.003</v>
      </c>
      <c r="I2278" s="48">
        <v>60.034</v>
      </c>
      <c r="J2278" s="49">
        <v>10</v>
      </c>
      <c r="K2278" s="49">
        <v>0</v>
      </c>
      <c r="L2278" s="49">
        <v>10</v>
      </c>
    </row>
    <row r="2279" spans="1:12" x14ac:dyDescent="0.25">
      <c r="A2279" s="45">
        <f>C2279&amp;"."&amp;IFERROR(MID(E2279,FIND("(",E2279)+1,FIND(")",E2279)-FIND("(",E2279)-1),"")</f>
      </c>
      <c r="B2279" s="46" t="s">
        <v>1178</v>
      </c>
      <c r="C2279" s="46">
        <v>78059</v>
      </c>
      <c r="D2279" s="46" t="s">
        <v>4150</v>
      </c>
      <c r="E2279" s="46" t="s">
        <v>4153</v>
      </c>
      <c r="F2279" s="46" t="s">
        <v>24</v>
      </c>
      <c r="G2279" s="47">
        <v>0.61</v>
      </c>
      <c r="H2279" s="48">
        <v>4.451</v>
      </c>
      <c r="I2279" s="48">
        <v>57.861</v>
      </c>
      <c r="J2279" s="49">
        <v>13</v>
      </c>
      <c r="K2279" s="49">
        <v>0</v>
      </c>
      <c r="L2279" s="49">
        <v>13</v>
      </c>
    </row>
    <row r="2280" spans="1:12" x14ac:dyDescent="0.25">
      <c r="A2280" s="45">
        <f>C2280&amp;"."&amp;IFERROR(MID(E2280,FIND("(",E2280)+1,FIND(")",E2280)-FIND("(",E2280)-1),"")</f>
      </c>
      <c r="B2280" s="46" t="s">
        <v>1178</v>
      </c>
      <c r="C2280" s="46">
        <v>78063</v>
      </c>
      <c r="D2280" s="46" t="s">
        <v>4154</v>
      </c>
      <c r="E2280" s="46" t="s">
        <v>4155</v>
      </c>
      <c r="F2280" s="46" t="s">
        <v>24</v>
      </c>
      <c r="G2280" s="47">
        <v>1.17</v>
      </c>
      <c r="H2280" s="48">
        <v>3.76</v>
      </c>
      <c r="I2280" s="48">
        <v>18.8</v>
      </c>
      <c r="J2280" s="49">
        <v>5</v>
      </c>
      <c r="K2280" s="49">
        <v>0</v>
      </c>
      <c r="L2280" s="49">
        <v>5</v>
      </c>
    </row>
    <row r="2281" spans="1:12" x14ac:dyDescent="0.25">
      <c r="A2281" s="45">
        <f>C2281&amp;"."&amp;IFERROR(MID(E2281,FIND("(",E2281)+1,FIND(")",E2281)-FIND("(",E2281)-1),"")</f>
      </c>
      <c r="B2281" s="46" t="s">
        <v>1178</v>
      </c>
      <c r="C2281" s="46">
        <v>78063</v>
      </c>
      <c r="D2281" s="46" t="s">
        <v>4154</v>
      </c>
      <c r="E2281" s="46" t="s">
        <v>4156</v>
      </c>
      <c r="F2281" s="46" t="s">
        <v>24</v>
      </c>
      <c r="G2281" s="47">
        <v>1.17</v>
      </c>
      <c r="H2281" s="48">
        <v>4.102</v>
      </c>
      <c r="I2281" s="48">
        <v>57.43</v>
      </c>
      <c r="J2281" s="49">
        <v>14</v>
      </c>
      <c r="K2281" s="49">
        <v>1</v>
      </c>
      <c r="L2281" s="49">
        <v>13</v>
      </c>
    </row>
    <row r="2282" spans="1:12" x14ac:dyDescent="0.25">
      <c r="A2282" s="45">
        <f>C2282&amp;"."&amp;IFERROR(MID(E2282,FIND("(",E2282)+1,FIND(")",E2282)-FIND("(",E2282)-1),"")</f>
      </c>
      <c r="B2282" s="46" t="s">
        <v>1178</v>
      </c>
      <c r="C2282" s="46">
        <v>78064</v>
      </c>
      <c r="D2282" s="46" t="s">
        <v>4157</v>
      </c>
      <c r="E2282" s="46" t="s">
        <v>4158</v>
      </c>
      <c r="F2282" s="46" t="s">
        <v>24</v>
      </c>
      <c r="G2282" s="47">
        <v>1.17</v>
      </c>
      <c r="H2282" s="48">
        <v>3.76</v>
      </c>
      <c r="I2282" s="48">
        <v>18.8</v>
      </c>
      <c r="J2282" s="49">
        <v>5</v>
      </c>
      <c r="K2282" s="49">
        <v>0</v>
      </c>
      <c r="L2282" s="49">
        <v>5</v>
      </c>
    </row>
    <row r="2283" spans="1:12" x14ac:dyDescent="0.25">
      <c r="A2283" s="45">
        <f>C2283&amp;"."&amp;IFERROR(MID(E2283,FIND("(",E2283)+1,FIND(")",E2283)-FIND("(",E2283)-1),"")</f>
      </c>
      <c r="B2283" s="46" t="s">
        <v>1178</v>
      </c>
      <c r="C2283" s="46">
        <v>78064</v>
      </c>
      <c r="D2283" s="46" t="s">
        <v>4157</v>
      </c>
      <c r="E2283" s="46" t="s">
        <v>4159</v>
      </c>
      <c r="F2283" s="46" t="s">
        <v>24</v>
      </c>
      <c r="G2283" s="47">
        <v>1.17</v>
      </c>
      <c r="H2283" s="48">
        <v>3.637</v>
      </c>
      <c r="I2283" s="48">
        <v>54.559</v>
      </c>
      <c r="J2283" s="49">
        <v>15</v>
      </c>
      <c r="K2283" s="49">
        <v>1</v>
      </c>
      <c r="L2283" s="49">
        <v>14</v>
      </c>
    </row>
    <row r="2284" spans="1:12" x14ac:dyDescent="0.25">
      <c r="A2284" s="45">
        <f>C2284&amp;"."&amp;IFERROR(MID(E2284,FIND("(",E2284)+1,FIND(")",E2284)-FIND("(",E2284)-1),"")</f>
      </c>
      <c r="B2284" s="46" t="s">
        <v>1178</v>
      </c>
      <c r="C2284" s="46">
        <v>78065</v>
      </c>
      <c r="D2284" s="46" t="s">
        <v>4160</v>
      </c>
      <c r="E2284" s="46" t="s">
        <v>4161</v>
      </c>
      <c r="F2284" s="46" t="s">
        <v>1926</v>
      </c>
      <c r="G2284" s="47">
        <v>0</v>
      </c>
      <c r="H2284" s="48">
        <v>22.03</v>
      </c>
      <c r="I2284" s="48">
        <v>22.03</v>
      </c>
      <c r="J2284" s="49">
        <v>1</v>
      </c>
      <c r="K2284" s="49">
        <v>0</v>
      </c>
      <c r="L2284" s="49">
        <v>1</v>
      </c>
    </row>
    <row r="2285" spans="1:12" x14ac:dyDescent="0.25">
      <c r="A2285" s="45">
        <f>C2285&amp;"."&amp;IFERROR(MID(E2285,FIND("(",E2285)+1,FIND(")",E2285)-FIND("(",E2285)-1),"")</f>
      </c>
      <c r="B2285" s="46" t="s">
        <v>1178</v>
      </c>
      <c r="C2285" s="46">
        <v>78067</v>
      </c>
      <c r="D2285" s="46" t="s">
        <v>4162</v>
      </c>
      <c r="E2285" s="46" t="s">
        <v>4163</v>
      </c>
      <c r="F2285" s="46" t="s">
        <v>24</v>
      </c>
      <c r="G2285" s="47">
        <v>0.81</v>
      </c>
      <c r="H2285" s="48">
        <v>3.312</v>
      </c>
      <c r="I2285" s="48">
        <v>6.624</v>
      </c>
      <c r="J2285" s="49">
        <v>2</v>
      </c>
      <c r="K2285" s="49">
        <v>2</v>
      </c>
      <c r="L2285" s="49">
        <v>0</v>
      </c>
    </row>
    <row r="2286" spans="1:12" x14ac:dyDescent="0.25">
      <c r="A2286" s="45">
        <f>C2286&amp;"."&amp;IFERROR(MID(E2286,FIND("(",E2286)+1,FIND(")",E2286)-FIND("(",E2286)-1),"")</f>
      </c>
      <c r="B2286" s="46" t="s">
        <v>1178</v>
      </c>
      <c r="C2286" s="46">
        <v>78067</v>
      </c>
      <c r="D2286" s="46" t="s">
        <v>4162</v>
      </c>
      <c r="E2286" s="46" t="s">
        <v>4164</v>
      </c>
      <c r="F2286" s="46" t="s">
        <v>24</v>
      </c>
      <c r="G2286" s="47">
        <v>0.81</v>
      </c>
      <c r="H2286" s="48">
        <v>3.578</v>
      </c>
      <c r="I2286" s="48">
        <v>14.311</v>
      </c>
      <c r="J2286" s="49">
        <v>4</v>
      </c>
      <c r="K2286" s="49">
        <v>0</v>
      </c>
      <c r="L2286" s="49">
        <v>4</v>
      </c>
    </row>
    <row r="2287" spans="1:12" x14ac:dyDescent="0.25">
      <c r="A2287" s="45">
        <f>C2287&amp;"."&amp;IFERROR(MID(E2287,FIND("(",E2287)+1,FIND(")",E2287)-FIND("(",E2287)-1),"")</f>
      </c>
      <c r="B2287" s="46" t="s">
        <v>1178</v>
      </c>
      <c r="C2287" s="46">
        <v>78067</v>
      </c>
      <c r="D2287" s="46" t="s">
        <v>4162</v>
      </c>
      <c r="E2287" s="46" t="s">
        <v>4165</v>
      </c>
      <c r="F2287" s="46" t="s">
        <v>24</v>
      </c>
      <c r="G2287" s="47">
        <v>0.81</v>
      </c>
      <c r="H2287" s="48">
        <v>3.457</v>
      </c>
      <c r="I2287" s="48">
        <v>41.483</v>
      </c>
      <c r="J2287" s="49">
        <v>12</v>
      </c>
      <c r="K2287" s="49">
        <v>1</v>
      </c>
      <c r="L2287" s="49">
        <v>11</v>
      </c>
    </row>
    <row r="2288" spans="1:12" x14ac:dyDescent="0.25">
      <c r="A2288" s="45">
        <f>C2288&amp;"."&amp;IFERROR(MID(E2288,FIND("(",E2288)+1,FIND(")",E2288)-FIND("(",E2288)-1),"")</f>
      </c>
      <c r="B2288" s="46" t="s">
        <v>1178</v>
      </c>
      <c r="C2288" s="46">
        <v>78068</v>
      </c>
      <c r="D2288" s="46" t="s">
        <v>4166</v>
      </c>
      <c r="E2288" s="46" t="s">
        <v>4167</v>
      </c>
      <c r="F2288" s="46" t="s">
        <v>24</v>
      </c>
      <c r="G2288" s="47">
        <v>0.53</v>
      </c>
      <c r="H2288" s="48">
        <v>3.092</v>
      </c>
      <c r="I2288" s="48">
        <v>6.183</v>
      </c>
      <c r="J2288" s="49">
        <v>2</v>
      </c>
      <c r="K2288" s="49">
        <v>0</v>
      </c>
      <c r="L2288" s="49">
        <v>2</v>
      </c>
    </row>
    <row r="2289" spans="1:12" x14ac:dyDescent="0.25">
      <c r="A2289" s="45">
        <f>C2289&amp;"."&amp;IFERROR(MID(E2289,FIND("(",E2289)+1,FIND(")",E2289)-FIND("(",E2289)-1),"")</f>
      </c>
      <c r="B2289" s="46" t="s">
        <v>1178</v>
      </c>
      <c r="C2289" s="46">
        <v>78068</v>
      </c>
      <c r="D2289" s="46" t="s">
        <v>4166</v>
      </c>
      <c r="E2289" s="46" t="s">
        <v>4168</v>
      </c>
      <c r="F2289" s="46" t="s">
        <v>24</v>
      </c>
      <c r="G2289" s="47">
        <v>0.53</v>
      </c>
      <c r="H2289" s="48">
        <v>1.857</v>
      </c>
      <c r="I2289" s="48">
        <v>35.289</v>
      </c>
      <c r="J2289" s="49">
        <v>19</v>
      </c>
      <c r="K2289" s="49">
        <v>0</v>
      </c>
      <c r="L2289" s="49">
        <v>19</v>
      </c>
    </row>
    <row r="2290" spans="1:12" x14ac:dyDescent="0.25">
      <c r="A2290" s="45">
        <f>C2290&amp;"."&amp;IFERROR(MID(E2290,FIND("(",E2290)+1,FIND(")",E2290)-FIND("(",E2290)-1),"")</f>
      </c>
      <c r="B2290" s="46" t="s">
        <v>1178</v>
      </c>
      <c r="C2290" s="46">
        <v>78068</v>
      </c>
      <c r="D2290" s="46" t="s">
        <v>4166</v>
      </c>
      <c r="E2290" s="46" t="s">
        <v>4169</v>
      </c>
      <c r="F2290" s="46" t="s">
        <v>24</v>
      </c>
      <c r="G2290" s="47">
        <v>0.53</v>
      </c>
      <c r="H2290" s="48">
        <v>2.255</v>
      </c>
      <c r="I2290" s="48">
        <v>65.393</v>
      </c>
      <c r="J2290" s="49">
        <v>29</v>
      </c>
      <c r="K2290" s="49">
        <v>3</v>
      </c>
      <c r="L2290" s="49">
        <v>26</v>
      </c>
    </row>
    <row r="2291" spans="1:12" x14ac:dyDescent="0.25">
      <c r="A2291" s="45">
        <f>C2291&amp;"."&amp;IFERROR(MID(E2291,FIND("(",E2291)+1,FIND(")",E2291)-FIND("(",E2291)-1),"")</f>
      </c>
      <c r="B2291" s="46" t="s">
        <v>1178</v>
      </c>
      <c r="C2291" s="46">
        <v>78073</v>
      </c>
      <c r="D2291" s="46" t="s">
        <v>4170</v>
      </c>
      <c r="E2291" s="46" t="s">
        <v>4171</v>
      </c>
      <c r="F2291" s="46" t="s">
        <v>24</v>
      </c>
      <c r="G2291" s="47">
        <v>0.29</v>
      </c>
      <c r="H2291" s="48">
        <v>0.85</v>
      </c>
      <c r="I2291" s="48">
        <v>2.55</v>
      </c>
      <c r="J2291" s="49">
        <v>3</v>
      </c>
      <c r="K2291" s="49">
        <v>0</v>
      </c>
      <c r="L2291" s="49">
        <v>3</v>
      </c>
    </row>
    <row r="2292" spans="1:12" x14ac:dyDescent="0.25">
      <c r="A2292" s="45">
        <f>C2292&amp;"."&amp;IFERROR(MID(E2292,FIND("(",E2292)+1,FIND(")",E2292)-FIND("(",E2292)-1),"")</f>
      </c>
      <c r="B2292" s="46" t="s">
        <v>1178</v>
      </c>
      <c r="C2292" s="46">
        <v>78073</v>
      </c>
      <c r="D2292" s="46" t="s">
        <v>4170</v>
      </c>
      <c r="E2292" s="46" t="s">
        <v>4172</v>
      </c>
      <c r="F2292" s="46" t="s">
        <v>24</v>
      </c>
      <c r="G2292" s="47">
        <v>0.29</v>
      </c>
      <c r="H2292" s="48">
        <v>0.85</v>
      </c>
      <c r="I2292" s="48">
        <v>2.55</v>
      </c>
      <c r="J2292" s="49">
        <v>3</v>
      </c>
      <c r="K2292" s="49">
        <v>0</v>
      </c>
      <c r="L2292" s="49">
        <v>3</v>
      </c>
    </row>
    <row r="2293" spans="1:12" x14ac:dyDescent="0.25">
      <c r="A2293" s="45">
        <f>C2293&amp;"."&amp;IFERROR(MID(E2293,FIND("(",E2293)+1,FIND(")",E2293)-FIND("(",E2293)-1),"")</f>
      </c>
      <c r="B2293" s="46" t="s">
        <v>1178</v>
      </c>
      <c r="C2293" s="46">
        <v>78076</v>
      </c>
      <c r="D2293" s="46" t="s">
        <v>4173</v>
      </c>
      <c r="E2293" s="46" t="s">
        <v>4174</v>
      </c>
      <c r="F2293" s="46" t="s">
        <v>24</v>
      </c>
      <c r="G2293" s="47">
        <v>0.29</v>
      </c>
      <c r="H2293" s="48">
        <v>0.515</v>
      </c>
      <c r="I2293" s="48">
        <v>4.119</v>
      </c>
      <c r="J2293" s="49">
        <v>8</v>
      </c>
      <c r="K2293" s="49">
        <v>1</v>
      </c>
      <c r="L2293" s="49">
        <v>7</v>
      </c>
    </row>
    <row r="2294" spans="1:12" x14ac:dyDescent="0.25">
      <c r="A2294" s="45">
        <f>C2294&amp;"."&amp;IFERROR(MID(E2294,FIND("(",E2294)+1,FIND(")",E2294)-FIND("(",E2294)-1),"")</f>
      </c>
      <c r="B2294" s="46" t="s">
        <v>1178</v>
      </c>
      <c r="C2294" s="46">
        <v>78076</v>
      </c>
      <c r="D2294" s="46" t="s">
        <v>4173</v>
      </c>
      <c r="E2294" s="46" t="s">
        <v>4175</v>
      </c>
      <c r="F2294" s="46" t="s">
        <v>24</v>
      </c>
      <c r="G2294" s="47">
        <v>0.29</v>
      </c>
      <c r="H2294" s="48">
        <v>1.21</v>
      </c>
      <c r="I2294" s="48">
        <v>1.21</v>
      </c>
      <c r="J2294" s="49">
        <v>1</v>
      </c>
      <c r="K2294" s="49">
        <v>0</v>
      </c>
      <c r="L2294" s="49">
        <v>1</v>
      </c>
    </row>
    <row r="2295" spans="1:12" x14ac:dyDescent="0.25">
      <c r="A2295" s="45">
        <f>C2295&amp;"."&amp;IFERROR(MID(E2295,FIND("(",E2295)+1,FIND(")",E2295)-FIND("(",E2295)-1),"")</f>
      </c>
      <c r="B2295" s="46" t="s">
        <v>1178</v>
      </c>
      <c r="C2295" s="46">
        <v>78076</v>
      </c>
      <c r="D2295" s="46" t="s">
        <v>4173</v>
      </c>
      <c r="E2295" s="46" t="s">
        <v>4176</v>
      </c>
      <c r="F2295" s="46" t="s">
        <v>24</v>
      </c>
      <c r="G2295" s="47">
        <v>0.29</v>
      </c>
      <c r="H2295" s="48">
        <v>1.22</v>
      </c>
      <c r="I2295" s="48">
        <v>10.98</v>
      </c>
      <c r="J2295" s="49">
        <v>9</v>
      </c>
      <c r="K2295" s="49">
        <v>0</v>
      </c>
      <c r="L2295" s="49">
        <v>9</v>
      </c>
    </row>
    <row r="2296" spans="1:12" x14ac:dyDescent="0.25">
      <c r="A2296" s="45">
        <f>C2296&amp;"."&amp;IFERROR(MID(E2296,FIND("(",E2296)+1,FIND(")",E2296)-FIND("(",E2296)-1),"")</f>
      </c>
      <c r="B2296" s="46" t="s">
        <v>1178</v>
      </c>
      <c r="C2296" s="46">
        <v>78093</v>
      </c>
      <c r="D2296" s="46" t="s">
        <v>4177</v>
      </c>
      <c r="E2296" s="46" t="s">
        <v>4178</v>
      </c>
      <c r="F2296" s="46" t="s">
        <v>26</v>
      </c>
      <c r="G2296" s="47">
        <v>2.77</v>
      </c>
      <c r="H2296" s="48">
        <v>7.72</v>
      </c>
      <c r="I2296" s="48">
        <v>7.72</v>
      </c>
      <c r="J2296" s="49">
        <v>1</v>
      </c>
      <c r="K2296" s="49">
        <v>0</v>
      </c>
      <c r="L2296" s="49">
        <v>1</v>
      </c>
    </row>
    <row r="2297" spans="1:12" x14ac:dyDescent="0.25">
      <c r="A2297" s="45">
        <f>C2297&amp;"."&amp;IFERROR(MID(E2297,FIND("(",E2297)+1,FIND(")",E2297)-FIND("(",E2297)-1),"")</f>
      </c>
      <c r="B2297" s="46" t="s">
        <v>1178</v>
      </c>
      <c r="C2297" s="46">
        <v>78099</v>
      </c>
      <c r="D2297" s="46" t="s">
        <v>4179</v>
      </c>
      <c r="E2297" s="46" t="s">
        <v>4180</v>
      </c>
      <c r="F2297" s="46" t="s">
        <v>26</v>
      </c>
      <c r="G2297" s="47">
        <v>2.74</v>
      </c>
      <c r="H2297" s="48">
        <v>7.115</v>
      </c>
      <c r="I2297" s="48">
        <v>7.115</v>
      </c>
      <c r="J2297" s="49">
        <v>1</v>
      </c>
      <c r="K2297" s="49">
        <v>0</v>
      </c>
      <c r="L2297" s="49">
        <v>1</v>
      </c>
    </row>
    <row r="2298" spans="1:12" x14ac:dyDescent="0.25">
      <c r="A2298" s="45">
        <f>C2298&amp;"."&amp;IFERROR(MID(E2298,FIND("(",E2298)+1,FIND(")",E2298)-FIND("(",E2298)-1),"")</f>
      </c>
      <c r="B2298" s="46" t="s">
        <v>1178</v>
      </c>
      <c r="C2298" s="46">
        <v>78100</v>
      </c>
      <c r="D2298" s="46" t="s">
        <v>4181</v>
      </c>
      <c r="E2298" s="46" t="s">
        <v>1248</v>
      </c>
      <c r="F2298" s="46" t="s">
        <v>26</v>
      </c>
      <c r="G2298" s="47">
        <v>2.74</v>
      </c>
      <c r="H2298" s="48">
        <v>6.498</v>
      </c>
      <c r="I2298" s="48">
        <v>25.993</v>
      </c>
      <c r="J2298" s="49">
        <v>4</v>
      </c>
      <c r="K2298" s="49">
        <v>0</v>
      </c>
      <c r="L2298" s="49">
        <v>4</v>
      </c>
    </row>
    <row r="2299" spans="1:12" x14ac:dyDescent="0.25">
      <c r="A2299" s="45">
        <f>C2299&amp;"."&amp;IFERROR(MID(E2299,FIND("(",E2299)+1,FIND(")",E2299)-FIND("(",E2299)-1),"")</f>
      </c>
      <c r="B2299" s="46" t="s">
        <v>1178</v>
      </c>
      <c r="C2299" s="46">
        <v>78101</v>
      </c>
      <c r="D2299" s="46" t="s">
        <v>4182</v>
      </c>
      <c r="E2299" s="46" t="s">
        <v>1248</v>
      </c>
      <c r="F2299" s="46" t="s">
        <v>1495</v>
      </c>
      <c r="G2299" s="47">
        <v>0</v>
      </c>
      <c r="H2299" s="48">
        <v>11.01</v>
      </c>
      <c r="I2299" s="48">
        <v>0.551</v>
      </c>
      <c r="J2299" s="49">
        <v>0.05</v>
      </c>
      <c r="K2299" s="49">
        <v>0</v>
      </c>
      <c r="L2299" s="49">
        <v>0.05</v>
      </c>
    </row>
    <row r="2300" spans="1:12" x14ac:dyDescent="0.25">
      <c r="A2300" s="45">
        <f>C2300&amp;"."&amp;IFERROR(MID(E2300,FIND("(",E2300)+1,FIND(")",E2300)-FIND("(",E2300)-1),"")</f>
      </c>
      <c r="B2300" s="46" t="s">
        <v>1178</v>
      </c>
      <c r="C2300" s="46">
        <v>78103</v>
      </c>
      <c r="D2300" s="46" t="s">
        <v>4183</v>
      </c>
      <c r="E2300" s="46" t="s">
        <v>4184</v>
      </c>
      <c r="F2300" s="46" t="s">
        <v>26</v>
      </c>
      <c r="G2300" s="47">
        <v>12.94</v>
      </c>
      <c r="H2300" s="48">
        <v>32.406</v>
      </c>
      <c r="I2300" s="48">
        <v>64.813</v>
      </c>
      <c r="J2300" s="49">
        <v>2</v>
      </c>
      <c r="K2300" s="49">
        <v>0</v>
      </c>
      <c r="L2300" s="49">
        <v>2</v>
      </c>
    </row>
    <row r="2301" spans="1:12" x14ac:dyDescent="0.25">
      <c r="A2301" s="45">
        <f>C2301&amp;"."&amp;IFERROR(MID(E2301,FIND("(",E2301)+1,FIND(")",E2301)-FIND("(",E2301)-1),"")</f>
      </c>
      <c r="B2301" s="46" t="s">
        <v>1178</v>
      </c>
      <c r="C2301" s="46">
        <v>78104</v>
      </c>
      <c r="D2301" s="46" t="s">
        <v>4185</v>
      </c>
      <c r="E2301" s="46" t="s">
        <v>1248</v>
      </c>
      <c r="F2301" s="46" t="s">
        <v>1495</v>
      </c>
      <c r="G2301" s="47">
        <v>0</v>
      </c>
      <c r="H2301" s="48">
        <v>0.011</v>
      </c>
      <c r="I2301" s="48">
        <v>2.824</v>
      </c>
      <c r="J2301" s="49">
        <v>268</v>
      </c>
      <c r="K2301" s="49">
        <v>0</v>
      </c>
      <c r="L2301" s="49">
        <v>268</v>
      </c>
    </row>
    <row r="2302" spans="1:12" x14ac:dyDescent="0.25">
      <c r="A2302" s="45">
        <f>C2302&amp;"."&amp;IFERROR(MID(E2302,FIND("(",E2302)+1,FIND(")",E2302)-FIND("(",E2302)-1),"")</f>
      </c>
      <c r="B2302" s="46" t="s">
        <v>1178</v>
      </c>
      <c r="C2302" s="46">
        <v>78106</v>
      </c>
      <c r="D2302" s="46" t="s">
        <v>4186</v>
      </c>
      <c r="E2302" s="46" t="s">
        <v>4187</v>
      </c>
      <c r="F2302" s="46" t="s">
        <v>26</v>
      </c>
      <c r="G2302" s="47">
        <v>12.94</v>
      </c>
      <c r="H2302" s="48">
        <v>36.72</v>
      </c>
      <c r="I2302" s="48">
        <v>36.72</v>
      </c>
      <c r="J2302" s="49">
        <v>1</v>
      </c>
      <c r="K2302" s="49">
        <v>0</v>
      </c>
      <c r="L2302" s="49">
        <v>1</v>
      </c>
    </row>
    <row r="2303" spans="1:12" x14ac:dyDescent="0.25">
      <c r="A2303" s="45">
        <f>C2303&amp;"."&amp;IFERROR(MID(E2303,FIND("(",E2303)+1,FIND(")",E2303)-FIND("(",E2303)-1),"")</f>
      </c>
      <c r="B2303" s="46" t="s">
        <v>1178</v>
      </c>
      <c r="C2303" s="46">
        <v>78107</v>
      </c>
      <c r="D2303" s="46" t="s">
        <v>4188</v>
      </c>
      <c r="E2303" s="46" t="s">
        <v>4189</v>
      </c>
      <c r="F2303" s="46" t="s">
        <v>26</v>
      </c>
      <c r="G2303" s="47">
        <v>0.13</v>
      </c>
      <c r="H2303" s="48">
        <v>1.162</v>
      </c>
      <c r="I2303" s="48">
        <v>2.323</v>
      </c>
      <c r="J2303" s="49">
        <v>2</v>
      </c>
      <c r="K2303" s="49">
        <v>0</v>
      </c>
      <c r="L2303" s="49">
        <v>2</v>
      </c>
    </row>
    <row r="2304" spans="1:12" x14ac:dyDescent="0.25">
      <c r="A2304" s="45">
        <f>C2304&amp;"."&amp;IFERROR(MID(E2304,FIND("(",E2304)+1,FIND(")",E2304)-FIND("(",E2304)-1),"")</f>
      </c>
      <c r="B2304" s="46" t="s">
        <v>1178</v>
      </c>
      <c r="C2304" s="46">
        <v>78109</v>
      </c>
      <c r="D2304" s="46" t="s">
        <v>4190</v>
      </c>
      <c r="E2304" s="46" t="s">
        <v>4191</v>
      </c>
      <c r="F2304" s="46" t="s">
        <v>26</v>
      </c>
      <c r="G2304" s="47">
        <v>0.11</v>
      </c>
      <c r="H2304" s="48">
        <v>0.92</v>
      </c>
      <c r="I2304" s="48">
        <v>3.679</v>
      </c>
      <c r="J2304" s="49">
        <v>4</v>
      </c>
      <c r="K2304" s="49">
        <v>0</v>
      </c>
      <c r="L2304" s="49">
        <v>4</v>
      </c>
    </row>
    <row r="2305" spans="1:12" x14ac:dyDescent="0.25">
      <c r="A2305" s="45">
        <f>C2305&amp;"."&amp;IFERROR(MID(E2305,FIND("(",E2305)+1,FIND(")",E2305)-FIND("(",E2305)-1),"")</f>
      </c>
      <c r="B2305" s="46" t="s">
        <v>1178</v>
      </c>
      <c r="C2305" s="46">
        <v>78111</v>
      </c>
      <c r="D2305" s="46" t="s">
        <v>4192</v>
      </c>
      <c r="E2305" s="46" t="s">
        <v>1248</v>
      </c>
      <c r="F2305" s="46" t="s">
        <v>1495</v>
      </c>
      <c r="G2305" s="47">
        <v>0</v>
      </c>
      <c r="H2305" s="48">
        <v>0.067</v>
      </c>
      <c r="I2305" s="48">
        <v>7.07</v>
      </c>
      <c r="J2305" s="49">
        <v>106</v>
      </c>
      <c r="K2305" s="49">
        <v>0</v>
      </c>
      <c r="L2305" s="49">
        <v>106</v>
      </c>
    </row>
    <row r="2306" spans="1:12" x14ac:dyDescent="0.25">
      <c r="A2306" s="45">
        <f>C2306&amp;"."&amp;IFERROR(MID(E2306,FIND("(",E2306)+1,FIND(")",E2306)-FIND("(",E2306)-1),"")</f>
      </c>
      <c r="B2306" s="46" t="s">
        <v>1178</v>
      </c>
      <c r="C2306" s="46">
        <v>78113</v>
      </c>
      <c r="D2306" s="46" t="s">
        <v>4193</v>
      </c>
      <c r="E2306" s="46" t="s">
        <v>4194</v>
      </c>
      <c r="F2306" s="46" t="s">
        <v>26</v>
      </c>
      <c r="G2306" s="47">
        <v>2.63</v>
      </c>
      <c r="H2306" s="48">
        <v>6.934</v>
      </c>
      <c r="I2306" s="48">
        <v>20.802</v>
      </c>
      <c r="J2306" s="49">
        <v>3</v>
      </c>
      <c r="K2306" s="49">
        <v>0</v>
      </c>
      <c r="L2306" s="49">
        <v>3</v>
      </c>
    </row>
    <row r="2307" spans="1:12" x14ac:dyDescent="0.25">
      <c r="A2307" s="45">
        <f>C2307&amp;"."&amp;IFERROR(MID(E2307,FIND("(",E2307)+1,FIND(")",E2307)-FIND("(",E2307)-1),"")</f>
      </c>
      <c r="B2307" s="46" t="s">
        <v>1178</v>
      </c>
      <c r="C2307" s="46">
        <v>78114</v>
      </c>
      <c r="D2307" s="46" t="s">
        <v>4195</v>
      </c>
      <c r="E2307" s="46" t="s">
        <v>1248</v>
      </c>
      <c r="F2307" s="46" t="s">
        <v>1495</v>
      </c>
      <c r="G2307" s="47">
        <v>0</v>
      </c>
      <c r="H2307" s="48">
        <v>0.062</v>
      </c>
      <c r="I2307" s="48">
        <v>62.275</v>
      </c>
      <c r="J2307" s="49">
        <v>998</v>
      </c>
      <c r="K2307" s="49">
        <v>1</v>
      </c>
      <c r="L2307" s="49">
        <v>997</v>
      </c>
    </row>
    <row r="2308" spans="1:12" x14ac:dyDescent="0.25">
      <c r="A2308" s="45">
        <f>C2308&amp;"."&amp;IFERROR(MID(E2308,FIND("(",E2308)+1,FIND(")",E2308)-FIND("(",E2308)-1),"")</f>
      </c>
      <c r="B2308" s="46" t="s">
        <v>1178</v>
      </c>
      <c r="C2308" s="46">
        <v>78115</v>
      </c>
      <c r="D2308" s="46" t="s">
        <v>4196</v>
      </c>
      <c r="E2308" s="46" t="s">
        <v>4197</v>
      </c>
      <c r="F2308" s="46" t="s">
        <v>26</v>
      </c>
      <c r="G2308" s="47">
        <v>0.74</v>
      </c>
      <c r="H2308" s="48">
        <v>2.009</v>
      </c>
      <c r="I2308" s="48">
        <v>4.018</v>
      </c>
      <c r="J2308" s="49">
        <v>2</v>
      </c>
      <c r="K2308" s="49">
        <v>0</v>
      </c>
      <c r="L2308" s="49">
        <v>2</v>
      </c>
    </row>
    <row r="2309" spans="1:12" x14ac:dyDescent="0.25">
      <c r="A2309" s="45">
        <f>C2309&amp;"."&amp;IFERROR(MID(E2309,FIND("(",E2309)+1,FIND(")",E2309)-FIND("(",E2309)-1),"")</f>
      </c>
      <c r="B2309" s="46" t="s">
        <v>1178</v>
      </c>
      <c r="C2309" s="46">
        <v>78117</v>
      </c>
      <c r="D2309" s="46" t="s">
        <v>4198</v>
      </c>
      <c r="E2309" s="46" t="s">
        <v>1248</v>
      </c>
      <c r="F2309" s="46" t="s">
        <v>1495</v>
      </c>
      <c r="G2309" s="47">
        <v>0</v>
      </c>
      <c r="H2309" s="48">
        <v>0.062</v>
      </c>
      <c r="I2309" s="48">
        <v>62.213</v>
      </c>
      <c r="J2309" s="49">
        <v>997</v>
      </c>
      <c r="K2309" s="49">
        <v>0</v>
      </c>
      <c r="L2309" s="49">
        <v>997</v>
      </c>
    </row>
    <row r="2310" spans="1:12" x14ac:dyDescent="0.25">
      <c r="A2310" s="45">
        <f>C2310&amp;"."&amp;IFERROR(MID(E2310,FIND("(",E2310)+1,FIND(")",E2310)-FIND("(",E2310)-1),"")</f>
      </c>
      <c r="B2310" s="46" t="s">
        <v>1178</v>
      </c>
      <c r="C2310" s="46">
        <v>78119</v>
      </c>
      <c r="D2310" s="46" t="s">
        <v>4199</v>
      </c>
      <c r="E2310" s="46" t="s">
        <v>1248</v>
      </c>
      <c r="F2310" s="46" t="s">
        <v>1495</v>
      </c>
      <c r="G2310" s="47">
        <v>0</v>
      </c>
      <c r="H2310" s="48">
        <v>0.062</v>
      </c>
      <c r="I2310" s="48">
        <v>2.679</v>
      </c>
      <c r="J2310" s="49">
        <v>43</v>
      </c>
      <c r="K2310" s="49">
        <v>0</v>
      </c>
      <c r="L2310" s="49">
        <v>43</v>
      </c>
    </row>
    <row r="2311" spans="1:12" x14ac:dyDescent="0.25">
      <c r="A2311" s="45">
        <f>C2311&amp;"."&amp;IFERROR(MID(E2311,FIND("(",E2311)+1,FIND(")",E2311)-FIND("(",E2311)-1),"")</f>
      </c>
      <c r="B2311" s="46" t="s">
        <v>1178</v>
      </c>
      <c r="C2311" s="46">
        <v>78133</v>
      </c>
      <c r="D2311" s="46" t="s">
        <v>4200</v>
      </c>
      <c r="E2311" s="46" t="s">
        <v>4201</v>
      </c>
      <c r="F2311" s="46" t="s">
        <v>26</v>
      </c>
      <c r="G2311" s="47">
        <v>3.01</v>
      </c>
      <c r="H2311" s="48">
        <v>7.89</v>
      </c>
      <c r="I2311" s="48">
        <v>7.89</v>
      </c>
      <c r="J2311" s="49">
        <v>1</v>
      </c>
      <c r="K2311" s="49">
        <v>0</v>
      </c>
      <c r="L2311" s="49">
        <v>1</v>
      </c>
    </row>
    <row r="2312" spans="1:12" x14ac:dyDescent="0.25">
      <c r="A2312" s="45">
        <f>C2312&amp;"."&amp;IFERROR(MID(E2312,FIND("(",E2312)+1,FIND(")",E2312)-FIND("(",E2312)-1),"")</f>
      </c>
      <c r="B2312" s="46" t="s">
        <v>1178</v>
      </c>
      <c r="C2312" s="46">
        <v>78139</v>
      </c>
      <c r="D2312" s="46" t="s">
        <v>4202</v>
      </c>
      <c r="E2312" s="46" t="s">
        <v>4203</v>
      </c>
      <c r="F2312" s="46" t="s">
        <v>26</v>
      </c>
      <c r="G2312" s="47">
        <v>13.11</v>
      </c>
      <c r="H2312" s="48">
        <v>42.35</v>
      </c>
      <c r="I2312" s="48">
        <v>211.75</v>
      </c>
      <c r="J2312" s="49">
        <v>5</v>
      </c>
      <c r="K2312" s="49">
        <v>0</v>
      </c>
      <c r="L2312" s="49">
        <v>5</v>
      </c>
    </row>
    <row r="2313" spans="1:12" x14ac:dyDescent="0.25">
      <c r="A2313" s="45">
        <f>C2313&amp;"."&amp;IFERROR(MID(E2313,FIND("(",E2313)+1,FIND(")",E2313)-FIND("(",E2313)-1),"")</f>
      </c>
      <c r="B2313" s="46" t="s">
        <v>1178</v>
      </c>
      <c r="C2313" s="46">
        <v>78140</v>
      </c>
      <c r="D2313" s="46" t="s">
        <v>4204</v>
      </c>
      <c r="E2313" s="46" t="s">
        <v>4205</v>
      </c>
      <c r="F2313" s="46" t="s">
        <v>26</v>
      </c>
      <c r="G2313" s="47">
        <v>11.31</v>
      </c>
      <c r="H2313" s="48">
        <v>36.52</v>
      </c>
      <c r="I2313" s="48">
        <v>109.56</v>
      </c>
      <c r="J2313" s="49">
        <v>3</v>
      </c>
      <c r="K2313" s="49">
        <v>0</v>
      </c>
      <c r="L2313" s="49">
        <v>3</v>
      </c>
    </row>
    <row r="2314" spans="1:12" x14ac:dyDescent="0.25">
      <c r="A2314" s="45">
        <f>C2314&amp;"."&amp;IFERROR(MID(E2314,FIND("(",E2314)+1,FIND(")",E2314)-FIND("(",E2314)-1),"")</f>
      </c>
      <c r="B2314" s="46" t="s">
        <v>1178</v>
      </c>
      <c r="C2314" s="46">
        <v>78144</v>
      </c>
      <c r="D2314" s="46" t="s">
        <v>4206</v>
      </c>
      <c r="E2314" s="46" t="s">
        <v>1248</v>
      </c>
      <c r="F2314" s="46" t="s">
        <v>1495</v>
      </c>
      <c r="G2314" s="47">
        <v>0.03</v>
      </c>
      <c r="H2314" s="48">
        <v>0.289</v>
      </c>
      <c r="I2314" s="48">
        <v>57.546</v>
      </c>
      <c r="J2314" s="49">
        <v>199</v>
      </c>
      <c r="K2314" s="49">
        <v>68</v>
      </c>
      <c r="L2314" s="49">
        <v>131</v>
      </c>
    </row>
    <row r="2315" spans="1:12" x14ac:dyDescent="0.25">
      <c r="A2315" s="45">
        <f>C2315&amp;"."&amp;IFERROR(MID(E2315,FIND("(",E2315)+1,FIND(")",E2315)-FIND("(",E2315)-1),"")</f>
      </c>
      <c r="B2315" s="46" t="s">
        <v>1178</v>
      </c>
      <c r="C2315" s="46">
        <v>78160</v>
      </c>
      <c r="D2315" s="46" t="s">
        <v>4207</v>
      </c>
      <c r="E2315" s="46" t="s">
        <v>4208</v>
      </c>
      <c r="F2315" s="46" t="s">
        <v>26</v>
      </c>
      <c r="G2315" s="47">
        <v>0.92</v>
      </c>
      <c r="H2315" s="48">
        <v>4.828</v>
      </c>
      <c r="I2315" s="48">
        <v>4.828</v>
      </c>
      <c r="J2315" s="49">
        <v>1</v>
      </c>
      <c r="K2315" s="49">
        <v>0</v>
      </c>
      <c r="L2315" s="49">
        <v>1</v>
      </c>
    </row>
    <row r="2316" spans="1:12" x14ac:dyDescent="0.25">
      <c r="A2316" s="45">
        <f>C2316&amp;"."&amp;IFERROR(MID(E2316,FIND("(",E2316)+1,FIND(")",E2316)-FIND("(",E2316)-1),"")</f>
      </c>
      <c r="B2316" s="46" t="s">
        <v>1178</v>
      </c>
      <c r="C2316" s="46">
        <v>78175</v>
      </c>
      <c r="D2316" s="46" t="s">
        <v>4209</v>
      </c>
      <c r="E2316" s="46" t="s">
        <v>4210</v>
      </c>
      <c r="F2316" s="46" t="s">
        <v>26</v>
      </c>
      <c r="G2316" s="47">
        <v>4.86</v>
      </c>
      <c r="H2316" s="48">
        <v>13.323</v>
      </c>
      <c r="I2316" s="48">
        <v>39.97</v>
      </c>
      <c r="J2316" s="49">
        <v>3</v>
      </c>
      <c r="K2316" s="49">
        <v>0</v>
      </c>
      <c r="L2316" s="49">
        <v>3</v>
      </c>
    </row>
    <row r="2317" spans="1:12" x14ac:dyDescent="0.25">
      <c r="A2317" s="45">
        <f>C2317&amp;"."&amp;IFERROR(MID(E2317,FIND("(",E2317)+1,FIND(")",E2317)-FIND("(",E2317)-1),"")</f>
      </c>
      <c r="B2317" s="46" t="s">
        <v>1178</v>
      </c>
      <c r="C2317" s="46">
        <v>78181</v>
      </c>
      <c r="D2317" s="46" t="s">
        <v>4211</v>
      </c>
      <c r="E2317" s="46" t="s">
        <v>4212</v>
      </c>
      <c r="F2317" s="46" t="s">
        <v>25</v>
      </c>
      <c r="G2317" s="47">
        <v>1.65</v>
      </c>
      <c r="H2317" s="48">
        <v>5.48</v>
      </c>
      <c r="I2317" s="48">
        <v>10.96</v>
      </c>
      <c r="J2317" s="49">
        <v>2</v>
      </c>
      <c r="K2317" s="49">
        <v>0</v>
      </c>
      <c r="L2317" s="49">
        <v>2</v>
      </c>
    </row>
    <row r="2318" spans="1:12" x14ac:dyDescent="0.25">
      <c r="A2318" s="45">
        <f>C2318&amp;"."&amp;IFERROR(MID(E2318,FIND("(",E2318)+1,FIND(")",E2318)-FIND("(",E2318)-1),"")</f>
      </c>
      <c r="B2318" s="46" t="s">
        <v>1178</v>
      </c>
      <c r="C2318" s="46">
        <v>78181</v>
      </c>
      <c r="D2318" s="46" t="s">
        <v>4211</v>
      </c>
      <c r="E2318" s="46" t="s">
        <v>4213</v>
      </c>
      <c r="F2318" s="46" t="s">
        <v>25</v>
      </c>
      <c r="G2318" s="47">
        <v>1.65</v>
      </c>
      <c r="H2318" s="48">
        <v>5.48</v>
      </c>
      <c r="I2318" s="48">
        <v>32.88</v>
      </c>
      <c r="J2318" s="49">
        <v>6</v>
      </c>
      <c r="K2318" s="49">
        <v>0</v>
      </c>
      <c r="L2318" s="49">
        <v>6</v>
      </c>
    </row>
    <row r="2319" spans="1:12" x14ac:dyDescent="0.25">
      <c r="A2319" s="45">
        <f>C2319&amp;"."&amp;IFERROR(MID(E2319,FIND("(",E2319)+1,FIND(")",E2319)-FIND("(",E2319)-1),"")</f>
      </c>
      <c r="B2319" s="46" t="s">
        <v>1178</v>
      </c>
      <c r="C2319" s="46">
        <v>78182</v>
      </c>
      <c r="D2319" s="46" t="s">
        <v>4214</v>
      </c>
      <c r="E2319" s="46" t="s">
        <v>4215</v>
      </c>
      <c r="F2319" s="46" t="s">
        <v>25</v>
      </c>
      <c r="G2319" s="47">
        <v>1.65</v>
      </c>
      <c r="H2319" s="48">
        <v>5.48</v>
      </c>
      <c r="I2319" s="48">
        <v>21.92</v>
      </c>
      <c r="J2319" s="49">
        <v>4</v>
      </c>
      <c r="K2319" s="49">
        <v>0</v>
      </c>
      <c r="L2319" s="49">
        <v>4</v>
      </c>
    </row>
    <row r="2320" spans="1:12" x14ac:dyDescent="0.25">
      <c r="A2320" s="45">
        <f>C2320&amp;"."&amp;IFERROR(MID(E2320,FIND("(",E2320)+1,FIND(")",E2320)-FIND("(",E2320)-1),"")</f>
      </c>
      <c r="B2320" s="46" t="s">
        <v>1178</v>
      </c>
      <c r="C2320" s="46">
        <v>78182</v>
      </c>
      <c r="D2320" s="46" t="s">
        <v>4214</v>
      </c>
      <c r="E2320" s="46" t="s">
        <v>4216</v>
      </c>
      <c r="F2320" s="46" t="s">
        <v>25</v>
      </c>
      <c r="G2320" s="47">
        <v>1.65</v>
      </c>
      <c r="H2320" s="48">
        <v>5.48</v>
      </c>
      <c r="I2320" s="48">
        <v>5.48</v>
      </c>
      <c r="J2320" s="49">
        <v>1</v>
      </c>
      <c r="K2320" s="49">
        <v>0</v>
      </c>
      <c r="L2320" s="49">
        <v>1</v>
      </c>
    </row>
    <row r="2321" spans="1:12" x14ac:dyDescent="0.25">
      <c r="A2321" s="45">
        <f>C2321&amp;"."&amp;IFERROR(MID(E2321,FIND("(",E2321)+1,FIND(")",E2321)-FIND("(",E2321)-1),"")</f>
      </c>
      <c r="B2321" s="46" t="s">
        <v>1178</v>
      </c>
      <c r="C2321" s="46">
        <v>78184</v>
      </c>
      <c r="D2321" s="46" t="s">
        <v>4217</v>
      </c>
      <c r="E2321" s="46" t="s">
        <v>1248</v>
      </c>
      <c r="F2321" s="46" t="s">
        <v>25</v>
      </c>
      <c r="G2321" s="47">
        <v>0.22</v>
      </c>
      <c r="H2321" s="48">
        <v>0.653</v>
      </c>
      <c r="I2321" s="48">
        <v>1.307</v>
      </c>
      <c r="J2321" s="49">
        <v>2</v>
      </c>
      <c r="K2321" s="49">
        <v>0</v>
      </c>
      <c r="L2321" s="49">
        <v>2</v>
      </c>
    </row>
    <row r="2322" spans="1:12" x14ac:dyDescent="0.25">
      <c r="A2322" s="45">
        <f>C2322&amp;"."&amp;IFERROR(MID(E2322,FIND("(",E2322)+1,FIND(")",E2322)-FIND("(",E2322)-1),"")</f>
      </c>
      <c r="B2322" s="46" t="s">
        <v>1178</v>
      </c>
      <c r="C2322" s="46">
        <v>78185</v>
      </c>
      <c r="D2322" s="46" t="s">
        <v>4218</v>
      </c>
      <c r="E2322" s="46" t="s">
        <v>4219</v>
      </c>
      <c r="F2322" s="46" t="s">
        <v>25</v>
      </c>
      <c r="G2322" s="47">
        <v>0.94</v>
      </c>
      <c r="H2322" s="48">
        <v>3.97</v>
      </c>
      <c r="I2322" s="48">
        <v>11.91</v>
      </c>
      <c r="J2322" s="49">
        <v>3</v>
      </c>
      <c r="K2322" s="49">
        <v>0</v>
      </c>
      <c r="L2322" s="49">
        <v>3</v>
      </c>
    </row>
    <row r="2323" spans="1:12" x14ac:dyDescent="0.25">
      <c r="A2323" s="45">
        <f>C2323&amp;"."&amp;IFERROR(MID(E2323,FIND("(",E2323)+1,FIND(")",E2323)-FIND("(",E2323)-1),"")</f>
      </c>
      <c r="B2323" s="46" t="s">
        <v>1178</v>
      </c>
      <c r="C2323" s="46">
        <v>78185</v>
      </c>
      <c r="D2323" s="46" t="s">
        <v>4218</v>
      </c>
      <c r="E2323" s="46" t="s">
        <v>4220</v>
      </c>
      <c r="F2323" s="46" t="s">
        <v>25</v>
      </c>
      <c r="G2323" s="47">
        <v>0.94</v>
      </c>
      <c r="H2323" s="48">
        <v>3.97</v>
      </c>
      <c r="I2323" s="48">
        <v>19.85</v>
      </c>
      <c r="J2323" s="49">
        <v>5</v>
      </c>
      <c r="K2323" s="49">
        <v>0</v>
      </c>
      <c r="L2323" s="49">
        <v>5</v>
      </c>
    </row>
    <row r="2324" spans="1:12" x14ac:dyDescent="0.25">
      <c r="A2324" s="45">
        <f>C2324&amp;"."&amp;IFERROR(MID(E2324,FIND("(",E2324)+1,FIND(")",E2324)-FIND("(",E2324)-1),"")</f>
      </c>
      <c r="B2324" s="46" t="s">
        <v>1178</v>
      </c>
      <c r="C2324" s="46">
        <v>78186</v>
      </c>
      <c r="D2324" s="46" t="s">
        <v>4221</v>
      </c>
      <c r="E2324" s="46" t="s">
        <v>4222</v>
      </c>
      <c r="F2324" s="46" t="s">
        <v>25</v>
      </c>
      <c r="G2324" s="47">
        <v>0.94</v>
      </c>
      <c r="H2324" s="48">
        <v>3.97</v>
      </c>
      <c r="I2324" s="48">
        <v>15.88</v>
      </c>
      <c r="J2324" s="49">
        <v>4</v>
      </c>
      <c r="K2324" s="49">
        <v>0</v>
      </c>
      <c r="L2324" s="49">
        <v>4</v>
      </c>
    </row>
    <row r="2325" spans="1:12" x14ac:dyDescent="0.25">
      <c r="A2325" s="45">
        <f>C2325&amp;"."&amp;IFERROR(MID(E2325,FIND("(",E2325)+1,FIND(")",E2325)-FIND("(",E2325)-1),"")</f>
      </c>
      <c r="B2325" s="46" t="s">
        <v>1178</v>
      </c>
      <c r="C2325" s="46">
        <v>78186</v>
      </c>
      <c r="D2325" s="46" t="s">
        <v>4221</v>
      </c>
      <c r="E2325" s="46" t="s">
        <v>4223</v>
      </c>
      <c r="F2325" s="46" t="s">
        <v>25</v>
      </c>
      <c r="G2325" s="47">
        <v>0.94</v>
      </c>
      <c r="H2325" s="48">
        <v>3.97</v>
      </c>
      <c r="I2325" s="48">
        <v>3.97</v>
      </c>
      <c r="J2325" s="49">
        <v>1</v>
      </c>
      <c r="K2325" s="49">
        <v>0</v>
      </c>
      <c r="L2325" s="49">
        <v>1</v>
      </c>
    </row>
    <row r="2326" spans="1:12" x14ac:dyDescent="0.25">
      <c r="A2326" s="45">
        <f>C2326&amp;"."&amp;IFERROR(MID(E2326,FIND("(",E2326)+1,FIND(")",E2326)-FIND("(",E2326)-1),"")</f>
      </c>
      <c r="B2326" s="46" t="s">
        <v>1178</v>
      </c>
      <c r="C2326" s="46">
        <v>78193</v>
      </c>
      <c r="D2326" s="46" t="s">
        <v>4224</v>
      </c>
      <c r="E2326" s="46" t="s">
        <v>4225</v>
      </c>
      <c r="F2326" s="46" t="s">
        <v>26</v>
      </c>
      <c r="G2326" s="47">
        <v>5.03</v>
      </c>
      <c r="H2326" s="48">
        <v>7.89</v>
      </c>
      <c r="I2326" s="48">
        <v>55.229</v>
      </c>
      <c r="J2326" s="49">
        <v>7</v>
      </c>
      <c r="K2326" s="49">
        <v>0</v>
      </c>
      <c r="L2326" s="49">
        <v>7</v>
      </c>
    </row>
    <row r="2327" spans="1:12" x14ac:dyDescent="0.25">
      <c r="A2327" s="45">
        <f>C2327&amp;"."&amp;IFERROR(MID(E2327,FIND("(",E2327)+1,FIND(")",E2327)-FIND("(",E2327)-1),"")</f>
      </c>
      <c r="B2327" s="46" t="s">
        <v>1178</v>
      </c>
      <c r="C2327" s="46">
        <v>78198</v>
      </c>
      <c r="D2327" s="46" t="s">
        <v>4226</v>
      </c>
      <c r="E2327" s="46" t="s">
        <v>4227</v>
      </c>
      <c r="F2327" s="46" t="s">
        <v>25</v>
      </c>
      <c r="G2327" s="47">
        <v>0.37</v>
      </c>
      <c r="H2327" s="48">
        <v>2.3</v>
      </c>
      <c r="I2327" s="48">
        <v>4.6</v>
      </c>
      <c r="J2327" s="49">
        <v>2</v>
      </c>
      <c r="K2327" s="49">
        <v>0</v>
      </c>
      <c r="L2327" s="49">
        <v>2</v>
      </c>
    </row>
    <row r="2328" spans="1:12" x14ac:dyDescent="0.25">
      <c r="A2328" s="45">
        <f>C2328&amp;"."&amp;IFERROR(MID(E2328,FIND("(",E2328)+1,FIND(")",E2328)-FIND("(",E2328)-1),"")</f>
      </c>
      <c r="B2328" s="46" t="s">
        <v>1178</v>
      </c>
      <c r="C2328" s="46">
        <v>78198</v>
      </c>
      <c r="D2328" s="46" t="s">
        <v>4226</v>
      </c>
      <c r="E2328" s="46" t="s">
        <v>4228</v>
      </c>
      <c r="F2328" s="46" t="s">
        <v>25</v>
      </c>
      <c r="G2328" s="47">
        <v>0.37</v>
      </c>
      <c r="H2328" s="48">
        <v>2.3</v>
      </c>
      <c r="I2328" s="48">
        <v>2.3</v>
      </c>
      <c r="J2328" s="49">
        <v>1</v>
      </c>
      <c r="K2328" s="49">
        <v>0</v>
      </c>
      <c r="L2328" s="49">
        <v>1</v>
      </c>
    </row>
    <row r="2329" spans="1:12" x14ac:dyDescent="0.25">
      <c r="A2329" s="45">
        <f>C2329&amp;"."&amp;IFERROR(MID(E2329,FIND("(",E2329)+1,FIND(")",E2329)-FIND("(",E2329)-1),"")</f>
      </c>
      <c r="B2329" s="46" t="s">
        <v>1178</v>
      </c>
      <c r="C2329" s="46">
        <v>78212</v>
      </c>
      <c r="D2329" s="46" t="s">
        <v>4229</v>
      </c>
      <c r="E2329" s="46" t="s">
        <v>4230</v>
      </c>
      <c r="F2329" s="46" t="s">
        <v>25</v>
      </c>
      <c r="G2329" s="47">
        <v>0.27</v>
      </c>
      <c r="H2329" s="48">
        <v>0.69</v>
      </c>
      <c r="I2329" s="48">
        <v>1.38</v>
      </c>
      <c r="J2329" s="49">
        <v>2</v>
      </c>
      <c r="K2329" s="49">
        <v>0</v>
      </c>
      <c r="L2329" s="49">
        <v>2</v>
      </c>
    </row>
    <row r="2330" spans="1:12" x14ac:dyDescent="0.25">
      <c r="A2330" s="45">
        <f>C2330&amp;"."&amp;IFERROR(MID(E2330,FIND("(",E2330)+1,FIND(")",E2330)-FIND("(",E2330)-1),"")</f>
      </c>
      <c r="B2330" s="46" t="s">
        <v>1178</v>
      </c>
      <c r="C2330" s="46">
        <v>78214</v>
      </c>
      <c r="D2330" s="46" t="s">
        <v>4231</v>
      </c>
      <c r="E2330" s="46" t="s">
        <v>1248</v>
      </c>
      <c r="F2330" s="46" t="s">
        <v>25</v>
      </c>
      <c r="G2330" s="47">
        <v>0.28</v>
      </c>
      <c r="H2330" s="48">
        <v>0.629</v>
      </c>
      <c r="I2330" s="48">
        <v>1.888</v>
      </c>
      <c r="J2330" s="49">
        <v>3</v>
      </c>
      <c r="K2330" s="49">
        <v>0</v>
      </c>
      <c r="L2330" s="49">
        <v>3</v>
      </c>
    </row>
    <row r="2331" spans="1:12" x14ac:dyDescent="0.25">
      <c r="A2331" s="45">
        <f>C2331&amp;"."&amp;IFERROR(MID(E2331,FIND("(",E2331)+1,FIND(")",E2331)-FIND("(",E2331)-1),"")</f>
      </c>
      <c r="B2331" s="46" t="s">
        <v>1178</v>
      </c>
      <c r="C2331" s="46">
        <v>78220</v>
      </c>
      <c r="D2331" s="46" t="s">
        <v>4232</v>
      </c>
      <c r="E2331" s="46" t="s">
        <v>4233</v>
      </c>
      <c r="F2331" s="46" t="s">
        <v>26</v>
      </c>
      <c r="G2331" s="47">
        <v>3.39</v>
      </c>
      <c r="H2331" s="48">
        <v>11.16</v>
      </c>
      <c r="I2331" s="48">
        <v>22.32</v>
      </c>
      <c r="J2331" s="49">
        <v>2</v>
      </c>
      <c r="K2331" s="49">
        <v>0</v>
      </c>
      <c r="L2331" s="49">
        <v>2</v>
      </c>
    </row>
    <row r="2332" spans="1:12" x14ac:dyDescent="0.25">
      <c r="A2332" s="45">
        <f>C2332&amp;"."&amp;IFERROR(MID(E2332,FIND("(",E2332)+1,FIND(")",E2332)-FIND("(",E2332)-1),"")</f>
      </c>
      <c r="B2332" s="46" t="s">
        <v>1178</v>
      </c>
      <c r="C2332" s="46">
        <v>78229</v>
      </c>
      <c r="D2332" s="46" t="s">
        <v>4234</v>
      </c>
      <c r="E2332" s="46" t="s">
        <v>4235</v>
      </c>
      <c r="F2332" s="46" t="s">
        <v>25</v>
      </c>
      <c r="G2332" s="47">
        <v>0.46</v>
      </c>
      <c r="H2332" s="48">
        <v>2.51</v>
      </c>
      <c r="I2332" s="48">
        <v>5.02</v>
      </c>
      <c r="J2332" s="49">
        <v>2</v>
      </c>
      <c r="K2332" s="49">
        <v>0</v>
      </c>
      <c r="L2332" s="49">
        <v>2</v>
      </c>
    </row>
    <row r="2333" spans="1:12" x14ac:dyDescent="0.25">
      <c r="A2333" s="45">
        <f>C2333&amp;"."&amp;IFERROR(MID(E2333,FIND("(",E2333)+1,FIND(")",E2333)-FIND("(",E2333)-1),"")</f>
      </c>
      <c r="B2333" s="46" t="s">
        <v>1178</v>
      </c>
      <c r="C2333" s="46">
        <v>78230</v>
      </c>
      <c r="D2333" s="46" t="s">
        <v>4236</v>
      </c>
      <c r="E2333" s="46" t="s">
        <v>4237</v>
      </c>
      <c r="F2333" s="46" t="s">
        <v>26</v>
      </c>
      <c r="G2333" s="47">
        <v>2.56</v>
      </c>
      <c r="H2333" s="48">
        <v>9.221</v>
      </c>
      <c r="I2333" s="48">
        <v>18.442</v>
      </c>
      <c r="J2333" s="49">
        <v>2</v>
      </c>
      <c r="K2333" s="49">
        <v>0</v>
      </c>
      <c r="L2333" s="49">
        <v>2</v>
      </c>
    </row>
    <row r="2334" spans="1:12" x14ac:dyDescent="0.25">
      <c r="A2334" s="45">
        <f>C2334&amp;"."&amp;IFERROR(MID(E2334,FIND("(",E2334)+1,FIND(")",E2334)-FIND("(",E2334)-1),"")</f>
      </c>
      <c r="B2334" s="46" t="s">
        <v>1178</v>
      </c>
      <c r="C2334" s="46">
        <v>78231</v>
      </c>
      <c r="D2334" s="46" t="s">
        <v>4238</v>
      </c>
      <c r="E2334" s="46" t="s">
        <v>4239</v>
      </c>
      <c r="F2334" s="46" t="s">
        <v>25</v>
      </c>
      <c r="G2334" s="47">
        <v>3.58</v>
      </c>
      <c r="H2334" s="48">
        <v>9.99</v>
      </c>
      <c r="I2334" s="48">
        <v>9.99</v>
      </c>
      <c r="J2334" s="49">
        <v>1</v>
      </c>
      <c r="K2334" s="49">
        <v>0</v>
      </c>
      <c r="L2334" s="49">
        <v>1</v>
      </c>
    </row>
    <row r="2335" spans="1:12" x14ac:dyDescent="0.25">
      <c r="A2335" s="45">
        <f>C2335&amp;"."&amp;IFERROR(MID(E2335,FIND("(",E2335)+1,FIND(")",E2335)-FIND("(",E2335)-1),"")</f>
      </c>
      <c r="B2335" s="46" t="s">
        <v>1178</v>
      </c>
      <c r="C2335" s="46">
        <v>78231</v>
      </c>
      <c r="D2335" s="46" t="s">
        <v>4238</v>
      </c>
      <c r="E2335" s="46" t="s">
        <v>4240</v>
      </c>
      <c r="F2335" s="46" t="s">
        <v>25</v>
      </c>
      <c r="G2335" s="47">
        <v>3.58</v>
      </c>
      <c r="H2335" s="48">
        <v>10.237</v>
      </c>
      <c r="I2335" s="48">
        <v>51.187</v>
      </c>
      <c r="J2335" s="49">
        <v>5</v>
      </c>
      <c r="K2335" s="49">
        <v>0</v>
      </c>
      <c r="L2335" s="49">
        <v>5</v>
      </c>
    </row>
    <row r="2336" spans="1:12" x14ac:dyDescent="0.25">
      <c r="A2336" s="45">
        <f>C2336&amp;"."&amp;IFERROR(MID(E2336,FIND("(",E2336)+1,FIND(")",E2336)-FIND("(",E2336)-1),"")</f>
      </c>
      <c r="B2336" s="46" t="s">
        <v>1178</v>
      </c>
      <c r="C2336" s="46">
        <v>78237</v>
      </c>
      <c r="D2336" s="46" t="s">
        <v>4241</v>
      </c>
      <c r="E2336" s="46" t="s">
        <v>4242</v>
      </c>
      <c r="F2336" s="46" t="s">
        <v>26</v>
      </c>
      <c r="G2336" s="47">
        <v>1.78</v>
      </c>
      <c r="H2336" s="48">
        <v>5.324</v>
      </c>
      <c r="I2336" s="48">
        <v>15.973</v>
      </c>
      <c r="J2336" s="49">
        <v>3</v>
      </c>
      <c r="K2336" s="49">
        <v>0</v>
      </c>
      <c r="L2336" s="49">
        <v>3</v>
      </c>
    </row>
    <row r="2337" spans="1:12" x14ac:dyDescent="0.25">
      <c r="A2337" s="45">
        <f>C2337&amp;"."&amp;IFERROR(MID(E2337,FIND("(",E2337)+1,FIND(")",E2337)-FIND("(",E2337)-1),"")</f>
      </c>
      <c r="B2337" s="46" t="s">
        <v>1178</v>
      </c>
      <c r="C2337" s="46">
        <v>78238</v>
      </c>
      <c r="D2337" s="46" t="s">
        <v>4243</v>
      </c>
      <c r="E2337" s="46" t="s">
        <v>1248</v>
      </c>
      <c r="F2337" s="46" t="s">
        <v>26</v>
      </c>
      <c r="G2337" s="47">
        <v>1.78</v>
      </c>
      <c r="H2337" s="48">
        <v>4.961</v>
      </c>
      <c r="I2337" s="48">
        <v>4.961</v>
      </c>
      <c r="J2337" s="49">
        <v>1</v>
      </c>
      <c r="K2337" s="49">
        <v>0</v>
      </c>
      <c r="L2337" s="49">
        <v>1</v>
      </c>
    </row>
    <row r="2338" spans="1:12" x14ac:dyDescent="0.25">
      <c r="A2338" s="45">
        <f>C2338&amp;"."&amp;IFERROR(MID(E2338,FIND("(",E2338)+1,FIND(")",E2338)-FIND("(",E2338)-1),"")</f>
      </c>
      <c r="B2338" s="46" t="s">
        <v>1178</v>
      </c>
      <c r="C2338" s="46">
        <v>78249</v>
      </c>
      <c r="D2338" s="46" t="s">
        <v>4244</v>
      </c>
      <c r="E2338" s="46" t="s">
        <v>1248</v>
      </c>
      <c r="F2338" s="46" t="s">
        <v>1495</v>
      </c>
      <c r="G2338" s="47">
        <v>0</v>
      </c>
      <c r="H2338" s="48">
        <v>6.837</v>
      </c>
      <c r="I2338" s="48">
        <v>41.02</v>
      </c>
      <c r="J2338" s="49">
        <v>6</v>
      </c>
      <c r="K2338" s="49">
        <v>1</v>
      </c>
      <c r="L2338" s="49">
        <v>5</v>
      </c>
    </row>
    <row r="2339" spans="1:12" x14ac:dyDescent="0.25">
      <c r="A2339" s="45">
        <f>C2339&amp;"."&amp;IFERROR(MID(E2339,FIND("(",E2339)+1,FIND(")",E2339)-FIND("(",E2339)-1),"")</f>
      </c>
      <c r="B2339" s="46" t="s">
        <v>1178</v>
      </c>
      <c r="C2339" s="46">
        <v>78250</v>
      </c>
      <c r="D2339" s="46" t="s">
        <v>4245</v>
      </c>
      <c r="E2339" s="46" t="s">
        <v>1248</v>
      </c>
      <c r="F2339" s="46" t="s">
        <v>1495</v>
      </c>
      <c r="G2339" s="47">
        <v>0</v>
      </c>
      <c r="H2339" s="48">
        <v>0.352</v>
      </c>
      <c r="I2339" s="48">
        <v>14.076</v>
      </c>
      <c r="J2339" s="49">
        <v>40</v>
      </c>
      <c r="K2339" s="49">
        <v>0</v>
      </c>
      <c r="L2339" s="49">
        <v>40</v>
      </c>
    </row>
    <row r="2340" spans="1:12" x14ac:dyDescent="0.25">
      <c r="A2340" s="45">
        <f>C2340&amp;"."&amp;IFERROR(MID(E2340,FIND("(",E2340)+1,FIND(")",E2340)-FIND("(",E2340)-1),"")</f>
      </c>
      <c r="B2340" s="46" t="s">
        <v>1178</v>
      </c>
      <c r="C2340" s="46">
        <v>78251</v>
      </c>
      <c r="D2340" s="46" t="s">
        <v>4246</v>
      </c>
      <c r="E2340" s="46" t="s">
        <v>1248</v>
      </c>
      <c r="F2340" s="46" t="s">
        <v>1495</v>
      </c>
      <c r="G2340" s="47">
        <v>0</v>
      </c>
      <c r="H2340" s="48">
        <v>0.85</v>
      </c>
      <c r="I2340" s="48">
        <v>43.37</v>
      </c>
      <c r="J2340" s="49">
        <v>51</v>
      </c>
      <c r="K2340" s="49">
        <v>0</v>
      </c>
      <c r="L2340" s="49">
        <v>51</v>
      </c>
    </row>
    <row r="2341" spans="1:12" x14ac:dyDescent="0.25">
      <c r="A2341" s="45">
        <f>C2341&amp;"."&amp;IFERROR(MID(E2341,FIND("(",E2341)+1,FIND(")",E2341)-FIND("(",E2341)-1),"")</f>
      </c>
      <c r="B2341" s="46" t="s">
        <v>1178</v>
      </c>
      <c r="C2341" s="46">
        <v>78260</v>
      </c>
      <c r="D2341" s="46" t="s">
        <v>4247</v>
      </c>
      <c r="E2341" s="46" t="s">
        <v>1248</v>
      </c>
      <c r="F2341" s="46" t="s">
        <v>1495</v>
      </c>
      <c r="G2341" s="47">
        <v>0</v>
      </c>
      <c r="H2341" s="48">
        <v>0.029</v>
      </c>
      <c r="I2341" s="48">
        <v>0.462</v>
      </c>
      <c r="J2341" s="49">
        <v>16</v>
      </c>
      <c r="K2341" s="49">
        <v>0</v>
      </c>
      <c r="L2341" s="49">
        <v>16</v>
      </c>
    </row>
    <row r="2342" spans="1:12" x14ac:dyDescent="0.25">
      <c r="A2342" s="45">
        <f>C2342&amp;"."&amp;IFERROR(MID(E2342,FIND("(",E2342)+1,FIND(")",E2342)-FIND("(",E2342)-1),"")</f>
      </c>
      <c r="B2342" s="46" t="s">
        <v>1178</v>
      </c>
      <c r="C2342" s="46">
        <v>78261</v>
      </c>
      <c r="D2342" s="46" t="s">
        <v>4248</v>
      </c>
      <c r="E2342" s="46" t="s">
        <v>1248</v>
      </c>
      <c r="F2342" s="46" t="s">
        <v>1495</v>
      </c>
      <c r="G2342" s="47">
        <v>0</v>
      </c>
      <c r="H2342" s="48">
        <v>0.108</v>
      </c>
      <c r="I2342" s="48">
        <v>21.459</v>
      </c>
      <c r="J2342" s="49">
        <v>199</v>
      </c>
      <c r="K2342" s="49">
        <v>2</v>
      </c>
      <c r="L2342" s="49">
        <v>197</v>
      </c>
    </row>
    <row r="2343" spans="1:12" x14ac:dyDescent="0.25">
      <c r="A2343" s="45">
        <f>C2343&amp;"."&amp;IFERROR(MID(E2343,FIND("(",E2343)+1,FIND(")",E2343)-FIND("(",E2343)-1),"")</f>
      </c>
      <c r="B2343" s="46" t="s">
        <v>1178</v>
      </c>
      <c r="C2343" s="46">
        <v>78263</v>
      </c>
      <c r="D2343" s="46" t="s">
        <v>4249</v>
      </c>
      <c r="E2343" s="46" t="s">
        <v>1248</v>
      </c>
      <c r="F2343" s="46" t="s">
        <v>1495</v>
      </c>
      <c r="G2343" s="47">
        <v>0.35</v>
      </c>
      <c r="H2343" s="48">
        <v>6.782</v>
      </c>
      <c r="I2343" s="48">
        <v>223.799</v>
      </c>
      <c r="J2343" s="49">
        <v>33</v>
      </c>
      <c r="K2343" s="49">
        <v>8</v>
      </c>
      <c r="L2343" s="49">
        <v>25</v>
      </c>
    </row>
    <row r="2344" spans="1:12" x14ac:dyDescent="0.25">
      <c r="A2344" s="45">
        <f>C2344&amp;"."&amp;IFERROR(MID(E2344,FIND("(",E2344)+1,FIND(")",E2344)-FIND("(",E2344)-1),"")</f>
      </c>
      <c r="B2344" s="46" t="s">
        <v>1178</v>
      </c>
      <c r="C2344" s="46">
        <v>78264</v>
      </c>
      <c r="D2344" s="46" t="s">
        <v>4250</v>
      </c>
      <c r="E2344" s="46" t="s">
        <v>1248</v>
      </c>
      <c r="F2344" s="46" t="s">
        <v>1495</v>
      </c>
      <c r="G2344" s="47">
        <v>0.1</v>
      </c>
      <c r="H2344" s="48">
        <v>0.096</v>
      </c>
      <c r="I2344" s="48">
        <v>9.593</v>
      </c>
      <c r="J2344" s="49">
        <v>100</v>
      </c>
      <c r="K2344" s="49">
        <v>21</v>
      </c>
      <c r="L2344" s="49">
        <v>79</v>
      </c>
    </row>
    <row r="2345" spans="1:12" x14ac:dyDescent="0.25">
      <c r="A2345" s="45">
        <f>C2345&amp;"."&amp;IFERROR(MID(E2345,FIND("(",E2345)+1,FIND(")",E2345)-FIND("(",E2345)-1),"")</f>
      </c>
      <c r="B2345" s="46" t="s">
        <v>1178</v>
      </c>
      <c r="C2345" s="46">
        <v>78269</v>
      </c>
      <c r="D2345" s="46" t="s">
        <v>4251</v>
      </c>
      <c r="E2345" s="46" t="s">
        <v>1248</v>
      </c>
      <c r="F2345" s="46" t="s">
        <v>1495</v>
      </c>
      <c r="G2345" s="47">
        <v>0.22</v>
      </c>
      <c r="H2345" s="48">
        <v>35.398</v>
      </c>
      <c r="I2345" s="48">
        <v>884.938</v>
      </c>
      <c r="J2345" s="49">
        <v>25</v>
      </c>
      <c r="K2345" s="49">
        <v>7</v>
      </c>
      <c r="L2345" s="49">
        <v>18</v>
      </c>
    </row>
    <row r="2346" spans="1:12" x14ac:dyDescent="0.25">
      <c r="A2346" s="45">
        <f>C2346&amp;"."&amp;IFERROR(MID(E2346,FIND("(",E2346)+1,FIND(")",E2346)-FIND("(",E2346)-1),"")</f>
      </c>
      <c r="B2346" s="46" t="s">
        <v>1178</v>
      </c>
      <c r="C2346" s="46">
        <v>78271</v>
      </c>
      <c r="D2346" s="46" t="s">
        <v>4252</v>
      </c>
      <c r="E2346" s="46" t="s">
        <v>1248</v>
      </c>
      <c r="F2346" s="46" t="s">
        <v>1495</v>
      </c>
      <c r="G2346" s="47">
        <v>0</v>
      </c>
      <c r="H2346" s="48">
        <v>38.675</v>
      </c>
      <c r="I2346" s="48">
        <v>77.35</v>
      </c>
      <c r="J2346" s="49">
        <v>2</v>
      </c>
      <c r="K2346" s="49">
        <v>1</v>
      </c>
      <c r="L2346" s="49">
        <v>1</v>
      </c>
    </row>
    <row r="2347" spans="1:12" x14ac:dyDescent="0.25">
      <c r="A2347" s="45">
        <f>C2347&amp;"."&amp;IFERROR(MID(E2347,FIND("(",E2347)+1,FIND(")",E2347)-FIND("(",E2347)-1),"")</f>
      </c>
      <c r="B2347" s="46" t="s">
        <v>1178</v>
      </c>
      <c r="C2347" s="46">
        <v>78272</v>
      </c>
      <c r="D2347" s="46" t="s">
        <v>4253</v>
      </c>
      <c r="E2347" s="46" t="s">
        <v>1248</v>
      </c>
      <c r="F2347" s="46" t="s">
        <v>1495</v>
      </c>
      <c r="G2347" s="47">
        <v>0.22</v>
      </c>
      <c r="H2347" s="48">
        <v>25.397</v>
      </c>
      <c r="I2347" s="48">
        <v>203.176</v>
      </c>
      <c r="J2347" s="49">
        <v>8</v>
      </c>
      <c r="K2347" s="49">
        <v>2</v>
      </c>
      <c r="L2347" s="49">
        <v>6</v>
      </c>
    </row>
    <row r="2348" spans="1:12" x14ac:dyDescent="0.25">
      <c r="A2348" s="45">
        <f>C2348&amp;"."&amp;IFERROR(MID(E2348,FIND("(",E2348)+1,FIND(")",E2348)-FIND("(",E2348)-1),"")</f>
      </c>
      <c r="B2348" s="46" t="s">
        <v>1178</v>
      </c>
      <c r="C2348" s="46">
        <v>78275</v>
      </c>
      <c r="D2348" s="46" t="s">
        <v>4254</v>
      </c>
      <c r="E2348" s="46" t="s">
        <v>1248</v>
      </c>
      <c r="F2348" s="46" t="s">
        <v>1495</v>
      </c>
      <c r="G2348" s="47">
        <v>0.2</v>
      </c>
      <c r="H2348" s="48">
        <v>0.123</v>
      </c>
      <c r="I2348" s="48">
        <v>6.897</v>
      </c>
      <c r="J2348" s="49">
        <v>56</v>
      </c>
      <c r="K2348" s="49">
        <v>18</v>
      </c>
      <c r="L2348" s="49">
        <v>38</v>
      </c>
    </row>
    <row r="2349" spans="1:12" x14ac:dyDescent="0.25">
      <c r="A2349" s="45">
        <f>C2349&amp;"."&amp;IFERROR(MID(E2349,FIND("(",E2349)+1,FIND(")",E2349)-FIND("(",E2349)-1),"")</f>
      </c>
      <c r="B2349" s="46" t="s">
        <v>1178</v>
      </c>
      <c r="C2349" s="46">
        <v>78276</v>
      </c>
      <c r="D2349" s="46" t="s">
        <v>4255</v>
      </c>
      <c r="E2349" s="46" t="s">
        <v>1248</v>
      </c>
      <c r="F2349" s="46" t="s">
        <v>1495</v>
      </c>
      <c r="G2349" s="47">
        <v>0</v>
      </c>
      <c r="H2349" s="48">
        <v>0.061</v>
      </c>
      <c r="I2349" s="48">
        <v>7.975</v>
      </c>
      <c r="J2349" s="49">
        <v>130</v>
      </c>
      <c r="K2349" s="49">
        <v>0</v>
      </c>
      <c r="L2349" s="49">
        <v>130</v>
      </c>
    </row>
    <row r="2350" spans="1:12" x14ac:dyDescent="0.25">
      <c r="A2350" s="45">
        <f>C2350&amp;"."&amp;IFERROR(MID(E2350,FIND("(",E2350)+1,FIND(")",E2350)-FIND("(",E2350)-1),"")</f>
      </c>
      <c r="B2350" s="46" t="s">
        <v>1178</v>
      </c>
      <c r="C2350" s="46">
        <v>78277</v>
      </c>
      <c r="D2350" s="46" t="s">
        <v>4256</v>
      </c>
      <c r="E2350" s="46" t="s">
        <v>1248</v>
      </c>
      <c r="F2350" s="46" t="s">
        <v>1495</v>
      </c>
      <c r="G2350" s="47">
        <v>0.2</v>
      </c>
      <c r="H2350" s="48">
        <v>1.808</v>
      </c>
      <c r="I2350" s="48">
        <v>36.159</v>
      </c>
      <c r="J2350" s="49">
        <v>20</v>
      </c>
      <c r="K2350" s="49">
        <v>0</v>
      </c>
      <c r="L2350" s="49">
        <v>20</v>
      </c>
    </row>
    <row r="2351" spans="1:12" x14ac:dyDescent="0.25">
      <c r="A2351" s="45">
        <f>C2351&amp;"."&amp;IFERROR(MID(E2351,FIND("(",E2351)+1,FIND(")",E2351)-FIND("(",E2351)-1),"")</f>
      </c>
      <c r="B2351" s="46" t="s">
        <v>1178</v>
      </c>
      <c r="C2351" s="46">
        <v>78287</v>
      </c>
      <c r="D2351" s="46" t="s">
        <v>4257</v>
      </c>
      <c r="E2351" s="46" t="s">
        <v>1248</v>
      </c>
      <c r="F2351" s="46" t="s">
        <v>1495</v>
      </c>
      <c r="G2351" s="47">
        <v>0.04</v>
      </c>
      <c r="H2351" s="48">
        <v>0.973</v>
      </c>
      <c r="I2351" s="48">
        <v>301.653</v>
      </c>
      <c r="J2351" s="49">
        <v>310</v>
      </c>
      <c r="K2351" s="49">
        <v>11</v>
      </c>
      <c r="L2351" s="49">
        <v>299</v>
      </c>
    </row>
    <row r="2352" spans="1:12" x14ac:dyDescent="0.25">
      <c r="A2352" s="45">
        <f>C2352&amp;"."&amp;IFERROR(MID(E2352,FIND("(",E2352)+1,FIND(")",E2352)-FIND("(",E2352)-1),"")</f>
      </c>
      <c r="B2352" s="46" t="s">
        <v>1178</v>
      </c>
      <c r="C2352" s="46">
        <v>78288</v>
      </c>
      <c r="D2352" s="46" t="s">
        <v>4258</v>
      </c>
      <c r="E2352" s="46" t="s">
        <v>1248</v>
      </c>
      <c r="F2352" s="46" t="s">
        <v>1495</v>
      </c>
      <c r="G2352" s="47">
        <v>0</v>
      </c>
      <c r="H2352" s="48">
        <v>0.113</v>
      </c>
      <c r="I2352" s="48">
        <v>34.855</v>
      </c>
      <c r="J2352" s="49">
        <v>309</v>
      </c>
      <c r="K2352" s="49">
        <v>22</v>
      </c>
      <c r="L2352" s="49">
        <v>287</v>
      </c>
    </row>
    <row r="2353" spans="1:12" x14ac:dyDescent="0.25">
      <c r="A2353" s="45">
        <f>C2353&amp;"."&amp;IFERROR(MID(E2353,FIND("(",E2353)+1,FIND(")",E2353)-FIND("(",E2353)-1),"")</f>
      </c>
      <c r="B2353" s="46" t="s">
        <v>1178</v>
      </c>
      <c r="C2353" s="46">
        <v>78297</v>
      </c>
      <c r="D2353" s="46" t="s">
        <v>4259</v>
      </c>
      <c r="E2353" s="46" t="s">
        <v>4260</v>
      </c>
      <c r="F2353" s="46" t="s">
        <v>26</v>
      </c>
      <c r="G2353" s="47">
        <v>15.03</v>
      </c>
      <c r="H2353" s="48">
        <v>42.753</v>
      </c>
      <c r="I2353" s="48">
        <v>85.506</v>
      </c>
      <c r="J2353" s="49">
        <v>2</v>
      </c>
      <c r="K2353" s="49">
        <v>0</v>
      </c>
      <c r="L2353" s="49">
        <v>2</v>
      </c>
    </row>
    <row r="2354" spans="1:12" x14ac:dyDescent="0.25">
      <c r="A2354" s="45">
        <f>C2354&amp;"."&amp;IFERROR(MID(E2354,FIND("(",E2354)+1,FIND(")",E2354)-FIND("(",E2354)-1),"")</f>
      </c>
      <c r="B2354" s="46" t="s">
        <v>1178</v>
      </c>
      <c r="C2354" s="46">
        <v>78313</v>
      </c>
      <c r="D2354" s="46" t="s">
        <v>4261</v>
      </c>
      <c r="E2354" s="46" t="s">
        <v>4262</v>
      </c>
      <c r="F2354" s="46" t="s">
        <v>26</v>
      </c>
      <c r="G2354" s="47">
        <v>0.85</v>
      </c>
      <c r="H2354" s="48">
        <v>2.614</v>
      </c>
      <c r="I2354" s="48">
        <v>5.228</v>
      </c>
      <c r="J2354" s="49">
        <v>2</v>
      </c>
      <c r="K2354" s="49">
        <v>0</v>
      </c>
      <c r="L2354" s="49">
        <v>2</v>
      </c>
    </row>
    <row r="2355" spans="1:12" x14ac:dyDescent="0.25">
      <c r="A2355" s="45">
        <f>C2355&amp;"."&amp;IFERROR(MID(E2355,FIND("(",E2355)+1,FIND(")",E2355)-FIND("(",E2355)-1),"")</f>
      </c>
      <c r="B2355" s="46" t="s">
        <v>1178</v>
      </c>
      <c r="C2355" s="46">
        <v>78322</v>
      </c>
      <c r="D2355" s="46" t="s">
        <v>4263</v>
      </c>
      <c r="E2355" s="46" t="s">
        <v>4264</v>
      </c>
      <c r="F2355" s="46" t="s">
        <v>26</v>
      </c>
      <c r="G2355" s="47">
        <v>18.29</v>
      </c>
      <c r="H2355" s="48">
        <v>55.689</v>
      </c>
      <c r="I2355" s="48">
        <v>111.378</v>
      </c>
      <c r="J2355" s="49">
        <v>2</v>
      </c>
      <c r="K2355" s="49">
        <v>0</v>
      </c>
      <c r="L2355" s="49">
        <v>2</v>
      </c>
    </row>
    <row r="2356" spans="1:12" x14ac:dyDescent="0.25">
      <c r="A2356" s="45">
        <f>C2356&amp;"."&amp;IFERROR(MID(E2356,FIND("(",E2356)+1,FIND(")",E2356)-FIND("(",E2356)-1),"")</f>
      </c>
      <c r="B2356" s="46" t="s">
        <v>1178</v>
      </c>
      <c r="C2356" s="46">
        <v>78326</v>
      </c>
      <c r="D2356" s="46" t="s">
        <v>1090</v>
      </c>
      <c r="E2356" s="46" t="s">
        <v>4265</v>
      </c>
      <c r="F2356" s="46" t="s">
        <v>26</v>
      </c>
      <c r="G2356" s="47">
        <v>54.45</v>
      </c>
      <c r="H2356" s="48">
        <v>177.97</v>
      </c>
      <c r="I2356" s="48">
        <v>1067.821</v>
      </c>
      <c r="J2356" s="49">
        <v>6</v>
      </c>
      <c r="K2356" s="49">
        <v>0</v>
      </c>
      <c r="L2356" s="49">
        <v>6</v>
      </c>
    </row>
    <row r="2357" spans="1:12" x14ac:dyDescent="0.25">
      <c r="A2357" s="45">
        <f>C2357&amp;"."&amp;IFERROR(MID(E2357,FIND("(",E2357)+1,FIND(")",E2357)-FIND("(",E2357)-1),"")</f>
      </c>
      <c r="B2357" s="46" t="s">
        <v>1178</v>
      </c>
      <c r="C2357" s="46">
        <v>78330</v>
      </c>
      <c r="D2357" s="46" t="s">
        <v>4266</v>
      </c>
      <c r="E2357" s="46" t="s">
        <v>4267</v>
      </c>
      <c r="F2357" s="46" t="s">
        <v>1926</v>
      </c>
      <c r="G2357" s="47">
        <v>0</v>
      </c>
      <c r="H2357" s="48">
        <v>8.096</v>
      </c>
      <c r="I2357" s="48">
        <v>24.287</v>
      </c>
      <c r="J2357" s="49">
        <v>3</v>
      </c>
      <c r="K2357" s="49">
        <v>0</v>
      </c>
      <c r="L2357" s="49">
        <v>3</v>
      </c>
    </row>
    <row r="2358" spans="1:12" x14ac:dyDescent="0.25">
      <c r="A2358" s="45">
        <f>C2358&amp;"."&amp;IFERROR(MID(E2358,FIND("(",E2358)+1,FIND(")",E2358)-FIND("(",E2358)-1),"")</f>
      </c>
      <c r="B2358" s="46" t="s">
        <v>1178</v>
      </c>
      <c r="C2358" s="46">
        <v>78334</v>
      </c>
      <c r="D2358" s="46" t="s">
        <v>4268</v>
      </c>
      <c r="E2358" s="46" t="s">
        <v>4269</v>
      </c>
      <c r="F2358" s="46" t="s">
        <v>26</v>
      </c>
      <c r="G2358" s="47">
        <v>7.08</v>
      </c>
      <c r="H2358" s="48">
        <v>6.613</v>
      </c>
      <c r="I2358" s="48">
        <v>26.453</v>
      </c>
      <c r="J2358" s="49">
        <v>4</v>
      </c>
      <c r="K2358" s="49">
        <v>0</v>
      </c>
      <c r="L2358" s="49">
        <v>4</v>
      </c>
    </row>
    <row r="2359" spans="1:12" x14ac:dyDescent="0.25">
      <c r="A2359" s="45">
        <f>C2359&amp;"."&amp;IFERROR(MID(E2359,FIND("(",E2359)+1,FIND(")",E2359)-FIND("(",E2359)-1),"")</f>
      </c>
      <c r="B2359" s="46" t="s">
        <v>1178</v>
      </c>
      <c r="C2359" s="46">
        <v>78348</v>
      </c>
      <c r="D2359" s="46" t="s">
        <v>4270</v>
      </c>
      <c r="E2359" s="46" t="s">
        <v>4271</v>
      </c>
      <c r="F2359" s="46" t="s">
        <v>26</v>
      </c>
      <c r="G2359" s="47">
        <v>13.86</v>
      </c>
      <c r="H2359" s="48">
        <v>42.765</v>
      </c>
      <c r="I2359" s="48">
        <v>213.825</v>
      </c>
      <c r="J2359" s="49">
        <v>5</v>
      </c>
      <c r="K2359" s="49">
        <v>0</v>
      </c>
      <c r="L2359" s="49">
        <v>5</v>
      </c>
    </row>
    <row r="2360" spans="1:12" x14ac:dyDescent="0.25">
      <c r="A2360" s="45">
        <f>C2360&amp;"."&amp;IFERROR(MID(E2360,FIND("(",E2360)+1,FIND(")",E2360)-FIND("(",E2360)-1),"")</f>
      </c>
      <c r="B2360" s="46" t="s">
        <v>1178</v>
      </c>
      <c r="C2360" s="46">
        <v>78349</v>
      </c>
      <c r="D2360" s="46" t="s">
        <v>4272</v>
      </c>
      <c r="E2360" s="46" t="s">
        <v>4273</v>
      </c>
      <c r="F2360" s="46" t="s">
        <v>26</v>
      </c>
      <c r="G2360" s="47">
        <v>0</v>
      </c>
      <c r="H2360" s="48">
        <v>10.734</v>
      </c>
      <c r="I2360" s="48">
        <v>10.734</v>
      </c>
      <c r="J2360" s="49">
        <v>1</v>
      </c>
      <c r="K2360" s="49">
        <v>0</v>
      </c>
      <c r="L2360" s="49">
        <v>1</v>
      </c>
    </row>
    <row r="2361" spans="1:12" x14ac:dyDescent="0.25">
      <c r="A2361" s="45">
        <f>C2361&amp;"."&amp;IFERROR(MID(E2361,FIND("(",E2361)+1,FIND(")",E2361)-FIND("(",E2361)-1),"")</f>
      </c>
      <c r="B2361" s="46" t="s">
        <v>1178</v>
      </c>
      <c r="C2361" s="46">
        <v>78353</v>
      </c>
      <c r="D2361" s="46" t="s">
        <v>4274</v>
      </c>
      <c r="E2361" s="46" t="s">
        <v>1248</v>
      </c>
      <c r="F2361" s="46" t="s">
        <v>1495</v>
      </c>
      <c r="G2361" s="47">
        <v>0</v>
      </c>
      <c r="H2361" s="48">
        <v>0.67</v>
      </c>
      <c r="I2361" s="48">
        <v>0.67</v>
      </c>
      <c r="J2361" s="49">
        <v>1</v>
      </c>
      <c r="K2361" s="49">
        <v>0</v>
      </c>
      <c r="L2361" s="49">
        <v>1</v>
      </c>
    </row>
    <row r="2362" spans="1:12" x14ac:dyDescent="0.25">
      <c r="A2362" s="45">
        <f>C2362&amp;"."&amp;IFERROR(MID(E2362,FIND("(",E2362)+1,FIND(")",E2362)-FIND("(",E2362)-1),"")</f>
      </c>
      <c r="B2362" s="46" t="s">
        <v>1178</v>
      </c>
      <c r="C2362" s="46">
        <v>78354</v>
      </c>
      <c r="D2362" s="46" t="s">
        <v>4275</v>
      </c>
      <c r="E2362" s="46" t="s">
        <v>4276</v>
      </c>
      <c r="F2362" s="46" t="s">
        <v>26</v>
      </c>
      <c r="G2362" s="47">
        <v>2.62</v>
      </c>
      <c r="H2362" s="48">
        <v>13.081</v>
      </c>
      <c r="I2362" s="48">
        <v>39.244</v>
      </c>
      <c r="J2362" s="49">
        <v>3</v>
      </c>
      <c r="K2362" s="49">
        <v>0</v>
      </c>
      <c r="L2362" s="49">
        <v>3</v>
      </c>
    </row>
    <row r="2363" spans="1:12" x14ac:dyDescent="0.25">
      <c r="A2363" s="45">
        <f>C2363&amp;"."&amp;IFERROR(MID(E2363,FIND("(",E2363)+1,FIND(")",E2363)-FIND("(",E2363)-1),"")</f>
      </c>
      <c r="B2363" s="46" t="s">
        <v>1178</v>
      </c>
      <c r="C2363" s="46">
        <v>78357</v>
      </c>
      <c r="D2363" s="46" t="s">
        <v>4277</v>
      </c>
      <c r="E2363" s="46" t="s">
        <v>1248</v>
      </c>
      <c r="F2363" s="46" t="s">
        <v>1495</v>
      </c>
      <c r="G2363" s="47">
        <v>0</v>
      </c>
      <c r="H2363" s="48">
        <v>1.389</v>
      </c>
      <c r="I2363" s="48">
        <v>8.335</v>
      </c>
      <c r="J2363" s="49">
        <v>6</v>
      </c>
      <c r="K2363" s="49">
        <v>0</v>
      </c>
      <c r="L2363" s="49">
        <v>6</v>
      </c>
    </row>
    <row r="2364" spans="1:12" x14ac:dyDescent="0.25">
      <c r="A2364" s="45">
        <f>C2364&amp;"."&amp;IFERROR(MID(E2364,FIND("(",E2364)+1,FIND(")",E2364)-FIND("(",E2364)-1),"")</f>
      </c>
      <c r="B2364" s="46" t="s">
        <v>1178</v>
      </c>
      <c r="C2364" s="46">
        <v>78375</v>
      </c>
      <c r="D2364" s="46" t="s">
        <v>4278</v>
      </c>
      <c r="E2364" s="46" t="s">
        <v>1248</v>
      </c>
      <c r="F2364" s="46" t="s">
        <v>1495</v>
      </c>
      <c r="G2364" s="47">
        <v>0.06</v>
      </c>
      <c r="H2364" s="48">
        <v>0.806</v>
      </c>
      <c r="I2364" s="48">
        <v>117.722</v>
      </c>
      <c r="J2364" s="49">
        <v>146</v>
      </c>
      <c r="K2364" s="49">
        <v>34</v>
      </c>
      <c r="L2364" s="49">
        <v>112</v>
      </c>
    </row>
    <row r="2365" spans="1:12" x14ac:dyDescent="0.25">
      <c r="A2365" s="45">
        <f>C2365&amp;"."&amp;IFERROR(MID(E2365,FIND("(",E2365)+1,FIND(")",E2365)-FIND("(",E2365)-1),"")</f>
      </c>
      <c r="B2365" s="46" t="s">
        <v>1178</v>
      </c>
      <c r="C2365" s="46">
        <v>78379</v>
      </c>
      <c r="D2365" s="46" t="s">
        <v>4279</v>
      </c>
      <c r="E2365" s="46" t="s">
        <v>1248</v>
      </c>
      <c r="F2365" s="46" t="s">
        <v>1495</v>
      </c>
      <c r="G2365" s="47">
        <v>0.04</v>
      </c>
      <c r="H2365" s="48">
        <v>0.647</v>
      </c>
      <c r="I2365" s="48">
        <v>5.176</v>
      </c>
      <c r="J2365" s="49">
        <v>8</v>
      </c>
      <c r="K2365" s="49">
        <v>0</v>
      </c>
      <c r="L2365" s="49">
        <v>8</v>
      </c>
    </row>
    <row r="2366" spans="1:12" x14ac:dyDescent="0.25">
      <c r="A2366" s="45">
        <f>C2366&amp;"."&amp;IFERROR(MID(E2366,FIND("(",E2366)+1,FIND(")",E2366)-FIND("(",E2366)-1),"")</f>
      </c>
      <c r="B2366" s="46" t="s">
        <v>1178</v>
      </c>
      <c r="C2366" s="46">
        <v>78382</v>
      </c>
      <c r="D2366" s="46" t="s">
        <v>4280</v>
      </c>
      <c r="E2366" s="46" t="s">
        <v>1248</v>
      </c>
      <c r="F2366" s="46" t="s">
        <v>1495</v>
      </c>
      <c r="G2366" s="47">
        <v>0.06</v>
      </c>
      <c r="H2366" s="48">
        <v>0.517</v>
      </c>
      <c r="I2366" s="48">
        <v>25.35</v>
      </c>
      <c r="J2366" s="49">
        <v>49</v>
      </c>
      <c r="K2366" s="49">
        <v>46</v>
      </c>
      <c r="L2366" s="49">
        <v>3</v>
      </c>
    </row>
    <row r="2367" spans="1:12" x14ac:dyDescent="0.25">
      <c r="A2367" s="45">
        <f>C2367&amp;"."&amp;IFERROR(MID(E2367,FIND("(",E2367)+1,FIND(")",E2367)-FIND("(",E2367)-1),"")</f>
      </c>
      <c r="B2367" s="46" t="s">
        <v>1178</v>
      </c>
      <c r="C2367" s="46">
        <v>78384</v>
      </c>
      <c r="D2367" s="46" t="s">
        <v>4281</v>
      </c>
      <c r="E2367" s="46" t="s">
        <v>1248</v>
      </c>
      <c r="F2367" s="46" t="s">
        <v>1495</v>
      </c>
      <c r="G2367" s="47">
        <v>0</v>
      </c>
      <c r="H2367" s="48">
        <v>1.329</v>
      </c>
      <c r="I2367" s="48">
        <v>215.297</v>
      </c>
      <c r="J2367" s="49">
        <v>162</v>
      </c>
      <c r="K2367" s="49">
        <v>13</v>
      </c>
      <c r="L2367" s="49">
        <v>149</v>
      </c>
    </row>
    <row r="2368" spans="1:12" x14ac:dyDescent="0.25">
      <c r="A2368" s="45">
        <f>C2368&amp;"."&amp;IFERROR(MID(E2368,FIND("(",E2368)+1,FIND(")",E2368)-FIND("(",E2368)-1),"")</f>
      </c>
      <c r="B2368" s="46" t="s">
        <v>1178</v>
      </c>
      <c r="C2368" s="46">
        <v>78392</v>
      </c>
      <c r="D2368" s="46" t="s">
        <v>4282</v>
      </c>
      <c r="E2368" s="46" t="s">
        <v>1248</v>
      </c>
      <c r="F2368" s="46" t="s">
        <v>1495</v>
      </c>
      <c r="G2368" s="47">
        <v>0.37</v>
      </c>
      <c r="H2368" s="48">
        <v>0.021</v>
      </c>
      <c r="I2368" s="48">
        <v>0.945</v>
      </c>
      <c r="J2368" s="49">
        <v>45</v>
      </c>
      <c r="K2368" s="49">
        <v>11</v>
      </c>
      <c r="L2368" s="49">
        <v>34</v>
      </c>
    </row>
    <row r="2369" spans="1:12" x14ac:dyDescent="0.25">
      <c r="A2369" s="45">
        <f>C2369&amp;"."&amp;IFERROR(MID(E2369,FIND("(",E2369)+1,FIND(")",E2369)-FIND("(",E2369)-1),"")</f>
      </c>
      <c r="B2369" s="46" t="s">
        <v>1178</v>
      </c>
      <c r="C2369" s="46">
        <v>78421</v>
      </c>
      <c r="D2369" s="46" t="s">
        <v>4283</v>
      </c>
      <c r="E2369" s="46" t="s">
        <v>1248</v>
      </c>
      <c r="F2369" s="46" t="s">
        <v>1495</v>
      </c>
      <c r="G2369" s="47">
        <v>0</v>
      </c>
      <c r="H2369" s="48">
        <v>0.043</v>
      </c>
      <c r="I2369" s="48">
        <v>1.545</v>
      </c>
      <c r="J2369" s="49">
        <v>36</v>
      </c>
      <c r="K2369" s="49">
        <v>0</v>
      </c>
      <c r="L2369" s="49">
        <v>36</v>
      </c>
    </row>
    <row r="2370" spans="1:12" x14ac:dyDescent="0.25">
      <c r="A2370" s="45">
        <f>C2370&amp;"."&amp;IFERROR(MID(E2370,FIND("(",E2370)+1,FIND(")",E2370)-FIND("(",E2370)-1),"")</f>
      </c>
      <c r="B2370" s="46" t="s">
        <v>1178</v>
      </c>
      <c r="C2370" s="46">
        <v>78423</v>
      </c>
      <c r="D2370" s="46" t="s">
        <v>4284</v>
      </c>
      <c r="E2370" s="46" t="s">
        <v>1248</v>
      </c>
      <c r="F2370" s="46" t="s">
        <v>1495</v>
      </c>
      <c r="G2370" s="47">
        <v>0</v>
      </c>
      <c r="H2370" s="48">
        <v>0.015</v>
      </c>
      <c r="I2370" s="48">
        <v>2.233</v>
      </c>
      <c r="J2370" s="49">
        <v>154</v>
      </c>
      <c r="K2370" s="49">
        <v>0</v>
      </c>
      <c r="L2370" s="49">
        <v>154</v>
      </c>
    </row>
    <row r="2371" spans="1:12" x14ac:dyDescent="0.25">
      <c r="A2371" s="45">
        <f>C2371&amp;"."&amp;IFERROR(MID(E2371,FIND("(",E2371)+1,FIND(")",E2371)-FIND("(",E2371)-1),"")</f>
      </c>
      <c r="B2371" s="46" t="s">
        <v>1178</v>
      </c>
      <c r="C2371" s="46">
        <v>78425</v>
      </c>
      <c r="D2371" s="46" t="s">
        <v>4285</v>
      </c>
      <c r="E2371" s="46" t="s">
        <v>1248</v>
      </c>
      <c r="F2371" s="46" t="s">
        <v>1495</v>
      </c>
      <c r="G2371" s="47">
        <v>0</v>
      </c>
      <c r="H2371" s="48">
        <v>0.015</v>
      </c>
      <c r="I2371" s="48">
        <v>0.58</v>
      </c>
      <c r="J2371" s="49">
        <v>40</v>
      </c>
      <c r="K2371" s="49">
        <v>0</v>
      </c>
      <c r="L2371" s="49">
        <v>40</v>
      </c>
    </row>
    <row r="2372" spans="1:12" x14ac:dyDescent="0.25">
      <c r="A2372" s="45">
        <f>C2372&amp;"."&amp;IFERROR(MID(E2372,FIND("(",E2372)+1,FIND(")",E2372)-FIND("(",E2372)-1),"")</f>
      </c>
      <c r="B2372" s="46" t="s">
        <v>1178</v>
      </c>
      <c r="C2372" s="46">
        <v>78426</v>
      </c>
      <c r="D2372" s="46" t="s">
        <v>4286</v>
      </c>
      <c r="E2372" s="46" t="s">
        <v>1248</v>
      </c>
      <c r="F2372" s="46" t="s">
        <v>1495</v>
      </c>
      <c r="G2372" s="47">
        <v>0</v>
      </c>
      <c r="H2372" s="48">
        <v>0.015</v>
      </c>
      <c r="I2372" s="48">
        <v>2.581</v>
      </c>
      <c r="J2372" s="49">
        <v>178</v>
      </c>
      <c r="K2372" s="49">
        <v>0</v>
      </c>
      <c r="L2372" s="49">
        <v>178</v>
      </c>
    </row>
    <row r="2373" spans="1:12" x14ac:dyDescent="0.25">
      <c r="A2373" s="45">
        <f>C2373&amp;"."&amp;IFERROR(MID(E2373,FIND("(",E2373)+1,FIND(")",E2373)-FIND("(",E2373)-1),"")</f>
      </c>
      <c r="B2373" s="46" t="s">
        <v>1178</v>
      </c>
      <c r="C2373" s="46">
        <v>78429</v>
      </c>
      <c r="D2373" s="46" t="s">
        <v>4287</v>
      </c>
      <c r="E2373" s="46" t="s">
        <v>1248</v>
      </c>
      <c r="F2373" s="46" t="s">
        <v>1495</v>
      </c>
      <c r="G2373" s="47">
        <v>0</v>
      </c>
      <c r="H2373" s="48">
        <v>0.029</v>
      </c>
      <c r="I2373" s="48">
        <v>5.626</v>
      </c>
      <c r="J2373" s="49">
        <v>194</v>
      </c>
      <c r="K2373" s="49">
        <v>0</v>
      </c>
      <c r="L2373" s="49">
        <v>194</v>
      </c>
    </row>
    <row r="2374" spans="1:12" x14ac:dyDescent="0.25">
      <c r="A2374" s="45">
        <f>C2374&amp;"."&amp;IFERROR(MID(E2374,FIND("(",E2374)+1,FIND(")",E2374)-FIND("(",E2374)-1),"")</f>
      </c>
      <c r="B2374" s="46" t="s">
        <v>1178</v>
      </c>
      <c r="C2374" s="46">
        <v>78555</v>
      </c>
      <c r="D2374" s="46" t="s">
        <v>4288</v>
      </c>
      <c r="E2374" s="46" t="s">
        <v>4289</v>
      </c>
      <c r="F2374" s="46" t="s">
        <v>26</v>
      </c>
      <c r="G2374" s="47">
        <v>2.45</v>
      </c>
      <c r="H2374" s="48">
        <v>12</v>
      </c>
      <c r="I2374" s="48">
        <v>12</v>
      </c>
      <c r="J2374" s="49">
        <v>1</v>
      </c>
      <c r="K2374" s="49">
        <v>0</v>
      </c>
      <c r="L2374" s="49">
        <v>1</v>
      </c>
    </row>
    <row r="2375" spans="1:12" x14ac:dyDescent="0.25">
      <c r="A2375" s="45">
        <f>C2375&amp;"."&amp;IFERROR(MID(E2375,FIND("(",E2375)+1,FIND(")",E2375)-FIND("(",E2375)-1),"")</f>
      </c>
      <c r="B2375" s="46" t="s">
        <v>1178</v>
      </c>
      <c r="C2375" s="46">
        <v>78579</v>
      </c>
      <c r="D2375" s="46" t="s">
        <v>4290</v>
      </c>
      <c r="E2375" s="46" t="s">
        <v>4291</v>
      </c>
      <c r="F2375" s="46" t="s">
        <v>26</v>
      </c>
      <c r="G2375" s="47">
        <v>2.54</v>
      </c>
      <c r="H2375" s="48">
        <v>9.58</v>
      </c>
      <c r="I2375" s="48">
        <v>19.16</v>
      </c>
      <c r="J2375" s="49">
        <v>2</v>
      </c>
      <c r="K2375" s="49">
        <v>0</v>
      </c>
      <c r="L2375" s="49">
        <v>2</v>
      </c>
    </row>
    <row r="2376" spans="1:12" x14ac:dyDescent="0.25">
      <c r="A2376" s="45">
        <f>C2376&amp;"."&amp;IFERROR(MID(E2376,FIND("(",E2376)+1,FIND(")",E2376)-FIND("(",E2376)-1),"")</f>
      </c>
      <c r="B2376" s="46" t="s">
        <v>1178</v>
      </c>
      <c r="C2376" s="46">
        <v>78584</v>
      </c>
      <c r="D2376" s="46" t="s">
        <v>4292</v>
      </c>
      <c r="E2376" s="46" t="s">
        <v>4293</v>
      </c>
      <c r="F2376" s="46" t="s">
        <v>26</v>
      </c>
      <c r="G2376" s="47">
        <v>1.33</v>
      </c>
      <c r="H2376" s="48">
        <v>3.15</v>
      </c>
      <c r="I2376" s="48">
        <v>6.3</v>
      </c>
      <c r="J2376" s="49">
        <v>2</v>
      </c>
      <c r="K2376" s="49">
        <v>0</v>
      </c>
      <c r="L2376" s="49">
        <v>2</v>
      </c>
    </row>
    <row r="2377" spans="1:12" x14ac:dyDescent="0.25">
      <c r="A2377" s="45">
        <f>C2377&amp;"."&amp;IFERROR(MID(E2377,FIND("(",E2377)+1,FIND(")",E2377)-FIND("(",E2377)-1),"")</f>
      </c>
      <c r="B2377" s="46" t="s">
        <v>1178</v>
      </c>
      <c r="C2377" s="46">
        <v>78584</v>
      </c>
      <c r="D2377" s="46" t="s">
        <v>4292</v>
      </c>
      <c r="E2377" s="46" t="s">
        <v>4294</v>
      </c>
      <c r="F2377" s="46" t="s">
        <v>26</v>
      </c>
      <c r="G2377" s="47">
        <v>1.33</v>
      </c>
      <c r="H2377" s="48">
        <v>3.15</v>
      </c>
      <c r="I2377" s="48">
        <v>18.9</v>
      </c>
      <c r="J2377" s="49">
        <v>6</v>
      </c>
      <c r="K2377" s="49">
        <v>0</v>
      </c>
      <c r="L2377" s="49">
        <v>6</v>
      </c>
    </row>
    <row r="2378" spans="1:12" x14ac:dyDescent="0.25">
      <c r="A2378" s="45">
        <f>C2378&amp;"."&amp;IFERROR(MID(E2378,FIND("(",E2378)+1,FIND(")",E2378)-FIND("(",E2378)-1),"")</f>
      </c>
      <c r="B2378" s="46" t="s">
        <v>1178</v>
      </c>
      <c r="C2378" s="46">
        <v>78595</v>
      </c>
      <c r="D2378" s="46" t="s">
        <v>4295</v>
      </c>
      <c r="E2378" s="46" t="s">
        <v>1248</v>
      </c>
      <c r="F2378" s="46" t="s">
        <v>1495</v>
      </c>
      <c r="G2378" s="47">
        <v>0.37</v>
      </c>
      <c r="H2378" s="48">
        <v>0.018</v>
      </c>
      <c r="I2378" s="48">
        <v>3.598</v>
      </c>
      <c r="J2378" s="49">
        <v>200</v>
      </c>
      <c r="K2378" s="49">
        <v>35</v>
      </c>
      <c r="L2378" s="49">
        <v>165</v>
      </c>
    </row>
    <row r="2379" spans="1:12" x14ac:dyDescent="0.25">
      <c r="A2379" s="45">
        <f>C2379&amp;"."&amp;IFERROR(MID(E2379,FIND("(",E2379)+1,FIND(")",E2379)-FIND("(",E2379)-1),"")</f>
      </c>
      <c r="B2379" s="46" t="s">
        <v>1178</v>
      </c>
      <c r="C2379" s="46">
        <v>78596</v>
      </c>
      <c r="D2379" s="46" t="s">
        <v>4296</v>
      </c>
      <c r="E2379" s="46" t="s">
        <v>1248</v>
      </c>
      <c r="F2379" s="46" t="s">
        <v>1495</v>
      </c>
      <c r="G2379" s="47">
        <v>0.37</v>
      </c>
      <c r="H2379" s="48">
        <v>0.033</v>
      </c>
      <c r="I2379" s="48">
        <v>32.043</v>
      </c>
      <c r="J2379" s="49">
        <v>981</v>
      </c>
      <c r="K2379" s="49">
        <v>30</v>
      </c>
      <c r="L2379" s="49">
        <v>951</v>
      </c>
    </row>
    <row r="2380" spans="1:12" x14ac:dyDescent="0.25">
      <c r="A2380" s="45">
        <f>C2380&amp;"."&amp;IFERROR(MID(E2380,FIND("(",E2380)+1,FIND(")",E2380)-FIND("(",E2380)-1),"")</f>
      </c>
      <c r="B2380" s="46" t="s">
        <v>1178</v>
      </c>
      <c r="C2380" s="46">
        <v>78599</v>
      </c>
      <c r="D2380" s="46" t="s">
        <v>4297</v>
      </c>
      <c r="E2380" s="46" t="s">
        <v>1248</v>
      </c>
      <c r="F2380" s="46" t="s">
        <v>1495</v>
      </c>
      <c r="G2380" s="47">
        <v>0</v>
      </c>
      <c r="H2380" s="48">
        <v>0.057</v>
      </c>
      <c r="I2380" s="48">
        <v>42.557</v>
      </c>
      <c r="J2380" s="49">
        <v>744</v>
      </c>
      <c r="K2380" s="49">
        <v>0</v>
      </c>
      <c r="L2380" s="49">
        <v>744</v>
      </c>
    </row>
    <row r="2381" spans="1:12" x14ac:dyDescent="0.25">
      <c r="A2381" s="45">
        <f>C2381&amp;"."&amp;IFERROR(MID(E2381,FIND("(",E2381)+1,FIND(")",E2381)-FIND("(",E2381)-1),"")</f>
      </c>
      <c r="B2381" s="46" t="s">
        <v>1178</v>
      </c>
      <c r="C2381" s="46">
        <v>78600</v>
      </c>
      <c r="D2381" s="46" t="s">
        <v>4298</v>
      </c>
      <c r="E2381" s="46" t="s">
        <v>1248</v>
      </c>
      <c r="F2381" s="46" t="s">
        <v>1495</v>
      </c>
      <c r="G2381" s="47">
        <v>0</v>
      </c>
      <c r="H2381" s="48">
        <v>0.024</v>
      </c>
      <c r="I2381" s="48">
        <v>2.94</v>
      </c>
      <c r="J2381" s="49">
        <v>123</v>
      </c>
      <c r="K2381" s="49">
        <v>0</v>
      </c>
      <c r="L2381" s="49">
        <v>123</v>
      </c>
    </row>
    <row r="2382" spans="1:12" x14ac:dyDescent="0.25">
      <c r="A2382" s="45">
        <f>C2382&amp;"."&amp;IFERROR(MID(E2382,FIND("(",E2382)+1,FIND(")",E2382)-FIND("(",E2382)-1),"")</f>
      </c>
      <c r="B2382" s="46" t="s">
        <v>1178</v>
      </c>
      <c r="C2382" s="46">
        <v>78601</v>
      </c>
      <c r="D2382" s="46" t="s">
        <v>4299</v>
      </c>
      <c r="E2382" s="46" t="s">
        <v>1248</v>
      </c>
      <c r="F2382" s="46" t="s">
        <v>1495</v>
      </c>
      <c r="G2382" s="47">
        <v>0</v>
      </c>
      <c r="H2382" s="48">
        <v>0.005</v>
      </c>
      <c r="I2382" s="48">
        <v>0.902</v>
      </c>
      <c r="J2382" s="49">
        <v>167</v>
      </c>
      <c r="K2382" s="49">
        <v>0</v>
      </c>
      <c r="L2382" s="49">
        <v>167</v>
      </c>
    </row>
    <row r="2383" spans="1:12" x14ac:dyDescent="0.25">
      <c r="A2383" s="45">
        <f>C2383&amp;"."&amp;IFERROR(MID(E2383,FIND("(",E2383)+1,FIND(")",E2383)-FIND("(",E2383)-1),"")</f>
      </c>
      <c r="B2383" s="46" t="s">
        <v>1178</v>
      </c>
      <c r="C2383" s="46">
        <v>78602</v>
      </c>
      <c r="D2383" s="46" t="s">
        <v>4300</v>
      </c>
      <c r="E2383" s="46" t="s">
        <v>1248</v>
      </c>
      <c r="F2383" s="46" t="s">
        <v>1495</v>
      </c>
      <c r="G2383" s="47">
        <v>0</v>
      </c>
      <c r="H2383" s="48">
        <v>0.007</v>
      </c>
      <c r="I2383" s="48">
        <v>1.061</v>
      </c>
      <c r="J2383" s="49">
        <v>156</v>
      </c>
      <c r="K2383" s="49">
        <v>0</v>
      </c>
      <c r="L2383" s="49">
        <v>156</v>
      </c>
    </row>
    <row r="2384" spans="1:12" x14ac:dyDescent="0.25">
      <c r="A2384" s="45">
        <f>C2384&amp;"."&amp;IFERROR(MID(E2384,FIND("(",E2384)+1,FIND(")",E2384)-FIND("(",E2384)-1),"")</f>
      </c>
      <c r="B2384" s="46" t="s">
        <v>1178</v>
      </c>
      <c r="C2384" s="46">
        <v>78792</v>
      </c>
      <c r="D2384" s="46" t="s">
        <v>4301</v>
      </c>
      <c r="E2384" s="46" t="s">
        <v>4302</v>
      </c>
      <c r="F2384" s="46" t="s">
        <v>25</v>
      </c>
      <c r="G2384" s="47">
        <v>0.5</v>
      </c>
      <c r="H2384" s="48">
        <v>1.718</v>
      </c>
      <c r="I2384" s="48">
        <v>5.155</v>
      </c>
      <c r="J2384" s="49">
        <v>3</v>
      </c>
      <c r="K2384" s="49">
        <v>0</v>
      </c>
      <c r="L2384" s="49">
        <v>3</v>
      </c>
    </row>
    <row r="2385" spans="1:12" x14ac:dyDescent="0.25">
      <c r="A2385" s="45">
        <f>C2385&amp;"."&amp;IFERROR(MID(E2385,FIND("(",E2385)+1,FIND(")",E2385)-FIND("(",E2385)-1),"")</f>
      </c>
      <c r="B2385" s="46" t="s">
        <v>1178</v>
      </c>
      <c r="C2385" s="46">
        <v>78797</v>
      </c>
      <c r="D2385" s="46" t="s">
        <v>4303</v>
      </c>
      <c r="E2385" s="46" t="s">
        <v>1248</v>
      </c>
      <c r="F2385" s="46" t="s">
        <v>25</v>
      </c>
      <c r="G2385" s="47">
        <v>0.31</v>
      </c>
      <c r="H2385" s="48">
        <v>0.835</v>
      </c>
      <c r="I2385" s="48">
        <v>4.175</v>
      </c>
      <c r="J2385" s="49">
        <v>5</v>
      </c>
      <c r="K2385" s="49">
        <v>0</v>
      </c>
      <c r="L2385" s="49">
        <v>5</v>
      </c>
    </row>
    <row r="2386" spans="1:12" x14ac:dyDescent="0.25">
      <c r="A2386" s="45">
        <f>C2386&amp;"."&amp;IFERROR(MID(E2386,FIND("(",E2386)+1,FIND(")",E2386)-FIND("(",E2386)-1),"")</f>
      </c>
      <c r="B2386" s="46" t="s">
        <v>1178</v>
      </c>
      <c r="C2386" s="46">
        <v>78804</v>
      </c>
      <c r="D2386" s="46" t="s">
        <v>4304</v>
      </c>
      <c r="E2386" s="46" t="s">
        <v>1248</v>
      </c>
      <c r="F2386" s="46" t="s">
        <v>24</v>
      </c>
      <c r="G2386" s="47">
        <v>0.23</v>
      </c>
      <c r="H2386" s="48">
        <v>0.663</v>
      </c>
      <c r="I2386" s="48">
        <v>6.631</v>
      </c>
      <c r="J2386" s="49">
        <v>10</v>
      </c>
      <c r="K2386" s="49">
        <v>0</v>
      </c>
      <c r="L2386" s="49">
        <v>10</v>
      </c>
    </row>
    <row r="2387" spans="1:12" x14ac:dyDescent="0.25">
      <c r="A2387" s="45">
        <f>C2387&amp;"."&amp;IFERROR(MID(E2387,FIND("(",E2387)+1,FIND(")",E2387)-FIND("(",E2387)-1),"")</f>
      </c>
      <c r="B2387" s="46" t="s">
        <v>1178</v>
      </c>
      <c r="C2387" s="46">
        <v>78805</v>
      </c>
      <c r="D2387" s="46" t="s">
        <v>4305</v>
      </c>
      <c r="E2387" s="46" t="s">
        <v>4306</v>
      </c>
      <c r="F2387" s="46" t="s">
        <v>24</v>
      </c>
      <c r="G2387" s="47">
        <v>0.78</v>
      </c>
      <c r="H2387" s="48">
        <v>4.618</v>
      </c>
      <c r="I2387" s="48">
        <v>4.618</v>
      </c>
      <c r="J2387" s="49">
        <v>1</v>
      </c>
      <c r="K2387" s="49">
        <v>0</v>
      </c>
      <c r="L2387" s="49">
        <v>1</v>
      </c>
    </row>
    <row r="2388" spans="1:12" x14ac:dyDescent="0.25">
      <c r="A2388" s="45">
        <f>C2388&amp;"."&amp;IFERROR(MID(E2388,FIND("(",E2388)+1,FIND(")",E2388)-FIND("(",E2388)-1),"")</f>
      </c>
      <c r="B2388" s="46" t="s">
        <v>1178</v>
      </c>
      <c r="C2388" s="46">
        <v>78805</v>
      </c>
      <c r="D2388" s="46" t="s">
        <v>4305</v>
      </c>
      <c r="E2388" s="46" t="s">
        <v>4307</v>
      </c>
      <c r="F2388" s="46" t="s">
        <v>24</v>
      </c>
      <c r="G2388" s="47">
        <v>0.78</v>
      </c>
      <c r="H2388" s="48">
        <v>5.303</v>
      </c>
      <c r="I2388" s="48">
        <v>95.45</v>
      </c>
      <c r="J2388" s="49">
        <v>18</v>
      </c>
      <c r="K2388" s="49">
        <v>0</v>
      </c>
      <c r="L2388" s="49">
        <v>18</v>
      </c>
    </row>
    <row r="2389" spans="1:12" x14ac:dyDescent="0.25">
      <c r="A2389" s="45">
        <f>C2389&amp;"."&amp;IFERROR(MID(E2389,FIND("(",E2389)+1,FIND(")",E2389)-FIND("(",E2389)-1),"")</f>
      </c>
      <c r="B2389" s="46" t="s">
        <v>1178</v>
      </c>
      <c r="C2389" s="46">
        <v>78805</v>
      </c>
      <c r="D2389" s="46" t="s">
        <v>4305</v>
      </c>
      <c r="E2389" s="46" t="s">
        <v>4308</v>
      </c>
      <c r="F2389" s="46" t="s">
        <v>24</v>
      </c>
      <c r="G2389" s="47">
        <v>0.78</v>
      </c>
      <c r="H2389" s="48">
        <v>4.887</v>
      </c>
      <c r="I2389" s="48">
        <v>39.098</v>
      </c>
      <c r="J2389" s="49">
        <v>8</v>
      </c>
      <c r="K2389" s="49">
        <v>0</v>
      </c>
      <c r="L2389" s="49">
        <v>8</v>
      </c>
    </row>
    <row r="2390" spans="1:12" x14ac:dyDescent="0.25">
      <c r="A2390" s="45">
        <f>C2390&amp;"."&amp;IFERROR(MID(E2390,FIND("(",E2390)+1,FIND(")",E2390)-FIND("(",E2390)-1),"")</f>
      </c>
      <c r="B2390" s="46" t="s">
        <v>1178</v>
      </c>
      <c r="C2390" s="46">
        <v>78805</v>
      </c>
      <c r="D2390" s="46" t="s">
        <v>4305</v>
      </c>
      <c r="E2390" s="46" t="s">
        <v>4309</v>
      </c>
      <c r="F2390" s="46" t="s">
        <v>24</v>
      </c>
      <c r="G2390" s="47">
        <v>0.78</v>
      </c>
      <c r="H2390" s="48">
        <v>4.986</v>
      </c>
      <c r="I2390" s="48">
        <v>24.932</v>
      </c>
      <c r="J2390" s="49">
        <v>5</v>
      </c>
      <c r="K2390" s="49">
        <v>0</v>
      </c>
      <c r="L2390" s="49">
        <v>5</v>
      </c>
    </row>
    <row r="2391" spans="1:12" x14ac:dyDescent="0.25">
      <c r="A2391" s="45">
        <f>C2391&amp;"."&amp;IFERROR(MID(E2391,FIND("(",E2391)+1,FIND(")",E2391)-FIND("(",E2391)-1),"")</f>
      </c>
      <c r="B2391" s="46" t="s">
        <v>1178</v>
      </c>
      <c r="C2391" s="46">
        <v>78807</v>
      </c>
      <c r="D2391" s="46" t="s">
        <v>4310</v>
      </c>
      <c r="E2391" s="46" t="s">
        <v>4311</v>
      </c>
      <c r="F2391" s="46" t="s">
        <v>24</v>
      </c>
      <c r="G2391" s="47">
        <v>0.3</v>
      </c>
      <c r="H2391" s="48">
        <v>0.954</v>
      </c>
      <c r="I2391" s="48">
        <v>12.399</v>
      </c>
      <c r="J2391" s="49">
        <v>13</v>
      </c>
      <c r="K2391" s="49">
        <v>0</v>
      </c>
      <c r="L2391" s="49">
        <v>13</v>
      </c>
    </row>
    <row r="2392" spans="1:12" x14ac:dyDescent="0.25">
      <c r="A2392" s="45">
        <f>C2392&amp;"."&amp;IFERROR(MID(E2392,FIND("(",E2392)+1,FIND(")",E2392)-FIND("(",E2392)-1),"")</f>
      </c>
      <c r="B2392" s="46" t="s">
        <v>1178</v>
      </c>
      <c r="C2392" s="46">
        <v>78807</v>
      </c>
      <c r="D2392" s="46" t="s">
        <v>4310</v>
      </c>
      <c r="E2392" s="46" t="s">
        <v>4312</v>
      </c>
      <c r="F2392" s="46" t="s">
        <v>24</v>
      </c>
      <c r="G2392" s="47">
        <v>0.3</v>
      </c>
      <c r="H2392" s="48">
        <v>0.625</v>
      </c>
      <c r="I2392" s="48">
        <v>2.499</v>
      </c>
      <c r="J2392" s="49">
        <v>4</v>
      </c>
      <c r="K2392" s="49">
        <v>0</v>
      </c>
      <c r="L2392" s="49">
        <v>4</v>
      </c>
    </row>
    <row r="2393" spans="1:12" x14ac:dyDescent="0.25">
      <c r="A2393" s="45">
        <f>C2393&amp;"."&amp;IFERROR(MID(E2393,FIND("(",E2393)+1,FIND(")",E2393)-FIND("(",E2393)-1),"")</f>
      </c>
      <c r="B2393" s="46" t="s">
        <v>1178</v>
      </c>
      <c r="C2393" s="46">
        <v>78807</v>
      </c>
      <c r="D2393" s="46" t="s">
        <v>4310</v>
      </c>
      <c r="E2393" s="46" t="s">
        <v>4313</v>
      </c>
      <c r="F2393" s="46" t="s">
        <v>24</v>
      </c>
      <c r="G2393" s="47">
        <v>0.3</v>
      </c>
      <c r="H2393" s="48">
        <v>1.01</v>
      </c>
      <c r="I2393" s="48">
        <v>1.01</v>
      </c>
      <c r="J2393" s="49">
        <v>1</v>
      </c>
      <c r="K2393" s="49">
        <v>0</v>
      </c>
      <c r="L2393" s="49">
        <v>1</v>
      </c>
    </row>
    <row r="2394" spans="1:12" x14ac:dyDescent="0.25">
      <c r="A2394" s="45">
        <f>C2394&amp;"."&amp;IFERROR(MID(E2394,FIND("(",E2394)+1,FIND(")",E2394)-FIND("(",E2394)-1),"")</f>
      </c>
      <c r="B2394" s="46" t="s">
        <v>1178</v>
      </c>
      <c r="C2394" s="46">
        <v>78809</v>
      </c>
      <c r="D2394" s="46" t="s">
        <v>4314</v>
      </c>
      <c r="E2394" s="46" t="s">
        <v>4315</v>
      </c>
      <c r="F2394" s="46" t="s">
        <v>24</v>
      </c>
      <c r="G2394" s="47">
        <v>0.34</v>
      </c>
      <c r="H2394" s="48">
        <v>1.295</v>
      </c>
      <c r="I2394" s="48">
        <v>14.243</v>
      </c>
      <c r="J2394" s="49">
        <v>11</v>
      </c>
      <c r="K2394" s="49">
        <v>0</v>
      </c>
      <c r="L2394" s="49">
        <v>11</v>
      </c>
    </row>
    <row r="2395" spans="1:12" x14ac:dyDescent="0.25">
      <c r="A2395" s="45">
        <f>C2395&amp;"."&amp;IFERROR(MID(E2395,FIND("(",E2395)+1,FIND(")",E2395)-FIND("(",E2395)-1),"")</f>
      </c>
      <c r="B2395" s="46" t="s">
        <v>1178</v>
      </c>
      <c r="C2395" s="46">
        <v>78809</v>
      </c>
      <c r="D2395" s="46" t="s">
        <v>4314</v>
      </c>
      <c r="E2395" s="46" t="s">
        <v>4316</v>
      </c>
      <c r="F2395" s="46" t="s">
        <v>24</v>
      </c>
      <c r="G2395" s="47">
        <v>0.34</v>
      </c>
      <c r="H2395" s="48">
        <v>1.09</v>
      </c>
      <c r="I2395" s="48">
        <v>1.09</v>
      </c>
      <c r="J2395" s="49">
        <v>1</v>
      </c>
      <c r="K2395" s="49">
        <v>0</v>
      </c>
      <c r="L2395" s="49">
        <v>1</v>
      </c>
    </row>
    <row r="2396" spans="1:12" x14ac:dyDescent="0.25">
      <c r="A2396" s="45">
        <f>C2396&amp;"."&amp;IFERROR(MID(E2396,FIND("(",E2396)+1,FIND(")",E2396)-FIND("(",E2396)-1),"")</f>
      </c>
      <c r="B2396" s="46" t="s">
        <v>1178</v>
      </c>
      <c r="C2396" s="46">
        <v>78810</v>
      </c>
      <c r="D2396" s="46" t="s">
        <v>4317</v>
      </c>
      <c r="E2396" s="46" t="s">
        <v>4318</v>
      </c>
      <c r="F2396" s="46" t="s">
        <v>24</v>
      </c>
      <c r="G2396" s="47">
        <v>0.34</v>
      </c>
      <c r="H2396" s="48">
        <v>1.09</v>
      </c>
      <c r="I2396" s="48">
        <v>1.09</v>
      </c>
      <c r="J2396" s="49">
        <v>1</v>
      </c>
      <c r="K2396" s="49">
        <v>0</v>
      </c>
      <c r="L2396" s="49">
        <v>1</v>
      </c>
    </row>
    <row r="2397" spans="1:12" x14ac:dyDescent="0.25">
      <c r="A2397" s="45">
        <f>C2397&amp;"."&amp;IFERROR(MID(E2397,FIND("(",E2397)+1,FIND(")",E2397)-FIND("(",E2397)-1),"")</f>
      </c>
      <c r="B2397" s="46" t="s">
        <v>1178</v>
      </c>
      <c r="C2397" s="46">
        <v>78810</v>
      </c>
      <c r="D2397" s="46" t="s">
        <v>4317</v>
      </c>
      <c r="E2397" s="46" t="s">
        <v>4319</v>
      </c>
      <c r="F2397" s="46" t="s">
        <v>24</v>
      </c>
      <c r="G2397" s="47">
        <v>0.34</v>
      </c>
      <c r="H2397" s="48">
        <v>1.364</v>
      </c>
      <c r="I2397" s="48">
        <v>16.374</v>
      </c>
      <c r="J2397" s="49">
        <v>12</v>
      </c>
      <c r="K2397" s="49">
        <v>0</v>
      </c>
      <c r="L2397" s="49">
        <v>12</v>
      </c>
    </row>
    <row r="2398" spans="1:12" x14ac:dyDescent="0.25">
      <c r="A2398" s="45">
        <f>C2398&amp;"."&amp;IFERROR(MID(E2398,FIND("(",E2398)+1,FIND(")",E2398)-FIND("(",E2398)-1),"")</f>
      </c>
      <c r="B2398" s="46" t="s">
        <v>1178</v>
      </c>
      <c r="C2398" s="46">
        <v>78813</v>
      </c>
      <c r="D2398" s="46" t="s">
        <v>4320</v>
      </c>
      <c r="E2398" s="46" t="s">
        <v>4321</v>
      </c>
      <c r="F2398" s="46" t="s">
        <v>24</v>
      </c>
      <c r="G2398" s="47">
        <v>2.02</v>
      </c>
      <c r="H2398" s="48">
        <v>6.515</v>
      </c>
      <c r="I2398" s="48">
        <v>117.263</v>
      </c>
      <c r="J2398" s="49">
        <v>18</v>
      </c>
      <c r="K2398" s="49">
        <v>0</v>
      </c>
      <c r="L2398" s="49">
        <v>18</v>
      </c>
    </row>
    <row r="2399" spans="1:12" x14ac:dyDescent="0.25">
      <c r="A2399" s="45">
        <f>C2399&amp;"."&amp;IFERROR(MID(E2399,FIND("(",E2399)+1,FIND(")",E2399)-FIND("(",E2399)-1),"")</f>
      </c>
      <c r="B2399" s="46" t="s">
        <v>1178</v>
      </c>
      <c r="C2399" s="46">
        <v>78813</v>
      </c>
      <c r="D2399" s="46" t="s">
        <v>4320</v>
      </c>
      <c r="E2399" s="46" t="s">
        <v>4322</v>
      </c>
      <c r="F2399" s="46" t="s">
        <v>24</v>
      </c>
      <c r="G2399" s="47">
        <v>2.02</v>
      </c>
      <c r="H2399" s="48">
        <v>6.276</v>
      </c>
      <c r="I2399" s="48">
        <v>81.583</v>
      </c>
      <c r="J2399" s="49">
        <v>13</v>
      </c>
      <c r="K2399" s="49">
        <v>0</v>
      </c>
      <c r="L2399" s="49">
        <v>13</v>
      </c>
    </row>
    <row r="2400" spans="1:12" x14ac:dyDescent="0.25">
      <c r="A2400" s="45">
        <f>C2400&amp;"."&amp;IFERROR(MID(E2400,FIND("(",E2400)+1,FIND(")",E2400)-FIND("(",E2400)-1),"")</f>
      </c>
      <c r="B2400" s="46" t="s">
        <v>1178</v>
      </c>
      <c r="C2400" s="46">
        <v>78814</v>
      </c>
      <c r="D2400" s="46" t="s">
        <v>4323</v>
      </c>
      <c r="E2400" s="46" t="s">
        <v>4324</v>
      </c>
      <c r="F2400" s="46" t="s">
        <v>24</v>
      </c>
      <c r="G2400" s="47">
        <v>2.02</v>
      </c>
      <c r="H2400" s="48">
        <v>6.196</v>
      </c>
      <c r="I2400" s="48">
        <v>105.334</v>
      </c>
      <c r="J2400" s="49">
        <v>17</v>
      </c>
      <c r="K2400" s="49">
        <v>3</v>
      </c>
      <c r="L2400" s="49">
        <v>14</v>
      </c>
    </row>
    <row r="2401" spans="1:12" x14ac:dyDescent="0.25">
      <c r="A2401" s="45">
        <f>C2401&amp;"."&amp;IFERROR(MID(E2401,FIND("(",E2401)+1,FIND(")",E2401)-FIND("(",E2401)-1),"")</f>
      </c>
      <c r="B2401" s="46" t="s">
        <v>1178</v>
      </c>
      <c r="C2401" s="46">
        <v>78814</v>
      </c>
      <c r="D2401" s="46" t="s">
        <v>4323</v>
      </c>
      <c r="E2401" s="46" t="s">
        <v>4325</v>
      </c>
      <c r="F2401" s="46" t="s">
        <v>24</v>
      </c>
      <c r="G2401" s="47">
        <v>2.02</v>
      </c>
      <c r="H2401" s="48">
        <v>6.958</v>
      </c>
      <c r="I2401" s="48">
        <v>41.745</v>
      </c>
      <c r="J2401" s="49">
        <v>6</v>
      </c>
      <c r="K2401" s="49">
        <v>1</v>
      </c>
      <c r="L2401" s="49">
        <v>5</v>
      </c>
    </row>
    <row r="2402" spans="1:12" x14ac:dyDescent="0.25">
      <c r="A2402" s="45">
        <f>C2402&amp;"."&amp;IFERROR(MID(E2402,FIND("(",E2402)+1,FIND(")",E2402)-FIND("(",E2402)-1),"")</f>
      </c>
      <c r="B2402" s="46" t="s">
        <v>1178</v>
      </c>
      <c r="C2402" s="46">
        <v>78814</v>
      </c>
      <c r="D2402" s="46" t="s">
        <v>4323</v>
      </c>
      <c r="E2402" s="46" t="s">
        <v>4326</v>
      </c>
      <c r="F2402" s="46" t="s">
        <v>24</v>
      </c>
      <c r="G2402" s="47">
        <v>2.02</v>
      </c>
      <c r="H2402" s="48">
        <v>6.132</v>
      </c>
      <c r="I2402" s="48">
        <v>85.846</v>
      </c>
      <c r="J2402" s="49">
        <v>14</v>
      </c>
      <c r="K2402" s="49">
        <v>1</v>
      </c>
      <c r="L2402" s="49">
        <v>13</v>
      </c>
    </row>
    <row r="2403" spans="1:12" x14ac:dyDescent="0.25">
      <c r="A2403" s="45">
        <f>C2403&amp;"."&amp;IFERROR(MID(E2403,FIND("(",E2403)+1,FIND(")",E2403)-FIND("(",E2403)-1),"")</f>
      </c>
      <c r="B2403" s="46" t="s">
        <v>1178</v>
      </c>
      <c r="C2403" s="46">
        <v>78815</v>
      </c>
      <c r="D2403" s="46" t="s">
        <v>4327</v>
      </c>
      <c r="E2403" s="46" t="s">
        <v>4328</v>
      </c>
      <c r="F2403" s="46" t="s">
        <v>24</v>
      </c>
      <c r="G2403" s="47">
        <v>0.27</v>
      </c>
      <c r="H2403" s="48">
        <v>0.682</v>
      </c>
      <c r="I2403" s="48">
        <v>8.181</v>
      </c>
      <c r="J2403" s="49">
        <v>12</v>
      </c>
      <c r="K2403" s="49">
        <v>0</v>
      </c>
      <c r="L2403" s="49">
        <v>12</v>
      </c>
    </row>
    <row r="2404" spans="1:12" x14ac:dyDescent="0.25">
      <c r="A2404" s="45">
        <f>C2404&amp;"."&amp;IFERROR(MID(E2404,FIND("(",E2404)+1,FIND(")",E2404)-FIND("(",E2404)-1),"")</f>
      </c>
      <c r="B2404" s="46" t="s">
        <v>1178</v>
      </c>
      <c r="C2404" s="46">
        <v>78815</v>
      </c>
      <c r="D2404" s="46" t="s">
        <v>4327</v>
      </c>
      <c r="E2404" s="46" t="s">
        <v>4329</v>
      </c>
      <c r="F2404" s="46" t="s">
        <v>24</v>
      </c>
      <c r="G2404" s="47">
        <v>0.27</v>
      </c>
      <c r="H2404" s="48">
        <v>0.62</v>
      </c>
      <c r="I2404" s="48">
        <v>3.098</v>
      </c>
      <c r="J2404" s="49">
        <v>5</v>
      </c>
      <c r="K2404" s="49">
        <v>0</v>
      </c>
      <c r="L2404" s="49">
        <v>5</v>
      </c>
    </row>
    <row r="2405" spans="1:12" x14ac:dyDescent="0.25">
      <c r="A2405" s="45">
        <f>C2405&amp;"."&amp;IFERROR(MID(E2405,FIND("(",E2405)+1,FIND(")",E2405)-FIND("(",E2405)-1),"")</f>
      </c>
      <c r="B2405" s="46" t="s">
        <v>1178</v>
      </c>
      <c r="C2405" s="46">
        <v>78815</v>
      </c>
      <c r="D2405" s="46" t="s">
        <v>4327</v>
      </c>
      <c r="E2405" s="46" t="s">
        <v>4330</v>
      </c>
      <c r="F2405" s="46" t="s">
        <v>24</v>
      </c>
      <c r="G2405" s="47">
        <v>0.27</v>
      </c>
      <c r="H2405" s="48">
        <v>0.8</v>
      </c>
      <c r="I2405" s="48">
        <v>0.8</v>
      </c>
      <c r="J2405" s="49">
        <v>1</v>
      </c>
      <c r="K2405" s="49">
        <v>0</v>
      </c>
      <c r="L2405" s="49">
        <v>1</v>
      </c>
    </row>
    <row r="2406" spans="1:12" x14ac:dyDescent="0.25">
      <c r="A2406" s="45">
        <f>C2406&amp;"."&amp;IFERROR(MID(E2406,FIND("(",E2406)+1,FIND(")",E2406)-FIND("(",E2406)-1),"")</f>
      </c>
      <c r="B2406" s="46" t="s">
        <v>1178</v>
      </c>
      <c r="C2406" s="46">
        <v>78816</v>
      </c>
      <c r="D2406" s="46" t="s">
        <v>4331</v>
      </c>
      <c r="E2406" s="46" t="s">
        <v>1248</v>
      </c>
      <c r="F2406" s="46" t="s">
        <v>24</v>
      </c>
      <c r="G2406" s="47">
        <v>0.3</v>
      </c>
      <c r="H2406" s="48">
        <v>0.341</v>
      </c>
      <c r="I2406" s="48">
        <v>3.072</v>
      </c>
      <c r="J2406" s="49">
        <v>9</v>
      </c>
      <c r="K2406" s="49">
        <v>0</v>
      </c>
      <c r="L2406" s="49">
        <v>9</v>
      </c>
    </row>
    <row r="2407" spans="1:12" x14ac:dyDescent="0.25">
      <c r="A2407" s="45">
        <f>C2407&amp;"."&amp;IFERROR(MID(E2407,FIND("(",E2407)+1,FIND(")",E2407)-FIND("(",E2407)-1),"")</f>
      </c>
      <c r="B2407" s="46" t="s">
        <v>1178</v>
      </c>
      <c r="C2407" s="46">
        <v>78818</v>
      </c>
      <c r="D2407" s="46" t="s">
        <v>4332</v>
      </c>
      <c r="E2407" s="46" t="s">
        <v>4333</v>
      </c>
      <c r="F2407" s="46" t="s">
        <v>24</v>
      </c>
      <c r="G2407" s="47">
        <v>3.06</v>
      </c>
      <c r="H2407" s="48">
        <v>10.041</v>
      </c>
      <c r="I2407" s="48">
        <v>40.165</v>
      </c>
      <c r="J2407" s="49">
        <v>4</v>
      </c>
      <c r="K2407" s="49">
        <v>0</v>
      </c>
      <c r="L2407" s="49">
        <v>4</v>
      </c>
    </row>
    <row r="2408" spans="1:12" x14ac:dyDescent="0.25">
      <c r="A2408" s="45">
        <f>C2408&amp;"."&amp;IFERROR(MID(E2408,FIND("(",E2408)+1,FIND(")",E2408)-FIND("(",E2408)-1),"")</f>
      </c>
      <c r="B2408" s="46" t="s">
        <v>1178</v>
      </c>
      <c r="C2408" s="46">
        <v>78818</v>
      </c>
      <c r="D2408" s="46" t="s">
        <v>4332</v>
      </c>
      <c r="E2408" s="46" t="s">
        <v>4334</v>
      </c>
      <c r="F2408" s="46" t="s">
        <v>24</v>
      </c>
      <c r="G2408" s="47">
        <v>3.06</v>
      </c>
      <c r="H2408" s="48">
        <v>15.398</v>
      </c>
      <c r="I2408" s="48">
        <v>107.783</v>
      </c>
      <c r="J2408" s="49">
        <v>7</v>
      </c>
      <c r="K2408" s="49">
        <v>1</v>
      </c>
      <c r="L2408" s="49">
        <v>6</v>
      </c>
    </row>
    <row r="2409" spans="1:12" x14ac:dyDescent="0.25">
      <c r="A2409" s="45">
        <f>C2409&amp;"."&amp;IFERROR(MID(E2409,FIND("(",E2409)+1,FIND(")",E2409)-FIND("(",E2409)-1),"")</f>
      </c>
      <c r="B2409" s="46" t="s">
        <v>1178</v>
      </c>
      <c r="C2409" s="46">
        <v>78818</v>
      </c>
      <c r="D2409" s="46" t="s">
        <v>4332</v>
      </c>
      <c r="E2409" s="46" t="s">
        <v>4335</v>
      </c>
      <c r="F2409" s="46" t="s">
        <v>24</v>
      </c>
      <c r="G2409" s="47">
        <v>3.06</v>
      </c>
      <c r="H2409" s="48">
        <v>6.788</v>
      </c>
      <c r="I2409" s="48">
        <v>95.027</v>
      </c>
      <c r="J2409" s="49">
        <v>14</v>
      </c>
      <c r="K2409" s="49">
        <v>1</v>
      </c>
      <c r="L2409" s="49">
        <v>13</v>
      </c>
    </row>
    <row r="2410" spans="1:12" x14ac:dyDescent="0.25">
      <c r="A2410" s="45">
        <f>C2410&amp;"."&amp;IFERROR(MID(E2410,FIND("(",E2410)+1,FIND(")",E2410)-FIND("(",E2410)-1),"")</f>
      </c>
      <c r="B2410" s="46" t="s">
        <v>1178</v>
      </c>
      <c r="C2410" s="46">
        <v>78819</v>
      </c>
      <c r="D2410" s="46" t="s">
        <v>4336</v>
      </c>
      <c r="E2410" s="46" t="s">
        <v>4337</v>
      </c>
      <c r="F2410" s="46" t="s">
        <v>24</v>
      </c>
      <c r="G2410" s="47">
        <v>0.3</v>
      </c>
      <c r="H2410" s="48">
        <v>5</v>
      </c>
      <c r="I2410" s="48">
        <v>10</v>
      </c>
      <c r="J2410" s="49">
        <v>2</v>
      </c>
      <c r="K2410" s="49">
        <v>0</v>
      </c>
      <c r="L2410" s="49">
        <v>2</v>
      </c>
    </row>
    <row r="2411" spans="1:12" x14ac:dyDescent="0.25">
      <c r="A2411" s="45">
        <f>C2411&amp;"."&amp;IFERROR(MID(E2411,FIND("(",E2411)+1,FIND(")",E2411)-FIND("(",E2411)-1),"")</f>
      </c>
      <c r="B2411" s="46" t="s">
        <v>1178</v>
      </c>
      <c r="C2411" s="46">
        <v>78819</v>
      </c>
      <c r="D2411" s="46" t="s">
        <v>4336</v>
      </c>
      <c r="E2411" s="46" t="s">
        <v>4338</v>
      </c>
      <c r="F2411" s="46" t="s">
        <v>24</v>
      </c>
      <c r="G2411" s="47">
        <v>0.3</v>
      </c>
      <c r="H2411" s="48">
        <v>0.96</v>
      </c>
      <c r="I2411" s="48">
        <v>5.762</v>
      </c>
      <c r="J2411" s="49">
        <v>6</v>
      </c>
      <c r="K2411" s="49">
        <v>0</v>
      </c>
      <c r="L2411" s="49">
        <v>6</v>
      </c>
    </row>
    <row r="2412" spans="1:12" x14ac:dyDescent="0.25">
      <c r="A2412" s="45">
        <f>C2412&amp;"."&amp;IFERROR(MID(E2412,FIND("(",E2412)+1,FIND(")",E2412)-FIND("(",E2412)-1),"")</f>
      </c>
      <c r="B2412" s="46" t="s">
        <v>1178</v>
      </c>
      <c r="C2412" s="46">
        <v>78819</v>
      </c>
      <c r="D2412" s="46" t="s">
        <v>4336</v>
      </c>
      <c r="E2412" s="46" t="s">
        <v>4339</v>
      </c>
      <c r="F2412" s="46" t="s">
        <v>24</v>
      </c>
      <c r="G2412" s="47">
        <v>0.3</v>
      </c>
      <c r="H2412" s="48">
        <v>0.948</v>
      </c>
      <c r="I2412" s="48">
        <v>12.326</v>
      </c>
      <c r="J2412" s="49">
        <v>13</v>
      </c>
      <c r="K2412" s="49">
        <v>0</v>
      </c>
      <c r="L2412" s="49">
        <v>13</v>
      </c>
    </row>
    <row r="2413" spans="1:12" x14ac:dyDescent="0.25">
      <c r="A2413" s="45">
        <f>C2413&amp;"."&amp;IFERROR(MID(E2413,FIND("(",E2413)+1,FIND(")",E2413)-FIND("(",E2413)-1),"")</f>
      </c>
      <c r="B2413" s="46" t="s">
        <v>1178</v>
      </c>
      <c r="C2413" s="46">
        <v>78823</v>
      </c>
      <c r="D2413" s="46" t="s">
        <v>4340</v>
      </c>
      <c r="E2413" s="46" t="s">
        <v>4341</v>
      </c>
      <c r="F2413" s="46" t="s">
        <v>25</v>
      </c>
      <c r="G2413" s="47">
        <v>2.57</v>
      </c>
      <c r="H2413" s="48">
        <v>10.028</v>
      </c>
      <c r="I2413" s="48">
        <v>60.168</v>
      </c>
      <c r="J2413" s="49">
        <v>6</v>
      </c>
      <c r="K2413" s="49">
        <v>0</v>
      </c>
      <c r="L2413" s="49">
        <v>6</v>
      </c>
    </row>
    <row r="2414" spans="1:12" x14ac:dyDescent="0.25">
      <c r="A2414" s="45">
        <f>C2414&amp;"."&amp;IFERROR(MID(E2414,FIND("(",E2414)+1,FIND(")",E2414)-FIND("(",E2414)-1),"")</f>
      </c>
      <c r="B2414" s="46" t="s">
        <v>1178</v>
      </c>
      <c r="C2414" s="46">
        <v>78823</v>
      </c>
      <c r="D2414" s="46" t="s">
        <v>4340</v>
      </c>
      <c r="E2414" s="46" t="s">
        <v>4342</v>
      </c>
      <c r="F2414" s="46" t="s">
        <v>25</v>
      </c>
      <c r="G2414" s="47">
        <v>2.57</v>
      </c>
      <c r="H2414" s="48">
        <v>2.999</v>
      </c>
      <c r="I2414" s="48">
        <v>11.994</v>
      </c>
      <c r="J2414" s="49">
        <v>4</v>
      </c>
      <c r="K2414" s="49">
        <v>0</v>
      </c>
      <c r="L2414" s="49">
        <v>4</v>
      </c>
    </row>
    <row r="2415" spans="1:12" x14ac:dyDescent="0.25">
      <c r="A2415" s="45">
        <f>C2415&amp;"."&amp;IFERROR(MID(E2415,FIND("(",E2415)+1,FIND(")",E2415)-FIND("(",E2415)-1),"")</f>
      </c>
      <c r="B2415" s="46" t="s">
        <v>1178</v>
      </c>
      <c r="C2415" s="46">
        <v>78823</v>
      </c>
      <c r="D2415" s="46" t="s">
        <v>4340</v>
      </c>
      <c r="E2415" s="46" t="s">
        <v>4343</v>
      </c>
      <c r="F2415" s="46" t="s">
        <v>25</v>
      </c>
      <c r="G2415" s="47">
        <v>2.57</v>
      </c>
      <c r="H2415" s="48">
        <v>11.356</v>
      </c>
      <c r="I2415" s="48">
        <v>147.63</v>
      </c>
      <c r="J2415" s="49">
        <v>13</v>
      </c>
      <c r="K2415" s="49">
        <v>8</v>
      </c>
      <c r="L2415" s="49">
        <v>5</v>
      </c>
    </row>
    <row r="2416" spans="1:12" x14ac:dyDescent="0.25">
      <c r="A2416" s="45">
        <f>C2416&amp;"."&amp;IFERROR(MID(E2416,FIND("(",E2416)+1,FIND(")",E2416)-FIND("(",E2416)-1),"")</f>
      </c>
      <c r="B2416" s="46" t="s">
        <v>1178</v>
      </c>
      <c r="C2416" s="46">
        <v>78824</v>
      </c>
      <c r="D2416" s="46" t="s">
        <v>4344</v>
      </c>
      <c r="E2416" s="46" t="s">
        <v>4345</v>
      </c>
      <c r="F2416" s="46" t="s">
        <v>25</v>
      </c>
      <c r="G2416" s="47">
        <v>0</v>
      </c>
      <c r="H2416" s="48">
        <v>10.431</v>
      </c>
      <c r="I2416" s="48">
        <v>10.431</v>
      </c>
      <c r="J2416" s="49">
        <v>1</v>
      </c>
      <c r="K2416" s="49">
        <v>0</v>
      </c>
      <c r="L2416" s="49">
        <v>1</v>
      </c>
    </row>
    <row r="2417" spans="1:12" x14ac:dyDescent="0.25">
      <c r="A2417" s="45">
        <f>C2417&amp;"."&amp;IFERROR(MID(E2417,FIND("(",E2417)+1,FIND(")",E2417)-FIND("(",E2417)-1),"")</f>
      </c>
      <c r="B2417" s="46" t="s">
        <v>1178</v>
      </c>
      <c r="C2417" s="46">
        <v>78826</v>
      </c>
      <c r="D2417" s="46" t="s">
        <v>4346</v>
      </c>
      <c r="E2417" s="46" t="s">
        <v>4347</v>
      </c>
      <c r="F2417" s="46" t="s">
        <v>25</v>
      </c>
      <c r="G2417" s="47">
        <v>0.42</v>
      </c>
      <c r="H2417" s="48">
        <v>3.407</v>
      </c>
      <c r="I2417" s="48">
        <v>40.887</v>
      </c>
      <c r="J2417" s="49">
        <v>12</v>
      </c>
      <c r="K2417" s="49">
        <v>6</v>
      </c>
      <c r="L2417" s="49">
        <v>6</v>
      </c>
    </row>
    <row r="2418" spans="1:12" x14ac:dyDescent="0.25">
      <c r="A2418" s="45">
        <f>C2418&amp;"."&amp;IFERROR(MID(E2418,FIND("(",E2418)+1,FIND(")",E2418)-FIND("(",E2418)-1),"")</f>
      </c>
      <c r="B2418" s="46" t="s">
        <v>1178</v>
      </c>
      <c r="C2418" s="46">
        <v>78826</v>
      </c>
      <c r="D2418" s="46" t="s">
        <v>4346</v>
      </c>
      <c r="E2418" s="46" t="s">
        <v>4348</v>
      </c>
      <c r="F2418" s="46" t="s">
        <v>25</v>
      </c>
      <c r="G2418" s="47">
        <v>0.42</v>
      </c>
      <c r="H2418" s="48">
        <v>4.04</v>
      </c>
      <c r="I2418" s="48">
        <v>24.239</v>
      </c>
      <c r="J2418" s="49">
        <v>6</v>
      </c>
      <c r="K2418" s="49">
        <v>0</v>
      </c>
      <c r="L2418" s="49">
        <v>6</v>
      </c>
    </row>
    <row r="2419" spans="1:12" x14ac:dyDescent="0.25">
      <c r="A2419" s="45">
        <f>C2419&amp;"."&amp;IFERROR(MID(E2419,FIND("(",E2419)+1,FIND(")",E2419)-FIND("(",E2419)-1),"")</f>
      </c>
      <c r="B2419" s="46" t="s">
        <v>1178</v>
      </c>
      <c r="C2419" s="46">
        <v>78827</v>
      </c>
      <c r="D2419" s="46" t="s">
        <v>4349</v>
      </c>
      <c r="E2419" s="46" t="s">
        <v>4350</v>
      </c>
      <c r="F2419" s="46" t="s">
        <v>25</v>
      </c>
      <c r="G2419" s="47">
        <v>0.95</v>
      </c>
      <c r="H2419" s="48">
        <v>10.563</v>
      </c>
      <c r="I2419" s="48">
        <v>158.444</v>
      </c>
      <c r="J2419" s="49">
        <v>15</v>
      </c>
      <c r="K2419" s="49">
        <v>2</v>
      </c>
      <c r="L2419" s="49">
        <v>13</v>
      </c>
    </row>
    <row r="2420" spans="1:12" x14ac:dyDescent="0.25">
      <c r="A2420" s="45">
        <f>C2420&amp;"."&amp;IFERROR(MID(E2420,FIND("(",E2420)+1,FIND(")",E2420)-FIND("(",E2420)-1),"")</f>
      </c>
      <c r="B2420" s="46" t="s">
        <v>1178</v>
      </c>
      <c r="C2420" s="46">
        <v>78827</v>
      </c>
      <c r="D2420" s="46" t="s">
        <v>4349</v>
      </c>
      <c r="E2420" s="46" t="s">
        <v>4351</v>
      </c>
      <c r="F2420" s="46" t="s">
        <v>25</v>
      </c>
      <c r="G2420" s="47">
        <v>0.95</v>
      </c>
      <c r="H2420" s="48">
        <v>5.99</v>
      </c>
      <c r="I2420" s="48">
        <v>23.96</v>
      </c>
      <c r="J2420" s="49">
        <v>4</v>
      </c>
      <c r="K2420" s="49">
        <v>0</v>
      </c>
      <c r="L2420" s="49">
        <v>4</v>
      </c>
    </row>
    <row r="2421" spans="1:12" x14ac:dyDescent="0.25">
      <c r="A2421" s="45">
        <f>C2421&amp;"."&amp;IFERROR(MID(E2421,FIND("(",E2421)+1,FIND(")",E2421)-FIND("(",E2421)-1),"")</f>
      </c>
      <c r="B2421" s="46" t="s">
        <v>1178</v>
      </c>
      <c r="C2421" s="46">
        <v>78828</v>
      </c>
      <c r="D2421" s="46" t="s">
        <v>4352</v>
      </c>
      <c r="E2421" s="46" t="s">
        <v>4353</v>
      </c>
      <c r="F2421" s="46" t="s">
        <v>25</v>
      </c>
      <c r="G2421" s="47">
        <v>0.95</v>
      </c>
      <c r="H2421" s="48">
        <v>10.629</v>
      </c>
      <c r="I2421" s="48">
        <v>74.4</v>
      </c>
      <c r="J2421" s="49">
        <v>7</v>
      </c>
      <c r="K2421" s="49">
        <v>3</v>
      </c>
      <c r="L2421" s="49">
        <v>4</v>
      </c>
    </row>
    <row r="2422" spans="1:12" x14ac:dyDescent="0.25">
      <c r="A2422" s="45">
        <f>C2422&amp;"."&amp;IFERROR(MID(E2422,FIND("(",E2422)+1,FIND(")",E2422)-FIND("(",E2422)-1),"")</f>
      </c>
      <c r="B2422" s="46" t="s">
        <v>1178</v>
      </c>
      <c r="C2422" s="46">
        <v>78828</v>
      </c>
      <c r="D2422" s="46" t="s">
        <v>4352</v>
      </c>
      <c r="E2422" s="46" t="s">
        <v>4354</v>
      </c>
      <c r="F2422" s="46" t="s">
        <v>25</v>
      </c>
      <c r="G2422" s="47">
        <v>0.95</v>
      </c>
      <c r="H2422" s="48">
        <v>5.99</v>
      </c>
      <c r="I2422" s="48">
        <v>11.98</v>
      </c>
      <c r="J2422" s="49">
        <v>2</v>
      </c>
      <c r="K2422" s="49">
        <v>0</v>
      </c>
      <c r="L2422" s="49">
        <v>2</v>
      </c>
    </row>
    <row r="2423" spans="1:12" x14ac:dyDescent="0.25">
      <c r="A2423" s="45">
        <f>C2423&amp;"."&amp;IFERROR(MID(E2423,FIND("(",E2423)+1,FIND(")",E2423)-FIND("(",E2423)-1),"")</f>
      </c>
      <c r="B2423" s="46" t="s">
        <v>1178</v>
      </c>
      <c r="C2423" s="46">
        <v>78830</v>
      </c>
      <c r="D2423" s="46" t="s">
        <v>4355</v>
      </c>
      <c r="E2423" s="46" t="s">
        <v>4356</v>
      </c>
      <c r="F2423" s="46" t="s">
        <v>25</v>
      </c>
      <c r="G2423" s="47">
        <v>0.36</v>
      </c>
      <c r="H2423" s="48">
        <v>0.394</v>
      </c>
      <c r="I2423" s="48">
        <v>1.97</v>
      </c>
      <c r="J2423" s="49">
        <v>5</v>
      </c>
      <c r="K2423" s="49">
        <v>5</v>
      </c>
      <c r="L2423" s="49">
        <v>0</v>
      </c>
    </row>
    <row r="2424" spans="1:12" x14ac:dyDescent="0.25">
      <c r="A2424" s="45">
        <f>C2424&amp;"."&amp;IFERROR(MID(E2424,FIND("(",E2424)+1,FIND(")",E2424)-FIND("(",E2424)-1),"")</f>
      </c>
      <c r="B2424" s="46" t="s">
        <v>1178</v>
      </c>
      <c r="C2424" s="46">
        <v>78830</v>
      </c>
      <c r="D2424" s="46" t="s">
        <v>4355</v>
      </c>
      <c r="E2424" s="46" t="s">
        <v>4357</v>
      </c>
      <c r="F2424" s="46" t="s">
        <v>25</v>
      </c>
      <c r="G2424" s="47">
        <v>0.36</v>
      </c>
      <c r="H2424" s="48">
        <v>1.28</v>
      </c>
      <c r="I2424" s="48">
        <v>1.28</v>
      </c>
      <c r="J2424" s="49">
        <v>1</v>
      </c>
      <c r="K2424" s="49">
        <v>0</v>
      </c>
      <c r="L2424" s="49">
        <v>1</v>
      </c>
    </row>
    <row r="2425" spans="1:12" x14ac:dyDescent="0.25">
      <c r="A2425" s="45">
        <f>C2425&amp;"."&amp;IFERROR(MID(E2425,FIND("(",E2425)+1,FIND(")",E2425)-FIND("(",E2425)-1),"")</f>
      </c>
      <c r="B2425" s="46" t="s">
        <v>1178</v>
      </c>
      <c r="C2425" s="46">
        <v>78830</v>
      </c>
      <c r="D2425" s="46" t="s">
        <v>4355</v>
      </c>
      <c r="E2425" s="46" t="s">
        <v>4358</v>
      </c>
      <c r="F2425" s="46" t="s">
        <v>25</v>
      </c>
      <c r="G2425" s="47">
        <v>0.36</v>
      </c>
      <c r="H2425" s="48">
        <v>1.28</v>
      </c>
      <c r="I2425" s="48">
        <v>6.4</v>
      </c>
      <c r="J2425" s="49">
        <v>5</v>
      </c>
      <c r="K2425" s="49">
        <v>0</v>
      </c>
      <c r="L2425" s="49">
        <v>5</v>
      </c>
    </row>
    <row r="2426" spans="1:12" x14ac:dyDescent="0.25">
      <c r="A2426" s="45">
        <f>C2426&amp;"."&amp;IFERROR(MID(E2426,FIND("(",E2426)+1,FIND(")",E2426)-FIND("(",E2426)-1),"")</f>
      </c>
      <c r="B2426" s="46" t="s">
        <v>1178</v>
      </c>
      <c r="C2426" s="46">
        <v>78832</v>
      </c>
      <c r="D2426" s="46" t="s">
        <v>4359</v>
      </c>
      <c r="E2426" s="46" t="s">
        <v>4360</v>
      </c>
      <c r="F2426" s="46" t="s">
        <v>25</v>
      </c>
      <c r="G2426" s="47">
        <v>0.34</v>
      </c>
      <c r="H2426" s="48">
        <v>1.119</v>
      </c>
      <c r="I2426" s="48">
        <v>2.237</v>
      </c>
      <c r="J2426" s="49">
        <v>2</v>
      </c>
      <c r="K2426" s="49">
        <v>0</v>
      </c>
      <c r="L2426" s="49">
        <v>2</v>
      </c>
    </row>
    <row r="2427" spans="1:12" x14ac:dyDescent="0.25">
      <c r="A2427" s="45">
        <f>C2427&amp;"."&amp;IFERROR(MID(E2427,FIND("(",E2427)+1,FIND(")",E2427)-FIND("(",E2427)-1),"")</f>
      </c>
      <c r="B2427" s="46" t="s">
        <v>1178</v>
      </c>
      <c r="C2427" s="46">
        <v>78832</v>
      </c>
      <c r="D2427" s="46" t="s">
        <v>4359</v>
      </c>
      <c r="E2427" s="46" t="s">
        <v>4361</v>
      </c>
      <c r="F2427" s="46" t="s">
        <v>25</v>
      </c>
      <c r="G2427" s="47">
        <v>0.34</v>
      </c>
      <c r="H2427" s="48">
        <v>1.24</v>
      </c>
      <c r="I2427" s="48">
        <v>1.24</v>
      </c>
      <c r="J2427" s="49">
        <v>1</v>
      </c>
      <c r="K2427" s="49">
        <v>0</v>
      </c>
      <c r="L2427" s="49">
        <v>1</v>
      </c>
    </row>
    <row r="2428" spans="1:12" x14ac:dyDescent="0.25">
      <c r="A2428" s="45">
        <f>C2428&amp;"."&amp;IFERROR(MID(E2428,FIND("(",E2428)+1,FIND(")",E2428)-FIND("(",E2428)-1),"")</f>
      </c>
      <c r="B2428" s="46" t="s">
        <v>1178</v>
      </c>
      <c r="C2428" s="46">
        <v>78832</v>
      </c>
      <c r="D2428" s="46" t="s">
        <v>4359</v>
      </c>
      <c r="E2428" s="46" t="s">
        <v>4362</v>
      </c>
      <c r="F2428" s="46" t="s">
        <v>25</v>
      </c>
      <c r="G2428" s="47">
        <v>0.34</v>
      </c>
      <c r="H2428" s="48">
        <v>0.737</v>
      </c>
      <c r="I2428" s="48">
        <v>14.007</v>
      </c>
      <c r="J2428" s="49">
        <v>19</v>
      </c>
      <c r="K2428" s="49">
        <v>15</v>
      </c>
      <c r="L2428" s="49">
        <v>4</v>
      </c>
    </row>
    <row r="2429" spans="1:12" x14ac:dyDescent="0.25">
      <c r="A2429" s="45">
        <f>C2429&amp;"."&amp;IFERROR(MID(E2429,FIND("(",E2429)+1,FIND(")",E2429)-FIND("(",E2429)-1),"")</f>
      </c>
      <c r="B2429" s="46" t="s">
        <v>1178</v>
      </c>
      <c r="C2429" s="46">
        <v>78835</v>
      </c>
      <c r="D2429" s="46" t="s">
        <v>4363</v>
      </c>
      <c r="E2429" s="46" t="s">
        <v>4364</v>
      </c>
      <c r="F2429" s="46" t="s">
        <v>25</v>
      </c>
      <c r="G2429" s="47">
        <v>1.72</v>
      </c>
      <c r="H2429" s="48">
        <v>12.905</v>
      </c>
      <c r="I2429" s="48">
        <v>103.237</v>
      </c>
      <c r="J2429" s="49">
        <v>8</v>
      </c>
      <c r="K2429" s="49">
        <v>2</v>
      </c>
      <c r="L2429" s="49">
        <v>6</v>
      </c>
    </row>
    <row r="2430" spans="1:12" x14ac:dyDescent="0.25">
      <c r="A2430" s="45">
        <f>C2430&amp;"."&amp;IFERROR(MID(E2430,FIND("(",E2430)+1,FIND(")",E2430)-FIND("(",E2430)-1),"")</f>
      </c>
      <c r="B2430" s="46" t="s">
        <v>1178</v>
      </c>
      <c r="C2430" s="46">
        <v>78835</v>
      </c>
      <c r="D2430" s="46" t="s">
        <v>4363</v>
      </c>
      <c r="E2430" s="46" t="s">
        <v>4365</v>
      </c>
      <c r="F2430" s="46" t="s">
        <v>25</v>
      </c>
      <c r="G2430" s="47">
        <v>1.72</v>
      </c>
      <c r="H2430" s="48">
        <v>10.115</v>
      </c>
      <c r="I2430" s="48">
        <v>50.577</v>
      </c>
      <c r="J2430" s="49">
        <v>5</v>
      </c>
      <c r="K2430" s="49">
        <v>0</v>
      </c>
      <c r="L2430" s="49">
        <v>5</v>
      </c>
    </row>
    <row r="2431" spans="1:12" x14ac:dyDescent="0.25">
      <c r="A2431" s="45">
        <f>C2431&amp;"."&amp;IFERROR(MID(E2431,FIND("(",E2431)+1,FIND(")",E2431)-FIND("(",E2431)-1),"")</f>
      </c>
      <c r="B2431" s="46" t="s">
        <v>1178</v>
      </c>
      <c r="C2431" s="46">
        <v>78835</v>
      </c>
      <c r="D2431" s="46" t="s">
        <v>4363</v>
      </c>
      <c r="E2431" s="46" t="s">
        <v>4366</v>
      </c>
      <c r="F2431" s="46" t="s">
        <v>25</v>
      </c>
      <c r="G2431" s="47">
        <v>1.72</v>
      </c>
      <c r="H2431" s="48">
        <v>19.21</v>
      </c>
      <c r="I2431" s="48">
        <v>76.84</v>
      </c>
      <c r="J2431" s="49">
        <v>4</v>
      </c>
      <c r="K2431" s="49">
        <v>0</v>
      </c>
      <c r="L2431" s="49">
        <v>4</v>
      </c>
    </row>
    <row r="2432" spans="1:12" x14ac:dyDescent="0.25">
      <c r="A2432" s="45">
        <f>C2432&amp;"."&amp;IFERROR(MID(E2432,FIND("(",E2432)+1,FIND(")",E2432)-FIND("(",E2432)-1),"")</f>
      </c>
      <c r="B2432" s="46" t="s">
        <v>1178</v>
      </c>
      <c r="C2432" s="46">
        <v>78835</v>
      </c>
      <c r="D2432" s="46" t="s">
        <v>4363</v>
      </c>
      <c r="E2432" s="46" t="s">
        <v>4367</v>
      </c>
      <c r="F2432" s="46" t="s">
        <v>25</v>
      </c>
      <c r="G2432" s="47">
        <v>1.72</v>
      </c>
      <c r="H2432" s="48">
        <v>19.21</v>
      </c>
      <c r="I2432" s="48">
        <v>19.21</v>
      </c>
      <c r="J2432" s="49">
        <v>1</v>
      </c>
      <c r="K2432" s="49">
        <v>0</v>
      </c>
      <c r="L2432" s="49">
        <v>1</v>
      </c>
    </row>
    <row r="2433" spans="1:12" x14ac:dyDescent="0.25">
      <c r="A2433" s="45">
        <f>C2433&amp;"."&amp;IFERROR(MID(E2433,FIND("(",E2433)+1,FIND(")",E2433)-FIND("(",E2433)-1),"")</f>
      </c>
      <c r="B2433" s="46" t="s">
        <v>1178</v>
      </c>
      <c r="C2433" s="46">
        <v>78835</v>
      </c>
      <c r="D2433" s="46" t="s">
        <v>4363</v>
      </c>
      <c r="E2433" s="46" t="s">
        <v>4368</v>
      </c>
      <c r="F2433" s="46" t="s">
        <v>25</v>
      </c>
      <c r="G2433" s="47">
        <v>1.72</v>
      </c>
      <c r="H2433" s="48">
        <v>11.622</v>
      </c>
      <c r="I2433" s="48">
        <v>81.353</v>
      </c>
      <c r="J2433" s="49">
        <v>7</v>
      </c>
      <c r="K2433" s="49">
        <v>0</v>
      </c>
      <c r="L2433" s="49">
        <v>7</v>
      </c>
    </row>
    <row r="2434" spans="1:12" x14ac:dyDescent="0.25">
      <c r="A2434" s="45">
        <f>C2434&amp;"."&amp;IFERROR(MID(E2434,FIND("(",E2434)+1,FIND(")",E2434)-FIND("(",E2434)-1),"")</f>
      </c>
      <c r="B2434" s="46" t="s">
        <v>1178</v>
      </c>
      <c r="C2434" s="46">
        <v>78835</v>
      </c>
      <c r="D2434" s="46" t="s">
        <v>4363</v>
      </c>
      <c r="E2434" s="46" t="s">
        <v>4369</v>
      </c>
      <c r="F2434" s="46" t="s">
        <v>25</v>
      </c>
      <c r="G2434" s="47">
        <v>1.72</v>
      </c>
      <c r="H2434" s="48">
        <v>11.461</v>
      </c>
      <c r="I2434" s="48">
        <v>171.92</v>
      </c>
      <c r="J2434" s="49">
        <v>15</v>
      </c>
      <c r="K2434" s="49">
        <v>6</v>
      </c>
      <c r="L2434" s="49">
        <v>9</v>
      </c>
    </row>
    <row r="2435" spans="1:12" x14ac:dyDescent="0.25">
      <c r="A2435" s="45">
        <f>C2435&amp;"."&amp;IFERROR(MID(E2435,FIND("(",E2435)+1,FIND(")",E2435)-FIND("(",E2435)-1),"")</f>
      </c>
      <c r="B2435" s="46" t="s">
        <v>1178</v>
      </c>
      <c r="C2435" s="46">
        <v>78835</v>
      </c>
      <c r="D2435" s="46" t="s">
        <v>4363</v>
      </c>
      <c r="E2435" s="46" t="s">
        <v>4370</v>
      </c>
      <c r="F2435" s="46" t="s">
        <v>25</v>
      </c>
      <c r="G2435" s="47">
        <v>1.72</v>
      </c>
      <c r="H2435" s="48">
        <v>19.21</v>
      </c>
      <c r="I2435" s="48">
        <v>38.42</v>
      </c>
      <c r="J2435" s="49">
        <v>2</v>
      </c>
      <c r="K2435" s="49">
        <v>0</v>
      </c>
      <c r="L2435" s="49">
        <v>2</v>
      </c>
    </row>
    <row r="2436" spans="1:12" x14ac:dyDescent="0.25">
      <c r="A2436" s="45">
        <f>C2436&amp;"."&amp;IFERROR(MID(E2436,FIND("(",E2436)+1,FIND(")",E2436)-FIND("(",E2436)-1),"")</f>
      </c>
      <c r="B2436" s="46" t="s">
        <v>1178</v>
      </c>
      <c r="C2436" s="46">
        <v>78835</v>
      </c>
      <c r="D2436" s="46" t="s">
        <v>4363</v>
      </c>
      <c r="E2436" s="46" t="s">
        <v>4371</v>
      </c>
      <c r="F2436" s="46" t="s">
        <v>25</v>
      </c>
      <c r="G2436" s="47">
        <v>1.72</v>
      </c>
      <c r="H2436" s="48">
        <v>18.805</v>
      </c>
      <c r="I2436" s="48">
        <v>37.611</v>
      </c>
      <c r="J2436" s="49">
        <v>2</v>
      </c>
      <c r="K2436" s="49">
        <v>2</v>
      </c>
      <c r="L2436" s="49">
        <v>0</v>
      </c>
    </row>
    <row r="2437" spans="1:12" x14ac:dyDescent="0.25">
      <c r="A2437" s="45">
        <f>C2437&amp;"."&amp;IFERROR(MID(E2437,FIND("(",E2437)+1,FIND(")",E2437)-FIND("(",E2437)-1),"")</f>
      </c>
      <c r="B2437" s="46" t="s">
        <v>1178</v>
      </c>
      <c r="C2437" s="46">
        <v>78842</v>
      </c>
      <c r="D2437" s="46" t="s">
        <v>4372</v>
      </c>
      <c r="E2437" s="46" t="s">
        <v>4373</v>
      </c>
      <c r="F2437" s="46" t="s">
        <v>25</v>
      </c>
      <c r="G2437" s="47">
        <v>0.63</v>
      </c>
      <c r="H2437" s="48">
        <v>1.83</v>
      </c>
      <c r="I2437" s="48">
        <v>7.32</v>
      </c>
      <c r="J2437" s="49">
        <v>4</v>
      </c>
      <c r="K2437" s="49">
        <v>0</v>
      </c>
      <c r="L2437" s="49">
        <v>4</v>
      </c>
    </row>
    <row r="2438" spans="1:12" x14ac:dyDescent="0.25">
      <c r="A2438" s="45">
        <f>C2438&amp;"."&amp;IFERROR(MID(E2438,FIND("(",E2438)+1,FIND(")",E2438)-FIND("(",E2438)-1),"")</f>
      </c>
      <c r="B2438" s="46" t="s">
        <v>1178</v>
      </c>
      <c r="C2438" s="46">
        <v>78842</v>
      </c>
      <c r="D2438" s="46" t="s">
        <v>4372</v>
      </c>
      <c r="E2438" s="46" t="s">
        <v>4374</v>
      </c>
      <c r="F2438" s="46" t="s">
        <v>25</v>
      </c>
      <c r="G2438" s="47">
        <v>0.63</v>
      </c>
      <c r="H2438" s="48">
        <v>4.336</v>
      </c>
      <c r="I2438" s="48">
        <v>17.342</v>
      </c>
      <c r="J2438" s="49">
        <v>4</v>
      </c>
      <c r="K2438" s="49">
        <v>0</v>
      </c>
      <c r="L2438" s="49">
        <v>4</v>
      </c>
    </row>
    <row r="2439" spans="1:12" x14ac:dyDescent="0.25">
      <c r="A2439" s="45">
        <f>C2439&amp;"."&amp;IFERROR(MID(E2439,FIND("(",E2439)+1,FIND(")",E2439)-FIND("(",E2439)-1),"")</f>
      </c>
      <c r="B2439" s="46" t="s">
        <v>1178</v>
      </c>
      <c r="C2439" s="46">
        <v>78844</v>
      </c>
      <c r="D2439" s="46" t="s">
        <v>4375</v>
      </c>
      <c r="E2439" s="46" t="s">
        <v>1248</v>
      </c>
      <c r="F2439" s="46" t="s">
        <v>25</v>
      </c>
      <c r="G2439" s="47">
        <v>0.35</v>
      </c>
      <c r="H2439" s="48">
        <v>0.371</v>
      </c>
      <c r="I2439" s="48">
        <v>1.114</v>
      </c>
      <c r="J2439" s="49">
        <v>3</v>
      </c>
      <c r="K2439" s="49">
        <v>0</v>
      </c>
      <c r="L2439" s="49">
        <v>3</v>
      </c>
    </row>
    <row r="2440" spans="1:12" x14ac:dyDescent="0.25">
      <c r="A2440" s="45">
        <f>C2440&amp;"."&amp;IFERROR(MID(E2440,FIND("(",E2440)+1,FIND(")",E2440)-FIND("(",E2440)-1),"")</f>
      </c>
      <c r="B2440" s="46" t="s">
        <v>1178</v>
      </c>
      <c r="C2440" s="46">
        <v>78846</v>
      </c>
      <c r="D2440" s="46" t="s">
        <v>4376</v>
      </c>
      <c r="E2440" s="46" t="s">
        <v>1248</v>
      </c>
      <c r="F2440" s="46" t="s">
        <v>25</v>
      </c>
      <c r="G2440" s="47">
        <v>0.35</v>
      </c>
      <c r="H2440" s="48">
        <v>0.613</v>
      </c>
      <c r="I2440" s="48">
        <v>6.744</v>
      </c>
      <c r="J2440" s="49">
        <v>11</v>
      </c>
      <c r="K2440" s="49">
        <v>0</v>
      </c>
      <c r="L2440" s="49">
        <v>11</v>
      </c>
    </row>
    <row r="2441" spans="1:12" x14ac:dyDescent="0.25">
      <c r="A2441" s="45">
        <f>C2441&amp;"."&amp;IFERROR(MID(E2441,FIND("(",E2441)+1,FIND(")",E2441)-FIND("(",E2441)-1),"")</f>
      </c>
      <c r="B2441" s="46" t="s">
        <v>1178</v>
      </c>
      <c r="C2441" s="46">
        <v>78848</v>
      </c>
      <c r="D2441" s="46" t="s">
        <v>4377</v>
      </c>
      <c r="E2441" s="46" t="s">
        <v>4378</v>
      </c>
      <c r="F2441" s="46" t="s">
        <v>25</v>
      </c>
      <c r="G2441" s="47">
        <v>0</v>
      </c>
      <c r="H2441" s="48">
        <v>6.801</v>
      </c>
      <c r="I2441" s="48">
        <v>6.801</v>
      </c>
      <c r="J2441" s="49">
        <v>1</v>
      </c>
      <c r="K2441" s="49">
        <v>1</v>
      </c>
      <c r="L2441" s="49">
        <v>0</v>
      </c>
    </row>
    <row r="2442" spans="1:12" x14ac:dyDescent="0.25">
      <c r="A2442" s="45">
        <f>C2442&amp;"."&amp;IFERROR(MID(E2442,FIND("(",E2442)+1,FIND(")",E2442)-FIND("(",E2442)-1),"")</f>
      </c>
      <c r="B2442" s="46" t="s">
        <v>1178</v>
      </c>
      <c r="C2442" s="46">
        <v>78850</v>
      </c>
      <c r="D2442" s="46" t="s">
        <v>4379</v>
      </c>
      <c r="E2442" s="46" t="s">
        <v>4380</v>
      </c>
      <c r="F2442" s="46" t="s">
        <v>25</v>
      </c>
      <c r="G2442" s="47">
        <v>3.38</v>
      </c>
      <c r="H2442" s="48">
        <v>10.316</v>
      </c>
      <c r="I2442" s="48">
        <v>30.947</v>
      </c>
      <c r="J2442" s="49">
        <v>3</v>
      </c>
      <c r="K2442" s="49">
        <v>0</v>
      </c>
      <c r="L2442" s="49">
        <v>3</v>
      </c>
    </row>
    <row r="2443" spans="1:12" x14ac:dyDescent="0.25">
      <c r="A2443" s="45">
        <f>C2443&amp;"."&amp;IFERROR(MID(E2443,FIND("(",E2443)+1,FIND(")",E2443)-FIND("(",E2443)-1),"")</f>
      </c>
      <c r="B2443" s="46" t="s">
        <v>1178</v>
      </c>
      <c r="C2443" s="46">
        <v>78853</v>
      </c>
      <c r="D2443" s="46" t="s">
        <v>4381</v>
      </c>
      <c r="E2443" s="46" t="s">
        <v>1248</v>
      </c>
      <c r="F2443" s="46" t="s">
        <v>25</v>
      </c>
      <c r="G2443" s="47">
        <v>3.85</v>
      </c>
      <c r="H2443" s="48">
        <v>15.098</v>
      </c>
      <c r="I2443" s="48">
        <v>75.49</v>
      </c>
      <c r="J2443" s="49">
        <v>5</v>
      </c>
      <c r="K2443" s="49">
        <v>1</v>
      </c>
      <c r="L2443" s="49">
        <v>4</v>
      </c>
    </row>
    <row r="2444" spans="1:12" x14ac:dyDescent="0.25">
      <c r="A2444" s="45">
        <f>C2444&amp;"."&amp;IFERROR(MID(E2444,FIND("(",E2444)+1,FIND(")",E2444)-FIND("(",E2444)-1),"")</f>
      </c>
      <c r="B2444" s="46" t="s">
        <v>1178</v>
      </c>
      <c r="C2444" s="46">
        <v>78855</v>
      </c>
      <c r="D2444" s="46" t="s">
        <v>4382</v>
      </c>
      <c r="E2444" s="46" t="s">
        <v>4383</v>
      </c>
      <c r="F2444" s="46" t="s">
        <v>25</v>
      </c>
      <c r="G2444" s="47">
        <v>12.36</v>
      </c>
      <c r="H2444" s="48">
        <v>50.495</v>
      </c>
      <c r="I2444" s="48">
        <v>50.495</v>
      </c>
      <c r="J2444" s="49">
        <v>1</v>
      </c>
      <c r="K2444" s="49">
        <v>1</v>
      </c>
      <c r="L2444" s="49">
        <v>0</v>
      </c>
    </row>
    <row r="2445" spans="1:12" x14ac:dyDescent="0.25">
      <c r="A2445" s="45">
        <f>C2445&amp;"."&amp;IFERROR(MID(E2445,FIND("(",E2445)+1,FIND(")",E2445)-FIND("(",E2445)-1),"")</f>
      </c>
      <c r="B2445" s="46" t="s">
        <v>1178</v>
      </c>
      <c r="C2445" s="46">
        <v>78858</v>
      </c>
      <c r="D2445" s="46" t="s">
        <v>4384</v>
      </c>
      <c r="E2445" s="46" t="s">
        <v>4385</v>
      </c>
      <c r="F2445" s="46" t="s">
        <v>25</v>
      </c>
      <c r="G2445" s="47">
        <v>3.25</v>
      </c>
      <c r="H2445" s="48">
        <v>12.11</v>
      </c>
      <c r="I2445" s="48">
        <v>12.11</v>
      </c>
      <c r="J2445" s="49">
        <v>1</v>
      </c>
      <c r="K2445" s="49">
        <v>0</v>
      </c>
      <c r="L2445" s="49">
        <v>1</v>
      </c>
    </row>
    <row r="2446" spans="1:12" x14ac:dyDescent="0.25">
      <c r="A2446" s="45">
        <f>C2446&amp;"."&amp;IFERROR(MID(E2446,FIND("(",E2446)+1,FIND(")",E2446)-FIND("(",E2446)-1),"")</f>
      </c>
      <c r="B2446" s="46" t="s">
        <v>1178</v>
      </c>
      <c r="C2446" s="46">
        <v>78858</v>
      </c>
      <c r="D2446" s="46" t="s">
        <v>4384</v>
      </c>
      <c r="E2446" s="46" t="s">
        <v>4386</v>
      </c>
      <c r="F2446" s="46" t="s">
        <v>25</v>
      </c>
      <c r="G2446" s="47">
        <v>3.25</v>
      </c>
      <c r="H2446" s="48">
        <v>11.29</v>
      </c>
      <c r="I2446" s="48">
        <v>22.58</v>
      </c>
      <c r="J2446" s="49">
        <v>2</v>
      </c>
      <c r="K2446" s="49">
        <v>0</v>
      </c>
      <c r="L2446" s="49">
        <v>2</v>
      </c>
    </row>
    <row r="2447" spans="1:12" x14ac:dyDescent="0.25">
      <c r="A2447" s="45">
        <f>C2447&amp;"."&amp;IFERROR(MID(E2447,FIND("(",E2447)+1,FIND(")",E2447)-FIND("(",E2447)-1),"")</f>
      </c>
      <c r="B2447" s="46" t="s">
        <v>1178</v>
      </c>
      <c r="C2447" s="46">
        <v>78867</v>
      </c>
      <c r="D2447" s="46" t="s">
        <v>4387</v>
      </c>
      <c r="E2447" s="46" t="s">
        <v>1248</v>
      </c>
      <c r="F2447" s="46" t="s">
        <v>25</v>
      </c>
      <c r="G2447" s="47">
        <v>0.27</v>
      </c>
      <c r="H2447" s="48">
        <v>0.083</v>
      </c>
      <c r="I2447" s="48">
        <v>0.664</v>
      </c>
      <c r="J2447" s="49">
        <v>8</v>
      </c>
      <c r="K2447" s="49">
        <v>0</v>
      </c>
      <c r="L2447" s="49">
        <v>8</v>
      </c>
    </row>
    <row r="2448" spans="1:12" x14ac:dyDescent="0.25">
      <c r="A2448" s="45">
        <f>C2448&amp;"."&amp;IFERROR(MID(E2448,FIND("(",E2448)+1,FIND(")",E2448)-FIND("(",E2448)-1),"")</f>
      </c>
      <c r="B2448" s="46" t="s">
        <v>1178</v>
      </c>
      <c r="C2448" s="46">
        <v>78869</v>
      </c>
      <c r="D2448" s="46" t="s">
        <v>4388</v>
      </c>
      <c r="E2448" s="46" t="s">
        <v>4389</v>
      </c>
      <c r="F2448" s="46" t="s">
        <v>25</v>
      </c>
      <c r="G2448" s="47">
        <v>2.74</v>
      </c>
      <c r="H2448" s="48">
        <v>48.441</v>
      </c>
      <c r="I2448" s="48">
        <v>96.881</v>
      </c>
      <c r="J2448" s="49">
        <v>2</v>
      </c>
      <c r="K2448" s="49">
        <v>0</v>
      </c>
      <c r="L2448" s="49">
        <v>2</v>
      </c>
    </row>
    <row r="2449" spans="1:12" x14ac:dyDescent="0.25">
      <c r="A2449" s="45">
        <f>C2449&amp;"."&amp;IFERROR(MID(E2449,FIND("(",E2449)+1,FIND(")",E2449)-FIND("(",E2449)-1),"")</f>
      </c>
      <c r="B2449" s="46" t="s">
        <v>1178</v>
      </c>
      <c r="C2449" s="46">
        <v>78869</v>
      </c>
      <c r="D2449" s="46" t="s">
        <v>4388</v>
      </c>
      <c r="E2449" s="46" t="s">
        <v>4390</v>
      </c>
      <c r="F2449" s="46" t="s">
        <v>25</v>
      </c>
      <c r="G2449" s="47">
        <v>2.74</v>
      </c>
      <c r="H2449" s="48">
        <v>46.45</v>
      </c>
      <c r="I2449" s="48">
        <v>92.901</v>
      </c>
      <c r="J2449" s="49">
        <v>2</v>
      </c>
      <c r="K2449" s="49">
        <v>0</v>
      </c>
      <c r="L2449" s="49">
        <v>2</v>
      </c>
    </row>
    <row r="2450" spans="1:12" x14ac:dyDescent="0.25">
      <c r="A2450" s="45">
        <f>C2450&amp;"."&amp;IFERROR(MID(E2450,FIND("(",E2450)+1,FIND(")",E2450)-FIND("(",E2450)-1),"")</f>
      </c>
      <c r="B2450" s="46" t="s">
        <v>1178</v>
      </c>
      <c r="C2450" s="46">
        <v>78869</v>
      </c>
      <c r="D2450" s="46" t="s">
        <v>4388</v>
      </c>
      <c r="E2450" s="46" t="s">
        <v>4391</v>
      </c>
      <c r="F2450" s="46" t="s">
        <v>25</v>
      </c>
      <c r="G2450" s="47">
        <v>2.74</v>
      </c>
      <c r="H2450" s="48">
        <v>52.899</v>
      </c>
      <c r="I2450" s="48">
        <v>52.899</v>
      </c>
      <c r="J2450" s="49">
        <v>1</v>
      </c>
      <c r="K2450" s="49">
        <v>0</v>
      </c>
      <c r="L2450" s="49">
        <v>1</v>
      </c>
    </row>
    <row r="2451" spans="1:12" x14ac:dyDescent="0.25">
      <c r="A2451" s="45">
        <f>C2451&amp;"."&amp;IFERROR(MID(E2451,FIND("(",E2451)+1,FIND(")",E2451)-FIND("(",E2451)-1),"")</f>
      </c>
      <c r="B2451" s="46" t="s">
        <v>1178</v>
      </c>
      <c r="C2451" s="46">
        <v>78890</v>
      </c>
      <c r="D2451" s="46" t="s">
        <v>4392</v>
      </c>
      <c r="E2451" s="46" t="s">
        <v>4393</v>
      </c>
      <c r="F2451" s="46" t="s">
        <v>25</v>
      </c>
      <c r="G2451" s="47">
        <v>0.37</v>
      </c>
      <c r="H2451" s="48">
        <v>2.069</v>
      </c>
      <c r="I2451" s="48">
        <v>12.414</v>
      </c>
      <c r="J2451" s="49">
        <v>6</v>
      </c>
      <c r="K2451" s="49">
        <v>0</v>
      </c>
      <c r="L2451" s="49">
        <v>6</v>
      </c>
    </row>
    <row r="2452" spans="1:12" x14ac:dyDescent="0.25">
      <c r="A2452" s="45">
        <f>C2452&amp;"."&amp;IFERROR(MID(E2452,FIND("(",E2452)+1,FIND(")",E2452)-FIND("(",E2452)-1),"")</f>
      </c>
      <c r="B2452" s="46" t="s">
        <v>1178</v>
      </c>
      <c r="C2452" s="46">
        <v>78890</v>
      </c>
      <c r="D2452" s="46" t="s">
        <v>4392</v>
      </c>
      <c r="E2452" s="46" t="s">
        <v>4394</v>
      </c>
      <c r="F2452" s="46" t="s">
        <v>25</v>
      </c>
      <c r="G2452" s="47">
        <v>0.37</v>
      </c>
      <c r="H2452" s="48">
        <v>1.49</v>
      </c>
      <c r="I2452" s="48">
        <v>13.41</v>
      </c>
      <c r="J2452" s="49">
        <v>9</v>
      </c>
      <c r="K2452" s="49">
        <v>2</v>
      </c>
      <c r="L2452" s="49">
        <v>7</v>
      </c>
    </row>
    <row r="2453" spans="1:12" x14ac:dyDescent="0.25">
      <c r="A2453" s="45">
        <f>C2453&amp;"."&amp;IFERROR(MID(E2453,FIND("(",E2453)+1,FIND(")",E2453)-FIND("(",E2453)-1),"")</f>
      </c>
      <c r="B2453" s="46" t="s">
        <v>1178</v>
      </c>
      <c r="C2453" s="46">
        <v>78893</v>
      </c>
      <c r="D2453" s="46" t="s">
        <v>4395</v>
      </c>
      <c r="E2453" s="46" t="s">
        <v>4396</v>
      </c>
      <c r="F2453" s="46" t="s">
        <v>25</v>
      </c>
      <c r="G2453" s="47">
        <v>0.52</v>
      </c>
      <c r="H2453" s="48">
        <v>3.93</v>
      </c>
      <c r="I2453" s="48">
        <v>15.72</v>
      </c>
      <c r="J2453" s="49">
        <v>4</v>
      </c>
      <c r="K2453" s="49">
        <v>0</v>
      </c>
      <c r="L2453" s="49">
        <v>4</v>
      </c>
    </row>
    <row r="2454" spans="1:12" x14ac:dyDescent="0.25">
      <c r="A2454" s="45">
        <f>C2454&amp;"."&amp;IFERROR(MID(E2454,FIND("(",E2454)+1,FIND(")",E2454)-FIND("(",E2454)-1),"")</f>
      </c>
      <c r="B2454" s="46" t="s">
        <v>1178</v>
      </c>
      <c r="C2454" s="46">
        <v>78893</v>
      </c>
      <c r="D2454" s="46" t="s">
        <v>4395</v>
      </c>
      <c r="E2454" s="46" t="s">
        <v>4397</v>
      </c>
      <c r="F2454" s="46" t="s">
        <v>25</v>
      </c>
      <c r="G2454" s="47">
        <v>0.52</v>
      </c>
      <c r="H2454" s="48">
        <v>3.079</v>
      </c>
      <c r="I2454" s="48">
        <v>9.238</v>
      </c>
      <c r="J2454" s="49">
        <v>3</v>
      </c>
      <c r="K2454" s="49">
        <v>0</v>
      </c>
      <c r="L2454" s="49">
        <v>3</v>
      </c>
    </row>
    <row r="2455" spans="1:12" x14ac:dyDescent="0.25">
      <c r="A2455" s="45">
        <f>C2455&amp;"."&amp;IFERROR(MID(E2455,FIND("(",E2455)+1,FIND(")",E2455)-FIND("(",E2455)-1),"")</f>
      </c>
      <c r="B2455" s="46" t="s">
        <v>1178</v>
      </c>
      <c r="C2455" s="46">
        <v>78897</v>
      </c>
      <c r="D2455" s="46" t="s">
        <v>4398</v>
      </c>
      <c r="E2455" s="46" t="s">
        <v>4399</v>
      </c>
      <c r="F2455" s="46" t="s">
        <v>25</v>
      </c>
      <c r="G2455" s="47">
        <v>4.75</v>
      </c>
      <c r="H2455" s="48">
        <v>25.84</v>
      </c>
      <c r="I2455" s="48">
        <v>25.84</v>
      </c>
      <c r="J2455" s="49">
        <v>1</v>
      </c>
      <c r="K2455" s="49">
        <v>0</v>
      </c>
      <c r="L2455" s="49">
        <v>1</v>
      </c>
    </row>
    <row r="2456" spans="1:12" x14ac:dyDescent="0.25">
      <c r="A2456" s="45">
        <f>C2456&amp;"."&amp;IFERROR(MID(E2456,FIND("(",E2456)+1,FIND(")",E2456)-FIND("(",E2456)-1),"")</f>
      </c>
      <c r="B2456" s="46" t="s">
        <v>1178</v>
      </c>
      <c r="C2456" s="46">
        <v>78897</v>
      </c>
      <c r="D2456" s="46" t="s">
        <v>4398</v>
      </c>
      <c r="E2456" s="46" t="s">
        <v>4400</v>
      </c>
      <c r="F2456" s="46" t="s">
        <v>25</v>
      </c>
      <c r="G2456" s="47">
        <v>4.75</v>
      </c>
      <c r="H2456" s="48">
        <v>21.156</v>
      </c>
      <c r="I2456" s="48">
        <v>42.312</v>
      </c>
      <c r="J2456" s="49">
        <v>2</v>
      </c>
      <c r="K2456" s="49">
        <v>0</v>
      </c>
      <c r="L2456" s="49">
        <v>2</v>
      </c>
    </row>
    <row r="2457" spans="1:12" x14ac:dyDescent="0.25">
      <c r="A2457" s="45">
        <f>C2457&amp;"."&amp;IFERROR(MID(E2457,FIND("(",E2457)+1,FIND(")",E2457)-FIND("(",E2457)-1),"")</f>
      </c>
      <c r="B2457" s="46" t="s">
        <v>1178</v>
      </c>
      <c r="C2457" s="46">
        <v>78906</v>
      </c>
      <c r="D2457" s="46" t="s">
        <v>4401</v>
      </c>
      <c r="E2457" s="46" t="s">
        <v>4402</v>
      </c>
      <c r="F2457" s="46" t="s">
        <v>25</v>
      </c>
      <c r="G2457" s="47">
        <v>12.36</v>
      </c>
      <c r="H2457" s="48">
        <v>38.059</v>
      </c>
      <c r="I2457" s="48">
        <v>76.119</v>
      </c>
      <c r="J2457" s="49">
        <v>2</v>
      </c>
      <c r="K2457" s="49">
        <v>2</v>
      </c>
      <c r="L2457" s="49">
        <v>0</v>
      </c>
    </row>
    <row r="2458" spans="1:12" x14ac:dyDescent="0.25">
      <c r="A2458" s="45">
        <f>C2458&amp;"."&amp;IFERROR(MID(E2458,FIND("(",E2458)+1,FIND(")",E2458)-FIND("(",E2458)-1),"")</f>
      </c>
      <c r="B2458" s="46" t="s">
        <v>1178</v>
      </c>
      <c r="C2458" s="46">
        <v>78908</v>
      </c>
      <c r="D2458" s="46" t="s">
        <v>4403</v>
      </c>
      <c r="E2458" s="46" t="s">
        <v>4404</v>
      </c>
      <c r="F2458" s="46" t="s">
        <v>25</v>
      </c>
      <c r="G2458" s="47">
        <v>0</v>
      </c>
      <c r="H2458" s="48">
        <v>6.949</v>
      </c>
      <c r="I2458" s="48">
        <v>6.949</v>
      </c>
      <c r="J2458" s="49">
        <v>1</v>
      </c>
      <c r="K2458" s="49">
        <v>1</v>
      </c>
      <c r="L2458" s="49">
        <v>0</v>
      </c>
    </row>
    <row r="2459" spans="1:12" x14ac:dyDescent="0.25">
      <c r="A2459" s="45">
        <f>C2459&amp;"."&amp;IFERROR(MID(E2459,FIND("(",E2459)+1,FIND(")",E2459)-FIND("(",E2459)-1),"")</f>
      </c>
      <c r="B2459" s="46" t="s">
        <v>1178</v>
      </c>
      <c r="C2459" s="46">
        <v>78917</v>
      </c>
      <c r="D2459" s="46" t="s">
        <v>4405</v>
      </c>
      <c r="E2459" s="46" t="s">
        <v>1248</v>
      </c>
      <c r="F2459" s="46" t="s">
        <v>25</v>
      </c>
      <c r="G2459" s="47">
        <v>2.42</v>
      </c>
      <c r="H2459" s="48">
        <v>5.839</v>
      </c>
      <c r="I2459" s="48">
        <v>29.195</v>
      </c>
      <c r="J2459" s="49">
        <v>5</v>
      </c>
      <c r="K2459" s="49">
        <v>1</v>
      </c>
      <c r="L2459" s="49">
        <v>4</v>
      </c>
    </row>
    <row r="2460" spans="1:12" x14ac:dyDescent="0.25">
      <c r="A2460" s="45">
        <f>C2460&amp;"."&amp;IFERROR(MID(E2460,FIND("(",E2460)+1,FIND(")",E2460)-FIND("(",E2460)-1),"")</f>
      </c>
      <c r="B2460" s="46" t="s">
        <v>1178</v>
      </c>
      <c r="C2460" s="46">
        <v>78924</v>
      </c>
      <c r="D2460" s="46" t="s">
        <v>4406</v>
      </c>
      <c r="E2460" s="46" t="s">
        <v>4407</v>
      </c>
      <c r="F2460" s="46" t="s">
        <v>25</v>
      </c>
      <c r="G2460" s="47">
        <v>2.3</v>
      </c>
      <c r="H2460" s="48">
        <v>12.488</v>
      </c>
      <c r="I2460" s="48">
        <v>24.976</v>
      </c>
      <c r="J2460" s="49">
        <v>2</v>
      </c>
      <c r="K2460" s="49">
        <v>0</v>
      </c>
      <c r="L2460" s="49">
        <v>2</v>
      </c>
    </row>
    <row r="2461" spans="1:12" x14ac:dyDescent="0.25">
      <c r="A2461" s="45">
        <f>C2461&amp;"."&amp;IFERROR(MID(E2461,FIND("(",E2461)+1,FIND(")",E2461)-FIND("(",E2461)-1),"")</f>
      </c>
      <c r="B2461" s="46" t="s">
        <v>1178</v>
      </c>
      <c r="C2461" s="46">
        <v>78931</v>
      </c>
      <c r="D2461" s="46" t="s">
        <v>4408</v>
      </c>
      <c r="E2461" s="46" t="s">
        <v>4409</v>
      </c>
      <c r="F2461" s="46" t="s">
        <v>25</v>
      </c>
      <c r="G2461" s="47">
        <v>10.43</v>
      </c>
      <c r="H2461" s="48">
        <v>42.487</v>
      </c>
      <c r="I2461" s="48">
        <v>84.974</v>
      </c>
      <c r="J2461" s="49">
        <v>2</v>
      </c>
      <c r="K2461" s="49">
        <v>0</v>
      </c>
      <c r="L2461" s="49">
        <v>2</v>
      </c>
    </row>
    <row r="2462" spans="1:12" x14ac:dyDescent="0.25">
      <c r="A2462" s="45">
        <f>C2462&amp;"."&amp;IFERROR(MID(E2462,FIND("(",E2462)+1,FIND(")",E2462)-FIND("(",E2462)-1),"")</f>
      </c>
      <c r="B2462" s="46" t="s">
        <v>1178</v>
      </c>
      <c r="C2462" s="46">
        <v>78947</v>
      </c>
      <c r="D2462" s="46" t="s">
        <v>4410</v>
      </c>
      <c r="E2462" s="46" t="s">
        <v>1248</v>
      </c>
      <c r="F2462" s="46" t="s">
        <v>25</v>
      </c>
      <c r="G2462" s="47">
        <v>0.21</v>
      </c>
      <c r="H2462" s="48">
        <v>0.22</v>
      </c>
      <c r="I2462" s="48">
        <v>0.66</v>
      </c>
      <c r="J2462" s="49">
        <v>3</v>
      </c>
      <c r="K2462" s="49">
        <v>0</v>
      </c>
      <c r="L2462" s="49">
        <v>3</v>
      </c>
    </row>
    <row r="2463" spans="1:12" x14ac:dyDescent="0.25">
      <c r="A2463" s="45">
        <f>C2463&amp;"."&amp;IFERROR(MID(E2463,FIND("(",E2463)+1,FIND(")",E2463)-FIND("(",E2463)-1),"")</f>
      </c>
      <c r="B2463" s="46" t="s">
        <v>1178</v>
      </c>
      <c r="C2463" s="46">
        <v>78948</v>
      </c>
      <c r="D2463" s="46" t="s">
        <v>4411</v>
      </c>
      <c r="E2463" s="46" t="s">
        <v>1248</v>
      </c>
      <c r="F2463" s="46" t="s">
        <v>25</v>
      </c>
      <c r="G2463" s="47">
        <v>0.16</v>
      </c>
      <c r="H2463" s="48">
        <v>4.302</v>
      </c>
      <c r="I2463" s="48">
        <v>38.722</v>
      </c>
      <c r="J2463" s="49">
        <v>9</v>
      </c>
      <c r="K2463" s="49">
        <v>1</v>
      </c>
      <c r="L2463" s="49">
        <v>8</v>
      </c>
    </row>
    <row r="2464" spans="1:12" x14ac:dyDescent="0.25">
      <c r="A2464" s="45">
        <f>C2464&amp;"."&amp;IFERROR(MID(E2464,FIND("(",E2464)+1,FIND(")",E2464)-FIND("(",E2464)-1),"")</f>
      </c>
      <c r="B2464" s="46" t="s">
        <v>1178</v>
      </c>
      <c r="C2464" s="46">
        <v>78950</v>
      </c>
      <c r="D2464" s="46" t="s">
        <v>4412</v>
      </c>
      <c r="E2464" s="46" t="s">
        <v>4413</v>
      </c>
      <c r="F2464" s="46" t="s">
        <v>25</v>
      </c>
      <c r="G2464" s="47">
        <v>1.16</v>
      </c>
      <c r="H2464" s="48">
        <v>4.316</v>
      </c>
      <c r="I2464" s="48">
        <v>21.579</v>
      </c>
      <c r="J2464" s="49">
        <v>5</v>
      </c>
      <c r="K2464" s="49">
        <v>0</v>
      </c>
      <c r="L2464" s="49">
        <v>5</v>
      </c>
    </row>
    <row r="2465" spans="1:12" x14ac:dyDescent="0.25">
      <c r="A2465" s="45">
        <f>C2465&amp;"."&amp;IFERROR(MID(E2465,FIND("(",E2465)+1,FIND(")",E2465)-FIND("(",E2465)-1),"")</f>
      </c>
      <c r="B2465" s="46" t="s">
        <v>1178</v>
      </c>
      <c r="C2465" s="46">
        <v>78950</v>
      </c>
      <c r="D2465" s="46" t="s">
        <v>4412</v>
      </c>
      <c r="E2465" s="46" t="s">
        <v>4414</v>
      </c>
      <c r="F2465" s="46" t="s">
        <v>25</v>
      </c>
      <c r="G2465" s="47">
        <v>1.16</v>
      </c>
      <c r="H2465" s="48">
        <v>5.499</v>
      </c>
      <c r="I2465" s="48">
        <v>16.497</v>
      </c>
      <c r="J2465" s="49">
        <v>3</v>
      </c>
      <c r="K2465" s="49">
        <v>1</v>
      </c>
      <c r="L2465" s="49">
        <v>2</v>
      </c>
    </row>
    <row r="2466" spans="1:12" x14ac:dyDescent="0.25">
      <c r="A2466" s="45">
        <f>C2466&amp;"."&amp;IFERROR(MID(E2466,FIND("(",E2466)+1,FIND(")",E2466)-FIND("(",E2466)-1),"")</f>
      </c>
      <c r="B2466" s="46" t="s">
        <v>1178</v>
      </c>
      <c r="C2466" s="46">
        <v>78951</v>
      </c>
      <c r="D2466" s="46" t="s">
        <v>4415</v>
      </c>
      <c r="E2466" s="46" t="s">
        <v>4416</v>
      </c>
      <c r="F2466" s="46" t="s">
        <v>25</v>
      </c>
      <c r="G2466" s="47">
        <v>1.16</v>
      </c>
      <c r="H2466" s="48">
        <v>5.396</v>
      </c>
      <c r="I2466" s="48">
        <v>16.189</v>
      </c>
      <c r="J2466" s="49">
        <v>3</v>
      </c>
      <c r="K2466" s="49">
        <v>2</v>
      </c>
      <c r="L2466" s="49">
        <v>1</v>
      </c>
    </row>
    <row r="2467" spans="1:12" x14ac:dyDescent="0.25">
      <c r="A2467" s="45">
        <f>C2467&amp;"."&amp;IFERROR(MID(E2467,FIND("(",E2467)+1,FIND(")",E2467)-FIND("(",E2467)-1),"")</f>
      </c>
      <c r="B2467" s="46" t="s">
        <v>1178</v>
      </c>
      <c r="C2467" s="46">
        <v>78951</v>
      </c>
      <c r="D2467" s="46" t="s">
        <v>4415</v>
      </c>
      <c r="E2467" s="46" t="s">
        <v>4417</v>
      </c>
      <c r="F2467" s="46" t="s">
        <v>25</v>
      </c>
      <c r="G2467" s="47">
        <v>1.16</v>
      </c>
      <c r="H2467" s="48">
        <v>4.316</v>
      </c>
      <c r="I2467" s="48">
        <v>30.21</v>
      </c>
      <c r="J2467" s="49">
        <v>7</v>
      </c>
      <c r="K2467" s="49">
        <v>0</v>
      </c>
      <c r="L2467" s="49">
        <v>7</v>
      </c>
    </row>
    <row r="2468" spans="1:12" x14ac:dyDescent="0.25">
      <c r="A2468" s="45">
        <f>C2468&amp;"."&amp;IFERROR(MID(E2468,FIND("(",E2468)+1,FIND(")",E2468)-FIND("(",E2468)-1),"")</f>
      </c>
      <c r="B2468" s="46" t="s">
        <v>1178</v>
      </c>
      <c r="C2468" s="46">
        <v>78953</v>
      </c>
      <c r="D2468" s="46" t="s">
        <v>4418</v>
      </c>
      <c r="E2468" s="46" t="s">
        <v>4419</v>
      </c>
      <c r="F2468" s="46" t="s">
        <v>25</v>
      </c>
      <c r="G2468" s="47">
        <v>2.61</v>
      </c>
      <c r="H2468" s="48">
        <v>6.208</v>
      </c>
      <c r="I2468" s="48">
        <v>12.416</v>
      </c>
      <c r="J2468" s="49">
        <v>2</v>
      </c>
      <c r="K2468" s="49">
        <v>0</v>
      </c>
      <c r="L2468" s="49">
        <v>2</v>
      </c>
    </row>
    <row r="2469" spans="1:12" x14ac:dyDescent="0.25">
      <c r="A2469" s="45">
        <f>C2469&amp;"."&amp;IFERROR(MID(E2469,FIND("(",E2469)+1,FIND(")",E2469)-FIND("(",E2469)-1),"")</f>
      </c>
      <c r="B2469" s="46" t="s">
        <v>1178</v>
      </c>
      <c r="C2469" s="46">
        <v>78953</v>
      </c>
      <c r="D2469" s="46" t="s">
        <v>4418</v>
      </c>
      <c r="E2469" s="46" t="s">
        <v>4420</v>
      </c>
      <c r="F2469" s="46" t="s">
        <v>25</v>
      </c>
      <c r="G2469" s="47">
        <v>2.61</v>
      </c>
      <c r="H2469" s="48">
        <v>6.438</v>
      </c>
      <c r="I2469" s="48">
        <v>25.75</v>
      </c>
      <c r="J2469" s="49">
        <v>4</v>
      </c>
      <c r="K2469" s="49">
        <v>0</v>
      </c>
      <c r="L2469" s="49">
        <v>4</v>
      </c>
    </row>
    <row r="2470" spans="1:12" x14ac:dyDescent="0.25">
      <c r="A2470" s="45">
        <f>C2470&amp;"."&amp;IFERROR(MID(E2470,FIND("(",E2470)+1,FIND(")",E2470)-FIND("(",E2470)-1),"")</f>
      </c>
      <c r="B2470" s="46" t="s">
        <v>1178</v>
      </c>
      <c r="C2470" s="46">
        <v>78954</v>
      </c>
      <c r="D2470" s="46" t="s">
        <v>4421</v>
      </c>
      <c r="E2470" s="46" t="s">
        <v>4422</v>
      </c>
      <c r="F2470" s="46" t="s">
        <v>25</v>
      </c>
      <c r="G2470" s="47">
        <v>0.47</v>
      </c>
      <c r="H2470" s="48">
        <v>1.21</v>
      </c>
      <c r="I2470" s="48">
        <v>13.307</v>
      </c>
      <c r="J2470" s="49">
        <v>11</v>
      </c>
      <c r="K2470" s="49">
        <v>1</v>
      </c>
      <c r="L2470" s="49">
        <v>10</v>
      </c>
    </row>
    <row r="2471" spans="1:12" x14ac:dyDescent="0.25">
      <c r="A2471" s="45">
        <f>C2471&amp;"."&amp;IFERROR(MID(E2471,FIND("(",E2471)+1,FIND(")",E2471)-FIND("(",E2471)-1),"")</f>
      </c>
      <c r="B2471" s="46" t="s">
        <v>1178</v>
      </c>
      <c r="C2471" s="46">
        <v>78955</v>
      </c>
      <c r="D2471" s="46" t="s">
        <v>4423</v>
      </c>
      <c r="E2471" s="46" t="s">
        <v>1248</v>
      </c>
      <c r="F2471" s="46" t="s">
        <v>25</v>
      </c>
      <c r="G2471" s="47">
        <v>1</v>
      </c>
      <c r="H2471" s="48">
        <v>1.993</v>
      </c>
      <c r="I2471" s="48">
        <v>5.979</v>
      </c>
      <c r="J2471" s="49">
        <v>3</v>
      </c>
      <c r="K2471" s="49">
        <v>0</v>
      </c>
      <c r="L2471" s="49">
        <v>3</v>
      </c>
    </row>
    <row r="2472" spans="1:12" x14ac:dyDescent="0.25">
      <c r="A2472" s="45">
        <f>C2472&amp;"."&amp;IFERROR(MID(E2472,FIND("(",E2472)+1,FIND(")",E2472)-FIND("(",E2472)-1),"")</f>
      </c>
      <c r="B2472" s="46" t="s">
        <v>1178</v>
      </c>
      <c r="C2472" s="46">
        <v>78956</v>
      </c>
      <c r="D2472" s="46" t="s">
        <v>4424</v>
      </c>
      <c r="E2472" s="46" t="s">
        <v>4425</v>
      </c>
      <c r="F2472" s="46" t="s">
        <v>25</v>
      </c>
      <c r="G2472" s="47">
        <v>0.79</v>
      </c>
      <c r="H2472" s="48">
        <v>4.53</v>
      </c>
      <c r="I2472" s="48">
        <v>9.06</v>
      </c>
      <c r="J2472" s="49">
        <v>2</v>
      </c>
      <c r="K2472" s="49">
        <v>0</v>
      </c>
      <c r="L2472" s="49">
        <v>2</v>
      </c>
    </row>
    <row r="2473" spans="1:12" x14ac:dyDescent="0.25">
      <c r="A2473" s="45">
        <f>C2473&amp;"."&amp;IFERROR(MID(E2473,FIND("(",E2473)+1,FIND(")",E2473)-FIND("(",E2473)-1),"")</f>
      </c>
      <c r="B2473" s="46" t="s">
        <v>1178</v>
      </c>
      <c r="C2473" s="46">
        <v>78956</v>
      </c>
      <c r="D2473" s="46" t="s">
        <v>4424</v>
      </c>
      <c r="E2473" s="46" t="s">
        <v>4426</v>
      </c>
      <c r="F2473" s="46" t="s">
        <v>25</v>
      </c>
      <c r="G2473" s="47">
        <v>0.79</v>
      </c>
      <c r="H2473" s="48">
        <v>3.633</v>
      </c>
      <c r="I2473" s="48">
        <v>47.233</v>
      </c>
      <c r="J2473" s="49">
        <v>13</v>
      </c>
      <c r="K2473" s="49">
        <v>5</v>
      </c>
      <c r="L2473" s="49">
        <v>8</v>
      </c>
    </row>
    <row r="2474" spans="1:12" x14ac:dyDescent="0.25">
      <c r="A2474" s="45">
        <f>C2474&amp;"."&amp;IFERROR(MID(E2474,FIND("(",E2474)+1,FIND(")",E2474)-FIND("(",E2474)-1),"")</f>
      </c>
      <c r="B2474" s="46" t="s">
        <v>1178</v>
      </c>
      <c r="C2474" s="46">
        <v>78957</v>
      </c>
      <c r="D2474" s="46" t="s">
        <v>4427</v>
      </c>
      <c r="E2474" s="46" t="s">
        <v>4428</v>
      </c>
      <c r="F2474" s="46" t="s">
        <v>25</v>
      </c>
      <c r="G2474" s="47">
        <v>2.48</v>
      </c>
      <c r="H2474" s="48">
        <v>5.457</v>
      </c>
      <c r="I2474" s="48">
        <v>49.109</v>
      </c>
      <c r="J2474" s="49">
        <v>9</v>
      </c>
      <c r="K2474" s="49">
        <v>2</v>
      </c>
      <c r="L2474" s="49">
        <v>7</v>
      </c>
    </row>
    <row r="2475" spans="1:12" x14ac:dyDescent="0.25">
      <c r="A2475" s="45">
        <f>C2475&amp;"."&amp;IFERROR(MID(E2475,FIND("(",E2475)+1,FIND(")",E2475)-FIND("(",E2475)-1),"")</f>
      </c>
      <c r="B2475" s="46" t="s">
        <v>1178</v>
      </c>
      <c r="C2475" s="46">
        <v>78958</v>
      </c>
      <c r="D2475" s="46" t="s">
        <v>4429</v>
      </c>
      <c r="E2475" s="46" t="s">
        <v>4430</v>
      </c>
      <c r="F2475" s="46" t="s">
        <v>25</v>
      </c>
      <c r="G2475" s="47">
        <v>0.66</v>
      </c>
      <c r="H2475" s="48">
        <v>1.019</v>
      </c>
      <c r="I2475" s="48">
        <v>10.191</v>
      </c>
      <c r="J2475" s="49">
        <v>10</v>
      </c>
      <c r="K2475" s="49">
        <v>1</v>
      </c>
      <c r="L2475" s="49">
        <v>9</v>
      </c>
    </row>
    <row r="2476" spans="1:12" x14ac:dyDescent="0.25">
      <c r="A2476" s="45">
        <f>C2476&amp;"."&amp;IFERROR(MID(E2476,FIND("(",E2476)+1,FIND(")",E2476)-FIND("(",E2476)-1),"")</f>
      </c>
      <c r="B2476" s="46" t="s">
        <v>1178</v>
      </c>
      <c r="C2476" s="46">
        <v>78961</v>
      </c>
      <c r="D2476" s="46" t="s">
        <v>4431</v>
      </c>
      <c r="E2476" s="46" t="s">
        <v>1248</v>
      </c>
      <c r="F2476" s="46" t="s">
        <v>25</v>
      </c>
      <c r="G2476" s="47">
        <v>0.22</v>
      </c>
      <c r="H2476" s="48">
        <v>0.65</v>
      </c>
      <c r="I2476" s="48">
        <v>1.95</v>
      </c>
      <c r="J2476" s="49">
        <v>3</v>
      </c>
      <c r="K2476" s="49">
        <v>0</v>
      </c>
      <c r="L2476" s="49">
        <v>3</v>
      </c>
    </row>
    <row r="2477" spans="1:12" x14ac:dyDescent="0.25">
      <c r="A2477" s="45">
        <f>C2477&amp;"."&amp;IFERROR(MID(E2477,FIND("(",E2477)+1,FIND(")",E2477)-FIND("(",E2477)-1),"")</f>
      </c>
      <c r="B2477" s="46" t="s">
        <v>1178</v>
      </c>
      <c r="C2477" s="46">
        <v>78966</v>
      </c>
      <c r="D2477" s="46" t="s">
        <v>4432</v>
      </c>
      <c r="E2477" s="46" t="s">
        <v>4433</v>
      </c>
      <c r="F2477" s="46" t="s">
        <v>25</v>
      </c>
      <c r="G2477" s="47">
        <v>26.95</v>
      </c>
      <c r="H2477" s="48">
        <v>106.489</v>
      </c>
      <c r="I2477" s="48">
        <v>425.958</v>
      </c>
      <c r="J2477" s="49">
        <v>4</v>
      </c>
      <c r="K2477" s="49">
        <v>2</v>
      </c>
      <c r="L2477" s="49">
        <v>2</v>
      </c>
    </row>
    <row r="2478" spans="1:12" x14ac:dyDescent="0.25">
      <c r="A2478" s="45">
        <f>C2478&amp;"."&amp;IFERROR(MID(E2478,FIND("(",E2478)+1,FIND(")",E2478)-FIND("(",E2478)-1),"")</f>
      </c>
      <c r="B2478" s="46" t="s">
        <v>1178</v>
      </c>
      <c r="C2478" s="46">
        <v>78969</v>
      </c>
      <c r="D2478" s="46" t="s">
        <v>4434</v>
      </c>
      <c r="E2478" s="46" t="s">
        <v>4435</v>
      </c>
      <c r="F2478" s="46" t="s">
        <v>25</v>
      </c>
      <c r="G2478" s="47">
        <v>26.95</v>
      </c>
      <c r="H2478" s="48">
        <v>103.979</v>
      </c>
      <c r="I2478" s="48">
        <v>1039.792</v>
      </c>
      <c r="J2478" s="49">
        <v>10</v>
      </c>
      <c r="K2478" s="49">
        <v>6</v>
      </c>
      <c r="L2478" s="49">
        <v>4</v>
      </c>
    </row>
    <row r="2479" spans="1:12" x14ac:dyDescent="0.25">
      <c r="A2479" s="45">
        <f>C2479&amp;"."&amp;IFERROR(MID(E2479,FIND("(",E2479)+1,FIND(")",E2479)-FIND("(",E2479)-1),"")</f>
      </c>
      <c r="B2479" s="46" t="s">
        <v>1178</v>
      </c>
      <c r="C2479" s="46">
        <v>78971</v>
      </c>
      <c r="D2479" s="46" t="s">
        <v>4436</v>
      </c>
      <c r="E2479" s="46" t="s">
        <v>4437</v>
      </c>
      <c r="F2479" s="46" t="s">
        <v>25</v>
      </c>
      <c r="G2479" s="47">
        <v>0.64</v>
      </c>
      <c r="H2479" s="48">
        <v>2.85</v>
      </c>
      <c r="I2479" s="48">
        <v>5.7</v>
      </c>
      <c r="J2479" s="49">
        <v>2</v>
      </c>
      <c r="K2479" s="49">
        <v>0</v>
      </c>
      <c r="L2479" s="49">
        <v>2</v>
      </c>
    </row>
    <row r="2480" spans="1:12" x14ac:dyDescent="0.25">
      <c r="A2480" s="45">
        <f>C2480&amp;"."&amp;IFERROR(MID(E2480,FIND("(",E2480)+1,FIND(")",E2480)-FIND("(",E2480)-1),"")</f>
      </c>
      <c r="B2480" s="46" t="s">
        <v>1178</v>
      </c>
      <c r="C2480" s="46">
        <v>78971</v>
      </c>
      <c r="D2480" s="46" t="s">
        <v>4436</v>
      </c>
      <c r="E2480" s="46" t="s">
        <v>4438</v>
      </c>
      <c r="F2480" s="46" t="s">
        <v>25</v>
      </c>
      <c r="G2480" s="47">
        <v>0.64</v>
      </c>
      <c r="H2480" s="48">
        <v>2.85</v>
      </c>
      <c r="I2480" s="48">
        <v>14.25</v>
      </c>
      <c r="J2480" s="49">
        <v>5</v>
      </c>
      <c r="K2480" s="49">
        <v>0</v>
      </c>
      <c r="L2480" s="49">
        <v>5</v>
      </c>
    </row>
    <row r="2481" spans="1:12" x14ac:dyDescent="0.25">
      <c r="A2481" s="45">
        <f>C2481&amp;"."&amp;IFERROR(MID(E2481,FIND("(",E2481)+1,FIND(")",E2481)-FIND("(",E2481)-1),"")</f>
      </c>
      <c r="B2481" s="46" t="s">
        <v>1178</v>
      </c>
      <c r="C2481" s="46">
        <v>78982</v>
      </c>
      <c r="D2481" s="46" t="s">
        <v>4439</v>
      </c>
      <c r="E2481" s="46" t="s">
        <v>4440</v>
      </c>
      <c r="F2481" s="46" t="s">
        <v>25</v>
      </c>
      <c r="G2481" s="47">
        <v>0</v>
      </c>
      <c r="H2481" s="48">
        <v>17.74</v>
      </c>
      <c r="I2481" s="48">
        <v>17.74</v>
      </c>
      <c r="J2481" s="49">
        <v>1</v>
      </c>
      <c r="K2481" s="49">
        <v>0</v>
      </c>
      <c r="L2481" s="49">
        <v>1</v>
      </c>
    </row>
    <row r="2482" spans="1:12" x14ac:dyDescent="0.25">
      <c r="A2482" s="45">
        <f>C2482&amp;"."&amp;IFERROR(MID(E2482,FIND("(",E2482)+1,FIND(")",E2482)-FIND("(",E2482)-1),"")</f>
      </c>
      <c r="B2482" s="46" t="s">
        <v>1178</v>
      </c>
      <c r="C2482" s="46">
        <v>78987</v>
      </c>
      <c r="D2482" s="46" t="s">
        <v>4441</v>
      </c>
      <c r="E2482" s="46" t="s">
        <v>4442</v>
      </c>
      <c r="F2482" s="46" t="s">
        <v>25</v>
      </c>
      <c r="G2482" s="47">
        <v>1.74</v>
      </c>
      <c r="H2482" s="48">
        <v>6.42</v>
      </c>
      <c r="I2482" s="48">
        <v>6.42</v>
      </c>
      <c r="J2482" s="49">
        <v>1</v>
      </c>
      <c r="K2482" s="49">
        <v>0</v>
      </c>
      <c r="L2482" s="49">
        <v>1</v>
      </c>
    </row>
    <row r="2483" spans="1:12" x14ac:dyDescent="0.25">
      <c r="A2483" s="45">
        <f>C2483&amp;"."&amp;IFERROR(MID(E2483,FIND("(",E2483)+1,FIND(")",E2483)-FIND("(",E2483)-1),"")</f>
      </c>
      <c r="B2483" s="46" t="s">
        <v>1178</v>
      </c>
      <c r="C2483" s="46">
        <v>78988</v>
      </c>
      <c r="D2483" s="46" t="s">
        <v>4443</v>
      </c>
      <c r="E2483" s="46" t="s">
        <v>4444</v>
      </c>
      <c r="F2483" s="46" t="s">
        <v>25</v>
      </c>
      <c r="G2483" s="47">
        <v>2.17</v>
      </c>
      <c r="H2483" s="48">
        <v>6.42</v>
      </c>
      <c r="I2483" s="48">
        <v>6.42</v>
      </c>
      <c r="J2483" s="49">
        <v>1</v>
      </c>
      <c r="K2483" s="49">
        <v>0</v>
      </c>
      <c r="L2483" s="49">
        <v>1</v>
      </c>
    </row>
    <row r="2484" spans="1:12" x14ac:dyDescent="0.25">
      <c r="A2484" s="45">
        <f>C2484&amp;"."&amp;IFERROR(MID(E2484,FIND("(",E2484)+1,FIND(")",E2484)-FIND("(",E2484)-1),"")</f>
      </c>
      <c r="B2484" s="46" t="s">
        <v>1178</v>
      </c>
      <c r="C2484" s="46">
        <v>78990</v>
      </c>
      <c r="D2484" s="46" t="s">
        <v>4445</v>
      </c>
      <c r="E2484" s="46" t="s">
        <v>4446</v>
      </c>
      <c r="F2484" s="46" t="s">
        <v>25</v>
      </c>
      <c r="G2484" s="47">
        <v>2.17</v>
      </c>
      <c r="H2484" s="48">
        <v>6.17</v>
      </c>
      <c r="I2484" s="48">
        <v>6.17</v>
      </c>
      <c r="J2484" s="49">
        <v>1</v>
      </c>
      <c r="K2484" s="49">
        <v>0</v>
      </c>
      <c r="L2484" s="49">
        <v>1</v>
      </c>
    </row>
    <row r="2485" spans="1:12" x14ac:dyDescent="0.25">
      <c r="A2485" s="45">
        <f>C2485&amp;"."&amp;IFERROR(MID(E2485,FIND("(",E2485)+1,FIND(")",E2485)-FIND("(",E2485)-1),"")</f>
      </c>
      <c r="B2485" s="46" t="s">
        <v>1178</v>
      </c>
      <c r="C2485" s="46">
        <v>78990</v>
      </c>
      <c r="D2485" s="46" t="s">
        <v>4445</v>
      </c>
      <c r="E2485" s="46" t="s">
        <v>4447</v>
      </c>
      <c r="F2485" s="46" t="s">
        <v>25</v>
      </c>
      <c r="G2485" s="47">
        <v>2.17</v>
      </c>
      <c r="H2485" s="48">
        <v>6.17</v>
      </c>
      <c r="I2485" s="48">
        <v>12.34</v>
      </c>
      <c r="J2485" s="49">
        <v>2</v>
      </c>
      <c r="K2485" s="49">
        <v>0</v>
      </c>
      <c r="L2485" s="49">
        <v>2</v>
      </c>
    </row>
    <row r="2486" spans="1:12" x14ac:dyDescent="0.25">
      <c r="A2486" s="45">
        <f>C2486&amp;"."&amp;IFERROR(MID(E2486,FIND("(",E2486)+1,FIND(")",E2486)-FIND("(",E2486)-1),"")</f>
      </c>
      <c r="B2486" s="46" t="s">
        <v>1178</v>
      </c>
      <c r="C2486" s="46">
        <v>78991</v>
      </c>
      <c r="D2486" s="46" t="s">
        <v>4448</v>
      </c>
      <c r="E2486" s="46" t="s">
        <v>4449</v>
      </c>
      <c r="F2486" s="46" t="s">
        <v>25</v>
      </c>
      <c r="G2486" s="47">
        <v>2.17</v>
      </c>
      <c r="H2486" s="48">
        <v>6.42</v>
      </c>
      <c r="I2486" s="48">
        <v>6.42</v>
      </c>
      <c r="J2486" s="49">
        <v>1</v>
      </c>
      <c r="K2486" s="49">
        <v>0</v>
      </c>
      <c r="L2486" s="49">
        <v>1</v>
      </c>
    </row>
    <row r="2487" spans="1:12" x14ac:dyDescent="0.25">
      <c r="A2487" s="45">
        <f>C2487&amp;"."&amp;IFERROR(MID(E2487,FIND("(",E2487)+1,FIND(")",E2487)-FIND("(",E2487)-1),"")</f>
      </c>
      <c r="B2487" s="46" t="s">
        <v>1178</v>
      </c>
      <c r="C2487" s="46">
        <v>78993</v>
      </c>
      <c r="D2487" s="46" t="s">
        <v>4450</v>
      </c>
      <c r="E2487" s="46" t="s">
        <v>4451</v>
      </c>
      <c r="F2487" s="46" t="s">
        <v>25</v>
      </c>
      <c r="G2487" s="47">
        <v>2.44</v>
      </c>
      <c r="H2487" s="48">
        <v>7.273</v>
      </c>
      <c r="I2487" s="48">
        <v>14.545</v>
      </c>
      <c r="J2487" s="49">
        <v>2</v>
      </c>
      <c r="K2487" s="49">
        <v>0</v>
      </c>
      <c r="L2487" s="49">
        <v>2</v>
      </c>
    </row>
    <row r="2488" spans="1:12" x14ac:dyDescent="0.25">
      <c r="A2488" s="45">
        <f>C2488&amp;"."&amp;IFERROR(MID(E2488,FIND("(",E2488)+1,FIND(")",E2488)-FIND("(",E2488)-1),"")</f>
      </c>
      <c r="B2488" s="46" t="s">
        <v>1178</v>
      </c>
      <c r="C2488" s="46">
        <v>78997</v>
      </c>
      <c r="D2488" s="46" t="s">
        <v>4452</v>
      </c>
      <c r="E2488" s="46" t="s">
        <v>4453</v>
      </c>
      <c r="F2488" s="46" t="s">
        <v>25</v>
      </c>
      <c r="G2488" s="47">
        <v>0.57</v>
      </c>
      <c r="H2488" s="48">
        <v>2.69</v>
      </c>
      <c r="I2488" s="48">
        <v>5.38</v>
      </c>
      <c r="J2488" s="49">
        <v>2</v>
      </c>
      <c r="K2488" s="49">
        <v>0</v>
      </c>
      <c r="L2488" s="49">
        <v>2</v>
      </c>
    </row>
    <row r="2489" spans="1:12" x14ac:dyDescent="0.25">
      <c r="A2489" s="45">
        <f>C2489&amp;"."&amp;IFERROR(MID(E2489,FIND("(",E2489)+1,FIND(")",E2489)-FIND("(",E2489)-1),"")</f>
      </c>
      <c r="B2489" s="46" t="s">
        <v>1178</v>
      </c>
      <c r="C2489" s="46">
        <v>78998</v>
      </c>
      <c r="D2489" s="46" t="s">
        <v>4454</v>
      </c>
      <c r="E2489" s="46" t="s">
        <v>4455</v>
      </c>
      <c r="F2489" s="46" t="s">
        <v>25</v>
      </c>
      <c r="G2489" s="47">
        <v>0.37</v>
      </c>
      <c r="H2489" s="48">
        <v>1.79</v>
      </c>
      <c r="I2489" s="48">
        <v>1.79</v>
      </c>
      <c r="J2489" s="49">
        <v>1</v>
      </c>
      <c r="K2489" s="49">
        <v>0</v>
      </c>
      <c r="L2489" s="49">
        <v>1</v>
      </c>
    </row>
    <row r="2490" spans="1:12" x14ac:dyDescent="0.25">
      <c r="A2490" s="45">
        <f>C2490&amp;"."&amp;IFERROR(MID(E2490,FIND("(",E2490)+1,FIND(")",E2490)-FIND("(",E2490)-1),"")</f>
      </c>
      <c r="B2490" s="46" t="s">
        <v>1178</v>
      </c>
      <c r="C2490" s="46">
        <v>79000</v>
      </c>
      <c r="D2490" s="46" t="s">
        <v>4456</v>
      </c>
      <c r="E2490" s="46" t="s">
        <v>4457</v>
      </c>
      <c r="F2490" s="46" t="s">
        <v>25</v>
      </c>
      <c r="G2490" s="47">
        <v>0.27</v>
      </c>
      <c r="H2490" s="48">
        <v>0.968</v>
      </c>
      <c r="I2490" s="48">
        <v>2.904</v>
      </c>
      <c r="J2490" s="49">
        <v>3</v>
      </c>
      <c r="K2490" s="49">
        <v>0</v>
      </c>
      <c r="L2490" s="49">
        <v>3</v>
      </c>
    </row>
    <row r="2491" spans="1:12" x14ac:dyDescent="0.25">
      <c r="A2491" s="45">
        <f>C2491&amp;"."&amp;IFERROR(MID(E2491,FIND("(",E2491)+1,FIND(")",E2491)-FIND("(",E2491)-1),"")</f>
      </c>
      <c r="B2491" s="46" t="s">
        <v>1178</v>
      </c>
      <c r="C2491" s="46">
        <v>79003</v>
      </c>
      <c r="D2491" s="46" t="s">
        <v>4458</v>
      </c>
      <c r="E2491" s="46" t="s">
        <v>4459</v>
      </c>
      <c r="F2491" s="46" t="s">
        <v>25</v>
      </c>
      <c r="G2491" s="47">
        <v>0.6</v>
      </c>
      <c r="H2491" s="48">
        <v>1.93</v>
      </c>
      <c r="I2491" s="48">
        <v>1.93</v>
      </c>
      <c r="J2491" s="49">
        <v>1</v>
      </c>
      <c r="K2491" s="49">
        <v>0</v>
      </c>
      <c r="L2491" s="49">
        <v>1</v>
      </c>
    </row>
    <row r="2492" spans="1:12" x14ac:dyDescent="0.25">
      <c r="A2492" s="45">
        <f>C2492&amp;"."&amp;IFERROR(MID(E2492,FIND("(",E2492)+1,FIND(")",E2492)-FIND("(",E2492)-1),"")</f>
      </c>
      <c r="B2492" s="46" t="s">
        <v>1178</v>
      </c>
      <c r="C2492" s="46">
        <v>79005</v>
      </c>
      <c r="D2492" s="46" t="s">
        <v>4460</v>
      </c>
      <c r="E2492" s="46" t="s">
        <v>4461</v>
      </c>
      <c r="F2492" s="46" t="s">
        <v>25</v>
      </c>
      <c r="G2492" s="47">
        <v>1.31</v>
      </c>
      <c r="H2492" s="48">
        <v>6.96</v>
      </c>
      <c r="I2492" s="48">
        <v>13.92</v>
      </c>
      <c r="J2492" s="49">
        <v>2</v>
      </c>
      <c r="K2492" s="49">
        <v>0</v>
      </c>
      <c r="L2492" s="49">
        <v>2</v>
      </c>
    </row>
    <row r="2493" spans="1:12" x14ac:dyDescent="0.25">
      <c r="A2493" s="45">
        <f>C2493&amp;"."&amp;IFERROR(MID(E2493,FIND("(",E2493)+1,FIND(")",E2493)-FIND("(",E2493)-1),"")</f>
      </c>
      <c r="B2493" s="46" t="s">
        <v>1178</v>
      </c>
      <c r="C2493" s="46">
        <v>79005</v>
      </c>
      <c r="D2493" s="46" t="s">
        <v>4460</v>
      </c>
      <c r="E2493" s="46" t="s">
        <v>4462</v>
      </c>
      <c r="F2493" s="46" t="s">
        <v>25</v>
      </c>
      <c r="G2493" s="47">
        <v>1.31</v>
      </c>
      <c r="H2493" s="48">
        <v>6.96</v>
      </c>
      <c r="I2493" s="48">
        <v>6.96</v>
      </c>
      <c r="J2493" s="49">
        <v>1</v>
      </c>
      <c r="K2493" s="49">
        <v>0</v>
      </c>
      <c r="L2493" s="49">
        <v>1</v>
      </c>
    </row>
    <row r="2494" spans="1:12" x14ac:dyDescent="0.25">
      <c r="A2494" s="45">
        <f>C2494&amp;"."&amp;IFERROR(MID(E2494,FIND("(",E2494)+1,FIND(")",E2494)-FIND("(",E2494)-1),"")</f>
      </c>
      <c r="B2494" s="46" t="s">
        <v>1178</v>
      </c>
      <c r="C2494" s="46">
        <v>79006</v>
      </c>
      <c r="D2494" s="46" t="s">
        <v>4463</v>
      </c>
      <c r="E2494" s="46" t="s">
        <v>4464</v>
      </c>
      <c r="F2494" s="46" t="s">
        <v>25</v>
      </c>
      <c r="G2494" s="47">
        <v>1.31</v>
      </c>
      <c r="H2494" s="48">
        <v>6.96</v>
      </c>
      <c r="I2494" s="48">
        <v>6.96</v>
      </c>
      <c r="J2494" s="49">
        <v>1</v>
      </c>
      <c r="K2494" s="49">
        <v>0</v>
      </c>
      <c r="L2494" s="49">
        <v>1</v>
      </c>
    </row>
    <row r="2495" spans="1:12" x14ac:dyDescent="0.25">
      <c r="A2495" s="45">
        <f>C2495&amp;"."&amp;IFERROR(MID(E2495,FIND("(",E2495)+1,FIND(")",E2495)-FIND("(",E2495)-1),"")</f>
      </c>
      <c r="B2495" s="46" t="s">
        <v>1178</v>
      </c>
      <c r="C2495" s="46">
        <v>79006</v>
      </c>
      <c r="D2495" s="46" t="s">
        <v>4463</v>
      </c>
      <c r="E2495" s="46" t="s">
        <v>4465</v>
      </c>
      <c r="F2495" s="46" t="s">
        <v>25</v>
      </c>
      <c r="G2495" s="47">
        <v>1.31</v>
      </c>
      <c r="H2495" s="48">
        <v>6.96</v>
      </c>
      <c r="I2495" s="48">
        <v>13.92</v>
      </c>
      <c r="J2495" s="49">
        <v>2</v>
      </c>
      <c r="K2495" s="49">
        <v>0</v>
      </c>
      <c r="L2495" s="49">
        <v>2</v>
      </c>
    </row>
    <row r="2496" spans="1:12" x14ac:dyDescent="0.25">
      <c r="A2496" s="45">
        <f>C2496&amp;"."&amp;IFERROR(MID(E2496,FIND("(",E2496)+1,FIND(")",E2496)-FIND("(",E2496)-1),"")</f>
      </c>
      <c r="B2496" s="46" t="s">
        <v>1178</v>
      </c>
      <c r="C2496" s="46">
        <v>79009</v>
      </c>
      <c r="D2496" s="46" t="s">
        <v>4466</v>
      </c>
      <c r="E2496" s="46" t="s">
        <v>4467</v>
      </c>
      <c r="F2496" s="46" t="s">
        <v>25</v>
      </c>
      <c r="G2496" s="47">
        <v>4.71</v>
      </c>
      <c r="H2496" s="48">
        <v>20.26</v>
      </c>
      <c r="I2496" s="48">
        <v>20.26</v>
      </c>
      <c r="J2496" s="49">
        <v>1</v>
      </c>
      <c r="K2496" s="49">
        <v>0</v>
      </c>
      <c r="L2496" s="49">
        <v>1</v>
      </c>
    </row>
    <row r="2497" spans="1:12" x14ac:dyDescent="0.25">
      <c r="A2497" s="45">
        <f>C2497&amp;"."&amp;IFERROR(MID(E2497,FIND("(",E2497)+1,FIND(")",E2497)-FIND("(",E2497)-1),"")</f>
      </c>
      <c r="B2497" s="46" t="s">
        <v>1178</v>
      </c>
      <c r="C2497" s="46">
        <v>79009</v>
      </c>
      <c r="D2497" s="46" t="s">
        <v>4466</v>
      </c>
      <c r="E2497" s="46" t="s">
        <v>4468</v>
      </c>
      <c r="F2497" s="46" t="s">
        <v>25</v>
      </c>
      <c r="G2497" s="47">
        <v>4.71</v>
      </c>
      <c r="H2497" s="48">
        <v>20.26</v>
      </c>
      <c r="I2497" s="48">
        <v>20.26</v>
      </c>
      <c r="J2497" s="49">
        <v>1</v>
      </c>
      <c r="K2497" s="49">
        <v>0</v>
      </c>
      <c r="L2497" s="49">
        <v>1</v>
      </c>
    </row>
    <row r="2498" spans="1:12" x14ac:dyDescent="0.25">
      <c r="A2498" s="45">
        <f>C2498&amp;"."&amp;IFERROR(MID(E2498,FIND("(",E2498)+1,FIND(")",E2498)-FIND("(",E2498)-1),"")</f>
      </c>
      <c r="B2498" s="46" t="s">
        <v>1178</v>
      </c>
      <c r="C2498" s="46">
        <v>79012</v>
      </c>
      <c r="D2498" s="46" t="s">
        <v>4469</v>
      </c>
      <c r="E2498" s="46" t="s">
        <v>4470</v>
      </c>
      <c r="F2498" s="46" t="s">
        <v>25</v>
      </c>
      <c r="G2498" s="47">
        <v>0.48</v>
      </c>
      <c r="H2498" s="48">
        <v>2.14</v>
      </c>
      <c r="I2498" s="48">
        <v>4.28</v>
      </c>
      <c r="J2498" s="49">
        <v>2</v>
      </c>
      <c r="K2498" s="49">
        <v>0</v>
      </c>
      <c r="L2498" s="49">
        <v>2</v>
      </c>
    </row>
    <row r="2499" spans="1:12" x14ac:dyDescent="0.25">
      <c r="A2499" s="45">
        <f>C2499&amp;"."&amp;IFERROR(MID(E2499,FIND("(",E2499)+1,FIND(")",E2499)-FIND("(",E2499)-1),"")</f>
      </c>
      <c r="B2499" s="46" t="s">
        <v>1178</v>
      </c>
      <c r="C2499" s="46">
        <v>79013</v>
      </c>
      <c r="D2499" s="46" t="s">
        <v>4471</v>
      </c>
      <c r="E2499" s="46" t="s">
        <v>4472</v>
      </c>
      <c r="F2499" s="46" t="s">
        <v>25</v>
      </c>
      <c r="G2499" s="47">
        <v>2.07</v>
      </c>
      <c r="H2499" s="48">
        <v>8.79</v>
      </c>
      <c r="I2499" s="48">
        <v>17.58</v>
      </c>
      <c r="J2499" s="49">
        <v>2</v>
      </c>
      <c r="K2499" s="49">
        <v>0</v>
      </c>
      <c r="L2499" s="49">
        <v>2</v>
      </c>
    </row>
    <row r="2500" spans="1:12" x14ac:dyDescent="0.25">
      <c r="A2500" s="45">
        <f>C2500&amp;"."&amp;IFERROR(MID(E2500,FIND("(",E2500)+1,FIND(")",E2500)-FIND("(",E2500)-1),"")</f>
      </c>
      <c r="B2500" s="46" t="s">
        <v>1178</v>
      </c>
      <c r="C2500" s="46">
        <v>79015</v>
      </c>
      <c r="D2500" s="46" t="s">
        <v>4473</v>
      </c>
      <c r="E2500" s="46" t="s">
        <v>4474</v>
      </c>
      <c r="F2500" s="46" t="s">
        <v>25</v>
      </c>
      <c r="G2500" s="47">
        <v>1.21</v>
      </c>
      <c r="H2500" s="48">
        <v>5.53</v>
      </c>
      <c r="I2500" s="48">
        <v>11.06</v>
      </c>
      <c r="J2500" s="49">
        <v>2</v>
      </c>
      <c r="K2500" s="49">
        <v>0</v>
      </c>
      <c r="L2500" s="49">
        <v>2</v>
      </c>
    </row>
    <row r="2501" spans="1:12" x14ac:dyDescent="0.25">
      <c r="A2501" s="45">
        <f>C2501&amp;"."&amp;IFERROR(MID(E2501,FIND("(",E2501)+1,FIND(")",E2501)-FIND("(",E2501)-1),"")</f>
      </c>
      <c r="B2501" s="46" t="s">
        <v>1178</v>
      </c>
      <c r="C2501" s="46">
        <v>79015</v>
      </c>
      <c r="D2501" s="46" t="s">
        <v>4473</v>
      </c>
      <c r="E2501" s="46" t="s">
        <v>4475</v>
      </c>
      <c r="F2501" s="46" t="s">
        <v>25</v>
      </c>
      <c r="G2501" s="47">
        <v>1.21</v>
      </c>
      <c r="H2501" s="48">
        <v>5.53</v>
      </c>
      <c r="I2501" s="48">
        <v>11.06</v>
      </c>
      <c r="J2501" s="49">
        <v>2</v>
      </c>
      <c r="K2501" s="49">
        <v>0</v>
      </c>
      <c r="L2501" s="49">
        <v>2</v>
      </c>
    </row>
    <row r="2502" spans="1:12" x14ac:dyDescent="0.25">
      <c r="A2502" s="45">
        <f>C2502&amp;"."&amp;IFERROR(MID(E2502,FIND("(",E2502)+1,FIND(")",E2502)-FIND("(",E2502)-1),"")</f>
      </c>
      <c r="B2502" s="46" t="s">
        <v>1178</v>
      </c>
      <c r="C2502" s="46">
        <v>79018</v>
      </c>
      <c r="D2502" s="46" t="s">
        <v>4476</v>
      </c>
      <c r="E2502" s="46" t="s">
        <v>4477</v>
      </c>
      <c r="F2502" s="46" t="s">
        <v>25</v>
      </c>
      <c r="G2502" s="47">
        <v>0.21</v>
      </c>
      <c r="H2502" s="48">
        <v>1.13</v>
      </c>
      <c r="I2502" s="48">
        <v>1.13</v>
      </c>
      <c r="J2502" s="49">
        <v>1</v>
      </c>
      <c r="K2502" s="49">
        <v>0</v>
      </c>
      <c r="L2502" s="49">
        <v>1</v>
      </c>
    </row>
    <row r="2503" spans="1:12" x14ac:dyDescent="0.25">
      <c r="A2503" s="45">
        <f>C2503&amp;"."&amp;IFERROR(MID(E2503,FIND("(",E2503)+1,FIND(")",E2503)-FIND("(",E2503)-1),"")</f>
      </c>
      <c r="B2503" s="46" t="s">
        <v>1178</v>
      </c>
      <c r="C2503" s="46">
        <v>79018</v>
      </c>
      <c r="D2503" s="46" t="s">
        <v>4476</v>
      </c>
      <c r="E2503" s="46" t="s">
        <v>4478</v>
      </c>
      <c r="F2503" s="46" t="s">
        <v>25</v>
      </c>
      <c r="G2503" s="47">
        <v>0.21</v>
      </c>
      <c r="H2503" s="48">
        <v>1.13</v>
      </c>
      <c r="I2503" s="48">
        <v>2.26</v>
      </c>
      <c r="J2503" s="49">
        <v>2</v>
      </c>
      <c r="K2503" s="49">
        <v>0</v>
      </c>
      <c r="L2503" s="49">
        <v>2</v>
      </c>
    </row>
    <row r="2504" spans="1:12" x14ac:dyDescent="0.25">
      <c r="A2504" s="45">
        <f>C2504&amp;"."&amp;IFERROR(MID(E2504,FIND("(",E2504)+1,FIND(")",E2504)-FIND("(",E2504)-1),"")</f>
      </c>
      <c r="B2504" s="46" t="s">
        <v>1178</v>
      </c>
      <c r="C2504" s="46">
        <v>79020</v>
      </c>
      <c r="D2504" s="46" t="s">
        <v>4479</v>
      </c>
      <c r="E2504" s="46" t="s">
        <v>4480</v>
      </c>
      <c r="F2504" s="46" t="s">
        <v>25</v>
      </c>
      <c r="G2504" s="47">
        <v>0.21</v>
      </c>
      <c r="H2504" s="48">
        <v>1.13</v>
      </c>
      <c r="I2504" s="48">
        <v>1.13</v>
      </c>
      <c r="J2504" s="49">
        <v>1</v>
      </c>
      <c r="K2504" s="49">
        <v>0</v>
      </c>
      <c r="L2504" s="49">
        <v>1</v>
      </c>
    </row>
    <row r="2505" spans="1:12" x14ac:dyDescent="0.25">
      <c r="A2505" s="45">
        <f>C2505&amp;"."&amp;IFERROR(MID(E2505,FIND("(",E2505)+1,FIND(")",E2505)-FIND("(",E2505)-1),"")</f>
      </c>
      <c r="B2505" s="46" t="s">
        <v>1178</v>
      </c>
      <c r="C2505" s="46">
        <v>79020</v>
      </c>
      <c r="D2505" s="46" t="s">
        <v>4479</v>
      </c>
      <c r="E2505" s="46" t="s">
        <v>4481</v>
      </c>
      <c r="F2505" s="46" t="s">
        <v>25</v>
      </c>
      <c r="G2505" s="47">
        <v>0.21</v>
      </c>
      <c r="H2505" s="48">
        <v>1.13</v>
      </c>
      <c r="I2505" s="48">
        <v>2.26</v>
      </c>
      <c r="J2505" s="49">
        <v>2</v>
      </c>
      <c r="K2505" s="49">
        <v>0</v>
      </c>
      <c r="L2505" s="49">
        <v>2</v>
      </c>
    </row>
    <row r="2506" spans="1:12" x14ac:dyDescent="0.25">
      <c r="A2506" s="45">
        <f>C2506&amp;"."&amp;IFERROR(MID(E2506,FIND("(",E2506)+1,FIND(")",E2506)-FIND("(",E2506)-1),"")</f>
      </c>
      <c r="B2506" s="46" t="s">
        <v>1178</v>
      </c>
      <c r="C2506" s="46">
        <v>79027</v>
      </c>
      <c r="D2506" s="46" t="s">
        <v>4482</v>
      </c>
      <c r="E2506" s="46" t="s">
        <v>4483</v>
      </c>
      <c r="F2506" s="46" t="s">
        <v>25</v>
      </c>
      <c r="G2506" s="47">
        <v>1.13</v>
      </c>
      <c r="H2506" s="48">
        <v>6.831</v>
      </c>
      <c r="I2506" s="48">
        <v>47.819</v>
      </c>
      <c r="J2506" s="49">
        <v>7</v>
      </c>
      <c r="K2506" s="49">
        <v>0</v>
      </c>
      <c r="L2506" s="49">
        <v>7</v>
      </c>
    </row>
    <row r="2507" spans="1:12" x14ac:dyDescent="0.25">
      <c r="A2507" s="45">
        <f>C2507&amp;"."&amp;IFERROR(MID(E2507,FIND("(",E2507)+1,FIND(")",E2507)-FIND("(",E2507)-1),"")</f>
      </c>
      <c r="B2507" s="46" t="s">
        <v>1178</v>
      </c>
      <c r="C2507" s="46">
        <v>79027</v>
      </c>
      <c r="D2507" s="46" t="s">
        <v>4482</v>
      </c>
      <c r="E2507" s="46" t="s">
        <v>4484</v>
      </c>
      <c r="F2507" s="46" t="s">
        <v>25</v>
      </c>
      <c r="G2507" s="47">
        <v>1.13</v>
      </c>
      <c r="H2507" s="48">
        <v>3.84</v>
      </c>
      <c r="I2507" s="48">
        <v>3.84</v>
      </c>
      <c r="J2507" s="49">
        <v>1</v>
      </c>
      <c r="K2507" s="49">
        <v>0</v>
      </c>
      <c r="L2507" s="49">
        <v>1</v>
      </c>
    </row>
    <row r="2508" spans="1:12" x14ac:dyDescent="0.25">
      <c r="A2508" s="45">
        <f>C2508&amp;"."&amp;IFERROR(MID(E2508,FIND("(",E2508)+1,FIND(")",E2508)-FIND("(",E2508)-1),"")</f>
      </c>
      <c r="B2508" s="46" t="s">
        <v>1178</v>
      </c>
      <c r="C2508" s="46">
        <v>79029</v>
      </c>
      <c r="D2508" s="46" t="s">
        <v>4485</v>
      </c>
      <c r="E2508" s="46" t="s">
        <v>4486</v>
      </c>
      <c r="F2508" s="46" t="s">
        <v>25</v>
      </c>
      <c r="G2508" s="47">
        <v>0.5</v>
      </c>
      <c r="H2508" s="48">
        <v>5.171</v>
      </c>
      <c r="I2508" s="48">
        <v>10.341</v>
      </c>
      <c r="J2508" s="49">
        <v>2</v>
      </c>
      <c r="K2508" s="49">
        <v>0</v>
      </c>
      <c r="L2508" s="49">
        <v>2</v>
      </c>
    </row>
    <row r="2509" spans="1:12" x14ac:dyDescent="0.25">
      <c r="A2509" s="45">
        <f>C2509&amp;"."&amp;IFERROR(MID(E2509,FIND("(",E2509)+1,FIND(")",E2509)-FIND("(",E2509)-1),"")</f>
      </c>
      <c r="B2509" s="46" t="s">
        <v>1178</v>
      </c>
      <c r="C2509" s="46">
        <v>79029</v>
      </c>
      <c r="D2509" s="46" t="s">
        <v>4485</v>
      </c>
      <c r="E2509" s="46" t="s">
        <v>4487</v>
      </c>
      <c r="F2509" s="46" t="s">
        <v>25</v>
      </c>
      <c r="G2509" s="47">
        <v>0.5</v>
      </c>
      <c r="H2509" s="48">
        <v>2.6</v>
      </c>
      <c r="I2509" s="48">
        <v>5.2</v>
      </c>
      <c r="J2509" s="49">
        <v>2</v>
      </c>
      <c r="K2509" s="49">
        <v>0</v>
      </c>
      <c r="L2509" s="49">
        <v>2</v>
      </c>
    </row>
    <row r="2510" spans="1:12" x14ac:dyDescent="0.25">
      <c r="A2510" s="45">
        <f>C2510&amp;"."&amp;IFERROR(MID(E2510,FIND("(",E2510)+1,FIND(")",E2510)-FIND("(",E2510)-1),"")</f>
      </c>
      <c r="B2510" s="46" t="s">
        <v>1178</v>
      </c>
      <c r="C2510" s="46">
        <v>79031</v>
      </c>
      <c r="D2510" s="46" t="s">
        <v>4488</v>
      </c>
      <c r="E2510" s="46" t="s">
        <v>1248</v>
      </c>
      <c r="F2510" s="46" t="s">
        <v>25</v>
      </c>
      <c r="G2510" s="47">
        <v>0.34</v>
      </c>
      <c r="H2510" s="48">
        <v>0.359</v>
      </c>
      <c r="I2510" s="48">
        <v>1.076</v>
      </c>
      <c r="J2510" s="49">
        <v>3</v>
      </c>
      <c r="K2510" s="49">
        <v>0</v>
      </c>
      <c r="L2510" s="49">
        <v>3</v>
      </c>
    </row>
    <row r="2511" spans="1:12" x14ac:dyDescent="0.25">
      <c r="A2511" s="45">
        <f>C2511&amp;"."&amp;IFERROR(MID(E2511,FIND("(",E2511)+1,FIND(")",E2511)-FIND("(",E2511)-1),"")</f>
      </c>
      <c r="B2511" s="46" t="s">
        <v>1178</v>
      </c>
      <c r="C2511" s="46">
        <v>79033</v>
      </c>
      <c r="D2511" s="46" t="s">
        <v>4489</v>
      </c>
      <c r="E2511" s="46" t="s">
        <v>1248</v>
      </c>
      <c r="F2511" s="46" t="s">
        <v>25</v>
      </c>
      <c r="G2511" s="47">
        <v>0.34</v>
      </c>
      <c r="H2511" s="48">
        <v>0.337</v>
      </c>
      <c r="I2511" s="48">
        <v>2.024</v>
      </c>
      <c r="J2511" s="49">
        <v>6</v>
      </c>
      <c r="K2511" s="49">
        <v>0</v>
      </c>
      <c r="L2511" s="49">
        <v>6</v>
      </c>
    </row>
    <row r="2512" spans="1:12" x14ac:dyDescent="0.25">
      <c r="A2512" s="45">
        <f>C2512&amp;"."&amp;IFERROR(MID(E2512,FIND("(",E2512)+1,FIND(")",E2512)-FIND("(",E2512)-1),"")</f>
      </c>
      <c r="B2512" s="46" t="s">
        <v>1178</v>
      </c>
      <c r="C2512" s="46">
        <v>79036</v>
      </c>
      <c r="D2512" s="46" t="s">
        <v>4490</v>
      </c>
      <c r="E2512" s="46" t="s">
        <v>4491</v>
      </c>
      <c r="F2512" s="46" t="s">
        <v>25</v>
      </c>
      <c r="G2512" s="47">
        <v>1.81</v>
      </c>
      <c r="H2512" s="48">
        <v>19.641</v>
      </c>
      <c r="I2512" s="48">
        <v>39.282</v>
      </c>
      <c r="J2512" s="49">
        <v>2</v>
      </c>
      <c r="K2512" s="49">
        <v>0</v>
      </c>
      <c r="L2512" s="49">
        <v>2</v>
      </c>
    </row>
    <row r="2513" spans="1:12" x14ac:dyDescent="0.25">
      <c r="A2513" s="45">
        <f>C2513&amp;"."&amp;IFERROR(MID(E2513,FIND("(",E2513)+1,FIND(")",E2513)-FIND("(",E2513)-1),"")</f>
      </c>
      <c r="B2513" s="46" t="s">
        <v>1178</v>
      </c>
      <c r="C2513" s="46">
        <v>79036</v>
      </c>
      <c r="D2513" s="46" t="s">
        <v>4490</v>
      </c>
      <c r="E2513" s="46" t="s">
        <v>4492</v>
      </c>
      <c r="F2513" s="46" t="s">
        <v>25</v>
      </c>
      <c r="G2513" s="47">
        <v>1.81</v>
      </c>
      <c r="H2513" s="48">
        <v>24.872</v>
      </c>
      <c r="I2513" s="48">
        <v>223.846</v>
      </c>
      <c r="J2513" s="49">
        <v>9</v>
      </c>
      <c r="K2513" s="49">
        <v>6</v>
      </c>
      <c r="L2513" s="49">
        <v>3</v>
      </c>
    </row>
    <row r="2514" spans="1:12" x14ac:dyDescent="0.25">
      <c r="A2514" s="45">
        <f>C2514&amp;"."&amp;IFERROR(MID(E2514,FIND("(",E2514)+1,FIND(")",E2514)-FIND("(",E2514)-1),"")</f>
      </c>
      <c r="B2514" s="46" t="s">
        <v>1178</v>
      </c>
      <c r="C2514" s="46">
        <v>79036</v>
      </c>
      <c r="D2514" s="46" t="s">
        <v>4490</v>
      </c>
      <c r="E2514" s="46" t="s">
        <v>4493</v>
      </c>
      <c r="F2514" s="46" t="s">
        <v>25</v>
      </c>
      <c r="G2514" s="47">
        <v>1.81</v>
      </c>
      <c r="H2514" s="48">
        <v>22.84</v>
      </c>
      <c r="I2514" s="48">
        <v>22.84</v>
      </c>
      <c r="J2514" s="49">
        <v>1</v>
      </c>
      <c r="K2514" s="49">
        <v>0</v>
      </c>
      <c r="L2514" s="49">
        <v>1</v>
      </c>
    </row>
    <row r="2515" spans="1:12" x14ac:dyDescent="0.25">
      <c r="A2515" s="45">
        <f>C2515&amp;"."&amp;IFERROR(MID(E2515,FIND("(",E2515)+1,FIND(")",E2515)-FIND("(",E2515)-1),"")</f>
      </c>
      <c r="B2515" s="46" t="s">
        <v>1178</v>
      </c>
      <c r="C2515" s="46">
        <v>79054</v>
      </c>
      <c r="D2515" s="46" t="s">
        <v>4494</v>
      </c>
      <c r="E2515" s="46" t="s">
        <v>4495</v>
      </c>
      <c r="F2515" s="46" t="s">
        <v>25</v>
      </c>
      <c r="G2515" s="47">
        <v>0</v>
      </c>
      <c r="H2515" s="48">
        <v>1.712</v>
      </c>
      <c r="I2515" s="48">
        <v>3.424</v>
      </c>
      <c r="J2515" s="49">
        <v>2</v>
      </c>
      <c r="K2515" s="49">
        <v>0</v>
      </c>
      <c r="L2515" s="49">
        <v>2</v>
      </c>
    </row>
    <row r="2516" spans="1:12" x14ac:dyDescent="0.25">
      <c r="A2516" s="45">
        <f>C2516&amp;"."&amp;IFERROR(MID(E2516,FIND("(",E2516)+1,FIND(")",E2516)-FIND("(",E2516)-1),"")</f>
      </c>
      <c r="B2516" s="46" t="s">
        <v>1178</v>
      </c>
      <c r="C2516" s="46">
        <v>79054</v>
      </c>
      <c r="D2516" s="46" t="s">
        <v>4494</v>
      </c>
      <c r="E2516" s="46" t="s">
        <v>4496</v>
      </c>
      <c r="F2516" s="46" t="s">
        <v>25</v>
      </c>
      <c r="G2516" s="47">
        <v>0</v>
      </c>
      <c r="H2516" s="48">
        <v>11.58</v>
      </c>
      <c r="I2516" s="48">
        <v>23.16</v>
      </c>
      <c r="J2516" s="49">
        <v>2</v>
      </c>
      <c r="K2516" s="49">
        <v>0</v>
      </c>
      <c r="L2516" s="49">
        <v>2</v>
      </c>
    </row>
    <row r="2517" spans="1:12" x14ac:dyDescent="0.25">
      <c r="A2517" s="45">
        <f>C2517&amp;"."&amp;IFERROR(MID(E2517,FIND("(",E2517)+1,FIND(")",E2517)-FIND("(",E2517)-1),"")</f>
      </c>
      <c r="B2517" s="46" t="s">
        <v>1178</v>
      </c>
      <c r="C2517" s="46">
        <v>79055</v>
      </c>
      <c r="D2517" s="46" t="s">
        <v>4497</v>
      </c>
      <c r="E2517" s="46" t="s">
        <v>1248</v>
      </c>
      <c r="F2517" s="46" t="s">
        <v>1495</v>
      </c>
      <c r="G2517" s="47">
        <v>0</v>
      </c>
      <c r="H2517" s="48">
        <v>0.01</v>
      </c>
      <c r="I2517" s="48">
        <v>0.827</v>
      </c>
      <c r="J2517" s="49">
        <v>87</v>
      </c>
      <c r="K2517" s="49">
        <v>0</v>
      </c>
      <c r="L2517" s="49">
        <v>87</v>
      </c>
    </row>
    <row r="2518" spans="1:12" x14ac:dyDescent="0.25">
      <c r="A2518" s="45">
        <f>C2518&amp;"."&amp;IFERROR(MID(E2518,FIND("(",E2518)+1,FIND(")",E2518)-FIND("(",E2518)-1),"")</f>
      </c>
      <c r="B2518" s="46" t="s">
        <v>1178</v>
      </c>
      <c r="C2518" s="46">
        <v>79057</v>
      </c>
      <c r="D2518" s="46" t="s">
        <v>4498</v>
      </c>
      <c r="E2518" s="46" t="s">
        <v>1248</v>
      </c>
      <c r="F2518" s="46" t="s">
        <v>1495</v>
      </c>
      <c r="G2518" s="47">
        <v>0</v>
      </c>
      <c r="H2518" s="48">
        <v>0.01</v>
      </c>
      <c r="I2518" s="48">
        <v>1.044</v>
      </c>
      <c r="J2518" s="49">
        <v>100</v>
      </c>
      <c r="K2518" s="49">
        <v>5</v>
      </c>
      <c r="L2518" s="49">
        <v>95</v>
      </c>
    </row>
    <row r="2519" spans="1:12" x14ac:dyDescent="0.25">
      <c r="A2519" s="45">
        <f>C2519&amp;"."&amp;IFERROR(MID(E2519,FIND("(",E2519)+1,FIND(")",E2519)-FIND("(",E2519)-1),"")</f>
      </c>
      <c r="B2519" s="46" t="s">
        <v>1178</v>
      </c>
      <c r="C2519" s="46">
        <v>79059</v>
      </c>
      <c r="D2519" s="46" t="s">
        <v>4499</v>
      </c>
      <c r="E2519" s="46" t="s">
        <v>1248</v>
      </c>
      <c r="F2519" s="46" t="s">
        <v>1495</v>
      </c>
      <c r="G2519" s="47">
        <v>0</v>
      </c>
      <c r="H2519" s="48">
        <v>0.009</v>
      </c>
      <c r="I2519" s="48">
        <v>0.055</v>
      </c>
      <c r="J2519" s="49">
        <v>6</v>
      </c>
      <c r="K2519" s="49">
        <v>0</v>
      </c>
      <c r="L2519" s="49">
        <v>6</v>
      </c>
    </row>
    <row r="2520" spans="1:12" x14ac:dyDescent="0.25">
      <c r="A2520" s="45">
        <f>C2520&amp;"."&amp;IFERROR(MID(E2520,FIND("(",E2520)+1,FIND(")",E2520)-FIND("(",E2520)-1),"")</f>
      </c>
      <c r="B2520" s="46" t="s">
        <v>1178</v>
      </c>
      <c r="C2520" s="46">
        <v>79062</v>
      </c>
      <c r="D2520" s="46" t="s">
        <v>4500</v>
      </c>
      <c r="E2520" s="46" t="s">
        <v>1248</v>
      </c>
      <c r="F2520" s="46" t="s">
        <v>25</v>
      </c>
      <c r="G2520" s="47">
        <v>0.68</v>
      </c>
      <c r="H2520" s="48">
        <v>1.77</v>
      </c>
      <c r="I2520" s="48">
        <v>1.77</v>
      </c>
      <c r="J2520" s="49">
        <v>1</v>
      </c>
      <c r="K2520" s="49">
        <v>0</v>
      </c>
      <c r="L2520" s="49">
        <v>1</v>
      </c>
    </row>
    <row r="2521" spans="1:12" x14ac:dyDescent="0.25">
      <c r="A2521" s="45">
        <f>C2521&amp;"."&amp;IFERROR(MID(E2521,FIND("(",E2521)+1,FIND(")",E2521)-FIND("(",E2521)-1),"")</f>
      </c>
      <c r="B2521" s="46" t="s">
        <v>1178</v>
      </c>
      <c r="C2521" s="46">
        <v>79063</v>
      </c>
      <c r="D2521" s="46" t="s">
        <v>4501</v>
      </c>
      <c r="E2521" s="46" t="s">
        <v>1248</v>
      </c>
      <c r="F2521" s="46" t="s">
        <v>1495</v>
      </c>
      <c r="G2521" s="47">
        <v>0</v>
      </c>
      <c r="H2521" s="48">
        <v>0.011</v>
      </c>
      <c r="I2521" s="48">
        <v>4.999</v>
      </c>
      <c r="J2521" s="49">
        <v>460</v>
      </c>
      <c r="K2521" s="49">
        <v>10</v>
      </c>
      <c r="L2521" s="49">
        <v>450</v>
      </c>
    </row>
    <row r="2522" spans="1:12" x14ac:dyDescent="0.25">
      <c r="A2522" s="45">
        <f>C2522&amp;"."&amp;IFERROR(MID(E2522,FIND("(",E2522)+1,FIND(")",E2522)-FIND("(",E2522)-1),"")</f>
      </c>
      <c r="B2522" s="46" t="s">
        <v>1178</v>
      </c>
      <c r="C2522" s="46">
        <v>79067</v>
      </c>
      <c r="D2522" s="46" t="s">
        <v>4502</v>
      </c>
      <c r="E2522" s="46" t="s">
        <v>4503</v>
      </c>
      <c r="F2522" s="46" t="s">
        <v>25</v>
      </c>
      <c r="G2522" s="47">
        <v>2.74</v>
      </c>
      <c r="H2522" s="48">
        <v>56.634</v>
      </c>
      <c r="I2522" s="48">
        <v>622.972</v>
      </c>
      <c r="J2522" s="49">
        <v>11</v>
      </c>
      <c r="K2522" s="49">
        <v>6</v>
      </c>
      <c r="L2522" s="49">
        <v>5</v>
      </c>
    </row>
    <row r="2523" spans="1:12" x14ac:dyDescent="0.25">
      <c r="A2523" s="45">
        <f>C2523&amp;"."&amp;IFERROR(MID(E2523,FIND("(",E2523)+1,FIND(")",E2523)-FIND("(",E2523)-1),"")</f>
      </c>
      <c r="B2523" s="46" t="s">
        <v>1178</v>
      </c>
      <c r="C2523" s="46">
        <v>79067</v>
      </c>
      <c r="D2523" s="46" t="s">
        <v>4502</v>
      </c>
      <c r="E2523" s="46" t="s">
        <v>4504</v>
      </c>
      <c r="F2523" s="46" t="s">
        <v>25</v>
      </c>
      <c r="G2523" s="47">
        <v>2.74</v>
      </c>
      <c r="H2523" s="48">
        <v>56.929</v>
      </c>
      <c r="I2523" s="48">
        <v>56.929</v>
      </c>
      <c r="J2523" s="49">
        <v>1</v>
      </c>
      <c r="K2523" s="49">
        <v>0</v>
      </c>
      <c r="L2523" s="49">
        <v>1</v>
      </c>
    </row>
    <row r="2524" spans="1:12" x14ac:dyDescent="0.25">
      <c r="A2524" s="45">
        <f>C2524&amp;"."&amp;IFERROR(MID(E2524,FIND("(",E2524)+1,FIND(")",E2524)-FIND("(",E2524)-1),"")</f>
      </c>
      <c r="B2524" s="46" t="s">
        <v>1178</v>
      </c>
      <c r="C2524" s="46">
        <v>79067</v>
      </c>
      <c r="D2524" s="46" t="s">
        <v>4502</v>
      </c>
      <c r="E2524" s="46" t="s">
        <v>4505</v>
      </c>
      <c r="F2524" s="46" t="s">
        <v>25</v>
      </c>
      <c r="G2524" s="47">
        <v>2.74</v>
      </c>
      <c r="H2524" s="48">
        <v>47.05</v>
      </c>
      <c r="I2524" s="48">
        <v>47.05</v>
      </c>
      <c r="J2524" s="49">
        <v>1</v>
      </c>
      <c r="K2524" s="49">
        <v>0</v>
      </c>
      <c r="L2524" s="49">
        <v>1</v>
      </c>
    </row>
    <row r="2525" spans="1:12" x14ac:dyDescent="0.25">
      <c r="A2525" s="45">
        <f>C2525&amp;"."&amp;IFERROR(MID(E2525,FIND("(",E2525)+1,FIND(")",E2525)-FIND("(",E2525)-1),"")</f>
      </c>
      <c r="B2525" s="46" t="s">
        <v>1178</v>
      </c>
      <c r="C2525" s="46">
        <v>79067</v>
      </c>
      <c r="D2525" s="46" t="s">
        <v>4502</v>
      </c>
      <c r="E2525" s="46" t="s">
        <v>4506</v>
      </c>
      <c r="F2525" s="46" t="s">
        <v>25</v>
      </c>
      <c r="G2525" s="47">
        <v>2.74</v>
      </c>
      <c r="H2525" s="48">
        <v>47.05</v>
      </c>
      <c r="I2525" s="48">
        <v>47.05</v>
      </c>
      <c r="J2525" s="49">
        <v>1</v>
      </c>
      <c r="K2525" s="49">
        <v>0</v>
      </c>
      <c r="L2525" s="49">
        <v>1</v>
      </c>
    </row>
    <row r="2526" spans="1:12" x14ac:dyDescent="0.25">
      <c r="A2526" s="45">
        <f>C2526&amp;"."&amp;IFERROR(MID(E2526,FIND("(",E2526)+1,FIND(")",E2526)-FIND("(",E2526)-1),"")</f>
      </c>
      <c r="B2526" s="46" t="s">
        <v>1178</v>
      </c>
      <c r="C2526" s="46">
        <v>79068</v>
      </c>
      <c r="D2526" s="46" t="s">
        <v>4507</v>
      </c>
      <c r="E2526" s="46" t="s">
        <v>1248</v>
      </c>
      <c r="F2526" s="46" t="s">
        <v>1495</v>
      </c>
      <c r="G2526" s="47">
        <v>0</v>
      </c>
      <c r="H2526" s="48">
        <v>0.009</v>
      </c>
      <c r="I2526" s="48">
        <v>0.679</v>
      </c>
      <c r="J2526" s="49">
        <v>79</v>
      </c>
      <c r="K2526" s="49">
        <v>0</v>
      </c>
      <c r="L2526" s="49">
        <v>79</v>
      </c>
    </row>
    <row r="2527" spans="1:12" x14ac:dyDescent="0.25">
      <c r="A2527" s="45">
        <f>C2527&amp;"."&amp;IFERROR(MID(E2527,FIND("(",E2527)+1,FIND(")",E2527)-FIND("(",E2527)-1),"")</f>
      </c>
      <c r="B2527" s="46" t="s">
        <v>1178</v>
      </c>
      <c r="C2527" s="46">
        <v>79069</v>
      </c>
      <c r="D2527" s="46" t="s">
        <v>4508</v>
      </c>
      <c r="E2527" s="46" t="s">
        <v>4509</v>
      </c>
      <c r="F2527" s="46" t="s">
        <v>25</v>
      </c>
      <c r="G2527" s="47">
        <v>0</v>
      </c>
      <c r="H2527" s="48">
        <v>4.83</v>
      </c>
      <c r="I2527" s="48">
        <v>4.83</v>
      </c>
      <c r="J2527" s="49">
        <v>1</v>
      </c>
      <c r="K2527" s="49">
        <v>0</v>
      </c>
      <c r="L2527" s="49">
        <v>1</v>
      </c>
    </row>
    <row r="2528" spans="1:12" x14ac:dyDescent="0.25">
      <c r="A2528" s="45">
        <f>C2528&amp;"."&amp;IFERROR(MID(E2528,FIND("(",E2528)+1,FIND(")",E2528)-FIND("(",E2528)-1),"")</f>
      </c>
      <c r="B2528" s="46" t="s">
        <v>1178</v>
      </c>
      <c r="C2528" s="46">
        <v>79071</v>
      </c>
      <c r="D2528" s="46" t="s">
        <v>4510</v>
      </c>
      <c r="E2528" s="46" t="s">
        <v>1248</v>
      </c>
      <c r="F2528" s="46" t="s">
        <v>1495</v>
      </c>
      <c r="G2528" s="47">
        <v>0</v>
      </c>
      <c r="H2528" s="48">
        <v>0.011</v>
      </c>
      <c r="I2528" s="48">
        <v>0.379</v>
      </c>
      <c r="J2528" s="49">
        <v>35</v>
      </c>
      <c r="K2528" s="49">
        <v>0</v>
      </c>
      <c r="L2528" s="49">
        <v>35</v>
      </c>
    </row>
    <row r="2529" spans="1:12" x14ac:dyDescent="0.25">
      <c r="A2529" s="45">
        <f>C2529&amp;"."&amp;IFERROR(MID(E2529,FIND("(",E2529)+1,FIND(")",E2529)-FIND("(",E2529)-1),"")</f>
      </c>
      <c r="B2529" s="46" t="s">
        <v>1178</v>
      </c>
      <c r="C2529" s="46">
        <v>79073</v>
      </c>
      <c r="D2529" s="46" t="s">
        <v>4511</v>
      </c>
      <c r="E2529" s="46" t="s">
        <v>4512</v>
      </c>
      <c r="F2529" s="46" t="s">
        <v>25</v>
      </c>
      <c r="G2529" s="47">
        <v>0</v>
      </c>
      <c r="H2529" s="48">
        <v>3.65</v>
      </c>
      <c r="I2529" s="48">
        <v>3.65</v>
      </c>
      <c r="J2529" s="49">
        <v>1</v>
      </c>
      <c r="K2529" s="49">
        <v>0</v>
      </c>
      <c r="L2529" s="49">
        <v>1</v>
      </c>
    </row>
    <row r="2530" spans="1:12" x14ac:dyDescent="0.25">
      <c r="A2530" s="45">
        <f>C2530&amp;"."&amp;IFERROR(MID(E2530,FIND("(",E2530)+1,FIND(")",E2530)-FIND("(",E2530)-1),"")</f>
      </c>
      <c r="B2530" s="46" t="s">
        <v>1178</v>
      </c>
      <c r="C2530" s="46">
        <v>79073</v>
      </c>
      <c r="D2530" s="46" t="s">
        <v>4511</v>
      </c>
      <c r="E2530" s="46" t="s">
        <v>4513</v>
      </c>
      <c r="F2530" s="46" t="s">
        <v>25</v>
      </c>
      <c r="G2530" s="47">
        <v>0</v>
      </c>
      <c r="H2530" s="48">
        <v>3.65</v>
      </c>
      <c r="I2530" s="48">
        <v>14.6</v>
      </c>
      <c r="J2530" s="49">
        <v>4</v>
      </c>
      <c r="K2530" s="49">
        <v>0</v>
      </c>
      <c r="L2530" s="49">
        <v>4</v>
      </c>
    </row>
    <row r="2531" spans="1:12" x14ac:dyDescent="0.25">
      <c r="A2531" s="45">
        <f>C2531&amp;"."&amp;IFERROR(MID(E2531,FIND("(",E2531)+1,FIND(")",E2531)-FIND("(",E2531)-1),"")</f>
      </c>
      <c r="B2531" s="46" t="s">
        <v>1178</v>
      </c>
      <c r="C2531" s="46">
        <v>79075</v>
      </c>
      <c r="D2531" s="46" t="s">
        <v>4514</v>
      </c>
      <c r="E2531" s="46" t="s">
        <v>1248</v>
      </c>
      <c r="F2531" s="46" t="s">
        <v>1495</v>
      </c>
      <c r="G2531" s="47">
        <v>0</v>
      </c>
      <c r="H2531" s="48">
        <v>0.01</v>
      </c>
      <c r="I2531" s="48">
        <v>2.13</v>
      </c>
      <c r="J2531" s="49">
        <v>214</v>
      </c>
      <c r="K2531" s="49">
        <v>0</v>
      </c>
      <c r="L2531" s="49">
        <v>214</v>
      </c>
    </row>
    <row r="2532" spans="1:12" x14ac:dyDescent="0.25">
      <c r="A2532" s="45">
        <f>C2532&amp;"."&amp;IFERROR(MID(E2532,FIND("(",E2532)+1,FIND(")",E2532)-FIND("(",E2532)-1),"")</f>
      </c>
      <c r="B2532" s="46" t="s">
        <v>1178</v>
      </c>
      <c r="C2532" s="46">
        <v>79078</v>
      </c>
      <c r="D2532" s="46" t="s">
        <v>4515</v>
      </c>
      <c r="E2532" s="46" t="s">
        <v>4516</v>
      </c>
      <c r="F2532" s="46" t="s">
        <v>25</v>
      </c>
      <c r="G2532" s="47">
        <v>0</v>
      </c>
      <c r="H2532" s="48">
        <v>4.46</v>
      </c>
      <c r="I2532" s="48">
        <v>4.46</v>
      </c>
      <c r="J2532" s="49">
        <v>1</v>
      </c>
      <c r="K2532" s="49">
        <v>0</v>
      </c>
      <c r="L2532" s="49">
        <v>1</v>
      </c>
    </row>
    <row r="2533" spans="1:12" x14ac:dyDescent="0.25">
      <c r="A2533" s="45">
        <f>C2533&amp;"."&amp;IFERROR(MID(E2533,FIND("(",E2533)+1,FIND(")",E2533)-FIND("(",E2533)-1),"")</f>
      </c>
      <c r="B2533" s="46" t="s">
        <v>1178</v>
      </c>
      <c r="C2533" s="46">
        <v>79079</v>
      </c>
      <c r="D2533" s="46" t="s">
        <v>4517</v>
      </c>
      <c r="E2533" s="46" t="s">
        <v>1248</v>
      </c>
      <c r="F2533" s="46" t="s">
        <v>1495</v>
      </c>
      <c r="G2533" s="47">
        <v>0</v>
      </c>
      <c r="H2533" s="48">
        <v>0.009</v>
      </c>
      <c r="I2533" s="48">
        <v>1.163</v>
      </c>
      <c r="J2533" s="49">
        <v>125</v>
      </c>
      <c r="K2533" s="49">
        <v>0</v>
      </c>
      <c r="L2533" s="49">
        <v>125</v>
      </c>
    </row>
    <row r="2534" spans="1:12" x14ac:dyDescent="0.25">
      <c r="A2534" s="45">
        <f>C2534&amp;"."&amp;IFERROR(MID(E2534,FIND("(",E2534)+1,FIND(")",E2534)-FIND("(",E2534)-1),"")</f>
      </c>
      <c r="B2534" s="46" t="s">
        <v>1178</v>
      </c>
      <c r="C2534" s="46">
        <v>79080</v>
      </c>
      <c r="D2534" s="46" t="s">
        <v>4518</v>
      </c>
      <c r="E2534" s="46" t="s">
        <v>1248</v>
      </c>
      <c r="F2534" s="46" t="s">
        <v>25</v>
      </c>
      <c r="G2534" s="47">
        <v>5.4</v>
      </c>
      <c r="H2534" s="48">
        <v>19.32</v>
      </c>
      <c r="I2534" s="48">
        <v>19.32</v>
      </c>
      <c r="J2534" s="49">
        <v>1</v>
      </c>
      <c r="K2534" s="49">
        <v>0</v>
      </c>
      <c r="L2534" s="49">
        <v>1</v>
      </c>
    </row>
    <row r="2535" spans="1:12" x14ac:dyDescent="0.25">
      <c r="A2535" s="45">
        <f>C2535&amp;"."&amp;IFERROR(MID(E2535,FIND("(",E2535)+1,FIND(")",E2535)-FIND("(",E2535)-1),"")</f>
      </c>
      <c r="B2535" s="46" t="s">
        <v>1178</v>
      </c>
      <c r="C2535" s="46">
        <v>79081</v>
      </c>
      <c r="D2535" s="46" t="s">
        <v>4519</v>
      </c>
      <c r="E2535" s="46" t="s">
        <v>1248</v>
      </c>
      <c r="F2535" s="46" t="s">
        <v>1495</v>
      </c>
      <c r="G2535" s="47">
        <v>0</v>
      </c>
      <c r="H2535" s="48">
        <v>0.01</v>
      </c>
      <c r="I2535" s="48">
        <v>1.897</v>
      </c>
      <c r="J2535" s="49">
        <v>186</v>
      </c>
      <c r="K2535" s="49">
        <v>0</v>
      </c>
      <c r="L2535" s="49">
        <v>186</v>
      </c>
    </row>
    <row r="2536" spans="1:12" x14ac:dyDescent="0.25">
      <c r="A2536" s="45">
        <f>C2536&amp;"."&amp;IFERROR(MID(E2536,FIND("(",E2536)+1,FIND(")",E2536)-FIND("(",E2536)-1),"")</f>
      </c>
      <c r="B2536" s="46" t="s">
        <v>1178</v>
      </c>
      <c r="C2536" s="46">
        <v>79086</v>
      </c>
      <c r="D2536" s="46" t="s">
        <v>4520</v>
      </c>
      <c r="E2536" s="46" t="s">
        <v>4521</v>
      </c>
      <c r="F2536" s="46" t="s">
        <v>25</v>
      </c>
      <c r="G2536" s="47">
        <v>2.47</v>
      </c>
      <c r="H2536" s="48">
        <v>11.605</v>
      </c>
      <c r="I2536" s="48">
        <v>11.605</v>
      </c>
      <c r="J2536" s="49">
        <v>1</v>
      </c>
      <c r="K2536" s="49">
        <v>0</v>
      </c>
      <c r="L2536" s="49">
        <v>1</v>
      </c>
    </row>
    <row r="2537" spans="1:12" x14ac:dyDescent="0.25">
      <c r="A2537" s="45">
        <f>C2537&amp;"."&amp;IFERROR(MID(E2537,FIND("(",E2537)+1,FIND(")",E2537)-FIND("(",E2537)-1),"")</f>
      </c>
      <c r="B2537" s="46" t="s">
        <v>1178</v>
      </c>
      <c r="C2537" s="46">
        <v>79091</v>
      </c>
      <c r="D2537" s="46" t="s">
        <v>4522</v>
      </c>
      <c r="E2537" s="46" t="s">
        <v>4523</v>
      </c>
      <c r="F2537" s="46" t="s">
        <v>25</v>
      </c>
      <c r="G2537" s="47">
        <v>2.35</v>
      </c>
      <c r="H2537" s="48">
        <v>11.484</v>
      </c>
      <c r="I2537" s="48">
        <v>22.968</v>
      </c>
      <c r="J2537" s="49">
        <v>2</v>
      </c>
      <c r="K2537" s="49">
        <v>0</v>
      </c>
      <c r="L2537" s="49">
        <v>2</v>
      </c>
    </row>
    <row r="2538" spans="1:12" x14ac:dyDescent="0.25">
      <c r="A2538" s="45">
        <f>C2538&amp;"."&amp;IFERROR(MID(E2538,FIND("(",E2538)+1,FIND(")",E2538)-FIND("(",E2538)-1),"")</f>
      </c>
      <c r="B2538" s="46" t="s">
        <v>1178</v>
      </c>
      <c r="C2538" s="46">
        <v>79097</v>
      </c>
      <c r="D2538" s="46" t="s">
        <v>4524</v>
      </c>
      <c r="E2538" s="46" t="s">
        <v>4525</v>
      </c>
      <c r="F2538" s="46" t="s">
        <v>25</v>
      </c>
      <c r="G2538" s="47">
        <v>3.78</v>
      </c>
      <c r="H2538" s="48">
        <v>11.64</v>
      </c>
      <c r="I2538" s="48">
        <v>11.64</v>
      </c>
      <c r="J2538" s="49">
        <v>1</v>
      </c>
      <c r="K2538" s="49">
        <v>0</v>
      </c>
      <c r="L2538" s="49">
        <v>1</v>
      </c>
    </row>
    <row r="2539" spans="1:12" x14ac:dyDescent="0.25">
      <c r="A2539" s="45">
        <f>C2539&amp;"."&amp;IFERROR(MID(E2539,FIND("(",E2539)+1,FIND(")",E2539)-FIND("(",E2539)-1),"")</f>
      </c>
      <c r="B2539" s="46" t="s">
        <v>1178</v>
      </c>
      <c r="C2539" s="46">
        <v>79112</v>
      </c>
      <c r="D2539" s="46" t="s">
        <v>4526</v>
      </c>
      <c r="E2539" s="46" t="s">
        <v>4527</v>
      </c>
      <c r="F2539" s="46" t="s">
        <v>25</v>
      </c>
      <c r="G2539" s="47">
        <v>1.59</v>
      </c>
      <c r="H2539" s="48">
        <v>2.684</v>
      </c>
      <c r="I2539" s="48">
        <v>10.736</v>
      </c>
      <c r="J2539" s="49">
        <v>4</v>
      </c>
      <c r="K2539" s="49">
        <v>3</v>
      </c>
      <c r="L2539" s="49">
        <v>1</v>
      </c>
    </row>
    <row r="2540" spans="1:12" x14ac:dyDescent="0.25">
      <c r="A2540" s="45">
        <f>C2540&amp;"."&amp;IFERROR(MID(E2540,FIND("(",E2540)+1,FIND(")",E2540)-FIND("(",E2540)-1),"")</f>
      </c>
      <c r="B2540" s="46" t="s">
        <v>1178</v>
      </c>
      <c r="C2540" s="46">
        <v>79114</v>
      </c>
      <c r="D2540" s="46" t="s">
        <v>4528</v>
      </c>
      <c r="E2540" s="46" t="s">
        <v>4529</v>
      </c>
      <c r="F2540" s="46" t="s">
        <v>25</v>
      </c>
      <c r="G2540" s="47">
        <v>3.66</v>
      </c>
      <c r="H2540" s="48">
        <v>12.29</v>
      </c>
      <c r="I2540" s="48">
        <v>24.58</v>
      </c>
      <c r="J2540" s="49">
        <v>2</v>
      </c>
      <c r="K2540" s="49">
        <v>0</v>
      </c>
      <c r="L2540" s="49">
        <v>2</v>
      </c>
    </row>
    <row r="2541" spans="1:12" x14ac:dyDescent="0.25">
      <c r="A2541" s="45">
        <f>C2541&amp;"."&amp;IFERROR(MID(E2541,FIND("(",E2541)+1,FIND(")",E2541)-FIND("(",E2541)-1),"")</f>
      </c>
      <c r="B2541" s="46" t="s">
        <v>1178</v>
      </c>
      <c r="C2541" s="46">
        <v>79114</v>
      </c>
      <c r="D2541" s="46" t="s">
        <v>4528</v>
      </c>
      <c r="E2541" s="46" t="s">
        <v>4530</v>
      </c>
      <c r="F2541" s="46" t="s">
        <v>25</v>
      </c>
      <c r="G2541" s="47">
        <v>3.66</v>
      </c>
      <c r="H2541" s="48">
        <v>10.909</v>
      </c>
      <c r="I2541" s="48">
        <v>76.361</v>
      </c>
      <c r="J2541" s="49">
        <v>7</v>
      </c>
      <c r="K2541" s="49">
        <v>1</v>
      </c>
      <c r="L2541" s="49">
        <v>6</v>
      </c>
    </row>
    <row r="2542" spans="1:12" x14ac:dyDescent="0.25">
      <c r="A2542" s="45">
        <f>C2542&amp;"."&amp;IFERROR(MID(E2542,FIND("(",E2542)+1,FIND(")",E2542)-FIND("(",E2542)-1),"")</f>
      </c>
      <c r="B2542" s="46" t="s">
        <v>1178</v>
      </c>
      <c r="C2542" s="46">
        <v>79118</v>
      </c>
      <c r="D2542" s="46" t="s">
        <v>4531</v>
      </c>
      <c r="E2542" s="46" t="s">
        <v>1248</v>
      </c>
      <c r="F2542" s="46" t="s">
        <v>25</v>
      </c>
      <c r="G2542" s="47">
        <v>5.4</v>
      </c>
      <c r="H2542" s="48">
        <v>13.364</v>
      </c>
      <c r="I2542" s="48">
        <v>66.82</v>
      </c>
      <c r="J2542" s="49">
        <v>5</v>
      </c>
      <c r="K2542" s="49">
        <v>0</v>
      </c>
      <c r="L2542" s="49">
        <v>5</v>
      </c>
    </row>
    <row r="2543" spans="1:12" x14ac:dyDescent="0.25">
      <c r="A2543" s="45">
        <f>C2543&amp;"."&amp;IFERROR(MID(E2543,FIND("(",E2543)+1,FIND(")",E2543)-FIND("(",E2543)-1),"")</f>
      </c>
      <c r="B2543" s="46" t="s">
        <v>1178</v>
      </c>
      <c r="C2543" s="46">
        <v>79120</v>
      </c>
      <c r="D2543" s="46" t="s">
        <v>4532</v>
      </c>
      <c r="E2543" s="46" t="s">
        <v>4533</v>
      </c>
      <c r="F2543" s="46" t="s">
        <v>25</v>
      </c>
      <c r="G2543" s="47">
        <v>3.18</v>
      </c>
      <c r="H2543" s="48">
        <v>8.627</v>
      </c>
      <c r="I2543" s="48">
        <v>60.386</v>
      </c>
      <c r="J2543" s="49">
        <v>7</v>
      </c>
      <c r="K2543" s="49">
        <v>3</v>
      </c>
      <c r="L2543" s="49">
        <v>4</v>
      </c>
    </row>
    <row r="2544" spans="1:12" x14ac:dyDescent="0.25">
      <c r="A2544" s="45">
        <f>C2544&amp;"."&amp;IFERROR(MID(E2544,FIND("(",E2544)+1,FIND(")",E2544)-FIND("(",E2544)-1),"")</f>
      </c>
      <c r="B2544" s="46" t="s">
        <v>1178</v>
      </c>
      <c r="C2544" s="46">
        <v>79124</v>
      </c>
      <c r="D2544" s="46" t="s">
        <v>4534</v>
      </c>
      <c r="E2544" s="46" t="s">
        <v>4535</v>
      </c>
      <c r="F2544" s="46" t="s">
        <v>25</v>
      </c>
      <c r="G2544" s="47">
        <v>0.87</v>
      </c>
      <c r="H2544" s="48">
        <v>5.077</v>
      </c>
      <c r="I2544" s="48">
        <v>10.154</v>
      </c>
      <c r="J2544" s="49">
        <v>2</v>
      </c>
      <c r="K2544" s="49">
        <v>1</v>
      </c>
      <c r="L2544" s="49">
        <v>1</v>
      </c>
    </row>
    <row r="2545" spans="1:12" x14ac:dyDescent="0.25">
      <c r="A2545" s="45">
        <f>C2545&amp;"."&amp;IFERROR(MID(E2545,FIND("(",E2545)+1,FIND(")",E2545)-FIND("(",E2545)-1),"")</f>
      </c>
      <c r="B2545" s="46" t="s">
        <v>1178</v>
      </c>
      <c r="C2545" s="46">
        <v>79124</v>
      </c>
      <c r="D2545" s="46" t="s">
        <v>4534</v>
      </c>
      <c r="E2545" s="46" t="s">
        <v>4536</v>
      </c>
      <c r="F2545" s="46" t="s">
        <v>25</v>
      </c>
      <c r="G2545" s="47">
        <v>0.87</v>
      </c>
      <c r="H2545" s="48">
        <v>2.97</v>
      </c>
      <c r="I2545" s="48">
        <v>5.94</v>
      </c>
      <c r="J2545" s="49">
        <v>2</v>
      </c>
      <c r="K2545" s="49">
        <v>0</v>
      </c>
      <c r="L2545" s="49">
        <v>2</v>
      </c>
    </row>
    <row r="2546" spans="1:12" x14ac:dyDescent="0.25">
      <c r="A2546" s="45">
        <f>C2546&amp;"."&amp;IFERROR(MID(E2546,FIND("(",E2546)+1,FIND(")",E2546)-FIND("(",E2546)-1),"")</f>
      </c>
      <c r="B2546" s="46" t="s">
        <v>1178</v>
      </c>
      <c r="C2546" s="46">
        <v>79126</v>
      </c>
      <c r="D2546" s="46" t="s">
        <v>4537</v>
      </c>
      <c r="E2546" s="46" t="s">
        <v>4538</v>
      </c>
      <c r="F2546" s="46" t="s">
        <v>25</v>
      </c>
      <c r="G2546" s="47">
        <v>0</v>
      </c>
      <c r="H2546" s="48">
        <v>2.01</v>
      </c>
      <c r="I2546" s="48">
        <v>2.01</v>
      </c>
      <c r="J2546" s="49">
        <v>1</v>
      </c>
      <c r="K2546" s="49">
        <v>0</v>
      </c>
      <c r="L2546" s="49">
        <v>1</v>
      </c>
    </row>
    <row r="2547" spans="1:12" x14ac:dyDescent="0.25">
      <c r="A2547" s="45">
        <f>C2547&amp;"."&amp;IFERROR(MID(E2547,FIND("(",E2547)+1,FIND(")",E2547)-FIND("(",E2547)-1),"")</f>
      </c>
      <c r="B2547" s="46" t="s">
        <v>1178</v>
      </c>
      <c r="C2547" s="46">
        <v>79127</v>
      </c>
      <c r="D2547" s="46" t="s">
        <v>4539</v>
      </c>
      <c r="E2547" s="46" t="s">
        <v>4540</v>
      </c>
      <c r="F2547" s="46" t="s">
        <v>25</v>
      </c>
      <c r="G2547" s="47">
        <v>0</v>
      </c>
      <c r="H2547" s="48">
        <v>0.905</v>
      </c>
      <c r="I2547" s="48">
        <v>5.432</v>
      </c>
      <c r="J2547" s="49">
        <v>6</v>
      </c>
      <c r="K2547" s="49">
        <v>2</v>
      </c>
      <c r="L2547" s="49">
        <v>4</v>
      </c>
    </row>
    <row r="2548" spans="1:12" x14ac:dyDescent="0.25">
      <c r="A2548" s="45">
        <f>C2548&amp;"."&amp;IFERROR(MID(E2548,FIND("(",E2548)+1,FIND(")",E2548)-FIND("(",E2548)-1),"")</f>
      </c>
      <c r="B2548" s="46" t="s">
        <v>1178</v>
      </c>
      <c r="C2548" s="46">
        <v>79131</v>
      </c>
      <c r="D2548" s="46" t="s">
        <v>4541</v>
      </c>
      <c r="E2548" s="46" t="s">
        <v>4542</v>
      </c>
      <c r="F2548" s="46" t="s">
        <v>25</v>
      </c>
      <c r="G2548" s="47">
        <v>0.83</v>
      </c>
      <c r="H2548" s="48">
        <v>1.902</v>
      </c>
      <c r="I2548" s="48">
        <v>15.215</v>
      </c>
      <c r="J2548" s="49">
        <v>8</v>
      </c>
      <c r="K2548" s="49">
        <v>3</v>
      </c>
      <c r="L2548" s="49">
        <v>5</v>
      </c>
    </row>
    <row r="2549" spans="1:12" x14ac:dyDescent="0.25">
      <c r="A2549" s="45">
        <f>C2549&amp;"."&amp;IFERROR(MID(E2549,FIND("(",E2549)+1,FIND(")",E2549)-FIND("(",E2549)-1),"")</f>
      </c>
      <c r="B2549" s="46" t="s">
        <v>1178</v>
      </c>
      <c r="C2549" s="46">
        <v>79148</v>
      </c>
      <c r="D2549" s="46" t="s">
        <v>4543</v>
      </c>
      <c r="E2549" s="46" t="s">
        <v>1248</v>
      </c>
      <c r="F2549" s="46" t="s">
        <v>25</v>
      </c>
      <c r="G2549" s="47">
        <v>0</v>
      </c>
      <c r="H2549" s="48">
        <v>3.386</v>
      </c>
      <c r="I2549" s="48">
        <v>3.386</v>
      </c>
      <c r="J2549" s="49">
        <v>1</v>
      </c>
      <c r="K2549" s="49">
        <v>1</v>
      </c>
      <c r="L2549" s="49">
        <v>0</v>
      </c>
    </row>
    <row r="2550" spans="1:12" x14ac:dyDescent="0.25">
      <c r="A2550" s="45">
        <f>C2550&amp;"."&amp;IFERROR(MID(E2550,FIND("(",E2550)+1,FIND(")",E2550)-FIND("(",E2550)-1),"")</f>
      </c>
      <c r="B2550" s="46" t="s">
        <v>1178</v>
      </c>
      <c r="C2550" s="46">
        <v>79156</v>
      </c>
      <c r="D2550" s="46" t="s">
        <v>4544</v>
      </c>
      <c r="E2550" s="46" t="s">
        <v>1248</v>
      </c>
      <c r="F2550" s="46" t="s">
        <v>25</v>
      </c>
      <c r="G2550" s="47">
        <v>1</v>
      </c>
      <c r="H2550" s="48">
        <v>4.19</v>
      </c>
      <c r="I2550" s="48">
        <v>12.57</v>
      </c>
      <c r="J2550" s="49">
        <v>3</v>
      </c>
      <c r="K2550" s="49">
        <v>0</v>
      </c>
      <c r="L2550" s="49">
        <v>3</v>
      </c>
    </row>
    <row r="2551" spans="1:12" x14ac:dyDescent="0.25">
      <c r="A2551" s="45">
        <f>C2551&amp;"."&amp;IFERROR(MID(E2551,FIND("(",E2551)+1,FIND(")",E2551)-FIND("(",E2551)-1),"")</f>
      </c>
      <c r="B2551" s="46" t="s">
        <v>1178</v>
      </c>
      <c r="C2551" s="46">
        <v>79162</v>
      </c>
      <c r="D2551" s="46" t="s">
        <v>4545</v>
      </c>
      <c r="E2551" s="46" t="s">
        <v>4546</v>
      </c>
      <c r="F2551" s="46" t="s">
        <v>25</v>
      </c>
      <c r="G2551" s="47">
        <v>0.46</v>
      </c>
      <c r="H2551" s="48">
        <v>0.251</v>
      </c>
      <c r="I2551" s="48">
        <v>0.502</v>
      </c>
      <c r="J2551" s="49">
        <v>2</v>
      </c>
      <c r="K2551" s="49">
        <v>0</v>
      </c>
      <c r="L2551" s="49">
        <v>2</v>
      </c>
    </row>
    <row r="2552" spans="1:12" x14ac:dyDescent="0.25">
      <c r="A2552" s="45">
        <f>C2552&amp;"."&amp;IFERROR(MID(E2552,FIND("(",E2552)+1,FIND(")",E2552)-FIND("(",E2552)-1),"")</f>
      </c>
      <c r="B2552" s="46" t="s">
        <v>1178</v>
      </c>
      <c r="C2552" s="46">
        <v>79164</v>
      </c>
      <c r="D2552" s="46" t="s">
        <v>4547</v>
      </c>
      <c r="E2552" s="46" t="s">
        <v>4548</v>
      </c>
      <c r="F2552" s="46" t="s">
        <v>25</v>
      </c>
      <c r="G2552" s="47">
        <v>0.39</v>
      </c>
      <c r="H2552" s="48">
        <v>1.646</v>
      </c>
      <c r="I2552" s="48">
        <v>1.646</v>
      </c>
      <c r="J2552" s="49">
        <v>1</v>
      </c>
      <c r="K2552" s="49">
        <v>0</v>
      </c>
      <c r="L2552" s="49">
        <v>1</v>
      </c>
    </row>
    <row r="2553" spans="1:12" x14ac:dyDescent="0.25">
      <c r="A2553" s="45">
        <f>C2553&amp;"."&amp;IFERROR(MID(E2553,FIND("(",E2553)+1,FIND(")",E2553)-FIND("(",E2553)-1),"")</f>
      </c>
      <c r="B2553" s="46" t="s">
        <v>1178</v>
      </c>
      <c r="C2553" s="46">
        <v>79166</v>
      </c>
      <c r="D2553" s="46" t="s">
        <v>4549</v>
      </c>
      <c r="E2553" s="46" t="s">
        <v>4550</v>
      </c>
      <c r="F2553" s="46" t="s">
        <v>25</v>
      </c>
      <c r="G2553" s="47">
        <v>1.27</v>
      </c>
      <c r="H2553" s="48">
        <v>4.701</v>
      </c>
      <c r="I2553" s="48">
        <v>4.701</v>
      </c>
      <c r="J2553" s="49">
        <v>1</v>
      </c>
      <c r="K2553" s="49">
        <v>0</v>
      </c>
      <c r="L2553" s="49">
        <v>1</v>
      </c>
    </row>
    <row r="2554" spans="1:12" x14ac:dyDescent="0.25">
      <c r="A2554" s="45">
        <f>C2554&amp;"."&amp;IFERROR(MID(E2554,FIND("(",E2554)+1,FIND(")",E2554)-FIND("(",E2554)-1),"")</f>
      </c>
      <c r="B2554" s="46" t="s">
        <v>1178</v>
      </c>
      <c r="C2554" s="46">
        <v>79169</v>
      </c>
      <c r="D2554" s="46" t="s">
        <v>4551</v>
      </c>
      <c r="E2554" s="46" t="s">
        <v>4552</v>
      </c>
      <c r="F2554" s="46" t="s">
        <v>25</v>
      </c>
      <c r="G2554" s="47">
        <v>0.46</v>
      </c>
      <c r="H2554" s="48">
        <v>2.12</v>
      </c>
      <c r="I2554" s="48">
        <v>4.24</v>
      </c>
      <c r="J2554" s="49">
        <v>2</v>
      </c>
      <c r="K2554" s="49">
        <v>0</v>
      </c>
      <c r="L2554" s="49">
        <v>2</v>
      </c>
    </row>
    <row r="2555" spans="1:12" x14ac:dyDescent="0.25">
      <c r="A2555" s="45">
        <f>C2555&amp;"."&amp;IFERROR(MID(E2555,FIND("(",E2555)+1,FIND(")",E2555)-FIND("(",E2555)-1),"")</f>
      </c>
      <c r="B2555" s="46" t="s">
        <v>1178</v>
      </c>
      <c r="C2555" s="46">
        <v>79173</v>
      </c>
      <c r="D2555" s="46" t="s">
        <v>4553</v>
      </c>
      <c r="E2555" s="46" t="s">
        <v>4554</v>
      </c>
      <c r="F2555" s="46" t="s">
        <v>25</v>
      </c>
      <c r="G2555" s="47">
        <v>0.69</v>
      </c>
      <c r="H2555" s="48">
        <v>5.09</v>
      </c>
      <c r="I2555" s="48">
        <v>10.18</v>
      </c>
      <c r="J2555" s="49">
        <v>2</v>
      </c>
      <c r="K2555" s="49">
        <v>0</v>
      </c>
      <c r="L2555" s="49">
        <v>2</v>
      </c>
    </row>
    <row r="2556" spans="1:12" x14ac:dyDescent="0.25">
      <c r="A2556" s="45">
        <f>C2556&amp;"."&amp;IFERROR(MID(E2556,FIND("(",E2556)+1,FIND(")",E2556)-FIND("(",E2556)-1),"")</f>
      </c>
      <c r="B2556" s="46" t="s">
        <v>1178</v>
      </c>
      <c r="C2556" s="46">
        <v>79173</v>
      </c>
      <c r="D2556" s="46" t="s">
        <v>4553</v>
      </c>
      <c r="E2556" s="46" t="s">
        <v>4555</v>
      </c>
      <c r="F2556" s="46" t="s">
        <v>25</v>
      </c>
      <c r="G2556" s="47">
        <v>0.69</v>
      </c>
      <c r="H2556" s="48">
        <v>2.46</v>
      </c>
      <c r="I2556" s="48">
        <v>4.921</v>
      </c>
      <c r="J2556" s="49">
        <v>2</v>
      </c>
      <c r="K2556" s="49">
        <v>0</v>
      </c>
      <c r="L2556" s="49">
        <v>2</v>
      </c>
    </row>
    <row r="2557" spans="1:12" x14ac:dyDescent="0.25">
      <c r="A2557" s="45">
        <f>C2557&amp;"."&amp;IFERROR(MID(E2557,FIND("(",E2557)+1,FIND(")",E2557)-FIND("(",E2557)-1),"")</f>
      </c>
      <c r="B2557" s="46" t="s">
        <v>1178</v>
      </c>
      <c r="C2557" s="46">
        <v>79173</v>
      </c>
      <c r="D2557" s="46" t="s">
        <v>4553</v>
      </c>
      <c r="E2557" s="46" t="s">
        <v>4556</v>
      </c>
      <c r="F2557" s="46" t="s">
        <v>25</v>
      </c>
      <c r="G2557" s="47">
        <v>0.69</v>
      </c>
      <c r="H2557" s="48">
        <v>5.09</v>
      </c>
      <c r="I2557" s="48">
        <v>5.09</v>
      </c>
      <c r="J2557" s="49">
        <v>1</v>
      </c>
      <c r="K2557" s="49">
        <v>0</v>
      </c>
      <c r="L2557" s="49">
        <v>1</v>
      </c>
    </row>
    <row r="2558" spans="1:12" x14ac:dyDescent="0.25">
      <c r="A2558" s="45">
        <f>C2558&amp;"."&amp;IFERROR(MID(E2558,FIND("(",E2558)+1,FIND(")",E2558)-FIND("(",E2558)-1),"")</f>
      </c>
      <c r="B2558" s="46" t="s">
        <v>1178</v>
      </c>
      <c r="C2558" s="46">
        <v>79202</v>
      </c>
      <c r="D2558" s="46" t="s">
        <v>4557</v>
      </c>
      <c r="E2558" s="46" t="s">
        <v>4558</v>
      </c>
      <c r="F2558" s="46" t="s">
        <v>25</v>
      </c>
      <c r="G2558" s="47">
        <v>2.5</v>
      </c>
      <c r="H2558" s="48">
        <v>30.349</v>
      </c>
      <c r="I2558" s="48">
        <v>60.697</v>
      </c>
      <c r="J2558" s="49">
        <v>2</v>
      </c>
      <c r="K2558" s="49">
        <v>0</v>
      </c>
      <c r="L2558" s="49">
        <v>2</v>
      </c>
    </row>
    <row r="2559" spans="1:12" x14ac:dyDescent="0.25">
      <c r="A2559" s="45">
        <f>C2559&amp;"."&amp;IFERROR(MID(E2559,FIND("(",E2559)+1,FIND(")",E2559)-FIND("(",E2559)-1),"")</f>
      </c>
      <c r="B2559" s="46" t="s">
        <v>1178</v>
      </c>
      <c r="C2559" s="46">
        <v>79202</v>
      </c>
      <c r="D2559" s="46" t="s">
        <v>4557</v>
      </c>
      <c r="E2559" s="46" t="s">
        <v>4559</v>
      </c>
      <c r="F2559" s="46" t="s">
        <v>25</v>
      </c>
      <c r="G2559" s="47">
        <v>2.5</v>
      </c>
      <c r="H2559" s="48">
        <v>25.86</v>
      </c>
      <c r="I2559" s="48">
        <v>336.18</v>
      </c>
      <c r="J2559" s="49">
        <v>13</v>
      </c>
      <c r="K2559" s="49">
        <v>0</v>
      </c>
      <c r="L2559" s="49">
        <v>13</v>
      </c>
    </row>
    <row r="2560" spans="1:12" x14ac:dyDescent="0.25">
      <c r="A2560" s="45">
        <f>C2560&amp;"."&amp;IFERROR(MID(E2560,FIND("(",E2560)+1,FIND(")",E2560)-FIND("(",E2560)-1),"")</f>
      </c>
      <c r="B2560" s="46" t="s">
        <v>1178</v>
      </c>
      <c r="C2560" s="46">
        <v>79202</v>
      </c>
      <c r="D2560" s="46" t="s">
        <v>4557</v>
      </c>
      <c r="E2560" s="46" t="s">
        <v>4560</v>
      </c>
      <c r="F2560" s="46" t="s">
        <v>25</v>
      </c>
      <c r="G2560" s="47">
        <v>2.5</v>
      </c>
      <c r="H2560" s="48">
        <v>28.988</v>
      </c>
      <c r="I2560" s="48">
        <v>86.965</v>
      </c>
      <c r="J2560" s="49">
        <v>3</v>
      </c>
      <c r="K2560" s="49">
        <v>0</v>
      </c>
      <c r="L2560" s="49">
        <v>3</v>
      </c>
    </row>
    <row r="2561" spans="1:12" x14ac:dyDescent="0.25">
      <c r="A2561" s="45">
        <f>C2561&amp;"."&amp;IFERROR(MID(E2561,FIND("(",E2561)+1,FIND(")",E2561)-FIND("(",E2561)-1),"")</f>
      </c>
      <c r="B2561" s="46" t="s">
        <v>1178</v>
      </c>
      <c r="C2561" s="46">
        <v>79202</v>
      </c>
      <c r="D2561" s="46" t="s">
        <v>4557</v>
      </c>
      <c r="E2561" s="46" t="s">
        <v>4561</v>
      </c>
      <c r="F2561" s="46" t="s">
        <v>25</v>
      </c>
      <c r="G2561" s="47">
        <v>2.5</v>
      </c>
      <c r="H2561" s="48">
        <v>23.317</v>
      </c>
      <c r="I2561" s="48">
        <v>69.95</v>
      </c>
      <c r="J2561" s="49">
        <v>3</v>
      </c>
      <c r="K2561" s="49">
        <v>0</v>
      </c>
      <c r="L2561" s="49">
        <v>3</v>
      </c>
    </row>
    <row r="2562" spans="1:12" x14ac:dyDescent="0.25">
      <c r="A2562" s="45">
        <f>C2562&amp;"."&amp;IFERROR(MID(E2562,FIND("(",E2562)+1,FIND(")",E2562)-FIND("(",E2562)-1),"")</f>
      </c>
      <c r="B2562" s="46" t="s">
        <v>1178</v>
      </c>
      <c r="C2562" s="46">
        <v>79202</v>
      </c>
      <c r="D2562" s="46" t="s">
        <v>4557</v>
      </c>
      <c r="E2562" s="46" t="s">
        <v>4562</v>
      </c>
      <c r="F2562" s="46" t="s">
        <v>25</v>
      </c>
      <c r="G2562" s="47">
        <v>2.5</v>
      </c>
      <c r="H2562" s="48">
        <v>25.284</v>
      </c>
      <c r="I2562" s="48">
        <v>126.42</v>
      </c>
      <c r="J2562" s="49">
        <v>5</v>
      </c>
      <c r="K2562" s="49">
        <v>1</v>
      </c>
      <c r="L2562" s="49">
        <v>4</v>
      </c>
    </row>
    <row r="2563" spans="1:12" x14ac:dyDescent="0.25">
      <c r="A2563" s="45">
        <f>C2563&amp;"."&amp;IFERROR(MID(E2563,FIND("(",E2563)+1,FIND(")",E2563)-FIND("(",E2563)-1),"")</f>
      </c>
      <c r="B2563" s="46" t="s">
        <v>1178</v>
      </c>
      <c r="C2563" s="46">
        <v>79202</v>
      </c>
      <c r="D2563" s="46" t="s">
        <v>4557</v>
      </c>
      <c r="E2563" s="46" t="s">
        <v>4563</v>
      </c>
      <c r="F2563" s="46" t="s">
        <v>25</v>
      </c>
      <c r="G2563" s="47">
        <v>2.5</v>
      </c>
      <c r="H2563" s="48">
        <v>21.748</v>
      </c>
      <c r="I2563" s="48">
        <v>21.748</v>
      </c>
      <c r="J2563" s="49">
        <v>1</v>
      </c>
      <c r="K2563" s="49">
        <v>1</v>
      </c>
      <c r="L2563" s="49">
        <v>0</v>
      </c>
    </row>
    <row r="2564" spans="1:12" x14ac:dyDescent="0.25">
      <c r="A2564" s="45">
        <f>C2564&amp;"."&amp;IFERROR(MID(E2564,FIND("(",E2564)+1,FIND(")",E2564)-FIND("(",E2564)-1),"")</f>
      </c>
      <c r="B2564" s="46" t="s">
        <v>1178</v>
      </c>
      <c r="C2564" s="46">
        <v>79208</v>
      </c>
      <c r="D2564" s="46" t="s">
        <v>512</v>
      </c>
      <c r="E2564" s="46" t="s">
        <v>4564</v>
      </c>
      <c r="F2564" s="46" t="s">
        <v>25</v>
      </c>
      <c r="G2564" s="47">
        <v>39.4</v>
      </c>
      <c r="H2564" s="48">
        <v>154.206</v>
      </c>
      <c r="I2564" s="48">
        <v>21126.286</v>
      </c>
      <c r="J2564" s="49">
        <v>137</v>
      </c>
      <c r="K2564" s="49">
        <v>100</v>
      </c>
      <c r="L2564" s="49">
        <v>37</v>
      </c>
    </row>
    <row r="2565" spans="1:12" x14ac:dyDescent="0.25">
      <c r="A2565" s="45">
        <f>C2565&amp;"."&amp;IFERROR(MID(E2565,FIND("(",E2565)+1,FIND(")",E2565)-FIND("(",E2565)-1),"")</f>
      </c>
      <c r="B2565" s="46" t="s">
        <v>1178</v>
      </c>
      <c r="C2565" s="46">
        <v>79208</v>
      </c>
      <c r="D2565" s="46" t="s">
        <v>512</v>
      </c>
      <c r="E2565" s="46" t="s">
        <v>4565</v>
      </c>
      <c r="F2565" s="46" t="s">
        <v>25</v>
      </c>
      <c r="G2565" s="47">
        <v>39.4</v>
      </c>
      <c r="H2565" s="48">
        <v>162.359</v>
      </c>
      <c r="I2565" s="48">
        <v>4221.321</v>
      </c>
      <c r="J2565" s="49">
        <v>26</v>
      </c>
      <c r="K2565" s="49">
        <v>0</v>
      </c>
      <c r="L2565" s="49">
        <v>26</v>
      </c>
    </row>
    <row r="2566" spans="1:12" x14ac:dyDescent="0.25">
      <c r="A2566" s="45">
        <f>C2566&amp;"."&amp;IFERROR(MID(E2566,FIND("(",E2566)+1,FIND(")",E2566)-FIND("(",E2566)-1),"")</f>
      </c>
      <c r="B2566" s="46" t="s">
        <v>1178</v>
      </c>
      <c r="C2566" s="46">
        <v>79209</v>
      </c>
      <c r="D2566" s="46" t="s">
        <v>4566</v>
      </c>
      <c r="E2566" s="46" t="s">
        <v>4567</v>
      </c>
      <c r="F2566" s="46" t="s">
        <v>25</v>
      </c>
      <c r="G2566" s="47">
        <v>1.68</v>
      </c>
      <c r="H2566" s="48">
        <v>7.47</v>
      </c>
      <c r="I2566" s="48">
        <v>119.52</v>
      </c>
      <c r="J2566" s="49">
        <v>16</v>
      </c>
      <c r="K2566" s="49">
        <v>0</v>
      </c>
      <c r="L2566" s="49">
        <v>16</v>
      </c>
    </row>
    <row r="2567" spans="1:12" x14ac:dyDescent="0.25">
      <c r="A2567" s="45">
        <f>C2567&amp;"."&amp;IFERROR(MID(E2567,FIND("(",E2567)+1,FIND(")",E2567)-FIND("(",E2567)-1),"")</f>
      </c>
      <c r="B2567" s="46" t="s">
        <v>1178</v>
      </c>
      <c r="C2567" s="46">
        <v>79210</v>
      </c>
      <c r="D2567" s="46" t="s">
        <v>4568</v>
      </c>
      <c r="E2567" s="46" t="s">
        <v>4569</v>
      </c>
      <c r="F2567" s="46" t="s">
        <v>25</v>
      </c>
      <c r="G2567" s="47">
        <v>0.42</v>
      </c>
      <c r="H2567" s="48">
        <v>13.21</v>
      </c>
      <c r="I2567" s="48">
        <v>105.681</v>
      </c>
      <c r="J2567" s="49">
        <v>8</v>
      </c>
      <c r="K2567" s="49">
        <v>8</v>
      </c>
      <c r="L2567" s="49">
        <v>0</v>
      </c>
    </row>
    <row r="2568" spans="1:12" x14ac:dyDescent="0.25">
      <c r="A2568" s="45">
        <f>C2568&amp;"."&amp;IFERROR(MID(E2568,FIND("(",E2568)+1,FIND(")",E2568)-FIND("(",E2568)-1),"")</f>
      </c>
      <c r="B2568" s="46" t="s">
        <v>1178</v>
      </c>
      <c r="C2568" s="46">
        <v>79210</v>
      </c>
      <c r="D2568" s="46" t="s">
        <v>4568</v>
      </c>
      <c r="E2568" s="46" t="s">
        <v>4570</v>
      </c>
      <c r="F2568" s="46" t="s">
        <v>25</v>
      </c>
      <c r="G2568" s="47">
        <v>0.42</v>
      </c>
      <c r="H2568" s="48">
        <v>13.333</v>
      </c>
      <c r="I2568" s="48">
        <v>13.333</v>
      </c>
      <c r="J2568" s="49">
        <v>1</v>
      </c>
      <c r="K2568" s="49">
        <v>1</v>
      </c>
      <c r="L2568" s="49">
        <v>0</v>
      </c>
    </row>
    <row r="2569" spans="1:12" x14ac:dyDescent="0.25">
      <c r="A2569" s="45">
        <f>C2569&amp;"."&amp;IFERROR(MID(E2569,FIND("(",E2569)+1,FIND(")",E2569)-FIND("(",E2569)-1),"")</f>
      </c>
      <c r="B2569" s="46" t="s">
        <v>1178</v>
      </c>
      <c r="C2569" s="46">
        <v>79216</v>
      </c>
      <c r="D2569" s="46" t="s">
        <v>4571</v>
      </c>
      <c r="E2569" s="46" t="s">
        <v>4572</v>
      </c>
      <c r="F2569" s="46" t="s">
        <v>25</v>
      </c>
      <c r="G2569" s="47">
        <v>12.88</v>
      </c>
      <c r="H2569" s="48">
        <v>40.816</v>
      </c>
      <c r="I2569" s="48">
        <v>81.631</v>
      </c>
      <c r="J2569" s="49">
        <v>2</v>
      </c>
      <c r="K2569" s="49">
        <v>0</v>
      </c>
      <c r="L2569" s="49">
        <v>2</v>
      </c>
    </row>
    <row r="2570" spans="1:12" x14ac:dyDescent="0.25">
      <c r="A2570" s="45">
        <f>C2570&amp;"."&amp;IFERROR(MID(E2570,FIND("(",E2570)+1,FIND(")",E2570)-FIND("(",E2570)-1),"")</f>
      </c>
      <c r="B2570" s="46" t="s">
        <v>1178</v>
      </c>
      <c r="C2570" s="46">
        <v>79221</v>
      </c>
      <c r="D2570" s="46" t="s">
        <v>4573</v>
      </c>
      <c r="E2570" s="46" t="s">
        <v>4574</v>
      </c>
      <c r="F2570" s="46" t="s">
        <v>25</v>
      </c>
      <c r="G2570" s="47">
        <v>1.82</v>
      </c>
      <c r="H2570" s="48">
        <v>16.036</v>
      </c>
      <c r="I2570" s="48">
        <v>64.142</v>
      </c>
      <c r="J2570" s="49">
        <v>4</v>
      </c>
      <c r="K2570" s="49">
        <v>0</v>
      </c>
      <c r="L2570" s="49">
        <v>4</v>
      </c>
    </row>
    <row r="2571" spans="1:12" x14ac:dyDescent="0.25">
      <c r="A2571" s="45">
        <f>C2571&amp;"."&amp;IFERROR(MID(E2571,FIND("(",E2571)+1,FIND(")",E2571)-FIND("(",E2571)-1),"")</f>
      </c>
      <c r="B2571" s="46" t="s">
        <v>1178</v>
      </c>
      <c r="C2571" s="46">
        <v>79222</v>
      </c>
      <c r="D2571" s="46" t="s">
        <v>4575</v>
      </c>
      <c r="E2571" s="46" t="s">
        <v>4576</v>
      </c>
      <c r="F2571" s="46" t="s">
        <v>25</v>
      </c>
      <c r="G2571" s="47">
        <v>0.66</v>
      </c>
      <c r="H2571" s="48">
        <v>1.77</v>
      </c>
      <c r="I2571" s="48">
        <v>3.54</v>
      </c>
      <c r="J2571" s="49">
        <v>2</v>
      </c>
      <c r="K2571" s="49">
        <v>0</v>
      </c>
      <c r="L2571" s="49">
        <v>2</v>
      </c>
    </row>
    <row r="2572" spans="1:12" x14ac:dyDescent="0.25">
      <c r="A2572" s="45">
        <f>C2572&amp;"."&amp;IFERROR(MID(E2572,FIND("(",E2572)+1,FIND(")",E2572)-FIND("(",E2572)-1),"")</f>
      </c>
      <c r="B2572" s="46" t="s">
        <v>1178</v>
      </c>
      <c r="C2572" s="46">
        <v>79225</v>
      </c>
      <c r="D2572" s="46" t="s">
        <v>4577</v>
      </c>
      <c r="E2572" s="46" t="s">
        <v>4578</v>
      </c>
      <c r="F2572" s="46" t="s">
        <v>25</v>
      </c>
      <c r="G2572" s="47">
        <v>0</v>
      </c>
      <c r="H2572" s="48">
        <v>79.694</v>
      </c>
      <c r="I2572" s="48">
        <v>79.694</v>
      </c>
      <c r="J2572" s="49">
        <v>1</v>
      </c>
      <c r="K2572" s="49">
        <v>1</v>
      </c>
      <c r="L2572" s="49">
        <v>0</v>
      </c>
    </row>
    <row r="2573" spans="1:12" x14ac:dyDescent="0.25">
      <c r="A2573" s="45">
        <f>C2573&amp;"."&amp;IFERROR(MID(E2573,FIND("(",E2573)+1,FIND(")",E2573)-FIND("(",E2573)-1),"")</f>
      </c>
      <c r="B2573" s="46" t="s">
        <v>1178</v>
      </c>
      <c r="C2573" s="46">
        <v>79249</v>
      </c>
      <c r="D2573" s="46" t="s">
        <v>4579</v>
      </c>
      <c r="E2573" s="46" t="s">
        <v>4580</v>
      </c>
      <c r="F2573" s="46" t="s">
        <v>25</v>
      </c>
      <c r="G2573" s="47">
        <v>0.6</v>
      </c>
      <c r="H2573" s="48">
        <v>1.73</v>
      </c>
      <c r="I2573" s="48">
        <v>3.461</v>
      </c>
      <c r="J2573" s="49">
        <v>2</v>
      </c>
      <c r="K2573" s="49">
        <v>0</v>
      </c>
      <c r="L2573" s="49">
        <v>2</v>
      </c>
    </row>
    <row r="2574" spans="1:12" x14ac:dyDescent="0.25">
      <c r="A2574" s="45">
        <f>C2574&amp;"."&amp;IFERROR(MID(E2574,FIND("(",E2574)+1,FIND(")",E2574)-FIND("(",E2574)-1),"")</f>
      </c>
      <c r="B2574" s="46" t="s">
        <v>1178</v>
      </c>
      <c r="C2574" s="46">
        <v>79254</v>
      </c>
      <c r="D2574" s="46" t="s">
        <v>4581</v>
      </c>
      <c r="E2574" s="46" t="s">
        <v>4582</v>
      </c>
      <c r="F2574" s="46" t="s">
        <v>25</v>
      </c>
      <c r="G2574" s="47">
        <v>2.09</v>
      </c>
      <c r="H2574" s="48">
        <v>7.454</v>
      </c>
      <c r="I2574" s="48">
        <v>7.454</v>
      </c>
      <c r="J2574" s="49">
        <v>1</v>
      </c>
      <c r="K2574" s="49">
        <v>0</v>
      </c>
      <c r="L2574" s="49">
        <v>1</v>
      </c>
    </row>
    <row r="2575" spans="1:12" x14ac:dyDescent="0.25">
      <c r="A2575" s="45">
        <f>C2575&amp;"."&amp;IFERROR(MID(E2575,FIND("(",E2575)+1,FIND(")",E2575)-FIND("(",E2575)-1),"")</f>
      </c>
      <c r="B2575" s="46" t="s">
        <v>1178</v>
      </c>
      <c r="C2575" s="46">
        <v>79256</v>
      </c>
      <c r="D2575" s="46" t="s">
        <v>4583</v>
      </c>
      <c r="E2575" s="46" t="s">
        <v>4584</v>
      </c>
      <c r="F2575" s="46" t="s">
        <v>25</v>
      </c>
      <c r="G2575" s="47">
        <v>28.54</v>
      </c>
      <c r="H2575" s="48">
        <v>121.28</v>
      </c>
      <c r="I2575" s="48">
        <v>121.28</v>
      </c>
      <c r="J2575" s="49">
        <v>1</v>
      </c>
      <c r="K2575" s="49">
        <v>0</v>
      </c>
      <c r="L2575" s="49">
        <v>1</v>
      </c>
    </row>
    <row r="2576" spans="1:12" x14ac:dyDescent="0.25">
      <c r="A2576" s="45">
        <f>C2576&amp;"."&amp;IFERROR(MID(E2576,FIND("(",E2576)+1,FIND(")",E2576)-FIND("(",E2576)-1),"")</f>
      </c>
      <c r="B2576" s="46" t="s">
        <v>1178</v>
      </c>
      <c r="C2576" s="46">
        <v>79258</v>
      </c>
      <c r="D2576" s="46" t="s">
        <v>4585</v>
      </c>
      <c r="E2576" s="46" t="s">
        <v>4586</v>
      </c>
      <c r="F2576" s="46" t="s">
        <v>25</v>
      </c>
      <c r="G2576" s="47">
        <v>14.9</v>
      </c>
      <c r="H2576" s="48">
        <v>61.004</v>
      </c>
      <c r="I2576" s="48">
        <v>549.032</v>
      </c>
      <c r="J2576" s="49">
        <v>9</v>
      </c>
      <c r="K2576" s="49">
        <v>3</v>
      </c>
      <c r="L2576" s="49">
        <v>6</v>
      </c>
    </row>
    <row r="2577" spans="1:12" x14ac:dyDescent="0.25">
      <c r="A2577" s="45">
        <f>C2577&amp;"."&amp;IFERROR(MID(E2577,FIND("(",E2577)+1,FIND(")",E2577)-FIND("(",E2577)-1),"")</f>
      </c>
      <c r="B2577" s="46" t="s">
        <v>1178</v>
      </c>
      <c r="C2577" s="46">
        <v>79260</v>
      </c>
      <c r="D2577" s="46" t="s">
        <v>4587</v>
      </c>
      <c r="E2577" s="46" t="s">
        <v>1248</v>
      </c>
      <c r="F2577" s="46" t="s">
        <v>25</v>
      </c>
      <c r="G2577" s="47">
        <v>4.77</v>
      </c>
      <c r="H2577" s="48">
        <v>7.508</v>
      </c>
      <c r="I2577" s="48">
        <v>75.076</v>
      </c>
      <c r="J2577" s="49">
        <v>10</v>
      </c>
      <c r="K2577" s="49">
        <v>2</v>
      </c>
      <c r="L2577" s="49">
        <v>8</v>
      </c>
    </row>
    <row r="2578" spans="1:12" x14ac:dyDescent="0.25">
      <c r="A2578" s="45">
        <f>C2578&amp;"."&amp;IFERROR(MID(E2578,FIND("(",E2578)+1,FIND(")",E2578)-FIND("(",E2578)-1),"")</f>
      </c>
      <c r="B2578" s="46" t="s">
        <v>1178</v>
      </c>
      <c r="C2578" s="46">
        <v>79261</v>
      </c>
      <c r="D2578" s="46" t="s">
        <v>4588</v>
      </c>
      <c r="E2578" s="46" t="s">
        <v>4589</v>
      </c>
      <c r="F2578" s="46" t="s">
        <v>25</v>
      </c>
      <c r="G2578" s="47">
        <v>0</v>
      </c>
      <c r="H2578" s="48">
        <v>5</v>
      </c>
      <c r="I2578" s="48">
        <v>20</v>
      </c>
      <c r="J2578" s="49">
        <v>4</v>
      </c>
      <c r="K2578" s="49">
        <v>0</v>
      </c>
      <c r="L2578" s="49">
        <v>4</v>
      </c>
    </row>
    <row r="2579" spans="1:12" x14ac:dyDescent="0.25">
      <c r="A2579" s="45">
        <f>C2579&amp;"."&amp;IFERROR(MID(E2579,FIND("(",E2579)+1,FIND(")",E2579)-FIND("(",E2579)-1),"")</f>
      </c>
      <c r="B2579" s="46" t="s">
        <v>1178</v>
      </c>
      <c r="C2579" s="46">
        <v>79263</v>
      </c>
      <c r="D2579" s="46" t="s">
        <v>4590</v>
      </c>
      <c r="E2579" s="46" t="s">
        <v>4591</v>
      </c>
      <c r="F2579" s="46" t="s">
        <v>25</v>
      </c>
      <c r="G2579" s="47">
        <v>5.04</v>
      </c>
      <c r="H2579" s="48">
        <v>21.754</v>
      </c>
      <c r="I2579" s="48">
        <v>130.526</v>
      </c>
      <c r="J2579" s="49">
        <v>6</v>
      </c>
      <c r="K2579" s="49">
        <v>0</v>
      </c>
      <c r="L2579" s="49">
        <v>6</v>
      </c>
    </row>
    <row r="2580" spans="1:12" x14ac:dyDescent="0.25">
      <c r="A2580" s="45">
        <f>C2580&amp;"."&amp;IFERROR(MID(E2580,FIND("(",E2580)+1,FIND(")",E2580)-FIND("(",E2580)-1),"")</f>
      </c>
      <c r="B2580" s="46" t="s">
        <v>1178</v>
      </c>
      <c r="C2580" s="46">
        <v>79263</v>
      </c>
      <c r="D2580" s="46" t="s">
        <v>4590</v>
      </c>
      <c r="E2580" s="46" t="s">
        <v>4592</v>
      </c>
      <c r="F2580" s="46" t="s">
        <v>25</v>
      </c>
      <c r="G2580" s="47">
        <v>5.04</v>
      </c>
      <c r="H2580" s="48">
        <v>28.574</v>
      </c>
      <c r="I2580" s="48">
        <v>85.723</v>
      </c>
      <c r="J2580" s="49">
        <v>3</v>
      </c>
      <c r="K2580" s="49">
        <v>0</v>
      </c>
      <c r="L2580" s="49">
        <v>3</v>
      </c>
    </row>
    <row r="2581" spans="1:12" x14ac:dyDescent="0.25">
      <c r="A2581" s="45">
        <f>C2581&amp;"."&amp;IFERROR(MID(E2581,FIND("(",E2581)+1,FIND(")",E2581)-FIND("(",E2581)-1),"")</f>
      </c>
      <c r="B2581" s="46" t="s">
        <v>1178</v>
      </c>
      <c r="C2581" s="46">
        <v>79265</v>
      </c>
      <c r="D2581" s="46" t="s">
        <v>4593</v>
      </c>
      <c r="E2581" s="46" t="s">
        <v>4594</v>
      </c>
      <c r="F2581" s="46" t="s">
        <v>25</v>
      </c>
      <c r="G2581" s="47">
        <v>4.39</v>
      </c>
      <c r="H2581" s="48">
        <v>11.28</v>
      </c>
      <c r="I2581" s="48">
        <v>22.56</v>
      </c>
      <c r="J2581" s="49">
        <v>2</v>
      </c>
      <c r="K2581" s="49">
        <v>0</v>
      </c>
      <c r="L2581" s="49">
        <v>2</v>
      </c>
    </row>
    <row r="2582" spans="1:12" x14ac:dyDescent="0.25">
      <c r="A2582" s="45">
        <f>C2582&amp;"."&amp;IFERROR(MID(E2582,FIND("(",E2582)+1,FIND(")",E2582)-FIND("(",E2582)-1),"")</f>
      </c>
      <c r="B2582" s="46" t="s">
        <v>1178</v>
      </c>
      <c r="C2582" s="46">
        <v>79265</v>
      </c>
      <c r="D2582" s="46" t="s">
        <v>4593</v>
      </c>
      <c r="E2582" s="46" t="s">
        <v>4595</v>
      </c>
      <c r="F2582" s="46" t="s">
        <v>25</v>
      </c>
      <c r="G2582" s="47">
        <v>4.39</v>
      </c>
      <c r="H2582" s="48">
        <v>16.502</v>
      </c>
      <c r="I2582" s="48">
        <v>49.507</v>
      </c>
      <c r="J2582" s="49">
        <v>3</v>
      </c>
      <c r="K2582" s="49">
        <v>1</v>
      </c>
      <c r="L2582" s="49">
        <v>2</v>
      </c>
    </row>
    <row r="2583" spans="1:12" x14ac:dyDescent="0.25">
      <c r="A2583" s="45">
        <f>C2583&amp;"."&amp;IFERROR(MID(E2583,FIND("(",E2583)+1,FIND(")",E2583)-FIND("(",E2583)-1),"")</f>
      </c>
      <c r="B2583" s="46" t="s">
        <v>1178</v>
      </c>
      <c r="C2583" s="46">
        <v>79266</v>
      </c>
      <c r="D2583" s="46" t="s">
        <v>4596</v>
      </c>
      <c r="E2583" s="46" t="s">
        <v>4597</v>
      </c>
      <c r="F2583" s="46" t="s">
        <v>25</v>
      </c>
      <c r="G2583" s="47">
        <v>0</v>
      </c>
      <c r="H2583" s="48">
        <v>23.082</v>
      </c>
      <c r="I2583" s="48">
        <v>184.658</v>
      </c>
      <c r="J2583" s="49">
        <v>8</v>
      </c>
      <c r="K2583" s="49">
        <v>1</v>
      </c>
      <c r="L2583" s="49">
        <v>7</v>
      </c>
    </row>
    <row r="2584" spans="1:12" x14ac:dyDescent="0.25">
      <c r="A2584" s="45">
        <f>C2584&amp;"."&amp;IFERROR(MID(E2584,FIND("(",E2584)+1,FIND(")",E2584)-FIND("(",E2584)-1),"")</f>
      </c>
      <c r="B2584" s="46" t="s">
        <v>1178</v>
      </c>
      <c r="C2584" s="46">
        <v>79266</v>
      </c>
      <c r="D2584" s="46" t="s">
        <v>4596</v>
      </c>
      <c r="E2584" s="46" t="s">
        <v>4598</v>
      </c>
      <c r="F2584" s="46" t="s">
        <v>25</v>
      </c>
      <c r="G2584" s="47">
        <v>0</v>
      </c>
      <c r="H2584" s="48">
        <v>22.288</v>
      </c>
      <c r="I2584" s="48">
        <v>89.153</v>
      </c>
      <c r="J2584" s="49">
        <v>4</v>
      </c>
      <c r="K2584" s="49">
        <v>0</v>
      </c>
      <c r="L2584" s="49">
        <v>4</v>
      </c>
    </row>
    <row r="2585" spans="1:12" x14ac:dyDescent="0.25">
      <c r="A2585" s="45">
        <f>C2585&amp;"."&amp;IFERROR(MID(E2585,FIND("(",E2585)+1,FIND(")",E2585)-FIND("(",E2585)-1),"")</f>
      </c>
      <c r="B2585" s="46" t="s">
        <v>1178</v>
      </c>
      <c r="C2585" s="46">
        <v>79267</v>
      </c>
      <c r="D2585" s="46" t="s">
        <v>4599</v>
      </c>
      <c r="E2585" s="46" t="s">
        <v>4600</v>
      </c>
      <c r="F2585" s="46" t="s">
        <v>25</v>
      </c>
      <c r="G2585" s="47">
        <v>4.6</v>
      </c>
      <c r="H2585" s="48">
        <v>22.117</v>
      </c>
      <c r="I2585" s="48">
        <v>110.583</v>
      </c>
      <c r="J2585" s="49">
        <v>5</v>
      </c>
      <c r="K2585" s="49">
        <v>1</v>
      </c>
      <c r="L2585" s="49">
        <v>4</v>
      </c>
    </row>
    <row r="2586" spans="1:12" x14ac:dyDescent="0.25">
      <c r="A2586" s="45">
        <f>C2586&amp;"."&amp;IFERROR(MID(E2586,FIND("(",E2586)+1,FIND(")",E2586)-FIND("(",E2586)-1),"")</f>
      </c>
      <c r="B2586" s="46" t="s">
        <v>1178</v>
      </c>
      <c r="C2586" s="46">
        <v>79268</v>
      </c>
      <c r="D2586" s="46" t="s">
        <v>4601</v>
      </c>
      <c r="E2586" s="46" t="s">
        <v>4602</v>
      </c>
      <c r="F2586" s="46" t="s">
        <v>25</v>
      </c>
      <c r="G2586" s="47">
        <v>3.69</v>
      </c>
      <c r="H2586" s="48">
        <v>22.25</v>
      </c>
      <c r="I2586" s="48">
        <v>88.998</v>
      </c>
      <c r="J2586" s="49">
        <v>4</v>
      </c>
      <c r="K2586" s="49">
        <v>0</v>
      </c>
      <c r="L2586" s="49">
        <v>4</v>
      </c>
    </row>
    <row r="2587" spans="1:12" x14ac:dyDescent="0.25">
      <c r="A2587" s="45">
        <f>C2587&amp;"."&amp;IFERROR(MID(E2587,FIND("(",E2587)+1,FIND(")",E2587)-FIND("(",E2587)-1),"")</f>
      </c>
      <c r="B2587" s="46" t="s">
        <v>1178</v>
      </c>
      <c r="C2587" s="46">
        <v>79269</v>
      </c>
      <c r="D2587" s="46" t="s">
        <v>4603</v>
      </c>
      <c r="E2587" s="46" t="s">
        <v>1248</v>
      </c>
      <c r="F2587" s="46" t="s">
        <v>25</v>
      </c>
      <c r="G2587" s="47">
        <v>4.96</v>
      </c>
      <c r="H2587" s="48">
        <v>8.329</v>
      </c>
      <c r="I2587" s="48">
        <v>41.644</v>
      </c>
      <c r="J2587" s="49">
        <v>5</v>
      </c>
      <c r="K2587" s="49">
        <v>0</v>
      </c>
      <c r="L2587" s="49">
        <v>5</v>
      </c>
    </row>
    <row r="2588" spans="1:12" x14ac:dyDescent="0.25">
      <c r="A2588" s="45">
        <f>C2588&amp;"."&amp;IFERROR(MID(E2588,FIND("(",E2588)+1,FIND(")",E2588)-FIND("(",E2588)-1),"")</f>
      </c>
      <c r="B2588" s="46" t="s">
        <v>1178</v>
      </c>
      <c r="C2588" s="46">
        <v>79271</v>
      </c>
      <c r="D2588" s="46" t="s">
        <v>4604</v>
      </c>
      <c r="E2588" s="46" t="s">
        <v>4605</v>
      </c>
      <c r="F2588" s="46" t="s">
        <v>25</v>
      </c>
      <c r="G2588" s="47">
        <v>1.05</v>
      </c>
      <c r="H2588" s="48">
        <v>15.893</v>
      </c>
      <c r="I2588" s="48">
        <v>15.893</v>
      </c>
      <c r="J2588" s="49">
        <v>1</v>
      </c>
      <c r="K2588" s="49">
        <v>1</v>
      </c>
      <c r="L2588" s="49">
        <v>0</v>
      </c>
    </row>
    <row r="2589" spans="1:12" x14ac:dyDescent="0.25">
      <c r="A2589" s="45">
        <f>C2589&amp;"."&amp;IFERROR(MID(E2589,FIND("(",E2589)+1,FIND(")",E2589)-FIND("(",E2589)-1),"")</f>
      </c>
      <c r="B2589" s="46" t="s">
        <v>1178</v>
      </c>
      <c r="C2589" s="46">
        <v>79278</v>
      </c>
      <c r="D2589" s="46" t="s">
        <v>4606</v>
      </c>
      <c r="E2589" s="46" t="s">
        <v>4607</v>
      </c>
      <c r="F2589" s="46" t="s">
        <v>25</v>
      </c>
      <c r="G2589" s="47">
        <v>3.75</v>
      </c>
      <c r="H2589" s="48">
        <v>24.796</v>
      </c>
      <c r="I2589" s="48">
        <v>49.592</v>
      </c>
      <c r="J2589" s="49">
        <v>2</v>
      </c>
      <c r="K2589" s="49">
        <v>0</v>
      </c>
      <c r="L2589" s="49">
        <v>2</v>
      </c>
    </row>
    <row r="2590" spans="1:12" x14ac:dyDescent="0.25">
      <c r="A2590" s="45">
        <f>C2590&amp;"."&amp;IFERROR(MID(E2590,FIND("(",E2590)+1,FIND(")",E2590)-FIND("(",E2590)-1),"")</f>
      </c>
      <c r="B2590" s="46" t="s">
        <v>1178</v>
      </c>
      <c r="C2590" s="46">
        <v>79278</v>
      </c>
      <c r="D2590" s="46" t="s">
        <v>4606</v>
      </c>
      <c r="E2590" s="46" t="s">
        <v>4608</v>
      </c>
      <c r="F2590" s="46" t="s">
        <v>25</v>
      </c>
      <c r="G2590" s="47">
        <v>3.75</v>
      </c>
      <c r="H2590" s="48">
        <v>26.358</v>
      </c>
      <c r="I2590" s="48">
        <v>184.504</v>
      </c>
      <c r="J2590" s="49">
        <v>7</v>
      </c>
      <c r="K2590" s="49">
        <v>1</v>
      </c>
      <c r="L2590" s="49">
        <v>6</v>
      </c>
    </row>
    <row r="2591" spans="1:12" x14ac:dyDescent="0.25">
      <c r="A2591" s="45">
        <f>C2591&amp;"."&amp;IFERROR(MID(E2591,FIND("(",E2591)+1,FIND(")",E2591)-FIND("(",E2591)-1),"")</f>
      </c>
      <c r="B2591" s="46" t="s">
        <v>1178</v>
      </c>
      <c r="C2591" s="46">
        <v>79285</v>
      </c>
      <c r="D2591" s="46" t="s">
        <v>4609</v>
      </c>
      <c r="E2591" s="46" t="s">
        <v>1248</v>
      </c>
      <c r="F2591" s="46" t="s">
        <v>25</v>
      </c>
      <c r="G2591" s="47">
        <v>0.89</v>
      </c>
      <c r="H2591" s="48">
        <v>1.005</v>
      </c>
      <c r="I2591" s="48">
        <v>3.015</v>
      </c>
      <c r="J2591" s="49">
        <v>3</v>
      </c>
      <c r="K2591" s="49">
        <v>0</v>
      </c>
      <c r="L2591" s="49">
        <v>3</v>
      </c>
    </row>
    <row r="2592" spans="1:12" x14ac:dyDescent="0.25">
      <c r="A2592" s="45">
        <f>C2592&amp;"."&amp;IFERROR(MID(E2592,FIND("(",E2592)+1,FIND(")",E2592)-FIND("(",E2592)-1),"")</f>
      </c>
      <c r="B2592" s="46" t="s">
        <v>1178</v>
      </c>
      <c r="C2592" s="46">
        <v>79287</v>
      </c>
      <c r="D2592" s="46" t="s">
        <v>4610</v>
      </c>
      <c r="E2592" s="46" t="s">
        <v>1248</v>
      </c>
      <c r="F2592" s="46" t="s">
        <v>25</v>
      </c>
      <c r="G2592" s="47">
        <v>1.12</v>
      </c>
      <c r="H2592" s="48">
        <v>3.86</v>
      </c>
      <c r="I2592" s="48">
        <v>7.719</v>
      </c>
      <c r="J2592" s="49">
        <v>2</v>
      </c>
      <c r="K2592" s="49">
        <v>0</v>
      </c>
      <c r="L2592" s="49">
        <v>2</v>
      </c>
    </row>
    <row r="2593" spans="1:12" x14ac:dyDescent="0.25">
      <c r="A2593" s="45">
        <f>C2593&amp;"."&amp;IFERROR(MID(E2593,FIND("(",E2593)+1,FIND(")",E2593)-FIND("(",E2593)-1),"")</f>
      </c>
      <c r="B2593" s="46" t="s">
        <v>1178</v>
      </c>
      <c r="C2593" s="46">
        <v>79293</v>
      </c>
      <c r="D2593" s="46" t="s">
        <v>4611</v>
      </c>
      <c r="E2593" s="46" t="s">
        <v>4612</v>
      </c>
      <c r="F2593" s="46" t="s">
        <v>25</v>
      </c>
      <c r="G2593" s="47">
        <v>0.57</v>
      </c>
      <c r="H2593" s="48">
        <v>1.012</v>
      </c>
      <c r="I2593" s="48">
        <v>2.023</v>
      </c>
      <c r="J2593" s="49">
        <v>2</v>
      </c>
      <c r="K2593" s="49">
        <v>0</v>
      </c>
      <c r="L2593" s="49">
        <v>2</v>
      </c>
    </row>
    <row r="2594" spans="1:12" x14ac:dyDescent="0.25">
      <c r="A2594" s="45">
        <f>C2594&amp;"."&amp;IFERROR(MID(E2594,FIND("(",E2594)+1,FIND(")",E2594)-FIND("(",E2594)-1),"")</f>
      </c>
      <c r="B2594" s="46" t="s">
        <v>1178</v>
      </c>
      <c r="C2594" s="46">
        <v>79293</v>
      </c>
      <c r="D2594" s="46" t="s">
        <v>4611</v>
      </c>
      <c r="E2594" s="46" t="s">
        <v>4613</v>
      </c>
      <c r="F2594" s="46" t="s">
        <v>25</v>
      </c>
      <c r="G2594" s="47">
        <v>0.57</v>
      </c>
      <c r="H2594" s="48">
        <v>1.034</v>
      </c>
      <c r="I2594" s="48">
        <v>1.034</v>
      </c>
      <c r="J2594" s="49">
        <v>1</v>
      </c>
      <c r="K2594" s="49">
        <v>0</v>
      </c>
      <c r="L2594" s="49">
        <v>1</v>
      </c>
    </row>
    <row r="2595" spans="1:12" x14ac:dyDescent="0.25">
      <c r="A2595" s="45">
        <f>C2595&amp;"."&amp;IFERROR(MID(E2595,FIND("(",E2595)+1,FIND(")",E2595)-FIND("(",E2595)-1),"")</f>
      </c>
      <c r="B2595" s="46" t="s">
        <v>1178</v>
      </c>
      <c r="C2595" s="46">
        <v>79303</v>
      </c>
      <c r="D2595" s="46" t="s">
        <v>4614</v>
      </c>
      <c r="E2595" s="46" t="s">
        <v>4615</v>
      </c>
      <c r="F2595" s="46" t="s">
        <v>25</v>
      </c>
      <c r="G2595" s="47">
        <v>0.69</v>
      </c>
      <c r="H2595" s="48">
        <v>3.26</v>
      </c>
      <c r="I2595" s="48">
        <v>3.26</v>
      </c>
      <c r="J2595" s="49">
        <v>1</v>
      </c>
      <c r="K2595" s="49">
        <v>0</v>
      </c>
      <c r="L2595" s="49">
        <v>1</v>
      </c>
    </row>
    <row r="2596" spans="1:12" x14ac:dyDescent="0.25">
      <c r="A2596" s="45">
        <f>C2596&amp;"."&amp;IFERROR(MID(E2596,FIND("(",E2596)+1,FIND(")",E2596)-FIND("(",E2596)-1),"")</f>
      </c>
      <c r="B2596" s="46" t="s">
        <v>1178</v>
      </c>
      <c r="C2596" s="46">
        <v>79306</v>
      </c>
      <c r="D2596" s="46" t="s">
        <v>4616</v>
      </c>
      <c r="E2596" s="46" t="s">
        <v>4617</v>
      </c>
      <c r="F2596" s="46" t="s">
        <v>25</v>
      </c>
      <c r="G2596" s="47">
        <v>0.94</v>
      </c>
      <c r="H2596" s="48">
        <v>3.46</v>
      </c>
      <c r="I2596" s="48">
        <v>10.38</v>
      </c>
      <c r="J2596" s="49">
        <v>3</v>
      </c>
      <c r="K2596" s="49">
        <v>0</v>
      </c>
      <c r="L2596" s="49">
        <v>3</v>
      </c>
    </row>
    <row r="2597" spans="1:12" x14ac:dyDescent="0.25">
      <c r="A2597" s="45">
        <f>C2597&amp;"."&amp;IFERROR(MID(E2597,FIND("(",E2597)+1,FIND(")",E2597)-FIND("(",E2597)-1),"")</f>
      </c>
      <c r="B2597" s="46" t="s">
        <v>1178</v>
      </c>
      <c r="C2597" s="46">
        <v>79308</v>
      </c>
      <c r="D2597" s="46" t="s">
        <v>4618</v>
      </c>
      <c r="E2597" s="46" t="s">
        <v>1248</v>
      </c>
      <c r="F2597" s="46" t="s">
        <v>25</v>
      </c>
      <c r="G2597" s="47">
        <v>0.67</v>
      </c>
      <c r="H2597" s="48">
        <v>2.808</v>
      </c>
      <c r="I2597" s="48">
        <v>78.617</v>
      </c>
      <c r="J2597" s="49">
        <v>28</v>
      </c>
      <c r="K2597" s="49">
        <v>25</v>
      </c>
      <c r="L2597" s="49">
        <v>3</v>
      </c>
    </row>
    <row r="2598" spans="1:12" x14ac:dyDescent="0.25">
      <c r="A2598" s="45">
        <f>C2598&amp;"."&amp;IFERROR(MID(E2598,FIND("(",E2598)+1,FIND(")",E2598)-FIND("(",E2598)-1),"")</f>
      </c>
      <c r="B2598" s="46" t="s">
        <v>1178</v>
      </c>
      <c r="C2598" s="46">
        <v>79309</v>
      </c>
      <c r="D2598" s="46" t="s">
        <v>4619</v>
      </c>
      <c r="E2598" s="46" t="s">
        <v>4620</v>
      </c>
      <c r="F2598" s="46" t="s">
        <v>25</v>
      </c>
      <c r="G2598" s="47">
        <v>0.69</v>
      </c>
      <c r="H2598" s="48">
        <v>2.93</v>
      </c>
      <c r="I2598" s="48">
        <v>2.93</v>
      </c>
      <c r="J2598" s="49">
        <v>1</v>
      </c>
      <c r="K2598" s="49">
        <v>0</v>
      </c>
      <c r="L2598" s="49">
        <v>1</v>
      </c>
    </row>
    <row r="2599" spans="1:12" x14ac:dyDescent="0.25">
      <c r="A2599" s="45">
        <f>C2599&amp;"."&amp;IFERROR(MID(E2599,FIND("(",E2599)+1,FIND(")",E2599)-FIND("(",E2599)-1),"")</f>
      </c>
      <c r="B2599" s="46" t="s">
        <v>1178</v>
      </c>
      <c r="C2599" s="46">
        <v>79309</v>
      </c>
      <c r="D2599" s="46" t="s">
        <v>4619</v>
      </c>
      <c r="E2599" s="46" t="s">
        <v>4621</v>
      </c>
      <c r="F2599" s="46" t="s">
        <v>25</v>
      </c>
      <c r="G2599" s="47">
        <v>0.69</v>
      </c>
      <c r="H2599" s="48">
        <v>2.93</v>
      </c>
      <c r="I2599" s="48">
        <v>2.93</v>
      </c>
      <c r="J2599" s="49">
        <v>1</v>
      </c>
      <c r="K2599" s="49">
        <v>0</v>
      </c>
      <c r="L2599" s="49">
        <v>1</v>
      </c>
    </row>
    <row r="2600" spans="1:12" x14ac:dyDescent="0.25">
      <c r="A2600" s="45">
        <f>C2600&amp;"."&amp;IFERROR(MID(E2600,FIND("(",E2600)+1,FIND(")",E2600)-FIND("(",E2600)-1),"")</f>
      </c>
      <c r="B2600" s="46" t="s">
        <v>1178</v>
      </c>
      <c r="C2600" s="46">
        <v>79311</v>
      </c>
      <c r="D2600" s="46" t="s">
        <v>4622</v>
      </c>
      <c r="E2600" s="46" t="s">
        <v>4623</v>
      </c>
      <c r="F2600" s="46" t="s">
        <v>25</v>
      </c>
      <c r="G2600" s="47">
        <v>16.8</v>
      </c>
      <c r="H2600" s="48">
        <v>51.098</v>
      </c>
      <c r="I2600" s="48">
        <v>255.491</v>
      </c>
      <c r="J2600" s="49">
        <v>5</v>
      </c>
      <c r="K2600" s="49">
        <v>0</v>
      </c>
      <c r="L2600" s="49">
        <v>5</v>
      </c>
    </row>
    <row r="2601" spans="1:12" x14ac:dyDescent="0.25">
      <c r="A2601" s="45">
        <f>C2601&amp;"."&amp;IFERROR(MID(E2601,FIND("(",E2601)+1,FIND(")",E2601)-FIND("(",E2601)-1),"")</f>
      </c>
      <c r="B2601" s="46" t="s">
        <v>1178</v>
      </c>
      <c r="C2601" s="46">
        <v>79311</v>
      </c>
      <c r="D2601" s="46" t="s">
        <v>4622</v>
      </c>
      <c r="E2601" s="46" t="s">
        <v>4624</v>
      </c>
      <c r="F2601" s="46" t="s">
        <v>25</v>
      </c>
      <c r="G2601" s="47">
        <v>16.8</v>
      </c>
      <c r="H2601" s="48">
        <v>58.902</v>
      </c>
      <c r="I2601" s="48">
        <v>58.902</v>
      </c>
      <c r="J2601" s="49">
        <v>1</v>
      </c>
      <c r="K2601" s="49">
        <v>0</v>
      </c>
      <c r="L2601" s="49">
        <v>1</v>
      </c>
    </row>
    <row r="2602" spans="1:12" x14ac:dyDescent="0.25">
      <c r="A2602" s="45">
        <f>C2602&amp;"."&amp;IFERROR(MID(E2602,FIND("(",E2602)+1,FIND(")",E2602)-FIND("(",E2602)-1),"")</f>
      </c>
      <c r="B2602" s="46" t="s">
        <v>1178</v>
      </c>
      <c r="C2602" s="46">
        <v>79311</v>
      </c>
      <c r="D2602" s="46" t="s">
        <v>4622</v>
      </c>
      <c r="E2602" s="46" t="s">
        <v>4625</v>
      </c>
      <c r="F2602" s="46" t="s">
        <v>25</v>
      </c>
      <c r="G2602" s="47">
        <v>16.8</v>
      </c>
      <c r="H2602" s="48">
        <v>58.956</v>
      </c>
      <c r="I2602" s="48">
        <v>58.956</v>
      </c>
      <c r="J2602" s="49">
        <v>1</v>
      </c>
      <c r="K2602" s="49">
        <v>0</v>
      </c>
      <c r="L2602" s="49">
        <v>1</v>
      </c>
    </row>
    <row r="2603" spans="1:12" x14ac:dyDescent="0.25">
      <c r="A2603" s="45">
        <f>C2603&amp;"."&amp;IFERROR(MID(E2603,FIND("(",E2603)+1,FIND(")",E2603)-FIND("(",E2603)-1),"")</f>
      </c>
      <c r="B2603" s="46" t="s">
        <v>1178</v>
      </c>
      <c r="C2603" s="46">
        <v>79313</v>
      </c>
      <c r="D2603" s="46" t="s">
        <v>4626</v>
      </c>
      <c r="E2603" s="46" t="s">
        <v>4627</v>
      </c>
      <c r="F2603" s="46" t="s">
        <v>25</v>
      </c>
      <c r="G2603" s="47">
        <v>7.57</v>
      </c>
      <c r="H2603" s="48">
        <v>28.089</v>
      </c>
      <c r="I2603" s="48">
        <v>168.537</v>
      </c>
      <c r="J2603" s="49">
        <v>6</v>
      </c>
      <c r="K2603" s="49">
        <v>0</v>
      </c>
      <c r="L2603" s="49">
        <v>6</v>
      </c>
    </row>
    <row r="2604" spans="1:12" x14ac:dyDescent="0.25">
      <c r="A2604" s="45">
        <f>C2604&amp;"."&amp;IFERROR(MID(E2604,FIND("(",E2604)+1,FIND(")",E2604)-FIND("(",E2604)-1),"")</f>
      </c>
      <c r="B2604" s="46" t="s">
        <v>1178</v>
      </c>
      <c r="C2604" s="46">
        <v>79321</v>
      </c>
      <c r="D2604" s="46" t="s">
        <v>4628</v>
      </c>
      <c r="E2604" s="46" t="s">
        <v>4629</v>
      </c>
      <c r="F2604" s="46" t="s">
        <v>25</v>
      </c>
      <c r="G2604" s="47">
        <v>1.53</v>
      </c>
      <c r="H2604" s="48">
        <v>9.113</v>
      </c>
      <c r="I2604" s="48">
        <v>18.226</v>
      </c>
      <c r="J2604" s="49">
        <v>2</v>
      </c>
      <c r="K2604" s="49">
        <v>0</v>
      </c>
      <c r="L2604" s="49">
        <v>2</v>
      </c>
    </row>
    <row r="2605" spans="1:12" x14ac:dyDescent="0.25">
      <c r="A2605" s="45">
        <f>C2605&amp;"."&amp;IFERROR(MID(E2605,FIND("(",E2605)+1,FIND(")",E2605)-FIND("(",E2605)-1),"")</f>
      </c>
      <c r="B2605" s="46" t="s">
        <v>1178</v>
      </c>
      <c r="C2605" s="46">
        <v>79321</v>
      </c>
      <c r="D2605" s="46" t="s">
        <v>4628</v>
      </c>
      <c r="E2605" s="46" t="s">
        <v>4630</v>
      </c>
      <c r="F2605" s="46" t="s">
        <v>25</v>
      </c>
      <c r="G2605" s="47">
        <v>1.53</v>
      </c>
      <c r="H2605" s="48">
        <v>4.925</v>
      </c>
      <c r="I2605" s="48">
        <v>4.925</v>
      </c>
      <c r="J2605" s="49">
        <v>1</v>
      </c>
      <c r="K2605" s="49">
        <v>0</v>
      </c>
      <c r="L2605" s="49">
        <v>1</v>
      </c>
    </row>
    <row r="2606" spans="1:12" x14ac:dyDescent="0.25">
      <c r="A2606" s="45">
        <f>C2606&amp;"."&amp;IFERROR(MID(E2606,FIND("(",E2606)+1,FIND(")",E2606)-FIND("(",E2606)-1),"")</f>
      </c>
      <c r="B2606" s="46" t="s">
        <v>1178</v>
      </c>
      <c r="C2606" s="46">
        <v>79321</v>
      </c>
      <c r="D2606" s="46" t="s">
        <v>4628</v>
      </c>
      <c r="E2606" s="46" t="s">
        <v>4631</v>
      </c>
      <c r="F2606" s="46" t="s">
        <v>25</v>
      </c>
      <c r="G2606" s="47">
        <v>1.53</v>
      </c>
      <c r="H2606" s="48">
        <v>14.026</v>
      </c>
      <c r="I2606" s="48">
        <v>84.158</v>
      </c>
      <c r="J2606" s="49">
        <v>6</v>
      </c>
      <c r="K2606" s="49">
        <v>0</v>
      </c>
      <c r="L2606" s="49">
        <v>6</v>
      </c>
    </row>
    <row r="2607" spans="1:12" x14ac:dyDescent="0.25">
      <c r="A2607" s="45">
        <f>C2607&amp;"."&amp;IFERROR(MID(E2607,FIND("(",E2607)+1,FIND(")",E2607)-FIND("(",E2607)-1),"")</f>
      </c>
      <c r="B2607" s="46" t="s">
        <v>1178</v>
      </c>
      <c r="C2607" s="46">
        <v>79324</v>
      </c>
      <c r="D2607" s="46" t="s">
        <v>4632</v>
      </c>
      <c r="E2607" s="46" t="s">
        <v>4633</v>
      </c>
      <c r="F2607" s="46" t="s">
        <v>25</v>
      </c>
      <c r="G2607" s="47">
        <v>9.57</v>
      </c>
      <c r="H2607" s="48">
        <v>48.468</v>
      </c>
      <c r="I2607" s="48">
        <v>290.808</v>
      </c>
      <c r="J2607" s="49">
        <v>6</v>
      </c>
      <c r="K2607" s="49">
        <v>1</v>
      </c>
      <c r="L2607" s="49">
        <v>5</v>
      </c>
    </row>
    <row r="2608" spans="1:12" x14ac:dyDescent="0.25">
      <c r="A2608" s="45">
        <f>C2608&amp;"."&amp;IFERROR(MID(E2608,FIND("(",E2608)+1,FIND(")",E2608)-FIND("(",E2608)-1),"")</f>
      </c>
      <c r="B2608" s="46" t="s">
        <v>1178</v>
      </c>
      <c r="C2608" s="46">
        <v>79324</v>
      </c>
      <c r="D2608" s="46" t="s">
        <v>4632</v>
      </c>
      <c r="E2608" s="46" t="s">
        <v>4634</v>
      </c>
      <c r="F2608" s="46" t="s">
        <v>25</v>
      </c>
      <c r="G2608" s="47">
        <v>9.57</v>
      </c>
      <c r="H2608" s="48">
        <v>60.857</v>
      </c>
      <c r="I2608" s="48">
        <v>365.141</v>
      </c>
      <c r="J2608" s="49">
        <v>6</v>
      </c>
      <c r="K2608" s="49">
        <v>0</v>
      </c>
      <c r="L2608" s="49">
        <v>6</v>
      </c>
    </row>
    <row r="2609" spans="1:12" x14ac:dyDescent="0.25">
      <c r="A2609" s="45">
        <f>C2609&amp;"."&amp;IFERROR(MID(E2609,FIND("(",E2609)+1,FIND(")",E2609)-FIND("(",E2609)-1),"")</f>
      </c>
      <c r="B2609" s="46" t="s">
        <v>1178</v>
      </c>
      <c r="C2609" s="46">
        <v>79335</v>
      </c>
      <c r="D2609" s="46" t="s">
        <v>4635</v>
      </c>
      <c r="E2609" s="46" t="s">
        <v>1248</v>
      </c>
      <c r="F2609" s="46" t="s">
        <v>25</v>
      </c>
      <c r="G2609" s="47">
        <v>1.18</v>
      </c>
      <c r="H2609" s="48">
        <v>5.44</v>
      </c>
      <c r="I2609" s="48">
        <v>5.44</v>
      </c>
      <c r="J2609" s="49">
        <v>1</v>
      </c>
      <c r="K2609" s="49">
        <v>0</v>
      </c>
      <c r="L2609" s="49">
        <v>1</v>
      </c>
    </row>
    <row r="2610" spans="1:12" x14ac:dyDescent="0.25">
      <c r="A2610" s="45">
        <f>C2610&amp;"."&amp;IFERROR(MID(E2610,FIND("(",E2610)+1,FIND(")",E2610)-FIND("(",E2610)-1),"")</f>
      </c>
      <c r="B2610" s="46" t="s">
        <v>1178</v>
      </c>
      <c r="C2610" s="46">
        <v>79337</v>
      </c>
      <c r="D2610" s="46" t="s">
        <v>4636</v>
      </c>
      <c r="E2610" s="46" t="s">
        <v>4637</v>
      </c>
      <c r="F2610" s="46" t="s">
        <v>25</v>
      </c>
      <c r="G2610" s="47">
        <v>0</v>
      </c>
      <c r="H2610" s="48">
        <v>8.11</v>
      </c>
      <c r="I2610" s="48">
        <v>8.11</v>
      </c>
      <c r="J2610" s="49">
        <v>1</v>
      </c>
      <c r="K2610" s="49">
        <v>1</v>
      </c>
      <c r="L2610" s="49">
        <v>0</v>
      </c>
    </row>
    <row r="2611" spans="1:12" x14ac:dyDescent="0.25">
      <c r="A2611" s="45">
        <f>C2611&amp;"."&amp;IFERROR(MID(E2611,FIND("(",E2611)+1,FIND(")",E2611)-FIND("(",E2611)-1),"")</f>
      </c>
      <c r="B2611" s="46" t="s">
        <v>1178</v>
      </c>
      <c r="C2611" s="46">
        <v>79337</v>
      </c>
      <c r="D2611" s="46" t="s">
        <v>4636</v>
      </c>
      <c r="E2611" s="46" t="s">
        <v>4638</v>
      </c>
      <c r="F2611" s="46" t="s">
        <v>25</v>
      </c>
      <c r="G2611" s="47">
        <v>0</v>
      </c>
      <c r="H2611" s="48">
        <v>8.11</v>
      </c>
      <c r="I2611" s="48">
        <v>8.11</v>
      </c>
      <c r="J2611" s="49">
        <v>1</v>
      </c>
      <c r="K2611" s="49">
        <v>0</v>
      </c>
      <c r="L2611" s="49">
        <v>1</v>
      </c>
    </row>
    <row r="2612" spans="1:12" x14ac:dyDescent="0.25">
      <c r="A2612" s="45">
        <f>C2612&amp;"."&amp;IFERROR(MID(E2612,FIND("(",E2612)+1,FIND(")",E2612)-FIND("(",E2612)-1),"")</f>
      </c>
      <c r="B2612" s="46" t="s">
        <v>1178</v>
      </c>
      <c r="C2612" s="46">
        <v>79338</v>
      </c>
      <c r="D2612" s="46" t="s">
        <v>4639</v>
      </c>
      <c r="E2612" s="46" t="s">
        <v>4640</v>
      </c>
      <c r="F2612" s="46" t="s">
        <v>25</v>
      </c>
      <c r="G2612" s="47">
        <v>2.72</v>
      </c>
      <c r="H2612" s="48">
        <v>35.197</v>
      </c>
      <c r="I2612" s="48">
        <v>70.393</v>
      </c>
      <c r="J2612" s="49">
        <v>2</v>
      </c>
      <c r="K2612" s="49">
        <v>0</v>
      </c>
      <c r="L2612" s="49">
        <v>2</v>
      </c>
    </row>
    <row r="2613" spans="1:12" x14ac:dyDescent="0.25">
      <c r="A2613" s="45">
        <f>C2613&amp;"."&amp;IFERROR(MID(E2613,FIND("(",E2613)+1,FIND(")",E2613)-FIND("(",E2613)-1),"")</f>
      </c>
      <c r="B2613" s="46" t="s">
        <v>1178</v>
      </c>
      <c r="C2613" s="46">
        <v>79338</v>
      </c>
      <c r="D2613" s="46" t="s">
        <v>4639</v>
      </c>
      <c r="E2613" s="46" t="s">
        <v>4641</v>
      </c>
      <c r="F2613" s="46" t="s">
        <v>25</v>
      </c>
      <c r="G2613" s="47">
        <v>2.72</v>
      </c>
      <c r="H2613" s="48">
        <v>9.281</v>
      </c>
      <c r="I2613" s="48">
        <v>9.281</v>
      </c>
      <c r="J2613" s="49">
        <v>1</v>
      </c>
      <c r="K2613" s="49">
        <v>1</v>
      </c>
      <c r="L2613" s="49">
        <v>0</v>
      </c>
    </row>
    <row r="2614" spans="1:12" x14ac:dyDescent="0.25">
      <c r="A2614" s="45">
        <f>C2614&amp;"."&amp;IFERROR(MID(E2614,FIND("(",E2614)+1,FIND(")",E2614)-FIND("(",E2614)-1),"")</f>
      </c>
      <c r="B2614" s="46" t="s">
        <v>1178</v>
      </c>
      <c r="C2614" s="46">
        <v>79338</v>
      </c>
      <c r="D2614" s="46" t="s">
        <v>4639</v>
      </c>
      <c r="E2614" s="46" t="s">
        <v>4642</v>
      </c>
      <c r="F2614" s="46" t="s">
        <v>25</v>
      </c>
      <c r="G2614" s="47">
        <v>2.72</v>
      </c>
      <c r="H2614" s="48">
        <v>9.378</v>
      </c>
      <c r="I2614" s="48">
        <v>9.378</v>
      </c>
      <c r="J2614" s="49">
        <v>1</v>
      </c>
      <c r="K2614" s="49">
        <v>0</v>
      </c>
      <c r="L2614" s="49">
        <v>1</v>
      </c>
    </row>
    <row r="2615" spans="1:12" x14ac:dyDescent="0.25">
      <c r="A2615" s="45">
        <f>C2615&amp;"."&amp;IFERROR(MID(E2615,FIND("(",E2615)+1,FIND(")",E2615)-FIND("(",E2615)-1),"")</f>
      </c>
      <c r="B2615" s="46" t="s">
        <v>1178</v>
      </c>
      <c r="C2615" s="46">
        <v>79339</v>
      </c>
      <c r="D2615" s="46" t="s">
        <v>4643</v>
      </c>
      <c r="E2615" s="46" t="s">
        <v>4644</v>
      </c>
      <c r="F2615" s="46" t="s">
        <v>25</v>
      </c>
      <c r="G2615" s="47">
        <v>2.72</v>
      </c>
      <c r="H2615" s="48">
        <v>26.701</v>
      </c>
      <c r="I2615" s="48">
        <v>26.701</v>
      </c>
      <c r="J2615" s="49">
        <v>1</v>
      </c>
      <c r="K2615" s="49">
        <v>0</v>
      </c>
      <c r="L2615" s="49">
        <v>1</v>
      </c>
    </row>
    <row r="2616" spans="1:12" x14ac:dyDescent="0.25">
      <c r="A2616" s="45">
        <f>C2616&amp;"."&amp;IFERROR(MID(E2616,FIND("(",E2616)+1,FIND(")",E2616)-FIND("(",E2616)-1),"")</f>
      </c>
      <c r="B2616" s="46" t="s">
        <v>1178</v>
      </c>
      <c r="C2616" s="46">
        <v>79339</v>
      </c>
      <c r="D2616" s="46" t="s">
        <v>4643</v>
      </c>
      <c r="E2616" s="46" t="s">
        <v>4645</v>
      </c>
      <c r="F2616" s="46" t="s">
        <v>25</v>
      </c>
      <c r="G2616" s="47">
        <v>2.72</v>
      </c>
      <c r="H2616" s="48">
        <v>9.281</v>
      </c>
      <c r="I2616" s="48">
        <v>9.281</v>
      </c>
      <c r="J2616" s="49">
        <v>1</v>
      </c>
      <c r="K2616" s="49">
        <v>1</v>
      </c>
      <c r="L2616" s="49">
        <v>0</v>
      </c>
    </row>
    <row r="2617" spans="1:12" x14ac:dyDescent="0.25">
      <c r="A2617" s="45">
        <f>C2617&amp;"."&amp;IFERROR(MID(E2617,FIND("(",E2617)+1,FIND(")",E2617)-FIND("(",E2617)-1),"")</f>
      </c>
      <c r="B2617" s="46" t="s">
        <v>1178</v>
      </c>
      <c r="C2617" s="46">
        <v>79340</v>
      </c>
      <c r="D2617" s="46" t="s">
        <v>4646</v>
      </c>
      <c r="E2617" s="46" t="s">
        <v>4647</v>
      </c>
      <c r="F2617" s="46" t="s">
        <v>25</v>
      </c>
      <c r="G2617" s="47">
        <v>0.84</v>
      </c>
      <c r="H2617" s="48">
        <v>6.76</v>
      </c>
      <c r="I2617" s="48">
        <v>13.52</v>
      </c>
      <c r="J2617" s="49">
        <v>2</v>
      </c>
      <c r="K2617" s="49">
        <v>0</v>
      </c>
      <c r="L2617" s="49">
        <v>2</v>
      </c>
    </row>
    <row r="2618" spans="1:12" x14ac:dyDescent="0.25">
      <c r="A2618" s="45">
        <f>C2618&amp;"."&amp;IFERROR(MID(E2618,FIND("(",E2618)+1,FIND(")",E2618)-FIND("(",E2618)-1),"")</f>
      </c>
      <c r="B2618" s="46" t="s">
        <v>1178</v>
      </c>
      <c r="C2618" s="46">
        <v>79341</v>
      </c>
      <c r="D2618" s="46" t="s">
        <v>4648</v>
      </c>
      <c r="E2618" s="46" t="s">
        <v>4649</v>
      </c>
      <c r="F2618" s="46" t="s">
        <v>25</v>
      </c>
      <c r="G2618" s="47">
        <v>9.57</v>
      </c>
      <c r="H2618" s="48">
        <v>153.96</v>
      </c>
      <c r="I2618" s="48">
        <v>1231.678</v>
      </c>
      <c r="J2618" s="49">
        <v>8</v>
      </c>
      <c r="K2618" s="49">
        <v>0</v>
      </c>
      <c r="L2618" s="49">
        <v>8</v>
      </c>
    </row>
    <row r="2619" spans="1:12" x14ac:dyDescent="0.25">
      <c r="A2619" s="45">
        <f>C2619&amp;"."&amp;IFERROR(MID(E2619,FIND("(",E2619)+1,FIND(")",E2619)-FIND("(",E2619)-1),"")</f>
      </c>
      <c r="B2619" s="46" t="s">
        <v>1178</v>
      </c>
      <c r="C2619" s="46">
        <v>79341</v>
      </c>
      <c r="D2619" s="46" t="s">
        <v>4648</v>
      </c>
      <c r="E2619" s="46" t="s">
        <v>4650</v>
      </c>
      <c r="F2619" s="46" t="s">
        <v>25</v>
      </c>
      <c r="G2619" s="47">
        <v>9.57</v>
      </c>
      <c r="H2619" s="48">
        <v>49.227</v>
      </c>
      <c r="I2619" s="48">
        <v>49.227</v>
      </c>
      <c r="J2619" s="49">
        <v>1</v>
      </c>
      <c r="K2619" s="49">
        <v>0</v>
      </c>
      <c r="L2619" s="49">
        <v>1</v>
      </c>
    </row>
    <row r="2620" spans="1:12" x14ac:dyDescent="0.25">
      <c r="A2620" s="45">
        <f>C2620&amp;"."&amp;IFERROR(MID(E2620,FIND("(",E2620)+1,FIND(")",E2620)-FIND("(",E2620)-1),"")</f>
      </c>
      <c r="B2620" s="46" t="s">
        <v>1178</v>
      </c>
      <c r="C2620" s="46">
        <v>79341</v>
      </c>
      <c r="D2620" s="46" t="s">
        <v>4648</v>
      </c>
      <c r="E2620" s="46" t="s">
        <v>4651</v>
      </c>
      <c r="F2620" s="46" t="s">
        <v>25</v>
      </c>
      <c r="G2620" s="47">
        <v>9.57</v>
      </c>
      <c r="H2620" s="48">
        <v>78.719</v>
      </c>
      <c r="I2620" s="48">
        <v>472.315</v>
      </c>
      <c r="J2620" s="49">
        <v>6</v>
      </c>
      <c r="K2620" s="49">
        <v>1</v>
      </c>
      <c r="L2620" s="49">
        <v>5</v>
      </c>
    </row>
    <row r="2621" spans="1:12" x14ac:dyDescent="0.25">
      <c r="A2621" s="45">
        <f>C2621&amp;"."&amp;IFERROR(MID(E2621,FIND("(",E2621)+1,FIND(")",E2621)-FIND("(",E2621)-1),"")</f>
      </c>
      <c r="B2621" s="46" t="s">
        <v>1178</v>
      </c>
      <c r="C2621" s="46">
        <v>79342</v>
      </c>
      <c r="D2621" s="46" t="s">
        <v>4652</v>
      </c>
      <c r="E2621" s="46" t="s">
        <v>1248</v>
      </c>
      <c r="F2621" s="46" t="s">
        <v>25</v>
      </c>
      <c r="G2621" s="47">
        <v>0.43</v>
      </c>
      <c r="H2621" s="48">
        <v>1.26</v>
      </c>
      <c r="I2621" s="48">
        <v>2.52</v>
      </c>
      <c r="J2621" s="49">
        <v>2</v>
      </c>
      <c r="K2621" s="49">
        <v>0</v>
      </c>
      <c r="L2621" s="49">
        <v>2</v>
      </c>
    </row>
    <row r="2622" spans="1:12" x14ac:dyDescent="0.25">
      <c r="A2622" s="45">
        <f>C2622&amp;"."&amp;IFERROR(MID(E2622,FIND("(",E2622)+1,FIND(")",E2622)-FIND("(",E2622)-1),"")</f>
      </c>
      <c r="B2622" s="46" t="s">
        <v>1178</v>
      </c>
      <c r="C2622" s="46">
        <v>79344</v>
      </c>
      <c r="D2622" s="46" t="s">
        <v>4653</v>
      </c>
      <c r="E2622" s="46" t="s">
        <v>4654</v>
      </c>
      <c r="F2622" s="46" t="s">
        <v>25</v>
      </c>
      <c r="G2622" s="47">
        <v>0</v>
      </c>
      <c r="H2622" s="48">
        <v>1.98</v>
      </c>
      <c r="I2622" s="48">
        <v>3.96</v>
      </c>
      <c r="J2622" s="49">
        <v>2</v>
      </c>
      <c r="K2622" s="49">
        <v>0</v>
      </c>
      <c r="L2622" s="49">
        <v>2</v>
      </c>
    </row>
    <row r="2623" spans="1:12" x14ac:dyDescent="0.25">
      <c r="A2623" s="45">
        <f>C2623&amp;"."&amp;IFERROR(MID(E2623,FIND("(",E2623)+1,FIND(")",E2623)-FIND("(",E2623)-1),"")</f>
      </c>
      <c r="B2623" s="46" t="s">
        <v>1178</v>
      </c>
      <c r="C2623" s="46">
        <v>79345</v>
      </c>
      <c r="D2623" s="46" t="s">
        <v>4655</v>
      </c>
      <c r="E2623" s="46" t="s">
        <v>4656</v>
      </c>
      <c r="F2623" s="46" t="s">
        <v>25</v>
      </c>
      <c r="G2623" s="47">
        <v>4.49</v>
      </c>
      <c r="H2623" s="48">
        <v>12.416</v>
      </c>
      <c r="I2623" s="48">
        <v>12.416</v>
      </c>
      <c r="J2623" s="49">
        <v>1</v>
      </c>
      <c r="K2623" s="49">
        <v>0</v>
      </c>
      <c r="L2623" s="49">
        <v>1</v>
      </c>
    </row>
    <row r="2624" spans="1:12" x14ac:dyDescent="0.25">
      <c r="A2624" s="45">
        <f>C2624&amp;"."&amp;IFERROR(MID(E2624,FIND("(",E2624)+1,FIND(")",E2624)-FIND("(",E2624)-1),"")</f>
      </c>
      <c r="B2624" s="46" t="s">
        <v>1178</v>
      </c>
      <c r="C2624" s="46">
        <v>79348</v>
      </c>
      <c r="D2624" s="46" t="s">
        <v>4657</v>
      </c>
      <c r="E2624" s="46" t="s">
        <v>4658</v>
      </c>
      <c r="F2624" s="46" t="s">
        <v>25</v>
      </c>
      <c r="G2624" s="47">
        <v>3.82</v>
      </c>
      <c r="H2624" s="48">
        <v>11.206</v>
      </c>
      <c r="I2624" s="48">
        <v>22.411</v>
      </c>
      <c r="J2624" s="49">
        <v>2</v>
      </c>
      <c r="K2624" s="49">
        <v>0</v>
      </c>
      <c r="L2624" s="49">
        <v>2</v>
      </c>
    </row>
    <row r="2625" spans="1:12" x14ac:dyDescent="0.25">
      <c r="A2625" s="45">
        <f>C2625&amp;"."&amp;IFERROR(MID(E2625,FIND("(",E2625)+1,FIND(")",E2625)-FIND("(",E2625)-1),"")</f>
      </c>
      <c r="B2625" s="46" t="s">
        <v>1178</v>
      </c>
      <c r="C2625" s="46">
        <v>79348</v>
      </c>
      <c r="D2625" s="46" t="s">
        <v>4657</v>
      </c>
      <c r="E2625" s="46" t="s">
        <v>4659</v>
      </c>
      <c r="F2625" s="46" t="s">
        <v>25</v>
      </c>
      <c r="G2625" s="47">
        <v>3.82</v>
      </c>
      <c r="H2625" s="48">
        <v>6.613</v>
      </c>
      <c r="I2625" s="48">
        <v>39.676</v>
      </c>
      <c r="J2625" s="49">
        <v>6</v>
      </c>
      <c r="K2625" s="49">
        <v>0</v>
      </c>
      <c r="L2625" s="49">
        <v>6</v>
      </c>
    </row>
    <row r="2626" spans="1:12" x14ac:dyDescent="0.25">
      <c r="A2626" s="45">
        <f>C2626&amp;"."&amp;IFERROR(MID(E2626,FIND("(",E2626)+1,FIND(")",E2626)-FIND("(",E2626)-1),"")</f>
      </c>
      <c r="B2626" s="46" t="s">
        <v>1178</v>
      </c>
      <c r="C2626" s="46">
        <v>79396</v>
      </c>
      <c r="D2626" s="46" t="s">
        <v>4660</v>
      </c>
      <c r="E2626" s="46" t="s">
        <v>4661</v>
      </c>
      <c r="F2626" s="46" t="s">
        <v>25</v>
      </c>
      <c r="G2626" s="47">
        <v>0</v>
      </c>
      <c r="H2626" s="48">
        <v>2.15</v>
      </c>
      <c r="I2626" s="48">
        <v>4.3</v>
      </c>
      <c r="J2626" s="49">
        <v>2</v>
      </c>
      <c r="K2626" s="49">
        <v>0</v>
      </c>
      <c r="L2626" s="49">
        <v>2</v>
      </c>
    </row>
    <row r="2627" spans="1:12" x14ac:dyDescent="0.25">
      <c r="A2627" s="45">
        <f>C2627&amp;"."&amp;IFERROR(MID(E2627,FIND("(",E2627)+1,FIND(")",E2627)-FIND("(",E2627)-1),"")</f>
      </c>
      <c r="B2627" s="46" t="s">
        <v>1178</v>
      </c>
      <c r="C2627" s="46">
        <v>79541</v>
      </c>
      <c r="D2627" s="46" t="s">
        <v>4662</v>
      </c>
      <c r="E2627" s="46" t="s">
        <v>4663</v>
      </c>
      <c r="F2627" s="46" t="s">
        <v>25</v>
      </c>
      <c r="G2627" s="47">
        <v>4.46</v>
      </c>
      <c r="H2627" s="48">
        <v>16.62</v>
      </c>
      <c r="I2627" s="48">
        <v>33.24</v>
      </c>
      <c r="J2627" s="49">
        <v>2</v>
      </c>
      <c r="K2627" s="49">
        <v>0</v>
      </c>
      <c r="L2627" s="49">
        <v>2</v>
      </c>
    </row>
    <row r="2628" spans="1:12" x14ac:dyDescent="0.25">
      <c r="A2628" s="45">
        <f>C2628&amp;"."&amp;IFERROR(MID(E2628,FIND("(",E2628)+1,FIND(")",E2628)-FIND("(",E2628)-1),"")</f>
      </c>
      <c r="B2628" s="46" t="s">
        <v>1178</v>
      </c>
      <c r="C2628" s="46">
        <v>79542</v>
      </c>
      <c r="D2628" s="46" t="s">
        <v>4664</v>
      </c>
      <c r="E2628" s="46" t="s">
        <v>4665</v>
      </c>
      <c r="F2628" s="46" t="s">
        <v>25</v>
      </c>
      <c r="G2628" s="47">
        <v>4.46</v>
      </c>
      <c r="H2628" s="48">
        <v>17.54</v>
      </c>
      <c r="I2628" s="48">
        <v>17.54</v>
      </c>
      <c r="J2628" s="49">
        <v>1</v>
      </c>
      <c r="K2628" s="49">
        <v>0</v>
      </c>
      <c r="L2628" s="49">
        <v>1</v>
      </c>
    </row>
    <row r="2629" spans="1:12" x14ac:dyDescent="0.25">
      <c r="A2629" s="45">
        <f>C2629&amp;"."&amp;IFERROR(MID(E2629,FIND("(",E2629)+1,FIND(")",E2629)-FIND("(",E2629)-1),"")</f>
      </c>
      <c r="B2629" s="46" t="s">
        <v>1178</v>
      </c>
      <c r="C2629" s="46">
        <v>79852</v>
      </c>
      <c r="D2629" s="46" t="s">
        <v>4666</v>
      </c>
      <c r="E2629" s="46" t="s">
        <v>1248</v>
      </c>
      <c r="F2629" s="46" t="s">
        <v>1495</v>
      </c>
      <c r="G2629" s="47">
        <v>0</v>
      </c>
      <c r="H2629" s="48">
        <v>1.055</v>
      </c>
      <c r="I2629" s="48">
        <v>5.276</v>
      </c>
      <c r="J2629" s="49">
        <v>5</v>
      </c>
      <c r="K2629" s="49">
        <v>0</v>
      </c>
      <c r="L2629" s="49">
        <v>5</v>
      </c>
    </row>
    <row r="2630" spans="1:12" x14ac:dyDescent="0.25">
      <c r="A2630" s="45">
        <f>C2630&amp;"."&amp;IFERROR(MID(E2630,FIND("(",E2630)+1,FIND(")",E2630)-FIND("(",E2630)-1),"")</f>
      </c>
      <c r="B2630" s="46" t="s">
        <v>1178</v>
      </c>
      <c r="C2630" s="46">
        <v>80899</v>
      </c>
      <c r="D2630" s="46" t="s">
        <v>4667</v>
      </c>
      <c r="E2630" s="46" t="s">
        <v>4668</v>
      </c>
      <c r="F2630" s="46" t="s">
        <v>24</v>
      </c>
      <c r="G2630" s="47">
        <v>0.43</v>
      </c>
      <c r="H2630" s="48">
        <v>1.21</v>
      </c>
      <c r="I2630" s="48">
        <v>1.21</v>
      </c>
      <c r="J2630" s="49">
        <v>1</v>
      </c>
      <c r="K2630" s="49">
        <v>0</v>
      </c>
      <c r="L2630" s="49">
        <v>1</v>
      </c>
    </row>
    <row r="2631" spans="1:12" x14ac:dyDescent="0.25">
      <c r="A2631" s="45">
        <f>C2631&amp;"."&amp;IFERROR(MID(E2631,FIND("(",E2631)+1,FIND(")",E2631)-FIND("(",E2631)-1),"")</f>
      </c>
      <c r="B2631" s="46" t="s">
        <v>1178</v>
      </c>
      <c r="C2631" s="46">
        <v>81108</v>
      </c>
      <c r="D2631" s="46" t="s">
        <v>4669</v>
      </c>
      <c r="E2631" s="46" t="s">
        <v>4670</v>
      </c>
      <c r="F2631" s="46" t="s">
        <v>24</v>
      </c>
      <c r="G2631" s="47">
        <v>0.38</v>
      </c>
      <c r="H2631" s="48">
        <v>7.8</v>
      </c>
      <c r="I2631" s="48">
        <v>15.6</v>
      </c>
      <c r="J2631" s="49">
        <v>2</v>
      </c>
      <c r="K2631" s="49">
        <v>0</v>
      </c>
      <c r="L2631" s="49">
        <v>2</v>
      </c>
    </row>
    <row r="2632" spans="1:12" x14ac:dyDescent="0.25">
      <c r="A2632" s="45">
        <f>C2632&amp;"."&amp;IFERROR(MID(E2632,FIND("(",E2632)+1,FIND(")",E2632)-FIND("(",E2632)-1),"")</f>
      </c>
      <c r="B2632" s="46" t="s">
        <v>1178</v>
      </c>
      <c r="C2632" s="46">
        <v>81154</v>
      </c>
      <c r="D2632" s="46" t="s">
        <v>4671</v>
      </c>
      <c r="E2632" s="46" t="s">
        <v>1248</v>
      </c>
      <c r="F2632" s="46" t="s">
        <v>24</v>
      </c>
      <c r="G2632" s="47">
        <v>0</v>
      </c>
      <c r="H2632" s="48">
        <v>4.935</v>
      </c>
      <c r="I2632" s="48">
        <v>44.412</v>
      </c>
      <c r="J2632" s="49">
        <v>9</v>
      </c>
      <c r="K2632" s="49">
        <v>0</v>
      </c>
      <c r="L2632" s="49">
        <v>9</v>
      </c>
    </row>
    <row r="2633" spans="1:12" x14ac:dyDescent="0.25">
      <c r="A2633" s="45">
        <f>C2633&amp;"."&amp;IFERROR(MID(E2633,FIND("(",E2633)+1,FIND(")",E2633)-FIND("(",E2633)-1),"")</f>
      </c>
      <c r="B2633" s="46" t="s">
        <v>1178</v>
      </c>
      <c r="C2633" s="46">
        <v>81317</v>
      </c>
      <c r="D2633" s="46" t="s">
        <v>4672</v>
      </c>
      <c r="E2633" s="46" t="s">
        <v>1248</v>
      </c>
      <c r="F2633" s="46" t="s">
        <v>24</v>
      </c>
      <c r="G2633" s="47">
        <v>0</v>
      </c>
      <c r="H2633" s="48">
        <v>3.9</v>
      </c>
      <c r="I2633" s="48">
        <v>11.7</v>
      </c>
      <c r="J2633" s="49">
        <v>3</v>
      </c>
      <c r="K2633" s="49">
        <v>0</v>
      </c>
      <c r="L2633" s="49">
        <v>3</v>
      </c>
    </row>
    <row r="2634" spans="1:12" x14ac:dyDescent="0.25">
      <c r="A2634" s="45">
        <f>C2634&amp;"."&amp;IFERROR(MID(E2634,FIND("(",E2634)+1,FIND(")",E2634)-FIND("(",E2634)-1),"")</f>
      </c>
      <c r="B2634" s="46" t="s">
        <v>1178</v>
      </c>
      <c r="C2634" s="46">
        <v>81389</v>
      </c>
      <c r="D2634" s="46" t="s">
        <v>4673</v>
      </c>
      <c r="E2634" s="46" t="s">
        <v>4674</v>
      </c>
      <c r="F2634" s="46" t="s">
        <v>24</v>
      </c>
      <c r="G2634" s="47">
        <v>11.07</v>
      </c>
      <c r="H2634" s="48">
        <v>32.5</v>
      </c>
      <c r="I2634" s="48">
        <v>65</v>
      </c>
      <c r="J2634" s="49">
        <v>2</v>
      </c>
      <c r="K2634" s="49">
        <v>0</v>
      </c>
      <c r="L2634" s="49">
        <v>2</v>
      </c>
    </row>
    <row r="2635" spans="1:12" x14ac:dyDescent="0.25">
      <c r="A2635" s="45">
        <f>C2635&amp;"."&amp;IFERROR(MID(E2635,FIND("(",E2635)+1,FIND(")",E2635)-FIND("(",E2635)-1),"")</f>
      </c>
      <c r="B2635" s="46" t="s">
        <v>1178</v>
      </c>
      <c r="C2635" s="46">
        <v>81477</v>
      </c>
      <c r="D2635" s="46" t="s">
        <v>4675</v>
      </c>
      <c r="E2635" s="46" t="s">
        <v>1248</v>
      </c>
      <c r="F2635" s="46" t="s">
        <v>24</v>
      </c>
      <c r="G2635" s="47">
        <v>1.66</v>
      </c>
      <c r="H2635" s="48">
        <v>0.239</v>
      </c>
      <c r="I2635" s="48">
        <v>0.479</v>
      </c>
      <c r="J2635" s="49">
        <v>2</v>
      </c>
      <c r="K2635" s="49">
        <v>0</v>
      </c>
      <c r="L2635" s="49">
        <v>2</v>
      </c>
    </row>
    <row r="2636" spans="1:12" x14ac:dyDescent="0.25">
      <c r="A2636" s="45">
        <f>C2636&amp;"."&amp;IFERROR(MID(E2636,FIND("(",E2636)+1,FIND(")",E2636)-FIND("(",E2636)-1),"")</f>
      </c>
      <c r="B2636" s="46" t="s">
        <v>1178</v>
      </c>
      <c r="C2636" s="46">
        <v>81484</v>
      </c>
      <c r="D2636" s="46" t="s">
        <v>4676</v>
      </c>
      <c r="E2636" s="46" t="s">
        <v>4677</v>
      </c>
      <c r="F2636" s="46" t="s">
        <v>24</v>
      </c>
      <c r="G2636" s="47">
        <v>3.67</v>
      </c>
      <c r="H2636" s="48">
        <v>11.15</v>
      </c>
      <c r="I2636" s="48">
        <v>22.3</v>
      </c>
      <c r="J2636" s="49">
        <v>2</v>
      </c>
      <c r="K2636" s="49">
        <v>0</v>
      </c>
      <c r="L2636" s="49">
        <v>2</v>
      </c>
    </row>
    <row r="2637" spans="1:12" x14ac:dyDescent="0.25">
      <c r="A2637" s="45">
        <f>C2637&amp;"."&amp;IFERROR(MID(E2637,FIND("(",E2637)+1,FIND(")",E2637)-FIND("(",E2637)-1),"")</f>
      </c>
      <c r="B2637" s="46" t="s">
        <v>1178</v>
      </c>
      <c r="C2637" s="46">
        <v>81484</v>
      </c>
      <c r="D2637" s="46" t="s">
        <v>4676</v>
      </c>
      <c r="E2637" s="46" t="s">
        <v>4678</v>
      </c>
      <c r="F2637" s="46" t="s">
        <v>24</v>
      </c>
      <c r="G2637" s="47">
        <v>3.67</v>
      </c>
      <c r="H2637" s="48">
        <v>11.15</v>
      </c>
      <c r="I2637" s="48">
        <v>44.6</v>
      </c>
      <c r="J2637" s="49">
        <v>4</v>
      </c>
      <c r="K2637" s="49">
        <v>0</v>
      </c>
      <c r="L2637" s="49">
        <v>4</v>
      </c>
    </row>
    <row r="2638" spans="1:12" x14ac:dyDescent="0.25">
      <c r="A2638" s="45">
        <f>C2638&amp;"."&amp;IFERROR(MID(E2638,FIND("(",E2638)+1,FIND(")",E2638)-FIND("(",E2638)-1),"")</f>
      </c>
      <c r="B2638" s="46" t="s">
        <v>1178</v>
      </c>
      <c r="C2638" s="46">
        <v>81490</v>
      </c>
      <c r="D2638" s="46" t="s">
        <v>4679</v>
      </c>
      <c r="E2638" s="46" t="s">
        <v>4680</v>
      </c>
      <c r="F2638" s="46" t="s">
        <v>24</v>
      </c>
      <c r="G2638" s="47">
        <v>1.5</v>
      </c>
      <c r="H2638" s="48">
        <v>6.27</v>
      </c>
      <c r="I2638" s="48">
        <v>18.81</v>
      </c>
      <c r="J2638" s="49">
        <v>3</v>
      </c>
      <c r="K2638" s="49">
        <v>0</v>
      </c>
      <c r="L2638" s="49">
        <v>3</v>
      </c>
    </row>
    <row r="2639" spans="1:12" x14ac:dyDescent="0.25">
      <c r="A2639" s="45">
        <f>C2639&amp;"."&amp;IFERROR(MID(E2639,FIND("(",E2639)+1,FIND(")",E2639)-FIND("(",E2639)-1),"")</f>
      </c>
      <c r="B2639" s="46" t="s">
        <v>1178</v>
      </c>
      <c r="C2639" s="46">
        <v>81490</v>
      </c>
      <c r="D2639" s="46" t="s">
        <v>4679</v>
      </c>
      <c r="E2639" s="46" t="s">
        <v>4681</v>
      </c>
      <c r="F2639" s="46" t="s">
        <v>24</v>
      </c>
      <c r="G2639" s="47">
        <v>1.5</v>
      </c>
      <c r="H2639" s="48">
        <v>6.27</v>
      </c>
      <c r="I2639" s="48">
        <v>37.62</v>
      </c>
      <c r="J2639" s="49">
        <v>6</v>
      </c>
      <c r="K2639" s="49">
        <v>0</v>
      </c>
      <c r="L2639" s="49">
        <v>6</v>
      </c>
    </row>
    <row r="2640" spans="1:12" x14ac:dyDescent="0.25">
      <c r="A2640" s="45">
        <f>C2640&amp;"."&amp;IFERROR(MID(E2640,FIND("(",E2640)+1,FIND(")",E2640)-FIND("(",E2640)-1),"")</f>
      </c>
      <c r="B2640" s="46" t="s">
        <v>1178</v>
      </c>
      <c r="C2640" s="46">
        <v>81491</v>
      </c>
      <c r="D2640" s="46" t="s">
        <v>4682</v>
      </c>
      <c r="E2640" s="46" t="s">
        <v>4683</v>
      </c>
      <c r="F2640" s="46" t="s">
        <v>24</v>
      </c>
      <c r="G2640" s="47">
        <v>1.5</v>
      </c>
      <c r="H2640" s="48">
        <v>6.27</v>
      </c>
      <c r="I2640" s="48">
        <v>25.08</v>
      </c>
      <c r="J2640" s="49">
        <v>4</v>
      </c>
      <c r="K2640" s="49">
        <v>0</v>
      </c>
      <c r="L2640" s="49">
        <v>4</v>
      </c>
    </row>
    <row r="2641" spans="1:12" x14ac:dyDescent="0.25">
      <c r="A2641" s="45">
        <f>C2641&amp;"."&amp;IFERROR(MID(E2641,FIND("(",E2641)+1,FIND(")",E2641)-FIND("(",E2641)-1),"")</f>
      </c>
      <c r="B2641" s="46" t="s">
        <v>1178</v>
      </c>
      <c r="C2641" s="46">
        <v>81491</v>
      </c>
      <c r="D2641" s="46" t="s">
        <v>4682</v>
      </c>
      <c r="E2641" s="46" t="s">
        <v>4684</v>
      </c>
      <c r="F2641" s="46" t="s">
        <v>24</v>
      </c>
      <c r="G2641" s="47">
        <v>1.5</v>
      </c>
      <c r="H2641" s="48">
        <v>6.27</v>
      </c>
      <c r="I2641" s="48">
        <v>18.81</v>
      </c>
      <c r="J2641" s="49">
        <v>3</v>
      </c>
      <c r="K2641" s="49">
        <v>0</v>
      </c>
      <c r="L2641" s="49">
        <v>3</v>
      </c>
    </row>
    <row r="2642" spans="1:12" x14ac:dyDescent="0.25">
      <c r="A2642" s="45">
        <f>C2642&amp;"."&amp;IFERROR(MID(E2642,FIND("(",E2642)+1,FIND(")",E2642)-FIND("(",E2642)-1),"")</f>
      </c>
      <c r="B2642" s="46" t="s">
        <v>1178</v>
      </c>
      <c r="C2642" s="46">
        <v>81504</v>
      </c>
      <c r="D2642" s="46" t="s">
        <v>4685</v>
      </c>
      <c r="E2642" s="46" t="s">
        <v>4686</v>
      </c>
      <c r="F2642" s="46" t="s">
        <v>24</v>
      </c>
      <c r="G2642" s="47">
        <v>0.48</v>
      </c>
      <c r="H2642" s="48">
        <v>1.5</v>
      </c>
      <c r="I2642" s="48">
        <v>6</v>
      </c>
      <c r="J2642" s="49">
        <v>4</v>
      </c>
      <c r="K2642" s="49">
        <v>0</v>
      </c>
      <c r="L2642" s="49">
        <v>4</v>
      </c>
    </row>
    <row r="2643" spans="1:12" x14ac:dyDescent="0.25">
      <c r="A2643" s="45">
        <f>C2643&amp;"."&amp;IFERROR(MID(E2643,FIND("(",E2643)+1,FIND(")",E2643)-FIND("(",E2643)-1),"")</f>
      </c>
      <c r="B2643" s="46" t="s">
        <v>1178</v>
      </c>
      <c r="C2643" s="46">
        <v>81505</v>
      </c>
      <c r="D2643" s="46" t="s">
        <v>4687</v>
      </c>
      <c r="E2643" s="46" t="s">
        <v>4688</v>
      </c>
      <c r="F2643" s="46" t="s">
        <v>24</v>
      </c>
      <c r="G2643" s="47">
        <v>0.48</v>
      </c>
      <c r="H2643" s="48">
        <v>1.5</v>
      </c>
      <c r="I2643" s="48">
        <v>3</v>
      </c>
      <c r="J2643" s="49">
        <v>2</v>
      </c>
      <c r="K2643" s="49">
        <v>0</v>
      </c>
      <c r="L2643" s="49">
        <v>2</v>
      </c>
    </row>
    <row r="2644" spans="1:12" x14ac:dyDescent="0.25">
      <c r="A2644" s="45">
        <f>C2644&amp;"."&amp;IFERROR(MID(E2644,FIND("(",E2644)+1,FIND(")",E2644)-FIND("(",E2644)-1),"")</f>
      </c>
      <c r="B2644" s="46" t="s">
        <v>1178</v>
      </c>
      <c r="C2644" s="46">
        <v>81505</v>
      </c>
      <c r="D2644" s="46" t="s">
        <v>4687</v>
      </c>
      <c r="E2644" s="46" t="s">
        <v>4689</v>
      </c>
      <c r="F2644" s="46" t="s">
        <v>24</v>
      </c>
      <c r="G2644" s="47">
        <v>0.48</v>
      </c>
      <c r="H2644" s="48">
        <v>1.5</v>
      </c>
      <c r="I2644" s="48">
        <v>1.5</v>
      </c>
      <c r="J2644" s="49">
        <v>1</v>
      </c>
      <c r="K2644" s="49">
        <v>0</v>
      </c>
      <c r="L2644" s="49">
        <v>1</v>
      </c>
    </row>
    <row r="2645" spans="1:12" x14ac:dyDescent="0.25">
      <c r="A2645" s="45">
        <f>C2645&amp;"."&amp;IFERROR(MID(E2645,FIND("(",E2645)+1,FIND(")",E2645)-FIND("(",E2645)-1),"")</f>
      </c>
      <c r="B2645" s="46" t="s">
        <v>1178</v>
      </c>
      <c r="C2645" s="46">
        <v>81508</v>
      </c>
      <c r="D2645" s="46" t="s">
        <v>4690</v>
      </c>
      <c r="E2645" s="46" t="s">
        <v>4691</v>
      </c>
      <c r="F2645" s="46" t="s">
        <v>24</v>
      </c>
      <c r="G2645" s="47">
        <v>4.01</v>
      </c>
      <c r="H2645" s="48">
        <v>11.178</v>
      </c>
      <c r="I2645" s="48">
        <v>67.066</v>
      </c>
      <c r="J2645" s="49">
        <v>6</v>
      </c>
      <c r="K2645" s="49">
        <v>1</v>
      </c>
      <c r="L2645" s="49">
        <v>5</v>
      </c>
    </row>
    <row r="2646" spans="1:12" x14ac:dyDescent="0.25">
      <c r="A2646" s="45">
        <f>C2646&amp;"."&amp;IFERROR(MID(E2646,FIND("(",E2646)+1,FIND(")",E2646)-FIND("(",E2646)-1),"")</f>
      </c>
      <c r="B2646" s="46" t="s">
        <v>1178</v>
      </c>
      <c r="C2646" s="46">
        <v>81508</v>
      </c>
      <c r="D2646" s="46" t="s">
        <v>4690</v>
      </c>
      <c r="E2646" s="46" t="s">
        <v>4692</v>
      </c>
      <c r="F2646" s="46" t="s">
        <v>24</v>
      </c>
      <c r="G2646" s="47">
        <v>4.01</v>
      </c>
      <c r="H2646" s="48">
        <v>13.35</v>
      </c>
      <c r="I2646" s="48">
        <v>26.7</v>
      </c>
      <c r="J2646" s="49">
        <v>2</v>
      </c>
      <c r="K2646" s="49">
        <v>0</v>
      </c>
      <c r="L2646" s="49">
        <v>2</v>
      </c>
    </row>
    <row r="2647" spans="1:12" x14ac:dyDescent="0.25">
      <c r="A2647" s="45">
        <f>C2647&amp;"."&amp;IFERROR(MID(E2647,FIND("(",E2647)+1,FIND(")",E2647)-FIND("(",E2647)-1),"")</f>
      </c>
      <c r="B2647" s="46" t="s">
        <v>1178</v>
      </c>
      <c r="C2647" s="46">
        <v>81509</v>
      </c>
      <c r="D2647" s="46" t="s">
        <v>4693</v>
      </c>
      <c r="E2647" s="46" t="s">
        <v>4694</v>
      </c>
      <c r="F2647" s="46" t="s">
        <v>24</v>
      </c>
      <c r="G2647" s="47">
        <v>4.01</v>
      </c>
      <c r="H2647" s="48">
        <v>13.35</v>
      </c>
      <c r="I2647" s="48">
        <v>26.7</v>
      </c>
      <c r="J2647" s="49">
        <v>2</v>
      </c>
      <c r="K2647" s="49">
        <v>1</v>
      </c>
      <c r="L2647" s="49">
        <v>1</v>
      </c>
    </row>
    <row r="2648" spans="1:12" x14ac:dyDescent="0.25">
      <c r="A2648" s="45">
        <f>C2648&amp;"."&amp;IFERROR(MID(E2648,FIND("(",E2648)+1,FIND(")",E2648)-FIND("(",E2648)-1),"")</f>
      </c>
      <c r="B2648" s="46" t="s">
        <v>1178</v>
      </c>
      <c r="C2648" s="46">
        <v>81510</v>
      </c>
      <c r="D2648" s="46" t="s">
        <v>4695</v>
      </c>
      <c r="E2648" s="46" t="s">
        <v>4696</v>
      </c>
      <c r="F2648" s="46" t="s">
        <v>24</v>
      </c>
      <c r="G2648" s="47">
        <v>0.59</v>
      </c>
      <c r="H2648" s="48">
        <v>2.771</v>
      </c>
      <c r="I2648" s="48">
        <v>5.542</v>
      </c>
      <c r="J2648" s="49">
        <v>2</v>
      </c>
      <c r="K2648" s="49">
        <v>0</v>
      </c>
      <c r="L2648" s="49">
        <v>2</v>
      </c>
    </row>
    <row r="2649" spans="1:12" x14ac:dyDescent="0.25">
      <c r="A2649" s="45">
        <f>C2649&amp;"."&amp;IFERROR(MID(E2649,FIND("(",E2649)+1,FIND(")",E2649)-FIND("(",E2649)-1),"")</f>
      </c>
      <c r="B2649" s="46" t="s">
        <v>1178</v>
      </c>
      <c r="C2649" s="46">
        <v>81517</v>
      </c>
      <c r="D2649" s="46" t="s">
        <v>4697</v>
      </c>
      <c r="E2649" s="46" t="s">
        <v>1248</v>
      </c>
      <c r="F2649" s="46" t="s">
        <v>24</v>
      </c>
      <c r="G2649" s="47">
        <v>0.23</v>
      </c>
      <c r="H2649" s="48">
        <v>0.955</v>
      </c>
      <c r="I2649" s="48">
        <v>9.552</v>
      </c>
      <c r="J2649" s="49">
        <v>10</v>
      </c>
      <c r="K2649" s="49">
        <v>1</v>
      </c>
      <c r="L2649" s="49">
        <v>9</v>
      </c>
    </row>
    <row r="2650" spans="1:12" x14ac:dyDescent="0.25">
      <c r="A2650" s="45">
        <f>C2650&amp;"."&amp;IFERROR(MID(E2650,FIND("(",E2650)+1,FIND(")",E2650)-FIND("(",E2650)-1),"")</f>
      </c>
      <c r="B2650" s="46" t="s">
        <v>1178</v>
      </c>
      <c r="C2650" s="46">
        <v>81520</v>
      </c>
      <c r="D2650" s="46" t="s">
        <v>4698</v>
      </c>
      <c r="E2650" s="46" t="s">
        <v>4699</v>
      </c>
      <c r="F2650" s="46" t="s">
        <v>24</v>
      </c>
      <c r="G2650" s="47">
        <v>0.73</v>
      </c>
      <c r="H2650" s="48">
        <v>2.7</v>
      </c>
      <c r="I2650" s="48">
        <v>5.4</v>
      </c>
      <c r="J2650" s="49">
        <v>2</v>
      </c>
      <c r="K2650" s="49">
        <v>1</v>
      </c>
      <c r="L2650" s="49">
        <v>1</v>
      </c>
    </row>
    <row r="2651" spans="1:12" x14ac:dyDescent="0.25">
      <c r="A2651" s="45">
        <f>C2651&amp;"."&amp;IFERROR(MID(E2651,FIND("(",E2651)+1,FIND(")",E2651)-FIND("(",E2651)-1),"")</f>
      </c>
      <c r="B2651" s="46" t="s">
        <v>1178</v>
      </c>
      <c r="C2651" s="46">
        <v>81521</v>
      </c>
      <c r="D2651" s="46" t="s">
        <v>4700</v>
      </c>
      <c r="E2651" s="46" t="s">
        <v>1248</v>
      </c>
      <c r="F2651" s="46" t="s">
        <v>24</v>
      </c>
      <c r="G2651" s="47">
        <v>0.73</v>
      </c>
      <c r="H2651" s="48">
        <v>2.059</v>
      </c>
      <c r="I2651" s="48">
        <v>4.119</v>
      </c>
      <c r="J2651" s="49">
        <v>2</v>
      </c>
      <c r="K2651" s="49">
        <v>1</v>
      </c>
      <c r="L2651" s="49">
        <v>1</v>
      </c>
    </row>
    <row r="2652" spans="1:12" x14ac:dyDescent="0.25">
      <c r="A2652" s="45">
        <f>C2652&amp;"."&amp;IFERROR(MID(E2652,FIND("(",E2652)+1,FIND(")",E2652)-FIND("(",E2652)-1),"")</f>
      </c>
      <c r="B2652" s="46" t="s">
        <v>1178</v>
      </c>
      <c r="C2652" s="46">
        <v>81527</v>
      </c>
      <c r="D2652" s="46" t="s">
        <v>4701</v>
      </c>
      <c r="E2652" s="46" t="s">
        <v>4702</v>
      </c>
      <c r="F2652" s="46" t="s">
        <v>24</v>
      </c>
      <c r="G2652" s="47">
        <v>11.64</v>
      </c>
      <c r="H2652" s="48">
        <v>31.76</v>
      </c>
      <c r="I2652" s="48">
        <v>31.76</v>
      </c>
      <c r="J2652" s="49">
        <v>1</v>
      </c>
      <c r="K2652" s="49">
        <v>0</v>
      </c>
      <c r="L2652" s="49">
        <v>1</v>
      </c>
    </row>
    <row r="2653" spans="1:12" x14ac:dyDescent="0.25">
      <c r="A2653" s="45">
        <f>C2653&amp;"."&amp;IFERROR(MID(E2653,FIND("(",E2653)+1,FIND(")",E2653)-FIND("(",E2653)-1),"")</f>
      </c>
      <c r="B2653" s="46" t="s">
        <v>1178</v>
      </c>
      <c r="C2653" s="46">
        <v>81527</v>
      </c>
      <c r="D2653" s="46" t="s">
        <v>4701</v>
      </c>
      <c r="E2653" s="46" t="s">
        <v>4703</v>
      </c>
      <c r="F2653" s="46" t="s">
        <v>24</v>
      </c>
      <c r="G2653" s="47">
        <v>11.64</v>
      </c>
      <c r="H2653" s="48">
        <v>46.912</v>
      </c>
      <c r="I2653" s="48">
        <v>140.735</v>
      </c>
      <c r="J2653" s="49">
        <v>3</v>
      </c>
      <c r="K2653" s="49">
        <v>0</v>
      </c>
      <c r="L2653" s="49">
        <v>3</v>
      </c>
    </row>
    <row r="2654" spans="1:12" x14ac:dyDescent="0.25">
      <c r="A2654" s="45">
        <f>C2654&amp;"."&amp;IFERROR(MID(E2654,FIND("(",E2654)+1,FIND(")",E2654)-FIND("(",E2654)-1),"")</f>
      </c>
      <c r="B2654" s="46" t="s">
        <v>1178</v>
      </c>
      <c r="C2654" s="46">
        <v>81533</v>
      </c>
      <c r="D2654" s="46" t="s">
        <v>4704</v>
      </c>
      <c r="E2654" s="46" t="s">
        <v>4705</v>
      </c>
      <c r="F2654" s="46" t="s">
        <v>24</v>
      </c>
      <c r="G2654" s="47">
        <v>1.26</v>
      </c>
      <c r="H2654" s="48">
        <v>7.176</v>
      </c>
      <c r="I2654" s="48">
        <v>7.176</v>
      </c>
      <c r="J2654" s="49">
        <v>1</v>
      </c>
      <c r="K2654" s="49">
        <v>0</v>
      </c>
      <c r="L2654" s="49">
        <v>1</v>
      </c>
    </row>
    <row r="2655" spans="1:12" x14ac:dyDescent="0.25">
      <c r="A2655" s="45">
        <f>C2655&amp;"."&amp;IFERROR(MID(E2655,FIND("(",E2655)+1,FIND(")",E2655)-FIND("(",E2655)-1),"")</f>
      </c>
      <c r="B2655" s="46" t="s">
        <v>1178</v>
      </c>
      <c r="C2655" s="46">
        <v>81652</v>
      </c>
      <c r="D2655" s="46" t="s">
        <v>4706</v>
      </c>
      <c r="E2655" s="46" t="s">
        <v>4707</v>
      </c>
      <c r="F2655" s="46" t="s">
        <v>24</v>
      </c>
      <c r="G2655" s="47">
        <v>3.06</v>
      </c>
      <c r="H2655" s="48">
        <v>8.24</v>
      </c>
      <c r="I2655" s="48">
        <v>16.48</v>
      </c>
      <c r="J2655" s="49">
        <v>2</v>
      </c>
      <c r="K2655" s="49">
        <v>0</v>
      </c>
      <c r="L2655" s="49">
        <v>2</v>
      </c>
    </row>
    <row r="2656" spans="1:12" x14ac:dyDescent="0.25">
      <c r="A2656" s="45">
        <f>C2656&amp;"."&amp;IFERROR(MID(E2656,FIND("(",E2656)+1,FIND(")",E2656)-FIND("(",E2656)-1),"")</f>
      </c>
      <c r="B2656" s="46" t="s">
        <v>1178</v>
      </c>
      <c r="C2656" s="46">
        <v>81652</v>
      </c>
      <c r="D2656" s="46" t="s">
        <v>4706</v>
      </c>
      <c r="E2656" s="46" t="s">
        <v>4708</v>
      </c>
      <c r="F2656" s="46" t="s">
        <v>24</v>
      </c>
      <c r="G2656" s="47">
        <v>3.06</v>
      </c>
      <c r="H2656" s="48">
        <v>8.24</v>
      </c>
      <c r="I2656" s="48">
        <v>24.72</v>
      </c>
      <c r="J2656" s="49">
        <v>3</v>
      </c>
      <c r="K2656" s="49">
        <v>0</v>
      </c>
      <c r="L2656" s="49">
        <v>3</v>
      </c>
    </row>
    <row r="2657" spans="1:12" x14ac:dyDescent="0.25">
      <c r="A2657" s="45">
        <f>C2657&amp;"."&amp;IFERROR(MID(E2657,FIND("(",E2657)+1,FIND(")",E2657)-FIND("(",E2657)-1),"")</f>
      </c>
      <c r="B2657" s="46" t="s">
        <v>1178</v>
      </c>
      <c r="C2657" s="46">
        <v>81660</v>
      </c>
      <c r="D2657" s="46" t="s">
        <v>4709</v>
      </c>
      <c r="E2657" s="46" t="s">
        <v>4710</v>
      </c>
      <c r="F2657" s="46" t="s">
        <v>24</v>
      </c>
      <c r="G2657" s="47">
        <v>0.9</v>
      </c>
      <c r="H2657" s="48">
        <v>3.761</v>
      </c>
      <c r="I2657" s="48">
        <v>22.569</v>
      </c>
      <c r="J2657" s="49">
        <v>6</v>
      </c>
      <c r="K2657" s="49">
        <v>0</v>
      </c>
      <c r="L2657" s="49">
        <v>6</v>
      </c>
    </row>
    <row r="2658" spans="1:12" x14ac:dyDescent="0.25">
      <c r="A2658" s="45">
        <f>C2658&amp;"."&amp;IFERROR(MID(E2658,FIND("(",E2658)+1,FIND(")",E2658)-FIND("(",E2658)-1),"")</f>
      </c>
      <c r="B2658" s="46" t="s">
        <v>1178</v>
      </c>
      <c r="C2658" s="46">
        <v>81660</v>
      </c>
      <c r="D2658" s="46" t="s">
        <v>4709</v>
      </c>
      <c r="E2658" s="46" t="s">
        <v>4711</v>
      </c>
      <c r="F2658" s="46" t="s">
        <v>24</v>
      </c>
      <c r="G2658" s="47">
        <v>0.9</v>
      </c>
      <c r="H2658" s="48">
        <v>3.702</v>
      </c>
      <c r="I2658" s="48">
        <v>70.34</v>
      </c>
      <c r="J2658" s="49">
        <v>19</v>
      </c>
      <c r="K2658" s="49">
        <v>0</v>
      </c>
      <c r="L2658" s="49">
        <v>19</v>
      </c>
    </row>
    <row r="2659" spans="1:12" x14ac:dyDescent="0.25">
      <c r="A2659" s="45">
        <f>C2659&amp;"."&amp;IFERROR(MID(E2659,FIND("(",E2659)+1,FIND(")",E2659)-FIND("(",E2659)-1),"")</f>
      </c>
      <c r="B2659" s="46" t="s">
        <v>1178</v>
      </c>
      <c r="C2659" s="46">
        <v>81660</v>
      </c>
      <c r="D2659" s="46" t="s">
        <v>4709</v>
      </c>
      <c r="E2659" s="46" t="s">
        <v>4712</v>
      </c>
      <c r="F2659" s="46" t="s">
        <v>24</v>
      </c>
      <c r="G2659" s="47">
        <v>0.9</v>
      </c>
      <c r="H2659" s="48">
        <v>4.089</v>
      </c>
      <c r="I2659" s="48">
        <v>61.336</v>
      </c>
      <c r="J2659" s="49">
        <v>15</v>
      </c>
      <c r="K2659" s="49">
        <v>5</v>
      </c>
      <c r="L2659" s="49">
        <v>10</v>
      </c>
    </row>
    <row r="2660" spans="1:12" x14ac:dyDescent="0.25">
      <c r="A2660" s="45">
        <f>C2660&amp;"."&amp;IFERROR(MID(E2660,FIND("(",E2660)+1,FIND(")",E2660)-FIND("(",E2660)-1),"")</f>
      </c>
      <c r="B2660" s="46" t="s">
        <v>1178</v>
      </c>
      <c r="C2660" s="46">
        <v>81709</v>
      </c>
      <c r="D2660" s="46" t="s">
        <v>4713</v>
      </c>
      <c r="E2660" s="46" t="s">
        <v>4714</v>
      </c>
      <c r="F2660" s="46" t="s">
        <v>24</v>
      </c>
      <c r="G2660" s="47">
        <v>4.12</v>
      </c>
      <c r="H2660" s="48">
        <v>14.59</v>
      </c>
      <c r="I2660" s="48">
        <v>43.77</v>
      </c>
      <c r="J2660" s="49">
        <v>3</v>
      </c>
      <c r="K2660" s="49">
        <v>0</v>
      </c>
      <c r="L2660" s="49">
        <v>3</v>
      </c>
    </row>
    <row r="2661" spans="1:12" x14ac:dyDescent="0.25">
      <c r="A2661" s="45">
        <f>C2661&amp;"."&amp;IFERROR(MID(E2661,FIND("(",E2661)+1,FIND(")",E2661)-FIND("(",E2661)-1),"")</f>
      </c>
      <c r="B2661" s="46" t="s">
        <v>1178</v>
      </c>
      <c r="C2661" s="46">
        <v>81710</v>
      </c>
      <c r="D2661" s="46" t="s">
        <v>4715</v>
      </c>
      <c r="E2661" s="46" t="s">
        <v>4716</v>
      </c>
      <c r="F2661" s="46" t="s">
        <v>24</v>
      </c>
      <c r="G2661" s="47">
        <v>3.58</v>
      </c>
      <c r="H2661" s="48">
        <v>12.69</v>
      </c>
      <c r="I2661" s="48">
        <v>12.69</v>
      </c>
      <c r="J2661" s="49">
        <v>1</v>
      </c>
      <c r="K2661" s="49">
        <v>0</v>
      </c>
      <c r="L2661" s="49">
        <v>1</v>
      </c>
    </row>
    <row r="2662" spans="1:12" x14ac:dyDescent="0.25">
      <c r="A2662" s="45">
        <f>C2662&amp;"."&amp;IFERROR(MID(E2662,FIND("(",E2662)+1,FIND(")",E2662)-FIND("(",E2662)-1),"")</f>
      </c>
      <c r="B2662" s="46" t="s">
        <v>1178</v>
      </c>
      <c r="C2662" s="46">
        <v>81713</v>
      </c>
      <c r="D2662" s="46" t="s">
        <v>810</v>
      </c>
      <c r="E2662" s="46" t="s">
        <v>4717</v>
      </c>
      <c r="F2662" s="46" t="s">
        <v>25</v>
      </c>
      <c r="G2662" s="47">
        <v>46</v>
      </c>
      <c r="H2662" s="48">
        <v>233.216</v>
      </c>
      <c r="I2662" s="48">
        <v>116841.293</v>
      </c>
      <c r="J2662" s="49">
        <v>501</v>
      </c>
      <c r="K2662" s="49">
        <v>496</v>
      </c>
      <c r="L2662" s="49">
        <v>5</v>
      </c>
    </row>
    <row r="2663" spans="1:12" x14ac:dyDescent="0.25">
      <c r="A2663" s="45">
        <f>C2663&amp;"."&amp;IFERROR(MID(E2663,FIND("(",E2663)+1,FIND(")",E2663)-FIND("(",E2663)-1),"")</f>
      </c>
      <c r="B2663" s="46" t="s">
        <v>1178</v>
      </c>
      <c r="C2663" s="46">
        <v>81716</v>
      </c>
      <c r="D2663" s="46" t="s">
        <v>4718</v>
      </c>
      <c r="E2663" s="46" t="s">
        <v>4719</v>
      </c>
      <c r="F2663" s="46" t="s">
        <v>25</v>
      </c>
      <c r="G2663" s="47">
        <v>9.39</v>
      </c>
      <c r="H2663" s="48">
        <v>26.387</v>
      </c>
      <c r="I2663" s="48">
        <v>316.641</v>
      </c>
      <c r="J2663" s="49">
        <v>12</v>
      </c>
      <c r="K2663" s="49">
        <v>12</v>
      </c>
      <c r="L2663" s="49">
        <v>0</v>
      </c>
    </row>
    <row r="2664" spans="1:12" x14ac:dyDescent="0.25">
      <c r="A2664" s="45">
        <f>C2664&amp;"."&amp;IFERROR(MID(E2664,FIND("(",E2664)+1,FIND(")",E2664)-FIND("(",E2664)-1),"")</f>
      </c>
      <c r="B2664" s="46" t="s">
        <v>1178</v>
      </c>
      <c r="C2664" s="46">
        <v>81719</v>
      </c>
      <c r="D2664" s="46" t="s">
        <v>4720</v>
      </c>
      <c r="E2664" s="46" t="s">
        <v>4721</v>
      </c>
      <c r="F2664" s="46" t="s">
        <v>25</v>
      </c>
      <c r="G2664" s="47">
        <v>0.74</v>
      </c>
      <c r="H2664" s="48">
        <v>5.42</v>
      </c>
      <c r="I2664" s="48">
        <v>75.879</v>
      </c>
      <c r="J2664" s="49">
        <v>14</v>
      </c>
      <c r="K2664" s="49">
        <v>2</v>
      </c>
      <c r="L2664" s="49">
        <v>12</v>
      </c>
    </row>
    <row r="2665" spans="1:12" x14ac:dyDescent="0.25">
      <c r="A2665" s="45">
        <f>C2665&amp;"."&amp;IFERROR(MID(E2665,FIND("(",E2665)+1,FIND(")",E2665)-FIND("(",E2665)-1),"")</f>
      </c>
      <c r="B2665" s="46" t="s">
        <v>1178</v>
      </c>
      <c r="C2665" s="46">
        <v>81720</v>
      </c>
      <c r="D2665" s="46" t="s">
        <v>4722</v>
      </c>
      <c r="E2665" s="46" t="s">
        <v>4723</v>
      </c>
      <c r="F2665" s="46" t="s">
        <v>25</v>
      </c>
      <c r="G2665" s="47">
        <v>0.68</v>
      </c>
      <c r="H2665" s="48">
        <v>3.25</v>
      </c>
      <c r="I2665" s="48">
        <v>42.252</v>
      </c>
      <c r="J2665" s="49">
        <v>13</v>
      </c>
      <c r="K2665" s="49">
        <v>3</v>
      </c>
      <c r="L2665" s="49">
        <v>10</v>
      </c>
    </row>
    <row r="2666" spans="1:12" x14ac:dyDescent="0.25">
      <c r="A2666" s="45">
        <f>C2666&amp;"."&amp;IFERROR(MID(E2666,FIND("(",E2666)+1,FIND(")",E2666)-FIND("(",E2666)-1),"")</f>
      </c>
      <c r="B2666" s="46" t="s">
        <v>1178</v>
      </c>
      <c r="C2666" s="46">
        <v>81724</v>
      </c>
      <c r="D2666" s="46" t="s">
        <v>4724</v>
      </c>
      <c r="E2666" s="46" t="s">
        <v>4725</v>
      </c>
      <c r="F2666" s="46" t="s">
        <v>25</v>
      </c>
      <c r="G2666" s="47">
        <v>1.24</v>
      </c>
      <c r="H2666" s="48">
        <v>3.387</v>
      </c>
      <c r="I2666" s="48">
        <v>23.708</v>
      </c>
      <c r="J2666" s="49">
        <v>7</v>
      </c>
      <c r="K2666" s="49">
        <v>1</v>
      </c>
      <c r="L2666" s="49">
        <v>6</v>
      </c>
    </row>
    <row r="2667" spans="1:12" x14ac:dyDescent="0.25">
      <c r="A2667" s="45">
        <f>C2667&amp;"."&amp;IFERROR(MID(E2667,FIND("(",E2667)+1,FIND(")",E2667)-FIND("(",E2667)-1),"")</f>
      </c>
      <c r="B2667" s="46" t="s">
        <v>1178</v>
      </c>
      <c r="C2667" s="46">
        <v>81725</v>
      </c>
      <c r="D2667" s="46" t="s">
        <v>4726</v>
      </c>
      <c r="E2667" s="46" t="s">
        <v>4727</v>
      </c>
      <c r="F2667" s="46" t="s">
        <v>25</v>
      </c>
      <c r="G2667" s="47">
        <v>0.58</v>
      </c>
      <c r="H2667" s="48">
        <v>2.052</v>
      </c>
      <c r="I2667" s="48">
        <v>14.362</v>
      </c>
      <c r="J2667" s="49">
        <v>7</v>
      </c>
      <c r="K2667" s="49">
        <v>1</v>
      </c>
      <c r="L2667" s="49">
        <v>6</v>
      </c>
    </row>
    <row r="2668" spans="1:12" x14ac:dyDescent="0.25">
      <c r="A2668" s="45">
        <f>C2668&amp;"."&amp;IFERROR(MID(E2668,FIND("(",E2668)+1,FIND(")",E2668)-FIND("(",E2668)-1),"")</f>
      </c>
      <c r="B2668" s="46" t="s">
        <v>1178</v>
      </c>
      <c r="C2668" s="46">
        <v>81726</v>
      </c>
      <c r="D2668" s="46" t="s">
        <v>4728</v>
      </c>
      <c r="E2668" s="46" t="s">
        <v>4729</v>
      </c>
      <c r="F2668" s="46" t="s">
        <v>25</v>
      </c>
      <c r="G2668" s="47">
        <v>2.06</v>
      </c>
      <c r="H2668" s="48">
        <v>7.388</v>
      </c>
      <c r="I2668" s="48">
        <v>88.661</v>
      </c>
      <c r="J2668" s="49">
        <v>12</v>
      </c>
      <c r="K2668" s="49">
        <v>3</v>
      </c>
      <c r="L2668" s="49">
        <v>9</v>
      </c>
    </row>
    <row r="2669" spans="1:12" x14ac:dyDescent="0.25">
      <c r="A2669" s="45">
        <f>C2669&amp;"."&amp;IFERROR(MID(E2669,FIND("(",E2669)+1,FIND(")",E2669)-FIND("(",E2669)-1),"")</f>
      </c>
      <c r="B2669" s="46" t="s">
        <v>1178</v>
      </c>
      <c r="C2669" s="46">
        <v>81727</v>
      </c>
      <c r="D2669" s="46" t="s">
        <v>4730</v>
      </c>
      <c r="E2669" s="46" t="s">
        <v>4731</v>
      </c>
      <c r="F2669" s="46" t="s">
        <v>25</v>
      </c>
      <c r="G2669" s="47">
        <v>0.37</v>
      </c>
      <c r="H2669" s="48">
        <v>2.504</v>
      </c>
      <c r="I2669" s="48">
        <v>7.512</v>
      </c>
      <c r="J2669" s="49">
        <v>3</v>
      </c>
      <c r="K2669" s="49">
        <v>1</v>
      </c>
      <c r="L2669" s="49">
        <v>2</v>
      </c>
    </row>
    <row r="2670" spans="1:12" x14ac:dyDescent="0.25">
      <c r="A2670" s="45">
        <f>C2670&amp;"."&amp;IFERROR(MID(E2670,FIND("(",E2670)+1,FIND(")",E2670)-FIND("(",E2670)-1),"")</f>
      </c>
      <c r="B2670" s="46" t="s">
        <v>1178</v>
      </c>
      <c r="C2670" s="46">
        <v>81729</v>
      </c>
      <c r="D2670" s="46" t="s">
        <v>4732</v>
      </c>
      <c r="E2670" s="46" t="s">
        <v>4733</v>
      </c>
      <c r="F2670" s="46" t="s">
        <v>24</v>
      </c>
      <c r="G2670" s="47">
        <v>5.48</v>
      </c>
      <c r="H2670" s="48">
        <v>18.92</v>
      </c>
      <c r="I2670" s="48">
        <v>56.76</v>
      </c>
      <c r="J2670" s="49">
        <v>3</v>
      </c>
      <c r="K2670" s="49">
        <v>0</v>
      </c>
      <c r="L2670" s="49">
        <v>3</v>
      </c>
    </row>
    <row r="2671" spans="1:12" x14ac:dyDescent="0.25">
      <c r="A2671" s="45">
        <f>C2671&amp;"."&amp;IFERROR(MID(E2671,FIND("(",E2671)+1,FIND(")",E2671)-FIND("(",E2671)-1),"")</f>
      </c>
      <c r="B2671" s="46" t="s">
        <v>1178</v>
      </c>
      <c r="C2671" s="46">
        <v>81729</v>
      </c>
      <c r="D2671" s="46" t="s">
        <v>4732</v>
      </c>
      <c r="E2671" s="46" t="s">
        <v>4734</v>
      </c>
      <c r="F2671" s="46" t="s">
        <v>24</v>
      </c>
      <c r="G2671" s="47">
        <v>5.48</v>
      </c>
      <c r="H2671" s="48">
        <v>18.92</v>
      </c>
      <c r="I2671" s="48">
        <v>56.76</v>
      </c>
      <c r="J2671" s="49">
        <v>3</v>
      </c>
      <c r="K2671" s="49">
        <v>0</v>
      </c>
      <c r="L2671" s="49">
        <v>3</v>
      </c>
    </row>
    <row r="2672" spans="1:12" x14ac:dyDescent="0.25">
      <c r="A2672" s="45">
        <f>C2672&amp;"."&amp;IFERROR(MID(E2672,FIND("(",E2672)+1,FIND(")",E2672)-FIND("(",E2672)-1),"")</f>
      </c>
      <c r="B2672" s="46" t="s">
        <v>1178</v>
      </c>
      <c r="C2672" s="46">
        <v>81729</v>
      </c>
      <c r="D2672" s="46" t="s">
        <v>4732</v>
      </c>
      <c r="E2672" s="46" t="s">
        <v>4735</v>
      </c>
      <c r="F2672" s="46" t="s">
        <v>24</v>
      </c>
      <c r="G2672" s="47">
        <v>5.48</v>
      </c>
      <c r="H2672" s="48">
        <v>18.92</v>
      </c>
      <c r="I2672" s="48">
        <v>94.6</v>
      </c>
      <c r="J2672" s="49">
        <v>5</v>
      </c>
      <c r="K2672" s="49">
        <v>0</v>
      </c>
      <c r="L2672" s="49">
        <v>5</v>
      </c>
    </row>
    <row r="2673" spans="1:12" x14ac:dyDescent="0.25">
      <c r="A2673" s="45">
        <f>C2673&amp;"."&amp;IFERROR(MID(E2673,FIND("(",E2673)+1,FIND(")",E2673)-FIND("(",E2673)-1),"")</f>
      </c>
      <c r="B2673" s="46" t="s">
        <v>1178</v>
      </c>
      <c r="C2673" s="46">
        <v>81730</v>
      </c>
      <c r="D2673" s="46" t="s">
        <v>4736</v>
      </c>
      <c r="E2673" s="46" t="s">
        <v>4737</v>
      </c>
      <c r="F2673" s="46" t="s">
        <v>24</v>
      </c>
      <c r="G2673" s="47">
        <v>5.48</v>
      </c>
      <c r="H2673" s="48">
        <v>18.92</v>
      </c>
      <c r="I2673" s="48">
        <v>94.6</v>
      </c>
      <c r="J2673" s="49">
        <v>5</v>
      </c>
      <c r="K2673" s="49">
        <v>0</v>
      </c>
      <c r="L2673" s="49">
        <v>5</v>
      </c>
    </row>
    <row r="2674" spans="1:12" x14ac:dyDescent="0.25">
      <c r="A2674" s="45">
        <f>C2674&amp;"."&amp;IFERROR(MID(E2674,FIND("(",E2674)+1,FIND(")",E2674)-FIND("(",E2674)-1),"")</f>
      </c>
      <c r="B2674" s="46" t="s">
        <v>1178</v>
      </c>
      <c r="C2674" s="46">
        <v>81730</v>
      </c>
      <c r="D2674" s="46" t="s">
        <v>4736</v>
      </c>
      <c r="E2674" s="46" t="s">
        <v>4738</v>
      </c>
      <c r="F2674" s="46" t="s">
        <v>24</v>
      </c>
      <c r="G2674" s="47">
        <v>5.48</v>
      </c>
      <c r="H2674" s="48">
        <v>18.92</v>
      </c>
      <c r="I2674" s="48">
        <v>18.92</v>
      </c>
      <c r="J2674" s="49">
        <v>1</v>
      </c>
      <c r="K2674" s="49">
        <v>0</v>
      </c>
      <c r="L2674" s="49">
        <v>1</v>
      </c>
    </row>
    <row r="2675" spans="1:12" x14ac:dyDescent="0.25">
      <c r="A2675" s="45">
        <f>C2675&amp;"."&amp;IFERROR(MID(E2675,FIND("(",E2675)+1,FIND(")",E2675)-FIND("(",E2675)-1),"")</f>
      </c>
      <c r="B2675" s="46" t="s">
        <v>1178</v>
      </c>
      <c r="C2675" s="46">
        <v>81732</v>
      </c>
      <c r="D2675" s="46" t="s">
        <v>4739</v>
      </c>
      <c r="E2675" s="46" t="s">
        <v>4740</v>
      </c>
      <c r="F2675" s="46" t="s">
        <v>25</v>
      </c>
      <c r="G2675" s="47">
        <v>0.87</v>
      </c>
      <c r="H2675" s="48">
        <v>3.687</v>
      </c>
      <c r="I2675" s="48">
        <v>18.437</v>
      </c>
      <c r="J2675" s="49">
        <v>5</v>
      </c>
      <c r="K2675" s="49">
        <v>2</v>
      </c>
      <c r="L2675" s="49">
        <v>3</v>
      </c>
    </row>
    <row r="2676" spans="1:12" x14ac:dyDescent="0.25">
      <c r="A2676" s="45">
        <f>C2676&amp;"."&amp;IFERROR(MID(E2676,FIND("(",E2676)+1,FIND(")",E2676)-FIND("(",E2676)-1),"")</f>
      </c>
      <c r="B2676" s="46" t="s">
        <v>1178</v>
      </c>
      <c r="C2676" s="46">
        <v>81735</v>
      </c>
      <c r="D2676" s="46" t="s">
        <v>4741</v>
      </c>
      <c r="E2676" s="46" t="s">
        <v>4742</v>
      </c>
      <c r="F2676" s="46" t="s">
        <v>25</v>
      </c>
      <c r="G2676" s="47">
        <v>0.31</v>
      </c>
      <c r="H2676" s="48">
        <v>1.37</v>
      </c>
      <c r="I2676" s="48">
        <v>1.37</v>
      </c>
      <c r="J2676" s="49">
        <v>1</v>
      </c>
      <c r="K2676" s="49">
        <v>1</v>
      </c>
      <c r="L2676" s="49">
        <v>0</v>
      </c>
    </row>
    <row r="2677" spans="1:12" x14ac:dyDescent="0.25">
      <c r="A2677" s="45">
        <f>C2677&amp;"."&amp;IFERROR(MID(E2677,FIND("(",E2677)+1,FIND(")",E2677)-FIND("(",E2677)-1),"")</f>
      </c>
      <c r="B2677" s="46" t="s">
        <v>1178</v>
      </c>
      <c r="C2677" s="46">
        <v>81737</v>
      </c>
      <c r="D2677" s="46" t="s">
        <v>4743</v>
      </c>
      <c r="E2677" s="46" t="s">
        <v>4744</v>
      </c>
      <c r="F2677" s="46" t="s">
        <v>24</v>
      </c>
      <c r="G2677" s="47">
        <v>0.9</v>
      </c>
      <c r="H2677" s="48">
        <v>2.97</v>
      </c>
      <c r="I2677" s="48">
        <v>11.88</v>
      </c>
      <c r="J2677" s="49">
        <v>4</v>
      </c>
      <c r="K2677" s="49">
        <v>0</v>
      </c>
      <c r="L2677" s="49">
        <v>4</v>
      </c>
    </row>
    <row r="2678" spans="1:12" x14ac:dyDescent="0.25">
      <c r="A2678" s="45">
        <f>C2678&amp;"."&amp;IFERROR(MID(E2678,FIND("(",E2678)+1,FIND(")",E2678)-FIND("(",E2678)-1),"")</f>
      </c>
      <c r="B2678" s="46" t="s">
        <v>1178</v>
      </c>
      <c r="C2678" s="46">
        <v>81738</v>
      </c>
      <c r="D2678" s="46" t="s">
        <v>4745</v>
      </c>
      <c r="E2678" s="46" t="s">
        <v>4746</v>
      </c>
      <c r="F2678" s="46" t="s">
        <v>25</v>
      </c>
      <c r="G2678" s="47">
        <v>0.31</v>
      </c>
      <c r="H2678" s="48">
        <v>1.712</v>
      </c>
      <c r="I2678" s="48">
        <v>1.712</v>
      </c>
      <c r="J2678" s="49">
        <v>1</v>
      </c>
      <c r="K2678" s="49">
        <v>1</v>
      </c>
      <c r="L2678" s="49">
        <v>0</v>
      </c>
    </row>
    <row r="2679" spans="1:12" x14ac:dyDescent="0.25">
      <c r="A2679" s="45">
        <f>C2679&amp;"."&amp;IFERROR(MID(E2679,FIND("(",E2679)+1,FIND(")",E2679)-FIND("(",E2679)-1),"")</f>
      </c>
      <c r="B2679" s="46" t="s">
        <v>1178</v>
      </c>
      <c r="C2679" s="46">
        <v>81743</v>
      </c>
      <c r="D2679" s="46" t="s">
        <v>4747</v>
      </c>
      <c r="E2679" s="46" t="s">
        <v>4748</v>
      </c>
      <c r="F2679" s="46" t="s">
        <v>24</v>
      </c>
      <c r="G2679" s="47">
        <v>0.39</v>
      </c>
      <c r="H2679" s="48">
        <v>1.57</v>
      </c>
      <c r="I2679" s="48">
        <v>6.28</v>
      </c>
      <c r="J2679" s="49">
        <v>4</v>
      </c>
      <c r="K2679" s="49">
        <v>0</v>
      </c>
      <c r="L2679" s="49">
        <v>4</v>
      </c>
    </row>
    <row r="2680" spans="1:12" x14ac:dyDescent="0.25">
      <c r="A2680" s="45">
        <f>C2680&amp;"."&amp;IFERROR(MID(E2680,FIND("(",E2680)+1,FIND(")",E2680)-FIND("(",E2680)-1),"")</f>
      </c>
      <c r="B2680" s="46" t="s">
        <v>1178</v>
      </c>
      <c r="C2680" s="46">
        <v>81750</v>
      </c>
      <c r="D2680" s="46" t="s">
        <v>4749</v>
      </c>
      <c r="E2680" s="46" t="s">
        <v>4750</v>
      </c>
      <c r="F2680" s="46" t="s">
        <v>1926</v>
      </c>
      <c r="G2680" s="47">
        <v>1.32</v>
      </c>
      <c r="H2680" s="48">
        <v>24.759</v>
      </c>
      <c r="I2680" s="48">
        <v>247.588</v>
      </c>
      <c r="J2680" s="49">
        <v>10</v>
      </c>
      <c r="K2680" s="49">
        <v>1</v>
      </c>
      <c r="L2680" s="49">
        <v>9</v>
      </c>
    </row>
    <row r="2681" spans="1:12" x14ac:dyDescent="0.25">
      <c r="A2681" s="45">
        <f>C2681&amp;"."&amp;IFERROR(MID(E2681,FIND("(",E2681)+1,FIND(")",E2681)-FIND("(",E2681)-1),"")</f>
      </c>
      <c r="B2681" s="46" t="s">
        <v>1178</v>
      </c>
      <c r="C2681" s="46">
        <v>81751</v>
      </c>
      <c r="D2681" s="46" t="s">
        <v>4751</v>
      </c>
      <c r="E2681" s="46" t="s">
        <v>4752</v>
      </c>
      <c r="F2681" s="46" t="s">
        <v>24</v>
      </c>
      <c r="G2681" s="47">
        <v>0.39</v>
      </c>
      <c r="H2681" s="48">
        <v>1.57</v>
      </c>
      <c r="I2681" s="48">
        <v>4.71</v>
      </c>
      <c r="J2681" s="49">
        <v>3</v>
      </c>
      <c r="K2681" s="49">
        <v>0</v>
      </c>
      <c r="L2681" s="49">
        <v>3</v>
      </c>
    </row>
    <row r="2682" spans="1:12" x14ac:dyDescent="0.25">
      <c r="A2682" s="45">
        <f>C2682&amp;"."&amp;IFERROR(MID(E2682,FIND("(",E2682)+1,FIND(")",E2682)-FIND("(",E2682)-1),"")</f>
      </c>
      <c r="B2682" s="46" t="s">
        <v>1178</v>
      </c>
      <c r="C2682" s="46">
        <v>81754</v>
      </c>
      <c r="D2682" s="46" t="s">
        <v>4753</v>
      </c>
      <c r="E2682" s="46" t="s">
        <v>4754</v>
      </c>
      <c r="F2682" s="46" t="s">
        <v>24</v>
      </c>
      <c r="G2682" s="47">
        <v>1.39</v>
      </c>
      <c r="H2682" s="48">
        <v>6.3</v>
      </c>
      <c r="I2682" s="48">
        <v>6.3</v>
      </c>
      <c r="J2682" s="49">
        <v>1</v>
      </c>
      <c r="K2682" s="49">
        <v>0</v>
      </c>
      <c r="L2682" s="49">
        <v>1</v>
      </c>
    </row>
    <row r="2683" spans="1:12" x14ac:dyDescent="0.25">
      <c r="A2683" s="45">
        <f>C2683&amp;"."&amp;IFERROR(MID(E2683,FIND("(",E2683)+1,FIND(")",E2683)-FIND("(",E2683)-1),"")</f>
      </c>
      <c r="B2683" s="46" t="s">
        <v>1178</v>
      </c>
      <c r="C2683" s="46">
        <v>81754</v>
      </c>
      <c r="D2683" s="46" t="s">
        <v>4753</v>
      </c>
      <c r="E2683" s="46" t="s">
        <v>4755</v>
      </c>
      <c r="F2683" s="46" t="s">
        <v>24</v>
      </c>
      <c r="G2683" s="47">
        <v>1.39</v>
      </c>
      <c r="H2683" s="48">
        <v>6.3</v>
      </c>
      <c r="I2683" s="48">
        <v>18.9</v>
      </c>
      <c r="J2683" s="49">
        <v>3</v>
      </c>
      <c r="K2683" s="49">
        <v>0</v>
      </c>
      <c r="L2683" s="49">
        <v>3</v>
      </c>
    </row>
    <row r="2684" spans="1:12" x14ac:dyDescent="0.25">
      <c r="A2684" s="45">
        <f>C2684&amp;"."&amp;IFERROR(MID(E2684,FIND("(",E2684)+1,FIND(")",E2684)-FIND("(",E2684)-1),"")</f>
      </c>
      <c r="B2684" s="46" t="s">
        <v>1178</v>
      </c>
      <c r="C2684" s="46">
        <v>81756</v>
      </c>
      <c r="D2684" s="46" t="s">
        <v>4756</v>
      </c>
      <c r="E2684" s="46" t="s">
        <v>4757</v>
      </c>
      <c r="F2684" s="46" t="s">
        <v>24</v>
      </c>
      <c r="G2684" s="47">
        <v>2.01</v>
      </c>
      <c r="H2684" s="48">
        <v>8.42</v>
      </c>
      <c r="I2684" s="48">
        <v>50.52</v>
      </c>
      <c r="J2684" s="49">
        <v>6</v>
      </c>
      <c r="K2684" s="49">
        <v>0</v>
      </c>
      <c r="L2684" s="49">
        <v>6</v>
      </c>
    </row>
    <row r="2685" spans="1:12" x14ac:dyDescent="0.25">
      <c r="A2685" s="45">
        <f>C2685&amp;"."&amp;IFERROR(MID(E2685,FIND("(",E2685)+1,FIND(")",E2685)-FIND("(",E2685)-1),"")</f>
      </c>
      <c r="B2685" s="46" t="s">
        <v>1178</v>
      </c>
      <c r="C2685" s="46">
        <v>81766</v>
      </c>
      <c r="D2685" s="46" t="s">
        <v>4758</v>
      </c>
      <c r="E2685" s="46" t="s">
        <v>4759</v>
      </c>
      <c r="F2685" s="46" t="s">
        <v>24</v>
      </c>
      <c r="G2685" s="47">
        <v>4.05</v>
      </c>
      <c r="H2685" s="48">
        <v>13.44</v>
      </c>
      <c r="I2685" s="48">
        <v>13.44</v>
      </c>
      <c r="J2685" s="49">
        <v>1</v>
      </c>
      <c r="K2685" s="49">
        <v>0</v>
      </c>
      <c r="L2685" s="49">
        <v>1</v>
      </c>
    </row>
    <row r="2686" spans="1:12" x14ac:dyDescent="0.25">
      <c r="A2686" s="45">
        <f>C2686&amp;"."&amp;IFERROR(MID(E2686,FIND("(",E2686)+1,FIND(")",E2686)-FIND("(",E2686)-1),"")</f>
      </c>
      <c r="B2686" s="46" t="s">
        <v>1178</v>
      </c>
      <c r="C2686" s="46">
        <v>81768</v>
      </c>
      <c r="D2686" s="46" t="s">
        <v>4760</v>
      </c>
      <c r="E2686" s="46" t="s">
        <v>4761</v>
      </c>
      <c r="F2686" s="46" t="s">
        <v>1926</v>
      </c>
      <c r="G2686" s="47">
        <v>1.51</v>
      </c>
      <c r="H2686" s="48">
        <v>22.39</v>
      </c>
      <c r="I2686" s="48">
        <v>44.779</v>
      </c>
      <c r="J2686" s="49">
        <v>2</v>
      </c>
      <c r="K2686" s="49">
        <v>1</v>
      </c>
      <c r="L2686" s="49">
        <v>1</v>
      </c>
    </row>
    <row r="2687" spans="1:12" x14ac:dyDescent="0.25">
      <c r="A2687" s="45">
        <f>C2687&amp;"."&amp;IFERROR(MID(E2687,FIND("(",E2687)+1,FIND(")",E2687)-FIND("(",E2687)-1),"")</f>
      </c>
      <c r="B2687" s="46" t="s">
        <v>1178</v>
      </c>
      <c r="C2687" s="46">
        <v>81773</v>
      </c>
      <c r="D2687" s="46" t="s">
        <v>4762</v>
      </c>
      <c r="E2687" s="46" t="s">
        <v>4763</v>
      </c>
      <c r="F2687" s="46" t="s">
        <v>24</v>
      </c>
      <c r="G2687" s="47">
        <v>0</v>
      </c>
      <c r="H2687" s="48">
        <v>11.17</v>
      </c>
      <c r="I2687" s="48">
        <v>22.34</v>
      </c>
      <c r="J2687" s="49">
        <v>2</v>
      </c>
      <c r="K2687" s="49">
        <v>0</v>
      </c>
      <c r="L2687" s="49">
        <v>2</v>
      </c>
    </row>
    <row r="2688" spans="1:12" x14ac:dyDescent="0.25">
      <c r="A2688" s="45">
        <f>C2688&amp;"."&amp;IFERROR(MID(E2688,FIND("(",E2688)+1,FIND(")",E2688)-FIND("(",E2688)-1),"")</f>
      </c>
      <c r="B2688" s="46" t="s">
        <v>1178</v>
      </c>
      <c r="C2688" s="46">
        <v>81782</v>
      </c>
      <c r="D2688" s="46" t="s">
        <v>4764</v>
      </c>
      <c r="E2688" s="46" t="s">
        <v>4765</v>
      </c>
      <c r="F2688" s="46" t="s">
        <v>24</v>
      </c>
      <c r="G2688" s="47">
        <v>0.49</v>
      </c>
      <c r="H2688" s="48">
        <v>3.07</v>
      </c>
      <c r="I2688" s="48">
        <v>15.35</v>
      </c>
      <c r="J2688" s="49">
        <v>5</v>
      </c>
      <c r="K2688" s="49">
        <v>0</v>
      </c>
      <c r="L2688" s="49">
        <v>5</v>
      </c>
    </row>
    <row r="2689" spans="1:12" x14ac:dyDescent="0.25">
      <c r="A2689" s="45">
        <f>C2689&amp;"."&amp;IFERROR(MID(E2689,FIND("(",E2689)+1,FIND(")",E2689)-FIND("(",E2689)-1),"")</f>
      </c>
      <c r="B2689" s="46" t="s">
        <v>1178</v>
      </c>
      <c r="C2689" s="46">
        <v>81782</v>
      </c>
      <c r="D2689" s="46" t="s">
        <v>4764</v>
      </c>
      <c r="E2689" s="46" t="s">
        <v>4766</v>
      </c>
      <c r="F2689" s="46" t="s">
        <v>24</v>
      </c>
      <c r="G2689" s="47">
        <v>0.49</v>
      </c>
      <c r="H2689" s="48">
        <v>3.07</v>
      </c>
      <c r="I2689" s="48">
        <v>9.21</v>
      </c>
      <c r="J2689" s="49">
        <v>3</v>
      </c>
      <c r="K2689" s="49">
        <v>0</v>
      </c>
      <c r="L2689" s="49">
        <v>3</v>
      </c>
    </row>
    <row r="2690" spans="1:12" x14ac:dyDescent="0.25">
      <c r="A2690" s="45">
        <f>C2690&amp;"."&amp;IFERROR(MID(E2690,FIND("(",E2690)+1,FIND(")",E2690)-FIND("(",E2690)-1),"")</f>
      </c>
      <c r="B2690" s="46" t="s">
        <v>1178</v>
      </c>
      <c r="C2690" s="46">
        <v>81788</v>
      </c>
      <c r="D2690" s="46" t="s">
        <v>4767</v>
      </c>
      <c r="E2690" s="46" t="s">
        <v>4768</v>
      </c>
      <c r="F2690" s="46" t="s">
        <v>24</v>
      </c>
      <c r="G2690" s="47">
        <v>1.16</v>
      </c>
      <c r="H2690" s="48">
        <v>5.45</v>
      </c>
      <c r="I2690" s="48">
        <v>5.45</v>
      </c>
      <c r="J2690" s="49">
        <v>1</v>
      </c>
      <c r="K2690" s="49">
        <v>0</v>
      </c>
      <c r="L2690" s="49">
        <v>1</v>
      </c>
    </row>
    <row r="2691" spans="1:12" x14ac:dyDescent="0.25">
      <c r="A2691" s="45">
        <f>C2691&amp;"."&amp;IFERROR(MID(E2691,FIND("(",E2691)+1,FIND(")",E2691)-FIND("(",E2691)-1),"")</f>
      </c>
      <c r="B2691" s="46" t="s">
        <v>1178</v>
      </c>
      <c r="C2691" s="46">
        <v>81796</v>
      </c>
      <c r="D2691" s="46" t="s">
        <v>4769</v>
      </c>
      <c r="E2691" s="46" t="s">
        <v>4770</v>
      </c>
      <c r="F2691" s="46" t="s">
        <v>4771</v>
      </c>
      <c r="G2691" s="47">
        <v>2.75</v>
      </c>
      <c r="H2691" s="48">
        <v>13.25</v>
      </c>
      <c r="I2691" s="48">
        <v>92.75</v>
      </c>
      <c r="J2691" s="49">
        <v>7</v>
      </c>
      <c r="K2691" s="49">
        <v>0</v>
      </c>
      <c r="L2691" s="49">
        <v>7</v>
      </c>
    </row>
    <row r="2692" spans="1:12" x14ac:dyDescent="0.25">
      <c r="A2692" s="45">
        <f>C2692&amp;"."&amp;IFERROR(MID(E2692,FIND("(",E2692)+1,FIND(")",E2692)-FIND("(",E2692)-1),"")</f>
      </c>
      <c r="B2692" s="46" t="s">
        <v>1178</v>
      </c>
      <c r="C2692" s="46">
        <v>81798</v>
      </c>
      <c r="D2692" s="46" t="s">
        <v>4772</v>
      </c>
      <c r="E2692" s="46" t="s">
        <v>4773</v>
      </c>
      <c r="F2692" s="46" t="s">
        <v>25</v>
      </c>
      <c r="G2692" s="47">
        <v>0.31</v>
      </c>
      <c r="H2692" s="48">
        <v>1.561</v>
      </c>
      <c r="I2692" s="48">
        <v>9.365</v>
      </c>
      <c r="J2692" s="49">
        <v>6</v>
      </c>
      <c r="K2692" s="49">
        <v>2</v>
      </c>
      <c r="L2692" s="49">
        <v>4</v>
      </c>
    </row>
    <row r="2693" spans="1:12" x14ac:dyDescent="0.25">
      <c r="A2693" s="45">
        <f>C2693&amp;"."&amp;IFERROR(MID(E2693,FIND("(",E2693)+1,FIND(")",E2693)-FIND("(",E2693)-1),"")</f>
      </c>
      <c r="B2693" s="46" t="s">
        <v>1178</v>
      </c>
      <c r="C2693" s="46">
        <v>81800</v>
      </c>
      <c r="D2693" s="46" t="s">
        <v>4774</v>
      </c>
      <c r="E2693" s="46" t="s">
        <v>4775</v>
      </c>
      <c r="F2693" s="46" t="s">
        <v>24</v>
      </c>
      <c r="G2693" s="47">
        <v>0.47</v>
      </c>
      <c r="H2693" s="48">
        <v>2.06</v>
      </c>
      <c r="I2693" s="48">
        <v>6.18</v>
      </c>
      <c r="J2693" s="49">
        <v>3</v>
      </c>
      <c r="K2693" s="49">
        <v>0</v>
      </c>
      <c r="L2693" s="49">
        <v>3</v>
      </c>
    </row>
    <row r="2694" spans="1:12" x14ac:dyDescent="0.25">
      <c r="A2694" s="45">
        <f>C2694&amp;"."&amp;IFERROR(MID(E2694,FIND("(",E2694)+1,FIND(")",E2694)-FIND("(",E2694)-1),"")</f>
      </c>
      <c r="B2694" s="46" t="s">
        <v>1178</v>
      </c>
      <c r="C2694" s="46">
        <v>81800</v>
      </c>
      <c r="D2694" s="46" t="s">
        <v>4774</v>
      </c>
      <c r="E2694" s="46" t="s">
        <v>4776</v>
      </c>
      <c r="F2694" s="46" t="s">
        <v>24</v>
      </c>
      <c r="G2694" s="47">
        <v>0.47</v>
      </c>
      <c r="H2694" s="48">
        <v>0.627</v>
      </c>
      <c r="I2694" s="48">
        <v>1.254</v>
      </c>
      <c r="J2694" s="49">
        <v>2</v>
      </c>
      <c r="K2694" s="49">
        <v>0</v>
      </c>
      <c r="L2694" s="49">
        <v>2</v>
      </c>
    </row>
    <row r="2695" spans="1:12" x14ac:dyDescent="0.25">
      <c r="A2695" s="45">
        <f>C2695&amp;"."&amp;IFERROR(MID(E2695,FIND("(",E2695)+1,FIND(")",E2695)-FIND("(",E2695)-1),"")</f>
      </c>
      <c r="B2695" s="46" t="s">
        <v>1178</v>
      </c>
      <c r="C2695" s="46">
        <v>81800</v>
      </c>
      <c r="D2695" s="46" t="s">
        <v>4774</v>
      </c>
      <c r="E2695" s="46" t="s">
        <v>4777</v>
      </c>
      <c r="F2695" s="46" t="s">
        <v>24</v>
      </c>
      <c r="G2695" s="47">
        <v>0.47</v>
      </c>
      <c r="H2695" s="48">
        <v>2.06</v>
      </c>
      <c r="I2695" s="48">
        <v>2.06</v>
      </c>
      <c r="J2695" s="49">
        <v>1</v>
      </c>
      <c r="K2695" s="49">
        <v>0</v>
      </c>
      <c r="L2695" s="49">
        <v>1</v>
      </c>
    </row>
    <row r="2696" spans="1:12" x14ac:dyDescent="0.25">
      <c r="A2696" s="45">
        <f>C2696&amp;"."&amp;IFERROR(MID(E2696,FIND("(",E2696)+1,FIND(")",E2696)-FIND("(",E2696)-1),"")</f>
      </c>
      <c r="B2696" s="46" t="s">
        <v>1178</v>
      </c>
      <c r="C2696" s="46">
        <v>81844</v>
      </c>
      <c r="D2696" s="46" t="s">
        <v>454</v>
      </c>
      <c r="E2696" s="46" t="s">
        <v>4778</v>
      </c>
      <c r="F2696" s="46" t="s">
        <v>26</v>
      </c>
      <c r="G2696" s="47">
        <v>48.23</v>
      </c>
      <c r="H2696" s="48">
        <v>144.34</v>
      </c>
      <c r="I2696" s="48">
        <v>144.34</v>
      </c>
      <c r="J2696" s="49">
        <v>1</v>
      </c>
      <c r="K2696" s="49">
        <v>0</v>
      </c>
      <c r="L2696" s="49">
        <v>1</v>
      </c>
    </row>
    <row r="2697" spans="1:12" x14ac:dyDescent="0.25">
      <c r="A2697" s="45">
        <f>C2697&amp;"."&amp;IFERROR(MID(E2697,FIND("(",E2697)+1,FIND(")",E2697)-FIND("(",E2697)-1),"")</f>
      </c>
      <c r="B2697" s="46" t="s">
        <v>1178</v>
      </c>
      <c r="C2697" s="46">
        <v>81874</v>
      </c>
      <c r="D2697" s="46" t="s">
        <v>4779</v>
      </c>
      <c r="E2697" s="46" t="s">
        <v>1248</v>
      </c>
      <c r="F2697" s="46" t="s">
        <v>24</v>
      </c>
      <c r="G2697" s="47">
        <v>0</v>
      </c>
      <c r="H2697" s="48">
        <v>4.39</v>
      </c>
      <c r="I2697" s="48">
        <v>61.46</v>
      </c>
      <c r="J2697" s="49">
        <v>14</v>
      </c>
      <c r="K2697" s="49">
        <v>0</v>
      </c>
      <c r="L2697" s="49">
        <v>14</v>
      </c>
    </row>
    <row r="2698" spans="1:12" x14ac:dyDescent="0.25">
      <c r="A2698" s="45">
        <f>C2698&amp;"."&amp;IFERROR(MID(E2698,FIND("(",E2698)+1,FIND(")",E2698)-FIND("(",E2698)-1),"")</f>
      </c>
      <c r="B2698" s="46" t="s">
        <v>1178</v>
      </c>
      <c r="C2698" s="46">
        <v>81901</v>
      </c>
      <c r="D2698" s="46" t="s">
        <v>4780</v>
      </c>
      <c r="E2698" s="46" t="s">
        <v>4781</v>
      </c>
      <c r="F2698" s="46" t="s">
        <v>24</v>
      </c>
      <c r="G2698" s="47">
        <v>0.34</v>
      </c>
      <c r="H2698" s="48">
        <v>1.09</v>
      </c>
      <c r="I2698" s="48">
        <v>1.09</v>
      </c>
      <c r="J2698" s="49">
        <v>1</v>
      </c>
      <c r="K2698" s="49">
        <v>0</v>
      </c>
      <c r="L2698" s="49">
        <v>1</v>
      </c>
    </row>
    <row r="2699" spans="1:12" x14ac:dyDescent="0.25">
      <c r="A2699" s="45">
        <f>C2699&amp;"."&amp;IFERROR(MID(E2699,FIND("(",E2699)+1,FIND(")",E2699)-FIND("(",E2699)-1),"")</f>
      </c>
      <c r="B2699" s="46" t="s">
        <v>1178</v>
      </c>
      <c r="C2699" s="46">
        <v>81901</v>
      </c>
      <c r="D2699" s="46" t="s">
        <v>4780</v>
      </c>
      <c r="E2699" s="46" t="s">
        <v>4782</v>
      </c>
      <c r="F2699" s="46" t="s">
        <v>24</v>
      </c>
      <c r="G2699" s="47">
        <v>0.34</v>
      </c>
      <c r="H2699" s="48">
        <v>1.09</v>
      </c>
      <c r="I2699" s="48">
        <v>2.18</v>
      </c>
      <c r="J2699" s="49">
        <v>2</v>
      </c>
      <c r="K2699" s="49">
        <v>0</v>
      </c>
      <c r="L2699" s="49">
        <v>2</v>
      </c>
    </row>
    <row r="2700" spans="1:12" x14ac:dyDescent="0.25">
      <c r="A2700" s="45">
        <f>C2700&amp;"."&amp;IFERROR(MID(E2700,FIND("(",E2700)+1,FIND(")",E2700)-FIND("(",E2700)-1),"")</f>
      </c>
      <c r="B2700" s="46" t="s">
        <v>1178</v>
      </c>
      <c r="C2700" s="46">
        <v>81901</v>
      </c>
      <c r="D2700" s="46" t="s">
        <v>4780</v>
      </c>
      <c r="E2700" s="46" t="s">
        <v>4783</v>
      </c>
      <c r="F2700" s="46" t="s">
        <v>24</v>
      </c>
      <c r="G2700" s="47">
        <v>0.34</v>
      </c>
      <c r="H2700" s="48">
        <v>1.09</v>
      </c>
      <c r="I2700" s="48">
        <v>2.18</v>
      </c>
      <c r="J2700" s="49">
        <v>2</v>
      </c>
      <c r="K2700" s="49">
        <v>0</v>
      </c>
      <c r="L2700" s="49">
        <v>2</v>
      </c>
    </row>
    <row r="2701" spans="1:12" x14ac:dyDescent="0.25">
      <c r="A2701" s="45">
        <f>C2701&amp;"."&amp;IFERROR(MID(E2701,FIND("(",E2701)+1,FIND(")",E2701)-FIND("(",E2701)-1),"")</f>
      </c>
      <c r="B2701" s="46" t="s">
        <v>1178</v>
      </c>
      <c r="C2701" s="46">
        <v>81902</v>
      </c>
      <c r="D2701" s="46" t="s">
        <v>4784</v>
      </c>
      <c r="E2701" s="46" t="s">
        <v>4785</v>
      </c>
      <c r="F2701" s="46" t="s">
        <v>24</v>
      </c>
      <c r="G2701" s="47">
        <v>0.34</v>
      </c>
      <c r="H2701" s="48">
        <v>1.09</v>
      </c>
      <c r="I2701" s="48">
        <v>2.18</v>
      </c>
      <c r="J2701" s="49">
        <v>2</v>
      </c>
      <c r="K2701" s="49">
        <v>0</v>
      </c>
      <c r="L2701" s="49">
        <v>2</v>
      </c>
    </row>
    <row r="2702" spans="1:12" x14ac:dyDescent="0.25">
      <c r="A2702" s="45">
        <f>C2702&amp;"."&amp;IFERROR(MID(E2702,FIND("(",E2702)+1,FIND(")",E2702)-FIND("(",E2702)-1),"")</f>
      </c>
      <c r="B2702" s="46" t="s">
        <v>1178</v>
      </c>
      <c r="C2702" s="46">
        <v>81902</v>
      </c>
      <c r="D2702" s="46" t="s">
        <v>4784</v>
      </c>
      <c r="E2702" s="46" t="s">
        <v>4786</v>
      </c>
      <c r="F2702" s="46" t="s">
        <v>24</v>
      </c>
      <c r="G2702" s="47">
        <v>0.34</v>
      </c>
      <c r="H2702" s="48">
        <v>1.09</v>
      </c>
      <c r="I2702" s="48">
        <v>1.09</v>
      </c>
      <c r="J2702" s="49">
        <v>1</v>
      </c>
      <c r="K2702" s="49">
        <v>0</v>
      </c>
      <c r="L2702" s="49">
        <v>1</v>
      </c>
    </row>
    <row r="2703" spans="1:12" x14ac:dyDescent="0.25">
      <c r="A2703" s="45">
        <f>C2703&amp;"."&amp;IFERROR(MID(E2703,FIND("(",E2703)+1,FIND(")",E2703)-FIND("(",E2703)-1),"")</f>
      </c>
      <c r="B2703" s="46" t="s">
        <v>1178</v>
      </c>
      <c r="C2703" s="46">
        <v>81902</v>
      </c>
      <c r="D2703" s="46" t="s">
        <v>4784</v>
      </c>
      <c r="E2703" s="46" t="s">
        <v>4787</v>
      </c>
      <c r="F2703" s="46" t="s">
        <v>24</v>
      </c>
      <c r="G2703" s="47">
        <v>0.34</v>
      </c>
      <c r="H2703" s="48">
        <v>1.09</v>
      </c>
      <c r="I2703" s="48">
        <v>1.09</v>
      </c>
      <c r="J2703" s="49">
        <v>1</v>
      </c>
      <c r="K2703" s="49">
        <v>0</v>
      </c>
      <c r="L2703" s="49">
        <v>1</v>
      </c>
    </row>
    <row r="2704" spans="1:12" x14ac:dyDescent="0.25">
      <c r="A2704" s="45">
        <f>C2704&amp;"."&amp;IFERROR(MID(E2704,FIND("(",E2704)+1,FIND(")",E2704)-FIND("(",E2704)-1),"")</f>
      </c>
      <c r="B2704" s="46" t="s">
        <v>1178</v>
      </c>
      <c r="C2704" s="46">
        <v>81935</v>
      </c>
      <c r="D2704" s="46" t="s">
        <v>219</v>
      </c>
      <c r="E2704" s="46" t="s">
        <v>4788</v>
      </c>
      <c r="F2704" s="46" t="s">
        <v>24</v>
      </c>
      <c r="G2704" s="47">
        <v>37.5</v>
      </c>
      <c r="H2704" s="48">
        <v>155.782</v>
      </c>
      <c r="I2704" s="48">
        <v>26794.466</v>
      </c>
      <c r="J2704" s="49">
        <v>172</v>
      </c>
      <c r="K2704" s="49">
        <v>172</v>
      </c>
      <c r="L2704" s="49">
        <v>0</v>
      </c>
    </row>
    <row r="2705" spans="1:12" x14ac:dyDescent="0.25">
      <c r="A2705" s="45">
        <f>C2705&amp;"."&amp;IFERROR(MID(E2705,FIND("(",E2705)+1,FIND(")",E2705)-FIND("(",E2705)-1),"")</f>
      </c>
      <c r="B2705" s="46" t="s">
        <v>1178</v>
      </c>
      <c r="C2705" s="46">
        <v>81935</v>
      </c>
      <c r="D2705" s="46" t="s">
        <v>219</v>
      </c>
      <c r="E2705" s="46" t="s">
        <v>4789</v>
      </c>
      <c r="F2705" s="46" t="s">
        <v>24</v>
      </c>
      <c r="G2705" s="47">
        <v>37.5</v>
      </c>
      <c r="H2705" s="48">
        <v>157.604</v>
      </c>
      <c r="I2705" s="48">
        <v>99290.579</v>
      </c>
      <c r="J2705" s="49">
        <v>630</v>
      </c>
      <c r="K2705" s="49">
        <v>630</v>
      </c>
      <c r="L2705" s="49">
        <v>0</v>
      </c>
    </row>
    <row r="2706" spans="1:12" x14ac:dyDescent="0.25">
      <c r="A2706" s="45">
        <f>C2706&amp;"."&amp;IFERROR(MID(E2706,FIND("(",E2706)+1,FIND(")",E2706)-FIND("(",E2706)-1),"")</f>
      </c>
      <c r="B2706" s="46" t="s">
        <v>1178</v>
      </c>
      <c r="C2706" s="46">
        <v>81935</v>
      </c>
      <c r="D2706" s="46" t="s">
        <v>219</v>
      </c>
      <c r="E2706" s="46" t="s">
        <v>4790</v>
      </c>
      <c r="F2706" s="46" t="s">
        <v>24</v>
      </c>
      <c r="G2706" s="47">
        <v>37.5</v>
      </c>
      <c r="H2706" s="48">
        <v>171.842</v>
      </c>
      <c r="I2706" s="48">
        <v>515.527</v>
      </c>
      <c r="J2706" s="49">
        <v>3</v>
      </c>
      <c r="K2706" s="49">
        <v>0</v>
      </c>
      <c r="L2706" s="49">
        <v>3</v>
      </c>
    </row>
    <row r="2707" spans="1:12" x14ac:dyDescent="0.25">
      <c r="A2707" s="45">
        <f>C2707&amp;"."&amp;IFERROR(MID(E2707,FIND("(",E2707)+1,FIND(")",E2707)-FIND("(",E2707)-1),"")</f>
      </c>
      <c r="B2707" s="46" t="s">
        <v>1178</v>
      </c>
      <c r="C2707" s="46">
        <v>81935</v>
      </c>
      <c r="D2707" s="46" t="s">
        <v>219</v>
      </c>
      <c r="E2707" s="46" t="s">
        <v>4791</v>
      </c>
      <c r="F2707" s="46" t="s">
        <v>24</v>
      </c>
      <c r="G2707" s="47">
        <v>37.5</v>
      </c>
      <c r="H2707" s="48">
        <v>161.371</v>
      </c>
      <c r="I2707" s="48">
        <v>10166.386</v>
      </c>
      <c r="J2707" s="49">
        <v>63</v>
      </c>
      <c r="K2707" s="49">
        <v>22</v>
      </c>
      <c r="L2707" s="49">
        <v>41</v>
      </c>
    </row>
    <row r="2708" spans="1:12" x14ac:dyDescent="0.25">
      <c r="A2708" s="45">
        <f>C2708&amp;"."&amp;IFERROR(MID(E2708,FIND("(",E2708)+1,FIND(")",E2708)-FIND("(",E2708)-1),"")</f>
      </c>
      <c r="B2708" s="46" t="s">
        <v>1178</v>
      </c>
      <c r="C2708" s="46">
        <v>81935</v>
      </c>
      <c r="D2708" s="46" t="s">
        <v>219</v>
      </c>
      <c r="E2708" s="46" t="s">
        <v>4792</v>
      </c>
      <c r="F2708" s="46" t="s">
        <v>24</v>
      </c>
      <c r="G2708" s="47">
        <v>37.5</v>
      </c>
      <c r="H2708" s="48">
        <v>154.503</v>
      </c>
      <c r="I2708" s="48">
        <v>45423.737</v>
      </c>
      <c r="J2708" s="49">
        <v>294</v>
      </c>
      <c r="K2708" s="49">
        <v>294</v>
      </c>
      <c r="L2708" s="49">
        <v>0</v>
      </c>
    </row>
    <row r="2709" spans="1:12" x14ac:dyDescent="0.25">
      <c r="A2709" s="45">
        <f>C2709&amp;"."&amp;IFERROR(MID(E2709,FIND("(",E2709)+1,FIND(")",E2709)-FIND("(",E2709)-1),"")</f>
      </c>
      <c r="B2709" s="46" t="s">
        <v>1178</v>
      </c>
      <c r="C2709" s="46">
        <v>81938</v>
      </c>
      <c r="D2709" s="46" t="s">
        <v>362</v>
      </c>
      <c r="E2709" s="46" t="s">
        <v>4793</v>
      </c>
      <c r="F2709" s="46" t="s">
        <v>24</v>
      </c>
      <c r="G2709" s="47">
        <v>39.5</v>
      </c>
      <c r="H2709" s="48">
        <v>179.235</v>
      </c>
      <c r="I2709" s="48">
        <v>52695.219</v>
      </c>
      <c r="J2709" s="49">
        <v>294</v>
      </c>
      <c r="K2709" s="49">
        <v>294</v>
      </c>
      <c r="L2709" s="49">
        <v>0</v>
      </c>
    </row>
    <row r="2710" spans="1:12" x14ac:dyDescent="0.25">
      <c r="A2710" s="45">
        <f>C2710&amp;"."&amp;IFERROR(MID(E2710,FIND("(",E2710)+1,FIND(")",E2710)-FIND("(",E2710)-1),"")</f>
      </c>
      <c r="B2710" s="46" t="s">
        <v>1178</v>
      </c>
      <c r="C2710" s="46">
        <v>81938</v>
      </c>
      <c r="D2710" s="46" t="s">
        <v>362</v>
      </c>
      <c r="E2710" s="46" t="s">
        <v>4794</v>
      </c>
      <c r="F2710" s="46" t="s">
        <v>24</v>
      </c>
      <c r="G2710" s="47">
        <v>39.5</v>
      </c>
      <c r="H2710" s="48">
        <v>208.039</v>
      </c>
      <c r="I2710" s="48">
        <v>129608.526</v>
      </c>
      <c r="J2710" s="49">
        <v>623</v>
      </c>
      <c r="K2710" s="49">
        <v>623</v>
      </c>
      <c r="L2710" s="49">
        <v>0</v>
      </c>
    </row>
    <row r="2711" spans="1:12" x14ac:dyDescent="0.25">
      <c r="A2711" s="45">
        <f>C2711&amp;"."&amp;IFERROR(MID(E2711,FIND("(",E2711)+1,FIND(")",E2711)-FIND("(",E2711)-1),"")</f>
      </c>
      <c r="B2711" s="46" t="s">
        <v>1178</v>
      </c>
      <c r="C2711" s="46">
        <v>81938</v>
      </c>
      <c r="D2711" s="46" t="s">
        <v>362</v>
      </c>
      <c r="E2711" s="46" t="s">
        <v>4795</v>
      </c>
      <c r="F2711" s="46" t="s">
        <v>24</v>
      </c>
      <c r="G2711" s="47">
        <v>39.5</v>
      </c>
      <c r="H2711" s="48">
        <v>169.476</v>
      </c>
      <c r="I2711" s="48">
        <v>3728.476</v>
      </c>
      <c r="J2711" s="49">
        <v>22</v>
      </c>
      <c r="K2711" s="49">
        <v>22</v>
      </c>
      <c r="L2711" s="49">
        <v>0</v>
      </c>
    </row>
    <row r="2712" spans="1:12" x14ac:dyDescent="0.25">
      <c r="A2712" s="45">
        <f>C2712&amp;"."&amp;IFERROR(MID(E2712,FIND("(",E2712)+1,FIND(")",E2712)-FIND("(",E2712)-1),"")</f>
      </c>
      <c r="B2712" s="46" t="s">
        <v>1178</v>
      </c>
      <c r="C2712" s="46">
        <v>81938</v>
      </c>
      <c r="D2712" s="46" t="s">
        <v>362</v>
      </c>
      <c r="E2712" s="46" t="s">
        <v>4796</v>
      </c>
      <c r="F2712" s="46" t="s">
        <v>24</v>
      </c>
      <c r="G2712" s="47">
        <v>39.5</v>
      </c>
      <c r="H2712" s="48">
        <v>210.848</v>
      </c>
      <c r="I2712" s="48">
        <v>33524.884</v>
      </c>
      <c r="J2712" s="49">
        <v>159</v>
      </c>
      <c r="K2712" s="49">
        <v>159</v>
      </c>
      <c r="L2712" s="49">
        <v>0</v>
      </c>
    </row>
    <row r="2713" spans="1:12" x14ac:dyDescent="0.25">
      <c r="A2713" s="45">
        <f>C2713&amp;"."&amp;IFERROR(MID(E2713,FIND("(",E2713)+1,FIND(")",E2713)-FIND("(",E2713)-1),"")</f>
      </c>
      <c r="B2713" s="46" t="s">
        <v>1178</v>
      </c>
      <c r="C2713" s="46">
        <v>81941</v>
      </c>
      <c r="D2713" s="46" t="s">
        <v>271</v>
      </c>
      <c r="E2713" s="46" t="s">
        <v>4797</v>
      </c>
      <c r="F2713" s="46" t="s">
        <v>24</v>
      </c>
      <c r="G2713" s="47">
        <v>46</v>
      </c>
      <c r="H2713" s="48">
        <v>181.945</v>
      </c>
      <c r="I2713" s="48">
        <v>181.945</v>
      </c>
      <c r="J2713" s="49">
        <v>1</v>
      </c>
      <c r="K2713" s="49">
        <v>0</v>
      </c>
      <c r="L2713" s="49">
        <v>1</v>
      </c>
    </row>
    <row r="2714" spans="1:12" x14ac:dyDescent="0.25">
      <c r="A2714" s="45">
        <f>C2714&amp;"."&amp;IFERROR(MID(E2714,FIND("(",E2714)+1,FIND(")",E2714)-FIND("(",E2714)-1),"")</f>
      </c>
      <c r="B2714" s="46" t="s">
        <v>1178</v>
      </c>
      <c r="C2714" s="46">
        <v>81987</v>
      </c>
      <c r="D2714" s="46" t="s">
        <v>4798</v>
      </c>
      <c r="E2714" s="46" t="s">
        <v>4799</v>
      </c>
      <c r="F2714" s="46" t="s">
        <v>24</v>
      </c>
      <c r="G2714" s="47">
        <v>0.2</v>
      </c>
      <c r="H2714" s="48">
        <v>1.924</v>
      </c>
      <c r="I2714" s="48">
        <v>1.924</v>
      </c>
      <c r="J2714" s="49">
        <v>1</v>
      </c>
      <c r="K2714" s="49">
        <v>0</v>
      </c>
      <c r="L2714" s="49">
        <v>1</v>
      </c>
    </row>
    <row r="2715" spans="1:12" x14ac:dyDescent="0.25">
      <c r="A2715" s="45">
        <f>C2715&amp;"."&amp;IFERROR(MID(E2715,FIND("(",E2715)+1,FIND(")",E2715)-FIND("(",E2715)-1),"")</f>
      </c>
      <c r="B2715" s="46" t="s">
        <v>1178</v>
      </c>
      <c r="C2715" s="46">
        <v>81992</v>
      </c>
      <c r="D2715" s="46" t="s">
        <v>4800</v>
      </c>
      <c r="E2715" s="46" t="s">
        <v>4801</v>
      </c>
      <c r="F2715" s="46" t="s">
        <v>24</v>
      </c>
      <c r="G2715" s="47">
        <v>0.96</v>
      </c>
      <c r="H2715" s="48">
        <v>3.18</v>
      </c>
      <c r="I2715" s="48">
        <v>3.18</v>
      </c>
      <c r="J2715" s="49">
        <v>1</v>
      </c>
      <c r="K2715" s="49">
        <v>0</v>
      </c>
      <c r="L2715" s="49">
        <v>1</v>
      </c>
    </row>
    <row r="2716" spans="1:12" x14ac:dyDescent="0.25">
      <c r="A2716" s="45">
        <f>C2716&amp;"."&amp;IFERROR(MID(E2716,FIND("(",E2716)+1,FIND(")",E2716)-FIND("(",E2716)-1),"")</f>
      </c>
      <c r="B2716" s="46" t="s">
        <v>1178</v>
      </c>
      <c r="C2716" s="46">
        <v>81992</v>
      </c>
      <c r="D2716" s="46" t="s">
        <v>4800</v>
      </c>
      <c r="E2716" s="46" t="s">
        <v>4802</v>
      </c>
      <c r="F2716" s="46" t="s">
        <v>24</v>
      </c>
      <c r="G2716" s="47">
        <v>0.96</v>
      </c>
      <c r="H2716" s="48">
        <v>2.719</v>
      </c>
      <c r="I2716" s="48">
        <v>57.107</v>
      </c>
      <c r="J2716" s="49">
        <v>21</v>
      </c>
      <c r="K2716" s="49">
        <v>14</v>
      </c>
      <c r="L2716" s="49">
        <v>7</v>
      </c>
    </row>
    <row r="2717" spans="1:12" x14ac:dyDescent="0.25">
      <c r="A2717" s="45">
        <f>C2717&amp;"."&amp;IFERROR(MID(E2717,FIND("(",E2717)+1,FIND(")",E2717)-FIND("(",E2717)-1),"")</f>
      </c>
      <c r="B2717" s="46" t="s">
        <v>1178</v>
      </c>
      <c r="C2717" s="46">
        <v>81992</v>
      </c>
      <c r="D2717" s="46" t="s">
        <v>4800</v>
      </c>
      <c r="E2717" s="46" t="s">
        <v>4803</v>
      </c>
      <c r="F2717" s="46" t="s">
        <v>24</v>
      </c>
      <c r="G2717" s="47">
        <v>0.96</v>
      </c>
      <c r="H2717" s="48">
        <v>2.817</v>
      </c>
      <c r="I2717" s="48">
        <v>25.355</v>
      </c>
      <c r="J2717" s="49">
        <v>9</v>
      </c>
      <c r="K2717" s="49">
        <v>4</v>
      </c>
      <c r="L2717" s="49">
        <v>5</v>
      </c>
    </row>
    <row r="2718" spans="1:12" x14ac:dyDescent="0.25">
      <c r="A2718" s="45">
        <f>C2718&amp;"."&amp;IFERROR(MID(E2718,FIND("(",E2718)+1,FIND(")",E2718)-FIND("(",E2718)-1),"")</f>
      </c>
      <c r="B2718" s="46" t="s">
        <v>1178</v>
      </c>
      <c r="C2718" s="46">
        <v>81993</v>
      </c>
      <c r="D2718" s="46" t="s">
        <v>4804</v>
      </c>
      <c r="E2718" s="46" t="s">
        <v>4805</v>
      </c>
      <c r="F2718" s="46" t="s">
        <v>24</v>
      </c>
      <c r="G2718" s="47">
        <v>0.64</v>
      </c>
      <c r="H2718" s="48">
        <v>2.305</v>
      </c>
      <c r="I2718" s="48">
        <v>18.444</v>
      </c>
      <c r="J2718" s="49">
        <v>8</v>
      </c>
      <c r="K2718" s="49">
        <v>0</v>
      </c>
      <c r="L2718" s="49">
        <v>8</v>
      </c>
    </row>
    <row r="2719" spans="1:12" x14ac:dyDescent="0.25">
      <c r="A2719" s="45">
        <f>C2719&amp;"."&amp;IFERROR(MID(E2719,FIND("(",E2719)+1,FIND(")",E2719)-FIND("(",E2719)-1),"")</f>
      </c>
      <c r="B2719" s="46" t="s">
        <v>1178</v>
      </c>
      <c r="C2719" s="46">
        <v>81993</v>
      </c>
      <c r="D2719" s="46" t="s">
        <v>4804</v>
      </c>
      <c r="E2719" s="46" t="s">
        <v>4806</v>
      </c>
      <c r="F2719" s="46" t="s">
        <v>24</v>
      </c>
      <c r="G2719" s="47">
        <v>0.64</v>
      </c>
      <c r="H2719" s="48">
        <v>2.461</v>
      </c>
      <c r="I2719" s="48">
        <v>29.534</v>
      </c>
      <c r="J2719" s="49">
        <v>12</v>
      </c>
      <c r="K2719" s="49">
        <v>0</v>
      </c>
      <c r="L2719" s="49">
        <v>12</v>
      </c>
    </row>
    <row r="2720" spans="1:12" x14ac:dyDescent="0.25">
      <c r="A2720" s="45">
        <f>C2720&amp;"."&amp;IFERROR(MID(E2720,FIND("(",E2720)+1,FIND(")",E2720)-FIND("(",E2720)-1),"")</f>
      </c>
      <c r="B2720" s="46" t="s">
        <v>1178</v>
      </c>
      <c r="C2720" s="46">
        <v>81993</v>
      </c>
      <c r="D2720" s="46" t="s">
        <v>4804</v>
      </c>
      <c r="E2720" s="46" t="s">
        <v>4807</v>
      </c>
      <c r="F2720" s="46" t="s">
        <v>24</v>
      </c>
      <c r="G2720" s="47">
        <v>0.64</v>
      </c>
      <c r="H2720" s="48">
        <v>2.115</v>
      </c>
      <c r="I2720" s="48">
        <v>46.541</v>
      </c>
      <c r="J2720" s="49">
        <v>22</v>
      </c>
      <c r="K2720" s="49">
        <v>12</v>
      </c>
      <c r="L2720" s="49">
        <v>10</v>
      </c>
    </row>
    <row r="2721" spans="1:12" x14ac:dyDescent="0.25">
      <c r="A2721" s="45">
        <f>C2721&amp;"."&amp;IFERROR(MID(E2721,FIND("(",E2721)+1,FIND(")",E2721)-FIND("(",E2721)-1),"")</f>
      </c>
      <c r="B2721" s="46" t="s">
        <v>1178</v>
      </c>
      <c r="C2721" s="46">
        <v>81994</v>
      </c>
      <c r="D2721" s="46" t="s">
        <v>4808</v>
      </c>
      <c r="E2721" s="46" t="s">
        <v>4809</v>
      </c>
      <c r="F2721" s="46" t="s">
        <v>24</v>
      </c>
      <c r="G2721" s="47">
        <v>0.33</v>
      </c>
      <c r="H2721" s="48">
        <v>1.47</v>
      </c>
      <c r="I2721" s="48">
        <v>16.167</v>
      </c>
      <c r="J2721" s="49">
        <v>11</v>
      </c>
      <c r="K2721" s="49">
        <v>0</v>
      </c>
      <c r="L2721" s="49">
        <v>11</v>
      </c>
    </row>
    <row r="2722" spans="1:12" x14ac:dyDescent="0.25">
      <c r="A2722" s="45">
        <f>C2722&amp;"."&amp;IFERROR(MID(E2722,FIND("(",E2722)+1,FIND(")",E2722)-FIND("(",E2722)-1),"")</f>
      </c>
      <c r="B2722" s="46" t="s">
        <v>1178</v>
      </c>
      <c r="C2722" s="46">
        <v>81994</v>
      </c>
      <c r="D2722" s="46" t="s">
        <v>4808</v>
      </c>
      <c r="E2722" s="46" t="s">
        <v>4810</v>
      </c>
      <c r="F2722" s="46" t="s">
        <v>24</v>
      </c>
      <c r="G2722" s="47">
        <v>0.33</v>
      </c>
      <c r="H2722" s="48">
        <v>1.03</v>
      </c>
      <c r="I2722" s="48">
        <v>5.152</v>
      </c>
      <c r="J2722" s="49">
        <v>5</v>
      </c>
      <c r="K2722" s="49">
        <v>2</v>
      </c>
      <c r="L2722" s="49">
        <v>3</v>
      </c>
    </row>
    <row r="2723" spans="1:12" x14ac:dyDescent="0.25">
      <c r="A2723" s="45">
        <f>C2723&amp;"."&amp;IFERROR(MID(E2723,FIND("(",E2723)+1,FIND(")",E2723)-FIND("(",E2723)-1),"")</f>
      </c>
      <c r="B2723" s="46" t="s">
        <v>1178</v>
      </c>
      <c r="C2723" s="46">
        <v>81994</v>
      </c>
      <c r="D2723" s="46" t="s">
        <v>4808</v>
      </c>
      <c r="E2723" s="46" t="s">
        <v>4811</v>
      </c>
      <c r="F2723" s="46" t="s">
        <v>24</v>
      </c>
      <c r="G2723" s="47">
        <v>0.33</v>
      </c>
      <c r="H2723" s="48">
        <v>1.04</v>
      </c>
      <c r="I2723" s="48">
        <v>4.16</v>
      </c>
      <c r="J2723" s="49">
        <v>4</v>
      </c>
      <c r="K2723" s="49">
        <v>0</v>
      </c>
      <c r="L2723" s="49">
        <v>4</v>
      </c>
    </row>
    <row r="2724" spans="1:12" x14ac:dyDescent="0.25">
      <c r="A2724" s="45">
        <f>C2724&amp;"."&amp;IFERROR(MID(E2724,FIND("(",E2724)+1,FIND(")",E2724)-FIND("(",E2724)-1),"")</f>
      </c>
      <c r="B2724" s="46" t="s">
        <v>1178</v>
      </c>
      <c r="C2724" s="46">
        <v>81995</v>
      </c>
      <c r="D2724" s="46" t="s">
        <v>4812</v>
      </c>
      <c r="E2724" s="46" t="s">
        <v>1248</v>
      </c>
      <c r="F2724" s="46" t="s">
        <v>24</v>
      </c>
      <c r="G2724" s="47">
        <v>0.43</v>
      </c>
      <c r="H2724" s="48">
        <v>0.603</v>
      </c>
      <c r="I2724" s="48">
        <v>4.218</v>
      </c>
      <c r="J2724" s="49">
        <v>7</v>
      </c>
      <c r="K2724" s="49">
        <v>0</v>
      </c>
      <c r="L2724" s="49">
        <v>7</v>
      </c>
    </row>
    <row r="2725" spans="1:12" x14ac:dyDescent="0.25">
      <c r="A2725" s="45">
        <f>C2725&amp;"."&amp;IFERROR(MID(E2725,FIND("(",E2725)+1,FIND(")",E2725)-FIND("(",E2725)-1),"")</f>
      </c>
      <c r="B2725" s="46" t="s">
        <v>1178</v>
      </c>
      <c r="C2725" s="46">
        <v>81997</v>
      </c>
      <c r="D2725" s="46" t="s">
        <v>4813</v>
      </c>
      <c r="E2725" s="46" t="s">
        <v>4814</v>
      </c>
      <c r="F2725" s="46" t="s">
        <v>24</v>
      </c>
      <c r="G2725" s="47">
        <v>1.34</v>
      </c>
      <c r="H2725" s="48">
        <v>3.533</v>
      </c>
      <c r="I2725" s="48">
        <v>10.6</v>
      </c>
      <c r="J2725" s="49">
        <v>3</v>
      </c>
      <c r="K2725" s="49">
        <v>0</v>
      </c>
      <c r="L2725" s="49">
        <v>3</v>
      </c>
    </row>
    <row r="2726" spans="1:12" x14ac:dyDescent="0.25">
      <c r="A2726" s="45">
        <f>C2726&amp;"."&amp;IFERROR(MID(E2726,FIND("(",E2726)+1,FIND(")",E2726)-FIND("(",E2726)-1),"")</f>
      </c>
      <c r="B2726" s="46" t="s">
        <v>1178</v>
      </c>
      <c r="C2726" s="46">
        <v>81997</v>
      </c>
      <c r="D2726" s="46" t="s">
        <v>4813</v>
      </c>
      <c r="E2726" s="46" t="s">
        <v>4815</v>
      </c>
      <c r="F2726" s="46" t="s">
        <v>24</v>
      </c>
      <c r="G2726" s="47">
        <v>1.34</v>
      </c>
      <c r="H2726" s="48">
        <v>4.057</v>
      </c>
      <c r="I2726" s="48">
        <v>97.366</v>
      </c>
      <c r="J2726" s="49">
        <v>24</v>
      </c>
      <c r="K2726" s="49">
        <v>14</v>
      </c>
      <c r="L2726" s="49">
        <v>10</v>
      </c>
    </row>
    <row r="2727" spans="1:12" x14ac:dyDescent="0.25">
      <c r="A2727" s="45">
        <f>C2727&amp;"."&amp;IFERROR(MID(E2727,FIND("(",E2727)+1,FIND(")",E2727)-FIND("(",E2727)-1),"")</f>
      </c>
      <c r="B2727" s="46" t="s">
        <v>1178</v>
      </c>
      <c r="C2727" s="46">
        <v>81997</v>
      </c>
      <c r="D2727" s="46" t="s">
        <v>4813</v>
      </c>
      <c r="E2727" s="46" t="s">
        <v>4816</v>
      </c>
      <c r="F2727" s="46" t="s">
        <v>24</v>
      </c>
      <c r="G2727" s="47">
        <v>1.34</v>
      </c>
      <c r="H2727" s="48">
        <v>3.861</v>
      </c>
      <c r="I2727" s="48">
        <v>34.751</v>
      </c>
      <c r="J2727" s="49">
        <v>9</v>
      </c>
      <c r="K2727" s="49">
        <v>0</v>
      </c>
      <c r="L2727" s="49">
        <v>9</v>
      </c>
    </row>
    <row r="2728" spans="1:12" x14ac:dyDescent="0.25">
      <c r="A2728" s="45">
        <f>C2728&amp;"."&amp;IFERROR(MID(E2728,FIND("(",E2728)+1,FIND(")",E2728)-FIND("(",E2728)-1),"")</f>
      </c>
      <c r="B2728" s="46" t="s">
        <v>1178</v>
      </c>
      <c r="C2728" s="46">
        <v>81998</v>
      </c>
      <c r="D2728" s="46" t="s">
        <v>4817</v>
      </c>
      <c r="E2728" s="46" t="s">
        <v>1248</v>
      </c>
      <c r="F2728" s="46" t="s">
        <v>24</v>
      </c>
      <c r="G2728" s="47">
        <v>1.48</v>
      </c>
      <c r="H2728" s="48">
        <v>3.416</v>
      </c>
      <c r="I2728" s="48">
        <v>27.326</v>
      </c>
      <c r="J2728" s="49">
        <v>8</v>
      </c>
      <c r="K2728" s="49">
        <v>1</v>
      </c>
      <c r="L2728" s="49">
        <v>7</v>
      </c>
    </row>
    <row r="2729" spans="1:12" x14ac:dyDescent="0.25">
      <c r="A2729" s="45">
        <f>C2729&amp;"."&amp;IFERROR(MID(E2729,FIND("(",E2729)+1,FIND(")",E2729)-FIND("(",E2729)-1),"")</f>
      </c>
      <c r="B2729" s="46" t="s">
        <v>1178</v>
      </c>
      <c r="C2729" s="46">
        <v>82000</v>
      </c>
      <c r="D2729" s="46" t="s">
        <v>4818</v>
      </c>
      <c r="E2729" s="46" t="s">
        <v>4819</v>
      </c>
      <c r="F2729" s="46" t="s">
        <v>24</v>
      </c>
      <c r="G2729" s="47">
        <v>11.77</v>
      </c>
      <c r="H2729" s="48">
        <v>33.414</v>
      </c>
      <c r="I2729" s="48">
        <v>233.897</v>
      </c>
      <c r="J2729" s="49">
        <v>7</v>
      </c>
      <c r="K2729" s="49">
        <v>0</v>
      </c>
      <c r="L2729" s="49">
        <v>7</v>
      </c>
    </row>
    <row r="2730" spans="1:12" x14ac:dyDescent="0.25">
      <c r="A2730" s="45">
        <f>C2730&amp;"."&amp;IFERROR(MID(E2730,FIND("(",E2730)+1,FIND(")",E2730)-FIND("(",E2730)-1),"")</f>
      </c>
      <c r="B2730" s="46" t="s">
        <v>1178</v>
      </c>
      <c r="C2730" s="46">
        <v>82000</v>
      </c>
      <c r="D2730" s="46" t="s">
        <v>4818</v>
      </c>
      <c r="E2730" s="46" t="s">
        <v>4820</v>
      </c>
      <c r="F2730" s="46" t="s">
        <v>24</v>
      </c>
      <c r="G2730" s="47">
        <v>11.77</v>
      </c>
      <c r="H2730" s="48">
        <v>29.639</v>
      </c>
      <c r="I2730" s="48">
        <v>1244.839</v>
      </c>
      <c r="J2730" s="49">
        <v>42</v>
      </c>
      <c r="K2730" s="49">
        <v>4</v>
      </c>
      <c r="L2730" s="49">
        <v>38</v>
      </c>
    </row>
    <row r="2731" spans="1:12" x14ac:dyDescent="0.25">
      <c r="A2731" s="45">
        <f>C2731&amp;"."&amp;IFERROR(MID(E2731,FIND("(",E2731)+1,FIND(")",E2731)-FIND("(",E2731)-1),"")</f>
      </c>
      <c r="B2731" s="46" t="s">
        <v>1178</v>
      </c>
      <c r="C2731" s="46">
        <v>82000</v>
      </c>
      <c r="D2731" s="46" t="s">
        <v>4818</v>
      </c>
      <c r="E2731" s="46" t="s">
        <v>4821</v>
      </c>
      <c r="F2731" s="46" t="s">
        <v>24</v>
      </c>
      <c r="G2731" s="47">
        <v>11.77</v>
      </c>
      <c r="H2731" s="48">
        <v>32.58</v>
      </c>
      <c r="I2731" s="48">
        <v>1042.549</v>
      </c>
      <c r="J2731" s="49">
        <v>32</v>
      </c>
      <c r="K2731" s="49">
        <v>4</v>
      </c>
      <c r="L2731" s="49">
        <v>28</v>
      </c>
    </row>
    <row r="2732" spans="1:12" x14ac:dyDescent="0.25">
      <c r="A2732" s="45">
        <f>C2732&amp;"."&amp;IFERROR(MID(E2732,FIND("(",E2732)+1,FIND(")",E2732)-FIND("(",E2732)-1),"")</f>
      </c>
      <c r="B2732" s="46" t="s">
        <v>1178</v>
      </c>
      <c r="C2732" s="46">
        <v>82007</v>
      </c>
      <c r="D2732" s="46" t="s">
        <v>4822</v>
      </c>
      <c r="E2732" s="46" t="s">
        <v>4823</v>
      </c>
      <c r="F2732" s="46" t="s">
        <v>24</v>
      </c>
      <c r="G2732" s="47">
        <v>1.14</v>
      </c>
      <c r="H2732" s="48">
        <v>3.279</v>
      </c>
      <c r="I2732" s="48">
        <v>3.279</v>
      </c>
      <c r="J2732" s="49">
        <v>1</v>
      </c>
      <c r="K2732" s="49">
        <v>0</v>
      </c>
      <c r="L2732" s="49">
        <v>1</v>
      </c>
    </row>
    <row r="2733" spans="1:12" x14ac:dyDescent="0.25">
      <c r="A2733" s="45">
        <f>C2733&amp;"."&amp;IFERROR(MID(E2733,FIND("(",E2733)+1,FIND(")",E2733)-FIND("(",E2733)-1),"")</f>
      </c>
      <c r="B2733" s="46" t="s">
        <v>1178</v>
      </c>
      <c r="C2733" s="46">
        <v>82049</v>
      </c>
      <c r="D2733" s="46" t="s">
        <v>4824</v>
      </c>
      <c r="E2733" s="46" t="s">
        <v>4825</v>
      </c>
      <c r="F2733" s="46" t="s">
        <v>24</v>
      </c>
      <c r="G2733" s="47">
        <v>4.54</v>
      </c>
      <c r="H2733" s="48">
        <v>18.019</v>
      </c>
      <c r="I2733" s="48">
        <v>342.368</v>
      </c>
      <c r="J2733" s="49">
        <v>19</v>
      </c>
      <c r="K2733" s="49">
        <v>0</v>
      </c>
      <c r="L2733" s="49">
        <v>19</v>
      </c>
    </row>
    <row r="2734" spans="1:12" x14ac:dyDescent="0.25">
      <c r="A2734" s="45">
        <f>C2734&amp;"."&amp;IFERROR(MID(E2734,FIND("(",E2734)+1,FIND(")",E2734)-FIND("(",E2734)-1),"")</f>
      </c>
      <c r="B2734" s="46" t="s">
        <v>1178</v>
      </c>
      <c r="C2734" s="46">
        <v>82049</v>
      </c>
      <c r="D2734" s="46" t="s">
        <v>4824</v>
      </c>
      <c r="E2734" s="46" t="s">
        <v>4826</v>
      </c>
      <c r="F2734" s="46" t="s">
        <v>24</v>
      </c>
      <c r="G2734" s="47">
        <v>4.54</v>
      </c>
      <c r="H2734" s="48">
        <v>15.697</v>
      </c>
      <c r="I2734" s="48">
        <v>125.573</v>
      </c>
      <c r="J2734" s="49">
        <v>8</v>
      </c>
      <c r="K2734" s="49">
        <v>0</v>
      </c>
      <c r="L2734" s="49">
        <v>8</v>
      </c>
    </row>
    <row r="2735" spans="1:12" x14ac:dyDescent="0.25">
      <c r="A2735" s="45">
        <f>C2735&amp;"."&amp;IFERROR(MID(E2735,FIND("(",E2735)+1,FIND(")",E2735)-FIND("(",E2735)-1),"")</f>
      </c>
      <c r="B2735" s="46" t="s">
        <v>1178</v>
      </c>
      <c r="C2735" s="46">
        <v>82051</v>
      </c>
      <c r="D2735" s="46" t="s">
        <v>4827</v>
      </c>
      <c r="E2735" s="46" t="s">
        <v>4828</v>
      </c>
      <c r="F2735" s="46" t="s">
        <v>24</v>
      </c>
      <c r="G2735" s="47">
        <v>1.26</v>
      </c>
      <c r="H2735" s="48">
        <v>5.155</v>
      </c>
      <c r="I2735" s="48">
        <v>56.706</v>
      </c>
      <c r="J2735" s="49">
        <v>11</v>
      </c>
      <c r="K2735" s="49">
        <v>0</v>
      </c>
      <c r="L2735" s="49">
        <v>11</v>
      </c>
    </row>
    <row r="2736" spans="1:12" x14ac:dyDescent="0.25">
      <c r="A2736" s="45">
        <f>C2736&amp;"."&amp;IFERROR(MID(E2736,FIND("(",E2736)+1,FIND(")",E2736)-FIND("(",E2736)-1),"")</f>
      </c>
      <c r="B2736" s="46" t="s">
        <v>1178</v>
      </c>
      <c r="C2736" s="46">
        <v>82051</v>
      </c>
      <c r="D2736" s="46" t="s">
        <v>4827</v>
      </c>
      <c r="E2736" s="46" t="s">
        <v>4829</v>
      </c>
      <c r="F2736" s="46" t="s">
        <v>24</v>
      </c>
      <c r="G2736" s="47">
        <v>1.26</v>
      </c>
      <c r="H2736" s="48">
        <v>3.542</v>
      </c>
      <c r="I2736" s="48">
        <v>10.626</v>
      </c>
      <c r="J2736" s="49">
        <v>3</v>
      </c>
      <c r="K2736" s="49">
        <v>0</v>
      </c>
      <c r="L2736" s="49">
        <v>3</v>
      </c>
    </row>
    <row r="2737" spans="1:12" x14ac:dyDescent="0.25">
      <c r="A2737" s="45">
        <f>C2737&amp;"."&amp;IFERROR(MID(E2737,FIND("(",E2737)+1,FIND(")",E2737)-FIND("(",E2737)-1),"")</f>
      </c>
      <c r="B2737" s="46" t="s">
        <v>1178</v>
      </c>
      <c r="C2737" s="46">
        <v>82054</v>
      </c>
      <c r="D2737" s="46" t="s">
        <v>4830</v>
      </c>
      <c r="E2737" s="46" t="s">
        <v>1248</v>
      </c>
      <c r="F2737" s="46" t="s">
        <v>24</v>
      </c>
      <c r="G2737" s="47">
        <v>4.39</v>
      </c>
      <c r="H2737" s="48">
        <v>10.413</v>
      </c>
      <c r="I2737" s="48">
        <v>83.301</v>
      </c>
      <c r="J2737" s="49">
        <v>8</v>
      </c>
      <c r="K2737" s="49">
        <v>0</v>
      </c>
      <c r="L2737" s="49">
        <v>8</v>
      </c>
    </row>
    <row r="2738" spans="1:12" x14ac:dyDescent="0.25">
      <c r="A2738" s="45">
        <f>C2738&amp;"."&amp;IFERROR(MID(E2738,FIND("(",E2738)+1,FIND(")",E2738)-FIND("(",E2738)-1),"")</f>
      </c>
      <c r="B2738" s="46" t="s">
        <v>1178</v>
      </c>
      <c r="C2738" s="46">
        <v>82056</v>
      </c>
      <c r="D2738" s="46" t="s">
        <v>4831</v>
      </c>
      <c r="E2738" s="46" t="s">
        <v>4832</v>
      </c>
      <c r="F2738" s="46" t="s">
        <v>24</v>
      </c>
      <c r="G2738" s="47">
        <v>5.42</v>
      </c>
      <c r="H2738" s="48">
        <v>28.79</v>
      </c>
      <c r="I2738" s="48">
        <v>57.58</v>
      </c>
      <c r="J2738" s="49">
        <v>2</v>
      </c>
      <c r="K2738" s="49">
        <v>0</v>
      </c>
      <c r="L2738" s="49">
        <v>2</v>
      </c>
    </row>
    <row r="2739" spans="1:12" x14ac:dyDescent="0.25">
      <c r="A2739" s="45">
        <f>C2739&amp;"."&amp;IFERROR(MID(E2739,FIND("(",E2739)+1,FIND(")",E2739)-FIND("(",E2739)-1),"")</f>
      </c>
      <c r="B2739" s="46" t="s">
        <v>1178</v>
      </c>
      <c r="C2739" s="46">
        <v>82056</v>
      </c>
      <c r="D2739" s="46" t="s">
        <v>4831</v>
      </c>
      <c r="E2739" s="46" t="s">
        <v>4833</v>
      </c>
      <c r="F2739" s="46" t="s">
        <v>24</v>
      </c>
      <c r="G2739" s="47">
        <v>5.42</v>
      </c>
      <c r="H2739" s="48">
        <v>45.07</v>
      </c>
      <c r="I2739" s="48">
        <v>45.07</v>
      </c>
      <c r="J2739" s="49">
        <v>1</v>
      </c>
      <c r="K2739" s="49">
        <v>0</v>
      </c>
      <c r="L2739" s="49">
        <v>1</v>
      </c>
    </row>
    <row r="2740" spans="1:12" x14ac:dyDescent="0.25">
      <c r="A2740" s="45">
        <f>C2740&amp;"."&amp;IFERROR(MID(E2740,FIND("(",E2740)+1,FIND(")",E2740)-FIND("(",E2740)-1),"")</f>
      </c>
      <c r="B2740" s="46" t="s">
        <v>1178</v>
      </c>
      <c r="C2740" s="46">
        <v>82056</v>
      </c>
      <c r="D2740" s="46" t="s">
        <v>4831</v>
      </c>
      <c r="E2740" s="46" t="s">
        <v>4834</v>
      </c>
      <c r="F2740" s="46" t="s">
        <v>24</v>
      </c>
      <c r="G2740" s="47">
        <v>5.42</v>
      </c>
      <c r="H2740" s="48">
        <v>45.07</v>
      </c>
      <c r="I2740" s="48">
        <v>90.14</v>
      </c>
      <c r="J2740" s="49">
        <v>2</v>
      </c>
      <c r="K2740" s="49">
        <v>0</v>
      </c>
      <c r="L2740" s="49">
        <v>2</v>
      </c>
    </row>
    <row r="2741" spans="1:12" x14ac:dyDescent="0.25">
      <c r="A2741" s="45">
        <f>C2741&amp;"."&amp;IFERROR(MID(E2741,FIND("(",E2741)+1,FIND(")",E2741)-FIND("(",E2741)-1),"")</f>
      </c>
      <c r="B2741" s="46" t="s">
        <v>1178</v>
      </c>
      <c r="C2741" s="46">
        <v>82064</v>
      </c>
      <c r="D2741" s="46" t="s">
        <v>4835</v>
      </c>
      <c r="E2741" s="46" t="s">
        <v>4836</v>
      </c>
      <c r="F2741" s="46" t="s">
        <v>24</v>
      </c>
      <c r="G2741" s="47">
        <v>7.78</v>
      </c>
      <c r="H2741" s="48">
        <v>19.894</v>
      </c>
      <c r="I2741" s="48">
        <v>39.788</v>
      </c>
      <c r="J2741" s="49">
        <v>2</v>
      </c>
      <c r="K2741" s="49">
        <v>0</v>
      </c>
      <c r="L2741" s="49">
        <v>2</v>
      </c>
    </row>
    <row r="2742" spans="1:12" x14ac:dyDescent="0.25">
      <c r="A2742" s="45">
        <f>C2742&amp;"."&amp;IFERROR(MID(E2742,FIND("(",E2742)+1,FIND(")",E2742)-FIND("(",E2742)-1),"")</f>
      </c>
      <c r="B2742" s="46" t="s">
        <v>1178</v>
      </c>
      <c r="C2742" s="46">
        <v>82065</v>
      </c>
      <c r="D2742" s="46" t="s">
        <v>4837</v>
      </c>
      <c r="E2742" s="46" t="s">
        <v>4838</v>
      </c>
      <c r="F2742" s="46" t="s">
        <v>24</v>
      </c>
      <c r="G2742" s="47">
        <v>5.56</v>
      </c>
      <c r="H2742" s="48">
        <v>14.565</v>
      </c>
      <c r="I2742" s="48">
        <v>160.216</v>
      </c>
      <c r="J2742" s="49">
        <v>11</v>
      </c>
      <c r="K2742" s="49">
        <v>0</v>
      </c>
      <c r="L2742" s="49">
        <v>11</v>
      </c>
    </row>
    <row r="2743" spans="1:12" x14ac:dyDescent="0.25">
      <c r="A2743" s="45">
        <f>C2743&amp;"."&amp;IFERROR(MID(E2743,FIND("(",E2743)+1,FIND(")",E2743)-FIND("(",E2743)-1),"")</f>
      </c>
      <c r="B2743" s="46" t="s">
        <v>1178</v>
      </c>
      <c r="C2743" s="46">
        <v>82065</v>
      </c>
      <c r="D2743" s="46" t="s">
        <v>4837</v>
      </c>
      <c r="E2743" s="46" t="s">
        <v>4839</v>
      </c>
      <c r="F2743" s="46" t="s">
        <v>24</v>
      </c>
      <c r="G2743" s="47">
        <v>5.56</v>
      </c>
      <c r="H2743" s="48">
        <v>17.936</v>
      </c>
      <c r="I2743" s="48">
        <v>53.807</v>
      </c>
      <c r="J2743" s="49">
        <v>3</v>
      </c>
      <c r="K2743" s="49">
        <v>0</v>
      </c>
      <c r="L2743" s="49">
        <v>3</v>
      </c>
    </row>
    <row r="2744" spans="1:12" x14ac:dyDescent="0.25">
      <c r="A2744" s="45">
        <f>C2744&amp;"."&amp;IFERROR(MID(E2744,FIND("(",E2744)+1,FIND(")",E2744)-FIND("(",E2744)-1),"")</f>
      </c>
      <c r="B2744" s="46" t="s">
        <v>1178</v>
      </c>
      <c r="C2744" s="46">
        <v>82067</v>
      </c>
      <c r="D2744" s="46" t="s">
        <v>4840</v>
      </c>
      <c r="E2744" s="46" t="s">
        <v>1248</v>
      </c>
      <c r="F2744" s="46" t="s">
        <v>24</v>
      </c>
      <c r="G2744" s="47">
        <v>1.12</v>
      </c>
      <c r="H2744" s="48">
        <v>3.996</v>
      </c>
      <c r="I2744" s="48">
        <v>31.965</v>
      </c>
      <c r="J2744" s="49">
        <v>8</v>
      </c>
      <c r="K2744" s="49">
        <v>0</v>
      </c>
      <c r="L2744" s="49">
        <v>8</v>
      </c>
    </row>
    <row r="2745" spans="1:12" x14ac:dyDescent="0.25">
      <c r="A2745" s="45">
        <f>C2745&amp;"."&amp;IFERROR(MID(E2745,FIND("(",E2745)+1,FIND(")",E2745)-FIND("(",E2745)-1),"")</f>
      </c>
      <c r="B2745" s="46" t="s">
        <v>1178</v>
      </c>
      <c r="C2745" s="46">
        <v>82100</v>
      </c>
      <c r="D2745" s="46" t="s">
        <v>4841</v>
      </c>
      <c r="E2745" s="46" t="s">
        <v>1248</v>
      </c>
      <c r="F2745" s="46" t="s">
        <v>24</v>
      </c>
      <c r="G2745" s="47">
        <v>2.3</v>
      </c>
      <c r="H2745" s="48">
        <v>18.9</v>
      </c>
      <c r="I2745" s="48">
        <v>75.6</v>
      </c>
      <c r="J2745" s="49">
        <v>4</v>
      </c>
      <c r="K2745" s="49">
        <v>0</v>
      </c>
      <c r="L2745" s="49">
        <v>4</v>
      </c>
    </row>
    <row r="2746" spans="1:12" x14ac:dyDescent="0.25">
      <c r="A2746" s="45">
        <f>C2746&amp;"."&amp;IFERROR(MID(E2746,FIND("(",E2746)+1,FIND(")",E2746)-FIND("(",E2746)-1),"")</f>
      </c>
      <c r="B2746" s="46" t="s">
        <v>1178</v>
      </c>
      <c r="C2746" s="46">
        <v>82105</v>
      </c>
      <c r="D2746" s="46" t="s">
        <v>4842</v>
      </c>
      <c r="E2746" s="46" t="s">
        <v>1248</v>
      </c>
      <c r="F2746" s="46" t="s">
        <v>24</v>
      </c>
      <c r="G2746" s="47">
        <v>0</v>
      </c>
      <c r="H2746" s="48">
        <v>4.888</v>
      </c>
      <c r="I2746" s="48">
        <v>68.425</v>
      </c>
      <c r="J2746" s="49">
        <v>14</v>
      </c>
      <c r="K2746" s="49">
        <v>1</v>
      </c>
      <c r="L2746" s="49">
        <v>13</v>
      </c>
    </row>
    <row r="2747" spans="1:12" x14ac:dyDescent="0.25">
      <c r="A2747" s="45">
        <f>C2747&amp;"."&amp;IFERROR(MID(E2747,FIND("(",E2747)+1,FIND(")",E2747)-FIND("(",E2747)-1),"")</f>
      </c>
      <c r="B2747" s="46" t="s">
        <v>1178</v>
      </c>
      <c r="C2747" s="46">
        <v>82111</v>
      </c>
      <c r="D2747" s="46" t="s">
        <v>4843</v>
      </c>
      <c r="E2747" s="46" t="s">
        <v>4844</v>
      </c>
      <c r="F2747" s="46" t="s">
        <v>1168</v>
      </c>
      <c r="G2747" s="47">
        <v>0</v>
      </c>
      <c r="H2747" s="48">
        <v>23.56</v>
      </c>
      <c r="I2747" s="48">
        <v>70.68</v>
      </c>
      <c r="J2747" s="49">
        <v>3</v>
      </c>
      <c r="K2747" s="49">
        <v>0</v>
      </c>
      <c r="L2747" s="49">
        <v>3</v>
      </c>
    </row>
    <row r="2748" spans="1:12" x14ac:dyDescent="0.25">
      <c r="A2748" s="45">
        <f>C2748&amp;"."&amp;IFERROR(MID(E2748,FIND("(",E2748)+1,FIND(")",E2748)-FIND("(",E2748)-1),"")</f>
      </c>
      <c r="B2748" s="46" t="s">
        <v>1178</v>
      </c>
      <c r="C2748" s="46">
        <v>82111</v>
      </c>
      <c r="D2748" s="46" t="s">
        <v>4843</v>
      </c>
      <c r="E2748" s="46" t="s">
        <v>4845</v>
      </c>
      <c r="F2748" s="46" t="s">
        <v>1168</v>
      </c>
      <c r="G2748" s="47">
        <v>0</v>
      </c>
      <c r="H2748" s="48">
        <v>23.56</v>
      </c>
      <c r="I2748" s="48">
        <v>70.68</v>
      </c>
      <c r="J2748" s="49">
        <v>3</v>
      </c>
      <c r="K2748" s="49">
        <v>0</v>
      </c>
      <c r="L2748" s="49">
        <v>3</v>
      </c>
    </row>
    <row r="2749" spans="1:12" x14ac:dyDescent="0.25">
      <c r="A2749" s="45">
        <f>C2749&amp;"."&amp;IFERROR(MID(E2749,FIND("(",E2749)+1,FIND(")",E2749)-FIND("(",E2749)-1),"")</f>
      </c>
      <c r="B2749" s="46" t="s">
        <v>1178</v>
      </c>
      <c r="C2749" s="46">
        <v>82111</v>
      </c>
      <c r="D2749" s="46" t="s">
        <v>4843</v>
      </c>
      <c r="E2749" s="46" t="s">
        <v>4846</v>
      </c>
      <c r="F2749" s="46" t="s">
        <v>1168</v>
      </c>
      <c r="G2749" s="47">
        <v>0</v>
      </c>
      <c r="H2749" s="48">
        <v>23.56</v>
      </c>
      <c r="I2749" s="48">
        <v>70.68</v>
      </c>
      <c r="J2749" s="49">
        <v>3</v>
      </c>
      <c r="K2749" s="49">
        <v>0</v>
      </c>
      <c r="L2749" s="49">
        <v>3</v>
      </c>
    </row>
    <row r="2750" spans="1:12" x14ac:dyDescent="0.25">
      <c r="A2750" s="45">
        <f>C2750&amp;"."&amp;IFERROR(MID(E2750,FIND("(",E2750)+1,FIND(")",E2750)-FIND("(",E2750)-1),"")</f>
      </c>
      <c r="B2750" s="46" t="s">
        <v>1178</v>
      </c>
      <c r="C2750" s="46">
        <v>82264</v>
      </c>
      <c r="D2750" s="46" t="s">
        <v>4847</v>
      </c>
      <c r="E2750" s="46" t="s">
        <v>4848</v>
      </c>
      <c r="F2750" s="46" t="s">
        <v>24</v>
      </c>
      <c r="G2750" s="47">
        <v>0.77</v>
      </c>
      <c r="H2750" s="48">
        <v>2.489</v>
      </c>
      <c r="I2750" s="48">
        <v>9.956</v>
      </c>
      <c r="J2750" s="49">
        <v>4</v>
      </c>
      <c r="K2750" s="49">
        <v>0</v>
      </c>
      <c r="L2750" s="49">
        <v>4</v>
      </c>
    </row>
    <row r="2751" spans="1:12" x14ac:dyDescent="0.25">
      <c r="A2751" s="45">
        <f>C2751&amp;"."&amp;IFERROR(MID(E2751,FIND("(",E2751)+1,FIND(")",E2751)-FIND("(",E2751)-1),"")</f>
      </c>
      <c r="B2751" s="46" t="s">
        <v>1178</v>
      </c>
      <c r="C2751" s="46">
        <v>82585</v>
      </c>
      <c r="D2751" s="46" t="s">
        <v>4849</v>
      </c>
      <c r="E2751" s="46" t="s">
        <v>1248</v>
      </c>
      <c r="F2751" s="46" t="s">
        <v>24</v>
      </c>
      <c r="G2751" s="47">
        <v>0.68</v>
      </c>
      <c r="H2751" s="48">
        <v>2.328</v>
      </c>
      <c r="I2751" s="48">
        <v>25.604</v>
      </c>
      <c r="J2751" s="49">
        <v>11</v>
      </c>
      <c r="K2751" s="49">
        <v>1</v>
      </c>
      <c r="L2751" s="49">
        <v>10</v>
      </c>
    </row>
    <row r="2752" spans="1:12" x14ac:dyDescent="0.25">
      <c r="A2752" s="45">
        <f>C2752&amp;"."&amp;IFERROR(MID(E2752,FIND("(",E2752)+1,FIND(")",E2752)-FIND("(",E2752)-1),"")</f>
      </c>
      <c r="B2752" s="46" t="s">
        <v>1178</v>
      </c>
      <c r="C2752" s="46">
        <v>82594</v>
      </c>
      <c r="D2752" s="46" t="s">
        <v>4850</v>
      </c>
      <c r="E2752" s="46" t="s">
        <v>1248</v>
      </c>
      <c r="F2752" s="46" t="s">
        <v>24</v>
      </c>
      <c r="G2752" s="47">
        <v>0.68</v>
      </c>
      <c r="H2752" s="48">
        <v>2.337</v>
      </c>
      <c r="I2752" s="48">
        <v>23.375</v>
      </c>
      <c r="J2752" s="49">
        <v>10</v>
      </c>
      <c r="K2752" s="49">
        <v>1</v>
      </c>
      <c r="L2752" s="49">
        <v>9</v>
      </c>
    </row>
    <row r="2753" spans="1:12" x14ac:dyDescent="0.25">
      <c r="A2753" s="45">
        <f>C2753&amp;"."&amp;IFERROR(MID(E2753,FIND("(",E2753)+1,FIND(")",E2753)-FIND("(",E2753)-1),"")</f>
      </c>
      <c r="B2753" s="46" t="s">
        <v>1178</v>
      </c>
      <c r="C2753" s="46">
        <v>82595</v>
      </c>
      <c r="D2753" s="46" t="s">
        <v>4851</v>
      </c>
      <c r="E2753" s="46" t="s">
        <v>4852</v>
      </c>
      <c r="F2753" s="46" t="s">
        <v>24</v>
      </c>
      <c r="G2753" s="47">
        <v>3.8</v>
      </c>
      <c r="H2753" s="48">
        <v>13.804</v>
      </c>
      <c r="I2753" s="48">
        <v>96.628</v>
      </c>
      <c r="J2753" s="49">
        <v>7</v>
      </c>
      <c r="K2753" s="49">
        <v>0</v>
      </c>
      <c r="L2753" s="49">
        <v>7</v>
      </c>
    </row>
    <row r="2754" spans="1:12" x14ac:dyDescent="0.25">
      <c r="A2754" s="45">
        <f>C2754&amp;"."&amp;IFERROR(MID(E2754,FIND("(",E2754)+1,FIND(")",E2754)-FIND("(",E2754)-1),"")</f>
      </c>
      <c r="B2754" s="46" t="s">
        <v>1178</v>
      </c>
      <c r="C2754" s="46">
        <v>82595</v>
      </c>
      <c r="D2754" s="46" t="s">
        <v>4851</v>
      </c>
      <c r="E2754" s="46" t="s">
        <v>4853</v>
      </c>
      <c r="F2754" s="46" t="s">
        <v>24</v>
      </c>
      <c r="G2754" s="47">
        <v>3.8</v>
      </c>
      <c r="H2754" s="48">
        <v>10.082</v>
      </c>
      <c r="I2754" s="48">
        <v>151.225</v>
      </c>
      <c r="J2754" s="49">
        <v>15</v>
      </c>
      <c r="K2754" s="49">
        <v>3</v>
      </c>
      <c r="L2754" s="49">
        <v>12</v>
      </c>
    </row>
    <row r="2755" spans="1:12" x14ac:dyDescent="0.25">
      <c r="A2755" s="45">
        <f>C2755&amp;"."&amp;IFERROR(MID(E2755,FIND("(",E2755)+1,FIND(")",E2755)-FIND("(",E2755)-1),"")</f>
      </c>
      <c r="B2755" s="46" t="s">
        <v>1178</v>
      </c>
      <c r="C2755" s="46">
        <v>82597</v>
      </c>
      <c r="D2755" s="46" t="s">
        <v>4854</v>
      </c>
      <c r="E2755" s="46" t="s">
        <v>4855</v>
      </c>
      <c r="F2755" s="46" t="s">
        <v>24</v>
      </c>
      <c r="G2755" s="47">
        <v>1.58</v>
      </c>
      <c r="H2755" s="48">
        <v>9.704</v>
      </c>
      <c r="I2755" s="48">
        <v>213.494</v>
      </c>
      <c r="J2755" s="49">
        <v>22</v>
      </c>
      <c r="K2755" s="49">
        <v>8</v>
      </c>
      <c r="L2755" s="49">
        <v>14</v>
      </c>
    </row>
    <row r="2756" spans="1:12" x14ac:dyDescent="0.25">
      <c r="A2756" s="45">
        <f>C2756&amp;"."&amp;IFERROR(MID(E2756,FIND("(",E2756)+1,FIND(")",E2756)-FIND("(",E2756)-1),"")</f>
      </c>
      <c r="B2756" s="46" t="s">
        <v>1178</v>
      </c>
      <c r="C2756" s="46">
        <v>82597</v>
      </c>
      <c r="D2756" s="46" t="s">
        <v>4854</v>
      </c>
      <c r="E2756" s="46" t="s">
        <v>4856</v>
      </c>
      <c r="F2756" s="46" t="s">
        <v>24</v>
      </c>
      <c r="G2756" s="47">
        <v>1.58</v>
      </c>
      <c r="H2756" s="48">
        <v>10.836</v>
      </c>
      <c r="I2756" s="48">
        <v>54.181</v>
      </c>
      <c r="J2756" s="49">
        <v>5</v>
      </c>
      <c r="K2756" s="49">
        <v>0</v>
      </c>
      <c r="L2756" s="49">
        <v>5</v>
      </c>
    </row>
    <row r="2757" spans="1:12" x14ac:dyDescent="0.25">
      <c r="A2757" s="45">
        <f>C2757&amp;"."&amp;IFERROR(MID(E2757,FIND("(",E2757)+1,FIND(")",E2757)-FIND("(",E2757)-1),"")</f>
      </c>
      <c r="B2757" s="46" t="s">
        <v>1178</v>
      </c>
      <c r="C2757" s="46">
        <v>82597</v>
      </c>
      <c r="D2757" s="46" t="s">
        <v>4854</v>
      </c>
      <c r="E2757" s="46" t="s">
        <v>4857</v>
      </c>
      <c r="F2757" s="46" t="s">
        <v>24</v>
      </c>
      <c r="G2757" s="47">
        <v>1.58</v>
      </c>
      <c r="H2757" s="48">
        <v>10.104</v>
      </c>
      <c r="I2757" s="48">
        <v>394.074</v>
      </c>
      <c r="J2757" s="49">
        <v>39</v>
      </c>
      <c r="K2757" s="49">
        <v>16</v>
      </c>
      <c r="L2757" s="49">
        <v>23</v>
      </c>
    </row>
    <row r="2758" spans="1:12" x14ac:dyDescent="0.25">
      <c r="A2758" s="45">
        <f>C2758&amp;"."&amp;IFERROR(MID(E2758,FIND("(",E2758)+1,FIND(")",E2758)-FIND("(",E2758)-1),"")</f>
      </c>
      <c r="B2758" s="46" t="s">
        <v>1178</v>
      </c>
      <c r="C2758" s="46">
        <v>82597</v>
      </c>
      <c r="D2758" s="46" t="s">
        <v>4854</v>
      </c>
      <c r="E2758" s="46" t="s">
        <v>4858</v>
      </c>
      <c r="F2758" s="46" t="s">
        <v>24</v>
      </c>
      <c r="G2758" s="47">
        <v>1.58</v>
      </c>
      <c r="H2758" s="48">
        <v>10.337</v>
      </c>
      <c r="I2758" s="48">
        <v>134.38</v>
      </c>
      <c r="J2758" s="49">
        <v>13</v>
      </c>
      <c r="K2758" s="49">
        <v>1</v>
      </c>
      <c r="L2758" s="49">
        <v>12</v>
      </c>
    </row>
    <row r="2759" spans="1:12" x14ac:dyDescent="0.25">
      <c r="A2759" s="45">
        <f>C2759&amp;"."&amp;IFERROR(MID(E2759,FIND("(",E2759)+1,FIND(")",E2759)-FIND("(",E2759)-1),"")</f>
      </c>
      <c r="B2759" s="46" t="s">
        <v>1178</v>
      </c>
      <c r="C2759" s="46">
        <v>82606</v>
      </c>
      <c r="D2759" s="46" t="s">
        <v>4859</v>
      </c>
      <c r="E2759" s="46" t="s">
        <v>4860</v>
      </c>
      <c r="F2759" s="46" t="s">
        <v>24</v>
      </c>
      <c r="G2759" s="47">
        <v>1.58</v>
      </c>
      <c r="H2759" s="48">
        <v>9.783</v>
      </c>
      <c r="I2759" s="48">
        <v>176.101</v>
      </c>
      <c r="J2759" s="49">
        <v>18</v>
      </c>
      <c r="K2759" s="49">
        <v>6</v>
      </c>
      <c r="L2759" s="49">
        <v>12</v>
      </c>
    </row>
    <row r="2760" spans="1:12" x14ac:dyDescent="0.25">
      <c r="A2760" s="45">
        <f>C2760&amp;"."&amp;IFERROR(MID(E2760,FIND("(",E2760)+1,FIND(")",E2760)-FIND("(",E2760)-1),"")</f>
      </c>
      <c r="B2760" s="46" t="s">
        <v>1178</v>
      </c>
      <c r="C2760" s="46">
        <v>82606</v>
      </c>
      <c r="D2760" s="46" t="s">
        <v>4859</v>
      </c>
      <c r="E2760" s="46" t="s">
        <v>4861</v>
      </c>
      <c r="F2760" s="46" t="s">
        <v>24</v>
      </c>
      <c r="G2760" s="47">
        <v>1.58</v>
      </c>
      <c r="H2760" s="48">
        <v>10.691</v>
      </c>
      <c r="I2760" s="48">
        <v>10.691</v>
      </c>
      <c r="J2760" s="49">
        <v>1</v>
      </c>
      <c r="K2760" s="49">
        <v>0</v>
      </c>
      <c r="L2760" s="49">
        <v>1</v>
      </c>
    </row>
    <row r="2761" spans="1:12" x14ac:dyDescent="0.25">
      <c r="A2761" s="45">
        <f>C2761&amp;"."&amp;IFERROR(MID(E2761,FIND("(",E2761)+1,FIND(")",E2761)-FIND("(",E2761)-1),"")</f>
      </c>
      <c r="B2761" s="46" t="s">
        <v>1178</v>
      </c>
      <c r="C2761" s="46">
        <v>82606</v>
      </c>
      <c r="D2761" s="46" t="s">
        <v>4859</v>
      </c>
      <c r="E2761" s="46" t="s">
        <v>4862</v>
      </c>
      <c r="F2761" s="46" t="s">
        <v>24</v>
      </c>
      <c r="G2761" s="47">
        <v>1.58</v>
      </c>
      <c r="H2761" s="48">
        <v>9.809</v>
      </c>
      <c r="I2761" s="48">
        <v>382.556</v>
      </c>
      <c r="J2761" s="49">
        <v>39</v>
      </c>
      <c r="K2761" s="49">
        <v>15</v>
      </c>
      <c r="L2761" s="49">
        <v>24</v>
      </c>
    </row>
    <row r="2762" spans="1:12" x14ac:dyDescent="0.25">
      <c r="A2762" s="45">
        <f>C2762&amp;"."&amp;IFERROR(MID(E2762,FIND("(",E2762)+1,FIND(")",E2762)-FIND("(",E2762)-1),"")</f>
      </c>
      <c r="B2762" s="46" t="s">
        <v>1178</v>
      </c>
      <c r="C2762" s="46">
        <v>82606</v>
      </c>
      <c r="D2762" s="46" t="s">
        <v>4859</v>
      </c>
      <c r="E2762" s="46" t="s">
        <v>4863</v>
      </c>
      <c r="F2762" s="46" t="s">
        <v>24</v>
      </c>
      <c r="G2762" s="47">
        <v>1.58</v>
      </c>
      <c r="H2762" s="48">
        <v>10.177</v>
      </c>
      <c r="I2762" s="48">
        <v>142.483</v>
      </c>
      <c r="J2762" s="49">
        <v>14</v>
      </c>
      <c r="K2762" s="49">
        <v>1</v>
      </c>
      <c r="L2762" s="49">
        <v>13</v>
      </c>
    </row>
    <row r="2763" spans="1:12" x14ac:dyDescent="0.25">
      <c r="A2763" s="45">
        <f>C2763&amp;"."&amp;IFERROR(MID(E2763,FIND("(",E2763)+1,FIND(")",E2763)-FIND("(",E2763)-1),"")</f>
      </c>
      <c r="B2763" s="46" t="s">
        <v>1178</v>
      </c>
      <c r="C2763" s="46">
        <v>82613</v>
      </c>
      <c r="D2763" s="46" t="s">
        <v>4864</v>
      </c>
      <c r="E2763" s="46" t="s">
        <v>1248</v>
      </c>
      <c r="F2763" s="46" t="s">
        <v>1926</v>
      </c>
      <c r="G2763" s="47">
        <v>0.86</v>
      </c>
      <c r="H2763" s="48">
        <v>22.351</v>
      </c>
      <c r="I2763" s="48">
        <v>44.703</v>
      </c>
      <c r="J2763" s="49">
        <v>2</v>
      </c>
      <c r="K2763" s="49">
        <v>2</v>
      </c>
      <c r="L2763" s="49">
        <v>0</v>
      </c>
    </row>
    <row r="2764" spans="1:12" x14ac:dyDescent="0.25">
      <c r="A2764" s="45">
        <f>C2764&amp;"."&amp;IFERROR(MID(E2764,FIND("(",E2764)+1,FIND(")",E2764)-FIND("(",E2764)-1),"")</f>
      </c>
      <c r="B2764" s="46" t="s">
        <v>1178</v>
      </c>
      <c r="C2764" s="46">
        <v>82614</v>
      </c>
      <c r="D2764" s="46" t="s">
        <v>4865</v>
      </c>
      <c r="E2764" s="46" t="s">
        <v>4866</v>
      </c>
      <c r="F2764" s="46" t="s">
        <v>24</v>
      </c>
      <c r="G2764" s="47">
        <v>4.2</v>
      </c>
      <c r="H2764" s="48">
        <v>14.617</v>
      </c>
      <c r="I2764" s="48">
        <v>292.33</v>
      </c>
      <c r="J2764" s="49">
        <v>20</v>
      </c>
      <c r="K2764" s="49">
        <v>11</v>
      </c>
      <c r="L2764" s="49">
        <v>9</v>
      </c>
    </row>
    <row r="2765" spans="1:12" x14ac:dyDescent="0.25">
      <c r="A2765" s="45">
        <f>C2765&amp;"."&amp;IFERROR(MID(E2765,FIND("(",E2765)+1,FIND(")",E2765)-FIND("(",E2765)-1),"")</f>
      </c>
      <c r="B2765" s="46" t="s">
        <v>1178</v>
      </c>
      <c r="C2765" s="46">
        <v>82614</v>
      </c>
      <c r="D2765" s="46" t="s">
        <v>4865</v>
      </c>
      <c r="E2765" s="46" t="s">
        <v>4867</v>
      </c>
      <c r="F2765" s="46" t="s">
        <v>24</v>
      </c>
      <c r="G2765" s="47">
        <v>4.2</v>
      </c>
      <c r="H2765" s="48">
        <v>14.48</v>
      </c>
      <c r="I2765" s="48">
        <v>28.959</v>
      </c>
      <c r="J2765" s="49">
        <v>2</v>
      </c>
      <c r="K2765" s="49">
        <v>0</v>
      </c>
      <c r="L2765" s="49">
        <v>2</v>
      </c>
    </row>
    <row r="2766" spans="1:12" x14ac:dyDescent="0.25">
      <c r="A2766" s="45">
        <f>C2766&amp;"."&amp;IFERROR(MID(E2766,FIND("(",E2766)+1,FIND(")",E2766)-FIND("(",E2766)-1),"")</f>
      </c>
      <c r="B2766" s="46" t="s">
        <v>1178</v>
      </c>
      <c r="C2766" s="46">
        <v>82614</v>
      </c>
      <c r="D2766" s="46" t="s">
        <v>4865</v>
      </c>
      <c r="E2766" s="46" t="s">
        <v>4868</v>
      </c>
      <c r="F2766" s="46" t="s">
        <v>24</v>
      </c>
      <c r="G2766" s="47">
        <v>4.2</v>
      </c>
      <c r="H2766" s="48">
        <v>16.838</v>
      </c>
      <c r="I2766" s="48">
        <v>202.061</v>
      </c>
      <c r="J2766" s="49">
        <v>12</v>
      </c>
      <c r="K2766" s="49">
        <v>2</v>
      </c>
      <c r="L2766" s="49">
        <v>10</v>
      </c>
    </row>
    <row r="2767" spans="1:12" x14ac:dyDescent="0.25">
      <c r="A2767" s="45">
        <f>C2767&amp;"."&amp;IFERROR(MID(E2767,FIND("(",E2767)+1,FIND(")",E2767)-FIND("(",E2767)-1),"")</f>
      </c>
      <c r="B2767" s="46" t="s">
        <v>1178</v>
      </c>
      <c r="C2767" s="46">
        <v>82615</v>
      </c>
      <c r="D2767" s="46" t="s">
        <v>4869</v>
      </c>
      <c r="E2767" s="46" t="s">
        <v>4870</v>
      </c>
      <c r="F2767" s="46" t="s">
        <v>24</v>
      </c>
      <c r="G2767" s="47">
        <v>4.2</v>
      </c>
      <c r="H2767" s="48">
        <v>15.035</v>
      </c>
      <c r="I2767" s="48">
        <v>360.85</v>
      </c>
      <c r="J2767" s="49">
        <v>24</v>
      </c>
      <c r="K2767" s="49">
        <v>14</v>
      </c>
      <c r="L2767" s="49">
        <v>10</v>
      </c>
    </row>
    <row r="2768" spans="1:12" x14ac:dyDescent="0.25">
      <c r="A2768" s="45">
        <f>C2768&amp;"."&amp;IFERROR(MID(E2768,FIND("(",E2768)+1,FIND(")",E2768)-FIND("(",E2768)-1),"")</f>
      </c>
      <c r="B2768" s="46" t="s">
        <v>1178</v>
      </c>
      <c r="C2768" s="46">
        <v>82615</v>
      </c>
      <c r="D2768" s="46" t="s">
        <v>4869</v>
      </c>
      <c r="E2768" s="46" t="s">
        <v>4871</v>
      </c>
      <c r="F2768" s="46" t="s">
        <v>24</v>
      </c>
      <c r="G2768" s="47">
        <v>4.2</v>
      </c>
      <c r="H2768" s="48">
        <v>15.283</v>
      </c>
      <c r="I2768" s="48">
        <v>213.966</v>
      </c>
      <c r="J2768" s="49">
        <v>14</v>
      </c>
      <c r="K2768" s="49">
        <v>5</v>
      </c>
      <c r="L2768" s="49">
        <v>9</v>
      </c>
    </row>
    <row r="2769" spans="1:12" x14ac:dyDescent="0.25">
      <c r="A2769" s="45">
        <f>C2769&amp;"."&amp;IFERROR(MID(E2769,FIND("(",E2769)+1,FIND(")",E2769)-FIND("(",E2769)-1),"")</f>
      </c>
      <c r="B2769" s="46" t="s">
        <v>1178</v>
      </c>
      <c r="C2769" s="46">
        <v>82622</v>
      </c>
      <c r="D2769" s="46" t="s">
        <v>4872</v>
      </c>
      <c r="E2769" s="46" t="s">
        <v>4873</v>
      </c>
      <c r="F2769" s="46" t="s">
        <v>24</v>
      </c>
      <c r="G2769" s="47">
        <v>0.47</v>
      </c>
      <c r="H2769" s="48">
        <v>5.997</v>
      </c>
      <c r="I2769" s="48">
        <v>59.971</v>
      </c>
      <c r="J2769" s="49">
        <v>10</v>
      </c>
      <c r="K2769" s="49">
        <v>1</v>
      </c>
      <c r="L2769" s="49">
        <v>9</v>
      </c>
    </row>
    <row r="2770" spans="1:12" x14ac:dyDescent="0.25">
      <c r="A2770" s="45">
        <f>C2770&amp;"."&amp;IFERROR(MID(E2770,FIND("(",E2770)+1,FIND(")",E2770)-FIND("(",E2770)-1),"")</f>
      </c>
      <c r="B2770" s="46" t="s">
        <v>1178</v>
      </c>
      <c r="C2770" s="46">
        <v>82622</v>
      </c>
      <c r="D2770" s="46" t="s">
        <v>4872</v>
      </c>
      <c r="E2770" s="46" t="s">
        <v>4874</v>
      </c>
      <c r="F2770" s="46" t="s">
        <v>24</v>
      </c>
      <c r="G2770" s="47">
        <v>0.47</v>
      </c>
      <c r="H2770" s="48">
        <v>3.69</v>
      </c>
      <c r="I2770" s="48">
        <v>11.07</v>
      </c>
      <c r="J2770" s="49">
        <v>3</v>
      </c>
      <c r="K2770" s="49">
        <v>0</v>
      </c>
      <c r="L2770" s="49">
        <v>3</v>
      </c>
    </row>
    <row r="2771" spans="1:12" x14ac:dyDescent="0.25">
      <c r="A2771" s="45">
        <f>C2771&amp;"."&amp;IFERROR(MID(E2771,FIND("(",E2771)+1,FIND(")",E2771)-FIND("(",E2771)-1),"")</f>
      </c>
      <c r="B2771" s="46" t="s">
        <v>1178</v>
      </c>
      <c r="C2771" s="46">
        <v>82622</v>
      </c>
      <c r="D2771" s="46" t="s">
        <v>4872</v>
      </c>
      <c r="E2771" s="46" t="s">
        <v>4875</v>
      </c>
      <c r="F2771" s="46" t="s">
        <v>24</v>
      </c>
      <c r="G2771" s="47">
        <v>0.47</v>
      </c>
      <c r="H2771" s="48">
        <v>4.712</v>
      </c>
      <c r="I2771" s="48">
        <v>42.404</v>
      </c>
      <c r="J2771" s="49">
        <v>9</v>
      </c>
      <c r="K2771" s="49">
        <v>1</v>
      </c>
      <c r="L2771" s="49">
        <v>8</v>
      </c>
    </row>
    <row r="2772" spans="1:12" x14ac:dyDescent="0.25">
      <c r="A2772" s="45">
        <f>C2772&amp;"."&amp;IFERROR(MID(E2772,FIND("(",E2772)+1,FIND(")",E2772)-FIND("(",E2772)-1),"")</f>
      </c>
      <c r="B2772" s="46" t="s">
        <v>1178</v>
      </c>
      <c r="C2772" s="46">
        <v>82622</v>
      </c>
      <c r="D2772" s="46" t="s">
        <v>4872</v>
      </c>
      <c r="E2772" s="46" t="s">
        <v>4876</v>
      </c>
      <c r="F2772" s="46" t="s">
        <v>24</v>
      </c>
      <c r="G2772" s="47">
        <v>0.47</v>
      </c>
      <c r="H2772" s="48">
        <v>4.902</v>
      </c>
      <c r="I2772" s="48">
        <v>78.432</v>
      </c>
      <c r="J2772" s="49">
        <v>16</v>
      </c>
      <c r="K2772" s="49">
        <v>1</v>
      </c>
      <c r="L2772" s="49">
        <v>15</v>
      </c>
    </row>
    <row r="2773" spans="1:12" x14ac:dyDescent="0.25">
      <c r="A2773" s="45">
        <f>C2773&amp;"."&amp;IFERROR(MID(E2773,FIND("(",E2773)+1,FIND(")",E2773)-FIND("(",E2773)-1),"")</f>
      </c>
      <c r="B2773" s="46" t="s">
        <v>1178</v>
      </c>
      <c r="C2773" s="46">
        <v>82625</v>
      </c>
      <c r="D2773" s="46" t="s">
        <v>4877</v>
      </c>
      <c r="E2773" s="46" t="s">
        <v>4878</v>
      </c>
      <c r="F2773" s="46" t="s">
        <v>24</v>
      </c>
      <c r="G2773" s="47">
        <v>0.75</v>
      </c>
      <c r="H2773" s="48">
        <v>2.259</v>
      </c>
      <c r="I2773" s="48">
        <v>31.631</v>
      </c>
      <c r="J2773" s="49">
        <v>14</v>
      </c>
      <c r="K2773" s="49">
        <v>5</v>
      </c>
      <c r="L2773" s="49">
        <v>9</v>
      </c>
    </row>
    <row r="2774" spans="1:12" x14ac:dyDescent="0.25">
      <c r="A2774" s="45">
        <f>C2774&amp;"."&amp;IFERROR(MID(E2774,FIND("(",E2774)+1,FIND(")",E2774)-FIND("(",E2774)-1),"")</f>
      </c>
      <c r="B2774" s="46" t="s">
        <v>1178</v>
      </c>
      <c r="C2774" s="46">
        <v>82625</v>
      </c>
      <c r="D2774" s="46" t="s">
        <v>4877</v>
      </c>
      <c r="E2774" s="46" t="s">
        <v>4879</v>
      </c>
      <c r="F2774" s="46" t="s">
        <v>24</v>
      </c>
      <c r="G2774" s="47">
        <v>0.75</v>
      </c>
      <c r="H2774" s="48">
        <v>2.65</v>
      </c>
      <c r="I2774" s="48">
        <v>2.65</v>
      </c>
      <c r="J2774" s="49">
        <v>1</v>
      </c>
      <c r="K2774" s="49">
        <v>0</v>
      </c>
      <c r="L2774" s="49">
        <v>1</v>
      </c>
    </row>
    <row r="2775" spans="1:12" x14ac:dyDescent="0.25">
      <c r="A2775" s="45">
        <f>C2775&amp;"."&amp;IFERROR(MID(E2775,FIND("(",E2775)+1,FIND(")",E2775)-FIND("(",E2775)-1),"")</f>
      </c>
      <c r="B2775" s="46" t="s">
        <v>1178</v>
      </c>
      <c r="C2775" s="46">
        <v>82629</v>
      </c>
      <c r="D2775" s="46" t="s">
        <v>4880</v>
      </c>
      <c r="E2775" s="46" t="s">
        <v>4881</v>
      </c>
      <c r="F2775" s="46" t="s">
        <v>24</v>
      </c>
      <c r="G2775" s="47">
        <v>1.02</v>
      </c>
      <c r="H2775" s="48">
        <v>4.229</v>
      </c>
      <c r="I2775" s="48">
        <v>12.686</v>
      </c>
      <c r="J2775" s="49">
        <v>3</v>
      </c>
      <c r="K2775" s="49">
        <v>0</v>
      </c>
      <c r="L2775" s="49">
        <v>3</v>
      </c>
    </row>
    <row r="2776" spans="1:12" x14ac:dyDescent="0.25">
      <c r="A2776" s="45">
        <f>C2776&amp;"."&amp;IFERROR(MID(E2776,FIND("(",E2776)+1,FIND(")",E2776)-FIND("(",E2776)-1),"")</f>
      </c>
      <c r="B2776" s="46" t="s">
        <v>1178</v>
      </c>
      <c r="C2776" s="46">
        <v>82629</v>
      </c>
      <c r="D2776" s="46" t="s">
        <v>4880</v>
      </c>
      <c r="E2776" s="46" t="s">
        <v>4882</v>
      </c>
      <c r="F2776" s="46" t="s">
        <v>24</v>
      </c>
      <c r="G2776" s="47">
        <v>1.02</v>
      </c>
      <c r="H2776" s="48">
        <v>4.263</v>
      </c>
      <c r="I2776" s="48">
        <v>38.37</v>
      </c>
      <c r="J2776" s="49">
        <v>9</v>
      </c>
      <c r="K2776" s="49">
        <v>2</v>
      </c>
      <c r="L2776" s="49">
        <v>7</v>
      </c>
    </row>
    <row r="2777" spans="1:12" x14ac:dyDescent="0.25">
      <c r="A2777" s="45">
        <f>C2777&amp;"."&amp;IFERROR(MID(E2777,FIND("(",E2777)+1,FIND(")",E2777)-FIND("(",E2777)-1),"")</f>
      </c>
      <c r="B2777" s="46" t="s">
        <v>1178</v>
      </c>
      <c r="C2777" s="46">
        <v>82629</v>
      </c>
      <c r="D2777" s="46" t="s">
        <v>4880</v>
      </c>
      <c r="E2777" s="46" t="s">
        <v>4883</v>
      </c>
      <c r="F2777" s="46" t="s">
        <v>24</v>
      </c>
      <c r="G2777" s="47">
        <v>1.02</v>
      </c>
      <c r="H2777" s="48">
        <v>3.836</v>
      </c>
      <c r="I2777" s="48">
        <v>76.73</v>
      </c>
      <c r="J2777" s="49">
        <v>20</v>
      </c>
      <c r="K2777" s="49">
        <v>3</v>
      </c>
      <c r="L2777" s="49">
        <v>17</v>
      </c>
    </row>
    <row r="2778" spans="1:12" x14ac:dyDescent="0.25">
      <c r="A2778" s="45">
        <f>C2778&amp;"."&amp;IFERROR(MID(E2778,FIND("(",E2778)+1,FIND(")",E2778)-FIND("(",E2778)-1),"")</f>
      </c>
      <c r="B2778" s="46" t="s">
        <v>1178</v>
      </c>
      <c r="C2778" s="46">
        <v>82629</v>
      </c>
      <c r="D2778" s="46" t="s">
        <v>4880</v>
      </c>
      <c r="E2778" s="46" t="s">
        <v>4884</v>
      </c>
      <c r="F2778" s="46" t="s">
        <v>24</v>
      </c>
      <c r="G2778" s="47">
        <v>1.02</v>
      </c>
      <c r="H2778" s="48">
        <v>4.591</v>
      </c>
      <c r="I2778" s="48">
        <v>101.003</v>
      </c>
      <c r="J2778" s="49">
        <v>22</v>
      </c>
      <c r="K2778" s="49">
        <v>4</v>
      </c>
      <c r="L2778" s="49">
        <v>18</v>
      </c>
    </row>
    <row r="2779" spans="1:12" x14ac:dyDescent="0.25">
      <c r="A2779" s="45">
        <f>C2779&amp;"."&amp;IFERROR(MID(E2779,FIND("(",E2779)+1,FIND(")",E2779)-FIND("(",E2779)-1),"")</f>
      </c>
      <c r="B2779" s="46" t="s">
        <v>1178</v>
      </c>
      <c r="C2779" s="46">
        <v>82832</v>
      </c>
      <c r="D2779" s="46" t="s">
        <v>4885</v>
      </c>
      <c r="E2779" s="46" t="s">
        <v>4886</v>
      </c>
      <c r="F2779" s="46" t="s">
        <v>26</v>
      </c>
      <c r="G2779" s="47">
        <v>11.12</v>
      </c>
      <c r="H2779" s="48">
        <v>32.71</v>
      </c>
      <c r="I2779" s="48">
        <v>65.42</v>
      </c>
      <c r="J2779" s="49">
        <v>2</v>
      </c>
      <c r="K2779" s="49">
        <v>0</v>
      </c>
      <c r="L2779" s="49">
        <v>2</v>
      </c>
    </row>
    <row r="2780" spans="1:12" x14ac:dyDescent="0.25">
      <c r="A2780" s="45">
        <f>C2780&amp;"."&amp;IFERROR(MID(E2780,FIND("(",E2780)+1,FIND(")",E2780)-FIND("(",E2780)-1),"")</f>
      </c>
      <c r="B2780" s="46" t="s">
        <v>1178</v>
      </c>
      <c r="C2780" s="46">
        <v>82834</v>
      </c>
      <c r="D2780" s="46" t="s">
        <v>4887</v>
      </c>
      <c r="E2780" s="46" t="s">
        <v>4888</v>
      </c>
      <c r="F2780" s="46" t="s">
        <v>24</v>
      </c>
      <c r="G2780" s="47">
        <v>0</v>
      </c>
      <c r="H2780" s="48">
        <v>23.22</v>
      </c>
      <c r="I2780" s="48">
        <v>46.44</v>
      </c>
      <c r="J2780" s="49">
        <v>2</v>
      </c>
      <c r="K2780" s="49">
        <v>0</v>
      </c>
      <c r="L2780" s="49">
        <v>2</v>
      </c>
    </row>
    <row r="2781" spans="1:12" x14ac:dyDescent="0.25">
      <c r="A2781" s="45">
        <f>C2781&amp;"."&amp;IFERROR(MID(E2781,FIND("(",E2781)+1,FIND(")",E2781)-FIND("(",E2781)-1),"")</f>
      </c>
      <c r="B2781" s="46" t="s">
        <v>1178</v>
      </c>
      <c r="C2781" s="46">
        <v>82836</v>
      </c>
      <c r="D2781" s="46" t="s">
        <v>4889</v>
      </c>
      <c r="E2781" s="46" t="s">
        <v>4890</v>
      </c>
      <c r="F2781" s="46" t="s">
        <v>24</v>
      </c>
      <c r="G2781" s="47">
        <v>5.62</v>
      </c>
      <c r="H2781" s="48">
        <v>16.996</v>
      </c>
      <c r="I2781" s="48">
        <v>220.947</v>
      </c>
      <c r="J2781" s="49">
        <v>13</v>
      </c>
      <c r="K2781" s="49">
        <v>0</v>
      </c>
      <c r="L2781" s="49">
        <v>13</v>
      </c>
    </row>
    <row r="2782" spans="1:12" x14ac:dyDescent="0.25">
      <c r="A2782" s="45">
        <f>C2782&amp;"."&amp;IFERROR(MID(E2782,FIND("(",E2782)+1,FIND(")",E2782)-FIND("(",E2782)-1),"")</f>
      </c>
      <c r="B2782" s="46" t="s">
        <v>1178</v>
      </c>
      <c r="C2782" s="46">
        <v>82837</v>
      </c>
      <c r="D2782" s="46" t="s">
        <v>4891</v>
      </c>
      <c r="E2782" s="46" t="s">
        <v>4892</v>
      </c>
      <c r="F2782" s="46" t="s">
        <v>24</v>
      </c>
      <c r="G2782" s="47">
        <v>0.82</v>
      </c>
      <c r="H2782" s="48">
        <v>7.208</v>
      </c>
      <c r="I2782" s="48">
        <v>100.909</v>
      </c>
      <c r="J2782" s="49">
        <v>14</v>
      </c>
      <c r="K2782" s="49">
        <v>1</v>
      </c>
      <c r="L2782" s="49">
        <v>13</v>
      </c>
    </row>
    <row r="2783" spans="1:12" x14ac:dyDescent="0.25">
      <c r="A2783" s="45">
        <f>C2783&amp;"."&amp;IFERROR(MID(E2783,FIND("(",E2783)+1,FIND(")",E2783)-FIND("(",E2783)-1),"")</f>
      </c>
      <c r="B2783" s="46" t="s">
        <v>1178</v>
      </c>
      <c r="C2783" s="46">
        <v>82837</v>
      </c>
      <c r="D2783" s="46" t="s">
        <v>4891</v>
      </c>
      <c r="E2783" s="46" t="s">
        <v>4893</v>
      </c>
      <c r="F2783" s="46" t="s">
        <v>24</v>
      </c>
      <c r="G2783" s="47">
        <v>0.82</v>
      </c>
      <c r="H2783" s="48">
        <v>5.417</v>
      </c>
      <c r="I2783" s="48">
        <v>37.92</v>
      </c>
      <c r="J2783" s="49">
        <v>7</v>
      </c>
      <c r="K2783" s="49">
        <v>0</v>
      </c>
      <c r="L2783" s="49">
        <v>7</v>
      </c>
    </row>
    <row r="2784" spans="1:12" x14ac:dyDescent="0.25">
      <c r="A2784" s="45">
        <f>C2784&amp;"."&amp;IFERROR(MID(E2784,FIND("(",E2784)+1,FIND(")",E2784)-FIND("(",E2784)-1),"")</f>
      </c>
      <c r="B2784" s="46" t="s">
        <v>1178</v>
      </c>
      <c r="C2784" s="46">
        <v>82837</v>
      </c>
      <c r="D2784" s="46" t="s">
        <v>4891</v>
      </c>
      <c r="E2784" s="46" t="s">
        <v>4894</v>
      </c>
      <c r="F2784" s="46" t="s">
        <v>24</v>
      </c>
      <c r="G2784" s="47">
        <v>0.82</v>
      </c>
      <c r="H2784" s="48">
        <v>7.733</v>
      </c>
      <c r="I2784" s="48">
        <v>23.2</v>
      </c>
      <c r="J2784" s="49">
        <v>3</v>
      </c>
      <c r="K2784" s="49">
        <v>0</v>
      </c>
      <c r="L2784" s="49">
        <v>3</v>
      </c>
    </row>
    <row r="2785" spans="1:12" x14ac:dyDescent="0.25">
      <c r="A2785" s="45">
        <f>C2785&amp;"."&amp;IFERROR(MID(E2785,FIND("(",E2785)+1,FIND(")",E2785)-FIND("(",E2785)-1),"")</f>
      </c>
      <c r="B2785" s="46" t="s">
        <v>1178</v>
      </c>
      <c r="C2785" s="46">
        <v>82840</v>
      </c>
      <c r="D2785" s="46" t="s">
        <v>4895</v>
      </c>
      <c r="E2785" s="46" t="s">
        <v>4896</v>
      </c>
      <c r="F2785" s="46" t="s">
        <v>24</v>
      </c>
      <c r="G2785" s="47">
        <v>0.41</v>
      </c>
      <c r="H2785" s="48">
        <v>1.2</v>
      </c>
      <c r="I2785" s="48">
        <v>1.2</v>
      </c>
      <c r="J2785" s="49">
        <v>1</v>
      </c>
      <c r="K2785" s="49">
        <v>0</v>
      </c>
      <c r="L2785" s="49">
        <v>1</v>
      </c>
    </row>
    <row r="2786" spans="1:12" x14ac:dyDescent="0.25">
      <c r="A2786" s="45">
        <f>C2786&amp;"."&amp;IFERROR(MID(E2786,FIND("(",E2786)+1,FIND(")",E2786)-FIND("(",E2786)-1),"")</f>
      </c>
      <c r="B2786" s="46" t="s">
        <v>1178</v>
      </c>
      <c r="C2786" s="46">
        <v>82840</v>
      </c>
      <c r="D2786" s="46" t="s">
        <v>4895</v>
      </c>
      <c r="E2786" s="46" t="s">
        <v>4897</v>
      </c>
      <c r="F2786" s="46" t="s">
        <v>24</v>
      </c>
      <c r="G2786" s="47">
        <v>0.41</v>
      </c>
      <c r="H2786" s="48">
        <v>1.2</v>
      </c>
      <c r="I2786" s="48">
        <v>2.4</v>
      </c>
      <c r="J2786" s="49">
        <v>2</v>
      </c>
      <c r="K2786" s="49">
        <v>0</v>
      </c>
      <c r="L2786" s="49">
        <v>2</v>
      </c>
    </row>
    <row r="2787" spans="1:12" x14ac:dyDescent="0.25">
      <c r="A2787" s="45">
        <f>C2787&amp;"."&amp;IFERROR(MID(E2787,FIND("(",E2787)+1,FIND(")",E2787)-FIND("(",E2787)-1),"")</f>
      </c>
      <c r="B2787" s="46" t="s">
        <v>1178</v>
      </c>
      <c r="C2787" s="46">
        <v>82886</v>
      </c>
      <c r="D2787" s="46" t="s">
        <v>4898</v>
      </c>
      <c r="E2787" s="46" t="s">
        <v>4899</v>
      </c>
      <c r="F2787" s="46" t="s">
        <v>26</v>
      </c>
      <c r="G2787" s="47">
        <v>0.32</v>
      </c>
      <c r="H2787" s="48">
        <v>0.91</v>
      </c>
      <c r="I2787" s="48">
        <v>1.82</v>
      </c>
      <c r="J2787" s="49">
        <v>2</v>
      </c>
      <c r="K2787" s="49">
        <v>0</v>
      </c>
      <c r="L2787" s="49">
        <v>2</v>
      </c>
    </row>
    <row r="2788" spans="1:12" x14ac:dyDescent="0.25">
      <c r="A2788" s="45">
        <f>C2788&amp;"."&amp;IFERROR(MID(E2788,FIND("(",E2788)+1,FIND(")",E2788)-FIND("(",E2788)-1),"")</f>
      </c>
      <c r="B2788" s="46" t="s">
        <v>1178</v>
      </c>
      <c r="C2788" s="46">
        <v>82892</v>
      </c>
      <c r="D2788" s="46" t="s">
        <v>4900</v>
      </c>
      <c r="E2788" s="46" t="s">
        <v>4901</v>
      </c>
      <c r="F2788" s="46" t="s">
        <v>26</v>
      </c>
      <c r="G2788" s="47">
        <v>7.08</v>
      </c>
      <c r="H2788" s="48">
        <v>23.53</v>
      </c>
      <c r="I2788" s="48">
        <v>23.53</v>
      </c>
      <c r="J2788" s="49">
        <v>1</v>
      </c>
      <c r="K2788" s="49">
        <v>0</v>
      </c>
      <c r="L2788" s="49">
        <v>1</v>
      </c>
    </row>
    <row r="2789" spans="1:12" x14ac:dyDescent="0.25">
      <c r="A2789" s="45">
        <f>C2789&amp;"."&amp;IFERROR(MID(E2789,FIND("(",E2789)+1,FIND(")",E2789)-FIND("(",E2789)-1),"")</f>
      </c>
      <c r="B2789" s="46" t="s">
        <v>1178</v>
      </c>
      <c r="C2789" s="46">
        <v>82892</v>
      </c>
      <c r="D2789" s="46" t="s">
        <v>4900</v>
      </c>
      <c r="E2789" s="46" t="s">
        <v>4902</v>
      </c>
      <c r="F2789" s="46" t="s">
        <v>26</v>
      </c>
      <c r="G2789" s="47">
        <v>7.08</v>
      </c>
      <c r="H2789" s="48">
        <v>23.53</v>
      </c>
      <c r="I2789" s="48">
        <v>94.12</v>
      </c>
      <c r="J2789" s="49">
        <v>4</v>
      </c>
      <c r="K2789" s="49">
        <v>0</v>
      </c>
      <c r="L2789" s="49">
        <v>4</v>
      </c>
    </row>
    <row r="2790" spans="1:12" x14ac:dyDescent="0.25">
      <c r="A2790" s="45">
        <f>C2790&amp;"."&amp;IFERROR(MID(E2790,FIND("(",E2790)+1,FIND(")",E2790)-FIND("(",E2790)-1),"")</f>
      </c>
      <c r="B2790" s="46" t="s">
        <v>1178</v>
      </c>
      <c r="C2790" s="46">
        <v>82893</v>
      </c>
      <c r="D2790" s="46" t="s">
        <v>4903</v>
      </c>
      <c r="E2790" s="46" t="s">
        <v>4904</v>
      </c>
      <c r="F2790" s="46" t="s">
        <v>26</v>
      </c>
      <c r="G2790" s="47">
        <v>7.08</v>
      </c>
      <c r="H2790" s="48">
        <v>23.53</v>
      </c>
      <c r="I2790" s="48">
        <v>70.59</v>
      </c>
      <c r="J2790" s="49">
        <v>3</v>
      </c>
      <c r="K2790" s="49">
        <v>0</v>
      </c>
      <c r="L2790" s="49">
        <v>3</v>
      </c>
    </row>
    <row r="2791" spans="1:12" x14ac:dyDescent="0.25">
      <c r="A2791" s="45">
        <f>C2791&amp;"."&amp;IFERROR(MID(E2791,FIND("(",E2791)+1,FIND(")",E2791)-FIND("(",E2791)-1),"")</f>
      </c>
      <c r="B2791" s="46" t="s">
        <v>1178</v>
      </c>
      <c r="C2791" s="46">
        <v>82896</v>
      </c>
      <c r="D2791" s="46" t="s">
        <v>4905</v>
      </c>
      <c r="E2791" s="46" t="s">
        <v>4906</v>
      </c>
      <c r="F2791" s="46" t="s">
        <v>26</v>
      </c>
      <c r="G2791" s="47">
        <v>5.56</v>
      </c>
      <c r="H2791" s="48">
        <v>16.68</v>
      </c>
      <c r="I2791" s="48">
        <v>16.68</v>
      </c>
      <c r="J2791" s="49">
        <v>1</v>
      </c>
      <c r="K2791" s="49">
        <v>0</v>
      </c>
      <c r="L2791" s="49">
        <v>1</v>
      </c>
    </row>
    <row r="2792" spans="1:12" x14ac:dyDescent="0.25">
      <c r="A2792" s="45">
        <f>C2792&amp;"."&amp;IFERROR(MID(E2792,FIND("(",E2792)+1,FIND(")",E2792)-FIND("(",E2792)-1),"")</f>
      </c>
      <c r="B2792" s="46" t="s">
        <v>1178</v>
      </c>
      <c r="C2792" s="46">
        <v>82901</v>
      </c>
      <c r="D2792" s="46" t="s">
        <v>4907</v>
      </c>
      <c r="E2792" s="46" t="s">
        <v>4908</v>
      </c>
      <c r="F2792" s="46" t="s">
        <v>26</v>
      </c>
      <c r="G2792" s="47">
        <v>1.13</v>
      </c>
      <c r="H2792" s="48">
        <v>3.38</v>
      </c>
      <c r="I2792" s="48">
        <v>6.76</v>
      </c>
      <c r="J2792" s="49">
        <v>2</v>
      </c>
      <c r="K2792" s="49">
        <v>0</v>
      </c>
      <c r="L2792" s="49">
        <v>2</v>
      </c>
    </row>
    <row r="2793" spans="1:12" x14ac:dyDescent="0.25">
      <c r="A2793" s="45">
        <f>C2793&amp;"."&amp;IFERROR(MID(E2793,FIND("(",E2793)+1,FIND(")",E2793)-FIND("(",E2793)-1),"")</f>
      </c>
      <c r="B2793" s="46" t="s">
        <v>1178</v>
      </c>
      <c r="C2793" s="46">
        <v>82902</v>
      </c>
      <c r="D2793" s="46" t="s">
        <v>4909</v>
      </c>
      <c r="E2793" s="46" t="s">
        <v>1248</v>
      </c>
      <c r="F2793" s="46" t="s">
        <v>26</v>
      </c>
      <c r="G2793" s="47">
        <v>1.13</v>
      </c>
      <c r="H2793" s="48">
        <v>2.82</v>
      </c>
      <c r="I2793" s="48">
        <v>11.28</v>
      </c>
      <c r="J2793" s="49">
        <v>4</v>
      </c>
      <c r="K2793" s="49">
        <v>0</v>
      </c>
      <c r="L2793" s="49">
        <v>4</v>
      </c>
    </row>
    <row r="2794" spans="1:12" x14ac:dyDescent="0.25">
      <c r="A2794" s="45">
        <f>C2794&amp;"."&amp;IFERROR(MID(E2794,FIND("(",E2794)+1,FIND(")",E2794)-FIND("(",E2794)-1),"")</f>
      </c>
      <c r="B2794" s="46" t="s">
        <v>1178</v>
      </c>
      <c r="C2794" s="46">
        <v>82904</v>
      </c>
      <c r="D2794" s="46" t="s">
        <v>4910</v>
      </c>
      <c r="E2794" s="46" t="s">
        <v>4911</v>
      </c>
      <c r="F2794" s="46" t="s">
        <v>26</v>
      </c>
      <c r="G2794" s="47">
        <v>4.8</v>
      </c>
      <c r="H2794" s="48">
        <v>15.24</v>
      </c>
      <c r="I2794" s="48">
        <v>30.48</v>
      </c>
      <c r="J2794" s="49">
        <v>2</v>
      </c>
      <c r="K2794" s="49">
        <v>0</v>
      </c>
      <c r="L2794" s="49">
        <v>2</v>
      </c>
    </row>
    <row r="2795" spans="1:12" x14ac:dyDescent="0.25">
      <c r="A2795" s="45">
        <f>C2795&amp;"."&amp;IFERROR(MID(E2795,FIND("(",E2795)+1,FIND(")",E2795)-FIND("(",E2795)-1),"")</f>
      </c>
      <c r="B2795" s="46" t="s">
        <v>1178</v>
      </c>
      <c r="C2795" s="46">
        <v>82912</v>
      </c>
      <c r="D2795" s="46" t="s">
        <v>4912</v>
      </c>
      <c r="E2795" s="46" t="s">
        <v>4913</v>
      </c>
      <c r="F2795" s="46" t="s">
        <v>26</v>
      </c>
      <c r="G2795" s="47">
        <v>1.27</v>
      </c>
      <c r="H2795" s="48">
        <v>3.99</v>
      </c>
      <c r="I2795" s="48">
        <v>11.97</v>
      </c>
      <c r="J2795" s="49">
        <v>3</v>
      </c>
      <c r="K2795" s="49">
        <v>0</v>
      </c>
      <c r="L2795" s="49">
        <v>3</v>
      </c>
    </row>
    <row r="2796" spans="1:12" x14ac:dyDescent="0.25">
      <c r="A2796" s="45">
        <f>C2796&amp;"."&amp;IFERROR(MID(E2796,FIND("(",E2796)+1,FIND(")",E2796)-FIND("(",E2796)-1),"")</f>
      </c>
      <c r="B2796" s="46" t="s">
        <v>1178</v>
      </c>
      <c r="C2796" s="46">
        <v>82912</v>
      </c>
      <c r="D2796" s="46" t="s">
        <v>4912</v>
      </c>
      <c r="E2796" s="46" t="s">
        <v>4914</v>
      </c>
      <c r="F2796" s="46" t="s">
        <v>26</v>
      </c>
      <c r="G2796" s="47">
        <v>1.27</v>
      </c>
      <c r="H2796" s="48">
        <v>3.99</v>
      </c>
      <c r="I2796" s="48">
        <v>3.99</v>
      </c>
      <c r="J2796" s="49">
        <v>1</v>
      </c>
      <c r="K2796" s="49">
        <v>0</v>
      </c>
      <c r="L2796" s="49">
        <v>1</v>
      </c>
    </row>
    <row r="2797" spans="1:12" x14ac:dyDescent="0.25">
      <c r="A2797" s="45">
        <f>C2797&amp;"."&amp;IFERROR(MID(E2797,FIND("(",E2797)+1,FIND(")",E2797)-FIND("(",E2797)-1),"")</f>
      </c>
      <c r="B2797" s="46" t="s">
        <v>1178</v>
      </c>
      <c r="C2797" s="46">
        <v>82914</v>
      </c>
      <c r="D2797" s="46" t="s">
        <v>4915</v>
      </c>
      <c r="E2797" s="46" t="s">
        <v>4916</v>
      </c>
      <c r="F2797" s="46" t="s">
        <v>26</v>
      </c>
      <c r="G2797" s="47">
        <v>0.72</v>
      </c>
      <c r="H2797" s="48">
        <v>2.51</v>
      </c>
      <c r="I2797" s="48">
        <v>5.02</v>
      </c>
      <c r="J2797" s="49">
        <v>2</v>
      </c>
      <c r="K2797" s="49">
        <v>0</v>
      </c>
      <c r="L2797" s="49">
        <v>2</v>
      </c>
    </row>
    <row r="2798" spans="1:12" x14ac:dyDescent="0.25">
      <c r="A2798" s="45">
        <f>C2798&amp;"."&amp;IFERROR(MID(E2798,FIND("(",E2798)+1,FIND(")",E2798)-FIND("(",E2798)-1),"")</f>
      </c>
      <c r="B2798" s="46" t="s">
        <v>1178</v>
      </c>
      <c r="C2798" s="46">
        <v>83251</v>
      </c>
      <c r="D2798" s="46" t="s">
        <v>359</v>
      </c>
      <c r="E2798" s="46" t="s">
        <v>4917</v>
      </c>
      <c r="F2798" s="46" t="s">
        <v>25</v>
      </c>
      <c r="G2798" s="47">
        <v>16.24</v>
      </c>
      <c r="H2798" s="48">
        <v>98.8</v>
      </c>
      <c r="I2798" s="48">
        <v>11855.973</v>
      </c>
      <c r="J2798" s="49">
        <v>120</v>
      </c>
      <c r="K2798" s="49">
        <v>120</v>
      </c>
      <c r="L2798" s="49">
        <v>0</v>
      </c>
    </row>
    <row r="2799" spans="1:12" x14ac:dyDescent="0.25">
      <c r="A2799" s="45">
        <f>C2799&amp;"."&amp;IFERROR(MID(E2799,FIND("(",E2799)+1,FIND(")",E2799)-FIND("(",E2799)-1),"")</f>
      </c>
      <c r="B2799" s="46" t="s">
        <v>1178</v>
      </c>
      <c r="C2799" s="46">
        <v>83251</v>
      </c>
      <c r="D2799" s="46" t="s">
        <v>359</v>
      </c>
      <c r="E2799" s="46" t="s">
        <v>4918</v>
      </c>
      <c r="F2799" s="46" t="s">
        <v>25</v>
      </c>
      <c r="G2799" s="47">
        <v>16.24</v>
      </c>
      <c r="H2799" s="48">
        <v>96.62</v>
      </c>
      <c r="I2799" s="48">
        <v>2415.494</v>
      </c>
      <c r="J2799" s="49">
        <v>25</v>
      </c>
      <c r="K2799" s="49">
        <v>25</v>
      </c>
      <c r="L2799" s="49">
        <v>0</v>
      </c>
    </row>
    <row r="2800" spans="1:12" x14ac:dyDescent="0.25">
      <c r="A2800" s="45">
        <f>C2800&amp;"."&amp;IFERROR(MID(E2800,FIND("(",E2800)+1,FIND(")",E2800)-FIND("(",E2800)-1),"")</f>
      </c>
      <c r="B2800" s="46" t="s">
        <v>1178</v>
      </c>
      <c r="C2800" s="46">
        <v>83251</v>
      </c>
      <c r="D2800" s="46" t="s">
        <v>359</v>
      </c>
      <c r="E2800" s="46" t="s">
        <v>4919</v>
      </c>
      <c r="F2800" s="46" t="s">
        <v>25</v>
      </c>
      <c r="G2800" s="47">
        <v>16.24</v>
      </c>
      <c r="H2800" s="48">
        <v>98.76</v>
      </c>
      <c r="I2800" s="48">
        <v>2073.955</v>
      </c>
      <c r="J2800" s="49">
        <v>21</v>
      </c>
      <c r="K2800" s="49">
        <v>21</v>
      </c>
      <c r="L2800" s="49">
        <v>0</v>
      </c>
    </row>
    <row r="2801" spans="1:12" x14ac:dyDescent="0.25">
      <c r="A2801" s="45">
        <f>C2801&amp;"."&amp;IFERROR(MID(E2801,FIND("(",E2801)+1,FIND(")",E2801)-FIND("(",E2801)-1),"")</f>
      </c>
      <c r="B2801" s="46" t="s">
        <v>1178</v>
      </c>
      <c r="C2801" s="46">
        <v>83251</v>
      </c>
      <c r="D2801" s="46" t="s">
        <v>359</v>
      </c>
      <c r="E2801" s="46" t="s">
        <v>4920</v>
      </c>
      <c r="F2801" s="46" t="s">
        <v>25</v>
      </c>
      <c r="G2801" s="47">
        <v>16.24</v>
      </c>
      <c r="H2801" s="48">
        <v>104.504</v>
      </c>
      <c r="I2801" s="48">
        <v>60089.952</v>
      </c>
      <c r="J2801" s="49">
        <v>575</v>
      </c>
      <c r="K2801" s="49">
        <v>239</v>
      </c>
      <c r="L2801" s="49">
        <v>336</v>
      </c>
    </row>
    <row r="2802" spans="1:12" x14ac:dyDescent="0.25">
      <c r="A2802" s="45">
        <f>C2802&amp;"."&amp;IFERROR(MID(E2802,FIND("(",E2802)+1,FIND(")",E2802)-FIND("(",E2802)-1),"")</f>
      </c>
      <c r="B2802" s="46" t="s">
        <v>1178</v>
      </c>
      <c r="C2802" s="46">
        <v>83251</v>
      </c>
      <c r="D2802" s="46" t="s">
        <v>359</v>
      </c>
      <c r="E2802" s="46" t="s">
        <v>4921</v>
      </c>
      <c r="F2802" s="46" t="s">
        <v>25</v>
      </c>
      <c r="G2802" s="47">
        <v>16.24</v>
      </c>
      <c r="H2802" s="48">
        <v>114.459</v>
      </c>
      <c r="I2802" s="48">
        <v>24150.801</v>
      </c>
      <c r="J2802" s="49">
        <v>211</v>
      </c>
      <c r="K2802" s="49">
        <v>95</v>
      </c>
      <c r="L2802" s="49">
        <v>116</v>
      </c>
    </row>
    <row r="2803" spans="1:12" x14ac:dyDescent="0.25">
      <c r="A2803" s="45">
        <f>C2803&amp;"."&amp;IFERROR(MID(E2803,FIND("(",E2803)+1,FIND(")",E2803)-FIND("(",E2803)-1),"")</f>
      </c>
      <c r="B2803" s="46" t="s">
        <v>1178</v>
      </c>
      <c r="C2803" s="46">
        <v>83251</v>
      </c>
      <c r="D2803" s="46" t="s">
        <v>359</v>
      </c>
      <c r="E2803" s="46" t="s">
        <v>4922</v>
      </c>
      <c r="F2803" s="46" t="s">
        <v>25</v>
      </c>
      <c r="G2803" s="47">
        <v>16.24</v>
      </c>
      <c r="H2803" s="48">
        <v>118.789</v>
      </c>
      <c r="I2803" s="48">
        <v>22213.633</v>
      </c>
      <c r="J2803" s="49">
        <v>187</v>
      </c>
      <c r="K2803" s="49">
        <v>133</v>
      </c>
      <c r="L2803" s="49">
        <v>54</v>
      </c>
    </row>
    <row r="2804" spans="1:12" x14ac:dyDescent="0.25">
      <c r="A2804" s="45">
        <f>C2804&amp;"."&amp;IFERROR(MID(E2804,FIND("(",E2804)+1,FIND(")",E2804)-FIND("(",E2804)-1),"")</f>
      </c>
      <c r="B2804" s="46" t="s">
        <v>1178</v>
      </c>
      <c r="C2804" s="46">
        <v>83252</v>
      </c>
      <c r="D2804" s="46" t="s">
        <v>4923</v>
      </c>
      <c r="E2804" s="46" t="s">
        <v>1248</v>
      </c>
      <c r="F2804" s="46" t="s">
        <v>25</v>
      </c>
      <c r="G2804" s="47">
        <v>0</v>
      </c>
      <c r="H2804" s="48">
        <v>0.915</v>
      </c>
      <c r="I2804" s="48">
        <v>7.318</v>
      </c>
      <c r="J2804" s="49">
        <v>8</v>
      </c>
      <c r="K2804" s="49">
        <v>0</v>
      </c>
      <c r="L2804" s="49">
        <v>8</v>
      </c>
    </row>
    <row r="2805" spans="1:12" x14ac:dyDescent="0.25">
      <c r="A2805" s="45">
        <f>C2805&amp;"."&amp;IFERROR(MID(E2805,FIND("(",E2805)+1,FIND(")",E2805)-FIND("(",E2805)-1),"")</f>
      </c>
      <c r="B2805" s="46" t="s">
        <v>1178</v>
      </c>
      <c r="C2805" s="46">
        <v>83256</v>
      </c>
      <c r="D2805" s="46" t="s">
        <v>4924</v>
      </c>
      <c r="E2805" s="46" t="s">
        <v>1248</v>
      </c>
      <c r="F2805" s="46" t="s">
        <v>25</v>
      </c>
      <c r="G2805" s="47">
        <v>0.26</v>
      </c>
      <c r="H2805" s="48">
        <v>1.84</v>
      </c>
      <c r="I2805" s="48">
        <v>1.84</v>
      </c>
      <c r="J2805" s="49">
        <v>1</v>
      </c>
      <c r="K2805" s="49">
        <v>0</v>
      </c>
      <c r="L2805" s="49">
        <v>1</v>
      </c>
    </row>
    <row r="2806" spans="1:12" x14ac:dyDescent="0.25">
      <c r="A2806" s="45">
        <f>C2806&amp;"."&amp;IFERROR(MID(E2806,FIND("(",E2806)+1,FIND(")",E2806)-FIND("(",E2806)-1),"")</f>
      </c>
      <c r="B2806" s="46" t="s">
        <v>1178</v>
      </c>
      <c r="C2806" s="46">
        <v>83257</v>
      </c>
      <c r="D2806" s="46" t="s">
        <v>4925</v>
      </c>
      <c r="E2806" s="46" t="s">
        <v>4926</v>
      </c>
      <c r="F2806" s="46" t="s">
        <v>25</v>
      </c>
      <c r="G2806" s="47">
        <v>0.89</v>
      </c>
      <c r="H2806" s="48">
        <v>6.777</v>
      </c>
      <c r="I2806" s="48">
        <v>60.993</v>
      </c>
      <c r="J2806" s="49">
        <v>9</v>
      </c>
      <c r="K2806" s="49">
        <v>0</v>
      </c>
      <c r="L2806" s="49">
        <v>9</v>
      </c>
    </row>
    <row r="2807" spans="1:12" x14ac:dyDescent="0.25">
      <c r="A2807" s="45">
        <f>C2807&amp;"."&amp;IFERROR(MID(E2807,FIND("(",E2807)+1,FIND(")",E2807)-FIND("(",E2807)-1),"")</f>
      </c>
      <c r="B2807" s="46" t="s">
        <v>1178</v>
      </c>
      <c r="C2807" s="46">
        <v>83257</v>
      </c>
      <c r="D2807" s="46" t="s">
        <v>4925</v>
      </c>
      <c r="E2807" s="46" t="s">
        <v>4927</v>
      </c>
      <c r="F2807" s="46" t="s">
        <v>25</v>
      </c>
      <c r="G2807" s="47">
        <v>0.89</v>
      </c>
      <c r="H2807" s="48">
        <v>6.331</v>
      </c>
      <c r="I2807" s="48">
        <v>25.326</v>
      </c>
      <c r="J2807" s="49">
        <v>4</v>
      </c>
      <c r="K2807" s="49">
        <v>0</v>
      </c>
      <c r="L2807" s="49">
        <v>4</v>
      </c>
    </row>
    <row r="2808" spans="1:12" x14ac:dyDescent="0.25">
      <c r="A2808" s="45">
        <f>C2808&amp;"."&amp;IFERROR(MID(E2808,FIND("(",E2808)+1,FIND(")",E2808)-FIND("(",E2808)-1),"")</f>
      </c>
      <c r="B2808" s="46" t="s">
        <v>1178</v>
      </c>
      <c r="C2808" s="46">
        <v>83257</v>
      </c>
      <c r="D2808" s="46" t="s">
        <v>4925</v>
      </c>
      <c r="E2808" s="46" t="s">
        <v>4928</v>
      </c>
      <c r="F2808" s="46" t="s">
        <v>25</v>
      </c>
      <c r="G2808" s="47">
        <v>0.89</v>
      </c>
      <c r="H2808" s="48">
        <v>6.572</v>
      </c>
      <c r="I2808" s="48">
        <v>26.286</v>
      </c>
      <c r="J2808" s="49">
        <v>4</v>
      </c>
      <c r="K2808" s="49">
        <v>0</v>
      </c>
      <c r="L2808" s="49">
        <v>4</v>
      </c>
    </row>
    <row r="2809" spans="1:12" x14ac:dyDescent="0.25">
      <c r="A2809" s="45">
        <f>C2809&amp;"."&amp;IFERROR(MID(E2809,FIND("(",E2809)+1,FIND(")",E2809)-FIND("(",E2809)-1),"")</f>
      </c>
      <c r="B2809" s="46" t="s">
        <v>1178</v>
      </c>
      <c r="C2809" s="46">
        <v>83257</v>
      </c>
      <c r="D2809" s="46" t="s">
        <v>4925</v>
      </c>
      <c r="E2809" s="46" t="s">
        <v>4929</v>
      </c>
      <c r="F2809" s="46" t="s">
        <v>25</v>
      </c>
      <c r="G2809" s="47">
        <v>0.89</v>
      </c>
      <c r="H2809" s="48">
        <v>7.01</v>
      </c>
      <c r="I2809" s="48">
        <v>56.084</v>
      </c>
      <c r="J2809" s="49">
        <v>8</v>
      </c>
      <c r="K2809" s="49">
        <v>0</v>
      </c>
      <c r="L2809" s="49">
        <v>8</v>
      </c>
    </row>
    <row r="2810" spans="1:12" x14ac:dyDescent="0.25">
      <c r="A2810" s="45">
        <f>C2810&amp;"."&amp;IFERROR(MID(E2810,FIND("(",E2810)+1,FIND(")",E2810)-FIND("(",E2810)-1),"")</f>
      </c>
      <c r="B2810" s="46" t="s">
        <v>1178</v>
      </c>
      <c r="C2810" s="46">
        <v>83259</v>
      </c>
      <c r="D2810" s="46" t="s">
        <v>4930</v>
      </c>
      <c r="E2810" s="46" t="s">
        <v>4931</v>
      </c>
      <c r="F2810" s="46" t="s">
        <v>25</v>
      </c>
      <c r="G2810" s="47">
        <v>0.89</v>
      </c>
      <c r="H2810" s="48">
        <v>7.592</v>
      </c>
      <c r="I2810" s="48">
        <v>75.915</v>
      </c>
      <c r="J2810" s="49">
        <v>10</v>
      </c>
      <c r="K2810" s="49">
        <v>0</v>
      </c>
      <c r="L2810" s="49">
        <v>10</v>
      </c>
    </row>
    <row r="2811" spans="1:12" x14ac:dyDescent="0.25">
      <c r="A2811" s="45">
        <f>C2811&amp;"."&amp;IFERROR(MID(E2811,FIND("(",E2811)+1,FIND(")",E2811)-FIND("(",E2811)-1),"")</f>
      </c>
      <c r="B2811" s="46" t="s">
        <v>1178</v>
      </c>
      <c r="C2811" s="46">
        <v>83259</v>
      </c>
      <c r="D2811" s="46" t="s">
        <v>4930</v>
      </c>
      <c r="E2811" s="46" t="s">
        <v>4932</v>
      </c>
      <c r="F2811" s="46" t="s">
        <v>25</v>
      </c>
      <c r="G2811" s="47">
        <v>0.89</v>
      </c>
      <c r="H2811" s="48">
        <v>6.28</v>
      </c>
      <c r="I2811" s="48">
        <v>12.56</v>
      </c>
      <c r="J2811" s="49">
        <v>2</v>
      </c>
      <c r="K2811" s="49">
        <v>0</v>
      </c>
      <c r="L2811" s="49">
        <v>2</v>
      </c>
    </row>
    <row r="2812" spans="1:12" x14ac:dyDescent="0.25">
      <c r="A2812" s="45">
        <f>C2812&amp;"."&amp;IFERROR(MID(E2812,FIND("(",E2812)+1,FIND(")",E2812)-FIND("(",E2812)-1),"")</f>
      </c>
      <c r="B2812" s="46" t="s">
        <v>1178</v>
      </c>
      <c r="C2812" s="46">
        <v>83259</v>
      </c>
      <c r="D2812" s="46" t="s">
        <v>4930</v>
      </c>
      <c r="E2812" s="46" t="s">
        <v>4933</v>
      </c>
      <c r="F2812" s="46" t="s">
        <v>25</v>
      </c>
      <c r="G2812" s="47">
        <v>0.89</v>
      </c>
      <c r="H2812" s="48">
        <v>6.841</v>
      </c>
      <c r="I2812" s="48">
        <v>54.731</v>
      </c>
      <c r="J2812" s="49">
        <v>8</v>
      </c>
      <c r="K2812" s="49">
        <v>0</v>
      </c>
      <c r="L2812" s="49">
        <v>8</v>
      </c>
    </row>
    <row r="2813" spans="1:12" x14ac:dyDescent="0.25">
      <c r="A2813" s="45">
        <f>C2813&amp;"."&amp;IFERROR(MID(E2813,FIND("(",E2813)+1,FIND(")",E2813)-FIND("(",E2813)-1),"")</f>
      </c>
      <c r="B2813" s="46" t="s">
        <v>1178</v>
      </c>
      <c r="C2813" s="46">
        <v>83260</v>
      </c>
      <c r="D2813" s="46" t="s">
        <v>4934</v>
      </c>
      <c r="E2813" s="46" t="s">
        <v>1248</v>
      </c>
      <c r="F2813" s="46" t="s">
        <v>25</v>
      </c>
      <c r="G2813" s="47">
        <v>0.19</v>
      </c>
      <c r="H2813" s="48">
        <v>20.755</v>
      </c>
      <c r="I2813" s="48">
        <v>186.798</v>
      </c>
      <c r="J2813" s="49">
        <v>9</v>
      </c>
      <c r="K2813" s="49">
        <v>1</v>
      </c>
      <c r="L2813" s="49">
        <v>8</v>
      </c>
    </row>
    <row r="2814" spans="1:12" x14ac:dyDescent="0.25">
      <c r="A2814" s="45">
        <f>C2814&amp;"."&amp;IFERROR(MID(E2814,FIND("(",E2814)+1,FIND(")",E2814)-FIND("(",E2814)-1),"")</f>
      </c>
      <c r="B2814" s="46" t="s">
        <v>1178</v>
      </c>
      <c r="C2814" s="46">
        <v>83264</v>
      </c>
      <c r="D2814" s="46" t="s">
        <v>4935</v>
      </c>
      <c r="E2814" s="46" t="s">
        <v>4936</v>
      </c>
      <c r="F2814" s="46" t="s">
        <v>25</v>
      </c>
      <c r="G2814" s="47">
        <v>1.32</v>
      </c>
      <c r="H2814" s="48">
        <v>5.173</v>
      </c>
      <c r="I2814" s="48">
        <v>36.208</v>
      </c>
      <c r="J2814" s="49">
        <v>7</v>
      </c>
      <c r="K2814" s="49">
        <v>0</v>
      </c>
      <c r="L2814" s="49">
        <v>7</v>
      </c>
    </row>
    <row r="2815" spans="1:12" x14ac:dyDescent="0.25">
      <c r="A2815" s="45">
        <f>C2815&amp;"."&amp;IFERROR(MID(E2815,FIND("(",E2815)+1,FIND(")",E2815)-FIND("(",E2815)-1),"")</f>
      </c>
      <c r="B2815" s="46" t="s">
        <v>1178</v>
      </c>
      <c r="C2815" s="46">
        <v>83265</v>
      </c>
      <c r="D2815" s="46" t="s">
        <v>4937</v>
      </c>
      <c r="E2815" s="46" t="s">
        <v>4938</v>
      </c>
      <c r="F2815" s="46" t="s">
        <v>25</v>
      </c>
      <c r="G2815" s="47">
        <v>1.32</v>
      </c>
      <c r="H2815" s="48">
        <v>5.131</v>
      </c>
      <c r="I2815" s="48">
        <v>20.524</v>
      </c>
      <c r="J2815" s="49">
        <v>4</v>
      </c>
      <c r="K2815" s="49">
        <v>0</v>
      </c>
      <c r="L2815" s="49">
        <v>4</v>
      </c>
    </row>
    <row r="2816" spans="1:12" x14ac:dyDescent="0.25">
      <c r="A2816" s="45">
        <f>C2816&amp;"."&amp;IFERROR(MID(E2816,FIND("(",E2816)+1,FIND(")",E2816)-FIND("(",E2816)-1),"")</f>
      </c>
      <c r="B2816" s="46" t="s">
        <v>1178</v>
      </c>
      <c r="C2816" s="46">
        <v>83266</v>
      </c>
      <c r="D2816" s="46" t="s">
        <v>4939</v>
      </c>
      <c r="E2816" s="46" t="s">
        <v>4940</v>
      </c>
      <c r="F2816" s="46" t="s">
        <v>25</v>
      </c>
      <c r="G2816" s="47">
        <v>0.22</v>
      </c>
      <c r="H2816" s="48">
        <v>3.22</v>
      </c>
      <c r="I2816" s="48">
        <v>22.541</v>
      </c>
      <c r="J2816" s="49">
        <v>7</v>
      </c>
      <c r="K2816" s="49">
        <v>0</v>
      </c>
      <c r="L2816" s="49">
        <v>7</v>
      </c>
    </row>
    <row r="2817" spans="1:12" x14ac:dyDescent="0.25">
      <c r="A2817" s="45">
        <f>C2817&amp;"."&amp;IFERROR(MID(E2817,FIND("(",E2817)+1,FIND(")",E2817)-FIND("(",E2817)-1),"")</f>
      </c>
      <c r="B2817" s="46" t="s">
        <v>1178</v>
      </c>
      <c r="C2817" s="46">
        <v>83266</v>
      </c>
      <c r="D2817" s="46" t="s">
        <v>4939</v>
      </c>
      <c r="E2817" s="46" t="s">
        <v>4941</v>
      </c>
      <c r="F2817" s="46" t="s">
        <v>25</v>
      </c>
      <c r="G2817" s="47">
        <v>0.22</v>
      </c>
      <c r="H2817" s="48">
        <v>3.359</v>
      </c>
      <c r="I2817" s="48">
        <v>30.233</v>
      </c>
      <c r="J2817" s="49">
        <v>9</v>
      </c>
      <c r="K2817" s="49">
        <v>0</v>
      </c>
      <c r="L2817" s="49">
        <v>9</v>
      </c>
    </row>
    <row r="2818" spans="1:12" x14ac:dyDescent="0.25">
      <c r="A2818" s="45">
        <f>C2818&amp;"."&amp;IFERROR(MID(E2818,FIND("(",E2818)+1,FIND(")",E2818)-FIND("(",E2818)-1),"")</f>
      </c>
      <c r="B2818" s="46" t="s">
        <v>1178</v>
      </c>
      <c r="C2818" s="46">
        <v>83266</v>
      </c>
      <c r="D2818" s="46" t="s">
        <v>4939</v>
      </c>
      <c r="E2818" s="46" t="s">
        <v>4942</v>
      </c>
      <c r="F2818" s="46" t="s">
        <v>25</v>
      </c>
      <c r="G2818" s="47">
        <v>0.22</v>
      </c>
      <c r="H2818" s="48">
        <v>1.6</v>
      </c>
      <c r="I2818" s="48">
        <v>8</v>
      </c>
      <c r="J2818" s="49">
        <v>5</v>
      </c>
      <c r="K2818" s="49">
        <v>0</v>
      </c>
      <c r="L2818" s="49">
        <v>5</v>
      </c>
    </row>
    <row r="2819" spans="1:12" x14ac:dyDescent="0.25">
      <c r="A2819" s="45">
        <f>C2819&amp;"."&amp;IFERROR(MID(E2819,FIND("(",E2819)+1,FIND(")",E2819)-FIND("(",E2819)-1),"")</f>
      </c>
      <c r="B2819" s="46" t="s">
        <v>1178</v>
      </c>
      <c r="C2819" s="46">
        <v>83271</v>
      </c>
      <c r="D2819" s="46" t="s">
        <v>4943</v>
      </c>
      <c r="E2819" s="46" t="s">
        <v>4944</v>
      </c>
      <c r="F2819" s="46" t="s">
        <v>25</v>
      </c>
      <c r="G2819" s="47">
        <v>0.37</v>
      </c>
      <c r="H2819" s="48">
        <v>6.63</v>
      </c>
      <c r="I2819" s="48">
        <v>79.56</v>
      </c>
      <c r="J2819" s="49">
        <v>12</v>
      </c>
      <c r="K2819" s="49">
        <v>0</v>
      </c>
      <c r="L2819" s="49">
        <v>12</v>
      </c>
    </row>
    <row r="2820" spans="1:12" x14ac:dyDescent="0.25">
      <c r="A2820" s="45">
        <f>C2820&amp;"."&amp;IFERROR(MID(E2820,FIND("(",E2820)+1,FIND(")",E2820)-FIND("(",E2820)-1),"")</f>
      </c>
      <c r="B2820" s="46" t="s">
        <v>1178</v>
      </c>
      <c r="C2820" s="46">
        <v>83271</v>
      </c>
      <c r="D2820" s="46" t="s">
        <v>4943</v>
      </c>
      <c r="E2820" s="46" t="s">
        <v>4945</v>
      </c>
      <c r="F2820" s="46" t="s">
        <v>25</v>
      </c>
      <c r="G2820" s="47">
        <v>0.37</v>
      </c>
      <c r="H2820" s="48">
        <v>0.826</v>
      </c>
      <c r="I2820" s="48">
        <v>2.479</v>
      </c>
      <c r="J2820" s="49">
        <v>3</v>
      </c>
      <c r="K2820" s="49">
        <v>0</v>
      </c>
      <c r="L2820" s="49">
        <v>3</v>
      </c>
    </row>
    <row r="2821" spans="1:12" x14ac:dyDescent="0.25">
      <c r="A2821" s="45">
        <f>C2821&amp;"."&amp;IFERROR(MID(E2821,FIND("(",E2821)+1,FIND(")",E2821)-FIND("(",E2821)-1),"")</f>
      </c>
      <c r="B2821" s="46" t="s">
        <v>1178</v>
      </c>
      <c r="C2821" s="46">
        <v>83418</v>
      </c>
      <c r="D2821" s="46" t="s">
        <v>4946</v>
      </c>
      <c r="E2821" s="46" t="s">
        <v>1248</v>
      </c>
      <c r="F2821" s="46" t="s">
        <v>1495</v>
      </c>
      <c r="G2821" s="47">
        <v>11.3</v>
      </c>
      <c r="H2821" s="48">
        <v>129.628</v>
      </c>
      <c r="I2821" s="48">
        <v>907.393</v>
      </c>
      <c r="J2821" s="49">
        <v>7</v>
      </c>
      <c r="K2821" s="49">
        <v>7</v>
      </c>
      <c r="L2821" s="49">
        <v>0</v>
      </c>
    </row>
    <row r="2822" spans="1:12" x14ac:dyDescent="0.25">
      <c r="A2822" s="45">
        <f>C2822&amp;"."&amp;IFERROR(MID(E2822,FIND("(",E2822)+1,FIND(")",E2822)-FIND("(",E2822)-1),"")</f>
      </c>
      <c r="B2822" s="46" t="s">
        <v>1178</v>
      </c>
      <c r="C2822" s="46">
        <v>84024</v>
      </c>
      <c r="D2822" s="46" t="s">
        <v>568</v>
      </c>
      <c r="E2822" s="46" t="s">
        <v>4947</v>
      </c>
      <c r="F2822" s="46" t="s">
        <v>26</v>
      </c>
      <c r="G2822" s="47">
        <v>35</v>
      </c>
      <c r="H2822" s="48">
        <v>96.352</v>
      </c>
      <c r="I2822" s="48">
        <v>481.762</v>
      </c>
      <c r="J2822" s="49">
        <v>5</v>
      </c>
      <c r="K2822" s="49">
        <v>0</v>
      </c>
      <c r="L2822" s="49">
        <v>5</v>
      </c>
    </row>
    <row r="2823" spans="1:12" x14ac:dyDescent="0.25">
      <c r="A2823" s="45">
        <f>C2823&amp;"."&amp;IFERROR(MID(E2823,FIND("(",E2823)+1,FIND(")",E2823)-FIND("(",E2823)-1),"")</f>
      </c>
      <c r="B2823" s="46" t="s">
        <v>1178</v>
      </c>
      <c r="C2823" s="46">
        <v>84062</v>
      </c>
      <c r="D2823" s="46" t="s">
        <v>933</v>
      </c>
      <c r="E2823" s="46" t="s">
        <v>4948</v>
      </c>
      <c r="F2823" s="46" t="s">
        <v>26</v>
      </c>
      <c r="G2823" s="47">
        <v>35</v>
      </c>
      <c r="H2823" s="48">
        <v>149.302</v>
      </c>
      <c r="I2823" s="48">
        <v>746.512</v>
      </c>
      <c r="J2823" s="49">
        <v>5</v>
      </c>
      <c r="K2823" s="49">
        <v>0</v>
      </c>
      <c r="L2823" s="49">
        <v>5</v>
      </c>
    </row>
    <row r="2824" spans="1:12" x14ac:dyDescent="0.25">
      <c r="A2824" s="45">
        <f>C2824&amp;"."&amp;IFERROR(MID(E2824,FIND("(",E2824)+1,FIND(")",E2824)-FIND("(",E2824)-1),"")</f>
      </c>
      <c r="B2824" s="46" t="s">
        <v>1178</v>
      </c>
      <c r="C2824" s="46">
        <v>84310</v>
      </c>
      <c r="D2824" s="46" t="s">
        <v>815</v>
      </c>
      <c r="E2824" s="46" t="s">
        <v>4949</v>
      </c>
      <c r="F2824" s="46" t="s">
        <v>25</v>
      </c>
      <c r="G2824" s="47">
        <v>14.9</v>
      </c>
      <c r="H2824" s="48">
        <v>107.81</v>
      </c>
      <c r="I2824" s="48">
        <v>57678.434</v>
      </c>
      <c r="J2824" s="49">
        <v>535</v>
      </c>
      <c r="K2824" s="49">
        <v>535</v>
      </c>
      <c r="L2824" s="49">
        <v>0</v>
      </c>
    </row>
    <row r="2825" spans="1:12" x14ac:dyDescent="0.25">
      <c r="A2825" s="45">
        <f>C2825&amp;"."&amp;IFERROR(MID(E2825,FIND("(",E2825)+1,FIND(")",E2825)-FIND("(",E2825)-1),"")</f>
      </c>
      <c r="B2825" s="46" t="s">
        <v>1178</v>
      </c>
      <c r="C2825" s="46">
        <v>84311</v>
      </c>
      <c r="D2825" s="46" t="s">
        <v>4950</v>
      </c>
      <c r="E2825" s="46" t="s">
        <v>4951</v>
      </c>
      <c r="F2825" s="46" t="s">
        <v>25</v>
      </c>
      <c r="G2825" s="47">
        <v>0.9</v>
      </c>
      <c r="H2825" s="48">
        <v>4.052</v>
      </c>
      <c r="I2825" s="48">
        <v>36.466</v>
      </c>
      <c r="J2825" s="49">
        <v>9</v>
      </c>
      <c r="K2825" s="49">
        <v>7</v>
      </c>
      <c r="L2825" s="49">
        <v>2</v>
      </c>
    </row>
    <row r="2826" spans="1:12" x14ac:dyDescent="0.25">
      <c r="A2826" s="45">
        <f>C2826&amp;"."&amp;IFERROR(MID(E2826,FIND("(",E2826)+1,FIND(")",E2826)-FIND("(",E2826)-1),"")</f>
      </c>
      <c r="B2826" s="46" t="s">
        <v>1178</v>
      </c>
      <c r="C2826" s="46">
        <v>84312</v>
      </c>
      <c r="D2826" s="46" t="s">
        <v>4952</v>
      </c>
      <c r="E2826" s="46" t="s">
        <v>4953</v>
      </c>
      <c r="F2826" s="46" t="s">
        <v>25</v>
      </c>
      <c r="G2826" s="47">
        <v>0.78</v>
      </c>
      <c r="H2826" s="48">
        <v>3.331</v>
      </c>
      <c r="I2826" s="48">
        <v>13.325</v>
      </c>
      <c r="J2826" s="49">
        <v>4</v>
      </c>
      <c r="K2826" s="49">
        <v>0</v>
      </c>
      <c r="L2826" s="49">
        <v>4</v>
      </c>
    </row>
    <row r="2827" spans="1:12" x14ac:dyDescent="0.25">
      <c r="A2827" s="45">
        <f>C2827&amp;"."&amp;IFERROR(MID(E2827,FIND("(",E2827)+1,FIND(")",E2827)-FIND("(",E2827)-1),"")</f>
      </c>
      <c r="B2827" s="46" t="s">
        <v>1178</v>
      </c>
      <c r="C2827" s="46">
        <v>84315</v>
      </c>
      <c r="D2827" s="46" t="s">
        <v>4954</v>
      </c>
      <c r="E2827" s="46" t="s">
        <v>4955</v>
      </c>
      <c r="F2827" s="46" t="s">
        <v>25</v>
      </c>
      <c r="G2827" s="47">
        <v>0</v>
      </c>
      <c r="H2827" s="48">
        <v>5.894</v>
      </c>
      <c r="I2827" s="48">
        <v>5.894</v>
      </c>
      <c r="J2827" s="49">
        <v>1</v>
      </c>
      <c r="K2827" s="49">
        <v>1</v>
      </c>
      <c r="L2827" s="49">
        <v>0</v>
      </c>
    </row>
    <row r="2828" spans="1:12" x14ac:dyDescent="0.25">
      <c r="A2828" s="45">
        <f>C2828&amp;"."&amp;IFERROR(MID(E2828,FIND("(",E2828)+1,FIND(")",E2828)-FIND("(",E2828)-1),"")</f>
      </c>
      <c r="B2828" s="46" t="s">
        <v>1178</v>
      </c>
      <c r="C2828" s="46">
        <v>84316</v>
      </c>
      <c r="D2828" s="46" t="s">
        <v>4956</v>
      </c>
      <c r="E2828" s="46" t="s">
        <v>4957</v>
      </c>
      <c r="F2828" s="46" t="s">
        <v>25</v>
      </c>
      <c r="G2828" s="47">
        <v>1.43</v>
      </c>
      <c r="H2828" s="48">
        <v>5.839</v>
      </c>
      <c r="I2828" s="48">
        <v>11.678</v>
      </c>
      <c r="J2828" s="49">
        <v>2</v>
      </c>
      <c r="K2828" s="49">
        <v>1</v>
      </c>
      <c r="L2828" s="49">
        <v>1</v>
      </c>
    </row>
    <row r="2829" spans="1:12" x14ac:dyDescent="0.25">
      <c r="A2829" s="45">
        <f>C2829&amp;"."&amp;IFERROR(MID(E2829,FIND("(",E2829)+1,FIND(")",E2829)-FIND("(",E2829)-1),"")</f>
      </c>
      <c r="B2829" s="46" t="s">
        <v>1178</v>
      </c>
      <c r="C2829" s="46">
        <v>84318</v>
      </c>
      <c r="D2829" s="46" t="s">
        <v>4958</v>
      </c>
      <c r="E2829" s="46" t="s">
        <v>4959</v>
      </c>
      <c r="F2829" s="46" t="s">
        <v>25</v>
      </c>
      <c r="G2829" s="47">
        <v>1.88</v>
      </c>
      <c r="H2829" s="48">
        <v>8.37</v>
      </c>
      <c r="I2829" s="48">
        <v>16.74</v>
      </c>
      <c r="J2829" s="49">
        <v>2</v>
      </c>
      <c r="K2829" s="49">
        <v>2</v>
      </c>
      <c r="L2829" s="49">
        <v>0</v>
      </c>
    </row>
    <row r="2830" spans="1:12" x14ac:dyDescent="0.25">
      <c r="A2830" s="45">
        <f>C2830&amp;"."&amp;IFERROR(MID(E2830,FIND("(",E2830)+1,FIND(")",E2830)-FIND("(",E2830)-1),"")</f>
      </c>
      <c r="B2830" s="46" t="s">
        <v>1178</v>
      </c>
      <c r="C2830" s="46">
        <v>84321</v>
      </c>
      <c r="D2830" s="46" t="s">
        <v>4960</v>
      </c>
      <c r="E2830" s="46" t="s">
        <v>1248</v>
      </c>
      <c r="F2830" s="46" t="s">
        <v>25</v>
      </c>
      <c r="G2830" s="47">
        <v>3.37</v>
      </c>
      <c r="H2830" s="48">
        <v>5.897</v>
      </c>
      <c r="I2830" s="48">
        <v>5.897</v>
      </c>
      <c r="J2830" s="49">
        <v>1</v>
      </c>
      <c r="K2830" s="49">
        <v>0</v>
      </c>
      <c r="L2830" s="49">
        <v>1</v>
      </c>
    </row>
    <row r="2831" spans="1:12" x14ac:dyDescent="0.25">
      <c r="A2831" s="45">
        <f>C2831&amp;"."&amp;IFERROR(MID(E2831,FIND("(",E2831)+1,FIND(")",E2831)-FIND("(",E2831)-1),"")</f>
      </c>
      <c r="B2831" s="46" t="s">
        <v>1178</v>
      </c>
      <c r="C2831" s="46">
        <v>84322</v>
      </c>
      <c r="D2831" s="46" t="s">
        <v>4961</v>
      </c>
      <c r="E2831" s="46" t="s">
        <v>4962</v>
      </c>
      <c r="F2831" s="46" t="s">
        <v>25</v>
      </c>
      <c r="G2831" s="47">
        <v>0.44</v>
      </c>
      <c r="H2831" s="48">
        <v>2.673</v>
      </c>
      <c r="I2831" s="48">
        <v>8.02</v>
      </c>
      <c r="J2831" s="49">
        <v>3</v>
      </c>
      <c r="K2831" s="49">
        <v>0</v>
      </c>
      <c r="L2831" s="49">
        <v>3</v>
      </c>
    </row>
    <row r="2832" spans="1:12" x14ac:dyDescent="0.25">
      <c r="A2832" s="45">
        <f>C2832&amp;"."&amp;IFERROR(MID(E2832,FIND("(",E2832)+1,FIND(")",E2832)-FIND("(",E2832)-1),"")</f>
      </c>
      <c r="B2832" s="46" t="s">
        <v>1178</v>
      </c>
      <c r="C2832" s="46">
        <v>84324</v>
      </c>
      <c r="D2832" s="46" t="s">
        <v>4963</v>
      </c>
      <c r="E2832" s="46" t="s">
        <v>1248</v>
      </c>
      <c r="F2832" s="46" t="s">
        <v>1495</v>
      </c>
      <c r="G2832" s="47">
        <v>0</v>
      </c>
      <c r="H2832" s="48">
        <v>8.138</v>
      </c>
      <c r="I2832" s="48">
        <v>32.552</v>
      </c>
      <c r="J2832" s="49">
        <v>4</v>
      </c>
      <c r="K2832" s="49">
        <v>0</v>
      </c>
      <c r="L2832" s="49">
        <v>4</v>
      </c>
    </row>
    <row r="2833" spans="1:12" x14ac:dyDescent="0.25">
      <c r="A2833" s="45">
        <f>C2833&amp;"."&amp;IFERROR(MID(E2833,FIND("(",E2833)+1,FIND(")",E2833)-FIND("(",E2833)-1),"")</f>
      </c>
      <c r="B2833" s="46" t="s">
        <v>1178</v>
      </c>
      <c r="C2833" s="46">
        <v>84352</v>
      </c>
      <c r="D2833" s="46" t="s">
        <v>4964</v>
      </c>
      <c r="E2833" s="46" t="s">
        <v>4965</v>
      </c>
      <c r="F2833" s="46" t="s">
        <v>24</v>
      </c>
      <c r="G2833" s="47">
        <v>10.17</v>
      </c>
      <c r="H2833" s="48">
        <v>28.62</v>
      </c>
      <c r="I2833" s="48">
        <v>85.86</v>
      </c>
      <c r="J2833" s="49">
        <v>3</v>
      </c>
      <c r="K2833" s="49">
        <v>0</v>
      </c>
      <c r="L2833" s="49">
        <v>3</v>
      </c>
    </row>
    <row r="2834" spans="1:12" x14ac:dyDescent="0.25">
      <c r="A2834" s="45">
        <f>C2834&amp;"."&amp;IFERROR(MID(E2834,FIND("(",E2834)+1,FIND(")",E2834)-FIND("(",E2834)-1),"")</f>
      </c>
      <c r="B2834" s="46" t="s">
        <v>1178</v>
      </c>
      <c r="C2834" s="46">
        <v>84355</v>
      </c>
      <c r="D2834" s="46" t="s">
        <v>4966</v>
      </c>
      <c r="E2834" s="46" t="s">
        <v>1248</v>
      </c>
      <c r="F2834" s="46" t="s">
        <v>1495</v>
      </c>
      <c r="G2834" s="47">
        <v>0</v>
      </c>
      <c r="H2834" s="48">
        <v>6.494</v>
      </c>
      <c r="I2834" s="48">
        <v>38.962</v>
      </c>
      <c r="J2834" s="49">
        <v>6</v>
      </c>
      <c r="K2834" s="49">
        <v>0</v>
      </c>
      <c r="L2834" s="49">
        <v>6</v>
      </c>
    </row>
    <row r="2835" spans="1:12" x14ac:dyDescent="0.25">
      <c r="A2835" s="45">
        <f>C2835&amp;"."&amp;IFERROR(MID(E2835,FIND("(",E2835)+1,FIND(")",E2835)-FIND("(",E2835)-1),"")</f>
      </c>
      <c r="B2835" s="46" t="s">
        <v>1178</v>
      </c>
      <c r="C2835" s="46">
        <v>84375</v>
      </c>
      <c r="D2835" s="46" t="s">
        <v>4967</v>
      </c>
      <c r="E2835" s="46" t="s">
        <v>1248</v>
      </c>
      <c r="F2835" s="46" t="s">
        <v>1495</v>
      </c>
      <c r="G2835" s="47">
        <v>0.1</v>
      </c>
      <c r="H2835" s="48">
        <v>16.596</v>
      </c>
      <c r="I2835" s="48">
        <v>16.596</v>
      </c>
      <c r="J2835" s="49">
        <v>1</v>
      </c>
      <c r="K2835" s="49">
        <v>0</v>
      </c>
      <c r="L2835" s="49">
        <v>1</v>
      </c>
    </row>
    <row r="2836" spans="1:12" x14ac:dyDescent="0.25">
      <c r="A2836" s="45">
        <f>C2836&amp;"."&amp;IFERROR(MID(E2836,FIND("(",E2836)+1,FIND(")",E2836)-FIND("(",E2836)-1),"")</f>
      </c>
      <c r="B2836" s="46" t="s">
        <v>1178</v>
      </c>
      <c r="C2836" s="46">
        <v>84377</v>
      </c>
      <c r="D2836" s="46" t="s">
        <v>4968</v>
      </c>
      <c r="E2836" s="46" t="s">
        <v>1248</v>
      </c>
      <c r="F2836" s="46" t="s">
        <v>1495</v>
      </c>
      <c r="G2836" s="47">
        <v>0</v>
      </c>
      <c r="H2836" s="48">
        <v>49.142</v>
      </c>
      <c r="I2836" s="48">
        <v>343.994</v>
      </c>
      <c r="J2836" s="49">
        <v>7</v>
      </c>
      <c r="K2836" s="49">
        <v>0</v>
      </c>
      <c r="L2836" s="49">
        <v>7</v>
      </c>
    </row>
    <row r="2837" spans="1:12" x14ac:dyDescent="0.25">
      <c r="A2837" s="45">
        <f>C2837&amp;"."&amp;IFERROR(MID(E2837,FIND("(",E2837)+1,FIND(")",E2837)-FIND("(",E2837)-1),"")</f>
      </c>
      <c r="B2837" s="46" t="s">
        <v>1178</v>
      </c>
      <c r="C2837" s="46">
        <v>84378</v>
      </c>
      <c r="D2837" s="46" t="s">
        <v>4969</v>
      </c>
      <c r="E2837" s="46" t="s">
        <v>1248</v>
      </c>
      <c r="F2837" s="46" t="s">
        <v>1495</v>
      </c>
      <c r="G2837" s="47">
        <v>0</v>
      </c>
      <c r="H2837" s="48">
        <v>48.894</v>
      </c>
      <c r="I2837" s="48">
        <v>195.577</v>
      </c>
      <c r="J2837" s="49">
        <v>4</v>
      </c>
      <c r="K2837" s="49">
        <v>0</v>
      </c>
      <c r="L2837" s="49">
        <v>4</v>
      </c>
    </row>
    <row r="2838" spans="1:12" x14ac:dyDescent="0.25">
      <c r="A2838" s="45">
        <f>C2838&amp;"."&amp;IFERROR(MID(E2838,FIND("(",E2838)+1,FIND(")",E2838)-FIND("(",E2838)-1),"")</f>
      </c>
      <c r="B2838" s="46" t="s">
        <v>1178</v>
      </c>
      <c r="C2838" s="46">
        <v>84379</v>
      </c>
      <c r="D2838" s="46" t="s">
        <v>4970</v>
      </c>
      <c r="E2838" s="46" t="s">
        <v>1248</v>
      </c>
      <c r="F2838" s="46" t="s">
        <v>1495</v>
      </c>
      <c r="G2838" s="47">
        <v>0</v>
      </c>
      <c r="H2838" s="48">
        <v>5.364</v>
      </c>
      <c r="I2838" s="48">
        <v>37.547</v>
      </c>
      <c r="J2838" s="49">
        <v>7</v>
      </c>
      <c r="K2838" s="49">
        <v>0</v>
      </c>
      <c r="L2838" s="49">
        <v>7</v>
      </c>
    </row>
    <row r="2839" spans="1:12" x14ac:dyDescent="0.25">
      <c r="A2839" s="45">
        <f>C2839&amp;"."&amp;IFERROR(MID(E2839,FIND("(",E2839)+1,FIND(")",E2839)-FIND("(",E2839)-1),"")</f>
      </c>
      <c r="B2839" s="46" t="s">
        <v>1178</v>
      </c>
      <c r="C2839" s="46">
        <v>84383</v>
      </c>
      <c r="D2839" s="46" t="s">
        <v>4971</v>
      </c>
      <c r="E2839" s="46" t="s">
        <v>1248</v>
      </c>
      <c r="F2839" s="46" t="s">
        <v>1495</v>
      </c>
      <c r="G2839" s="47">
        <v>0</v>
      </c>
      <c r="H2839" s="48">
        <v>3.692</v>
      </c>
      <c r="I2839" s="48">
        <v>114.467</v>
      </c>
      <c r="J2839" s="49">
        <v>31</v>
      </c>
      <c r="K2839" s="49">
        <v>4</v>
      </c>
      <c r="L2839" s="49">
        <v>27</v>
      </c>
    </row>
    <row r="2840" spans="1:12" x14ac:dyDescent="0.25">
      <c r="A2840" s="45">
        <f>C2840&amp;"."&amp;IFERROR(MID(E2840,FIND("(",E2840)+1,FIND(")",E2840)-FIND("(",E2840)-1),"")</f>
      </c>
      <c r="B2840" s="46" t="s">
        <v>1178</v>
      </c>
      <c r="C2840" s="46">
        <v>84470</v>
      </c>
      <c r="D2840" s="46" t="s">
        <v>4972</v>
      </c>
      <c r="E2840" s="46" t="s">
        <v>1248</v>
      </c>
      <c r="F2840" s="46" t="s">
        <v>1495</v>
      </c>
      <c r="G2840" s="47">
        <v>0</v>
      </c>
      <c r="H2840" s="48">
        <v>4.21</v>
      </c>
      <c r="I2840" s="48">
        <v>84.196</v>
      </c>
      <c r="J2840" s="49">
        <v>20</v>
      </c>
      <c r="K2840" s="49">
        <v>0</v>
      </c>
      <c r="L2840" s="49">
        <v>20</v>
      </c>
    </row>
    <row r="2841" spans="1:12" x14ac:dyDescent="0.25">
      <c r="A2841" s="45">
        <f>C2841&amp;"."&amp;IFERROR(MID(E2841,FIND("(",E2841)+1,FIND(")",E2841)-FIND("(",E2841)-1),"")</f>
      </c>
      <c r="B2841" s="46" t="s">
        <v>1178</v>
      </c>
      <c r="C2841" s="46">
        <v>84488</v>
      </c>
      <c r="D2841" s="46" t="s">
        <v>1066</v>
      </c>
      <c r="E2841" s="46" t="s">
        <v>4973</v>
      </c>
      <c r="F2841" s="46" t="s">
        <v>26</v>
      </c>
      <c r="G2841" s="47">
        <v>54.45</v>
      </c>
      <c r="H2841" s="48">
        <v>175.465</v>
      </c>
      <c r="I2841" s="48">
        <v>689403.601</v>
      </c>
      <c r="J2841" s="49">
        <v>3929</v>
      </c>
      <c r="K2841" s="49">
        <v>1900</v>
      </c>
      <c r="L2841" s="49">
        <v>2029</v>
      </c>
    </row>
    <row r="2842" spans="1:12" x14ac:dyDescent="0.25">
      <c r="A2842" s="45">
        <f>C2842&amp;"."&amp;IFERROR(MID(E2842,FIND("(",E2842)+1,FIND(")",E2842)-FIND("(",E2842)-1),"")</f>
      </c>
      <c r="B2842" s="46" t="s">
        <v>1178</v>
      </c>
      <c r="C2842" s="46">
        <v>84489</v>
      </c>
      <c r="D2842" s="46" t="s">
        <v>4974</v>
      </c>
      <c r="E2842" s="46" t="s">
        <v>4975</v>
      </c>
      <c r="F2842" s="46" t="s">
        <v>26</v>
      </c>
      <c r="G2842" s="47">
        <v>6.47</v>
      </c>
      <c r="H2842" s="48">
        <v>18.185</v>
      </c>
      <c r="I2842" s="48">
        <v>18.185</v>
      </c>
      <c r="J2842" s="49">
        <v>1</v>
      </c>
      <c r="K2842" s="49">
        <v>1</v>
      </c>
      <c r="L2842" s="49">
        <v>0</v>
      </c>
    </row>
    <row r="2843" spans="1:12" x14ac:dyDescent="0.25">
      <c r="A2843" s="45">
        <f>C2843&amp;"."&amp;IFERROR(MID(E2843,FIND("(",E2843)+1,FIND(")",E2843)-FIND("(",E2843)-1),"")</f>
      </c>
      <c r="B2843" s="46" t="s">
        <v>1178</v>
      </c>
      <c r="C2843" s="46">
        <v>84490</v>
      </c>
      <c r="D2843" s="46" t="s">
        <v>4976</v>
      </c>
      <c r="E2843" s="46" t="s">
        <v>4977</v>
      </c>
      <c r="F2843" s="46" t="s">
        <v>26</v>
      </c>
      <c r="G2843" s="47">
        <v>6.47</v>
      </c>
      <c r="H2843" s="48">
        <v>13.644</v>
      </c>
      <c r="I2843" s="48">
        <v>95.506</v>
      </c>
      <c r="J2843" s="49">
        <v>7</v>
      </c>
      <c r="K2843" s="49">
        <v>1</v>
      </c>
      <c r="L2843" s="49">
        <v>6</v>
      </c>
    </row>
    <row r="2844" spans="1:12" x14ac:dyDescent="0.25">
      <c r="A2844" s="45">
        <f>C2844&amp;"."&amp;IFERROR(MID(E2844,FIND("(",E2844)+1,FIND(")",E2844)-FIND("(",E2844)-1),"")</f>
      </c>
      <c r="B2844" s="46" t="s">
        <v>1178</v>
      </c>
      <c r="C2844" s="46">
        <v>84491</v>
      </c>
      <c r="D2844" s="46" t="s">
        <v>4978</v>
      </c>
      <c r="E2844" s="46" t="s">
        <v>1248</v>
      </c>
      <c r="F2844" s="46" t="s">
        <v>26</v>
      </c>
      <c r="G2844" s="47">
        <v>0</v>
      </c>
      <c r="H2844" s="48">
        <v>8.959</v>
      </c>
      <c r="I2844" s="48">
        <v>17.919</v>
      </c>
      <c r="J2844" s="49">
        <v>2</v>
      </c>
      <c r="K2844" s="49">
        <v>1</v>
      </c>
      <c r="L2844" s="49">
        <v>1</v>
      </c>
    </row>
    <row r="2845" spans="1:12" x14ac:dyDescent="0.25">
      <c r="A2845" s="45">
        <f>C2845&amp;"."&amp;IFERROR(MID(E2845,FIND("(",E2845)+1,FIND(")",E2845)-FIND("(",E2845)-1),"")</f>
      </c>
      <c r="B2845" s="46" t="s">
        <v>1178</v>
      </c>
      <c r="C2845" s="46">
        <v>84492</v>
      </c>
      <c r="D2845" s="46" t="s">
        <v>4979</v>
      </c>
      <c r="E2845" s="46" t="s">
        <v>4980</v>
      </c>
      <c r="F2845" s="46" t="s">
        <v>26</v>
      </c>
      <c r="G2845" s="47">
        <v>7.08</v>
      </c>
      <c r="H2845" s="48">
        <v>21.57</v>
      </c>
      <c r="I2845" s="48">
        <v>323.549</v>
      </c>
      <c r="J2845" s="49">
        <v>15</v>
      </c>
      <c r="K2845" s="49">
        <v>10</v>
      </c>
      <c r="L2845" s="49">
        <v>5</v>
      </c>
    </row>
    <row r="2846" spans="1:12" x14ac:dyDescent="0.25">
      <c r="A2846" s="45">
        <f>C2846&amp;"."&amp;IFERROR(MID(E2846,FIND("(",E2846)+1,FIND(")",E2846)-FIND("(",E2846)-1),"")</f>
      </c>
      <c r="B2846" s="46" t="s">
        <v>1178</v>
      </c>
      <c r="C2846" s="46">
        <v>84493</v>
      </c>
      <c r="D2846" s="46" t="s">
        <v>4981</v>
      </c>
      <c r="E2846" s="46" t="s">
        <v>4982</v>
      </c>
      <c r="F2846" s="46" t="s">
        <v>26</v>
      </c>
      <c r="G2846" s="47">
        <v>7.08</v>
      </c>
      <c r="H2846" s="48">
        <v>21.388</v>
      </c>
      <c r="I2846" s="48">
        <v>256.662</v>
      </c>
      <c r="J2846" s="49">
        <v>12</v>
      </c>
      <c r="K2846" s="49">
        <v>12</v>
      </c>
      <c r="L2846" s="49">
        <v>0</v>
      </c>
    </row>
    <row r="2847" spans="1:12" x14ac:dyDescent="0.25">
      <c r="A2847" s="45">
        <f>C2847&amp;"."&amp;IFERROR(MID(E2847,FIND("(",E2847)+1,FIND(")",E2847)-FIND("(",E2847)-1),"")</f>
      </c>
      <c r="B2847" s="46" t="s">
        <v>1178</v>
      </c>
      <c r="C2847" s="46">
        <v>84495</v>
      </c>
      <c r="D2847" s="46" t="s">
        <v>249</v>
      </c>
      <c r="E2847" s="46" t="s">
        <v>4983</v>
      </c>
      <c r="F2847" s="46" t="s">
        <v>26</v>
      </c>
      <c r="G2847" s="47">
        <v>50.65</v>
      </c>
      <c r="H2847" s="48">
        <v>144.202</v>
      </c>
      <c r="I2847" s="48">
        <v>140741.096</v>
      </c>
      <c r="J2847" s="49">
        <v>976</v>
      </c>
      <c r="K2847" s="49">
        <v>209</v>
      </c>
      <c r="L2847" s="49">
        <v>767</v>
      </c>
    </row>
    <row r="2848" spans="1:12" x14ac:dyDescent="0.25">
      <c r="A2848" s="45">
        <f>C2848&amp;"."&amp;IFERROR(MID(E2848,FIND("(",E2848)+1,FIND(")",E2848)-FIND("(",E2848)-1),"")</f>
      </c>
      <c r="B2848" s="46" t="s">
        <v>1178</v>
      </c>
      <c r="C2848" s="46">
        <v>84495</v>
      </c>
      <c r="D2848" s="46" t="s">
        <v>249</v>
      </c>
      <c r="E2848" s="46" t="s">
        <v>4984</v>
      </c>
      <c r="F2848" s="46" t="s">
        <v>26</v>
      </c>
      <c r="G2848" s="47">
        <v>50.65</v>
      </c>
      <c r="H2848" s="48">
        <v>144.543</v>
      </c>
      <c r="I2848" s="48">
        <v>439843.21</v>
      </c>
      <c r="J2848" s="49">
        <v>3043</v>
      </c>
      <c r="K2848" s="49">
        <v>1691</v>
      </c>
      <c r="L2848" s="49">
        <v>1352</v>
      </c>
    </row>
    <row r="2849" spans="1:12" x14ac:dyDescent="0.25">
      <c r="A2849" s="45">
        <f>C2849&amp;"."&amp;IFERROR(MID(E2849,FIND("(",E2849)+1,FIND(")",E2849)-FIND("(",E2849)-1),"")</f>
      </c>
      <c r="B2849" s="46" t="s">
        <v>1178</v>
      </c>
      <c r="C2849" s="46">
        <v>84498</v>
      </c>
      <c r="D2849" s="46" t="s">
        <v>715</v>
      </c>
      <c r="E2849" s="46" t="s">
        <v>4985</v>
      </c>
      <c r="F2849" s="46" t="s">
        <v>26</v>
      </c>
      <c r="G2849" s="47">
        <v>46.38</v>
      </c>
      <c r="H2849" s="48">
        <v>216.689</v>
      </c>
      <c r="I2849" s="48">
        <v>6067.303</v>
      </c>
      <c r="J2849" s="49">
        <v>28</v>
      </c>
      <c r="K2849" s="49">
        <v>0</v>
      </c>
      <c r="L2849" s="49">
        <v>28</v>
      </c>
    </row>
    <row r="2850" spans="1:12" x14ac:dyDescent="0.25">
      <c r="A2850" s="45">
        <f>C2850&amp;"."&amp;IFERROR(MID(E2850,FIND("(",E2850)+1,FIND(")",E2850)-FIND("(",E2850)-1),"")</f>
      </c>
      <c r="B2850" s="46" t="s">
        <v>1178</v>
      </c>
      <c r="C2850" s="46">
        <v>84499</v>
      </c>
      <c r="D2850" s="46" t="s">
        <v>4986</v>
      </c>
      <c r="E2850" s="46" t="s">
        <v>4987</v>
      </c>
      <c r="F2850" s="46" t="s">
        <v>26</v>
      </c>
      <c r="G2850" s="47">
        <v>0.25</v>
      </c>
      <c r="H2850" s="48">
        <v>1.438</v>
      </c>
      <c r="I2850" s="48">
        <v>11.505</v>
      </c>
      <c r="J2850" s="49">
        <v>8</v>
      </c>
      <c r="K2850" s="49">
        <v>0</v>
      </c>
      <c r="L2850" s="49">
        <v>8</v>
      </c>
    </row>
    <row r="2851" spans="1:12" x14ac:dyDescent="0.25">
      <c r="A2851" s="45">
        <f>C2851&amp;"."&amp;IFERROR(MID(E2851,FIND("(",E2851)+1,FIND(")",E2851)-FIND("(",E2851)-1),"")</f>
      </c>
      <c r="B2851" s="46" t="s">
        <v>1178</v>
      </c>
      <c r="C2851" s="46">
        <v>84506</v>
      </c>
      <c r="D2851" s="46" t="s">
        <v>4988</v>
      </c>
      <c r="E2851" s="46" t="s">
        <v>4989</v>
      </c>
      <c r="F2851" s="46" t="s">
        <v>26</v>
      </c>
      <c r="G2851" s="47">
        <v>0.36</v>
      </c>
      <c r="H2851" s="48">
        <v>1.35</v>
      </c>
      <c r="I2851" s="48">
        <v>6.75</v>
      </c>
      <c r="J2851" s="49">
        <v>5</v>
      </c>
      <c r="K2851" s="49">
        <v>0</v>
      </c>
      <c r="L2851" s="49">
        <v>5</v>
      </c>
    </row>
    <row r="2852" spans="1:12" x14ac:dyDescent="0.25">
      <c r="A2852" s="45">
        <f>C2852&amp;"."&amp;IFERROR(MID(E2852,FIND("(",E2852)+1,FIND(")",E2852)-FIND("(",E2852)-1),"")</f>
      </c>
      <c r="B2852" s="46" t="s">
        <v>1178</v>
      </c>
      <c r="C2852" s="46">
        <v>84506</v>
      </c>
      <c r="D2852" s="46" t="s">
        <v>4988</v>
      </c>
      <c r="E2852" s="46" t="s">
        <v>4990</v>
      </c>
      <c r="F2852" s="46" t="s">
        <v>26</v>
      </c>
      <c r="G2852" s="47">
        <v>0.36</v>
      </c>
      <c r="H2852" s="48">
        <v>1.35</v>
      </c>
      <c r="I2852" s="48">
        <v>2.7</v>
      </c>
      <c r="J2852" s="49">
        <v>2</v>
      </c>
      <c r="K2852" s="49">
        <v>0</v>
      </c>
      <c r="L2852" s="49">
        <v>2</v>
      </c>
    </row>
    <row r="2853" spans="1:12" x14ac:dyDescent="0.25">
      <c r="A2853" s="45">
        <f>C2853&amp;"."&amp;IFERROR(MID(E2853,FIND("(",E2853)+1,FIND(")",E2853)-FIND("(",E2853)-1),"")</f>
      </c>
      <c r="B2853" s="46" t="s">
        <v>1178</v>
      </c>
      <c r="C2853" s="46">
        <v>84516</v>
      </c>
      <c r="D2853" s="46" t="s">
        <v>4991</v>
      </c>
      <c r="E2853" s="46" t="s">
        <v>4992</v>
      </c>
      <c r="F2853" s="46" t="s">
        <v>26</v>
      </c>
      <c r="G2853" s="47">
        <v>0.57</v>
      </c>
      <c r="H2853" s="48">
        <v>1.95</v>
      </c>
      <c r="I2853" s="48">
        <v>1.95</v>
      </c>
      <c r="J2853" s="49">
        <v>1</v>
      </c>
      <c r="K2853" s="49">
        <v>0</v>
      </c>
      <c r="L2853" s="49">
        <v>1</v>
      </c>
    </row>
    <row r="2854" spans="1:12" x14ac:dyDescent="0.25">
      <c r="A2854" s="45">
        <f>C2854&amp;"."&amp;IFERROR(MID(E2854,FIND("(",E2854)+1,FIND(")",E2854)-FIND("(",E2854)-1),"")</f>
      </c>
      <c r="B2854" s="46" t="s">
        <v>1178</v>
      </c>
      <c r="C2854" s="46">
        <v>84519</v>
      </c>
      <c r="D2854" s="46" t="s">
        <v>4993</v>
      </c>
      <c r="E2854" s="46" t="s">
        <v>4994</v>
      </c>
      <c r="F2854" s="46" t="s">
        <v>26</v>
      </c>
      <c r="G2854" s="47">
        <v>0.43</v>
      </c>
      <c r="H2854" s="48">
        <v>1.312</v>
      </c>
      <c r="I2854" s="48">
        <v>9.185</v>
      </c>
      <c r="J2854" s="49">
        <v>7</v>
      </c>
      <c r="K2854" s="49">
        <v>2</v>
      </c>
      <c r="L2854" s="49">
        <v>5</v>
      </c>
    </row>
    <row r="2855" spans="1:12" x14ac:dyDescent="0.25">
      <c r="A2855" s="45">
        <f>C2855&amp;"."&amp;IFERROR(MID(E2855,FIND("(",E2855)+1,FIND(")",E2855)-FIND("(",E2855)-1),"")</f>
      </c>
      <c r="B2855" s="46" t="s">
        <v>1178</v>
      </c>
      <c r="C2855" s="46">
        <v>84519</v>
      </c>
      <c r="D2855" s="46" t="s">
        <v>4993</v>
      </c>
      <c r="E2855" s="46" t="s">
        <v>4995</v>
      </c>
      <c r="F2855" s="46" t="s">
        <v>26</v>
      </c>
      <c r="G2855" s="47">
        <v>0.43</v>
      </c>
      <c r="H2855" s="48">
        <v>1.136</v>
      </c>
      <c r="I2855" s="48">
        <v>2.272</v>
      </c>
      <c r="J2855" s="49">
        <v>2</v>
      </c>
      <c r="K2855" s="49">
        <v>0</v>
      </c>
      <c r="L2855" s="49">
        <v>2</v>
      </c>
    </row>
    <row r="2856" spans="1:12" x14ac:dyDescent="0.25">
      <c r="A2856" s="45">
        <f>C2856&amp;"."&amp;IFERROR(MID(E2856,FIND("(",E2856)+1,FIND(")",E2856)-FIND("(",E2856)-1),"")</f>
      </c>
      <c r="B2856" s="46" t="s">
        <v>1178</v>
      </c>
      <c r="C2856" s="46">
        <v>84521</v>
      </c>
      <c r="D2856" s="46" t="s">
        <v>4996</v>
      </c>
      <c r="E2856" s="46" t="s">
        <v>4997</v>
      </c>
      <c r="F2856" s="46" t="s">
        <v>26</v>
      </c>
      <c r="G2856" s="47">
        <v>0.43</v>
      </c>
      <c r="H2856" s="48">
        <v>1.304</v>
      </c>
      <c r="I2856" s="48">
        <v>9.126</v>
      </c>
      <c r="J2856" s="49">
        <v>7</v>
      </c>
      <c r="K2856" s="49">
        <v>2</v>
      </c>
      <c r="L2856" s="49">
        <v>5</v>
      </c>
    </row>
    <row r="2857" spans="1:12" x14ac:dyDescent="0.25">
      <c r="A2857" s="45">
        <f>C2857&amp;"."&amp;IFERROR(MID(E2857,FIND("(",E2857)+1,FIND(")",E2857)-FIND("(",E2857)-1),"")</f>
      </c>
      <c r="B2857" s="46" t="s">
        <v>1178</v>
      </c>
      <c r="C2857" s="46">
        <v>84521</v>
      </c>
      <c r="D2857" s="46" t="s">
        <v>4996</v>
      </c>
      <c r="E2857" s="46" t="s">
        <v>4998</v>
      </c>
      <c r="F2857" s="46" t="s">
        <v>26</v>
      </c>
      <c r="G2857" s="47">
        <v>0.43</v>
      </c>
      <c r="H2857" s="48">
        <v>1.136</v>
      </c>
      <c r="I2857" s="48">
        <v>2.272</v>
      </c>
      <c r="J2857" s="49">
        <v>2</v>
      </c>
      <c r="K2857" s="49">
        <v>0</v>
      </c>
      <c r="L2857" s="49">
        <v>2</v>
      </c>
    </row>
    <row r="2858" spans="1:12" x14ac:dyDescent="0.25">
      <c r="A2858" s="45">
        <f>C2858&amp;"."&amp;IFERROR(MID(E2858,FIND("(",E2858)+1,FIND(")",E2858)-FIND("(",E2858)-1),"")</f>
      </c>
      <c r="B2858" s="46" t="s">
        <v>1178</v>
      </c>
      <c r="C2858" s="46">
        <v>84525</v>
      </c>
      <c r="D2858" s="46" t="s">
        <v>4999</v>
      </c>
      <c r="E2858" s="46" t="s">
        <v>5000</v>
      </c>
      <c r="F2858" s="46" t="s">
        <v>26</v>
      </c>
      <c r="G2858" s="47">
        <v>1.7</v>
      </c>
      <c r="H2858" s="48">
        <v>0.49</v>
      </c>
      <c r="I2858" s="48">
        <v>1.47</v>
      </c>
      <c r="J2858" s="49">
        <v>3</v>
      </c>
      <c r="K2858" s="49">
        <v>0</v>
      </c>
      <c r="L2858" s="49">
        <v>3</v>
      </c>
    </row>
    <row r="2859" spans="1:12" x14ac:dyDescent="0.25">
      <c r="A2859" s="45">
        <f>C2859&amp;"."&amp;IFERROR(MID(E2859,FIND("(",E2859)+1,FIND(")",E2859)-FIND("(",E2859)-1),"")</f>
      </c>
      <c r="B2859" s="46" t="s">
        <v>1178</v>
      </c>
      <c r="C2859" s="46">
        <v>84525</v>
      </c>
      <c r="D2859" s="46" t="s">
        <v>4999</v>
      </c>
      <c r="E2859" s="46" t="s">
        <v>5001</v>
      </c>
      <c r="F2859" s="46" t="s">
        <v>26</v>
      </c>
      <c r="G2859" s="47">
        <v>1.7</v>
      </c>
      <c r="H2859" s="48">
        <v>5.276</v>
      </c>
      <c r="I2859" s="48">
        <v>15.828</v>
      </c>
      <c r="J2859" s="49">
        <v>3</v>
      </c>
      <c r="K2859" s="49">
        <v>0</v>
      </c>
      <c r="L2859" s="49">
        <v>3</v>
      </c>
    </row>
    <row r="2860" spans="1:12" x14ac:dyDescent="0.25">
      <c r="A2860" s="45">
        <f>C2860&amp;"."&amp;IFERROR(MID(E2860,FIND("(",E2860)+1,FIND(")",E2860)-FIND("(",E2860)-1),"")</f>
      </c>
      <c r="B2860" s="46" t="s">
        <v>1178</v>
      </c>
      <c r="C2860" s="46">
        <v>84526</v>
      </c>
      <c r="D2860" s="46" t="s">
        <v>5002</v>
      </c>
      <c r="E2860" s="46" t="s">
        <v>1248</v>
      </c>
      <c r="F2860" s="46" t="s">
        <v>26</v>
      </c>
      <c r="G2860" s="47">
        <v>1.7</v>
      </c>
      <c r="H2860" s="48">
        <v>4.91</v>
      </c>
      <c r="I2860" s="48">
        <v>19.64</v>
      </c>
      <c r="J2860" s="49">
        <v>4</v>
      </c>
      <c r="K2860" s="49">
        <v>0</v>
      </c>
      <c r="L2860" s="49">
        <v>4</v>
      </c>
    </row>
    <row r="2861" spans="1:12" x14ac:dyDescent="0.25">
      <c r="A2861" s="45">
        <f>C2861&amp;"."&amp;IFERROR(MID(E2861,FIND("(",E2861)+1,FIND(")",E2861)-FIND("(",E2861)-1),"")</f>
      </c>
      <c r="B2861" s="46" t="s">
        <v>1178</v>
      </c>
      <c r="C2861" s="46">
        <v>84532</v>
      </c>
      <c r="D2861" s="46" t="s">
        <v>5003</v>
      </c>
      <c r="E2861" s="46" t="s">
        <v>5004</v>
      </c>
      <c r="F2861" s="46" t="s">
        <v>26</v>
      </c>
      <c r="G2861" s="47">
        <v>12.72</v>
      </c>
      <c r="H2861" s="48">
        <v>44.992</v>
      </c>
      <c r="I2861" s="48">
        <v>224.96</v>
      </c>
      <c r="J2861" s="49">
        <v>5</v>
      </c>
      <c r="K2861" s="49">
        <v>1</v>
      </c>
      <c r="L2861" s="49">
        <v>4</v>
      </c>
    </row>
    <row r="2862" spans="1:12" x14ac:dyDescent="0.25">
      <c r="A2862" s="45">
        <f>C2862&amp;"."&amp;IFERROR(MID(E2862,FIND("(",E2862)+1,FIND(")",E2862)-FIND("(",E2862)-1),"")</f>
      </c>
      <c r="B2862" s="46" t="s">
        <v>1178</v>
      </c>
      <c r="C2862" s="46">
        <v>84534</v>
      </c>
      <c r="D2862" s="46" t="s">
        <v>5005</v>
      </c>
      <c r="E2862" s="46" t="s">
        <v>5006</v>
      </c>
      <c r="F2862" s="46" t="s">
        <v>26</v>
      </c>
      <c r="G2862" s="47">
        <v>1.48</v>
      </c>
      <c r="H2862" s="48">
        <v>4.519</v>
      </c>
      <c r="I2862" s="48">
        <v>126.546</v>
      </c>
      <c r="J2862" s="49">
        <v>28</v>
      </c>
      <c r="K2862" s="49">
        <v>10</v>
      </c>
      <c r="L2862" s="49">
        <v>18</v>
      </c>
    </row>
    <row r="2863" spans="1:12" x14ac:dyDescent="0.25">
      <c r="A2863" s="45">
        <f>C2863&amp;"."&amp;IFERROR(MID(E2863,FIND("(",E2863)+1,FIND(")",E2863)-FIND("(",E2863)-1),"")</f>
      </c>
      <c r="B2863" s="46" t="s">
        <v>1178</v>
      </c>
      <c r="C2863" s="46">
        <v>84534</v>
      </c>
      <c r="D2863" s="46" t="s">
        <v>5005</v>
      </c>
      <c r="E2863" s="46" t="s">
        <v>5007</v>
      </c>
      <c r="F2863" s="46" t="s">
        <v>26</v>
      </c>
      <c r="G2863" s="47">
        <v>1.48</v>
      </c>
      <c r="H2863" s="48">
        <v>3.987</v>
      </c>
      <c r="I2863" s="48">
        <v>3.987</v>
      </c>
      <c r="J2863" s="49">
        <v>1</v>
      </c>
      <c r="K2863" s="49">
        <v>1</v>
      </c>
      <c r="L2863" s="49">
        <v>0</v>
      </c>
    </row>
    <row r="2864" spans="1:12" x14ac:dyDescent="0.25">
      <c r="A2864" s="45">
        <f>C2864&amp;"."&amp;IFERROR(MID(E2864,FIND("(",E2864)+1,FIND(")",E2864)-FIND("(",E2864)-1),"")</f>
      </c>
      <c r="B2864" s="46" t="s">
        <v>1178</v>
      </c>
      <c r="C2864" s="46">
        <v>84535</v>
      </c>
      <c r="D2864" s="46" t="s">
        <v>5008</v>
      </c>
      <c r="E2864" s="46" t="s">
        <v>5009</v>
      </c>
      <c r="F2864" s="46" t="s">
        <v>26</v>
      </c>
      <c r="G2864" s="47">
        <v>12.96</v>
      </c>
      <c r="H2864" s="48">
        <v>36.835</v>
      </c>
      <c r="I2864" s="48">
        <v>73.671</v>
      </c>
      <c r="J2864" s="49">
        <v>2</v>
      </c>
      <c r="K2864" s="49">
        <v>0</v>
      </c>
      <c r="L2864" s="49">
        <v>2</v>
      </c>
    </row>
    <row r="2865" spans="1:12" x14ac:dyDescent="0.25">
      <c r="A2865" s="45">
        <f>C2865&amp;"."&amp;IFERROR(MID(E2865,FIND("(",E2865)+1,FIND(")",E2865)-FIND("(",E2865)-1),"")</f>
      </c>
      <c r="B2865" s="46" t="s">
        <v>1178</v>
      </c>
      <c r="C2865" s="46">
        <v>84537</v>
      </c>
      <c r="D2865" s="46" t="s">
        <v>1094</v>
      </c>
      <c r="E2865" s="46" t="s">
        <v>5010</v>
      </c>
      <c r="F2865" s="46" t="s">
        <v>26</v>
      </c>
      <c r="G2865" s="47">
        <v>50.35</v>
      </c>
      <c r="H2865" s="48">
        <v>160.869</v>
      </c>
      <c r="I2865" s="48">
        <v>4182.592</v>
      </c>
      <c r="J2865" s="49">
        <v>26</v>
      </c>
      <c r="K2865" s="49">
        <v>0</v>
      </c>
      <c r="L2865" s="49">
        <v>26</v>
      </c>
    </row>
    <row r="2866" spans="1:12" x14ac:dyDescent="0.25">
      <c r="A2866" s="45">
        <f>C2866&amp;"."&amp;IFERROR(MID(E2866,FIND("(",E2866)+1,FIND(")",E2866)-FIND("(",E2866)-1),"")</f>
      </c>
      <c r="B2866" s="46" t="s">
        <v>1178</v>
      </c>
      <c r="C2866" s="46">
        <v>84540</v>
      </c>
      <c r="D2866" s="46" t="s">
        <v>5011</v>
      </c>
      <c r="E2866" s="46" t="s">
        <v>5012</v>
      </c>
      <c r="F2866" s="46" t="s">
        <v>26</v>
      </c>
      <c r="G2866" s="47">
        <v>13.13</v>
      </c>
      <c r="H2866" s="48">
        <v>7.049</v>
      </c>
      <c r="I2866" s="48">
        <v>14.098</v>
      </c>
      <c r="J2866" s="49">
        <v>2</v>
      </c>
      <c r="K2866" s="49">
        <v>0</v>
      </c>
      <c r="L2866" s="49">
        <v>2</v>
      </c>
    </row>
    <row r="2867" spans="1:12" x14ac:dyDescent="0.25">
      <c r="A2867" s="45">
        <f>C2867&amp;"."&amp;IFERROR(MID(E2867,FIND("(",E2867)+1,FIND(")",E2867)-FIND("(",E2867)-1),"")</f>
      </c>
      <c r="B2867" s="46" t="s">
        <v>1178</v>
      </c>
      <c r="C2867" s="46">
        <v>84541</v>
      </c>
      <c r="D2867" s="46" t="s">
        <v>5013</v>
      </c>
      <c r="E2867" s="46" t="s">
        <v>5014</v>
      </c>
      <c r="F2867" s="46" t="s">
        <v>26</v>
      </c>
      <c r="G2867" s="47">
        <v>13.12</v>
      </c>
      <c r="H2867" s="48">
        <v>40.65</v>
      </c>
      <c r="I2867" s="48">
        <v>121.95</v>
      </c>
      <c r="J2867" s="49">
        <v>3</v>
      </c>
      <c r="K2867" s="49">
        <v>0</v>
      </c>
      <c r="L2867" s="49">
        <v>3</v>
      </c>
    </row>
    <row r="2868" spans="1:12" x14ac:dyDescent="0.25">
      <c r="A2868" s="45">
        <f>C2868&amp;"."&amp;IFERROR(MID(E2868,FIND("(",E2868)+1,FIND(")",E2868)-FIND("(",E2868)-1),"")</f>
      </c>
      <c r="B2868" s="46" t="s">
        <v>1178</v>
      </c>
      <c r="C2868" s="46">
        <v>84541</v>
      </c>
      <c r="D2868" s="46" t="s">
        <v>5013</v>
      </c>
      <c r="E2868" s="46" t="s">
        <v>5015</v>
      </c>
      <c r="F2868" s="46" t="s">
        <v>26</v>
      </c>
      <c r="G2868" s="47">
        <v>13.12</v>
      </c>
      <c r="H2868" s="48">
        <v>9.226</v>
      </c>
      <c r="I2868" s="48">
        <v>36.903</v>
      </c>
      <c r="J2868" s="49">
        <v>4</v>
      </c>
      <c r="K2868" s="49">
        <v>0</v>
      </c>
      <c r="L2868" s="49">
        <v>4</v>
      </c>
    </row>
    <row r="2869" spans="1:12" x14ac:dyDescent="0.25">
      <c r="A2869" s="45">
        <f>C2869&amp;"."&amp;IFERROR(MID(E2869,FIND("(",E2869)+1,FIND(")",E2869)-FIND("(",E2869)-1),"")</f>
      </c>
      <c r="B2869" s="46" t="s">
        <v>1178</v>
      </c>
      <c r="C2869" s="46">
        <v>84548</v>
      </c>
      <c r="D2869" s="46" t="s">
        <v>5016</v>
      </c>
      <c r="E2869" s="46" t="s">
        <v>5017</v>
      </c>
      <c r="F2869" s="46" t="s">
        <v>26</v>
      </c>
      <c r="G2869" s="47">
        <v>0.74</v>
      </c>
      <c r="H2869" s="48">
        <v>2.311</v>
      </c>
      <c r="I2869" s="48">
        <v>2.311</v>
      </c>
      <c r="J2869" s="49">
        <v>1</v>
      </c>
      <c r="K2869" s="49">
        <v>0</v>
      </c>
      <c r="L2869" s="49">
        <v>1</v>
      </c>
    </row>
    <row r="2870" spans="1:12" x14ac:dyDescent="0.25">
      <c r="A2870" s="45">
        <f>C2870&amp;"."&amp;IFERROR(MID(E2870,FIND("(",E2870)+1,FIND(")",E2870)-FIND("(",E2870)-1),"")</f>
      </c>
      <c r="B2870" s="46" t="s">
        <v>1178</v>
      </c>
      <c r="C2870" s="46">
        <v>84550</v>
      </c>
      <c r="D2870" s="46" t="s">
        <v>724</v>
      </c>
      <c r="E2870" s="46" t="s">
        <v>5018</v>
      </c>
      <c r="F2870" s="46" t="s">
        <v>26</v>
      </c>
      <c r="G2870" s="47">
        <v>40.1</v>
      </c>
      <c r="H2870" s="48">
        <v>128.216</v>
      </c>
      <c r="I2870" s="48">
        <v>3333.612</v>
      </c>
      <c r="J2870" s="49">
        <v>26</v>
      </c>
      <c r="K2870" s="49">
        <v>0</v>
      </c>
      <c r="L2870" s="49">
        <v>26</v>
      </c>
    </row>
    <row r="2871" spans="1:12" x14ac:dyDescent="0.25">
      <c r="A2871" s="45">
        <f>C2871&amp;"."&amp;IFERROR(MID(E2871,FIND("(",E2871)+1,FIND(")",E2871)-FIND("(",E2871)-1),"")</f>
      </c>
      <c r="B2871" s="46" t="s">
        <v>1178</v>
      </c>
      <c r="C2871" s="46">
        <v>84551</v>
      </c>
      <c r="D2871" s="46" t="s">
        <v>5019</v>
      </c>
      <c r="E2871" s="46" t="s">
        <v>5020</v>
      </c>
      <c r="F2871" s="46" t="s">
        <v>26</v>
      </c>
      <c r="G2871" s="47">
        <v>10.24</v>
      </c>
      <c r="H2871" s="48">
        <v>31.46</v>
      </c>
      <c r="I2871" s="48">
        <v>94.38</v>
      </c>
      <c r="J2871" s="49">
        <v>3</v>
      </c>
      <c r="K2871" s="49">
        <v>0</v>
      </c>
      <c r="L2871" s="49">
        <v>3</v>
      </c>
    </row>
    <row r="2872" spans="1:12" x14ac:dyDescent="0.25">
      <c r="A2872" s="45">
        <f>C2872&amp;"."&amp;IFERROR(MID(E2872,FIND("(",E2872)+1,FIND(")",E2872)-FIND("(",E2872)-1),"")</f>
      </c>
      <c r="B2872" s="46" t="s">
        <v>1178</v>
      </c>
      <c r="C2872" s="46">
        <v>84551</v>
      </c>
      <c r="D2872" s="46" t="s">
        <v>5019</v>
      </c>
      <c r="E2872" s="46" t="s">
        <v>5021</v>
      </c>
      <c r="F2872" s="46" t="s">
        <v>26</v>
      </c>
      <c r="G2872" s="47">
        <v>10.24</v>
      </c>
      <c r="H2872" s="48">
        <v>31.46</v>
      </c>
      <c r="I2872" s="48">
        <v>62.92</v>
      </c>
      <c r="J2872" s="49">
        <v>2</v>
      </c>
      <c r="K2872" s="49">
        <v>0</v>
      </c>
      <c r="L2872" s="49">
        <v>2</v>
      </c>
    </row>
    <row r="2873" spans="1:12" x14ac:dyDescent="0.25">
      <c r="A2873" s="45">
        <f>C2873&amp;"."&amp;IFERROR(MID(E2873,FIND("(",E2873)+1,FIND(")",E2873)-FIND("(",E2873)-1),"")</f>
      </c>
      <c r="B2873" s="46" t="s">
        <v>1178</v>
      </c>
      <c r="C2873" s="46">
        <v>84553</v>
      </c>
      <c r="D2873" s="46" t="s">
        <v>5022</v>
      </c>
      <c r="E2873" s="46" t="s">
        <v>5023</v>
      </c>
      <c r="F2873" s="46" t="s">
        <v>26</v>
      </c>
      <c r="G2873" s="47">
        <v>1.16</v>
      </c>
      <c r="H2873" s="48">
        <v>3.086</v>
      </c>
      <c r="I2873" s="48">
        <v>6.171</v>
      </c>
      <c r="J2873" s="49">
        <v>2</v>
      </c>
      <c r="K2873" s="49">
        <v>0</v>
      </c>
      <c r="L2873" s="49">
        <v>2</v>
      </c>
    </row>
    <row r="2874" spans="1:12" x14ac:dyDescent="0.25">
      <c r="A2874" s="45">
        <f>C2874&amp;"."&amp;IFERROR(MID(E2874,FIND("(",E2874)+1,FIND(")",E2874)-FIND("(",E2874)-1),"")</f>
      </c>
      <c r="B2874" s="46" t="s">
        <v>1178</v>
      </c>
      <c r="C2874" s="46">
        <v>84557</v>
      </c>
      <c r="D2874" s="46" t="s">
        <v>5024</v>
      </c>
      <c r="E2874" s="46" t="s">
        <v>1248</v>
      </c>
      <c r="F2874" s="46" t="s">
        <v>26</v>
      </c>
      <c r="G2874" s="47">
        <v>0.39</v>
      </c>
      <c r="H2874" s="48">
        <v>1.101</v>
      </c>
      <c r="I2874" s="48">
        <v>3.304</v>
      </c>
      <c r="J2874" s="49">
        <v>3</v>
      </c>
      <c r="K2874" s="49">
        <v>0</v>
      </c>
      <c r="L2874" s="49">
        <v>3</v>
      </c>
    </row>
    <row r="2875" spans="1:12" x14ac:dyDescent="0.25">
      <c r="A2875" s="45">
        <f>C2875&amp;"."&amp;IFERROR(MID(E2875,FIND("(",E2875)+1,FIND(")",E2875)-FIND("(",E2875)-1),"")</f>
      </c>
      <c r="B2875" s="46" t="s">
        <v>1178</v>
      </c>
      <c r="C2875" s="46">
        <v>84560</v>
      </c>
      <c r="D2875" s="46" t="s">
        <v>5025</v>
      </c>
      <c r="E2875" s="46" t="s">
        <v>5026</v>
      </c>
      <c r="F2875" s="46" t="s">
        <v>26</v>
      </c>
      <c r="G2875" s="47">
        <v>3.34</v>
      </c>
      <c r="H2875" s="48">
        <v>9.4</v>
      </c>
      <c r="I2875" s="48">
        <v>37.6</v>
      </c>
      <c r="J2875" s="49">
        <v>4</v>
      </c>
      <c r="K2875" s="49">
        <v>0</v>
      </c>
      <c r="L2875" s="49">
        <v>4</v>
      </c>
    </row>
    <row r="2876" spans="1:12" x14ac:dyDescent="0.25">
      <c r="A2876" s="45">
        <f>C2876&amp;"."&amp;IFERROR(MID(E2876,FIND("(",E2876)+1,FIND(")",E2876)-FIND("(",E2876)-1),"")</f>
      </c>
      <c r="B2876" s="46" t="s">
        <v>1178</v>
      </c>
      <c r="C2876" s="46">
        <v>84563</v>
      </c>
      <c r="D2876" s="46" t="s">
        <v>5027</v>
      </c>
      <c r="E2876" s="46" t="s">
        <v>5028</v>
      </c>
      <c r="F2876" s="46" t="s">
        <v>26</v>
      </c>
      <c r="G2876" s="47">
        <v>4.2</v>
      </c>
      <c r="H2876" s="48">
        <v>1.457</v>
      </c>
      <c r="I2876" s="48">
        <v>5.827</v>
      </c>
      <c r="J2876" s="49">
        <v>4</v>
      </c>
      <c r="K2876" s="49">
        <v>0</v>
      </c>
      <c r="L2876" s="49">
        <v>4</v>
      </c>
    </row>
    <row r="2877" spans="1:12" x14ac:dyDescent="0.25">
      <c r="A2877" s="45">
        <f>C2877&amp;"."&amp;IFERROR(MID(E2877,FIND("(",E2877)+1,FIND(")",E2877)-FIND("(",E2877)-1),"")</f>
      </c>
      <c r="B2877" s="46" t="s">
        <v>1178</v>
      </c>
      <c r="C2877" s="46">
        <v>84584</v>
      </c>
      <c r="D2877" s="46" t="s">
        <v>5029</v>
      </c>
      <c r="E2877" s="46" t="s">
        <v>5030</v>
      </c>
      <c r="F2877" s="46" t="s">
        <v>26</v>
      </c>
      <c r="G2877" s="47">
        <v>13.04</v>
      </c>
      <c r="H2877" s="48">
        <v>1.074</v>
      </c>
      <c r="I2877" s="48">
        <v>2.147</v>
      </c>
      <c r="J2877" s="49">
        <v>2</v>
      </c>
      <c r="K2877" s="49">
        <v>0</v>
      </c>
      <c r="L2877" s="49">
        <v>2</v>
      </c>
    </row>
    <row r="2878" spans="1:12" x14ac:dyDescent="0.25">
      <c r="A2878" s="45">
        <f>C2878&amp;"."&amp;IFERROR(MID(E2878,FIND("(",E2878)+1,FIND(")",E2878)-FIND("(",E2878)-1),"")</f>
      </c>
      <c r="B2878" s="46" t="s">
        <v>1178</v>
      </c>
      <c r="C2878" s="46">
        <v>84584</v>
      </c>
      <c r="D2878" s="46" t="s">
        <v>5029</v>
      </c>
      <c r="E2878" s="46" t="s">
        <v>5031</v>
      </c>
      <c r="F2878" s="46" t="s">
        <v>26</v>
      </c>
      <c r="G2878" s="47">
        <v>13.04</v>
      </c>
      <c r="H2878" s="48">
        <v>1.074</v>
      </c>
      <c r="I2878" s="48">
        <v>6.442</v>
      </c>
      <c r="J2878" s="49">
        <v>6</v>
      </c>
      <c r="K2878" s="49">
        <v>0</v>
      </c>
      <c r="L2878" s="49">
        <v>6</v>
      </c>
    </row>
    <row r="2879" spans="1:12" x14ac:dyDescent="0.25">
      <c r="A2879" s="45">
        <f>C2879&amp;"."&amp;IFERROR(MID(E2879,FIND("(",E2879)+1,FIND(")",E2879)-FIND("(",E2879)-1),"")</f>
      </c>
      <c r="B2879" s="46" t="s">
        <v>1178</v>
      </c>
      <c r="C2879" s="46">
        <v>84585</v>
      </c>
      <c r="D2879" s="46" t="s">
        <v>5032</v>
      </c>
      <c r="E2879" s="46" t="s">
        <v>5033</v>
      </c>
      <c r="F2879" s="46" t="s">
        <v>26</v>
      </c>
      <c r="G2879" s="47">
        <v>12.62</v>
      </c>
      <c r="H2879" s="48">
        <v>11.417</v>
      </c>
      <c r="I2879" s="48">
        <v>22.835</v>
      </c>
      <c r="J2879" s="49">
        <v>2</v>
      </c>
      <c r="K2879" s="49">
        <v>1</v>
      </c>
      <c r="L2879" s="49">
        <v>1</v>
      </c>
    </row>
    <row r="2880" spans="1:12" x14ac:dyDescent="0.25">
      <c r="A2880" s="45">
        <f>C2880&amp;"."&amp;IFERROR(MID(E2880,FIND("(",E2880)+1,FIND(")",E2880)-FIND("(",E2880)-1),"")</f>
      </c>
      <c r="B2880" s="46" t="s">
        <v>1178</v>
      </c>
      <c r="C2880" s="46">
        <v>84585</v>
      </c>
      <c r="D2880" s="46" t="s">
        <v>5032</v>
      </c>
      <c r="E2880" s="46" t="s">
        <v>5034</v>
      </c>
      <c r="F2880" s="46" t="s">
        <v>26</v>
      </c>
      <c r="G2880" s="47">
        <v>12.62</v>
      </c>
      <c r="H2880" s="48">
        <v>40.85</v>
      </c>
      <c r="I2880" s="48">
        <v>81.7</v>
      </c>
      <c r="J2880" s="49">
        <v>2</v>
      </c>
      <c r="K2880" s="49">
        <v>0</v>
      </c>
      <c r="L2880" s="49">
        <v>2</v>
      </c>
    </row>
    <row r="2881" spans="1:12" x14ac:dyDescent="0.25">
      <c r="A2881" s="45">
        <f>C2881&amp;"."&amp;IFERROR(MID(E2881,FIND("(",E2881)+1,FIND(")",E2881)-FIND("(",E2881)-1),"")</f>
      </c>
      <c r="B2881" s="46" t="s">
        <v>1178</v>
      </c>
      <c r="C2881" s="46">
        <v>84586</v>
      </c>
      <c r="D2881" s="46" t="s">
        <v>405</v>
      </c>
      <c r="E2881" s="46" t="s">
        <v>5035</v>
      </c>
      <c r="F2881" s="46" t="s">
        <v>26</v>
      </c>
      <c r="G2881" s="47">
        <v>48.45</v>
      </c>
      <c r="H2881" s="48">
        <v>184.061</v>
      </c>
      <c r="I2881" s="48">
        <v>1840.61</v>
      </c>
      <c r="J2881" s="49">
        <v>10</v>
      </c>
      <c r="K2881" s="49">
        <v>0</v>
      </c>
      <c r="L2881" s="49">
        <v>10</v>
      </c>
    </row>
    <row r="2882" spans="1:12" x14ac:dyDescent="0.25">
      <c r="A2882" s="45">
        <f>C2882&amp;"."&amp;IFERROR(MID(E2882,FIND("(",E2882)+1,FIND(")",E2882)-FIND("(",E2882)-1),"")</f>
      </c>
      <c r="B2882" s="46" t="s">
        <v>1178</v>
      </c>
      <c r="C2882" s="46">
        <v>84586</v>
      </c>
      <c r="D2882" s="46" t="s">
        <v>405</v>
      </c>
      <c r="E2882" s="46" t="s">
        <v>5036</v>
      </c>
      <c r="F2882" s="46" t="s">
        <v>26</v>
      </c>
      <c r="G2882" s="47">
        <v>48.45</v>
      </c>
      <c r="H2882" s="48">
        <v>181.841</v>
      </c>
      <c r="I2882" s="48">
        <v>2000.251</v>
      </c>
      <c r="J2882" s="49">
        <v>11</v>
      </c>
      <c r="K2882" s="49">
        <v>0</v>
      </c>
      <c r="L2882" s="49">
        <v>11</v>
      </c>
    </row>
    <row r="2883" spans="1:12" x14ac:dyDescent="0.25">
      <c r="A2883" s="45">
        <f>C2883&amp;"."&amp;IFERROR(MID(E2883,FIND("(",E2883)+1,FIND(")",E2883)-FIND("(",E2883)-1),"")</f>
      </c>
      <c r="B2883" s="46" t="s">
        <v>1178</v>
      </c>
      <c r="C2883" s="46">
        <v>84588</v>
      </c>
      <c r="D2883" s="46" t="s">
        <v>690</v>
      </c>
      <c r="E2883" s="46" t="s">
        <v>5037</v>
      </c>
      <c r="F2883" s="46" t="s">
        <v>26</v>
      </c>
      <c r="G2883" s="47">
        <v>17.59</v>
      </c>
      <c r="H2883" s="48">
        <v>53.167</v>
      </c>
      <c r="I2883" s="48">
        <v>159.5</v>
      </c>
      <c r="J2883" s="49">
        <v>3</v>
      </c>
      <c r="K2883" s="49">
        <v>1</v>
      </c>
      <c r="L2883" s="49">
        <v>2</v>
      </c>
    </row>
    <row r="2884" spans="1:12" x14ac:dyDescent="0.25">
      <c r="A2884" s="45">
        <f>C2884&amp;"."&amp;IFERROR(MID(E2884,FIND("(",E2884)+1,FIND(")",E2884)-FIND("(",E2884)-1),"")</f>
      </c>
      <c r="B2884" s="46" t="s">
        <v>1178</v>
      </c>
      <c r="C2884" s="46">
        <v>84588</v>
      </c>
      <c r="D2884" s="46" t="s">
        <v>690</v>
      </c>
      <c r="E2884" s="46" t="s">
        <v>5038</v>
      </c>
      <c r="F2884" s="46" t="s">
        <v>26</v>
      </c>
      <c r="G2884" s="47">
        <v>17.59</v>
      </c>
      <c r="H2884" s="48">
        <v>68.532</v>
      </c>
      <c r="I2884" s="48">
        <v>205.595</v>
      </c>
      <c r="J2884" s="49">
        <v>3</v>
      </c>
      <c r="K2884" s="49">
        <v>0</v>
      </c>
      <c r="L2884" s="49">
        <v>3</v>
      </c>
    </row>
    <row r="2885" spans="1:12" x14ac:dyDescent="0.25">
      <c r="A2885" s="45">
        <f>C2885&amp;"."&amp;IFERROR(MID(E2885,FIND("(",E2885)+1,FIND(")",E2885)-FIND("(",E2885)-1),"")</f>
      </c>
      <c r="B2885" s="46" t="s">
        <v>1178</v>
      </c>
      <c r="C2885" s="46">
        <v>84662</v>
      </c>
      <c r="D2885" s="46" t="s">
        <v>5039</v>
      </c>
      <c r="E2885" s="46" t="s">
        <v>5040</v>
      </c>
      <c r="F2885" s="46" t="s">
        <v>26</v>
      </c>
      <c r="G2885" s="47">
        <v>0.32</v>
      </c>
      <c r="H2885" s="48">
        <v>1.268</v>
      </c>
      <c r="I2885" s="48">
        <v>31.69</v>
      </c>
      <c r="J2885" s="49">
        <v>25</v>
      </c>
      <c r="K2885" s="49">
        <v>0</v>
      </c>
      <c r="L2885" s="49">
        <v>25</v>
      </c>
    </row>
    <row r="2886" spans="1:12" x14ac:dyDescent="0.25">
      <c r="A2886" s="45">
        <f>C2886&amp;"."&amp;IFERROR(MID(E2886,FIND("(",E2886)+1,FIND(")",E2886)-FIND("(",E2886)-1),"")</f>
      </c>
      <c r="B2886" s="46" t="s">
        <v>1178</v>
      </c>
      <c r="C2886" s="46">
        <v>84669</v>
      </c>
      <c r="D2886" s="46" t="s">
        <v>5041</v>
      </c>
      <c r="E2886" s="46" t="s">
        <v>5042</v>
      </c>
      <c r="F2886" s="46" t="s">
        <v>26</v>
      </c>
      <c r="G2886" s="47">
        <v>1.19</v>
      </c>
      <c r="H2886" s="48">
        <v>13.01</v>
      </c>
      <c r="I2886" s="48">
        <v>52.039</v>
      </c>
      <c r="J2886" s="49">
        <v>4</v>
      </c>
      <c r="K2886" s="49">
        <v>0</v>
      </c>
      <c r="L2886" s="49">
        <v>4</v>
      </c>
    </row>
    <row r="2887" spans="1:12" x14ac:dyDescent="0.25">
      <c r="A2887" s="45">
        <f>C2887&amp;"."&amp;IFERROR(MID(E2887,FIND("(",E2887)+1,FIND(")",E2887)-FIND("(",E2887)-1),"")</f>
      </c>
      <c r="B2887" s="46" t="s">
        <v>1178</v>
      </c>
      <c r="C2887" s="46">
        <v>84672</v>
      </c>
      <c r="D2887" s="46" t="s">
        <v>5043</v>
      </c>
      <c r="E2887" s="46" t="s">
        <v>5044</v>
      </c>
      <c r="F2887" s="46" t="s">
        <v>26</v>
      </c>
      <c r="G2887" s="47">
        <v>0.08</v>
      </c>
      <c r="H2887" s="48">
        <v>2.01</v>
      </c>
      <c r="I2887" s="48">
        <v>10.05</v>
      </c>
      <c r="J2887" s="49">
        <v>5</v>
      </c>
      <c r="K2887" s="49">
        <v>0</v>
      </c>
      <c r="L2887" s="49">
        <v>5</v>
      </c>
    </row>
    <row r="2888" spans="1:12" x14ac:dyDescent="0.25">
      <c r="A2888" s="45">
        <f>C2888&amp;"."&amp;IFERROR(MID(E2888,FIND("(",E2888)+1,FIND(")",E2888)-FIND("(",E2888)-1),"")</f>
      </c>
      <c r="B2888" s="46" t="s">
        <v>1178</v>
      </c>
      <c r="C2888" s="46">
        <v>84673</v>
      </c>
      <c r="D2888" s="46" t="s">
        <v>5045</v>
      </c>
      <c r="E2888" s="46" t="s">
        <v>5046</v>
      </c>
      <c r="F2888" s="46" t="s">
        <v>26</v>
      </c>
      <c r="G2888" s="47">
        <v>0</v>
      </c>
      <c r="H2888" s="48">
        <v>8.439</v>
      </c>
      <c r="I2888" s="48">
        <v>16.878</v>
      </c>
      <c r="J2888" s="49">
        <v>2</v>
      </c>
      <c r="K2888" s="49">
        <v>0</v>
      </c>
      <c r="L2888" s="49">
        <v>2</v>
      </c>
    </row>
    <row r="2889" spans="1:12" x14ac:dyDescent="0.25">
      <c r="A2889" s="45">
        <f>C2889&amp;"."&amp;IFERROR(MID(E2889,FIND("(",E2889)+1,FIND(")",E2889)-FIND("(",E2889)-1),"")</f>
      </c>
      <c r="B2889" s="46" t="s">
        <v>1178</v>
      </c>
      <c r="C2889" s="46">
        <v>84682</v>
      </c>
      <c r="D2889" s="46" t="s">
        <v>5047</v>
      </c>
      <c r="E2889" s="46" t="s">
        <v>5048</v>
      </c>
      <c r="F2889" s="46" t="s">
        <v>26</v>
      </c>
      <c r="G2889" s="47">
        <v>1.78</v>
      </c>
      <c r="H2889" s="48">
        <v>2.771</v>
      </c>
      <c r="I2889" s="48">
        <v>11.085</v>
      </c>
      <c r="J2889" s="49">
        <v>4</v>
      </c>
      <c r="K2889" s="49">
        <v>0</v>
      </c>
      <c r="L2889" s="49">
        <v>4</v>
      </c>
    </row>
    <row r="2890" spans="1:12" x14ac:dyDescent="0.25">
      <c r="A2890" s="45">
        <f>C2890&amp;"."&amp;IFERROR(MID(E2890,FIND("(",E2890)+1,FIND(")",E2890)-FIND("(",E2890)-1),"")</f>
      </c>
      <c r="B2890" s="46" t="s">
        <v>1178</v>
      </c>
      <c r="C2890" s="46">
        <v>84686</v>
      </c>
      <c r="D2890" s="46" t="s">
        <v>5049</v>
      </c>
      <c r="E2890" s="46" t="s">
        <v>5050</v>
      </c>
      <c r="F2890" s="46" t="s">
        <v>26</v>
      </c>
      <c r="G2890" s="47">
        <v>12.4</v>
      </c>
      <c r="H2890" s="48">
        <v>35.14</v>
      </c>
      <c r="I2890" s="48">
        <v>35.14</v>
      </c>
      <c r="J2890" s="49">
        <v>1</v>
      </c>
      <c r="K2890" s="49">
        <v>0</v>
      </c>
      <c r="L2890" s="49">
        <v>1</v>
      </c>
    </row>
    <row r="2891" spans="1:12" x14ac:dyDescent="0.25">
      <c r="A2891" s="45">
        <f>C2891&amp;"."&amp;IFERROR(MID(E2891,FIND("(",E2891)+1,FIND(")",E2891)-FIND("(",E2891)-1),"")</f>
      </c>
      <c r="B2891" s="46" t="s">
        <v>1178</v>
      </c>
      <c r="C2891" s="46">
        <v>84689</v>
      </c>
      <c r="D2891" s="46" t="s">
        <v>5051</v>
      </c>
      <c r="E2891" s="46" t="s">
        <v>5052</v>
      </c>
      <c r="F2891" s="46" t="s">
        <v>26</v>
      </c>
      <c r="G2891" s="47">
        <v>8.16</v>
      </c>
      <c r="H2891" s="48">
        <v>24.63</v>
      </c>
      <c r="I2891" s="48">
        <v>98.52</v>
      </c>
      <c r="J2891" s="49">
        <v>4</v>
      </c>
      <c r="K2891" s="49">
        <v>0</v>
      </c>
      <c r="L2891" s="49">
        <v>4</v>
      </c>
    </row>
    <row r="2892" spans="1:12" x14ac:dyDescent="0.25">
      <c r="A2892" s="45">
        <f>C2892&amp;"."&amp;IFERROR(MID(E2892,FIND("(",E2892)+1,FIND(")",E2892)-FIND("(",E2892)-1),"")</f>
      </c>
      <c r="B2892" s="46" t="s">
        <v>1178</v>
      </c>
      <c r="C2892" s="46">
        <v>84691</v>
      </c>
      <c r="D2892" s="46" t="s">
        <v>5053</v>
      </c>
      <c r="E2892" s="46" t="s">
        <v>5054</v>
      </c>
      <c r="F2892" s="46" t="s">
        <v>26</v>
      </c>
      <c r="G2892" s="47">
        <v>13.13</v>
      </c>
      <c r="H2892" s="48">
        <v>40.63</v>
      </c>
      <c r="I2892" s="48">
        <v>40.63</v>
      </c>
      <c r="J2892" s="49">
        <v>1</v>
      </c>
      <c r="K2892" s="49">
        <v>0</v>
      </c>
      <c r="L2892" s="49">
        <v>1</v>
      </c>
    </row>
    <row r="2893" spans="1:12" x14ac:dyDescent="0.25">
      <c r="A2893" s="45">
        <f>C2893&amp;"."&amp;IFERROR(MID(E2893,FIND("(",E2893)+1,FIND(")",E2893)-FIND("(",E2893)-1),"")</f>
      </c>
      <c r="B2893" s="46" t="s">
        <v>1178</v>
      </c>
      <c r="C2893" s="46">
        <v>84692</v>
      </c>
      <c r="D2893" s="46" t="s">
        <v>5055</v>
      </c>
      <c r="E2893" s="46" t="s">
        <v>5056</v>
      </c>
      <c r="F2893" s="46" t="s">
        <v>26</v>
      </c>
      <c r="G2893" s="47">
        <v>13.13</v>
      </c>
      <c r="H2893" s="48">
        <v>214.478</v>
      </c>
      <c r="I2893" s="48">
        <v>643.433</v>
      </c>
      <c r="J2893" s="49">
        <v>3</v>
      </c>
      <c r="K2893" s="49">
        <v>0</v>
      </c>
      <c r="L2893" s="49">
        <v>3</v>
      </c>
    </row>
    <row r="2894" spans="1:12" x14ac:dyDescent="0.25">
      <c r="A2894" s="45">
        <f>C2894&amp;"."&amp;IFERROR(MID(E2894,FIND("(",E2894)+1,FIND(")",E2894)-FIND("(",E2894)-1),"")</f>
      </c>
      <c r="B2894" s="46" t="s">
        <v>1178</v>
      </c>
      <c r="C2894" s="46">
        <v>84692</v>
      </c>
      <c r="D2894" s="46" t="s">
        <v>5055</v>
      </c>
      <c r="E2894" s="46" t="s">
        <v>5057</v>
      </c>
      <c r="F2894" s="46" t="s">
        <v>26</v>
      </c>
      <c r="G2894" s="47">
        <v>13.13</v>
      </c>
      <c r="H2894" s="48">
        <v>9.936</v>
      </c>
      <c r="I2894" s="48">
        <v>89.427</v>
      </c>
      <c r="J2894" s="49">
        <v>9</v>
      </c>
      <c r="K2894" s="49">
        <v>0</v>
      </c>
      <c r="L2894" s="49">
        <v>9</v>
      </c>
    </row>
    <row r="2895" spans="1:12" x14ac:dyDescent="0.25">
      <c r="A2895" s="45">
        <f>C2895&amp;"."&amp;IFERROR(MID(E2895,FIND("(",E2895)+1,FIND(")",E2895)-FIND("(",E2895)-1),"")</f>
      </c>
      <c r="B2895" s="46" t="s">
        <v>1178</v>
      </c>
      <c r="C2895" s="46">
        <v>84702</v>
      </c>
      <c r="D2895" s="46" t="s">
        <v>5058</v>
      </c>
      <c r="E2895" s="46" t="s">
        <v>5059</v>
      </c>
      <c r="F2895" s="46" t="s">
        <v>26</v>
      </c>
      <c r="G2895" s="47">
        <v>11.36</v>
      </c>
      <c r="H2895" s="48">
        <v>37.622</v>
      </c>
      <c r="I2895" s="48">
        <v>75.244</v>
      </c>
      <c r="J2895" s="49">
        <v>2</v>
      </c>
      <c r="K2895" s="49">
        <v>0</v>
      </c>
      <c r="L2895" s="49">
        <v>2</v>
      </c>
    </row>
    <row r="2896" spans="1:12" x14ac:dyDescent="0.25">
      <c r="A2896" s="45">
        <f>C2896&amp;"."&amp;IFERROR(MID(E2896,FIND("(",E2896)+1,FIND(")",E2896)-FIND("(",E2896)-1),"")</f>
      </c>
      <c r="B2896" s="46" t="s">
        <v>1178</v>
      </c>
      <c r="C2896" s="46">
        <v>84707</v>
      </c>
      <c r="D2896" s="46" t="s">
        <v>5060</v>
      </c>
      <c r="E2896" s="46" t="s">
        <v>1248</v>
      </c>
      <c r="F2896" s="46" t="s">
        <v>26</v>
      </c>
      <c r="G2896" s="47">
        <v>0.37</v>
      </c>
      <c r="H2896" s="48">
        <v>0.98</v>
      </c>
      <c r="I2896" s="48">
        <v>1.959</v>
      </c>
      <c r="J2896" s="49">
        <v>2</v>
      </c>
      <c r="K2896" s="49">
        <v>0</v>
      </c>
      <c r="L2896" s="49">
        <v>2</v>
      </c>
    </row>
    <row r="2897" spans="1:12" x14ac:dyDescent="0.25">
      <c r="A2897" s="45">
        <f>C2897&amp;"."&amp;IFERROR(MID(E2897,FIND("(",E2897)+1,FIND(")",E2897)-FIND("(",E2897)-1),"")</f>
      </c>
      <c r="B2897" s="46" t="s">
        <v>1178</v>
      </c>
      <c r="C2897" s="46">
        <v>84711</v>
      </c>
      <c r="D2897" s="46" t="s">
        <v>5061</v>
      </c>
      <c r="E2897" s="46" t="s">
        <v>5062</v>
      </c>
      <c r="F2897" s="46" t="s">
        <v>26</v>
      </c>
      <c r="G2897" s="47">
        <v>3.48</v>
      </c>
      <c r="H2897" s="48">
        <v>10.419</v>
      </c>
      <c r="I2897" s="48">
        <v>20.838</v>
      </c>
      <c r="J2897" s="49">
        <v>2</v>
      </c>
      <c r="K2897" s="49">
        <v>0</v>
      </c>
      <c r="L2897" s="49">
        <v>2</v>
      </c>
    </row>
    <row r="2898" spans="1:12" x14ac:dyDescent="0.25">
      <c r="A2898" s="45">
        <f>C2898&amp;"."&amp;IFERROR(MID(E2898,FIND("(",E2898)+1,FIND(")",E2898)-FIND("(",E2898)-1),"")</f>
      </c>
      <c r="B2898" s="46" t="s">
        <v>1178</v>
      </c>
      <c r="C2898" s="46">
        <v>84713</v>
      </c>
      <c r="D2898" s="46" t="s">
        <v>5063</v>
      </c>
      <c r="E2898" s="46" t="s">
        <v>5064</v>
      </c>
      <c r="F2898" s="46" t="s">
        <v>26</v>
      </c>
      <c r="G2898" s="47">
        <v>4.32</v>
      </c>
      <c r="H2898" s="48">
        <v>15.35</v>
      </c>
      <c r="I2898" s="48">
        <v>30.7</v>
      </c>
      <c r="J2898" s="49">
        <v>2</v>
      </c>
      <c r="K2898" s="49">
        <v>0</v>
      </c>
      <c r="L2898" s="49">
        <v>2</v>
      </c>
    </row>
    <row r="2899" spans="1:12" x14ac:dyDescent="0.25">
      <c r="A2899" s="45">
        <f>C2899&amp;"."&amp;IFERROR(MID(E2899,FIND("(",E2899)+1,FIND(")",E2899)-FIND("(",E2899)-1),"")</f>
      </c>
      <c r="B2899" s="46" t="s">
        <v>1178</v>
      </c>
      <c r="C2899" s="46">
        <v>84713</v>
      </c>
      <c r="D2899" s="46" t="s">
        <v>5063</v>
      </c>
      <c r="E2899" s="46" t="s">
        <v>5065</v>
      </c>
      <c r="F2899" s="46" t="s">
        <v>26</v>
      </c>
      <c r="G2899" s="47">
        <v>4.32</v>
      </c>
      <c r="H2899" s="48">
        <v>6.51</v>
      </c>
      <c r="I2899" s="48">
        <v>6.51</v>
      </c>
      <c r="J2899" s="49">
        <v>1</v>
      </c>
      <c r="K2899" s="49">
        <v>0</v>
      </c>
      <c r="L2899" s="49">
        <v>1</v>
      </c>
    </row>
    <row r="2900" spans="1:12" x14ac:dyDescent="0.25">
      <c r="A2900" s="45">
        <f>C2900&amp;"."&amp;IFERROR(MID(E2900,FIND("(",E2900)+1,FIND(")",E2900)-FIND("(",E2900)-1),"")</f>
      </c>
      <c r="B2900" s="46" t="s">
        <v>1178</v>
      </c>
      <c r="C2900" s="46">
        <v>84717</v>
      </c>
      <c r="D2900" s="46" t="s">
        <v>5066</v>
      </c>
      <c r="E2900" s="46" t="s">
        <v>5067</v>
      </c>
      <c r="F2900" s="46" t="s">
        <v>26</v>
      </c>
      <c r="G2900" s="47">
        <v>9.22</v>
      </c>
      <c r="H2900" s="48">
        <v>22.739</v>
      </c>
      <c r="I2900" s="48">
        <v>22.739</v>
      </c>
      <c r="J2900" s="49">
        <v>1</v>
      </c>
      <c r="K2900" s="49">
        <v>0</v>
      </c>
      <c r="L2900" s="49">
        <v>1</v>
      </c>
    </row>
    <row r="2901" spans="1:12" x14ac:dyDescent="0.25">
      <c r="A2901" s="45">
        <f>C2901&amp;"."&amp;IFERROR(MID(E2901,FIND("(",E2901)+1,FIND(")",E2901)-FIND("(",E2901)-1),"")</f>
      </c>
      <c r="B2901" s="46" t="s">
        <v>1178</v>
      </c>
      <c r="C2901" s="46">
        <v>84717</v>
      </c>
      <c r="D2901" s="46" t="s">
        <v>5066</v>
      </c>
      <c r="E2901" s="46" t="s">
        <v>5068</v>
      </c>
      <c r="F2901" s="46" t="s">
        <v>26</v>
      </c>
      <c r="G2901" s="47">
        <v>9.22</v>
      </c>
      <c r="H2901" s="48">
        <v>31.04</v>
      </c>
      <c r="I2901" s="48">
        <v>93.121</v>
      </c>
      <c r="J2901" s="49">
        <v>3</v>
      </c>
      <c r="K2901" s="49">
        <v>0</v>
      </c>
      <c r="L2901" s="49">
        <v>3</v>
      </c>
    </row>
    <row r="2902" spans="1:12" x14ac:dyDescent="0.25">
      <c r="A2902" s="45">
        <f>C2902&amp;"."&amp;IFERROR(MID(E2902,FIND("(",E2902)+1,FIND(")",E2902)-FIND("(",E2902)-1),"")</f>
      </c>
      <c r="B2902" s="46" t="s">
        <v>1178</v>
      </c>
      <c r="C2902" s="46">
        <v>84719</v>
      </c>
      <c r="D2902" s="46" t="s">
        <v>5069</v>
      </c>
      <c r="E2902" s="46" t="s">
        <v>5070</v>
      </c>
      <c r="F2902" s="46" t="s">
        <v>26</v>
      </c>
      <c r="G2902" s="47">
        <v>8.94</v>
      </c>
      <c r="H2902" s="48">
        <v>23.788</v>
      </c>
      <c r="I2902" s="48">
        <v>47.576</v>
      </c>
      <c r="J2902" s="49">
        <v>2</v>
      </c>
      <c r="K2902" s="49">
        <v>2</v>
      </c>
      <c r="L2902" s="49">
        <v>0</v>
      </c>
    </row>
    <row r="2903" spans="1:12" x14ac:dyDescent="0.25">
      <c r="A2903" s="45">
        <f>C2903&amp;"."&amp;IFERROR(MID(E2903,FIND("(",E2903)+1,FIND(")",E2903)-FIND("(",E2903)-1),"")</f>
      </c>
      <c r="B2903" s="46" t="s">
        <v>1178</v>
      </c>
      <c r="C2903" s="46">
        <v>84721</v>
      </c>
      <c r="D2903" s="46" t="s">
        <v>286</v>
      </c>
      <c r="E2903" s="46" t="s">
        <v>1248</v>
      </c>
      <c r="F2903" s="46" t="s">
        <v>26</v>
      </c>
      <c r="G2903" s="47">
        <v>12</v>
      </c>
      <c r="H2903" s="48">
        <v>81.798</v>
      </c>
      <c r="I2903" s="48">
        <v>1145.174</v>
      </c>
      <c r="J2903" s="49">
        <v>14</v>
      </c>
      <c r="K2903" s="49">
        <v>14</v>
      </c>
      <c r="L2903" s="49">
        <v>0</v>
      </c>
    </row>
    <row r="2904" spans="1:12" x14ac:dyDescent="0.25">
      <c r="A2904" s="45">
        <f>C2904&amp;"."&amp;IFERROR(MID(E2904,FIND("(",E2904)+1,FIND(")",E2904)-FIND("(",E2904)-1),"")</f>
      </c>
      <c r="B2904" s="46" t="s">
        <v>1178</v>
      </c>
      <c r="C2904" s="46">
        <v>84724</v>
      </c>
      <c r="D2904" s="46" t="s">
        <v>826</v>
      </c>
      <c r="E2904" s="46" t="s">
        <v>5071</v>
      </c>
      <c r="F2904" s="46" t="s">
        <v>26</v>
      </c>
      <c r="G2904" s="47">
        <v>62.85</v>
      </c>
      <c r="H2904" s="48">
        <v>311.639</v>
      </c>
      <c r="I2904" s="48">
        <v>12777.214</v>
      </c>
      <c r="J2904" s="49">
        <v>41</v>
      </c>
      <c r="K2904" s="49">
        <v>0</v>
      </c>
      <c r="L2904" s="49">
        <v>41</v>
      </c>
    </row>
    <row r="2905" spans="1:12" x14ac:dyDescent="0.25">
      <c r="A2905" s="45">
        <f>C2905&amp;"."&amp;IFERROR(MID(E2905,FIND("(",E2905)+1,FIND(")",E2905)-FIND("(",E2905)-1),"")</f>
      </c>
      <c r="B2905" s="46" t="s">
        <v>1178</v>
      </c>
      <c r="C2905" s="46">
        <v>84724</v>
      </c>
      <c r="D2905" s="46" t="s">
        <v>826</v>
      </c>
      <c r="E2905" s="46" t="s">
        <v>5072</v>
      </c>
      <c r="F2905" s="46" t="s">
        <v>26</v>
      </c>
      <c r="G2905" s="47">
        <v>62.85</v>
      </c>
      <c r="H2905" s="48">
        <v>316.032</v>
      </c>
      <c r="I2905" s="48">
        <v>21174.138</v>
      </c>
      <c r="J2905" s="49">
        <v>67</v>
      </c>
      <c r="K2905" s="49">
        <v>0</v>
      </c>
      <c r="L2905" s="49">
        <v>67</v>
      </c>
    </row>
    <row r="2906" spans="1:12" x14ac:dyDescent="0.25">
      <c r="A2906" s="45">
        <f>C2906&amp;"."&amp;IFERROR(MID(E2906,FIND("(",E2906)+1,FIND(")",E2906)-FIND("(",E2906)-1),"")</f>
      </c>
      <c r="B2906" s="46" t="s">
        <v>1178</v>
      </c>
      <c r="C2906" s="46">
        <v>84732</v>
      </c>
      <c r="D2906" s="46" t="s">
        <v>5073</v>
      </c>
      <c r="E2906" s="46" t="s">
        <v>5074</v>
      </c>
      <c r="F2906" s="46" t="s">
        <v>26</v>
      </c>
      <c r="G2906" s="47">
        <v>2.31</v>
      </c>
      <c r="H2906" s="48">
        <v>14.928</v>
      </c>
      <c r="I2906" s="48">
        <v>44.784</v>
      </c>
      <c r="J2906" s="49">
        <v>3</v>
      </c>
      <c r="K2906" s="49">
        <v>1</v>
      </c>
      <c r="L2906" s="49">
        <v>2</v>
      </c>
    </row>
    <row r="2907" spans="1:12" x14ac:dyDescent="0.25">
      <c r="A2907" s="45">
        <f>C2907&amp;"."&amp;IFERROR(MID(E2907,FIND("(",E2907)+1,FIND(")",E2907)-FIND("(",E2907)-1),"")</f>
      </c>
      <c r="B2907" s="46" t="s">
        <v>1178</v>
      </c>
      <c r="C2907" s="46">
        <v>84732</v>
      </c>
      <c r="D2907" s="46" t="s">
        <v>5073</v>
      </c>
      <c r="E2907" s="46" t="s">
        <v>5075</v>
      </c>
      <c r="F2907" s="46" t="s">
        <v>26</v>
      </c>
      <c r="G2907" s="47">
        <v>2.31</v>
      </c>
      <c r="H2907" s="48">
        <v>8.36</v>
      </c>
      <c r="I2907" s="48">
        <v>25.08</v>
      </c>
      <c r="J2907" s="49">
        <v>3</v>
      </c>
      <c r="K2907" s="49">
        <v>0</v>
      </c>
      <c r="L2907" s="49">
        <v>3</v>
      </c>
    </row>
    <row r="2908" spans="1:12" x14ac:dyDescent="0.25">
      <c r="A2908" s="45">
        <f>C2908&amp;"."&amp;IFERROR(MID(E2908,FIND("(",E2908)+1,FIND(")",E2908)-FIND("(",E2908)-1),"")</f>
      </c>
      <c r="B2908" s="46" t="s">
        <v>1178</v>
      </c>
      <c r="C2908" s="46">
        <v>84735</v>
      </c>
      <c r="D2908" s="46" t="s">
        <v>5076</v>
      </c>
      <c r="E2908" s="46" t="s">
        <v>5077</v>
      </c>
      <c r="F2908" s="46" t="s">
        <v>26</v>
      </c>
      <c r="G2908" s="47">
        <v>3.36</v>
      </c>
      <c r="H2908" s="48">
        <v>12.72</v>
      </c>
      <c r="I2908" s="48">
        <v>25.44</v>
      </c>
      <c r="J2908" s="49">
        <v>2</v>
      </c>
      <c r="K2908" s="49">
        <v>0</v>
      </c>
      <c r="L2908" s="49">
        <v>2</v>
      </c>
    </row>
    <row r="2909" spans="1:12" x14ac:dyDescent="0.25">
      <c r="A2909" s="45">
        <f>C2909&amp;"."&amp;IFERROR(MID(E2909,FIND("(",E2909)+1,FIND(")",E2909)-FIND("(",E2909)-1),"")</f>
      </c>
      <c r="B2909" s="46" t="s">
        <v>1178</v>
      </c>
      <c r="C2909" s="46">
        <v>84735</v>
      </c>
      <c r="D2909" s="46" t="s">
        <v>5076</v>
      </c>
      <c r="E2909" s="46" t="s">
        <v>5078</v>
      </c>
      <c r="F2909" s="46" t="s">
        <v>26</v>
      </c>
      <c r="G2909" s="47">
        <v>3.36</v>
      </c>
      <c r="H2909" s="48">
        <v>28.028</v>
      </c>
      <c r="I2909" s="48">
        <v>84.085</v>
      </c>
      <c r="J2909" s="49">
        <v>3</v>
      </c>
      <c r="K2909" s="49">
        <v>1</v>
      </c>
      <c r="L2909" s="49">
        <v>2</v>
      </c>
    </row>
    <row r="2910" spans="1:12" x14ac:dyDescent="0.25">
      <c r="A2910" s="45">
        <f>C2910&amp;"."&amp;IFERROR(MID(E2910,FIND("(",E2910)+1,FIND(")",E2910)-FIND("(",E2910)-1),"")</f>
      </c>
      <c r="B2910" s="46" t="s">
        <v>1178</v>
      </c>
      <c r="C2910" s="46">
        <v>84740</v>
      </c>
      <c r="D2910" s="46" t="s">
        <v>5079</v>
      </c>
      <c r="E2910" s="46" t="s">
        <v>1248</v>
      </c>
      <c r="F2910" s="46" t="s">
        <v>26</v>
      </c>
      <c r="G2910" s="47">
        <v>2.02</v>
      </c>
      <c r="H2910" s="48">
        <v>3.995</v>
      </c>
      <c r="I2910" s="48">
        <v>7.99</v>
      </c>
      <c r="J2910" s="49">
        <v>2</v>
      </c>
      <c r="K2910" s="49">
        <v>0</v>
      </c>
      <c r="L2910" s="49">
        <v>2</v>
      </c>
    </row>
    <row r="2911" spans="1:12" x14ac:dyDescent="0.25">
      <c r="A2911" s="45">
        <f>C2911&amp;"."&amp;IFERROR(MID(E2911,FIND("(",E2911)+1,FIND(")",E2911)-FIND("(",E2911)-1),"")</f>
      </c>
      <c r="B2911" s="46" t="s">
        <v>1178</v>
      </c>
      <c r="C2911" s="46">
        <v>84742</v>
      </c>
      <c r="D2911" s="46" t="s">
        <v>5080</v>
      </c>
      <c r="E2911" s="46" t="s">
        <v>5081</v>
      </c>
      <c r="F2911" s="46" t="s">
        <v>26</v>
      </c>
      <c r="G2911" s="47">
        <v>16.15</v>
      </c>
      <c r="H2911" s="48">
        <v>29.343</v>
      </c>
      <c r="I2911" s="48">
        <v>58.686</v>
      </c>
      <c r="J2911" s="49">
        <v>2</v>
      </c>
      <c r="K2911" s="49">
        <v>0</v>
      </c>
      <c r="L2911" s="49">
        <v>2</v>
      </c>
    </row>
    <row r="2912" spans="1:12" x14ac:dyDescent="0.25">
      <c r="A2912" s="45">
        <f>C2912&amp;"."&amp;IFERROR(MID(E2912,FIND("(",E2912)+1,FIND(")",E2912)-FIND("(",E2912)-1),"")</f>
      </c>
      <c r="B2912" s="46" t="s">
        <v>1178</v>
      </c>
      <c r="C2912" s="46">
        <v>84742</v>
      </c>
      <c r="D2912" s="46" t="s">
        <v>5080</v>
      </c>
      <c r="E2912" s="46" t="s">
        <v>5082</v>
      </c>
      <c r="F2912" s="46" t="s">
        <v>26</v>
      </c>
      <c r="G2912" s="47">
        <v>16.15</v>
      </c>
      <c r="H2912" s="48">
        <v>29.914</v>
      </c>
      <c r="I2912" s="48">
        <v>59.829</v>
      </c>
      <c r="J2912" s="49">
        <v>2</v>
      </c>
      <c r="K2912" s="49">
        <v>0</v>
      </c>
      <c r="L2912" s="49">
        <v>2</v>
      </c>
    </row>
    <row r="2913" spans="1:12" x14ac:dyDescent="0.25">
      <c r="A2913" s="45">
        <f>C2913&amp;"."&amp;IFERROR(MID(E2913,FIND("(",E2913)+1,FIND(")",E2913)-FIND("(",E2913)-1),"")</f>
      </c>
      <c r="B2913" s="46" t="s">
        <v>1178</v>
      </c>
      <c r="C2913" s="46">
        <v>84743</v>
      </c>
      <c r="D2913" s="46" t="s">
        <v>5083</v>
      </c>
      <c r="E2913" s="46" t="s">
        <v>5084</v>
      </c>
      <c r="F2913" s="46" t="s">
        <v>26</v>
      </c>
      <c r="G2913" s="47">
        <v>16.15</v>
      </c>
      <c r="H2913" s="48">
        <v>35.471</v>
      </c>
      <c r="I2913" s="48">
        <v>106.414</v>
      </c>
      <c r="J2913" s="49">
        <v>3</v>
      </c>
      <c r="K2913" s="49">
        <v>0</v>
      </c>
      <c r="L2913" s="49">
        <v>3</v>
      </c>
    </row>
    <row r="2914" spans="1:12" x14ac:dyDescent="0.25">
      <c r="A2914" s="45">
        <f>C2914&amp;"."&amp;IFERROR(MID(E2914,FIND("(",E2914)+1,FIND(")",E2914)-FIND("(",E2914)-1),"")</f>
      </c>
      <c r="B2914" s="46" t="s">
        <v>1178</v>
      </c>
      <c r="C2914" s="46">
        <v>84743</v>
      </c>
      <c r="D2914" s="46" t="s">
        <v>5083</v>
      </c>
      <c r="E2914" s="46" t="s">
        <v>5085</v>
      </c>
      <c r="F2914" s="46" t="s">
        <v>26</v>
      </c>
      <c r="G2914" s="47">
        <v>16.15</v>
      </c>
      <c r="H2914" s="48">
        <v>29.343</v>
      </c>
      <c r="I2914" s="48">
        <v>58.686</v>
      </c>
      <c r="J2914" s="49">
        <v>2</v>
      </c>
      <c r="K2914" s="49">
        <v>0</v>
      </c>
      <c r="L2914" s="49">
        <v>2</v>
      </c>
    </row>
    <row r="2915" spans="1:12" x14ac:dyDescent="0.25">
      <c r="A2915" s="45">
        <f>C2915&amp;"."&amp;IFERROR(MID(E2915,FIND("(",E2915)+1,FIND(")",E2915)-FIND("(",E2915)-1),"")</f>
      </c>
      <c r="B2915" s="46" t="s">
        <v>1178</v>
      </c>
      <c r="C2915" s="46">
        <v>84745</v>
      </c>
      <c r="D2915" s="46" t="s">
        <v>656</v>
      </c>
      <c r="E2915" s="46" t="s">
        <v>5086</v>
      </c>
      <c r="F2915" s="46" t="s">
        <v>26</v>
      </c>
      <c r="G2915" s="47">
        <v>60</v>
      </c>
      <c r="H2915" s="48">
        <v>206.999</v>
      </c>
      <c r="I2915" s="48">
        <v>11591.952</v>
      </c>
      <c r="J2915" s="49">
        <v>56</v>
      </c>
      <c r="K2915" s="49">
        <v>0</v>
      </c>
      <c r="L2915" s="49">
        <v>56</v>
      </c>
    </row>
    <row r="2916" spans="1:12" x14ac:dyDescent="0.25">
      <c r="A2916" s="45">
        <f>C2916&amp;"."&amp;IFERROR(MID(E2916,FIND("(",E2916)+1,FIND(")",E2916)-FIND("(",E2916)-1),"")</f>
      </c>
      <c r="B2916" s="46" t="s">
        <v>1178</v>
      </c>
      <c r="C2916" s="46">
        <v>84745</v>
      </c>
      <c r="D2916" s="46" t="s">
        <v>656</v>
      </c>
      <c r="E2916" s="46" t="s">
        <v>5087</v>
      </c>
      <c r="F2916" s="46" t="s">
        <v>26</v>
      </c>
      <c r="G2916" s="47">
        <v>60</v>
      </c>
      <c r="H2916" s="48">
        <v>208.01</v>
      </c>
      <c r="I2916" s="48">
        <v>13936.671</v>
      </c>
      <c r="J2916" s="49">
        <v>67</v>
      </c>
      <c r="K2916" s="49">
        <v>0</v>
      </c>
      <c r="L2916" s="49">
        <v>67</v>
      </c>
    </row>
    <row r="2917" spans="1:12" x14ac:dyDescent="0.25">
      <c r="A2917" s="45">
        <f>C2917&amp;"."&amp;IFERROR(MID(E2917,FIND("(",E2917)+1,FIND(")",E2917)-FIND("(",E2917)-1),"")</f>
      </c>
      <c r="B2917" s="46" t="s">
        <v>1178</v>
      </c>
      <c r="C2917" s="46">
        <v>84746</v>
      </c>
      <c r="D2917" s="46" t="s">
        <v>5088</v>
      </c>
      <c r="E2917" s="46" t="s">
        <v>5089</v>
      </c>
      <c r="F2917" s="46" t="s">
        <v>26</v>
      </c>
      <c r="G2917" s="47">
        <v>0.41</v>
      </c>
      <c r="H2917" s="48">
        <v>15.15</v>
      </c>
      <c r="I2917" s="48">
        <v>45.449</v>
      </c>
      <c r="J2917" s="49">
        <v>3</v>
      </c>
      <c r="K2917" s="49">
        <v>0</v>
      </c>
      <c r="L2917" s="49">
        <v>3</v>
      </c>
    </row>
    <row r="2918" spans="1:12" x14ac:dyDescent="0.25">
      <c r="A2918" s="45">
        <f>C2918&amp;"."&amp;IFERROR(MID(E2918,FIND("(",E2918)+1,FIND(")",E2918)-FIND("(",E2918)-1),"")</f>
      </c>
      <c r="B2918" s="46" t="s">
        <v>1178</v>
      </c>
      <c r="C2918" s="46">
        <v>84746</v>
      </c>
      <c r="D2918" s="46" t="s">
        <v>5088</v>
      </c>
      <c r="E2918" s="46" t="s">
        <v>5090</v>
      </c>
      <c r="F2918" s="46" t="s">
        <v>26</v>
      </c>
      <c r="G2918" s="47">
        <v>0.41</v>
      </c>
      <c r="H2918" s="48">
        <v>8.427</v>
      </c>
      <c r="I2918" s="48">
        <v>42.136</v>
      </c>
      <c r="J2918" s="49">
        <v>5</v>
      </c>
      <c r="K2918" s="49">
        <v>0</v>
      </c>
      <c r="L2918" s="49">
        <v>5</v>
      </c>
    </row>
    <row r="2919" spans="1:12" x14ac:dyDescent="0.25">
      <c r="A2919" s="45">
        <f>C2919&amp;"."&amp;IFERROR(MID(E2919,FIND("(",E2919)+1,FIND(")",E2919)-FIND("(",E2919)-1),"")</f>
      </c>
      <c r="B2919" s="46" t="s">
        <v>1178</v>
      </c>
      <c r="C2919" s="46">
        <v>84747</v>
      </c>
      <c r="D2919" s="46" t="s">
        <v>5091</v>
      </c>
      <c r="E2919" s="46" t="s">
        <v>5092</v>
      </c>
      <c r="F2919" s="46" t="s">
        <v>26</v>
      </c>
      <c r="G2919" s="47">
        <v>6.68</v>
      </c>
      <c r="H2919" s="48">
        <v>12.762</v>
      </c>
      <c r="I2919" s="48">
        <v>51.047</v>
      </c>
      <c r="J2919" s="49">
        <v>4</v>
      </c>
      <c r="K2919" s="49">
        <v>0</v>
      </c>
      <c r="L2919" s="49">
        <v>4</v>
      </c>
    </row>
    <row r="2920" spans="1:12" x14ac:dyDescent="0.25">
      <c r="A2920" s="45">
        <f>C2920&amp;"."&amp;IFERROR(MID(E2920,FIND("(",E2920)+1,FIND(")",E2920)-FIND("(",E2920)-1),"")</f>
      </c>
      <c r="B2920" s="46" t="s">
        <v>1178</v>
      </c>
      <c r="C2920" s="46">
        <v>84749</v>
      </c>
      <c r="D2920" s="46" t="s">
        <v>5093</v>
      </c>
      <c r="E2920" s="46" t="s">
        <v>5094</v>
      </c>
      <c r="F2920" s="46" t="s">
        <v>26</v>
      </c>
      <c r="G2920" s="47">
        <v>1.02</v>
      </c>
      <c r="H2920" s="48">
        <v>3.62</v>
      </c>
      <c r="I2920" s="48">
        <v>3.62</v>
      </c>
      <c r="J2920" s="49">
        <v>1</v>
      </c>
      <c r="K2920" s="49">
        <v>0</v>
      </c>
      <c r="L2920" s="49">
        <v>1</v>
      </c>
    </row>
    <row r="2921" spans="1:12" x14ac:dyDescent="0.25">
      <c r="A2921" s="45">
        <f>C2921&amp;"."&amp;IFERROR(MID(E2921,FIND("(",E2921)+1,FIND(")",E2921)-FIND("(",E2921)-1),"")</f>
      </c>
      <c r="B2921" s="46" t="s">
        <v>1178</v>
      </c>
      <c r="C2921" s="46">
        <v>84752</v>
      </c>
      <c r="D2921" s="46" t="s">
        <v>5095</v>
      </c>
      <c r="E2921" s="46" t="s">
        <v>5096</v>
      </c>
      <c r="F2921" s="46" t="s">
        <v>26</v>
      </c>
      <c r="G2921" s="47">
        <v>15.47</v>
      </c>
      <c r="H2921" s="48">
        <v>45.609</v>
      </c>
      <c r="I2921" s="48">
        <v>45.609</v>
      </c>
      <c r="J2921" s="49">
        <v>1</v>
      </c>
      <c r="K2921" s="49">
        <v>0</v>
      </c>
      <c r="L2921" s="49">
        <v>1</v>
      </c>
    </row>
    <row r="2922" spans="1:12" x14ac:dyDescent="0.25">
      <c r="A2922" s="45">
        <f>C2922&amp;"."&amp;IFERROR(MID(E2922,FIND("(",E2922)+1,FIND(")",E2922)-FIND("(",E2922)-1),"")</f>
      </c>
      <c r="B2922" s="46" t="s">
        <v>1178</v>
      </c>
      <c r="C2922" s="46">
        <v>84752</v>
      </c>
      <c r="D2922" s="46" t="s">
        <v>5095</v>
      </c>
      <c r="E2922" s="46" t="s">
        <v>5097</v>
      </c>
      <c r="F2922" s="46" t="s">
        <v>26</v>
      </c>
      <c r="G2922" s="47">
        <v>15.47</v>
      </c>
      <c r="H2922" s="48">
        <v>3.478</v>
      </c>
      <c r="I2922" s="48">
        <v>31.304</v>
      </c>
      <c r="J2922" s="49">
        <v>9</v>
      </c>
      <c r="K2922" s="49">
        <v>0</v>
      </c>
      <c r="L2922" s="49">
        <v>9</v>
      </c>
    </row>
    <row r="2923" spans="1:12" x14ac:dyDescent="0.25">
      <c r="A2923" s="45">
        <f>C2923&amp;"."&amp;IFERROR(MID(E2923,FIND("(",E2923)+1,FIND(")",E2923)-FIND("(",E2923)-1),"")</f>
      </c>
      <c r="B2923" s="46" t="s">
        <v>1178</v>
      </c>
      <c r="C2923" s="46">
        <v>84753</v>
      </c>
      <c r="D2923" s="46" t="s">
        <v>5098</v>
      </c>
      <c r="E2923" s="46" t="s">
        <v>5099</v>
      </c>
      <c r="F2923" s="46" t="s">
        <v>26</v>
      </c>
      <c r="G2923" s="47">
        <v>15.47</v>
      </c>
      <c r="H2923" s="48">
        <v>41.541</v>
      </c>
      <c r="I2923" s="48">
        <v>41.541</v>
      </c>
      <c r="J2923" s="49">
        <v>1</v>
      </c>
      <c r="K2923" s="49">
        <v>0</v>
      </c>
      <c r="L2923" s="49">
        <v>1</v>
      </c>
    </row>
    <row r="2924" spans="1:12" x14ac:dyDescent="0.25">
      <c r="A2924" s="45">
        <f>C2924&amp;"."&amp;IFERROR(MID(E2924,FIND("(",E2924)+1,FIND(")",E2924)-FIND("(",E2924)-1),"")</f>
      </c>
      <c r="B2924" s="46" t="s">
        <v>1178</v>
      </c>
      <c r="C2924" s="46">
        <v>84755</v>
      </c>
      <c r="D2924" s="46" t="s">
        <v>527</v>
      </c>
      <c r="E2924" s="46" t="s">
        <v>5100</v>
      </c>
      <c r="F2924" s="46" t="s">
        <v>26</v>
      </c>
      <c r="G2924" s="47">
        <v>54.18</v>
      </c>
      <c r="H2924" s="48">
        <v>177.098</v>
      </c>
      <c r="I2924" s="48">
        <v>11865.577</v>
      </c>
      <c r="J2924" s="49">
        <v>67</v>
      </c>
      <c r="K2924" s="49">
        <v>0</v>
      </c>
      <c r="L2924" s="49">
        <v>67</v>
      </c>
    </row>
    <row r="2925" spans="1:12" x14ac:dyDescent="0.25">
      <c r="A2925" s="45">
        <f>C2925&amp;"."&amp;IFERROR(MID(E2925,FIND("(",E2925)+1,FIND(")",E2925)-FIND("(",E2925)-1),"")</f>
      </c>
      <c r="B2925" s="46" t="s">
        <v>1178</v>
      </c>
      <c r="C2925" s="46">
        <v>84755</v>
      </c>
      <c r="D2925" s="46" t="s">
        <v>527</v>
      </c>
      <c r="E2925" s="46" t="s">
        <v>5101</v>
      </c>
      <c r="F2925" s="46" t="s">
        <v>26</v>
      </c>
      <c r="G2925" s="47">
        <v>54.18</v>
      </c>
      <c r="H2925" s="48">
        <v>162.166</v>
      </c>
      <c r="I2925" s="48">
        <v>6162.32</v>
      </c>
      <c r="J2925" s="49">
        <v>38</v>
      </c>
      <c r="K2925" s="49">
        <v>0</v>
      </c>
      <c r="L2925" s="49">
        <v>38</v>
      </c>
    </row>
    <row r="2926" spans="1:12" x14ac:dyDescent="0.25">
      <c r="A2926" s="45">
        <f>C2926&amp;"."&amp;IFERROR(MID(E2926,FIND("(",E2926)+1,FIND(")",E2926)-FIND("(",E2926)-1),"")</f>
      </c>
      <c r="B2926" s="46" t="s">
        <v>1178</v>
      </c>
      <c r="C2926" s="46">
        <v>84756</v>
      </c>
      <c r="D2926" s="46" t="s">
        <v>5102</v>
      </c>
      <c r="E2926" s="46" t="s">
        <v>5103</v>
      </c>
      <c r="F2926" s="46" t="s">
        <v>26</v>
      </c>
      <c r="G2926" s="47">
        <v>0.34</v>
      </c>
      <c r="H2926" s="48">
        <v>3.422</v>
      </c>
      <c r="I2926" s="48">
        <v>6.844</v>
      </c>
      <c r="J2926" s="49">
        <v>2</v>
      </c>
      <c r="K2926" s="49">
        <v>1</v>
      </c>
      <c r="L2926" s="49">
        <v>1</v>
      </c>
    </row>
    <row r="2927" spans="1:12" x14ac:dyDescent="0.25">
      <c r="A2927" s="45">
        <f>C2927&amp;"."&amp;IFERROR(MID(E2927,FIND("(",E2927)+1,FIND(")",E2927)-FIND("(",E2927)-1),"")</f>
      </c>
      <c r="B2927" s="46" t="s">
        <v>1178</v>
      </c>
      <c r="C2927" s="46">
        <v>84759</v>
      </c>
      <c r="D2927" s="46" t="s">
        <v>5104</v>
      </c>
      <c r="E2927" s="46" t="s">
        <v>5105</v>
      </c>
      <c r="F2927" s="46" t="s">
        <v>26</v>
      </c>
      <c r="G2927" s="47">
        <v>4.47</v>
      </c>
      <c r="H2927" s="48">
        <v>8.234</v>
      </c>
      <c r="I2927" s="48">
        <v>32.938</v>
      </c>
      <c r="J2927" s="49">
        <v>4</v>
      </c>
      <c r="K2927" s="49">
        <v>0</v>
      </c>
      <c r="L2927" s="49">
        <v>4</v>
      </c>
    </row>
    <row r="2928" spans="1:12" x14ac:dyDescent="0.25">
      <c r="A2928" s="45">
        <f>C2928&amp;"."&amp;IFERROR(MID(E2928,FIND("(",E2928)+1,FIND(")",E2928)-FIND("(",E2928)-1),"")</f>
      </c>
      <c r="B2928" s="46" t="s">
        <v>1178</v>
      </c>
      <c r="C2928" s="46">
        <v>84761</v>
      </c>
      <c r="D2928" s="46" t="s">
        <v>5106</v>
      </c>
      <c r="E2928" s="46" t="s">
        <v>5107</v>
      </c>
      <c r="F2928" s="46" t="s">
        <v>26</v>
      </c>
      <c r="G2928" s="47">
        <v>13.5</v>
      </c>
      <c r="H2928" s="48">
        <v>25.758</v>
      </c>
      <c r="I2928" s="48">
        <v>25.758</v>
      </c>
      <c r="J2928" s="49">
        <v>1</v>
      </c>
      <c r="K2928" s="49">
        <v>1</v>
      </c>
      <c r="L2928" s="49">
        <v>0</v>
      </c>
    </row>
    <row r="2929" spans="1:12" x14ac:dyDescent="0.25">
      <c r="A2929" s="45">
        <f>C2929&amp;"."&amp;IFERROR(MID(E2929,FIND("(",E2929)+1,FIND(")",E2929)-FIND("(",E2929)-1),"")</f>
      </c>
      <c r="B2929" s="46" t="s">
        <v>1178</v>
      </c>
      <c r="C2929" s="46">
        <v>84761</v>
      </c>
      <c r="D2929" s="46" t="s">
        <v>5106</v>
      </c>
      <c r="E2929" s="46" t="s">
        <v>5108</v>
      </c>
      <c r="F2929" s="46" t="s">
        <v>26</v>
      </c>
      <c r="G2929" s="47">
        <v>13.5</v>
      </c>
      <c r="H2929" s="48">
        <v>24.877</v>
      </c>
      <c r="I2929" s="48">
        <v>49.754</v>
      </c>
      <c r="J2929" s="49">
        <v>2</v>
      </c>
      <c r="K2929" s="49">
        <v>0</v>
      </c>
      <c r="L2929" s="49">
        <v>2</v>
      </c>
    </row>
    <row r="2930" spans="1:12" x14ac:dyDescent="0.25">
      <c r="A2930" s="45">
        <f>C2930&amp;"."&amp;IFERROR(MID(E2930,FIND("(",E2930)+1,FIND(")",E2930)-FIND("(",E2930)-1),"")</f>
      </c>
      <c r="B2930" s="46" t="s">
        <v>1178</v>
      </c>
      <c r="C2930" s="46">
        <v>84763</v>
      </c>
      <c r="D2930" s="46" t="s">
        <v>5109</v>
      </c>
      <c r="E2930" s="46" t="s">
        <v>5110</v>
      </c>
      <c r="F2930" s="46" t="s">
        <v>26</v>
      </c>
      <c r="G2930" s="47">
        <v>0.34</v>
      </c>
      <c r="H2930" s="48">
        <v>1.302</v>
      </c>
      <c r="I2930" s="48">
        <v>6.508</v>
      </c>
      <c r="J2930" s="49">
        <v>5</v>
      </c>
      <c r="K2930" s="49">
        <v>1</v>
      </c>
      <c r="L2930" s="49">
        <v>4</v>
      </c>
    </row>
    <row r="2931" spans="1:12" x14ac:dyDescent="0.25">
      <c r="A2931" s="45">
        <f>C2931&amp;"."&amp;IFERROR(MID(E2931,FIND("(",E2931)+1,FIND(")",E2931)-FIND("(",E2931)-1),"")</f>
      </c>
      <c r="B2931" s="46" t="s">
        <v>1178</v>
      </c>
      <c r="C2931" s="46">
        <v>84765</v>
      </c>
      <c r="D2931" s="46" t="s">
        <v>5111</v>
      </c>
      <c r="E2931" s="46" t="s">
        <v>1248</v>
      </c>
      <c r="F2931" s="46" t="s">
        <v>26</v>
      </c>
      <c r="G2931" s="47">
        <v>0.42</v>
      </c>
      <c r="H2931" s="48">
        <v>2.347</v>
      </c>
      <c r="I2931" s="48">
        <v>4.694</v>
      </c>
      <c r="J2931" s="49">
        <v>2</v>
      </c>
      <c r="K2931" s="49">
        <v>1</v>
      </c>
      <c r="L2931" s="49">
        <v>1</v>
      </c>
    </row>
    <row r="2932" spans="1:12" x14ac:dyDescent="0.25">
      <c r="A2932" s="45">
        <f>C2932&amp;"."&amp;IFERROR(MID(E2932,FIND("(",E2932)+1,FIND(")",E2932)-FIND("(",E2932)-1),"")</f>
      </c>
      <c r="B2932" s="46" t="s">
        <v>1178</v>
      </c>
      <c r="C2932" s="46">
        <v>84770</v>
      </c>
      <c r="D2932" s="46" t="s">
        <v>5112</v>
      </c>
      <c r="E2932" s="46" t="s">
        <v>5113</v>
      </c>
      <c r="F2932" s="46" t="s">
        <v>26</v>
      </c>
      <c r="G2932" s="47">
        <v>8.04</v>
      </c>
      <c r="H2932" s="48">
        <v>14.968</v>
      </c>
      <c r="I2932" s="48">
        <v>59.872</v>
      </c>
      <c r="J2932" s="49">
        <v>4</v>
      </c>
      <c r="K2932" s="49">
        <v>0</v>
      </c>
      <c r="L2932" s="49">
        <v>4</v>
      </c>
    </row>
    <row r="2933" spans="1:12" x14ac:dyDescent="0.25">
      <c r="A2933" s="45">
        <f>C2933&amp;"."&amp;IFERROR(MID(E2933,FIND("(",E2933)+1,FIND(")",E2933)-FIND("(",E2933)-1),"")</f>
      </c>
      <c r="B2933" s="46" t="s">
        <v>1178</v>
      </c>
      <c r="C2933" s="46">
        <v>84773</v>
      </c>
      <c r="D2933" s="46" t="s">
        <v>223</v>
      </c>
      <c r="E2933" s="46" t="s">
        <v>5114</v>
      </c>
      <c r="F2933" s="46" t="s">
        <v>26</v>
      </c>
      <c r="G2933" s="47">
        <v>34.85</v>
      </c>
      <c r="H2933" s="48">
        <v>117.747</v>
      </c>
      <c r="I2933" s="48">
        <v>5180.873</v>
      </c>
      <c r="J2933" s="49">
        <v>44</v>
      </c>
      <c r="K2933" s="49">
        <v>0</v>
      </c>
      <c r="L2933" s="49">
        <v>44</v>
      </c>
    </row>
    <row r="2934" spans="1:12" x14ac:dyDescent="0.25">
      <c r="A2934" s="45">
        <f>C2934&amp;"."&amp;IFERROR(MID(E2934,FIND("(",E2934)+1,FIND(")",E2934)-FIND("(",E2934)-1),"")</f>
      </c>
      <c r="B2934" s="46" t="s">
        <v>1178</v>
      </c>
      <c r="C2934" s="46">
        <v>84773</v>
      </c>
      <c r="D2934" s="46" t="s">
        <v>223</v>
      </c>
      <c r="E2934" s="46" t="s">
        <v>5115</v>
      </c>
      <c r="F2934" s="46" t="s">
        <v>26</v>
      </c>
      <c r="G2934" s="47">
        <v>34.85</v>
      </c>
      <c r="H2934" s="48">
        <v>117.615</v>
      </c>
      <c r="I2934" s="48">
        <v>8115.439</v>
      </c>
      <c r="J2934" s="49">
        <v>69</v>
      </c>
      <c r="K2934" s="49">
        <v>0</v>
      </c>
      <c r="L2934" s="49">
        <v>69</v>
      </c>
    </row>
    <row r="2935" spans="1:12" x14ac:dyDescent="0.25">
      <c r="A2935" s="45">
        <f>C2935&amp;"."&amp;IFERROR(MID(E2935,FIND("(",E2935)+1,FIND(")",E2935)-FIND("(",E2935)-1),"")</f>
      </c>
      <c r="B2935" s="46" t="s">
        <v>1178</v>
      </c>
      <c r="C2935" s="46">
        <v>84774</v>
      </c>
      <c r="D2935" s="46" t="s">
        <v>5116</v>
      </c>
      <c r="E2935" s="46" t="s">
        <v>5117</v>
      </c>
      <c r="F2935" s="46" t="s">
        <v>26</v>
      </c>
      <c r="G2935" s="47">
        <v>0.5</v>
      </c>
      <c r="H2935" s="48">
        <v>17.33</v>
      </c>
      <c r="I2935" s="48">
        <v>86.652</v>
      </c>
      <c r="J2935" s="49">
        <v>5</v>
      </c>
      <c r="K2935" s="49">
        <v>0</v>
      </c>
      <c r="L2935" s="49">
        <v>5</v>
      </c>
    </row>
    <row r="2936" spans="1:12" x14ac:dyDescent="0.25">
      <c r="A2936" s="45">
        <f>C2936&amp;"."&amp;IFERROR(MID(E2936,FIND("(",E2936)+1,FIND(")",E2936)-FIND("(",E2936)-1),"")</f>
      </c>
      <c r="B2936" s="46" t="s">
        <v>1178</v>
      </c>
      <c r="C2936" s="46">
        <v>84774</v>
      </c>
      <c r="D2936" s="46" t="s">
        <v>5116</v>
      </c>
      <c r="E2936" s="46" t="s">
        <v>5118</v>
      </c>
      <c r="F2936" s="46" t="s">
        <v>26</v>
      </c>
      <c r="G2936" s="47">
        <v>0.5</v>
      </c>
      <c r="H2936" s="48">
        <v>2.993</v>
      </c>
      <c r="I2936" s="48">
        <v>8.98</v>
      </c>
      <c r="J2936" s="49">
        <v>3</v>
      </c>
      <c r="K2936" s="49">
        <v>0</v>
      </c>
      <c r="L2936" s="49">
        <v>3</v>
      </c>
    </row>
    <row r="2937" spans="1:12" x14ac:dyDescent="0.25">
      <c r="A2937" s="45">
        <f>C2937&amp;"."&amp;IFERROR(MID(E2937,FIND("(",E2937)+1,FIND(")",E2937)-FIND("(",E2937)-1),"")</f>
      </c>
      <c r="B2937" s="46" t="s">
        <v>1178</v>
      </c>
      <c r="C2937" s="46">
        <v>84776</v>
      </c>
      <c r="D2937" s="46" t="s">
        <v>5119</v>
      </c>
      <c r="E2937" s="46" t="s">
        <v>5120</v>
      </c>
      <c r="F2937" s="46" t="s">
        <v>26</v>
      </c>
      <c r="G2937" s="47">
        <v>3.32</v>
      </c>
      <c r="H2937" s="48">
        <v>9.89</v>
      </c>
      <c r="I2937" s="48">
        <v>19.78</v>
      </c>
      <c r="J2937" s="49">
        <v>2</v>
      </c>
      <c r="K2937" s="49">
        <v>0</v>
      </c>
      <c r="L2937" s="49">
        <v>2</v>
      </c>
    </row>
    <row r="2938" spans="1:12" x14ac:dyDescent="0.25">
      <c r="A2938" s="45">
        <f>C2938&amp;"."&amp;IFERROR(MID(E2938,FIND("(",E2938)+1,FIND(")",E2938)-FIND("(",E2938)-1),"")</f>
      </c>
      <c r="B2938" s="46" t="s">
        <v>1178</v>
      </c>
      <c r="C2938" s="46">
        <v>84777</v>
      </c>
      <c r="D2938" s="46" t="s">
        <v>5121</v>
      </c>
      <c r="E2938" s="46" t="s">
        <v>5122</v>
      </c>
      <c r="F2938" s="46" t="s">
        <v>26</v>
      </c>
      <c r="G2938" s="47">
        <v>3.32</v>
      </c>
      <c r="H2938" s="48">
        <v>14.426</v>
      </c>
      <c r="I2938" s="48">
        <v>43.277</v>
      </c>
      <c r="J2938" s="49">
        <v>3</v>
      </c>
      <c r="K2938" s="49">
        <v>0</v>
      </c>
      <c r="L2938" s="49">
        <v>3</v>
      </c>
    </row>
    <row r="2939" spans="1:12" x14ac:dyDescent="0.25">
      <c r="A2939" s="45">
        <f>C2939&amp;"."&amp;IFERROR(MID(E2939,FIND("(",E2939)+1,FIND(")",E2939)-FIND("(",E2939)-1),"")</f>
      </c>
      <c r="B2939" s="46" t="s">
        <v>1178</v>
      </c>
      <c r="C2939" s="46">
        <v>84777</v>
      </c>
      <c r="D2939" s="46" t="s">
        <v>5121</v>
      </c>
      <c r="E2939" s="46" t="s">
        <v>5123</v>
      </c>
      <c r="F2939" s="46" t="s">
        <v>26</v>
      </c>
      <c r="G2939" s="47">
        <v>3.32</v>
      </c>
      <c r="H2939" s="48">
        <v>10.56</v>
      </c>
      <c r="I2939" s="48">
        <v>42.24</v>
      </c>
      <c r="J2939" s="49">
        <v>4</v>
      </c>
      <c r="K2939" s="49">
        <v>0</v>
      </c>
      <c r="L2939" s="49">
        <v>4</v>
      </c>
    </row>
    <row r="2940" spans="1:12" x14ac:dyDescent="0.25">
      <c r="A2940" s="45">
        <f>C2940&amp;"."&amp;IFERROR(MID(E2940,FIND("(",E2940)+1,FIND(")",E2940)-FIND("(",E2940)-1),"")</f>
      </c>
      <c r="B2940" s="46" t="s">
        <v>1178</v>
      </c>
      <c r="C2940" s="46">
        <v>84779</v>
      </c>
      <c r="D2940" s="46" t="s">
        <v>683</v>
      </c>
      <c r="E2940" s="46" t="s">
        <v>5124</v>
      </c>
      <c r="F2940" s="46" t="s">
        <v>26</v>
      </c>
      <c r="G2940" s="47">
        <v>63.58</v>
      </c>
      <c r="H2940" s="48">
        <v>182.055</v>
      </c>
      <c r="I2940" s="48">
        <v>13289.993</v>
      </c>
      <c r="J2940" s="49">
        <v>73</v>
      </c>
      <c r="K2940" s="49">
        <v>0</v>
      </c>
      <c r="L2940" s="49">
        <v>73</v>
      </c>
    </row>
    <row r="2941" spans="1:12" x14ac:dyDescent="0.25">
      <c r="A2941" s="45">
        <f>C2941&amp;"."&amp;IFERROR(MID(E2941,FIND("(",E2941)+1,FIND(")",E2941)-FIND("(",E2941)-1),"")</f>
      </c>
      <c r="B2941" s="46" t="s">
        <v>1178</v>
      </c>
      <c r="C2941" s="46">
        <v>84779</v>
      </c>
      <c r="D2941" s="46" t="s">
        <v>683</v>
      </c>
      <c r="E2941" s="46" t="s">
        <v>5125</v>
      </c>
      <c r="F2941" s="46" t="s">
        <v>26</v>
      </c>
      <c r="G2941" s="47">
        <v>63.58</v>
      </c>
      <c r="H2941" s="48">
        <v>214.147</v>
      </c>
      <c r="I2941" s="48">
        <v>3426.349</v>
      </c>
      <c r="J2941" s="49">
        <v>16</v>
      </c>
      <c r="K2941" s="49">
        <v>0</v>
      </c>
      <c r="L2941" s="49">
        <v>16</v>
      </c>
    </row>
    <row r="2942" spans="1:12" x14ac:dyDescent="0.25">
      <c r="A2942" s="45">
        <f>C2942&amp;"."&amp;IFERROR(MID(E2942,FIND("(",E2942)+1,FIND(")",E2942)-FIND("(",E2942)-1),"")</f>
      </c>
      <c r="B2942" s="46" t="s">
        <v>1178</v>
      </c>
      <c r="C2942" s="46">
        <v>84781</v>
      </c>
      <c r="D2942" s="46" t="s">
        <v>5126</v>
      </c>
      <c r="E2942" s="46" t="s">
        <v>5127</v>
      </c>
      <c r="F2942" s="46" t="s">
        <v>26</v>
      </c>
      <c r="G2942" s="47">
        <v>8.18</v>
      </c>
      <c r="H2942" s="48">
        <v>27.31</v>
      </c>
      <c r="I2942" s="48">
        <v>54.62</v>
      </c>
      <c r="J2942" s="49">
        <v>2</v>
      </c>
      <c r="K2942" s="49">
        <v>0</v>
      </c>
      <c r="L2942" s="49">
        <v>2</v>
      </c>
    </row>
    <row r="2943" spans="1:12" x14ac:dyDescent="0.25">
      <c r="A2943" s="45">
        <f>C2943&amp;"."&amp;IFERROR(MID(E2943,FIND("(",E2943)+1,FIND(")",E2943)-FIND("(",E2943)-1),"")</f>
      </c>
      <c r="B2943" s="46" t="s">
        <v>1178</v>
      </c>
      <c r="C2943" s="46">
        <v>84781</v>
      </c>
      <c r="D2943" s="46" t="s">
        <v>5126</v>
      </c>
      <c r="E2943" s="46" t="s">
        <v>5128</v>
      </c>
      <c r="F2943" s="46" t="s">
        <v>26</v>
      </c>
      <c r="G2943" s="47">
        <v>8.18</v>
      </c>
      <c r="H2943" s="48">
        <v>27.491</v>
      </c>
      <c r="I2943" s="48">
        <v>137.454</v>
      </c>
      <c r="J2943" s="49">
        <v>5</v>
      </c>
      <c r="K2943" s="49">
        <v>0</v>
      </c>
      <c r="L2943" s="49">
        <v>5</v>
      </c>
    </row>
    <row r="2944" spans="1:12" x14ac:dyDescent="0.25">
      <c r="A2944" s="45">
        <f>C2944&amp;"."&amp;IFERROR(MID(E2944,FIND("(",E2944)+1,FIND(")",E2944)-FIND("(",E2944)-1),"")</f>
      </c>
      <c r="B2944" s="46" t="s">
        <v>1178</v>
      </c>
      <c r="C2944" s="46">
        <v>84781</v>
      </c>
      <c r="D2944" s="46" t="s">
        <v>5126</v>
      </c>
      <c r="E2944" s="46" t="s">
        <v>5129</v>
      </c>
      <c r="F2944" s="46" t="s">
        <v>26</v>
      </c>
      <c r="G2944" s="47">
        <v>8.18</v>
      </c>
      <c r="H2944" s="48">
        <v>26.822</v>
      </c>
      <c r="I2944" s="48">
        <v>160.931</v>
      </c>
      <c r="J2944" s="49">
        <v>6</v>
      </c>
      <c r="K2944" s="49">
        <v>2</v>
      </c>
      <c r="L2944" s="49">
        <v>4</v>
      </c>
    </row>
    <row r="2945" spans="1:12" x14ac:dyDescent="0.25">
      <c r="A2945" s="45">
        <f>C2945&amp;"."&amp;IFERROR(MID(E2945,FIND("(",E2945)+1,FIND(")",E2945)-FIND("(",E2945)-1),"")</f>
      </c>
      <c r="B2945" s="46" t="s">
        <v>1178</v>
      </c>
      <c r="C2945" s="46">
        <v>84783</v>
      </c>
      <c r="D2945" s="46" t="s">
        <v>5130</v>
      </c>
      <c r="E2945" s="46" t="s">
        <v>5131</v>
      </c>
      <c r="F2945" s="46" t="s">
        <v>26</v>
      </c>
      <c r="G2945" s="47">
        <v>7.77</v>
      </c>
      <c r="H2945" s="48">
        <v>25.98</v>
      </c>
      <c r="I2945" s="48">
        <v>77.94</v>
      </c>
      <c r="J2945" s="49">
        <v>3</v>
      </c>
      <c r="K2945" s="49">
        <v>0</v>
      </c>
      <c r="L2945" s="49">
        <v>3</v>
      </c>
    </row>
    <row r="2946" spans="1:12" x14ac:dyDescent="0.25">
      <c r="A2946" s="45">
        <f>C2946&amp;"."&amp;IFERROR(MID(E2946,FIND("(",E2946)+1,FIND(")",E2946)-FIND("(",E2946)-1),"")</f>
      </c>
      <c r="B2946" s="46" t="s">
        <v>1178</v>
      </c>
      <c r="C2946" s="46">
        <v>84783</v>
      </c>
      <c r="D2946" s="46" t="s">
        <v>5130</v>
      </c>
      <c r="E2946" s="46" t="s">
        <v>5132</v>
      </c>
      <c r="F2946" s="46" t="s">
        <v>26</v>
      </c>
      <c r="G2946" s="47">
        <v>7.77</v>
      </c>
      <c r="H2946" s="48">
        <v>26.973</v>
      </c>
      <c r="I2946" s="48">
        <v>80.92</v>
      </c>
      <c r="J2946" s="49">
        <v>3</v>
      </c>
      <c r="K2946" s="49">
        <v>0</v>
      </c>
      <c r="L2946" s="49">
        <v>3</v>
      </c>
    </row>
    <row r="2947" spans="1:12" x14ac:dyDescent="0.25">
      <c r="A2947" s="45">
        <f>C2947&amp;"."&amp;IFERROR(MID(E2947,FIND("(",E2947)+1,FIND(")",E2947)-FIND("(",E2947)-1),"")</f>
      </c>
      <c r="B2947" s="46" t="s">
        <v>1178</v>
      </c>
      <c r="C2947" s="46">
        <v>84785</v>
      </c>
      <c r="D2947" s="46" t="s">
        <v>530</v>
      </c>
      <c r="E2947" s="46" t="s">
        <v>1248</v>
      </c>
      <c r="F2947" s="46" t="s">
        <v>26</v>
      </c>
      <c r="G2947" s="47">
        <v>10</v>
      </c>
      <c r="H2947" s="48">
        <v>64.271</v>
      </c>
      <c r="I2947" s="48">
        <v>1928.132</v>
      </c>
      <c r="J2947" s="49">
        <v>30</v>
      </c>
      <c r="K2947" s="49">
        <v>0</v>
      </c>
      <c r="L2947" s="49">
        <v>30</v>
      </c>
    </row>
    <row r="2948" spans="1:12" x14ac:dyDescent="0.25">
      <c r="A2948" s="45">
        <f>C2948&amp;"."&amp;IFERROR(MID(E2948,FIND("(",E2948)+1,FIND(")",E2948)-FIND("(",E2948)-1),"")</f>
      </c>
      <c r="B2948" s="46" t="s">
        <v>1178</v>
      </c>
      <c r="C2948" s="46">
        <v>84786</v>
      </c>
      <c r="D2948" s="46" t="s">
        <v>5133</v>
      </c>
      <c r="E2948" s="46" t="s">
        <v>1248</v>
      </c>
      <c r="F2948" s="46" t="s">
        <v>26</v>
      </c>
      <c r="G2948" s="47">
        <v>0</v>
      </c>
      <c r="H2948" s="48">
        <v>0.925</v>
      </c>
      <c r="I2948" s="48">
        <v>3.699</v>
      </c>
      <c r="J2948" s="49">
        <v>4</v>
      </c>
      <c r="K2948" s="49">
        <v>1</v>
      </c>
      <c r="L2948" s="49">
        <v>3</v>
      </c>
    </row>
    <row r="2949" spans="1:12" x14ac:dyDescent="0.25">
      <c r="A2949" s="45">
        <f>C2949&amp;"."&amp;IFERROR(MID(E2949,FIND("(",E2949)+1,FIND(")",E2949)-FIND("(",E2949)-1),"")</f>
      </c>
      <c r="B2949" s="46" t="s">
        <v>1178</v>
      </c>
      <c r="C2949" s="46">
        <v>84792</v>
      </c>
      <c r="D2949" s="46" t="s">
        <v>5134</v>
      </c>
      <c r="E2949" s="46" t="s">
        <v>1248</v>
      </c>
      <c r="F2949" s="46" t="s">
        <v>1495</v>
      </c>
      <c r="G2949" s="47">
        <v>0.1</v>
      </c>
      <c r="H2949" s="48">
        <v>14.393</v>
      </c>
      <c r="I2949" s="48">
        <v>2130.164</v>
      </c>
      <c r="J2949" s="49">
        <v>148</v>
      </c>
      <c r="K2949" s="49">
        <v>-98</v>
      </c>
      <c r="L2949" s="49">
        <v>246</v>
      </c>
    </row>
    <row r="2950" spans="1:12" x14ac:dyDescent="0.25">
      <c r="A2950" s="45">
        <f>C2950&amp;"."&amp;IFERROR(MID(E2950,FIND("(",E2950)+1,FIND(")",E2950)-FIND("(",E2950)-1),"")</f>
      </c>
      <c r="B2950" s="46" t="s">
        <v>1178</v>
      </c>
      <c r="C2950" s="46">
        <v>84793</v>
      </c>
      <c r="D2950" s="46" t="s">
        <v>5135</v>
      </c>
      <c r="E2950" s="46" t="s">
        <v>1248</v>
      </c>
      <c r="F2950" s="46" t="s">
        <v>1495</v>
      </c>
      <c r="G2950" s="47">
        <v>0.01</v>
      </c>
      <c r="H2950" s="48">
        <v>0.137</v>
      </c>
      <c r="I2950" s="48">
        <v>21.914</v>
      </c>
      <c r="J2950" s="49">
        <v>160</v>
      </c>
      <c r="K2950" s="49">
        <v>114</v>
      </c>
      <c r="L2950" s="49">
        <v>46</v>
      </c>
    </row>
    <row r="2951" spans="1:12" x14ac:dyDescent="0.25">
      <c r="A2951" s="45">
        <f>C2951&amp;"."&amp;IFERROR(MID(E2951,FIND("(",E2951)+1,FIND(")",E2951)-FIND("(",E2951)-1),"")</f>
      </c>
      <c r="B2951" s="46" t="s">
        <v>1178</v>
      </c>
      <c r="C2951" s="46">
        <v>84795</v>
      </c>
      <c r="D2951" s="46" t="s">
        <v>368</v>
      </c>
      <c r="E2951" s="46" t="s">
        <v>5136</v>
      </c>
      <c r="F2951" s="46" t="s">
        <v>26</v>
      </c>
      <c r="G2951" s="47">
        <v>60.3</v>
      </c>
      <c r="H2951" s="48">
        <v>295.363</v>
      </c>
      <c r="I2951" s="48">
        <v>62616.876</v>
      </c>
      <c r="J2951" s="49">
        <v>212</v>
      </c>
      <c r="K2951" s="49">
        <v>158</v>
      </c>
      <c r="L2951" s="49">
        <v>54</v>
      </c>
    </row>
    <row r="2952" spans="1:12" x14ac:dyDescent="0.25">
      <c r="A2952" s="45">
        <f>C2952&amp;"."&amp;IFERROR(MID(E2952,FIND("(",E2952)+1,FIND(")",E2952)-FIND("(",E2952)-1),"")</f>
      </c>
      <c r="B2952" s="46" t="s">
        <v>1178</v>
      </c>
      <c r="C2952" s="46">
        <v>84795</v>
      </c>
      <c r="D2952" s="46" t="s">
        <v>368</v>
      </c>
      <c r="E2952" s="46" t="s">
        <v>5137</v>
      </c>
      <c r="F2952" s="46" t="s">
        <v>26</v>
      </c>
      <c r="G2952" s="47">
        <v>60.3</v>
      </c>
      <c r="H2952" s="48">
        <v>332.585</v>
      </c>
      <c r="I2952" s="48">
        <v>43901.165</v>
      </c>
      <c r="J2952" s="49">
        <v>132</v>
      </c>
      <c r="K2952" s="49">
        <v>77</v>
      </c>
      <c r="L2952" s="49">
        <v>55</v>
      </c>
    </row>
    <row r="2953" spans="1:12" x14ac:dyDescent="0.25">
      <c r="A2953" s="45">
        <f>C2953&amp;"."&amp;IFERROR(MID(E2953,FIND("(",E2953)+1,FIND(")",E2953)-FIND("(",E2953)-1),"")</f>
      </c>
      <c r="B2953" s="46" t="s">
        <v>1178</v>
      </c>
      <c r="C2953" s="46">
        <v>84795</v>
      </c>
      <c r="D2953" s="46" t="s">
        <v>368</v>
      </c>
      <c r="E2953" s="46" t="s">
        <v>5138</v>
      </c>
      <c r="F2953" s="46" t="s">
        <v>26</v>
      </c>
      <c r="G2953" s="47">
        <v>60.3</v>
      </c>
      <c r="H2953" s="48">
        <v>320.28</v>
      </c>
      <c r="I2953" s="48">
        <v>31707.682</v>
      </c>
      <c r="J2953" s="49">
        <v>99</v>
      </c>
      <c r="K2953" s="49">
        <v>87</v>
      </c>
      <c r="L2953" s="49">
        <v>12</v>
      </c>
    </row>
    <row r="2954" spans="1:12" x14ac:dyDescent="0.25">
      <c r="A2954" s="45">
        <f>C2954&amp;"."&amp;IFERROR(MID(E2954,FIND("(",E2954)+1,FIND(")",E2954)-FIND("(",E2954)-1),"")</f>
      </c>
      <c r="B2954" s="46" t="s">
        <v>1178</v>
      </c>
      <c r="C2954" s="46">
        <v>84796</v>
      </c>
      <c r="D2954" s="46" t="s">
        <v>5139</v>
      </c>
      <c r="E2954" s="46" t="s">
        <v>5140</v>
      </c>
      <c r="F2954" s="46" t="s">
        <v>26</v>
      </c>
      <c r="G2954" s="47">
        <v>0</v>
      </c>
      <c r="H2954" s="48">
        <v>21.463</v>
      </c>
      <c r="I2954" s="48">
        <v>64.39</v>
      </c>
      <c r="J2954" s="49">
        <v>3</v>
      </c>
      <c r="K2954" s="49">
        <v>1</v>
      </c>
      <c r="L2954" s="49">
        <v>2</v>
      </c>
    </row>
    <row r="2955" spans="1:12" x14ac:dyDescent="0.25">
      <c r="A2955" s="45">
        <f>C2955&amp;"."&amp;IFERROR(MID(E2955,FIND("(",E2955)+1,FIND(")",E2955)-FIND("(",E2955)-1),"")</f>
      </c>
      <c r="B2955" s="46" t="s">
        <v>1178</v>
      </c>
      <c r="C2955" s="46">
        <v>84797</v>
      </c>
      <c r="D2955" s="46" t="s">
        <v>5141</v>
      </c>
      <c r="E2955" s="46" t="s">
        <v>5142</v>
      </c>
      <c r="F2955" s="46" t="s">
        <v>26</v>
      </c>
      <c r="G2955" s="47">
        <v>14.2</v>
      </c>
      <c r="H2955" s="48">
        <v>37.693</v>
      </c>
      <c r="I2955" s="48">
        <v>37.693</v>
      </c>
      <c r="J2955" s="49">
        <v>1</v>
      </c>
      <c r="K2955" s="49">
        <v>1</v>
      </c>
      <c r="L2955" s="49">
        <v>0</v>
      </c>
    </row>
    <row r="2956" spans="1:12" x14ac:dyDescent="0.25">
      <c r="A2956" s="45">
        <f>C2956&amp;"."&amp;IFERROR(MID(E2956,FIND("(",E2956)+1,FIND(")",E2956)-FIND("(",E2956)-1),"")</f>
      </c>
      <c r="B2956" s="46" t="s">
        <v>1178</v>
      </c>
      <c r="C2956" s="46">
        <v>84797</v>
      </c>
      <c r="D2956" s="46" t="s">
        <v>5141</v>
      </c>
      <c r="E2956" s="46" t="s">
        <v>5143</v>
      </c>
      <c r="F2956" s="46" t="s">
        <v>26</v>
      </c>
      <c r="G2956" s="47">
        <v>14.2</v>
      </c>
      <c r="H2956" s="48">
        <v>32.018</v>
      </c>
      <c r="I2956" s="48">
        <v>96.054</v>
      </c>
      <c r="J2956" s="49">
        <v>3</v>
      </c>
      <c r="K2956" s="49">
        <v>0</v>
      </c>
      <c r="L2956" s="49">
        <v>3</v>
      </c>
    </row>
    <row r="2957" spans="1:12" x14ac:dyDescent="0.25">
      <c r="A2957" s="45">
        <f>C2957&amp;"."&amp;IFERROR(MID(E2957,FIND("(",E2957)+1,FIND(")",E2957)-FIND("(",E2957)-1),"")</f>
      </c>
      <c r="B2957" s="46" t="s">
        <v>1178</v>
      </c>
      <c r="C2957" s="46">
        <v>84797</v>
      </c>
      <c r="D2957" s="46" t="s">
        <v>5141</v>
      </c>
      <c r="E2957" s="46" t="s">
        <v>5144</v>
      </c>
      <c r="F2957" s="46" t="s">
        <v>26</v>
      </c>
      <c r="G2957" s="47">
        <v>14.2</v>
      </c>
      <c r="H2957" s="48">
        <v>33.976</v>
      </c>
      <c r="I2957" s="48">
        <v>101.929</v>
      </c>
      <c r="J2957" s="49">
        <v>3</v>
      </c>
      <c r="K2957" s="49">
        <v>1</v>
      </c>
      <c r="L2957" s="49">
        <v>2</v>
      </c>
    </row>
    <row r="2958" spans="1:12" x14ac:dyDescent="0.25">
      <c r="A2958" s="45">
        <f>C2958&amp;"."&amp;IFERROR(MID(E2958,FIND("(",E2958)+1,FIND(")",E2958)-FIND("(",E2958)-1),"")</f>
      </c>
      <c r="B2958" s="46" t="s">
        <v>1178</v>
      </c>
      <c r="C2958" s="46">
        <v>84798</v>
      </c>
      <c r="D2958" s="46" t="s">
        <v>5145</v>
      </c>
      <c r="E2958" s="46" t="s">
        <v>5146</v>
      </c>
      <c r="F2958" s="46" t="s">
        <v>26</v>
      </c>
      <c r="G2958" s="47">
        <v>14.2</v>
      </c>
      <c r="H2958" s="48">
        <v>38.194</v>
      </c>
      <c r="I2958" s="48">
        <v>229.161</v>
      </c>
      <c r="J2958" s="49">
        <v>6</v>
      </c>
      <c r="K2958" s="49">
        <v>3</v>
      </c>
      <c r="L2958" s="49">
        <v>3</v>
      </c>
    </row>
    <row r="2959" spans="1:12" x14ac:dyDescent="0.25">
      <c r="A2959" s="45">
        <f>C2959&amp;"."&amp;IFERROR(MID(E2959,FIND("(",E2959)+1,FIND(")",E2959)-FIND("(",E2959)-1),"")</f>
      </c>
      <c r="B2959" s="46" t="s">
        <v>1178</v>
      </c>
      <c r="C2959" s="46">
        <v>84798</v>
      </c>
      <c r="D2959" s="46" t="s">
        <v>5145</v>
      </c>
      <c r="E2959" s="46" t="s">
        <v>5147</v>
      </c>
      <c r="F2959" s="46" t="s">
        <v>26</v>
      </c>
      <c r="G2959" s="47">
        <v>14.2</v>
      </c>
      <c r="H2959" s="48">
        <v>37.131</v>
      </c>
      <c r="I2959" s="48">
        <v>74.262</v>
      </c>
      <c r="J2959" s="49">
        <v>2</v>
      </c>
      <c r="K2959" s="49">
        <v>0</v>
      </c>
      <c r="L2959" s="49">
        <v>2</v>
      </c>
    </row>
    <row r="2960" spans="1:12" x14ac:dyDescent="0.25">
      <c r="A2960" s="45">
        <f>C2960&amp;"."&amp;IFERROR(MID(E2960,FIND("(",E2960)+1,FIND(")",E2960)-FIND("(",E2960)-1),"")</f>
      </c>
      <c r="B2960" s="46" t="s">
        <v>1178</v>
      </c>
      <c r="C2960" s="46">
        <v>84798</v>
      </c>
      <c r="D2960" s="46" t="s">
        <v>5145</v>
      </c>
      <c r="E2960" s="46" t="s">
        <v>5148</v>
      </c>
      <c r="F2960" s="46" t="s">
        <v>26</v>
      </c>
      <c r="G2960" s="47">
        <v>14.2</v>
      </c>
      <c r="H2960" s="48">
        <v>41.74</v>
      </c>
      <c r="I2960" s="48">
        <v>41.74</v>
      </c>
      <c r="J2960" s="49">
        <v>1</v>
      </c>
      <c r="K2960" s="49">
        <v>1</v>
      </c>
      <c r="L2960" s="49">
        <v>0</v>
      </c>
    </row>
    <row r="2961" spans="1:12" x14ac:dyDescent="0.25">
      <c r="A2961" s="45">
        <f>C2961&amp;"."&amp;IFERROR(MID(E2961,FIND("(",E2961)+1,FIND(")",E2961)-FIND("(",E2961)-1),"")</f>
      </c>
      <c r="B2961" s="46" t="s">
        <v>1178</v>
      </c>
      <c r="C2961" s="46">
        <v>84800</v>
      </c>
      <c r="D2961" s="46" t="s">
        <v>370</v>
      </c>
      <c r="E2961" s="46" t="s">
        <v>5149</v>
      </c>
      <c r="F2961" s="46" t="s">
        <v>26</v>
      </c>
      <c r="G2961" s="47">
        <v>60</v>
      </c>
      <c r="H2961" s="48">
        <v>217.239</v>
      </c>
      <c r="I2961" s="48">
        <v>92326.515</v>
      </c>
      <c r="J2961" s="49">
        <v>425</v>
      </c>
      <c r="K2961" s="49">
        <v>235</v>
      </c>
      <c r="L2961" s="49">
        <v>190</v>
      </c>
    </row>
    <row r="2962" spans="1:12" x14ac:dyDescent="0.25">
      <c r="A2962" s="45">
        <f>C2962&amp;"."&amp;IFERROR(MID(E2962,FIND("(",E2962)+1,FIND(")",E2962)-FIND("(",E2962)-1),"")</f>
      </c>
      <c r="B2962" s="46" t="s">
        <v>1178</v>
      </c>
      <c r="C2962" s="46">
        <v>84800</v>
      </c>
      <c r="D2962" s="46" t="s">
        <v>370</v>
      </c>
      <c r="E2962" s="46" t="s">
        <v>5150</v>
      </c>
      <c r="F2962" s="46" t="s">
        <v>26</v>
      </c>
      <c r="G2962" s="47">
        <v>60</v>
      </c>
      <c r="H2962" s="48">
        <v>269.753</v>
      </c>
      <c r="I2962" s="48">
        <v>28324.024</v>
      </c>
      <c r="J2962" s="49">
        <v>105</v>
      </c>
      <c r="K2962" s="49">
        <v>87</v>
      </c>
      <c r="L2962" s="49">
        <v>18</v>
      </c>
    </row>
    <row r="2963" spans="1:12" x14ac:dyDescent="0.25">
      <c r="A2963" s="45">
        <f>C2963&amp;"."&amp;IFERROR(MID(E2963,FIND("(",E2963)+1,FIND(")",E2963)-FIND("(",E2963)-1),"")</f>
      </c>
      <c r="B2963" s="46" t="s">
        <v>1178</v>
      </c>
      <c r="C2963" s="46">
        <v>84800</v>
      </c>
      <c r="D2963" s="46" t="s">
        <v>370</v>
      </c>
      <c r="E2963" s="46" t="s">
        <v>5151</v>
      </c>
      <c r="F2963" s="46" t="s">
        <v>26</v>
      </c>
      <c r="G2963" s="47">
        <v>60</v>
      </c>
      <c r="H2963" s="48">
        <v>189.341</v>
      </c>
      <c r="I2963" s="48">
        <v>3976.162</v>
      </c>
      <c r="J2963" s="49">
        <v>21</v>
      </c>
      <c r="K2963" s="49">
        <v>0</v>
      </c>
      <c r="L2963" s="49">
        <v>21</v>
      </c>
    </row>
    <row r="2964" spans="1:12" x14ac:dyDescent="0.25">
      <c r="A2964" s="45">
        <f>C2964&amp;"."&amp;IFERROR(MID(E2964,FIND("(",E2964)+1,FIND(")",E2964)-FIND("(",E2964)-1),"")</f>
      </c>
      <c r="B2964" s="46" t="s">
        <v>1178</v>
      </c>
      <c r="C2964" s="46">
        <v>84801</v>
      </c>
      <c r="D2964" s="46" t="s">
        <v>5152</v>
      </c>
      <c r="E2964" s="46" t="s">
        <v>5153</v>
      </c>
      <c r="F2964" s="46" t="s">
        <v>26</v>
      </c>
      <c r="G2964" s="47">
        <v>1.32</v>
      </c>
      <c r="H2964" s="48">
        <v>7.101</v>
      </c>
      <c r="I2964" s="48">
        <v>14.202</v>
      </c>
      <c r="J2964" s="49">
        <v>2</v>
      </c>
      <c r="K2964" s="49">
        <v>0</v>
      </c>
      <c r="L2964" s="49">
        <v>2</v>
      </c>
    </row>
    <row r="2965" spans="1:12" x14ac:dyDescent="0.25">
      <c r="A2965" s="45">
        <f>C2965&amp;"."&amp;IFERROR(MID(E2965,FIND("(",E2965)+1,FIND(")",E2965)-FIND("(",E2965)-1),"")</f>
      </c>
      <c r="B2965" s="46" t="s">
        <v>1178</v>
      </c>
      <c r="C2965" s="46">
        <v>84801</v>
      </c>
      <c r="D2965" s="46" t="s">
        <v>5152</v>
      </c>
      <c r="E2965" s="46" t="s">
        <v>5154</v>
      </c>
      <c r="F2965" s="46" t="s">
        <v>26</v>
      </c>
      <c r="G2965" s="47">
        <v>1.32</v>
      </c>
      <c r="H2965" s="48">
        <v>7.743</v>
      </c>
      <c r="I2965" s="48">
        <v>61.945</v>
      </c>
      <c r="J2965" s="49">
        <v>8</v>
      </c>
      <c r="K2965" s="49">
        <v>0</v>
      </c>
      <c r="L2965" s="49">
        <v>8</v>
      </c>
    </row>
    <row r="2966" spans="1:12" x14ac:dyDescent="0.25">
      <c r="A2966" s="45">
        <f>C2966&amp;"."&amp;IFERROR(MID(E2966,FIND("(",E2966)+1,FIND(")",E2966)-FIND("(",E2966)-1),"")</f>
      </c>
      <c r="B2966" s="46" t="s">
        <v>1178</v>
      </c>
      <c r="C2966" s="46">
        <v>84801</v>
      </c>
      <c r="D2966" s="46" t="s">
        <v>5152</v>
      </c>
      <c r="E2966" s="46" t="s">
        <v>5155</v>
      </c>
      <c r="F2966" s="46" t="s">
        <v>26</v>
      </c>
      <c r="G2966" s="47">
        <v>1.32</v>
      </c>
      <c r="H2966" s="48">
        <v>4.71</v>
      </c>
      <c r="I2966" s="48">
        <v>28.26</v>
      </c>
      <c r="J2966" s="49">
        <v>6</v>
      </c>
      <c r="K2966" s="49">
        <v>0</v>
      </c>
      <c r="L2966" s="49">
        <v>6</v>
      </c>
    </row>
    <row r="2967" spans="1:12" x14ac:dyDescent="0.25">
      <c r="A2967" s="45">
        <f>C2967&amp;"."&amp;IFERROR(MID(E2967,FIND("(",E2967)+1,FIND(")",E2967)-FIND("(",E2967)-1),"")</f>
      </c>
      <c r="B2967" s="46" t="s">
        <v>1178</v>
      </c>
      <c r="C2967" s="46">
        <v>84804</v>
      </c>
      <c r="D2967" s="46" t="s">
        <v>5156</v>
      </c>
      <c r="E2967" s="46" t="s">
        <v>5157</v>
      </c>
      <c r="F2967" s="46" t="s">
        <v>26</v>
      </c>
      <c r="G2967" s="47">
        <v>0.53</v>
      </c>
      <c r="H2967" s="48">
        <v>2.026</v>
      </c>
      <c r="I2967" s="48">
        <v>20.26</v>
      </c>
      <c r="J2967" s="49">
        <v>10</v>
      </c>
      <c r="K2967" s="49">
        <v>0</v>
      </c>
      <c r="L2967" s="49">
        <v>10</v>
      </c>
    </row>
    <row r="2968" spans="1:12" x14ac:dyDescent="0.25">
      <c r="A2968" s="45">
        <f>C2968&amp;"."&amp;IFERROR(MID(E2968,FIND("(",E2968)+1,FIND(")",E2968)-FIND("(",E2968)-1),"")</f>
      </c>
      <c r="B2968" s="46" t="s">
        <v>1178</v>
      </c>
      <c r="C2968" s="46">
        <v>84805</v>
      </c>
      <c r="D2968" s="46" t="s">
        <v>5158</v>
      </c>
      <c r="E2968" s="46" t="s">
        <v>5159</v>
      </c>
      <c r="F2968" s="46" t="s">
        <v>26</v>
      </c>
      <c r="G2968" s="47">
        <v>1.53</v>
      </c>
      <c r="H2968" s="48">
        <v>2.247</v>
      </c>
      <c r="I2968" s="48">
        <v>8.989</v>
      </c>
      <c r="J2968" s="49">
        <v>4</v>
      </c>
      <c r="K2968" s="49">
        <v>0</v>
      </c>
      <c r="L2968" s="49">
        <v>4</v>
      </c>
    </row>
    <row r="2969" spans="1:12" x14ac:dyDescent="0.25">
      <c r="A2969" s="45">
        <f>C2969&amp;"."&amp;IFERROR(MID(E2969,FIND("(",E2969)+1,FIND(")",E2969)-FIND("(",E2969)-1),"")</f>
      </c>
      <c r="B2969" s="46" t="s">
        <v>1178</v>
      </c>
      <c r="C2969" s="46">
        <v>84807</v>
      </c>
      <c r="D2969" s="46" t="s">
        <v>5160</v>
      </c>
      <c r="E2969" s="46" t="s">
        <v>5161</v>
      </c>
      <c r="F2969" s="46" t="s">
        <v>26</v>
      </c>
      <c r="G2969" s="47">
        <v>0.87</v>
      </c>
      <c r="H2969" s="48">
        <v>2.036</v>
      </c>
      <c r="I2969" s="48">
        <v>8.144</v>
      </c>
      <c r="J2969" s="49">
        <v>4</v>
      </c>
      <c r="K2969" s="49">
        <v>0</v>
      </c>
      <c r="L2969" s="49">
        <v>4</v>
      </c>
    </row>
    <row r="2970" spans="1:12" x14ac:dyDescent="0.25">
      <c r="A2970" s="45">
        <f>C2970&amp;"."&amp;IFERROR(MID(E2970,FIND("(",E2970)+1,FIND(")",E2970)-FIND("(",E2970)-1),"")</f>
      </c>
      <c r="B2970" s="46" t="s">
        <v>1178</v>
      </c>
      <c r="C2970" s="46">
        <v>84807</v>
      </c>
      <c r="D2970" s="46" t="s">
        <v>5160</v>
      </c>
      <c r="E2970" s="46" t="s">
        <v>5162</v>
      </c>
      <c r="F2970" s="46" t="s">
        <v>26</v>
      </c>
      <c r="G2970" s="47">
        <v>0.87</v>
      </c>
      <c r="H2970" s="48">
        <v>3.911</v>
      </c>
      <c r="I2970" s="48">
        <v>11.733</v>
      </c>
      <c r="J2970" s="49">
        <v>3</v>
      </c>
      <c r="K2970" s="49">
        <v>0</v>
      </c>
      <c r="L2970" s="49">
        <v>3</v>
      </c>
    </row>
    <row r="2971" spans="1:12" x14ac:dyDescent="0.25">
      <c r="A2971" s="45">
        <f>C2971&amp;"."&amp;IFERROR(MID(E2971,FIND("(",E2971)+1,FIND(")",E2971)-FIND("(",E2971)-1),"")</f>
      </c>
      <c r="B2971" s="46" t="s">
        <v>1178</v>
      </c>
      <c r="C2971" s="46">
        <v>84809</v>
      </c>
      <c r="D2971" s="46" t="s">
        <v>532</v>
      </c>
      <c r="E2971" s="46" t="s">
        <v>5163</v>
      </c>
      <c r="F2971" s="46" t="s">
        <v>26</v>
      </c>
      <c r="G2971" s="47">
        <v>69.4</v>
      </c>
      <c r="H2971" s="48">
        <v>190.519</v>
      </c>
      <c r="I2971" s="48">
        <v>16765.654</v>
      </c>
      <c r="J2971" s="49">
        <v>88</v>
      </c>
      <c r="K2971" s="49">
        <v>87</v>
      </c>
      <c r="L2971" s="49">
        <v>1</v>
      </c>
    </row>
    <row r="2972" spans="1:12" x14ac:dyDescent="0.25">
      <c r="A2972" s="45">
        <f>C2972&amp;"."&amp;IFERROR(MID(E2972,FIND("(",E2972)+1,FIND(")",E2972)-FIND("(",E2972)-1),"")</f>
      </c>
      <c r="B2972" s="46" t="s">
        <v>1178</v>
      </c>
      <c r="C2972" s="46">
        <v>84809</v>
      </c>
      <c r="D2972" s="46" t="s">
        <v>532</v>
      </c>
      <c r="E2972" s="46" t="s">
        <v>5164</v>
      </c>
      <c r="F2972" s="46" t="s">
        <v>26</v>
      </c>
      <c r="G2972" s="47">
        <v>69.4</v>
      </c>
      <c r="H2972" s="48">
        <v>194.86</v>
      </c>
      <c r="I2972" s="48">
        <v>75605.739</v>
      </c>
      <c r="J2972" s="49">
        <v>388</v>
      </c>
      <c r="K2972" s="49">
        <v>235</v>
      </c>
      <c r="L2972" s="49">
        <v>153</v>
      </c>
    </row>
    <row r="2973" spans="1:12" x14ac:dyDescent="0.25">
      <c r="A2973" s="45">
        <f>C2973&amp;"."&amp;IFERROR(MID(E2973,FIND("(",E2973)+1,FIND(")",E2973)-FIND("(",E2973)-1),"")</f>
      </c>
      <c r="B2973" s="46" t="s">
        <v>1178</v>
      </c>
      <c r="C2973" s="46">
        <v>84810</v>
      </c>
      <c r="D2973" s="46" t="s">
        <v>5165</v>
      </c>
      <c r="E2973" s="46" t="s">
        <v>5166</v>
      </c>
      <c r="F2973" s="46" t="s">
        <v>26</v>
      </c>
      <c r="G2973" s="47">
        <v>10.79</v>
      </c>
      <c r="H2973" s="48">
        <v>33.559</v>
      </c>
      <c r="I2973" s="48">
        <v>100.677</v>
      </c>
      <c r="J2973" s="49">
        <v>3</v>
      </c>
      <c r="K2973" s="49">
        <v>0</v>
      </c>
      <c r="L2973" s="49">
        <v>3</v>
      </c>
    </row>
    <row r="2974" spans="1:12" x14ac:dyDescent="0.25">
      <c r="A2974" s="45">
        <f>C2974&amp;"."&amp;IFERROR(MID(E2974,FIND("(",E2974)+1,FIND(")",E2974)-FIND("(",E2974)-1),"")</f>
      </c>
      <c r="B2974" s="46" t="s">
        <v>1178</v>
      </c>
      <c r="C2974" s="46">
        <v>84810</v>
      </c>
      <c r="D2974" s="46" t="s">
        <v>5165</v>
      </c>
      <c r="E2974" s="46" t="s">
        <v>5167</v>
      </c>
      <c r="F2974" s="46" t="s">
        <v>26</v>
      </c>
      <c r="G2974" s="47">
        <v>10.79</v>
      </c>
      <c r="H2974" s="48">
        <v>23.471</v>
      </c>
      <c r="I2974" s="48">
        <v>469.423</v>
      </c>
      <c r="J2974" s="49">
        <v>20</v>
      </c>
      <c r="K2974" s="49">
        <v>10</v>
      </c>
      <c r="L2974" s="49">
        <v>10</v>
      </c>
    </row>
    <row r="2975" spans="1:12" x14ac:dyDescent="0.25">
      <c r="A2975" s="45">
        <f>C2975&amp;"."&amp;IFERROR(MID(E2975,FIND("(",E2975)+1,FIND(")",E2975)-FIND("(",E2975)-1),"")</f>
      </c>
      <c r="B2975" s="46" t="s">
        <v>1178</v>
      </c>
      <c r="C2975" s="46">
        <v>84810</v>
      </c>
      <c r="D2975" s="46" t="s">
        <v>5165</v>
      </c>
      <c r="E2975" s="46" t="s">
        <v>5168</v>
      </c>
      <c r="F2975" s="46" t="s">
        <v>26</v>
      </c>
      <c r="G2975" s="47">
        <v>10.79</v>
      </c>
      <c r="H2975" s="48">
        <v>24.845</v>
      </c>
      <c r="I2975" s="48">
        <v>149.071</v>
      </c>
      <c r="J2975" s="49">
        <v>6</v>
      </c>
      <c r="K2975" s="49">
        <v>0</v>
      </c>
      <c r="L2975" s="49">
        <v>6</v>
      </c>
    </row>
    <row r="2976" spans="1:12" x14ac:dyDescent="0.25">
      <c r="A2976" s="45">
        <f>C2976&amp;"."&amp;IFERROR(MID(E2976,FIND("(",E2976)+1,FIND(")",E2976)-FIND("(",E2976)-1),"")</f>
      </c>
      <c r="B2976" s="46" t="s">
        <v>1178</v>
      </c>
      <c r="C2976" s="46">
        <v>84812</v>
      </c>
      <c r="D2976" s="46" t="s">
        <v>5169</v>
      </c>
      <c r="E2976" s="46" t="s">
        <v>5170</v>
      </c>
      <c r="F2976" s="46" t="s">
        <v>26</v>
      </c>
      <c r="G2976" s="47">
        <v>3.77</v>
      </c>
      <c r="H2976" s="48">
        <v>11.115</v>
      </c>
      <c r="I2976" s="48">
        <v>22.23</v>
      </c>
      <c r="J2976" s="49">
        <v>2</v>
      </c>
      <c r="K2976" s="49">
        <v>0</v>
      </c>
      <c r="L2976" s="49">
        <v>2</v>
      </c>
    </row>
    <row r="2977" spans="1:12" x14ac:dyDescent="0.25">
      <c r="A2977" s="45">
        <f>C2977&amp;"."&amp;IFERROR(MID(E2977,FIND("(",E2977)+1,FIND(")",E2977)-FIND("(",E2977)-1),"")</f>
      </c>
      <c r="B2977" s="46" t="s">
        <v>1178</v>
      </c>
      <c r="C2977" s="46">
        <v>84812</v>
      </c>
      <c r="D2977" s="46" t="s">
        <v>5169</v>
      </c>
      <c r="E2977" s="46" t="s">
        <v>5171</v>
      </c>
      <c r="F2977" s="46" t="s">
        <v>26</v>
      </c>
      <c r="G2977" s="47">
        <v>3.77</v>
      </c>
      <c r="H2977" s="48">
        <v>11.03</v>
      </c>
      <c r="I2977" s="48">
        <v>11.03</v>
      </c>
      <c r="J2977" s="49">
        <v>1</v>
      </c>
      <c r="K2977" s="49">
        <v>0</v>
      </c>
      <c r="L2977" s="49">
        <v>1</v>
      </c>
    </row>
    <row r="2978" spans="1:12" x14ac:dyDescent="0.25">
      <c r="A2978" s="45">
        <f>C2978&amp;"."&amp;IFERROR(MID(E2978,FIND("(",E2978)+1,FIND(")",E2978)-FIND("(",E2978)-1),"")</f>
      </c>
      <c r="B2978" s="46" t="s">
        <v>1178</v>
      </c>
      <c r="C2978" s="46">
        <v>84812</v>
      </c>
      <c r="D2978" s="46" t="s">
        <v>5169</v>
      </c>
      <c r="E2978" s="46" t="s">
        <v>5172</v>
      </c>
      <c r="F2978" s="46" t="s">
        <v>26</v>
      </c>
      <c r="G2978" s="47">
        <v>3.77</v>
      </c>
      <c r="H2978" s="48">
        <v>9.804</v>
      </c>
      <c r="I2978" s="48">
        <v>39.215</v>
      </c>
      <c r="J2978" s="49">
        <v>4</v>
      </c>
      <c r="K2978" s="49">
        <v>0</v>
      </c>
      <c r="L2978" s="49">
        <v>4</v>
      </c>
    </row>
    <row r="2979" spans="1:12" x14ac:dyDescent="0.25">
      <c r="A2979" s="45">
        <f>C2979&amp;"."&amp;IFERROR(MID(E2979,FIND("(",E2979)+1,FIND(")",E2979)-FIND("(",E2979)-1),"")</f>
      </c>
      <c r="B2979" s="46" t="s">
        <v>1178</v>
      </c>
      <c r="C2979" s="46">
        <v>84813</v>
      </c>
      <c r="D2979" s="46" t="s">
        <v>5173</v>
      </c>
      <c r="E2979" s="46" t="s">
        <v>5174</v>
      </c>
      <c r="F2979" s="46" t="s">
        <v>26</v>
      </c>
      <c r="G2979" s="47">
        <v>3.77</v>
      </c>
      <c r="H2979" s="48">
        <v>5.758</v>
      </c>
      <c r="I2979" s="48">
        <v>5.758</v>
      </c>
      <c r="J2979" s="49">
        <v>1</v>
      </c>
      <c r="K2979" s="49">
        <v>1</v>
      </c>
      <c r="L2979" s="49">
        <v>0</v>
      </c>
    </row>
    <row r="2980" spans="1:12" x14ac:dyDescent="0.25">
      <c r="A2980" s="45">
        <f>C2980&amp;"."&amp;IFERROR(MID(E2980,FIND("(",E2980)+1,FIND(")",E2980)-FIND("(",E2980)-1),"")</f>
      </c>
      <c r="B2980" s="46" t="s">
        <v>1178</v>
      </c>
      <c r="C2980" s="46">
        <v>84813</v>
      </c>
      <c r="D2980" s="46" t="s">
        <v>5173</v>
      </c>
      <c r="E2980" s="46" t="s">
        <v>5175</v>
      </c>
      <c r="F2980" s="46" t="s">
        <v>26</v>
      </c>
      <c r="G2980" s="47">
        <v>3.77</v>
      </c>
      <c r="H2980" s="48">
        <v>10.262</v>
      </c>
      <c r="I2980" s="48">
        <v>41.047</v>
      </c>
      <c r="J2980" s="49">
        <v>4</v>
      </c>
      <c r="K2980" s="49">
        <v>0</v>
      </c>
      <c r="L2980" s="49">
        <v>4</v>
      </c>
    </row>
    <row r="2981" spans="1:12" x14ac:dyDescent="0.25">
      <c r="A2981" s="45">
        <f>C2981&amp;"."&amp;IFERROR(MID(E2981,FIND("(",E2981)+1,FIND(")",E2981)-FIND("(",E2981)-1),"")</f>
      </c>
      <c r="B2981" s="46" t="s">
        <v>1178</v>
      </c>
      <c r="C2981" s="46">
        <v>84815</v>
      </c>
      <c r="D2981" s="46" t="s">
        <v>5176</v>
      </c>
      <c r="E2981" s="46" t="s">
        <v>5177</v>
      </c>
      <c r="F2981" s="46" t="s">
        <v>26</v>
      </c>
      <c r="G2981" s="47">
        <v>4.08</v>
      </c>
      <c r="H2981" s="48">
        <v>11.377</v>
      </c>
      <c r="I2981" s="48">
        <v>34.132</v>
      </c>
      <c r="J2981" s="49">
        <v>3</v>
      </c>
      <c r="K2981" s="49">
        <v>0</v>
      </c>
      <c r="L2981" s="49">
        <v>3</v>
      </c>
    </row>
    <row r="2982" spans="1:12" x14ac:dyDescent="0.25">
      <c r="A2982" s="45">
        <f>C2982&amp;"."&amp;IFERROR(MID(E2982,FIND("(",E2982)+1,FIND(")",E2982)-FIND("(",E2982)-1),"")</f>
      </c>
      <c r="B2982" s="46" t="s">
        <v>1178</v>
      </c>
      <c r="C2982" s="46">
        <v>84815</v>
      </c>
      <c r="D2982" s="46" t="s">
        <v>5176</v>
      </c>
      <c r="E2982" s="46" t="s">
        <v>5178</v>
      </c>
      <c r="F2982" s="46" t="s">
        <v>26</v>
      </c>
      <c r="G2982" s="47">
        <v>4.08</v>
      </c>
      <c r="H2982" s="48">
        <v>12.967</v>
      </c>
      <c r="I2982" s="48">
        <v>51.869</v>
      </c>
      <c r="J2982" s="49">
        <v>4</v>
      </c>
      <c r="K2982" s="49">
        <v>0</v>
      </c>
      <c r="L2982" s="49">
        <v>4</v>
      </c>
    </row>
    <row r="2983" spans="1:12" x14ac:dyDescent="0.25">
      <c r="A2983" s="45">
        <f>C2983&amp;"."&amp;IFERROR(MID(E2983,FIND("(",E2983)+1,FIND(")",E2983)-FIND("(",E2983)-1),"")</f>
      </c>
      <c r="B2983" s="46" t="s">
        <v>1178</v>
      </c>
      <c r="C2983" s="46">
        <v>84815</v>
      </c>
      <c r="D2983" s="46" t="s">
        <v>5176</v>
      </c>
      <c r="E2983" s="46" t="s">
        <v>5179</v>
      </c>
      <c r="F2983" s="46" t="s">
        <v>26</v>
      </c>
      <c r="G2983" s="47">
        <v>4.08</v>
      </c>
      <c r="H2983" s="48">
        <v>11.4</v>
      </c>
      <c r="I2983" s="48">
        <v>193.807</v>
      </c>
      <c r="J2983" s="49">
        <v>17</v>
      </c>
      <c r="K2983" s="49">
        <v>5</v>
      </c>
      <c r="L2983" s="49">
        <v>12</v>
      </c>
    </row>
    <row r="2984" spans="1:12" x14ac:dyDescent="0.25">
      <c r="A2984" s="45">
        <f>C2984&amp;"."&amp;IFERROR(MID(E2984,FIND("(",E2984)+1,FIND(")",E2984)-FIND("(",E2984)-1),"")</f>
      </c>
      <c r="B2984" s="46" t="s">
        <v>1178</v>
      </c>
      <c r="C2984" s="46">
        <v>84817</v>
      </c>
      <c r="D2984" s="46" t="s">
        <v>5180</v>
      </c>
      <c r="E2984" s="46" t="s">
        <v>5181</v>
      </c>
      <c r="F2984" s="46" t="s">
        <v>26</v>
      </c>
      <c r="G2984" s="47">
        <v>3.98</v>
      </c>
      <c r="H2984" s="48">
        <v>10.907</v>
      </c>
      <c r="I2984" s="48">
        <v>21.815</v>
      </c>
      <c r="J2984" s="49">
        <v>2</v>
      </c>
      <c r="K2984" s="49">
        <v>0</v>
      </c>
      <c r="L2984" s="49">
        <v>2</v>
      </c>
    </row>
    <row r="2985" spans="1:12" x14ac:dyDescent="0.25">
      <c r="A2985" s="45">
        <f>C2985&amp;"."&amp;IFERROR(MID(E2985,FIND("(",E2985)+1,FIND(")",E2985)-FIND("(",E2985)-1),"")</f>
      </c>
      <c r="B2985" s="46" t="s">
        <v>1178</v>
      </c>
      <c r="C2985" s="46">
        <v>84817</v>
      </c>
      <c r="D2985" s="46" t="s">
        <v>5180</v>
      </c>
      <c r="E2985" s="46" t="s">
        <v>5182</v>
      </c>
      <c r="F2985" s="46" t="s">
        <v>26</v>
      </c>
      <c r="G2985" s="47">
        <v>3.98</v>
      </c>
      <c r="H2985" s="48">
        <v>10.864</v>
      </c>
      <c r="I2985" s="48">
        <v>21.728</v>
      </c>
      <c r="J2985" s="49">
        <v>2</v>
      </c>
      <c r="K2985" s="49">
        <v>2</v>
      </c>
      <c r="L2985" s="49">
        <v>0</v>
      </c>
    </row>
    <row r="2986" spans="1:12" x14ac:dyDescent="0.25">
      <c r="A2986" s="45">
        <f>C2986&amp;"."&amp;IFERROR(MID(E2986,FIND("(",E2986)+1,FIND(")",E2986)-FIND("(",E2986)-1),"")</f>
      </c>
      <c r="B2986" s="46" t="s">
        <v>1178</v>
      </c>
      <c r="C2986" s="46">
        <v>84822</v>
      </c>
      <c r="D2986" s="46" t="s">
        <v>366</v>
      </c>
      <c r="E2986" s="46" t="s">
        <v>5183</v>
      </c>
      <c r="F2986" s="46" t="s">
        <v>26</v>
      </c>
      <c r="G2986" s="47">
        <v>56</v>
      </c>
      <c r="H2986" s="48">
        <v>268.057</v>
      </c>
      <c r="I2986" s="48">
        <v>107490.901</v>
      </c>
      <c r="J2986" s="49">
        <v>401</v>
      </c>
      <c r="K2986" s="49">
        <v>393</v>
      </c>
      <c r="L2986" s="49">
        <v>8</v>
      </c>
    </row>
    <row r="2987" spans="1:12" x14ac:dyDescent="0.25">
      <c r="A2987" s="45">
        <f>C2987&amp;"."&amp;IFERROR(MID(E2987,FIND("(",E2987)+1,FIND(")",E2987)-FIND("(",E2987)-1),"")</f>
      </c>
      <c r="B2987" s="46" t="s">
        <v>1178</v>
      </c>
      <c r="C2987" s="46">
        <v>84822</v>
      </c>
      <c r="D2987" s="46" t="s">
        <v>366</v>
      </c>
      <c r="E2987" s="46" t="s">
        <v>5184</v>
      </c>
      <c r="F2987" s="46" t="s">
        <v>26</v>
      </c>
      <c r="G2987" s="47">
        <v>56</v>
      </c>
      <c r="H2987" s="48">
        <v>262.634</v>
      </c>
      <c r="I2987" s="48">
        <v>70648.417</v>
      </c>
      <c r="J2987" s="49">
        <v>269</v>
      </c>
      <c r="K2987" s="49">
        <v>54</v>
      </c>
      <c r="L2987" s="49">
        <v>215</v>
      </c>
    </row>
    <row r="2988" spans="1:12" x14ac:dyDescent="0.25">
      <c r="A2988" s="45">
        <f>C2988&amp;"."&amp;IFERROR(MID(E2988,FIND("(",E2988)+1,FIND(")",E2988)-FIND("(",E2988)-1),"")</f>
      </c>
      <c r="B2988" s="46" t="s">
        <v>1178</v>
      </c>
      <c r="C2988" s="46">
        <v>84823</v>
      </c>
      <c r="D2988" s="46" t="s">
        <v>5185</v>
      </c>
      <c r="E2988" s="46" t="s">
        <v>5186</v>
      </c>
      <c r="F2988" s="46" t="s">
        <v>26</v>
      </c>
      <c r="G2988" s="47">
        <v>1.38</v>
      </c>
      <c r="H2988" s="48">
        <v>5.317</v>
      </c>
      <c r="I2988" s="48">
        <v>37.221</v>
      </c>
      <c r="J2988" s="49">
        <v>7</v>
      </c>
      <c r="K2988" s="49">
        <v>5</v>
      </c>
      <c r="L2988" s="49">
        <v>2</v>
      </c>
    </row>
    <row r="2989" spans="1:12" x14ac:dyDescent="0.25">
      <c r="A2989" s="45">
        <f>C2989&amp;"."&amp;IFERROR(MID(E2989,FIND("(",E2989)+1,FIND(")",E2989)-FIND("(",E2989)-1),"")</f>
      </c>
      <c r="B2989" s="46" t="s">
        <v>1178</v>
      </c>
      <c r="C2989" s="46">
        <v>84823</v>
      </c>
      <c r="D2989" s="46" t="s">
        <v>5185</v>
      </c>
      <c r="E2989" s="46" t="s">
        <v>5187</v>
      </c>
      <c r="F2989" s="46" t="s">
        <v>26</v>
      </c>
      <c r="G2989" s="47">
        <v>1.38</v>
      </c>
      <c r="H2989" s="48">
        <v>5.11</v>
      </c>
      <c r="I2989" s="48">
        <v>20.441</v>
      </c>
      <c r="J2989" s="49">
        <v>4</v>
      </c>
      <c r="K2989" s="49">
        <v>0</v>
      </c>
      <c r="L2989" s="49">
        <v>4</v>
      </c>
    </row>
    <row r="2990" spans="1:12" x14ac:dyDescent="0.25">
      <c r="A2990" s="45">
        <f>C2990&amp;"."&amp;IFERROR(MID(E2990,FIND("(",E2990)+1,FIND(")",E2990)-FIND("(",E2990)-1),"")</f>
      </c>
      <c r="B2990" s="46" t="s">
        <v>1178</v>
      </c>
      <c r="C2990" s="46">
        <v>84826</v>
      </c>
      <c r="D2990" s="46" t="s">
        <v>5188</v>
      </c>
      <c r="E2990" s="46" t="s">
        <v>5189</v>
      </c>
      <c r="F2990" s="46" t="s">
        <v>26</v>
      </c>
      <c r="G2990" s="47">
        <v>0.37</v>
      </c>
      <c r="H2990" s="48">
        <v>42.335</v>
      </c>
      <c r="I2990" s="48">
        <v>42.335</v>
      </c>
      <c r="J2990" s="49">
        <v>1</v>
      </c>
      <c r="K2990" s="49">
        <v>1</v>
      </c>
      <c r="L2990" s="49">
        <v>0</v>
      </c>
    </row>
    <row r="2991" spans="1:12" x14ac:dyDescent="0.25">
      <c r="A2991" s="45">
        <f>C2991&amp;"."&amp;IFERROR(MID(E2991,FIND("(",E2991)+1,FIND(")",E2991)-FIND("(",E2991)-1),"")</f>
      </c>
      <c r="B2991" s="46" t="s">
        <v>1178</v>
      </c>
      <c r="C2991" s="46">
        <v>84826</v>
      </c>
      <c r="D2991" s="46" t="s">
        <v>5188</v>
      </c>
      <c r="E2991" s="46" t="s">
        <v>5190</v>
      </c>
      <c r="F2991" s="46" t="s">
        <v>26</v>
      </c>
      <c r="G2991" s="47">
        <v>0.37</v>
      </c>
      <c r="H2991" s="48">
        <v>42.514</v>
      </c>
      <c r="I2991" s="48">
        <v>297.601</v>
      </c>
      <c r="J2991" s="49">
        <v>7</v>
      </c>
      <c r="K2991" s="49">
        <v>5</v>
      </c>
      <c r="L2991" s="49">
        <v>2</v>
      </c>
    </row>
    <row r="2992" spans="1:12" x14ac:dyDescent="0.25">
      <c r="A2992" s="45">
        <f>C2992&amp;"."&amp;IFERROR(MID(E2992,FIND("(",E2992)+1,FIND(")",E2992)-FIND("(",E2992)-1),"")</f>
      </c>
      <c r="B2992" s="46" t="s">
        <v>1178</v>
      </c>
      <c r="C2992" s="46">
        <v>84827</v>
      </c>
      <c r="D2992" s="46" t="s">
        <v>5191</v>
      </c>
      <c r="E2992" s="46" t="s">
        <v>5192</v>
      </c>
      <c r="F2992" s="46" t="s">
        <v>26</v>
      </c>
      <c r="G2992" s="47">
        <v>0.4</v>
      </c>
      <c r="H2992" s="48">
        <v>1.617</v>
      </c>
      <c r="I2992" s="48">
        <v>1.617</v>
      </c>
      <c r="J2992" s="49">
        <v>1</v>
      </c>
      <c r="K2992" s="49">
        <v>1</v>
      </c>
      <c r="L2992" s="49">
        <v>0</v>
      </c>
    </row>
    <row r="2993" spans="1:12" x14ac:dyDescent="0.25">
      <c r="A2993" s="45">
        <f>C2993&amp;"."&amp;IFERROR(MID(E2993,FIND("(",E2993)+1,FIND(")",E2993)-FIND("(",E2993)-1),"")</f>
      </c>
      <c r="B2993" s="46" t="s">
        <v>1178</v>
      </c>
      <c r="C2993" s="46">
        <v>84827</v>
      </c>
      <c r="D2993" s="46" t="s">
        <v>5191</v>
      </c>
      <c r="E2993" s="46" t="s">
        <v>5193</v>
      </c>
      <c r="F2993" s="46" t="s">
        <v>26</v>
      </c>
      <c r="G2993" s="47">
        <v>0.4</v>
      </c>
      <c r="H2993" s="48">
        <v>1.963</v>
      </c>
      <c r="I2993" s="48">
        <v>17.666</v>
      </c>
      <c r="J2993" s="49">
        <v>9</v>
      </c>
      <c r="K2993" s="49">
        <v>1</v>
      </c>
      <c r="L2993" s="49">
        <v>8</v>
      </c>
    </row>
    <row r="2994" spans="1:12" x14ac:dyDescent="0.25">
      <c r="A2994" s="45">
        <f>C2994&amp;"."&amp;IFERROR(MID(E2994,FIND("(",E2994)+1,FIND(")",E2994)-FIND("(",E2994)-1),"")</f>
      </c>
      <c r="B2994" s="46" t="s">
        <v>1178</v>
      </c>
      <c r="C2994" s="46">
        <v>84830</v>
      </c>
      <c r="D2994" s="46" t="s">
        <v>5194</v>
      </c>
      <c r="E2994" s="46" t="s">
        <v>5195</v>
      </c>
      <c r="F2994" s="46" t="s">
        <v>26</v>
      </c>
      <c r="G2994" s="47">
        <v>2</v>
      </c>
      <c r="H2994" s="48">
        <v>5.394</v>
      </c>
      <c r="I2994" s="48">
        <v>5.394</v>
      </c>
      <c r="J2994" s="49">
        <v>1</v>
      </c>
      <c r="K2994" s="49">
        <v>1</v>
      </c>
      <c r="L2994" s="49">
        <v>0</v>
      </c>
    </row>
    <row r="2995" spans="1:12" x14ac:dyDescent="0.25">
      <c r="A2995" s="45">
        <f>C2995&amp;"."&amp;IFERROR(MID(E2995,FIND("(",E2995)+1,FIND(")",E2995)-FIND("(",E2995)-1),"")</f>
      </c>
      <c r="B2995" s="46" t="s">
        <v>1178</v>
      </c>
      <c r="C2995" s="46">
        <v>84831</v>
      </c>
      <c r="D2995" s="46" t="s">
        <v>5196</v>
      </c>
      <c r="E2995" s="46" t="s">
        <v>1248</v>
      </c>
      <c r="F2995" s="46" t="s">
        <v>26</v>
      </c>
      <c r="G2995" s="47">
        <v>2</v>
      </c>
      <c r="H2995" s="48">
        <v>3.643</v>
      </c>
      <c r="I2995" s="48">
        <v>3.643</v>
      </c>
      <c r="J2995" s="49">
        <v>1</v>
      </c>
      <c r="K2995" s="49">
        <v>1</v>
      </c>
      <c r="L2995" s="49">
        <v>0</v>
      </c>
    </row>
    <row r="2996" spans="1:12" x14ac:dyDescent="0.25">
      <c r="A2996" s="45">
        <f>C2996&amp;"."&amp;IFERROR(MID(E2996,FIND("(",E2996)+1,FIND(")",E2996)-FIND("(",E2996)-1),"")</f>
      </c>
      <c r="B2996" s="46" t="s">
        <v>1178</v>
      </c>
      <c r="C2996" s="46">
        <v>84833</v>
      </c>
      <c r="D2996" s="46" t="s">
        <v>5197</v>
      </c>
      <c r="E2996" s="46" t="s">
        <v>5198</v>
      </c>
      <c r="F2996" s="46" t="s">
        <v>26</v>
      </c>
      <c r="G2996" s="47">
        <v>15.24</v>
      </c>
      <c r="H2996" s="48">
        <v>38.456</v>
      </c>
      <c r="I2996" s="48">
        <v>76.912</v>
      </c>
      <c r="J2996" s="49">
        <v>2</v>
      </c>
      <c r="K2996" s="49">
        <v>0</v>
      </c>
      <c r="L2996" s="49">
        <v>2</v>
      </c>
    </row>
    <row r="2997" spans="1:12" x14ac:dyDescent="0.25">
      <c r="A2997" s="45">
        <f>C2997&amp;"."&amp;IFERROR(MID(E2997,FIND("(",E2997)+1,FIND(")",E2997)-FIND("(",E2997)-1),"")</f>
      </c>
      <c r="B2997" s="46" t="s">
        <v>1178</v>
      </c>
      <c r="C2997" s="46">
        <v>84833</v>
      </c>
      <c r="D2997" s="46" t="s">
        <v>5197</v>
      </c>
      <c r="E2997" s="46" t="s">
        <v>5199</v>
      </c>
      <c r="F2997" s="46" t="s">
        <v>26</v>
      </c>
      <c r="G2997" s="47">
        <v>15.24</v>
      </c>
      <c r="H2997" s="48">
        <v>39.828</v>
      </c>
      <c r="I2997" s="48">
        <v>238.97</v>
      </c>
      <c r="J2997" s="49">
        <v>6</v>
      </c>
      <c r="K2997" s="49">
        <v>2</v>
      </c>
      <c r="L2997" s="49">
        <v>4</v>
      </c>
    </row>
    <row r="2998" spans="1:12" x14ac:dyDescent="0.25">
      <c r="A2998" s="45">
        <f>C2998&amp;"."&amp;IFERROR(MID(E2998,FIND("(",E2998)+1,FIND(")",E2998)-FIND("(",E2998)-1),"")</f>
      </c>
      <c r="B2998" s="46" t="s">
        <v>1178</v>
      </c>
      <c r="C2998" s="46">
        <v>84834</v>
      </c>
      <c r="D2998" s="46" t="s">
        <v>5200</v>
      </c>
      <c r="E2998" s="46" t="s">
        <v>5201</v>
      </c>
      <c r="F2998" s="46" t="s">
        <v>26</v>
      </c>
      <c r="G2998" s="47">
        <v>15.24</v>
      </c>
      <c r="H2998" s="48">
        <v>38.349</v>
      </c>
      <c r="I2998" s="48">
        <v>115.048</v>
      </c>
      <c r="J2998" s="49">
        <v>3</v>
      </c>
      <c r="K2998" s="49">
        <v>1</v>
      </c>
      <c r="L2998" s="49">
        <v>2</v>
      </c>
    </row>
    <row r="2999" spans="1:12" x14ac:dyDescent="0.25">
      <c r="A2999" s="45">
        <f>C2999&amp;"."&amp;IFERROR(MID(E2999,FIND("(",E2999)+1,FIND(")",E2999)-FIND("(",E2999)-1),"")</f>
      </c>
      <c r="B2999" s="46" t="s">
        <v>1178</v>
      </c>
      <c r="C2999" s="46">
        <v>84834</v>
      </c>
      <c r="D2999" s="46" t="s">
        <v>5200</v>
      </c>
      <c r="E2999" s="46" t="s">
        <v>5202</v>
      </c>
      <c r="F2999" s="46" t="s">
        <v>26</v>
      </c>
      <c r="G2999" s="47">
        <v>15.24</v>
      </c>
      <c r="H2999" s="48">
        <v>15.044</v>
      </c>
      <c r="I2999" s="48">
        <v>120.354</v>
      </c>
      <c r="J2999" s="49">
        <v>8</v>
      </c>
      <c r="K2999" s="49">
        <v>0</v>
      </c>
      <c r="L2999" s="49">
        <v>8</v>
      </c>
    </row>
    <row r="3000" spans="1:12" x14ac:dyDescent="0.25">
      <c r="A3000" s="45">
        <f>C3000&amp;"."&amp;IFERROR(MID(E3000,FIND("(",E3000)+1,FIND(")",E3000)-FIND("(",E3000)-1),"")</f>
      </c>
      <c r="B3000" s="46" t="s">
        <v>1178</v>
      </c>
      <c r="C3000" s="46">
        <v>84836</v>
      </c>
      <c r="D3000" s="46" t="s">
        <v>649</v>
      </c>
      <c r="E3000" s="46" t="s">
        <v>5203</v>
      </c>
      <c r="F3000" s="46" t="s">
        <v>26</v>
      </c>
      <c r="G3000" s="47">
        <v>53</v>
      </c>
      <c r="H3000" s="48">
        <v>178.409</v>
      </c>
      <c r="I3000" s="48">
        <v>47278.314</v>
      </c>
      <c r="J3000" s="49">
        <v>265</v>
      </c>
      <c r="K3000" s="49">
        <v>54</v>
      </c>
      <c r="L3000" s="49">
        <v>211</v>
      </c>
    </row>
    <row r="3001" spans="1:12" x14ac:dyDescent="0.25">
      <c r="A3001" s="45">
        <f>C3001&amp;"."&amp;IFERROR(MID(E3001,FIND("(",E3001)+1,FIND(")",E3001)-FIND("(",E3001)-1),"")</f>
      </c>
      <c r="B3001" s="46" t="s">
        <v>1178</v>
      </c>
      <c r="C3001" s="46">
        <v>84836</v>
      </c>
      <c r="D3001" s="46" t="s">
        <v>649</v>
      </c>
      <c r="E3001" s="46" t="s">
        <v>5204</v>
      </c>
      <c r="F3001" s="46" t="s">
        <v>26</v>
      </c>
      <c r="G3001" s="47">
        <v>53</v>
      </c>
      <c r="H3001" s="48">
        <v>174.155</v>
      </c>
      <c r="I3001" s="48">
        <v>87948.285</v>
      </c>
      <c r="J3001" s="49">
        <v>505</v>
      </c>
      <c r="K3001" s="49">
        <v>424</v>
      </c>
      <c r="L3001" s="49">
        <v>81</v>
      </c>
    </row>
    <row r="3002" spans="1:12" x14ac:dyDescent="0.25">
      <c r="A3002" s="45">
        <f>C3002&amp;"."&amp;IFERROR(MID(E3002,FIND("(",E3002)+1,FIND(")",E3002)-FIND("(",E3002)-1),"")</f>
      </c>
      <c r="B3002" s="46" t="s">
        <v>1178</v>
      </c>
      <c r="C3002" s="46">
        <v>84837</v>
      </c>
      <c r="D3002" s="46" t="s">
        <v>5205</v>
      </c>
      <c r="E3002" s="46" t="s">
        <v>5206</v>
      </c>
      <c r="F3002" s="46" t="s">
        <v>26</v>
      </c>
      <c r="G3002" s="47">
        <v>11.9</v>
      </c>
      <c r="H3002" s="48">
        <v>42.644</v>
      </c>
      <c r="I3002" s="48">
        <v>213.22</v>
      </c>
      <c r="J3002" s="49">
        <v>5</v>
      </c>
      <c r="K3002" s="49">
        <v>0</v>
      </c>
      <c r="L3002" s="49">
        <v>5</v>
      </c>
    </row>
    <row r="3003" spans="1:12" x14ac:dyDescent="0.25">
      <c r="A3003" s="45">
        <f>C3003&amp;"."&amp;IFERROR(MID(E3003,FIND("(",E3003)+1,FIND(")",E3003)-FIND("(",E3003)-1),"")</f>
      </c>
      <c r="B3003" s="46" t="s">
        <v>1178</v>
      </c>
      <c r="C3003" s="46">
        <v>84837</v>
      </c>
      <c r="D3003" s="46" t="s">
        <v>5205</v>
      </c>
      <c r="E3003" s="46" t="s">
        <v>5207</v>
      </c>
      <c r="F3003" s="46" t="s">
        <v>26</v>
      </c>
      <c r="G3003" s="47">
        <v>11.9</v>
      </c>
      <c r="H3003" s="48">
        <v>33.982</v>
      </c>
      <c r="I3003" s="48">
        <v>101.946</v>
      </c>
      <c r="J3003" s="49">
        <v>3</v>
      </c>
      <c r="K3003" s="49">
        <v>1</v>
      </c>
      <c r="L3003" s="49">
        <v>2</v>
      </c>
    </row>
    <row r="3004" spans="1:12" x14ac:dyDescent="0.25">
      <c r="A3004" s="45">
        <f>C3004&amp;"."&amp;IFERROR(MID(E3004,FIND("(",E3004)+1,FIND(")",E3004)-FIND("(",E3004)-1),"")</f>
      </c>
      <c r="B3004" s="46" t="s">
        <v>1178</v>
      </c>
      <c r="C3004" s="46">
        <v>84838</v>
      </c>
      <c r="D3004" s="46" t="s">
        <v>5208</v>
      </c>
      <c r="E3004" s="46" t="s">
        <v>5209</v>
      </c>
      <c r="F3004" s="46" t="s">
        <v>26</v>
      </c>
      <c r="G3004" s="47">
        <v>11.9</v>
      </c>
      <c r="H3004" s="48">
        <v>28.812</v>
      </c>
      <c r="I3004" s="48">
        <v>28.812</v>
      </c>
      <c r="J3004" s="49">
        <v>1</v>
      </c>
      <c r="K3004" s="49">
        <v>1</v>
      </c>
      <c r="L3004" s="49">
        <v>0</v>
      </c>
    </row>
    <row r="3005" spans="1:12" x14ac:dyDescent="0.25">
      <c r="A3005" s="45">
        <f>C3005&amp;"."&amp;IFERROR(MID(E3005,FIND("(",E3005)+1,FIND(")",E3005)-FIND("(",E3005)-1),"")</f>
      </c>
      <c r="B3005" s="46" t="s">
        <v>1178</v>
      </c>
      <c r="C3005" s="46">
        <v>84840</v>
      </c>
      <c r="D3005" s="46" t="s">
        <v>5210</v>
      </c>
      <c r="E3005" s="46" t="s">
        <v>1248</v>
      </c>
      <c r="F3005" s="46" t="s">
        <v>26</v>
      </c>
      <c r="G3005" s="47">
        <v>0.4</v>
      </c>
      <c r="H3005" s="48">
        <v>0.84</v>
      </c>
      <c r="I3005" s="48">
        <v>5.881</v>
      </c>
      <c r="J3005" s="49">
        <v>7</v>
      </c>
      <c r="K3005" s="49">
        <v>1</v>
      </c>
      <c r="L3005" s="49">
        <v>6</v>
      </c>
    </row>
    <row r="3006" spans="1:12" x14ac:dyDescent="0.25">
      <c r="A3006" s="45">
        <f>C3006&amp;"."&amp;IFERROR(MID(E3006,FIND("(",E3006)+1,FIND(")",E3006)-FIND("(",E3006)-1),"")</f>
      </c>
      <c r="B3006" s="46" t="s">
        <v>1178</v>
      </c>
      <c r="C3006" s="46">
        <v>84843</v>
      </c>
      <c r="D3006" s="46" t="s">
        <v>5211</v>
      </c>
      <c r="E3006" s="46" t="s">
        <v>5212</v>
      </c>
      <c r="F3006" s="46" t="s">
        <v>26</v>
      </c>
      <c r="G3006" s="47">
        <v>3.92</v>
      </c>
      <c r="H3006" s="48">
        <v>11.378</v>
      </c>
      <c r="I3006" s="48">
        <v>11.378</v>
      </c>
      <c r="J3006" s="49">
        <v>1</v>
      </c>
      <c r="K3006" s="49">
        <v>0</v>
      </c>
      <c r="L3006" s="49">
        <v>1</v>
      </c>
    </row>
    <row r="3007" spans="1:12" x14ac:dyDescent="0.25">
      <c r="A3007" s="45">
        <f>C3007&amp;"."&amp;IFERROR(MID(E3007,FIND("(",E3007)+1,FIND(")",E3007)-FIND("(",E3007)-1),"")</f>
      </c>
      <c r="B3007" s="46" t="s">
        <v>1178</v>
      </c>
      <c r="C3007" s="46">
        <v>84843</v>
      </c>
      <c r="D3007" s="46" t="s">
        <v>5211</v>
      </c>
      <c r="E3007" s="46" t="s">
        <v>5213</v>
      </c>
      <c r="F3007" s="46" t="s">
        <v>26</v>
      </c>
      <c r="G3007" s="47">
        <v>3.92</v>
      </c>
      <c r="H3007" s="48">
        <v>11.11</v>
      </c>
      <c r="I3007" s="48">
        <v>66.658</v>
      </c>
      <c r="J3007" s="49">
        <v>6</v>
      </c>
      <c r="K3007" s="49">
        <v>2</v>
      </c>
      <c r="L3007" s="49">
        <v>4</v>
      </c>
    </row>
    <row r="3008" spans="1:12" x14ac:dyDescent="0.25">
      <c r="A3008" s="45">
        <f>C3008&amp;"."&amp;IFERROR(MID(E3008,FIND("(",E3008)+1,FIND(")",E3008)-FIND("(",E3008)-1),"")</f>
      </c>
      <c r="B3008" s="46" t="s">
        <v>1178</v>
      </c>
      <c r="C3008" s="46">
        <v>84845</v>
      </c>
      <c r="D3008" s="46" t="s">
        <v>5214</v>
      </c>
      <c r="E3008" s="46" t="s">
        <v>5215</v>
      </c>
      <c r="F3008" s="46" t="s">
        <v>26</v>
      </c>
      <c r="G3008" s="47">
        <v>0.81</v>
      </c>
      <c r="H3008" s="48">
        <v>2.101</v>
      </c>
      <c r="I3008" s="48">
        <v>16.81</v>
      </c>
      <c r="J3008" s="49">
        <v>8</v>
      </c>
      <c r="K3008" s="49">
        <v>2</v>
      </c>
      <c r="L3008" s="49">
        <v>6</v>
      </c>
    </row>
    <row r="3009" spans="1:12" x14ac:dyDescent="0.25">
      <c r="A3009" s="45">
        <f>C3009&amp;"."&amp;IFERROR(MID(E3009,FIND("(",E3009)+1,FIND(")",E3009)-FIND("(",E3009)-1),"")</f>
      </c>
      <c r="B3009" s="46" t="s">
        <v>1178</v>
      </c>
      <c r="C3009" s="46">
        <v>84847</v>
      </c>
      <c r="D3009" s="46" t="s">
        <v>651</v>
      </c>
      <c r="E3009" s="46" t="s">
        <v>5216</v>
      </c>
      <c r="F3009" s="46" t="s">
        <v>26</v>
      </c>
      <c r="G3009" s="47">
        <v>46</v>
      </c>
      <c r="H3009" s="48">
        <v>169.686</v>
      </c>
      <c r="I3009" s="48">
        <v>71946.752</v>
      </c>
      <c r="J3009" s="49">
        <v>424</v>
      </c>
      <c r="K3009" s="49">
        <v>393</v>
      </c>
      <c r="L3009" s="49">
        <v>31</v>
      </c>
    </row>
    <row r="3010" spans="1:12" x14ac:dyDescent="0.25">
      <c r="A3010" s="45">
        <f>C3010&amp;"."&amp;IFERROR(MID(E3010,FIND("(",E3010)+1,FIND(")",E3010)-FIND("(",E3010)-1),"")</f>
      </c>
      <c r="B3010" s="46" t="s">
        <v>1178</v>
      </c>
      <c r="C3010" s="46">
        <v>84847</v>
      </c>
      <c r="D3010" s="46" t="s">
        <v>651</v>
      </c>
      <c r="E3010" s="46" t="s">
        <v>5217</v>
      </c>
      <c r="F3010" s="46" t="s">
        <v>26</v>
      </c>
      <c r="G3010" s="47">
        <v>46</v>
      </c>
      <c r="H3010" s="48">
        <v>165.343</v>
      </c>
      <c r="I3010" s="48">
        <v>44973.4</v>
      </c>
      <c r="J3010" s="49">
        <v>272</v>
      </c>
      <c r="K3010" s="49">
        <v>54</v>
      </c>
      <c r="L3010" s="49">
        <v>218</v>
      </c>
    </row>
    <row r="3011" spans="1:12" x14ac:dyDescent="0.25">
      <c r="A3011" s="45">
        <f>C3011&amp;"."&amp;IFERROR(MID(E3011,FIND("(",E3011)+1,FIND(")",E3011)-FIND("(",E3011)-1),"")</f>
      </c>
      <c r="B3011" s="46" t="s">
        <v>1178</v>
      </c>
      <c r="C3011" s="46">
        <v>84848</v>
      </c>
      <c r="D3011" s="46" t="s">
        <v>5218</v>
      </c>
      <c r="E3011" s="46" t="s">
        <v>5219</v>
      </c>
      <c r="F3011" s="46" t="s">
        <v>26</v>
      </c>
      <c r="G3011" s="47">
        <v>9.49</v>
      </c>
      <c r="H3011" s="48">
        <v>27.393</v>
      </c>
      <c r="I3011" s="48">
        <v>82.179</v>
      </c>
      <c r="J3011" s="49">
        <v>3</v>
      </c>
      <c r="K3011" s="49">
        <v>0</v>
      </c>
      <c r="L3011" s="49">
        <v>3</v>
      </c>
    </row>
    <row r="3012" spans="1:12" x14ac:dyDescent="0.25">
      <c r="A3012" s="45">
        <f>C3012&amp;"."&amp;IFERROR(MID(E3012,FIND("(",E3012)+1,FIND(")",E3012)-FIND("(",E3012)-1),"")</f>
      </c>
      <c r="B3012" s="46" t="s">
        <v>1178</v>
      </c>
      <c r="C3012" s="46">
        <v>84850</v>
      </c>
      <c r="D3012" s="46" t="s">
        <v>5220</v>
      </c>
      <c r="E3012" s="46" t="s">
        <v>5221</v>
      </c>
      <c r="F3012" s="46" t="s">
        <v>26</v>
      </c>
      <c r="G3012" s="47">
        <v>3.93</v>
      </c>
      <c r="H3012" s="48">
        <v>11.95</v>
      </c>
      <c r="I3012" s="48">
        <v>11.95</v>
      </c>
      <c r="J3012" s="49">
        <v>1</v>
      </c>
      <c r="K3012" s="49">
        <v>0</v>
      </c>
      <c r="L3012" s="49">
        <v>1</v>
      </c>
    </row>
    <row r="3013" spans="1:12" x14ac:dyDescent="0.25">
      <c r="A3013" s="45">
        <f>C3013&amp;"."&amp;IFERROR(MID(E3013,FIND("(",E3013)+1,FIND(")",E3013)-FIND("(",E3013)-1),"")</f>
      </c>
      <c r="B3013" s="46" t="s">
        <v>1178</v>
      </c>
      <c r="C3013" s="46">
        <v>84850</v>
      </c>
      <c r="D3013" s="46" t="s">
        <v>5220</v>
      </c>
      <c r="E3013" s="46" t="s">
        <v>5222</v>
      </c>
      <c r="F3013" s="46" t="s">
        <v>26</v>
      </c>
      <c r="G3013" s="47">
        <v>3.93</v>
      </c>
      <c r="H3013" s="48">
        <v>10.705</v>
      </c>
      <c r="I3013" s="48">
        <v>107.049</v>
      </c>
      <c r="J3013" s="49">
        <v>10</v>
      </c>
      <c r="K3013" s="49">
        <v>3</v>
      </c>
      <c r="L3013" s="49">
        <v>7</v>
      </c>
    </row>
    <row r="3014" spans="1:12" x14ac:dyDescent="0.25">
      <c r="A3014" s="45">
        <f>C3014&amp;"."&amp;IFERROR(MID(E3014,FIND("(",E3014)+1,FIND(")",E3014)-FIND("(",E3014)-1),"")</f>
      </c>
      <c r="B3014" s="46" t="s">
        <v>1178</v>
      </c>
      <c r="C3014" s="46">
        <v>84860</v>
      </c>
      <c r="D3014" s="46" t="s">
        <v>534</v>
      </c>
      <c r="E3014" s="46" t="s">
        <v>5223</v>
      </c>
      <c r="F3014" s="46" t="s">
        <v>26</v>
      </c>
      <c r="G3014" s="47">
        <v>60</v>
      </c>
      <c r="H3014" s="48">
        <v>305.661</v>
      </c>
      <c r="I3014" s="48">
        <v>24758.57</v>
      </c>
      <c r="J3014" s="49">
        <v>81</v>
      </c>
      <c r="K3014" s="49">
        <v>31</v>
      </c>
      <c r="L3014" s="49">
        <v>50</v>
      </c>
    </row>
    <row r="3015" spans="1:12" x14ac:dyDescent="0.25">
      <c r="A3015" s="45">
        <f>C3015&amp;"."&amp;IFERROR(MID(E3015,FIND("(",E3015)+1,FIND(")",E3015)-FIND("(",E3015)-1),"")</f>
      </c>
      <c r="B3015" s="46" t="s">
        <v>1178</v>
      </c>
      <c r="C3015" s="46">
        <v>84862</v>
      </c>
      <c r="D3015" s="46" t="s">
        <v>5224</v>
      </c>
      <c r="E3015" s="46" t="s">
        <v>5225</v>
      </c>
      <c r="F3015" s="46" t="s">
        <v>26</v>
      </c>
      <c r="G3015" s="47">
        <v>0.37</v>
      </c>
      <c r="H3015" s="48">
        <v>16.269</v>
      </c>
      <c r="I3015" s="48">
        <v>48.806</v>
      </c>
      <c r="J3015" s="49">
        <v>3</v>
      </c>
      <c r="K3015" s="49">
        <v>0</v>
      </c>
      <c r="L3015" s="49">
        <v>3</v>
      </c>
    </row>
    <row r="3016" spans="1:12" x14ac:dyDescent="0.25">
      <c r="A3016" s="45">
        <f>C3016&amp;"."&amp;IFERROR(MID(E3016,FIND("(",E3016)+1,FIND(")",E3016)-FIND("(",E3016)-1),"")</f>
      </c>
      <c r="B3016" s="46" t="s">
        <v>1178</v>
      </c>
      <c r="C3016" s="46">
        <v>84863</v>
      </c>
      <c r="D3016" s="46" t="s">
        <v>5226</v>
      </c>
      <c r="E3016" s="46" t="s">
        <v>5227</v>
      </c>
      <c r="F3016" s="46" t="s">
        <v>26</v>
      </c>
      <c r="G3016" s="47">
        <v>0.59</v>
      </c>
      <c r="H3016" s="48">
        <v>2.23</v>
      </c>
      <c r="I3016" s="48">
        <v>8.92</v>
      </c>
      <c r="J3016" s="49">
        <v>4</v>
      </c>
      <c r="K3016" s="49">
        <v>2</v>
      </c>
      <c r="L3016" s="49">
        <v>2</v>
      </c>
    </row>
    <row r="3017" spans="1:12" x14ac:dyDescent="0.25">
      <c r="A3017" s="45">
        <f>C3017&amp;"."&amp;IFERROR(MID(E3017,FIND("(",E3017)+1,FIND(")",E3017)-FIND("(",E3017)-1),"")</f>
      </c>
      <c r="B3017" s="46" t="s">
        <v>1178</v>
      </c>
      <c r="C3017" s="46">
        <v>84866</v>
      </c>
      <c r="D3017" s="46" t="s">
        <v>940</v>
      </c>
      <c r="E3017" s="46" t="s">
        <v>5228</v>
      </c>
      <c r="F3017" s="46" t="s">
        <v>26</v>
      </c>
      <c r="G3017" s="47">
        <v>50</v>
      </c>
      <c r="H3017" s="48">
        <v>87.311</v>
      </c>
      <c r="I3017" s="48">
        <v>8556.443</v>
      </c>
      <c r="J3017" s="49">
        <v>98</v>
      </c>
      <c r="K3017" s="49">
        <v>31</v>
      </c>
      <c r="L3017" s="49">
        <v>67</v>
      </c>
    </row>
    <row r="3018" spans="1:12" x14ac:dyDescent="0.25">
      <c r="A3018" s="45">
        <f>C3018&amp;"."&amp;IFERROR(MID(E3018,FIND("(",E3018)+1,FIND(")",E3018)-FIND("(",E3018)-1),"")</f>
      </c>
      <c r="B3018" s="46" t="s">
        <v>1178</v>
      </c>
      <c r="C3018" s="46">
        <v>84870</v>
      </c>
      <c r="D3018" s="46" t="s">
        <v>5229</v>
      </c>
      <c r="E3018" s="46" t="s">
        <v>5230</v>
      </c>
      <c r="F3018" s="46" t="s">
        <v>26</v>
      </c>
      <c r="G3018" s="47">
        <v>11.9</v>
      </c>
      <c r="H3018" s="48">
        <v>46.454</v>
      </c>
      <c r="I3018" s="48">
        <v>139.361</v>
      </c>
      <c r="J3018" s="49">
        <v>3</v>
      </c>
      <c r="K3018" s="49">
        <v>0</v>
      </c>
      <c r="L3018" s="49">
        <v>3</v>
      </c>
    </row>
    <row r="3019" spans="1:12" x14ac:dyDescent="0.25">
      <c r="A3019" s="45">
        <f>C3019&amp;"."&amp;IFERROR(MID(E3019,FIND("(",E3019)+1,FIND(")",E3019)-FIND("(",E3019)-1),"")</f>
      </c>
      <c r="B3019" s="46" t="s">
        <v>1178</v>
      </c>
      <c r="C3019" s="46">
        <v>84877</v>
      </c>
      <c r="D3019" s="46" t="s">
        <v>418</v>
      </c>
      <c r="E3019" s="46" t="s">
        <v>5231</v>
      </c>
      <c r="F3019" s="46" t="s">
        <v>26</v>
      </c>
      <c r="G3019" s="47">
        <v>56.38</v>
      </c>
      <c r="H3019" s="48">
        <v>186.925</v>
      </c>
      <c r="I3019" s="48">
        <v>373.849</v>
      </c>
      <c r="J3019" s="49">
        <v>2</v>
      </c>
      <c r="K3019" s="49">
        <v>0</v>
      </c>
      <c r="L3019" s="49">
        <v>2</v>
      </c>
    </row>
    <row r="3020" spans="1:12" x14ac:dyDescent="0.25">
      <c r="A3020" s="45">
        <f>C3020&amp;"."&amp;IFERROR(MID(E3020,FIND("(",E3020)+1,FIND(")",E3020)-FIND("(",E3020)-1),"")</f>
      </c>
      <c r="B3020" s="46" t="s">
        <v>1178</v>
      </c>
      <c r="C3020" s="46">
        <v>84878</v>
      </c>
      <c r="D3020" s="46" t="s">
        <v>5232</v>
      </c>
      <c r="E3020" s="46" t="s">
        <v>5233</v>
      </c>
      <c r="F3020" s="46" t="s">
        <v>26</v>
      </c>
      <c r="G3020" s="47">
        <v>1.34</v>
      </c>
      <c r="H3020" s="48">
        <v>4.53</v>
      </c>
      <c r="I3020" s="48">
        <v>9.06</v>
      </c>
      <c r="J3020" s="49">
        <v>2</v>
      </c>
      <c r="K3020" s="49">
        <v>0</v>
      </c>
      <c r="L3020" s="49">
        <v>2</v>
      </c>
    </row>
    <row r="3021" spans="1:12" x14ac:dyDescent="0.25">
      <c r="A3021" s="45">
        <f>C3021&amp;"."&amp;IFERROR(MID(E3021,FIND("(",E3021)+1,FIND(")",E3021)-FIND("(",E3021)-1),"")</f>
      </c>
      <c r="B3021" s="46" t="s">
        <v>1178</v>
      </c>
      <c r="C3021" s="46">
        <v>84881</v>
      </c>
      <c r="D3021" s="46" t="s">
        <v>5234</v>
      </c>
      <c r="E3021" s="46" t="s">
        <v>5235</v>
      </c>
      <c r="F3021" s="46" t="s">
        <v>26</v>
      </c>
      <c r="G3021" s="47">
        <v>13.13</v>
      </c>
      <c r="H3021" s="48">
        <v>39.67</v>
      </c>
      <c r="I3021" s="48">
        <v>119.01</v>
      </c>
      <c r="J3021" s="49">
        <v>3</v>
      </c>
      <c r="K3021" s="49">
        <v>0</v>
      </c>
      <c r="L3021" s="49">
        <v>3</v>
      </c>
    </row>
    <row r="3022" spans="1:12" x14ac:dyDescent="0.25">
      <c r="A3022" s="45">
        <f>C3022&amp;"."&amp;IFERROR(MID(E3022,FIND("(",E3022)+1,FIND(")",E3022)-FIND("(",E3022)-1),"")</f>
      </c>
      <c r="B3022" s="46" t="s">
        <v>1178</v>
      </c>
      <c r="C3022" s="46">
        <v>84881</v>
      </c>
      <c r="D3022" s="46" t="s">
        <v>5234</v>
      </c>
      <c r="E3022" s="46" t="s">
        <v>5236</v>
      </c>
      <c r="F3022" s="46" t="s">
        <v>26</v>
      </c>
      <c r="G3022" s="47">
        <v>13.13</v>
      </c>
      <c r="H3022" s="48">
        <v>28.538</v>
      </c>
      <c r="I3022" s="48">
        <v>256.841</v>
      </c>
      <c r="J3022" s="49">
        <v>9</v>
      </c>
      <c r="K3022" s="49">
        <v>0</v>
      </c>
      <c r="L3022" s="49">
        <v>9</v>
      </c>
    </row>
    <row r="3023" spans="1:12" x14ac:dyDescent="0.25">
      <c r="A3023" s="45">
        <f>C3023&amp;"."&amp;IFERROR(MID(E3023,FIND("(",E3023)+1,FIND(")",E3023)-FIND("(",E3023)-1),"")</f>
      </c>
      <c r="B3023" s="46" t="s">
        <v>1178</v>
      </c>
      <c r="C3023" s="46">
        <v>84882</v>
      </c>
      <c r="D3023" s="46" t="s">
        <v>5237</v>
      </c>
      <c r="E3023" s="46" t="s">
        <v>5238</v>
      </c>
      <c r="F3023" s="46" t="s">
        <v>26</v>
      </c>
      <c r="G3023" s="47">
        <v>13.13</v>
      </c>
      <c r="H3023" s="48">
        <v>41.869</v>
      </c>
      <c r="I3023" s="48">
        <v>125.608</v>
      </c>
      <c r="J3023" s="49">
        <v>3</v>
      </c>
      <c r="K3023" s="49">
        <v>0</v>
      </c>
      <c r="L3023" s="49">
        <v>3</v>
      </c>
    </row>
    <row r="3024" spans="1:12" x14ac:dyDescent="0.25">
      <c r="A3024" s="45">
        <f>C3024&amp;"."&amp;IFERROR(MID(E3024,FIND("(",E3024)+1,FIND(")",E3024)-FIND("(",E3024)-1),"")</f>
      </c>
      <c r="B3024" s="46" t="s">
        <v>1178</v>
      </c>
      <c r="C3024" s="46">
        <v>84882</v>
      </c>
      <c r="D3024" s="46" t="s">
        <v>5237</v>
      </c>
      <c r="E3024" s="46" t="s">
        <v>5239</v>
      </c>
      <c r="F3024" s="46" t="s">
        <v>26</v>
      </c>
      <c r="G3024" s="47">
        <v>13.13</v>
      </c>
      <c r="H3024" s="48">
        <v>39.67</v>
      </c>
      <c r="I3024" s="48">
        <v>158.68</v>
      </c>
      <c r="J3024" s="49">
        <v>4</v>
      </c>
      <c r="K3024" s="49">
        <v>0</v>
      </c>
      <c r="L3024" s="49">
        <v>4</v>
      </c>
    </row>
    <row r="3025" spans="1:12" x14ac:dyDescent="0.25">
      <c r="A3025" s="45">
        <f>C3025&amp;"."&amp;IFERROR(MID(E3025,FIND("(",E3025)+1,FIND(")",E3025)-FIND("(",E3025)-1),"")</f>
      </c>
      <c r="B3025" s="46" t="s">
        <v>1178</v>
      </c>
      <c r="C3025" s="46">
        <v>84886</v>
      </c>
      <c r="D3025" s="46" t="s">
        <v>5240</v>
      </c>
      <c r="E3025" s="46" t="s">
        <v>5241</v>
      </c>
      <c r="F3025" s="46" t="s">
        <v>26</v>
      </c>
      <c r="G3025" s="47">
        <v>12.56</v>
      </c>
      <c r="H3025" s="48">
        <v>20.707</v>
      </c>
      <c r="I3025" s="48">
        <v>103.533</v>
      </c>
      <c r="J3025" s="49">
        <v>5</v>
      </c>
      <c r="K3025" s="49">
        <v>0</v>
      </c>
      <c r="L3025" s="49">
        <v>5</v>
      </c>
    </row>
    <row r="3026" spans="1:12" x14ac:dyDescent="0.25">
      <c r="A3026" s="45">
        <f>C3026&amp;"."&amp;IFERROR(MID(E3026,FIND("(",E3026)+1,FIND(")",E3026)-FIND("(",E3026)-1),"")</f>
      </c>
      <c r="B3026" s="46" t="s">
        <v>1178</v>
      </c>
      <c r="C3026" s="46">
        <v>84901</v>
      </c>
      <c r="D3026" s="46" t="s">
        <v>52</v>
      </c>
      <c r="E3026" s="46" t="s">
        <v>5242</v>
      </c>
      <c r="F3026" s="46" t="s">
        <v>24</v>
      </c>
      <c r="G3026" s="47">
        <v>37.6</v>
      </c>
      <c r="H3026" s="48">
        <v>191.25</v>
      </c>
      <c r="I3026" s="48">
        <v>26775.014</v>
      </c>
      <c r="J3026" s="49">
        <v>140</v>
      </c>
      <c r="K3026" s="49">
        <v>140</v>
      </c>
      <c r="L3026" s="49">
        <v>0</v>
      </c>
    </row>
    <row r="3027" spans="1:12" x14ac:dyDescent="0.25">
      <c r="A3027" s="45">
        <f>C3027&amp;"."&amp;IFERROR(MID(E3027,FIND("(",E3027)+1,FIND(")",E3027)-FIND("(",E3027)-1),"")</f>
      </c>
      <c r="B3027" s="46" t="s">
        <v>1178</v>
      </c>
      <c r="C3027" s="46">
        <v>84901</v>
      </c>
      <c r="D3027" s="46" t="s">
        <v>52</v>
      </c>
      <c r="E3027" s="46" t="s">
        <v>5243</v>
      </c>
      <c r="F3027" s="46" t="s">
        <v>24</v>
      </c>
      <c r="G3027" s="47">
        <v>37.6</v>
      </c>
      <c r="H3027" s="48">
        <v>158.902</v>
      </c>
      <c r="I3027" s="48">
        <v>12394.352</v>
      </c>
      <c r="J3027" s="49">
        <v>78</v>
      </c>
      <c r="K3027" s="49">
        <v>0</v>
      </c>
      <c r="L3027" s="49">
        <v>78</v>
      </c>
    </row>
    <row r="3028" spans="1:12" x14ac:dyDescent="0.25">
      <c r="A3028" s="45">
        <f>C3028&amp;"."&amp;IFERROR(MID(E3028,FIND("(",E3028)+1,FIND(")",E3028)-FIND("(",E3028)-1),"")</f>
      </c>
      <c r="B3028" s="46" t="s">
        <v>1178</v>
      </c>
      <c r="C3028" s="46">
        <v>84901</v>
      </c>
      <c r="D3028" s="46" t="s">
        <v>52</v>
      </c>
      <c r="E3028" s="46" t="s">
        <v>5244</v>
      </c>
      <c r="F3028" s="46" t="s">
        <v>24</v>
      </c>
      <c r="G3028" s="47">
        <v>37.6</v>
      </c>
      <c r="H3028" s="48">
        <v>178.624</v>
      </c>
      <c r="I3028" s="48">
        <v>43227.044</v>
      </c>
      <c r="J3028" s="49">
        <v>242</v>
      </c>
      <c r="K3028" s="49">
        <v>242</v>
      </c>
      <c r="L3028" s="49">
        <v>0</v>
      </c>
    </row>
    <row r="3029" spans="1:12" x14ac:dyDescent="0.25">
      <c r="A3029" s="45">
        <f>C3029&amp;"."&amp;IFERROR(MID(E3029,FIND("(",E3029)+1,FIND(")",E3029)-FIND("(",E3029)-1),"")</f>
      </c>
      <c r="B3029" s="46" t="s">
        <v>1178</v>
      </c>
      <c r="C3029" s="46">
        <v>84903</v>
      </c>
      <c r="D3029" s="46" t="s">
        <v>5245</v>
      </c>
      <c r="E3029" s="46" t="s">
        <v>5246</v>
      </c>
      <c r="F3029" s="46" t="s">
        <v>24</v>
      </c>
      <c r="G3029" s="47">
        <v>3.43</v>
      </c>
      <c r="H3029" s="48">
        <v>23.138</v>
      </c>
      <c r="I3029" s="48">
        <v>92.551</v>
      </c>
      <c r="J3029" s="49">
        <v>4</v>
      </c>
      <c r="K3029" s="49">
        <v>0</v>
      </c>
      <c r="L3029" s="49">
        <v>4</v>
      </c>
    </row>
    <row r="3030" spans="1:12" x14ac:dyDescent="0.25">
      <c r="A3030" s="45">
        <f>C3030&amp;"."&amp;IFERROR(MID(E3030,FIND("(",E3030)+1,FIND(")",E3030)-FIND("(",E3030)-1),"")</f>
      </c>
      <c r="B3030" s="46" t="s">
        <v>1178</v>
      </c>
      <c r="C3030" s="46">
        <v>84903</v>
      </c>
      <c r="D3030" s="46" t="s">
        <v>5245</v>
      </c>
      <c r="E3030" s="46" t="s">
        <v>5247</v>
      </c>
      <c r="F3030" s="46" t="s">
        <v>24</v>
      </c>
      <c r="G3030" s="47">
        <v>3.43</v>
      </c>
      <c r="H3030" s="48">
        <v>22.668</v>
      </c>
      <c r="I3030" s="48">
        <v>204.008</v>
      </c>
      <c r="J3030" s="49">
        <v>9</v>
      </c>
      <c r="K3030" s="49">
        <v>0</v>
      </c>
      <c r="L3030" s="49">
        <v>9</v>
      </c>
    </row>
    <row r="3031" spans="1:12" x14ac:dyDescent="0.25">
      <c r="A3031" s="45">
        <f>C3031&amp;"."&amp;IFERROR(MID(E3031,FIND("(",E3031)+1,FIND(")",E3031)-FIND("(",E3031)-1),"")</f>
      </c>
      <c r="B3031" s="46" t="s">
        <v>1178</v>
      </c>
      <c r="C3031" s="46">
        <v>84903</v>
      </c>
      <c r="D3031" s="46" t="s">
        <v>5245</v>
      </c>
      <c r="E3031" s="46" t="s">
        <v>5248</v>
      </c>
      <c r="F3031" s="46" t="s">
        <v>24</v>
      </c>
      <c r="G3031" s="47">
        <v>3.43</v>
      </c>
      <c r="H3031" s="48">
        <v>21.733</v>
      </c>
      <c r="I3031" s="48">
        <v>108.665</v>
      </c>
      <c r="J3031" s="49">
        <v>5</v>
      </c>
      <c r="K3031" s="49">
        <v>0</v>
      </c>
      <c r="L3031" s="49">
        <v>5</v>
      </c>
    </row>
    <row r="3032" spans="1:12" x14ac:dyDescent="0.25">
      <c r="A3032" s="45">
        <f>C3032&amp;"."&amp;IFERROR(MID(E3032,FIND("(",E3032)+1,FIND(")",E3032)-FIND("(",E3032)-1),"")</f>
      </c>
      <c r="B3032" s="46" t="s">
        <v>1178</v>
      </c>
      <c r="C3032" s="46">
        <v>84904</v>
      </c>
      <c r="D3032" s="46" t="s">
        <v>5249</v>
      </c>
      <c r="E3032" s="46" t="s">
        <v>5250</v>
      </c>
      <c r="F3032" s="46" t="s">
        <v>24</v>
      </c>
      <c r="G3032" s="47">
        <v>3.43</v>
      </c>
      <c r="H3032" s="48">
        <v>24.348</v>
      </c>
      <c r="I3032" s="48">
        <v>194.787</v>
      </c>
      <c r="J3032" s="49">
        <v>8</v>
      </c>
      <c r="K3032" s="49">
        <v>0</v>
      </c>
      <c r="L3032" s="49">
        <v>8</v>
      </c>
    </row>
    <row r="3033" spans="1:12" x14ac:dyDescent="0.25">
      <c r="A3033" s="45">
        <f>C3033&amp;"."&amp;IFERROR(MID(E3033,FIND("(",E3033)+1,FIND(")",E3033)-FIND("(",E3033)-1),"")</f>
      </c>
      <c r="B3033" s="46" t="s">
        <v>1178</v>
      </c>
      <c r="C3033" s="46">
        <v>84904</v>
      </c>
      <c r="D3033" s="46" t="s">
        <v>5249</v>
      </c>
      <c r="E3033" s="46" t="s">
        <v>5251</v>
      </c>
      <c r="F3033" s="46" t="s">
        <v>24</v>
      </c>
      <c r="G3033" s="47">
        <v>3.43</v>
      </c>
      <c r="H3033" s="48">
        <v>22.223</v>
      </c>
      <c r="I3033" s="48">
        <v>22.223</v>
      </c>
      <c r="J3033" s="49">
        <v>1</v>
      </c>
      <c r="K3033" s="49">
        <v>0</v>
      </c>
      <c r="L3033" s="49">
        <v>1</v>
      </c>
    </row>
    <row r="3034" spans="1:12" x14ac:dyDescent="0.25">
      <c r="A3034" s="45">
        <f>C3034&amp;"."&amp;IFERROR(MID(E3034,FIND("(",E3034)+1,FIND(")",E3034)-FIND("(",E3034)-1),"")</f>
      </c>
      <c r="B3034" s="46" t="s">
        <v>1178</v>
      </c>
      <c r="C3034" s="46">
        <v>84905</v>
      </c>
      <c r="D3034" s="46" t="s">
        <v>5252</v>
      </c>
      <c r="E3034" s="46" t="s">
        <v>5253</v>
      </c>
      <c r="F3034" s="46" t="s">
        <v>24</v>
      </c>
      <c r="G3034" s="47">
        <v>1.25</v>
      </c>
      <c r="H3034" s="48">
        <v>11.022</v>
      </c>
      <c r="I3034" s="48">
        <v>55.11</v>
      </c>
      <c r="J3034" s="49">
        <v>5</v>
      </c>
      <c r="K3034" s="49">
        <v>0</v>
      </c>
      <c r="L3034" s="49">
        <v>5</v>
      </c>
    </row>
    <row r="3035" spans="1:12" x14ac:dyDescent="0.25">
      <c r="A3035" s="45">
        <f>C3035&amp;"."&amp;IFERROR(MID(E3035,FIND("(",E3035)+1,FIND(")",E3035)-FIND("(",E3035)-1),"")</f>
      </c>
      <c r="B3035" s="46" t="s">
        <v>1178</v>
      </c>
      <c r="C3035" s="46">
        <v>84905</v>
      </c>
      <c r="D3035" s="46" t="s">
        <v>5252</v>
      </c>
      <c r="E3035" s="46" t="s">
        <v>5254</v>
      </c>
      <c r="F3035" s="46" t="s">
        <v>24</v>
      </c>
      <c r="G3035" s="47">
        <v>1.25</v>
      </c>
      <c r="H3035" s="48">
        <v>5.62</v>
      </c>
      <c r="I3035" s="48">
        <v>5.62</v>
      </c>
      <c r="J3035" s="49">
        <v>1</v>
      </c>
      <c r="K3035" s="49">
        <v>0</v>
      </c>
      <c r="L3035" s="49">
        <v>1</v>
      </c>
    </row>
    <row r="3036" spans="1:12" x14ac:dyDescent="0.25">
      <c r="A3036" s="45">
        <f>C3036&amp;"."&amp;IFERROR(MID(E3036,FIND("(",E3036)+1,FIND(")",E3036)-FIND("(",E3036)-1),"")</f>
      </c>
      <c r="B3036" s="46" t="s">
        <v>1178</v>
      </c>
      <c r="C3036" s="46">
        <v>84905</v>
      </c>
      <c r="D3036" s="46" t="s">
        <v>5252</v>
      </c>
      <c r="E3036" s="46" t="s">
        <v>5255</v>
      </c>
      <c r="F3036" s="46" t="s">
        <v>24</v>
      </c>
      <c r="G3036" s="47">
        <v>1.25</v>
      </c>
      <c r="H3036" s="48">
        <v>9.441</v>
      </c>
      <c r="I3036" s="48">
        <v>122.738</v>
      </c>
      <c r="J3036" s="49">
        <v>13</v>
      </c>
      <c r="K3036" s="49">
        <v>1</v>
      </c>
      <c r="L3036" s="49">
        <v>12</v>
      </c>
    </row>
    <row r="3037" spans="1:12" x14ac:dyDescent="0.25">
      <c r="A3037" s="45">
        <f>C3037&amp;"."&amp;IFERROR(MID(E3037,FIND("(",E3037)+1,FIND(")",E3037)-FIND("(",E3037)-1),"")</f>
      </c>
      <c r="B3037" s="46" t="s">
        <v>1178</v>
      </c>
      <c r="C3037" s="46">
        <v>84906</v>
      </c>
      <c r="D3037" s="46" t="s">
        <v>5256</v>
      </c>
      <c r="E3037" s="46" t="s">
        <v>5257</v>
      </c>
      <c r="F3037" s="46" t="s">
        <v>24</v>
      </c>
      <c r="G3037" s="47">
        <v>1.25</v>
      </c>
      <c r="H3037" s="48">
        <v>5.62</v>
      </c>
      <c r="I3037" s="48">
        <v>5.62</v>
      </c>
      <c r="J3037" s="49">
        <v>1</v>
      </c>
      <c r="K3037" s="49">
        <v>0</v>
      </c>
      <c r="L3037" s="49">
        <v>1</v>
      </c>
    </row>
    <row r="3038" spans="1:12" x14ac:dyDescent="0.25">
      <c r="A3038" s="45">
        <f>C3038&amp;"."&amp;IFERROR(MID(E3038,FIND("(",E3038)+1,FIND(")",E3038)-FIND("(",E3038)-1),"")</f>
      </c>
      <c r="B3038" s="46" t="s">
        <v>1178</v>
      </c>
      <c r="C3038" s="46">
        <v>84906</v>
      </c>
      <c r="D3038" s="46" t="s">
        <v>5256</v>
      </c>
      <c r="E3038" s="46" t="s">
        <v>5258</v>
      </c>
      <c r="F3038" s="46" t="s">
        <v>24</v>
      </c>
      <c r="G3038" s="47">
        <v>1.25</v>
      </c>
      <c r="H3038" s="48">
        <v>11.843</v>
      </c>
      <c r="I3038" s="48">
        <v>71.059</v>
      </c>
      <c r="J3038" s="49">
        <v>6</v>
      </c>
      <c r="K3038" s="49">
        <v>0</v>
      </c>
      <c r="L3038" s="49">
        <v>6</v>
      </c>
    </row>
    <row r="3039" spans="1:12" x14ac:dyDescent="0.25">
      <c r="A3039" s="45">
        <f>C3039&amp;"."&amp;IFERROR(MID(E3039,FIND("(",E3039)+1,FIND(")",E3039)-FIND("(",E3039)-1),"")</f>
      </c>
      <c r="B3039" s="46" t="s">
        <v>1178</v>
      </c>
      <c r="C3039" s="46">
        <v>84911</v>
      </c>
      <c r="D3039" s="46" t="s">
        <v>49</v>
      </c>
      <c r="E3039" s="46" t="s">
        <v>5259</v>
      </c>
      <c r="F3039" s="46" t="s">
        <v>24</v>
      </c>
      <c r="G3039" s="47">
        <v>35.1</v>
      </c>
      <c r="H3039" s="48">
        <v>149.875</v>
      </c>
      <c r="I3039" s="48">
        <v>7493.734</v>
      </c>
      <c r="J3039" s="49">
        <v>50</v>
      </c>
      <c r="K3039" s="49">
        <v>20</v>
      </c>
      <c r="L3039" s="49">
        <v>30</v>
      </c>
    </row>
    <row r="3040" spans="1:12" x14ac:dyDescent="0.25">
      <c r="A3040" s="45">
        <f>C3040&amp;"."&amp;IFERROR(MID(E3040,FIND("(",E3040)+1,FIND(")",E3040)-FIND("(",E3040)-1),"")</f>
      </c>
      <c r="B3040" s="46" t="s">
        <v>1178</v>
      </c>
      <c r="C3040" s="46">
        <v>84911</v>
      </c>
      <c r="D3040" s="46" t="s">
        <v>49</v>
      </c>
      <c r="E3040" s="46" t="s">
        <v>5260</v>
      </c>
      <c r="F3040" s="46" t="s">
        <v>24</v>
      </c>
      <c r="G3040" s="47">
        <v>35.1</v>
      </c>
      <c r="H3040" s="48">
        <v>139.333</v>
      </c>
      <c r="I3040" s="48">
        <v>18949.314</v>
      </c>
      <c r="J3040" s="49">
        <v>136</v>
      </c>
      <c r="K3040" s="49">
        <v>136</v>
      </c>
      <c r="L3040" s="49">
        <v>0</v>
      </c>
    </row>
    <row r="3041" spans="1:12" x14ac:dyDescent="0.25">
      <c r="A3041" s="45">
        <f>C3041&amp;"."&amp;IFERROR(MID(E3041,FIND("(",E3041)+1,FIND(")",E3041)-FIND("(",E3041)-1),"")</f>
      </c>
      <c r="B3041" s="46" t="s">
        <v>1178</v>
      </c>
      <c r="C3041" s="46">
        <v>84911</v>
      </c>
      <c r="D3041" s="46" t="s">
        <v>49</v>
      </c>
      <c r="E3041" s="46" t="s">
        <v>5261</v>
      </c>
      <c r="F3041" s="46" t="s">
        <v>24</v>
      </c>
      <c r="G3041" s="47">
        <v>35.1</v>
      </c>
      <c r="H3041" s="48">
        <v>143.981</v>
      </c>
      <c r="I3041" s="48">
        <v>29804.072</v>
      </c>
      <c r="J3041" s="49">
        <v>207</v>
      </c>
      <c r="K3041" s="49">
        <v>207</v>
      </c>
      <c r="L3041" s="49">
        <v>0</v>
      </c>
    </row>
    <row r="3042" spans="1:12" x14ac:dyDescent="0.25">
      <c r="A3042" s="45">
        <f>C3042&amp;"."&amp;IFERROR(MID(E3042,FIND("(",E3042)+1,FIND(")",E3042)-FIND("(",E3042)-1),"")</f>
      </c>
      <c r="B3042" s="46" t="s">
        <v>1178</v>
      </c>
      <c r="C3042" s="46">
        <v>84918</v>
      </c>
      <c r="D3042" s="46" t="s">
        <v>5262</v>
      </c>
      <c r="E3042" s="46" t="s">
        <v>5263</v>
      </c>
      <c r="F3042" s="46" t="s">
        <v>24</v>
      </c>
      <c r="G3042" s="47">
        <v>7.42</v>
      </c>
      <c r="H3042" s="48">
        <v>24.18</v>
      </c>
      <c r="I3042" s="48">
        <v>24.18</v>
      </c>
      <c r="J3042" s="49">
        <v>1</v>
      </c>
      <c r="K3042" s="49">
        <v>0</v>
      </c>
      <c r="L3042" s="49">
        <v>1</v>
      </c>
    </row>
    <row r="3043" spans="1:12" x14ac:dyDescent="0.25">
      <c r="A3043" s="45">
        <f>C3043&amp;"."&amp;IFERROR(MID(E3043,FIND("(",E3043)+1,FIND(")",E3043)-FIND("(",E3043)-1),"")</f>
      </c>
      <c r="B3043" s="46" t="s">
        <v>1178</v>
      </c>
      <c r="C3043" s="46">
        <v>84918</v>
      </c>
      <c r="D3043" s="46" t="s">
        <v>5262</v>
      </c>
      <c r="E3043" s="46" t="s">
        <v>5264</v>
      </c>
      <c r="F3043" s="46" t="s">
        <v>24</v>
      </c>
      <c r="G3043" s="47">
        <v>7.42</v>
      </c>
      <c r="H3043" s="48">
        <v>19.29</v>
      </c>
      <c r="I3043" s="48">
        <v>231.478</v>
      </c>
      <c r="J3043" s="49">
        <v>12</v>
      </c>
      <c r="K3043" s="49">
        <v>1</v>
      </c>
      <c r="L3043" s="49">
        <v>11</v>
      </c>
    </row>
    <row r="3044" spans="1:12" x14ac:dyDescent="0.25">
      <c r="A3044" s="45">
        <f>C3044&amp;"."&amp;IFERROR(MID(E3044,FIND("(",E3044)+1,FIND(")",E3044)-FIND("(",E3044)-1),"")</f>
      </c>
      <c r="B3044" s="46" t="s">
        <v>1178</v>
      </c>
      <c r="C3044" s="46">
        <v>84919</v>
      </c>
      <c r="D3044" s="46" t="s">
        <v>5265</v>
      </c>
      <c r="E3044" s="46" t="s">
        <v>5266</v>
      </c>
      <c r="F3044" s="46" t="s">
        <v>24</v>
      </c>
      <c r="G3044" s="47">
        <v>7.42</v>
      </c>
      <c r="H3044" s="48">
        <v>23.292</v>
      </c>
      <c r="I3044" s="48">
        <v>46.584</v>
      </c>
      <c r="J3044" s="49">
        <v>2</v>
      </c>
      <c r="K3044" s="49">
        <v>0</v>
      </c>
      <c r="L3044" s="49">
        <v>2</v>
      </c>
    </row>
    <row r="3045" spans="1:12" x14ac:dyDescent="0.25">
      <c r="A3045" s="45">
        <f>C3045&amp;"."&amp;IFERROR(MID(E3045,FIND("(",E3045)+1,FIND(")",E3045)-FIND("(",E3045)-1),"")</f>
      </c>
      <c r="B3045" s="46" t="s">
        <v>1178</v>
      </c>
      <c r="C3045" s="46">
        <v>84919</v>
      </c>
      <c r="D3045" s="46" t="s">
        <v>5265</v>
      </c>
      <c r="E3045" s="46" t="s">
        <v>5267</v>
      </c>
      <c r="F3045" s="46" t="s">
        <v>24</v>
      </c>
      <c r="G3045" s="47">
        <v>7.42</v>
      </c>
      <c r="H3045" s="48">
        <v>18.668</v>
      </c>
      <c r="I3045" s="48">
        <v>186.677</v>
      </c>
      <c r="J3045" s="49">
        <v>10</v>
      </c>
      <c r="K3045" s="49">
        <v>1</v>
      </c>
      <c r="L3045" s="49">
        <v>9</v>
      </c>
    </row>
    <row r="3046" spans="1:12" x14ac:dyDescent="0.25">
      <c r="A3046" s="45">
        <f>C3046&amp;"."&amp;IFERROR(MID(E3046,FIND("(",E3046)+1,FIND(")",E3046)-FIND("(",E3046)-1),"")</f>
      </c>
      <c r="B3046" s="46" t="s">
        <v>1178</v>
      </c>
      <c r="C3046" s="46">
        <v>84921</v>
      </c>
      <c r="D3046" s="46" t="s">
        <v>99</v>
      </c>
      <c r="E3046" s="46" t="s">
        <v>5268</v>
      </c>
      <c r="F3046" s="46" t="s">
        <v>24</v>
      </c>
      <c r="G3046" s="47">
        <v>42.8</v>
      </c>
      <c r="H3046" s="48">
        <v>206.903</v>
      </c>
      <c r="I3046" s="48">
        <v>5172.57</v>
      </c>
      <c r="J3046" s="49">
        <v>25</v>
      </c>
      <c r="K3046" s="49">
        <v>25</v>
      </c>
      <c r="L3046" s="49">
        <v>0</v>
      </c>
    </row>
    <row r="3047" spans="1:12" x14ac:dyDescent="0.25">
      <c r="A3047" s="45">
        <f>C3047&amp;"."&amp;IFERROR(MID(E3047,FIND("(",E3047)+1,FIND(")",E3047)-FIND("(",E3047)-1),"")</f>
      </c>
      <c r="B3047" s="46" t="s">
        <v>1178</v>
      </c>
      <c r="C3047" s="46">
        <v>84921</v>
      </c>
      <c r="D3047" s="46" t="s">
        <v>99</v>
      </c>
      <c r="E3047" s="46" t="s">
        <v>5269</v>
      </c>
      <c r="F3047" s="46" t="s">
        <v>24</v>
      </c>
      <c r="G3047" s="47">
        <v>42.8</v>
      </c>
      <c r="H3047" s="48">
        <v>212.669</v>
      </c>
      <c r="I3047" s="48">
        <v>5742.055</v>
      </c>
      <c r="J3047" s="49">
        <v>27</v>
      </c>
      <c r="K3047" s="49">
        <v>8</v>
      </c>
      <c r="L3047" s="49">
        <v>19</v>
      </c>
    </row>
    <row r="3048" spans="1:12" x14ac:dyDescent="0.25">
      <c r="A3048" s="45">
        <f>C3048&amp;"."&amp;IFERROR(MID(E3048,FIND("(",E3048)+1,FIND(")",E3048)-FIND("(",E3048)-1),"")</f>
      </c>
      <c r="B3048" s="46" t="s">
        <v>1178</v>
      </c>
      <c r="C3048" s="46">
        <v>84921</v>
      </c>
      <c r="D3048" s="46" t="s">
        <v>99</v>
      </c>
      <c r="E3048" s="46" t="s">
        <v>5270</v>
      </c>
      <c r="F3048" s="46" t="s">
        <v>24</v>
      </c>
      <c r="G3048" s="47">
        <v>42.8</v>
      </c>
      <c r="H3048" s="48">
        <v>191.171</v>
      </c>
      <c r="I3048" s="48">
        <v>2294.051</v>
      </c>
      <c r="J3048" s="49">
        <v>12</v>
      </c>
      <c r="K3048" s="49">
        <v>0</v>
      </c>
      <c r="L3048" s="49">
        <v>12</v>
      </c>
    </row>
    <row r="3049" spans="1:12" x14ac:dyDescent="0.25">
      <c r="A3049" s="45">
        <f>C3049&amp;"."&amp;IFERROR(MID(E3049,FIND("(",E3049)+1,FIND(")",E3049)-FIND("(",E3049)-1),"")</f>
      </c>
      <c r="B3049" s="46" t="s">
        <v>1178</v>
      </c>
      <c r="C3049" s="46">
        <v>84924</v>
      </c>
      <c r="D3049" s="46" t="s">
        <v>580</v>
      </c>
      <c r="E3049" s="46" t="s">
        <v>5271</v>
      </c>
      <c r="F3049" s="46" t="s">
        <v>24</v>
      </c>
      <c r="G3049" s="47">
        <v>33</v>
      </c>
      <c r="H3049" s="48">
        <v>176.258</v>
      </c>
      <c r="I3049" s="48">
        <v>4406.453</v>
      </c>
      <c r="J3049" s="49">
        <v>25</v>
      </c>
      <c r="K3049" s="49">
        <v>25</v>
      </c>
      <c r="L3049" s="49">
        <v>0</v>
      </c>
    </row>
    <row r="3050" spans="1:12" x14ac:dyDescent="0.25">
      <c r="A3050" s="45">
        <f>C3050&amp;"."&amp;IFERROR(MID(E3050,FIND("(",E3050)+1,FIND(")",E3050)-FIND("(",E3050)-1),"")</f>
      </c>
      <c r="B3050" s="46" t="s">
        <v>1178</v>
      </c>
      <c r="C3050" s="46">
        <v>84924</v>
      </c>
      <c r="D3050" s="46" t="s">
        <v>580</v>
      </c>
      <c r="E3050" s="46" t="s">
        <v>5272</v>
      </c>
      <c r="F3050" s="46" t="s">
        <v>24</v>
      </c>
      <c r="G3050" s="47">
        <v>33</v>
      </c>
      <c r="H3050" s="48">
        <v>161.757</v>
      </c>
      <c r="I3050" s="48">
        <v>1132.302</v>
      </c>
      <c r="J3050" s="49">
        <v>7</v>
      </c>
      <c r="K3050" s="49">
        <v>0</v>
      </c>
      <c r="L3050" s="49">
        <v>7</v>
      </c>
    </row>
    <row r="3051" spans="1:12" x14ac:dyDescent="0.25">
      <c r="A3051" s="45">
        <f>C3051&amp;"."&amp;IFERROR(MID(E3051,FIND("(",E3051)+1,FIND(")",E3051)-FIND("(",E3051)-1),"")</f>
      </c>
      <c r="B3051" s="46" t="s">
        <v>1178</v>
      </c>
      <c r="C3051" s="46">
        <v>84924</v>
      </c>
      <c r="D3051" s="46" t="s">
        <v>580</v>
      </c>
      <c r="E3051" s="46" t="s">
        <v>5273</v>
      </c>
      <c r="F3051" s="46" t="s">
        <v>24</v>
      </c>
      <c r="G3051" s="47">
        <v>33</v>
      </c>
      <c r="H3051" s="48">
        <v>177.478</v>
      </c>
      <c r="I3051" s="48">
        <v>3194.597</v>
      </c>
      <c r="J3051" s="49">
        <v>18</v>
      </c>
      <c r="K3051" s="49">
        <v>8</v>
      </c>
      <c r="L3051" s="49">
        <v>10</v>
      </c>
    </row>
    <row r="3052" spans="1:12" x14ac:dyDescent="0.25">
      <c r="A3052" s="45">
        <f>C3052&amp;"."&amp;IFERROR(MID(E3052,FIND("(",E3052)+1,FIND(")",E3052)-FIND("(",E3052)-1),"")</f>
      </c>
      <c r="B3052" s="46" t="s">
        <v>1178</v>
      </c>
      <c r="C3052" s="46">
        <v>84924</v>
      </c>
      <c r="D3052" s="46" t="s">
        <v>580</v>
      </c>
      <c r="E3052" s="46" t="s">
        <v>5274</v>
      </c>
      <c r="F3052" s="46" t="s">
        <v>24</v>
      </c>
      <c r="G3052" s="47">
        <v>33</v>
      </c>
      <c r="H3052" s="48">
        <v>156.977</v>
      </c>
      <c r="I3052" s="48">
        <v>1255.82</v>
      </c>
      <c r="J3052" s="49">
        <v>8</v>
      </c>
      <c r="K3052" s="49">
        <v>0</v>
      </c>
      <c r="L3052" s="49">
        <v>8</v>
      </c>
    </row>
    <row r="3053" spans="1:12" x14ac:dyDescent="0.25">
      <c r="A3053" s="45">
        <f>C3053&amp;"."&amp;IFERROR(MID(E3053,FIND("(",E3053)+1,FIND(")",E3053)-FIND("(",E3053)-1),"")</f>
      </c>
      <c r="B3053" s="46" t="s">
        <v>1178</v>
      </c>
      <c r="C3053" s="46">
        <v>84926</v>
      </c>
      <c r="D3053" s="46" t="s">
        <v>5275</v>
      </c>
      <c r="E3053" s="46" t="s">
        <v>5276</v>
      </c>
      <c r="F3053" s="46" t="s">
        <v>24</v>
      </c>
      <c r="G3053" s="47">
        <v>8.52</v>
      </c>
      <c r="H3053" s="48">
        <v>19.866</v>
      </c>
      <c r="I3053" s="48">
        <v>39.731</v>
      </c>
      <c r="J3053" s="49">
        <v>2</v>
      </c>
      <c r="K3053" s="49">
        <v>0</v>
      </c>
      <c r="L3053" s="49">
        <v>2</v>
      </c>
    </row>
    <row r="3054" spans="1:12" x14ac:dyDescent="0.25">
      <c r="A3054" s="45">
        <f>C3054&amp;"."&amp;IFERROR(MID(E3054,FIND("(",E3054)+1,FIND(")",E3054)-FIND("(",E3054)-1),"")</f>
      </c>
      <c r="B3054" s="46" t="s">
        <v>1178</v>
      </c>
      <c r="C3054" s="46">
        <v>84926</v>
      </c>
      <c r="D3054" s="46" t="s">
        <v>5275</v>
      </c>
      <c r="E3054" s="46" t="s">
        <v>5277</v>
      </c>
      <c r="F3054" s="46" t="s">
        <v>24</v>
      </c>
      <c r="G3054" s="47">
        <v>8.52</v>
      </c>
      <c r="H3054" s="48">
        <v>18.386</v>
      </c>
      <c r="I3054" s="48">
        <v>147.087</v>
      </c>
      <c r="J3054" s="49">
        <v>8</v>
      </c>
      <c r="K3054" s="49">
        <v>0</v>
      </c>
      <c r="L3054" s="49">
        <v>8</v>
      </c>
    </row>
    <row r="3055" spans="1:12" x14ac:dyDescent="0.25">
      <c r="A3055" s="45">
        <f>C3055&amp;"."&amp;IFERROR(MID(E3055,FIND("(",E3055)+1,FIND(")",E3055)-FIND("(",E3055)-1),"")</f>
      </c>
      <c r="B3055" s="46" t="s">
        <v>1178</v>
      </c>
      <c r="C3055" s="46">
        <v>84927</v>
      </c>
      <c r="D3055" s="46" t="s">
        <v>5278</v>
      </c>
      <c r="E3055" s="46" t="s">
        <v>5279</v>
      </c>
      <c r="F3055" s="46" t="s">
        <v>24</v>
      </c>
      <c r="G3055" s="47">
        <v>8.52</v>
      </c>
      <c r="H3055" s="48">
        <v>22.367</v>
      </c>
      <c r="I3055" s="48">
        <v>67.102</v>
      </c>
      <c r="J3055" s="49">
        <v>3</v>
      </c>
      <c r="K3055" s="49">
        <v>0</v>
      </c>
      <c r="L3055" s="49">
        <v>3</v>
      </c>
    </row>
    <row r="3056" spans="1:12" x14ac:dyDescent="0.25">
      <c r="A3056" s="45">
        <f>C3056&amp;"."&amp;IFERROR(MID(E3056,FIND("(",E3056)+1,FIND(")",E3056)-FIND("(",E3056)-1),"")</f>
      </c>
      <c r="B3056" s="46" t="s">
        <v>1178</v>
      </c>
      <c r="C3056" s="46">
        <v>84927</v>
      </c>
      <c r="D3056" s="46" t="s">
        <v>5278</v>
      </c>
      <c r="E3056" s="46" t="s">
        <v>5280</v>
      </c>
      <c r="F3056" s="46" t="s">
        <v>24</v>
      </c>
      <c r="G3056" s="47">
        <v>8.52</v>
      </c>
      <c r="H3056" s="48">
        <v>18.386</v>
      </c>
      <c r="I3056" s="48">
        <v>165.473</v>
      </c>
      <c r="J3056" s="49">
        <v>9</v>
      </c>
      <c r="K3056" s="49">
        <v>0</v>
      </c>
      <c r="L3056" s="49">
        <v>9</v>
      </c>
    </row>
    <row r="3057" spans="1:12" x14ac:dyDescent="0.25">
      <c r="A3057" s="45">
        <f>C3057&amp;"."&amp;IFERROR(MID(E3057,FIND("(",E3057)+1,FIND(")",E3057)-FIND("(",E3057)-1),"")</f>
      </c>
      <c r="B3057" s="46" t="s">
        <v>1178</v>
      </c>
      <c r="C3057" s="46">
        <v>84935</v>
      </c>
      <c r="D3057" s="46" t="s">
        <v>5281</v>
      </c>
      <c r="E3057" s="46" t="s">
        <v>1248</v>
      </c>
      <c r="F3057" s="46" t="s">
        <v>1495</v>
      </c>
      <c r="G3057" s="47">
        <v>0</v>
      </c>
      <c r="H3057" s="48">
        <v>12.587</v>
      </c>
      <c r="I3057" s="48">
        <v>365.029</v>
      </c>
      <c r="J3057" s="49">
        <v>29</v>
      </c>
      <c r="K3057" s="49">
        <v>0</v>
      </c>
      <c r="L3057" s="49">
        <v>29</v>
      </c>
    </row>
    <row r="3058" spans="1:12" x14ac:dyDescent="0.25">
      <c r="A3058" s="45">
        <f>C3058&amp;"."&amp;IFERROR(MID(E3058,FIND("(",E3058)+1,FIND(")",E3058)-FIND("(",E3058)-1),"")</f>
      </c>
      <c r="B3058" s="46" t="s">
        <v>1178</v>
      </c>
      <c r="C3058" s="46">
        <v>84938</v>
      </c>
      <c r="D3058" s="46" t="s">
        <v>654</v>
      </c>
      <c r="E3058" s="46" t="s">
        <v>5282</v>
      </c>
      <c r="F3058" s="46" t="s">
        <v>24</v>
      </c>
      <c r="G3058" s="47">
        <v>30.9</v>
      </c>
      <c r="H3058" s="48">
        <v>164.37</v>
      </c>
      <c r="I3058" s="48">
        <v>44872.969</v>
      </c>
      <c r="J3058" s="49">
        <v>273</v>
      </c>
      <c r="K3058" s="49">
        <v>273</v>
      </c>
      <c r="L3058" s="49">
        <v>0</v>
      </c>
    </row>
    <row r="3059" spans="1:12" x14ac:dyDescent="0.25">
      <c r="A3059" s="45">
        <f>C3059&amp;"."&amp;IFERROR(MID(E3059,FIND("(",E3059)+1,FIND(")",E3059)-FIND("(",E3059)-1),"")</f>
      </c>
      <c r="B3059" s="46" t="s">
        <v>1178</v>
      </c>
      <c r="C3059" s="46">
        <v>84938</v>
      </c>
      <c r="D3059" s="46" t="s">
        <v>654</v>
      </c>
      <c r="E3059" s="46" t="s">
        <v>5283</v>
      </c>
      <c r="F3059" s="46" t="s">
        <v>24</v>
      </c>
      <c r="G3059" s="47">
        <v>30.9</v>
      </c>
      <c r="H3059" s="48">
        <v>135.552</v>
      </c>
      <c r="I3059" s="48">
        <v>4066.551</v>
      </c>
      <c r="J3059" s="49">
        <v>30</v>
      </c>
      <c r="K3059" s="49">
        <v>30</v>
      </c>
      <c r="L3059" s="49">
        <v>0</v>
      </c>
    </row>
    <row r="3060" spans="1:12" x14ac:dyDescent="0.25">
      <c r="A3060" s="45">
        <f>C3060&amp;"."&amp;IFERROR(MID(E3060,FIND("(",E3060)+1,FIND(")",E3060)-FIND("(",E3060)-1),"")</f>
      </c>
      <c r="B3060" s="46" t="s">
        <v>1178</v>
      </c>
      <c r="C3060" s="46">
        <v>84938</v>
      </c>
      <c r="D3060" s="46" t="s">
        <v>654</v>
      </c>
      <c r="E3060" s="46" t="s">
        <v>5284</v>
      </c>
      <c r="F3060" s="46" t="s">
        <v>24</v>
      </c>
      <c r="G3060" s="47">
        <v>30.9</v>
      </c>
      <c r="H3060" s="48">
        <v>165.439</v>
      </c>
      <c r="I3060" s="48">
        <v>46323.033</v>
      </c>
      <c r="J3060" s="49">
        <v>280</v>
      </c>
      <c r="K3060" s="49">
        <v>280</v>
      </c>
      <c r="L3060" s="49">
        <v>0</v>
      </c>
    </row>
    <row r="3061" spans="1:12" x14ac:dyDescent="0.25">
      <c r="A3061" s="45">
        <f>C3061&amp;"."&amp;IFERROR(MID(E3061,FIND("(",E3061)+1,FIND(")",E3061)-FIND("(",E3061)-1),"")</f>
      </c>
      <c r="B3061" s="46" t="s">
        <v>1178</v>
      </c>
      <c r="C3061" s="46">
        <v>84941</v>
      </c>
      <c r="D3061" s="46" t="s">
        <v>824</v>
      </c>
      <c r="E3061" s="46" t="s">
        <v>5285</v>
      </c>
      <c r="F3061" s="46" t="s">
        <v>24</v>
      </c>
      <c r="G3061" s="47">
        <v>23</v>
      </c>
      <c r="H3061" s="48">
        <v>97.891</v>
      </c>
      <c r="I3061" s="48">
        <v>4600.89</v>
      </c>
      <c r="J3061" s="49">
        <v>47</v>
      </c>
      <c r="K3061" s="49">
        <v>20</v>
      </c>
      <c r="L3061" s="49">
        <v>27</v>
      </c>
    </row>
    <row r="3062" spans="1:12" x14ac:dyDescent="0.25">
      <c r="A3062" s="45">
        <f>C3062&amp;"."&amp;IFERROR(MID(E3062,FIND("(",E3062)+1,FIND(")",E3062)-FIND("(",E3062)-1),"")</f>
      </c>
      <c r="B3062" s="46" t="s">
        <v>1178</v>
      </c>
      <c r="C3062" s="46">
        <v>84941</v>
      </c>
      <c r="D3062" s="46" t="s">
        <v>824</v>
      </c>
      <c r="E3062" s="46" t="s">
        <v>5286</v>
      </c>
      <c r="F3062" s="46" t="s">
        <v>24</v>
      </c>
      <c r="G3062" s="47">
        <v>23</v>
      </c>
      <c r="H3062" s="48">
        <v>92.522</v>
      </c>
      <c r="I3062" s="48">
        <v>2775.674</v>
      </c>
      <c r="J3062" s="49">
        <v>30</v>
      </c>
      <c r="K3062" s="49">
        <v>30</v>
      </c>
      <c r="L3062" s="49">
        <v>0</v>
      </c>
    </row>
    <row r="3063" spans="1:12" x14ac:dyDescent="0.25">
      <c r="A3063" s="45">
        <f>C3063&amp;"."&amp;IFERROR(MID(E3063,FIND("(",E3063)+1,FIND(")",E3063)-FIND("(",E3063)-1),"")</f>
      </c>
      <c r="B3063" s="46" t="s">
        <v>1178</v>
      </c>
      <c r="C3063" s="46">
        <v>84941</v>
      </c>
      <c r="D3063" s="46" t="s">
        <v>824</v>
      </c>
      <c r="E3063" s="46" t="s">
        <v>5287</v>
      </c>
      <c r="F3063" s="46" t="s">
        <v>24</v>
      </c>
      <c r="G3063" s="47">
        <v>23</v>
      </c>
      <c r="H3063" s="48">
        <v>106.304</v>
      </c>
      <c r="I3063" s="48">
        <v>29446.256</v>
      </c>
      <c r="J3063" s="49">
        <v>277</v>
      </c>
      <c r="K3063" s="49">
        <v>277</v>
      </c>
      <c r="L3063" s="49">
        <v>0</v>
      </c>
    </row>
    <row r="3064" spans="1:12" x14ac:dyDescent="0.25">
      <c r="A3064" s="45">
        <f>C3064&amp;"."&amp;IFERROR(MID(E3064,FIND("(",E3064)+1,FIND(")",E3064)-FIND("(",E3064)-1),"")</f>
      </c>
      <c r="B3064" s="46" t="s">
        <v>1178</v>
      </c>
      <c r="C3064" s="46">
        <v>84941</v>
      </c>
      <c r="D3064" s="46" t="s">
        <v>824</v>
      </c>
      <c r="E3064" s="46" t="s">
        <v>5288</v>
      </c>
      <c r="F3064" s="46" t="s">
        <v>24</v>
      </c>
      <c r="G3064" s="47">
        <v>23</v>
      </c>
      <c r="H3064" s="48">
        <v>98.824</v>
      </c>
      <c r="I3064" s="48">
        <v>26880.207</v>
      </c>
      <c r="J3064" s="49">
        <v>272</v>
      </c>
      <c r="K3064" s="49">
        <v>272</v>
      </c>
      <c r="L3064" s="49">
        <v>0</v>
      </c>
    </row>
    <row r="3065" spans="1:12" x14ac:dyDescent="0.25">
      <c r="A3065" s="45">
        <f>C3065&amp;"."&amp;IFERROR(MID(E3065,FIND("(",E3065)+1,FIND(")",E3065)-FIND("(",E3065)-1),"")</f>
      </c>
      <c r="B3065" s="46" t="s">
        <v>1178</v>
      </c>
      <c r="C3065" s="46">
        <v>84943</v>
      </c>
      <c r="D3065" s="46" t="s">
        <v>5289</v>
      </c>
      <c r="E3065" s="46" t="s">
        <v>5290</v>
      </c>
      <c r="F3065" s="46" t="s">
        <v>24</v>
      </c>
      <c r="G3065" s="47">
        <v>4.67</v>
      </c>
      <c r="H3065" s="48">
        <v>12.633</v>
      </c>
      <c r="I3065" s="48">
        <v>12.633</v>
      </c>
      <c r="J3065" s="49">
        <v>1</v>
      </c>
      <c r="K3065" s="49">
        <v>0</v>
      </c>
      <c r="L3065" s="49">
        <v>1</v>
      </c>
    </row>
    <row r="3066" spans="1:12" x14ac:dyDescent="0.25">
      <c r="A3066" s="45">
        <f>C3066&amp;"."&amp;IFERROR(MID(E3066,FIND("(",E3066)+1,FIND(")",E3066)-FIND("(",E3066)-1),"")</f>
      </c>
      <c r="B3066" s="46" t="s">
        <v>1178</v>
      </c>
      <c r="C3066" s="46">
        <v>84943</v>
      </c>
      <c r="D3066" s="46" t="s">
        <v>5289</v>
      </c>
      <c r="E3066" s="46" t="s">
        <v>5291</v>
      </c>
      <c r="F3066" s="46" t="s">
        <v>24</v>
      </c>
      <c r="G3066" s="47">
        <v>4.67</v>
      </c>
      <c r="H3066" s="48">
        <v>10.017</v>
      </c>
      <c r="I3066" s="48">
        <v>90.157</v>
      </c>
      <c r="J3066" s="49">
        <v>9</v>
      </c>
      <c r="K3066" s="49">
        <v>1</v>
      </c>
      <c r="L3066" s="49">
        <v>8</v>
      </c>
    </row>
    <row r="3067" spans="1:12" x14ac:dyDescent="0.25">
      <c r="A3067" s="45">
        <f>C3067&amp;"."&amp;IFERROR(MID(E3067,FIND("(",E3067)+1,FIND(")",E3067)-FIND("(",E3067)-1),"")</f>
      </c>
      <c r="B3067" s="46" t="s">
        <v>1178</v>
      </c>
      <c r="C3067" s="46">
        <v>84943</v>
      </c>
      <c r="D3067" s="46" t="s">
        <v>5289</v>
      </c>
      <c r="E3067" s="46" t="s">
        <v>5292</v>
      </c>
      <c r="F3067" s="46" t="s">
        <v>24</v>
      </c>
      <c r="G3067" s="47">
        <v>4.67</v>
      </c>
      <c r="H3067" s="48">
        <v>12.139</v>
      </c>
      <c r="I3067" s="48">
        <v>84.971</v>
      </c>
      <c r="J3067" s="49">
        <v>7</v>
      </c>
      <c r="K3067" s="49">
        <v>0</v>
      </c>
      <c r="L3067" s="49">
        <v>7</v>
      </c>
    </row>
    <row r="3068" spans="1:12" x14ac:dyDescent="0.25">
      <c r="A3068" s="45">
        <f>C3068&amp;"."&amp;IFERROR(MID(E3068,FIND("(",E3068)+1,FIND(")",E3068)-FIND("(",E3068)-1),"")</f>
      </c>
      <c r="B3068" s="46" t="s">
        <v>1178</v>
      </c>
      <c r="C3068" s="46">
        <v>84944</v>
      </c>
      <c r="D3068" s="46" t="s">
        <v>5293</v>
      </c>
      <c r="E3068" s="46" t="s">
        <v>5294</v>
      </c>
      <c r="F3068" s="46" t="s">
        <v>24</v>
      </c>
      <c r="G3068" s="47">
        <v>4.67</v>
      </c>
      <c r="H3068" s="48">
        <v>12.076</v>
      </c>
      <c r="I3068" s="48">
        <v>84.533</v>
      </c>
      <c r="J3068" s="49">
        <v>7</v>
      </c>
      <c r="K3068" s="49">
        <v>0</v>
      </c>
      <c r="L3068" s="49">
        <v>7</v>
      </c>
    </row>
    <row r="3069" spans="1:12" x14ac:dyDescent="0.25">
      <c r="A3069" s="45">
        <f>C3069&amp;"."&amp;IFERROR(MID(E3069,FIND("(",E3069)+1,FIND(")",E3069)-FIND("(",E3069)-1),"")</f>
      </c>
      <c r="B3069" s="46" t="s">
        <v>1178</v>
      </c>
      <c r="C3069" s="46">
        <v>84944</v>
      </c>
      <c r="D3069" s="46" t="s">
        <v>5293</v>
      </c>
      <c r="E3069" s="46" t="s">
        <v>5295</v>
      </c>
      <c r="F3069" s="46" t="s">
        <v>24</v>
      </c>
      <c r="G3069" s="47">
        <v>4.67</v>
      </c>
      <c r="H3069" s="48">
        <v>12.633</v>
      </c>
      <c r="I3069" s="48">
        <v>12.633</v>
      </c>
      <c r="J3069" s="49">
        <v>1</v>
      </c>
      <c r="K3069" s="49">
        <v>0</v>
      </c>
      <c r="L3069" s="49">
        <v>1</v>
      </c>
    </row>
    <row r="3070" spans="1:12" x14ac:dyDescent="0.25">
      <c r="A3070" s="45">
        <f>C3070&amp;"."&amp;IFERROR(MID(E3070,FIND("(",E3070)+1,FIND(")",E3070)-FIND("(",E3070)-1),"")</f>
      </c>
      <c r="B3070" s="46" t="s">
        <v>1178</v>
      </c>
      <c r="C3070" s="46">
        <v>84944</v>
      </c>
      <c r="D3070" s="46" t="s">
        <v>5293</v>
      </c>
      <c r="E3070" s="46" t="s">
        <v>5296</v>
      </c>
      <c r="F3070" s="46" t="s">
        <v>24</v>
      </c>
      <c r="G3070" s="47">
        <v>4.67</v>
      </c>
      <c r="H3070" s="48">
        <v>13.072</v>
      </c>
      <c r="I3070" s="48">
        <v>143.788</v>
      </c>
      <c r="J3070" s="49">
        <v>11</v>
      </c>
      <c r="K3070" s="49">
        <v>1</v>
      </c>
      <c r="L3070" s="49">
        <v>10</v>
      </c>
    </row>
    <row r="3071" spans="1:12" x14ac:dyDescent="0.25">
      <c r="A3071" s="45">
        <f>C3071&amp;"."&amp;IFERROR(MID(E3071,FIND("(",E3071)+1,FIND(")",E3071)-FIND("(",E3071)-1),"")</f>
      </c>
      <c r="B3071" s="46" t="s">
        <v>1178</v>
      </c>
      <c r="C3071" s="46">
        <v>84946</v>
      </c>
      <c r="D3071" s="46" t="s">
        <v>83</v>
      </c>
      <c r="E3071" s="46" t="s">
        <v>5297</v>
      </c>
      <c r="F3071" s="46" t="s">
        <v>24</v>
      </c>
      <c r="G3071" s="47">
        <v>40.98</v>
      </c>
      <c r="H3071" s="48">
        <v>138.284</v>
      </c>
      <c r="I3071" s="48">
        <v>276.567</v>
      </c>
      <c r="J3071" s="49">
        <v>2</v>
      </c>
      <c r="K3071" s="49">
        <v>2</v>
      </c>
      <c r="L3071" s="49">
        <v>0</v>
      </c>
    </row>
    <row r="3072" spans="1:12" x14ac:dyDescent="0.25">
      <c r="A3072" s="45">
        <f>C3072&amp;"."&amp;IFERROR(MID(E3072,FIND("(",E3072)+1,FIND(")",E3072)-FIND("(",E3072)-1),"")</f>
      </c>
      <c r="B3072" s="46" t="s">
        <v>1178</v>
      </c>
      <c r="C3072" s="46">
        <v>84946</v>
      </c>
      <c r="D3072" s="46" t="s">
        <v>83</v>
      </c>
      <c r="E3072" s="46" t="s">
        <v>5298</v>
      </c>
      <c r="F3072" s="46" t="s">
        <v>24</v>
      </c>
      <c r="G3072" s="47">
        <v>40.98</v>
      </c>
      <c r="H3072" s="48">
        <v>161.123</v>
      </c>
      <c r="I3072" s="48">
        <v>4350.329</v>
      </c>
      <c r="J3072" s="49">
        <v>27</v>
      </c>
      <c r="K3072" s="49">
        <v>27</v>
      </c>
      <c r="L3072" s="49">
        <v>0</v>
      </c>
    </row>
    <row r="3073" spans="1:12" x14ac:dyDescent="0.25">
      <c r="A3073" s="45">
        <f>C3073&amp;"."&amp;IFERROR(MID(E3073,FIND("(",E3073)+1,FIND(")",E3073)-FIND("(",E3073)-1),"")</f>
      </c>
      <c r="B3073" s="46" t="s">
        <v>1178</v>
      </c>
      <c r="C3073" s="46">
        <v>84946</v>
      </c>
      <c r="D3073" s="46" t="s">
        <v>83</v>
      </c>
      <c r="E3073" s="46" t="s">
        <v>5299</v>
      </c>
      <c r="F3073" s="46" t="s">
        <v>24</v>
      </c>
      <c r="G3073" s="47">
        <v>40.98</v>
      </c>
      <c r="H3073" s="48">
        <v>157.023</v>
      </c>
      <c r="I3073" s="48">
        <v>942.14</v>
      </c>
      <c r="J3073" s="49">
        <v>6</v>
      </c>
      <c r="K3073" s="49">
        <v>4</v>
      </c>
      <c r="L3073" s="49">
        <v>2</v>
      </c>
    </row>
    <row r="3074" spans="1:12" x14ac:dyDescent="0.25">
      <c r="A3074" s="45">
        <f>C3074&amp;"."&amp;IFERROR(MID(E3074,FIND("(",E3074)+1,FIND(")",E3074)-FIND("(",E3074)-1),"")</f>
      </c>
      <c r="B3074" s="46" t="s">
        <v>1178</v>
      </c>
      <c r="C3074" s="46">
        <v>84947</v>
      </c>
      <c r="D3074" s="46" t="s">
        <v>5300</v>
      </c>
      <c r="E3074" s="46" t="s">
        <v>5301</v>
      </c>
      <c r="F3074" s="46" t="s">
        <v>24</v>
      </c>
      <c r="G3074" s="47">
        <v>0</v>
      </c>
      <c r="H3074" s="48">
        <v>6.013</v>
      </c>
      <c r="I3074" s="48">
        <v>6.013</v>
      </c>
      <c r="J3074" s="49">
        <v>1</v>
      </c>
      <c r="K3074" s="49">
        <v>0</v>
      </c>
      <c r="L3074" s="49">
        <v>1</v>
      </c>
    </row>
    <row r="3075" spans="1:12" x14ac:dyDescent="0.25">
      <c r="A3075" s="45">
        <f>C3075&amp;"."&amp;IFERROR(MID(E3075,FIND("(",E3075)+1,FIND(")",E3075)-FIND("(",E3075)-1),"")</f>
      </c>
      <c r="B3075" s="46" t="s">
        <v>1178</v>
      </c>
      <c r="C3075" s="46">
        <v>84948</v>
      </c>
      <c r="D3075" s="46" t="s">
        <v>5302</v>
      </c>
      <c r="E3075" s="46" t="s">
        <v>5303</v>
      </c>
      <c r="F3075" s="46" t="s">
        <v>24</v>
      </c>
      <c r="G3075" s="47">
        <v>3.43</v>
      </c>
      <c r="H3075" s="48">
        <v>22.439</v>
      </c>
      <c r="I3075" s="48">
        <v>112.197</v>
      </c>
      <c r="J3075" s="49">
        <v>5</v>
      </c>
      <c r="K3075" s="49">
        <v>0</v>
      </c>
      <c r="L3075" s="49">
        <v>5</v>
      </c>
    </row>
    <row r="3076" spans="1:12" x14ac:dyDescent="0.25">
      <c r="A3076" s="45">
        <f>C3076&amp;"."&amp;IFERROR(MID(E3076,FIND("(",E3076)+1,FIND(")",E3076)-FIND("(",E3076)-1),"")</f>
      </c>
      <c r="B3076" s="46" t="s">
        <v>1178</v>
      </c>
      <c r="C3076" s="46">
        <v>84948</v>
      </c>
      <c r="D3076" s="46" t="s">
        <v>5302</v>
      </c>
      <c r="E3076" s="46" t="s">
        <v>5304</v>
      </c>
      <c r="F3076" s="46" t="s">
        <v>24</v>
      </c>
      <c r="G3076" s="47">
        <v>3.43</v>
      </c>
      <c r="H3076" s="48">
        <v>16.521</v>
      </c>
      <c r="I3076" s="48">
        <v>49.563</v>
      </c>
      <c r="J3076" s="49">
        <v>3</v>
      </c>
      <c r="K3076" s="49">
        <v>0</v>
      </c>
      <c r="L3076" s="49">
        <v>3</v>
      </c>
    </row>
    <row r="3077" spans="1:12" x14ac:dyDescent="0.25">
      <c r="A3077" s="45">
        <f>C3077&amp;"."&amp;IFERROR(MID(E3077,FIND("(",E3077)+1,FIND(")",E3077)-FIND("(",E3077)-1),"")</f>
      </c>
      <c r="B3077" s="46" t="s">
        <v>1178</v>
      </c>
      <c r="C3077" s="46">
        <v>84949</v>
      </c>
      <c r="D3077" s="46" t="s">
        <v>5305</v>
      </c>
      <c r="E3077" s="46" t="s">
        <v>5306</v>
      </c>
      <c r="F3077" s="46" t="s">
        <v>24</v>
      </c>
      <c r="G3077" s="47">
        <v>3.43</v>
      </c>
      <c r="H3077" s="48">
        <v>22.439</v>
      </c>
      <c r="I3077" s="48">
        <v>112.197</v>
      </c>
      <c r="J3077" s="49">
        <v>5</v>
      </c>
      <c r="K3077" s="49">
        <v>0</v>
      </c>
      <c r="L3077" s="49">
        <v>5</v>
      </c>
    </row>
    <row r="3078" spans="1:12" x14ac:dyDescent="0.25">
      <c r="A3078" s="45">
        <f>C3078&amp;"."&amp;IFERROR(MID(E3078,FIND("(",E3078)+1,FIND(")",E3078)-FIND("(",E3078)-1),"")</f>
      </c>
      <c r="B3078" s="46" t="s">
        <v>1178</v>
      </c>
      <c r="C3078" s="46">
        <v>84949</v>
      </c>
      <c r="D3078" s="46" t="s">
        <v>5305</v>
      </c>
      <c r="E3078" s="46" t="s">
        <v>5307</v>
      </c>
      <c r="F3078" s="46" t="s">
        <v>24</v>
      </c>
      <c r="G3078" s="47">
        <v>3.43</v>
      </c>
      <c r="H3078" s="48">
        <v>16.521</v>
      </c>
      <c r="I3078" s="48">
        <v>49.563</v>
      </c>
      <c r="J3078" s="49">
        <v>3</v>
      </c>
      <c r="K3078" s="49">
        <v>0</v>
      </c>
      <c r="L3078" s="49">
        <v>3</v>
      </c>
    </row>
    <row r="3079" spans="1:12" x14ac:dyDescent="0.25">
      <c r="A3079" s="45">
        <f>C3079&amp;"."&amp;IFERROR(MID(E3079,FIND("(",E3079)+1,FIND(")",E3079)-FIND("(",E3079)-1),"")</f>
      </c>
      <c r="B3079" s="46" t="s">
        <v>1178</v>
      </c>
      <c r="C3079" s="46">
        <v>84954</v>
      </c>
      <c r="D3079" s="46" t="s">
        <v>5308</v>
      </c>
      <c r="E3079" s="46" t="s">
        <v>1248</v>
      </c>
      <c r="F3079" s="46" t="s">
        <v>24</v>
      </c>
      <c r="G3079" s="47">
        <v>1.18</v>
      </c>
      <c r="H3079" s="48">
        <v>4.377</v>
      </c>
      <c r="I3079" s="48">
        <v>52.518</v>
      </c>
      <c r="J3079" s="49">
        <v>12</v>
      </c>
      <c r="K3079" s="49">
        <v>0</v>
      </c>
      <c r="L3079" s="49">
        <v>12</v>
      </c>
    </row>
    <row r="3080" spans="1:12" x14ac:dyDescent="0.25">
      <c r="A3080" s="45">
        <f>C3080&amp;"."&amp;IFERROR(MID(E3080,FIND("(",E3080)+1,FIND(")",E3080)-FIND("(",E3080)-1),"")</f>
      </c>
      <c r="B3080" s="46" t="s">
        <v>1178</v>
      </c>
      <c r="C3080" s="46">
        <v>84958</v>
      </c>
      <c r="D3080" s="46" t="s">
        <v>660</v>
      </c>
      <c r="E3080" s="46" t="s">
        <v>5309</v>
      </c>
      <c r="F3080" s="46" t="s">
        <v>24</v>
      </c>
      <c r="G3080" s="47">
        <v>38</v>
      </c>
      <c r="H3080" s="48">
        <v>137.12</v>
      </c>
      <c r="I3080" s="48">
        <v>411.36</v>
      </c>
      <c r="J3080" s="49">
        <v>3</v>
      </c>
      <c r="K3080" s="49">
        <v>0</v>
      </c>
      <c r="L3080" s="49">
        <v>3</v>
      </c>
    </row>
    <row r="3081" spans="1:12" x14ac:dyDescent="0.25">
      <c r="A3081" s="45">
        <f>C3081&amp;"."&amp;IFERROR(MID(E3081,FIND("(",E3081)+1,FIND(")",E3081)-FIND("(",E3081)-1),"")</f>
      </c>
      <c r="B3081" s="46" t="s">
        <v>1178</v>
      </c>
      <c r="C3081" s="46">
        <v>84958</v>
      </c>
      <c r="D3081" s="46" t="s">
        <v>660</v>
      </c>
      <c r="E3081" s="46" t="s">
        <v>5310</v>
      </c>
      <c r="F3081" s="46" t="s">
        <v>24</v>
      </c>
      <c r="G3081" s="47">
        <v>38</v>
      </c>
      <c r="H3081" s="48">
        <v>136.223</v>
      </c>
      <c r="I3081" s="48">
        <v>136.223</v>
      </c>
      <c r="J3081" s="49">
        <v>1</v>
      </c>
      <c r="K3081" s="49">
        <v>0</v>
      </c>
      <c r="L3081" s="49">
        <v>1</v>
      </c>
    </row>
    <row r="3082" spans="1:12" x14ac:dyDescent="0.25">
      <c r="A3082" s="45">
        <f>C3082&amp;"."&amp;IFERROR(MID(E3082,FIND("(",E3082)+1,FIND(")",E3082)-FIND("(",E3082)-1),"")</f>
      </c>
      <c r="B3082" s="46" t="s">
        <v>1178</v>
      </c>
      <c r="C3082" s="46">
        <v>84966</v>
      </c>
      <c r="D3082" s="46" t="s">
        <v>54</v>
      </c>
      <c r="E3082" s="46" t="s">
        <v>5311</v>
      </c>
      <c r="F3082" s="46" t="s">
        <v>24</v>
      </c>
      <c r="G3082" s="47">
        <v>36</v>
      </c>
      <c r="H3082" s="48">
        <v>188.804</v>
      </c>
      <c r="I3082" s="48">
        <v>1132.826</v>
      </c>
      <c r="J3082" s="49">
        <v>6</v>
      </c>
      <c r="K3082" s="49">
        <v>0</v>
      </c>
      <c r="L3082" s="49">
        <v>6</v>
      </c>
    </row>
    <row r="3083" spans="1:12" x14ac:dyDescent="0.25">
      <c r="A3083" s="45">
        <f>C3083&amp;"."&amp;IFERROR(MID(E3083,FIND("(",E3083)+1,FIND(")",E3083)-FIND("(",E3083)-1),"")</f>
      </c>
      <c r="B3083" s="46" t="s">
        <v>1178</v>
      </c>
      <c r="C3083" s="46">
        <v>84966</v>
      </c>
      <c r="D3083" s="46" t="s">
        <v>54</v>
      </c>
      <c r="E3083" s="46" t="s">
        <v>5312</v>
      </c>
      <c r="F3083" s="46" t="s">
        <v>24</v>
      </c>
      <c r="G3083" s="47">
        <v>36</v>
      </c>
      <c r="H3083" s="48">
        <v>194.032</v>
      </c>
      <c r="I3083" s="48">
        <v>970.161</v>
      </c>
      <c r="J3083" s="49">
        <v>5</v>
      </c>
      <c r="K3083" s="49">
        <v>0</v>
      </c>
      <c r="L3083" s="49">
        <v>5</v>
      </c>
    </row>
    <row r="3084" spans="1:12" x14ac:dyDescent="0.25">
      <c r="A3084" s="45">
        <f>C3084&amp;"."&amp;IFERROR(MID(E3084,FIND("(",E3084)+1,FIND(")",E3084)-FIND("(",E3084)-1),"")</f>
      </c>
      <c r="B3084" s="46" t="s">
        <v>1178</v>
      </c>
      <c r="C3084" s="46">
        <v>84984</v>
      </c>
      <c r="D3084" s="46" t="s">
        <v>5313</v>
      </c>
      <c r="E3084" s="46" t="s">
        <v>1248</v>
      </c>
      <c r="F3084" s="46" t="s">
        <v>1495</v>
      </c>
      <c r="G3084" s="47">
        <v>0.28</v>
      </c>
      <c r="H3084" s="48">
        <v>10.043</v>
      </c>
      <c r="I3084" s="48">
        <v>90.384</v>
      </c>
      <c r="J3084" s="49">
        <v>9</v>
      </c>
      <c r="K3084" s="49">
        <v>7</v>
      </c>
      <c r="L3084" s="49">
        <v>2</v>
      </c>
    </row>
    <row r="3085" spans="1:12" x14ac:dyDescent="0.25">
      <c r="A3085" s="45">
        <f>C3085&amp;"."&amp;IFERROR(MID(E3085,FIND("(",E3085)+1,FIND(")",E3085)-FIND("(",E3085)-1),"")</f>
      </c>
      <c r="B3085" s="46" t="s">
        <v>1178</v>
      </c>
      <c r="C3085" s="46">
        <v>84985</v>
      </c>
      <c r="D3085" s="46" t="s">
        <v>5314</v>
      </c>
      <c r="E3085" s="46" t="s">
        <v>1248</v>
      </c>
      <c r="F3085" s="46" t="s">
        <v>1495</v>
      </c>
      <c r="G3085" s="47">
        <v>0.28</v>
      </c>
      <c r="H3085" s="48">
        <v>14.222</v>
      </c>
      <c r="I3085" s="48">
        <v>327.106</v>
      </c>
      <c r="J3085" s="49">
        <v>23</v>
      </c>
      <c r="K3085" s="49">
        <v>7</v>
      </c>
      <c r="L3085" s="49">
        <v>16</v>
      </c>
    </row>
    <row r="3086" spans="1:12" x14ac:dyDescent="0.25">
      <c r="A3086" s="45">
        <f>C3086&amp;"."&amp;IFERROR(MID(E3086,FIND("(",E3086)+1,FIND(")",E3086)-FIND("(",E3086)-1),"")</f>
      </c>
      <c r="B3086" s="46" t="s">
        <v>1178</v>
      </c>
      <c r="C3086" s="46">
        <v>84987</v>
      </c>
      <c r="D3086" s="46" t="s">
        <v>5315</v>
      </c>
      <c r="E3086" s="46" t="s">
        <v>1248</v>
      </c>
      <c r="F3086" s="46" t="s">
        <v>1495</v>
      </c>
      <c r="G3086" s="47">
        <v>0</v>
      </c>
      <c r="H3086" s="48">
        <v>20.918</v>
      </c>
      <c r="I3086" s="48">
        <v>773.96</v>
      </c>
      <c r="J3086" s="49">
        <v>37</v>
      </c>
      <c r="K3086" s="49">
        <v>2</v>
      </c>
      <c r="L3086" s="49">
        <v>35</v>
      </c>
    </row>
    <row r="3087" spans="1:12" x14ac:dyDescent="0.25">
      <c r="A3087" s="45">
        <f>C3087&amp;"."&amp;IFERROR(MID(E3087,FIND("(",E3087)+1,FIND(")",E3087)-FIND("(",E3087)-1),"")</f>
      </c>
      <c r="B3087" s="46" t="s">
        <v>1178</v>
      </c>
      <c r="C3087" s="46">
        <v>84988</v>
      </c>
      <c r="D3087" s="46" t="s">
        <v>5316</v>
      </c>
      <c r="E3087" s="46" t="s">
        <v>1248</v>
      </c>
      <c r="F3087" s="46" t="s">
        <v>1495</v>
      </c>
      <c r="G3087" s="47">
        <v>0.42</v>
      </c>
      <c r="H3087" s="48">
        <v>52.236</v>
      </c>
      <c r="I3087" s="48">
        <v>1462.61</v>
      </c>
      <c r="J3087" s="49">
        <v>28</v>
      </c>
      <c r="K3087" s="49">
        <v>2</v>
      </c>
      <c r="L3087" s="49">
        <v>26</v>
      </c>
    </row>
    <row r="3088" spans="1:12" x14ac:dyDescent="0.25">
      <c r="A3088" s="45">
        <f>C3088&amp;"."&amp;IFERROR(MID(E3088,FIND("(",E3088)+1,FIND(")",E3088)-FIND("(",E3088)-1),"")</f>
      </c>
      <c r="B3088" s="46" t="s">
        <v>1178</v>
      </c>
      <c r="C3088" s="46">
        <v>84989</v>
      </c>
      <c r="D3088" s="46" t="s">
        <v>5317</v>
      </c>
      <c r="E3088" s="46" t="s">
        <v>1248</v>
      </c>
      <c r="F3088" s="46" t="s">
        <v>1495</v>
      </c>
      <c r="G3088" s="47">
        <v>0.37</v>
      </c>
      <c r="H3088" s="48">
        <v>22.276</v>
      </c>
      <c r="I3088" s="48">
        <v>668.294</v>
      </c>
      <c r="J3088" s="49">
        <v>30</v>
      </c>
      <c r="K3088" s="49">
        <v>7</v>
      </c>
      <c r="L3088" s="49">
        <v>23</v>
      </c>
    </row>
    <row r="3089" spans="1:12" x14ac:dyDescent="0.25">
      <c r="A3089" s="45">
        <f>C3089&amp;"."&amp;IFERROR(MID(E3089,FIND("(",E3089)+1,FIND(")",E3089)-FIND("(",E3089)-1),"")</f>
      </c>
      <c r="B3089" s="46" t="s">
        <v>1178</v>
      </c>
      <c r="C3089" s="46">
        <v>85010</v>
      </c>
      <c r="D3089" s="46" t="s">
        <v>481</v>
      </c>
      <c r="E3089" s="46" t="s">
        <v>5318</v>
      </c>
      <c r="F3089" s="46" t="s">
        <v>25</v>
      </c>
      <c r="G3089" s="47">
        <v>14.85</v>
      </c>
      <c r="H3089" s="48">
        <v>76.594</v>
      </c>
      <c r="I3089" s="48">
        <v>459.567</v>
      </c>
      <c r="J3089" s="49">
        <v>6</v>
      </c>
      <c r="K3089" s="49">
        <v>0</v>
      </c>
      <c r="L3089" s="49">
        <v>6</v>
      </c>
    </row>
    <row r="3090" spans="1:12" x14ac:dyDescent="0.25">
      <c r="A3090" s="45">
        <f>C3090&amp;"."&amp;IFERROR(MID(E3090,FIND("(",E3090)+1,FIND(")",E3090)-FIND("(",E3090)-1),"")</f>
      </c>
      <c r="B3090" s="46" t="s">
        <v>1178</v>
      </c>
      <c r="C3090" s="46">
        <v>85024</v>
      </c>
      <c r="D3090" s="46" t="s">
        <v>348</v>
      </c>
      <c r="E3090" s="46" t="s">
        <v>5319</v>
      </c>
      <c r="F3090" s="46" t="s">
        <v>24</v>
      </c>
      <c r="G3090" s="47">
        <v>0.56</v>
      </c>
      <c r="H3090" s="48">
        <v>2.629</v>
      </c>
      <c r="I3090" s="48">
        <v>23.66</v>
      </c>
      <c r="J3090" s="49">
        <v>9</v>
      </c>
      <c r="K3090" s="49">
        <v>0</v>
      </c>
      <c r="L3090" s="49">
        <v>9</v>
      </c>
    </row>
    <row r="3091" spans="1:12" x14ac:dyDescent="0.25">
      <c r="A3091" s="45">
        <f>C3091&amp;"."&amp;IFERROR(MID(E3091,FIND("(",E3091)+1,FIND(")",E3091)-FIND("(",E3091)-1),"")</f>
      </c>
      <c r="B3091" s="46" t="s">
        <v>1178</v>
      </c>
      <c r="C3091" s="46">
        <v>85024</v>
      </c>
      <c r="D3091" s="46" t="s">
        <v>348</v>
      </c>
      <c r="E3091" s="46" t="s">
        <v>5320</v>
      </c>
      <c r="F3091" s="46" t="s">
        <v>24</v>
      </c>
      <c r="G3091" s="47">
        <v>0.56</v>
      </c>
      <c r="H3091" s="48">
        <v>3.643</v>
      </c>
      <c r="I3091" s="48">
        <v>713.996</v>
      </c>
      <c r="J3091" s="49">
        <v>196</v>
      </c>
      <c r="K3091" s="49">
        <v>11</v>
      </c>
      <c r="L3091" s="49">
        <v>185</v>
      </c>
    </row>
    <row r="3092" spans="1:12" x14ac:dyDescent="0.25">
      <c r="A3092" s="45">
        <f>C3092&amp;"."&amp;IFERROR(MID(E3092,FIND("(",E3092)+1,FIND(")",E3092)-FIND("(",E3092)-1),"")</f>
      </c>
      <c r="B3092" s="46" t="s">
        <v>1178</v>
      </c>
      <c r="C3092" s="46">
        <v>85024</v>
      </c>
      <c r="D3092" s="46" t="s">
        <v>348</v>
      </c>
      <c r="E3092" s="46" t="s">
        <v>5321</v>
      </c>
      <c r="F3092" s="46" t="s">
        <v>24</v>
      </c>
      <c r="G3092" s="47">
        <v>0.56</v>
      </c>
      <c r="H3092" s="48">
        <v>3.554</v>
      </c>
      <c r="I3092" s="48">
        <v>142.147</v>
      </c>
      <c r="J3092" s="49">
        <v>40</v>
      </c>
      <c r="K3092" s="49">
        <v>16</v>
      </c>
      <c r="L3092" s="49">
        <v>24</v>
      </c>
    </row>
    <row r="3093" spans="1:12" x14ac:dyDescent="0.25">
      <c r="A3093" s="45">
        <f>C3093&amp;"."&amp;IFERROR(MID(E3093,FIND("(",E3093)+1,FIND(")",E3093)-FIND("(",E3093)-1),"")</f>
      </c>
      <c r="B3093" s="46" t="s">
        <v>1178</v>
      </c>
      <c r="C3093" s="46">
        <v>85025</v>
      </c>
      <c r="D3093" s="46" t="s">
        <v>355</v>
      </c>
      <c r="E3093" s="46" t="s">
        <v>5322</v>
      </c>
      <c r="F3093" s="46" t="s">
        <v>24</v>
      </c>
      <c r="G3093" s="47">
        <v>0.4</v>
      </c>
      <c r="H3093" s="48">
        <v>1.851</v>
      </c>
      <c r="I3093" s="48">
        <v>33.311</v>
      </c>
      <c r="J3093" s="49">
        <v>18</v>
      </c>
      <c r="K3093" s="49">
        <v>0</v>
      </c>
      <c r="L3093" s="49">
        <v>18</v>
      </c>
    </row>
    <row r="3094" spans="1:12" x14ac:dyDescent="0.25">
      <c r="A3094" s="45">
        <f>C3094&amp;"."&amp;IFERROR(MID(E3094,FIND("(",E3094)+1,FIND(")",E3094)-FIND("(",E3094)-1),"")</f>
      </c>
      <c r="B3094" s="46" t="s">
        <v>1178</v>
      </c>
      <c r="C3094" s="46">
        <v>85025</v>
      </c>
      <c r="D3094" s="46" t="s">
        <v>355</v>
      </c>
      <c r="E3094" s="46" t="s">
        <v>5323</v>
      </c>
      <c r="F3094" s="46" t="s">
        <v>24</v>
      </c>
      <c r="G3094" s="47">
        <v>0.4</v>
      </c>
      <c r="H3094" s="48">
        <v>3.475</v>
      </c>
      <c r="I3094" s="48">
        <v>250.165</v>
      </c>
      <c r="J3094" s="49">
        <v>72</v>
      </c>
      <c r="K3094" s="49">
        <v>34</v>
      </c>
      <c r="L3094" s="49">
        <v>38</v>
      </c>
    </row>
    <row r="3095" spans="1:12" x14ac:dyDescent="0.25">
      <c r="A3095" s="45">
        <f>C3095&amp;"."&amp;IFERROR(MID(E3095,FIND("(",E3095)+1,FIND(")",E3095)-FIND("(",E3095)-1),"")</f>
      </c>
      <c r="B3095" s="46" t="s">
        <v>1178</v>
      </c>
      <c r="C3095" s="46">
        <v>85025</v>
      </c>
      <c r="D3095" s="46" t="s">
        <v>355</v>
      </c>
      <c r="E3095" s="46" t="s">
        <v>5324</v>
      </c>
      <c r="F3095" s="46" t="s">
        <v>24</v>
      </c>
      <c r="G3095" s="47">
        <v>0.4</v>
      </c>
      <c r="H3095" s="48">
        <v>3.542</v>
      </c>
      <c r="I3095" s="48">
        <v>255.055</v>
      </c>
      <c r="J3095" s="49">
        <v>72</v>
      </c>
      <c r="K3095" s="49">
        <v>11</v>
      </c>
      <c r="L3095" s="49">
        <v>61</v>
      </c>
    </row>
    <row r="3096" spans="1:12" x14ac:dyDescent="0.25">
      <c r="A3096" s="45">
        <f>C3096&amp;"."&amp;IFERROR(MID(E3096,FIND("(",E3096)+1,FIND(")",E3096)-FIND("(",E3096)-1),"")</f>
      </c>
      <c r="B3096" s="46" t="s">
        <v>1178</v>
      </c>
      <c r="C3096" s="46">
        <v>85027</v>
      </c>
      <c r="D3096" s="46" t="s">
        <v>820</v>
      </c>
      <c r="E3096" s="46" t="s">
        <v>5325</v>
      </c>
      <c r="F3096" s="46" t="s">
        <v>25</v>
      </c>
      <c r="G3096" s="47">
        <v>40.65</v>
      </c>
      <c r="H3096" s="48">
        <v>222.075</v>
      </c>
      <c r="I3096" s="48">
        <v>95048.215</v>
      </c>
      <c r="J3096" s="49">
        <v>428</v>
      </c>
      <c r="K3096" s="49">
        <v>428</v>
      </c>
      <c r="L3096" s="49">
        <v>0</v>
      </c>
    </row>
    <row r="3097" spans="1:12" x14ac:dyDescent="0.25">
      <c r="A3097" s="45">
        <f>C3097&amp;"."&amp;IFERROR(MID(E3097,FIND("(",E3097)+1,FIND(")",E3097)-FIND("(",E3097)-1),"")</f>
      </c>
      <c r="B3097" s="46" t="s">
        <v>1178</v>
      </c>
      <c r="C3097" s="46">
        <v>85038</v>
      </c>
      <c r="D3097" s="46" t="s">
        <v>442</v>
      </c>
      <c r="E3097" s="46" t="s">
        <v>5326</v>
      </c>
      <c r="F3097" s="46" t="s">
        <v>25</v>
      </c>
      <c r="G3097" s="47">
        <v>25.55</v>
      </c>
      <c r="H3097" s="48">
        <v>148.154</v>
      </c>
      <c r="I3097" s="48">
        <v>111263.857</v>
      </c>
      <c r="J3097" s="49">
        <v>751</v>
      </c>
      <c r="K3097" s="49">
        <v>653</v>
      </c>
      <c r="L3097" s="49">
        <v>98</v>
      </c>
    </row>
    <row r="3098" spans="1:12" x14ac:dyDescent="0.25">
      <c r="A3098" s="45">
        <f>C3098&amp;"."&amp;IFERROR(MID(E3098,FIND("(",E3098)+1,FIND(")",E3098)-FIND("(",E3098)-1),"")</f>
      </c>
      <c r="B3098" s="46" t="s">
        <v>1178</v>
      </c>
      <c r="C3098" s="46">
        <v>85040</v>
      </c>
      <c r="D3098" s="46" t="s">
        <v>5327</v>
      </c>
      <c r="E3098" s="46" t="s">
        <v>5328</v>
      </c>
      <c r="F3098" s="46" t="s">
        <v>24</v>
      </c>
      <c r="G3098" s="47">
        <v>0</v>
      </c>
      <c r="H3098" s="48">
        <v>51.274</v>
      </c>
      <c r="I3098" s="48">
        <v>205.097</v>
      </c>
      <c r="J3098" s="49">
        <v>4</v>
      </c>
      <c r="K3098" s="49">
        <v>3</v>
      </c>
      <c r="L3098" s="49">
        <v>1</v>
      </c>
    </row>
    <row r="3099" spans="1:12" x14ac:dyDescent="0.25">
      <c r="A3099" s="45">
        <f>C3099&amp;"."&amp;IFERROR(MID(E3099,FIND("(",E3099)+1,FIND(")",E3099)-FIND("(",E3099)-1),"")</f>
      </c>
      <c r="B3099" s="46" t="s">
        <v>1178</v>
      </c>
      <c r="C3099" s="46">
        <v>85124</v>
      </c>
      <c r="D3099" s="46" t="s">
        <v>645</v>
      </c>
      <c r="E3099" s="46" t="s">
        <v>5329</v>
      </c>
      <c r="F3099" s="46" t="s">
        <v>25</v>
      </c>
      <c r="G3099" s="47">
        <v>13.99</v>
      </c>
      <c r="H3099" s="48">
        <v>104.904</v>
      </c>
      <c r="I3099" s="48">
        <v>88224.578</v>
      </c>
      <c r="J3099" s="49">
        <v>841</v>
      </c>
      <c r="K3099" s="49">
        <v>811</v>
      </c>
      <c r="L3099" s="49">
        <v>30</v>
      </c>
    </row>
    <row r="3100" spans="1:12" x14ac:dyDescent="0.25">
      <c r="A3100" s="45">
        <f>C3100&amp;"."&amp;IFERROR(MID(E3100,FIND("(",E3100)+1,FIND(")",E3100)-FIND("(",E3100)-1),"")</f>
      </c>
      <c r="B3100" s="46" t="s">
        <v>1178</v>
      </c>
      <c r="C3100" s="46">
        <v>85124</v>
      </c>
      <c r="D3100" s="46" t="s">
        <v>645</v>
      </c>
      <c r="E3100" s="46" t="s">
        <v>5330</v>
      </c>
      <c r="F3100" s="46" t="s">
        <v>25</v>
      </c>
      <c r="G3100" s="47">
        <v>13.99</v>
      </c>
      <c r="H3100" s="48">
        <v>89.33</v>
      </c>
      <c r="I3100" s="48">
        <v>178.659</v>
      </c>
      <c r="J3100" s="49">
        <v>2</v>
      </c>
      <c r="K3100" s="49">
        <v>0</v>
      </c>
      <c r="L3100" s="49">
        <v>2</v>
      </c>
    </row>
    <row r="3101" spans="1:12" x14ac:dyDescent="0.25">
      <c r="A3101" s="45">
        <f>C3101&amp;"."&amp;IFERROR(MID(E3101,FIND("(",E3101)+1,FIND(")",E3101)-FIND("(",E3101)-1),"")</f>
      </c>
      <c r="B3101" s="46" t="s">
        <v>1178</v>
      </c>
      <c r="C3101" s="46">
        <v>85125</v>
      </c>
      <c r="D3101" s="46" t="s">
        <v>5331</v>
      </c>
      <c r="E3101" s="46" t="s">
        <v>5332</v>
      </c>
      <c r="F3101" s="46" t="s">
        <v>25</v>
      </c>
      <c r="G3101" s="47">
        <v>0.54</v>
      </c>
      <c r="H3101" s="48">
        <v>2.801</v>
      </c>
      <c r="I3101" s="48">
        <v>11.205</v>
      </c>
      <c r="J3101" s="49">
        <v>4</v>
      </c>
      <c r="K3101" s="49">
        <v>1</v>
      </c>
      <c r="L3101" s="49">
        <v>3</v>
      </c>
    </row>
    <row r="3102" spans="1:12" x14ac:dyDescent="0.25">
      <c r="A3102" s="45">
        <f>C3102&amp;"."&amp;IFERROR(MID(E3102,FIND("(",E3102)+1,FIND(")",E3102)-FIND("(",E3102)-1),"")</f>
      </c>
      <c r="B3102" s="46" t="s">
        <v>1178</v>
      </c>
      <c r="C3102" s="46">
        <v>85132</v>
      </c>
      <c r="D3102" s="46" t="s">
        <v>5333</v>
      </c>
      <c r="E3102" s="46" t="s">
        <v>1248</v>
      </c>
      <c r="F3102" s="46" t="s">
        <v>25</v>
      </c>
      <c r="G3102" s="47">
        <v>2.54</v>
      </c>
      <c r="H3102" s="48">
        <v>6.078</v>
      </c>
      <c r="I3102" s="48">
        <v>30.388</v>
      </c>
      <c r="J3102" s="49">
        <v>5</v>
      </c>
      <c r="K3102" s="49">
        <v>0</v>
      </c>
      <c r="L3102" s="49">
        <v>5</v>
      </c>
    </row>
    <row r="3103" spans="1:12" x14ac:dyDescent="0.25">
      <c r="A3103" s="45">
        <f>C3103&amp;"."&amp;IFERROR(MID(E3103,FIND("(",E3103)+1,FIND(")",E3103)-FIND("(",E3103)-1),"")</f>
      </c>
      <c r="B3103" s="46" t="s">
        <v>1178</v>
      </c>
      <c r="C3103" s="46">
        <v>85134</v>
      </c>
      <c r="D3103" s="46" t="s">
        <v>5334</v>
      </c>
      <c r="E3103" s="46" t="s">
        <v>5335</v>
      </c>
      <c r="F3103" s="46" t="s">
        <v>25</v>
      </c>
      <c r="G3103" s="47">
        <v>0.24</v>
      </c>
      <c r="H3103" s="48">
        <v>0.938</v>
      </c>
      <c r="I3103" s="48">
        <v>1.875</v>
      </c>
      <c r="J3103" s="49">
        <v>2</v>
      </c>
      <c r="K3103" s="49">
        <v>0</v>
      </c>
      <c r="L3103" s="49">
        <v>2</v>
      </c>
    </row>
    <row r="3104" spans="1:12" x14ac:dyDescent="0.25">
      <c r="A3104" s="45">
        <f>C3104&amp;"."&amp;IFERROR(MID(E3104,FIND("(",E3104)+1,FIND(")",E3104)-FIND("(",E3104)-1),"")</f>
      </c>
      <c r="B3104" s="46" t="s">
        <v>1178</v>
      </c>
      <c r="C3104" s="46">
        <v>85168</v>
      </c>
      <c r="D3104" s="46" t="s">
        <v>101</v>
      </c>
      <c r="E3104" s="46" t="s">
        <v>5336</v>
      </c>
      <c r="F3104" s="46" t="s">
        <v>25</v>
      </c>
      <c r="G3104" s="47">
        <v>29.3</v>
      </c>
      <c r="H3104" s="48">
        <v>139.294</v>
      </c>
      <c r="I3104" s="48">
        <v>696.472</v>
      </c>
      <c r="J3104" s="49">
        <v>5</v>
      </c>
      <c r="K3104" s="49">
        <v>0</v>
      </c>
      <c r="L3104" s="49">
        <v>5</v>
      </c>
    </row>
    <row r="3105" spans="1:12" x14ac:dyDescent="0.25">
      <c r="A3105" s="45">
        <f>C3105&amp;"."&amp;IFERROR(MID(E3105,FIND("(",E3105)+1,FIND(")",E3105)-FIND("(",E3105)-1),"")</f>
      </c>
      <c r="B3105" s="46" t="s">
        <v>1178</v>
      </c>
      <c r="C3105" s="46">
        <v>85168</v>
      </c>
      <c r="D3105" s="46" t="s">
        <v>101</v>
      </c>
      <c r="E3105" s="46" t="s">
        <v>5337</v>
      </c>
      <c r="F3105" s="46" t="s">
        <v>25</v>
      </c>
      <c r="G3105" s="47">
        <v>29.3</v>
      </c>
      <c r="H3105" s="48">
        <v>139.064</v>
      </c>
      <c r="I3105" s="48">
        <v>834.386</v>
      </c>
      <c r="J3105" s="49">
        <v>6</v>
      </c>
      <c r="K3105" s="49">
        <v>6</v>
      </c>
      <c r="L3105" s="49">
        <v>0</v>
      </c>
    </row>
    <row r="3106" spans="1:12" x14ac:dyDescent="0.25">
      <c r="A3106" s="45">
        <f>C3106&amp;"."&amp;IFERROR(MID(E3106,FIND("(",E3106)+1,FIND(")",E3106)-FIND("(",E3106)-1),"")</f>
      </c>
      <c r="B3106" s="46" t="s">
        <v>1178</v>
      </c>
      <c r="C3106" s="46">
        <v>85168</v>
      </c>
      <c r="D3106" s="46" t="s">
        <v>101</v>
      </c>
      <c r="E3106" s="46" t="s">
        <v>5338</v>
      </c>
      <c r="F3106" s="46" t="s">
        <v>25</v>
      </c>
      <c r="G3106" s="47">
        <v>29.3</v>
      </c>
      <c r="H3106" s="48">
        <v>139.704</v>
      </c>
      <c r="I3106" s="48">
        <v>2933.791</v>
      </c>
      <c r="J3106" s="49">
        <v>21</v>
      </c>
      <c r="K3106" s="49">
        <v>0</v>
      </c>
      <c r="L3106" s="49">
        <v>21</v>
      </c>
    </row>
    <row r="3107" spans="1:12" x14ac:dyDescent="0.25">
      <c r="A3107" s="45">
        <f>C3107&amp;"."&amp;IFERROR(MID(E3107,FIND("(",E3107)+1,FIND(")",E3107)-FIND("(",E3107)-1),"")</f>
      </c>
      <c r="B3107" s="46" t="s">
        <v>1178</v>
      </c>
      <c r="C3107" s="46">
        <v>85188</v>
      </c>
      <c r="D3107" s="46" t="s">
        <v>5339</v>
      </c>
      <c r="E3107" s="46" t="s">
        <v>1248</v>
      </c>
      <c r="F3107" s="46" t="s">
        <v>25</v>
      </c>
      <c r="G3107" s="47">
        <v>0.33</v>
      </c>
      <c r="H3107" s="48">
        <v>7.55</v>
      </c>
      <c r="I3107" s="48">
        <v>22.65</v>
      </c>
      <c r="J3107" s="49">
        <v>3</v>
      </c>
      <c r="K3107" s="49">
        <v>0</v>
      </c>
      <c r="L3107" s="49">
        <v>3</v>
      </c>
    </row>
    <row r="3108" spans="1:12" x14ac:dyDescent="0.25">
      <c r="A3108" s="45">
        <f>C3108&amp;"."&amp;IFERROR(MID(E3108,FIND("(",E3108)+1,FIND(")",E3108)-FIND("(",E3108)-1),"")</f>
      </c>
      <c r="B3108" s="46" t="s">
        <v>1178</v>
      </c>
      <c r="C3108" s="46">
        <v>85195</v>
      </c>
      <c r="D3108" s="46" t="s">
        <v>5340</v>
      </c>
      <c r="E3108" s="46" t="s">
        <v>5341</v>
      </c>
      <c r="F3108" s="46" t="s">
        <v>25</v>
      </c>
      <c r="G3108" s="47">
        <v>3.03</v>
      </c>
      <c r="H3108" s="48">
        <v>1.93</v>
      </c>
      <c r="I3108" s="48">
        <v>1.93</v>
      </c>
      <c r="J3108" s="49">
        <v>1</v>
      </c>
      <c r="K3108" s="49">
        <v>0</v>
      </c>
      <c r="L3108" s="49">
        <v>1</v>
      </c>
    </row>
    <row r="3109" spans="1:12" x14ac:dyDescent="0.25">
      <c r="A3109" s="45">
        <f>C3109&amp;"."&amp;IFERROR(MID(E3109,FIND("(",E3109)+1,FIND(")",E3109)-FIND("(",E3109)-1),"")</f>
      </c>
      <c r="B3109" s="46" t="s">
        <v>1178</v>
      </c>
      <c r="C3109" s="46">
        <v>85202</v>
      </c>
      <c r="D3109" s="46" t="s">
        <v>5342</v>
      </c>
      <c r="E3109" s="46" t="s">
        <v>5343</v>
      </c>
      <c r="F3109" s="46" t="s">
        <v>25</v>
      </c>
      <c r="G3109" s="47">
        <v>4.65</v>
      </c>
      <c r="H3109" s="48">
        <v>36.94</v>
      </c>
      <c r="I3109" s="48">
        <v>36.94</v>
      </c>
      <c r="J3109" s="49">
        <v>1</v>
      </c>
      <c r="K3109" s="49">
        <v>0</v>
      </c>
      <c r="L3109" s="49">
        <v>1</v>
      </c>
    </row>
    <row r="3110" spans="1:12" x14ac:dyDescent="0.25">
      <c r="A3110" s="45">
        <f>C3110&amp;"."&amp;IFERROR(MID(E3110,FIND("(",E3110)+1,FIND(")",E3110)-FIND("(",E3110)-1),"")</f>
      </c>
      <c r="B3110" s="46" t="s">
        <v>1178</v>
      </c>
      <c r="C3110" s="46">
        <v>85259</v>
      </c>
      <c r="D3110" s="46" t="s">
        <v>944</v>
      </c>
      <c r="E3110" s="46" t="s">
        <v>5344</v>
      </c>
      <c r="F3110" s="46" t="s">
        <v>24</v>
      </c>
      <c r="G3110" s="47">
        <v>20</v>
      </c>
      <c r="H3110" s="48">
        <v>76.291</v>
      </c>
      <c r="I3110" s="48">
        <v>381.456</v>
      </c>
      <c r="J3110" s="49">
        <v>5</v>
      </c>
      <c r="K3110" s="49">
        <v>0</v>
      </c>
      <c r="L3110" s="49">
        <v>5</v>
      </c>
    </row>
    <row r="3111" spans="1:12" x14ac:dyDescent="0.25">
      <c r="A3111" s="45">
        <f>C3111&amp;"."&amp;IFERROR(MID(E3111,FIND("(",E3111)+1,FIND(")",E3111)-FIND("(",E3111)-1),"")</f>
      </c>
      <c r="B3111" s="46" t="s">
        <v>1178</v>
      </c>
      <c r="C3111" s="46">
        <v>85259</v>
      </c>
      <c r="D3111" s="46" t="s">
        <v>944</v>
      </c>
      <c r="E3111" s="46" t="s">
        <v>5345</v>
      </c>
      <c r="F3111" s="46" t="s">
        <v>24</v>
      </c>
      <c r="G3111" s="47">
        <v>20</v>
      </c>
      <c r="H3111" s="48">
        <v>74.905</v>
      </c>
      <c r="I3111" s="48">
        <v>449.43</v>
      </c>
      <c r="J3111" s="49">
        <v>6</v>
      </c>
      <c r="K3111" s="49">
        <v>0</v>
      </c>
      <c r="L3111" s="49">
        <v>6</v>
      </c>
    </row>
    <row r="3112" spans="1:12" x14ac:dyDescent="0.25">
      <c r="A3112" s="45">
        <f>C3112&amp;"."&amp;IFERROR(MID(E3112,FIND("(",E3112)+1,FIND(")",E3112)-FIND("(",E3112)-1),"")</f>
      </c>
      <c r="B3112" s="46" t="s">
        <v>1178</v>
      </c>
      <c r="C3112" s="46">
        <v>85284</v>
      </c>
      <c r="D3112" s="46" t="s">
        <v>1126</v>
      </c>
      <c r="E3112" s="46" t="s">
        <v>5346</v>
      </c>
      <c r="F3112" s="46" t="s">
        <v>25</v>
      </c>
      <c r="G3112" s="47">
        <v>13.65</v>
      </c>
      <c r="H3112" s="48">
        <v>117.088</v>
      </c>
      <c r="I3112" s="48">
        <v>319299.492</v>
      </c>
      <c r="J3112" s="49">
        <v>2727</v>
      </c>
      <c r="K3112" s="49">
        <v>1473</v>
      </c>
      <c r="L3112" s="49">
        <v>1254</v>
      </c>
    </row>
    <row r="3113" spans="1:12" x14ac:dyDescent="0.25">
      <c r="A3113" s="45">
        <f>C3113&amp;"."&amp;IFERROR(MID(E3113,FIND("(",E3113)+1,FIND(")",E3113)-FIND("(",E3113)-1),"")</f>
      </c>
      <c r="B3113" s="46" t="s">
        <v>1178</v>
      </c>
      <c r="C3113" s="46">
        <v>85286</v>
      </c>
      <c r="D3113" s="46" t="s">
        <v>5347</v>
      </c>
      <c r="E3113" s="46" t="s">
        <v>5348</v>
      </c>
      <c r="F3113" s="46" t="s">
        <v>25</v>
      </c>
      <c r="G3113" s="47">
        <v>0.92</v>
      </c>
      <c r="H3113" s="48">
        <v>24.687</v>
      </c>
      <c r="I3113" s="48">
        <v>49.373</v>
      </c>
      <c r="J3113" s="49">
        <v>2</v>
      </c>
      <c r="K3113" s="49">
        <v>0</v>
      </c>
      <c r="L3113" s="49">
        <v>2</v>
      </c>
    </row>
    <row r="3114" spans="1:12" x14ac:dyDescent="0.25">
      <c r="A3114" s="45">
        <f>C3114&amp;"."&amp;IFERROR(MID(E3114,FIND("(",E3114)+1,FIND(")",E3114)-FIND("(",E3114)-1),"")</f>
      </c>
      <c r="B3114" s="46" t="s">
        <v>1178</v>
      </c>
      <c r="C3114" s="46">
        <v>85297</v>
      </c>
      <c r="D3114" s="46" t="s">
        <v>577</v>
      </c>
      <c r="E3114" s="46" t="s">
        <v>5349</v>
      </c>
      <c r="F3114" s="46" t="s">
        <v>25</v>
      </c>
      <c r="G3114" s="47">
        <v>13.5</v>
      </c>
      <c r="H3114" s="48">
        <v>79.201</v>
      </c>
      <c r="I3114" s="48">
        <v>8949.698</v>
      </c>
      <c r="J3114" s="49">
        <v>113</v>
      </c>
      <c r="K3114" s="49">
        <v>0</v>
      </c>
      <c r="L3114" s="49">
        <v>113</v>
      </c>
    </row>
    <row r="3115" spans="1:12" x14ac:dyDescent="0.25">
      <c r="A3115" s="45">
        <f>C3115&amp;"."&amp;IFERROR(MID(E3115,FIND("(",E3115)+1,FIND(")",E3115)-FIND("(",E3115)-1),"")</f>
      </c>
      <c r="B3115" s="46" t="s">
        <v>1178</v>
      </c>
      <c r="C3115" s="46">
        <v>85305</v>
      </c>
      <c r="D3115" s="46" t="s">
        <v>5350</v>
      </c>
      <c r="E3115" s="46" t="s">
        <v>5351</v>
      </c>
      <c r="F3115" s="46" t="s">
        <v>25</v>
      </c>
      <c r="G3115" s="47">
        <v>0.5</v>
      </c>
      <c r="H3115" s="48">
        <v>2.456</v>
      </c>
      <c r="I3115" s="48">
        <v>27.02</v>
      </c>
      <c r="J3115" s="49">
        <v>11</v>
      </c>
      <c r="K3115" s="49">
        <v>11</v>
      </c>
      <c r="L3115" s="49">
        <v>0</v>
      </c>
    </row>
    <row r="3116" spans="1:12" x14ac:dyDescent="0.25">
      <c r="A3116" s="45">
        <f>C3116&amp;"."&amp;IFERROR(MID(E3116,FIND("(",E3116)+1,FIND(")",E3116)-FIND("(",E3116)-1),"")</f>
      </c>
      <c r="B3116" s="46" t="s">
        <v>1178</v>
      </c>
      <c r="C3116" s="46">
        <v>85305</v>
      </c>
      <c r="D3116" s="46" t="s">
        <v>5350</v>
      </c>
      <c r="E3116" s="46" t="s">
        <v>5352</v>
      </c>
      <c r="F3116" s="46" t="s">
        <v>25</v>
      </c>
      <c r="G3116" s="47">
        <v>0.5</v>
      </c>
      <c r="H3116" s="48">
        <v>1.356</v>
      </c>
      <c r="I3116" s="48">
        <v>2.713</v>
      </c>
      <c r="J3116" s="49">
        <v>2</v>
      </c>
      <c r="K3116" s="49">
        <v>0</v>
      </c>
      <c r="L3116" s="49">
        <v>2</v>
      </c>
    </row>
    <row r="3117" spans="1:12" x14ac:dyDescent="0.25">
      <c r="A3117" s="45">
        <f>C3117&amp;"."&amp;IFERROR(MID(E3117,FIND("(",E3117)+1,FIND(")",E3117)-FIND("(",E3117)-1),"")</f>
      </c>
      <c r="B3117" s="46" t="s">
        <v>1178</v>
      </c>
      <c r="C3117" s="46">
        <v>85307</v>
      </c>
      <c r="D3117" s="46" t="s">
        <v>5353</v>
      </c>
      <c r="E3117" s="46" t="s">
        <v>5354</v>
      </c>
      <c r="F3117" s="46" t="s">
        <v>25</v>
      </c>
      <c r="G3117" s="47">
        <v>1.1</v>
      </c>
      <c r="H3117" s="48">
        <v>2.653</v>
      </c>
      <c r="I3117" s="48">
        <v>26.527</v>
      </c>
      <c r="J3117" s="49">
        <v>10</v>
      </c>
      <c r="K3117" s="49">
        <v>10</v>
      </c>
      <c r="L3117" s="49">
        <v>0</v>
      </c>
    </row>
    <row r="3118" spans="1:12" x14ac:dyDescent="0.25">
      <c r="A3118" s="45">
        <f>C3118&amp;"."&amp;IFERROR(MID(E3118,FIND("(",E3118)+1,FIND(")",E3118)-FIND("(",E3118)-1),"")</f>
      </c>
      <c r="B3118" s="46" t="s">
        <v>1178</v>
      </c>
      <c r="C3118" s="46">
        <v>85307</v>
      </c>
      <c r="D3118" s="46" t="s">
        <v>5353</v>
      </c>
      <c r="E3118" s="46" t="s">
        <v>5355</v>
      </c>
      <c r="F3118" s="46" t="s">
        <v>25</v>
      </c>
      <c r="G3118" s="47">
        <v>1.1</v>
      </c>
      <c r="H3118" s="48">
        <v>1.457</v>
      </c>
      <c r="I3118" s="48">
        <v>2.914</v>
      </c>
      <c r="J3118" s="49">
        <v>2</v>
      </c>
      <c r="K3118" s="49">
        <v>0</v>
      </c>
      <c r="L3118" s="49">
        <v>2</v>
      </c>
    </row>
    <row r="3119" spans="1:12" x14ac:dyDescent="0.25">
      <c r="A3119" s="45">
        <f>C3119&amp;"."&amp;IFERROR(MID(E3119,FIND("(",E3119)+1,FIND(")",E3119)-FIND("(",E3119)-1),"")</f>
      </c>
      <c r="B3119" s="46" t="s">
        <v>1178</v>
      </c>
      <c r="C3119" s="46">
        <v>85309</v>
      </c>
      <c r="D3119" s="46" t="s">
        <v>5356</v>
      </c>
      <c r="E3119" s="46" t="s">
        <v>1248</v>
      </c>
      <c r="F3119" s="46" t="s">
        <v>25</v>
      </c>
      <c r="G3119" s="47">
        <v>0.36</v>
      </c>
      <c r="H3119" s="48">
        <v>2</v>
      </c>
      <c r="I3119" s="48">
        <v>8</v>
      </c>
      <c r="J3119" s="49">
        <v>4</v>
      </c>
      <c r="K3119" s="49">
        <v>0</v>
      </c>
      <c r="L3119" s="49">
        <v>4</v>
      </c>
    </row>
    <row r="3120" spans="1:12" x14ac:dyDescent="0.25">
      <c r="A3120" s="45">
        <f>C3120&amp;"."&amp;IFERROR(MID(E3120,FIND("(",E3120)+1,FIND(")",E3120)-FIND("(",E3120)-1),"")</f>
      </c>
      <c r="B3120" s="46" t="s">
        <v>1178</v>
      </c>
      <c r="C3120" s="46">
        <v>85315</v>
      </c>
      <c r="D3120" s="46" t="s">
        <v>446</v>
      </c>
      <c r="E3120" s="46" t="s">
        <v>5357</v>
      </c>
      <c r="F3120" s="46" t="s">
        <v>25</v>
      </c>
      <c r="G3120" s="47">
        <v>15</v>
      </c>
      <c r="H3120" s="48">
        <v>92.257</v>
      </c>
      <c r="I3120" s="48">
        <v>92.257</v>
      </c>
      <c r="J3120" s="49">
        <v>1</v>
      </c>
      <c r="K3120" s="49">
        <v>0</v>
      </c>
      <c r="L3120" s="49">
        <v>1</v>
      </c>
    </row>
    <row r="3121" spans="1:12" x14ac:dyDescent="0.25">
      <c r="A3121" s="45">
        <f>C3121&amp;"."&amp;IFERROR(MID(E3121,FIND("(",E3121)+1,FIND(")",E3121)-FIND("(",E3121)-1),"")</f>
      </c>
      <c r="B3121" s="46" t="s">
        <v>1178</v>
      </c>
      <c r="C3121" s="46">
        <v>85315</v>
      </c>
      <c r="D3121" s="46" t="s">
        <v>446</v>
      </c>
      <c r="E3121" s="46" t="s">
        <v>5358</v>
      </c>
      <c r="F3121" s="46" t="s">
        <v>25</v>
      </c>
      <c r="G3121" s="47">
        <v>15</v>
      </c>
      <c r="H3121" s="48">
        <v>91.404</v>
      </c>
      <c r="I3121" s="48">
        <v>91.404</v>
      </c>
      <c r="J3121" s="49">
        <v>1</v>
      </c>
      <c r="K3121" s="49">
        <v>0</v>
      </c>
      <c r="L3121" s="49">
        <v>1</v>
      </c>
    </row>
    <row r="3122" spans="1:12" x14ac:dyDescent="0.25">
      <c r="A3122" s="45">
        <f>C3122&amp;"."&amp;IFERROR(MID(E3122,FIND("(",E3122)+1,FIND(")",E3122)-FIND("(",E3122)-1),"")</f>
      </c>
      <c r="B3122" s="46" t="s">
        <v>1178</v>
      </c>
      <c r="C3122" s="46">
        <v>85335</v>
      </c>
      <c r="D3122" s="46" t="s">
        <v>277</v>
      </c>
      <c r="E3122" s="46" t="s">
        <v>5359</v>
      </c>
      <c r="F3122" s="46" t="s">
        <v>25</v>
      </c>
      <c r="G3122" s="47">
        <v>15</v>
      </c>
      <c r="H3122" s="48">
        <v>89.334</v>
      </c>
      <c r="I3122" s="48">
        <v>3394.703</v>
      </c>
      <c r="J3122" s="49">
        <v>38</v>
      </c>
      <c r="K3122" s="49">
        <v>0</v>
      </c>
      <c r="L3122" s="49">
        <v>38</v>
      </c>
    </row>
    <row r="3123" spans="1:12" x14ac:dyDescent="0.25">
      <c r="A3123" s="45">
        <f>C3123&amp;"."&amp;IFERROR(MID(E3123,FIND("(",E3123)+1,FIND(")",E3123)-FIND("(",E3123)-1),"")</f>
      </c>
      <c r="B3123" s="46" t="s">
        <v>1178</v>
      </c>
      <c r="C3123" s="46">
        <v>85335</v>
      </c>
      <c r="D3123" s="46" t="s">
        <v>277</v>
      </c>
      <c r="E3123" s="46" t="s">
        <v>5360</v>
      </c>
      <c r="F3123" s="46" t="s">
        <v>25</v>
      </c>
      <c r="G3123" s="47">
        <v>15</v>
      </c>
      <c r="H3123" s="48">
        <v>89.504</v>
      </c>
      <c r="I3123" s="48">
        <v>179.009</v>
      </c>
      <c r="J3123" s="49">
        <v>2</v>
      </c>
      <c r="K3123" s="49">
        <v>0</v>
      </c>
      <c r="L3123" s="49">
        <v>2</v>
      </c>
    </row>
    <row r="3124" spans="1:12" x14ac:dyDescent="0.25">
      <c r="A3124" s="45">
        <f>C3124&amp;"."&amp;IFERROR(MID(E3124,FIND("(",E3124)+1,FIND(")",E3124)-FIND("(",E3124)-1),"")</f>
      </c>
      <c r="B3124" s="46" t="s">
        <v>1178</v>
      </c>
      <c r="C3124" s="46">
        <v>85344</v>
      </c>
      <c r="D3124" s="46" t="s">
        <v>662</v>
      </c>
      <c r="E3124" s="46" t="s">
        <v>5361</v>
      </c>
      <c r="F3124" s="46" t="s">
        <v>25</v>
      </c>
      <c r="G3124" s="47">
        <v>12.45</v>
      </c>
      <c r="H3124" s="48">
        <v>85.61</v>
      </c>
      <c r="I3124" s="48">
        <v>16008.986</v>
      </c>
      <c r="J3124" s="49">
        <v>187</v>
      </c>
      <c r="K3124" s="49">
        <v>140</v>
      </c>
      <c r="L3124" s="49">
        <v>47</v>
      </c>
    </row>
    <row r="3125" spans="1:12" x14ac:dyDescent="0.25">
      <c r="A3125" s="45">
        <f>C3125&amp;"."&amp;IFERROR(MID(E3125,FIND("(",E3125)+1,FIND(")",E3125)-FIND("(",E3125)-1),"")</f>
      </c>
      <c r="B3125" s="46" t="s">
        <v>1178</v>
      </c>
      <c r="C3125" s="46">
        <v>85344</v>
      </c>
      <c r="D3125" s="46" t="s">
        <v>662</v>
      </c>
      <c r="E3125" s="46" t="s">
        <v>5362</v>
      </c>
      <c r="F3125" s="46" t="s">
        <v>25</v>
      </c>
      <c r="G3125" s="47">
        <v>12.45</v>
      </c>
      <c r="H3125" s="48">
        <v>81.084</v>
      </c>
      <c r="I3125" s="48">
        <v>729.76</v>
      </c>
      <c r="J3125" s="49">
        <v>9</v>
      </c>
      <c r="K3125" s="49">
        <v>0</v>
      </c>
      <c r="L3125" s="49">
        <v>9</v>
      </c>
    </row>
    <row r="3126" spans="1:12" x14ac:dyDescent="0.25">
      <c r="A3126" s="45">
        <f>C3126&amp;"."&amp;IFERROR(MID(E3126,FIND("(",E3126)+1,FIND(")",E3126)-FIND("(",E3126)-1),"")</f>
      </c>
      <c r="B3126" s="46" t="s">
        <v>1178</v>
      </c>
      <c r="C3126" s="46">
        <v>85350</v>
      </c>
      <c r="D3126" s="46" t="s">
        <v>5363</v>
      </c>
      <c r="E3126" s="46" t="s">
        <v>1248</v>
      </c>
      <c r="F3126" s="46" t="s">
        <v>25</v>
      </c>
      <c r="G3126" s="47">
        <v>0.34</v>
      </c>
      <c r="H3126" s="48">
        <v>1.098</v>
      </c>
      <c r="I3126" s="48">
        <v>3.294</v>
      </c>
      <c r="J3126" s="49">
        <v>3</v>
      </c>
      <c r="K3126" s="49">
        <v>0</v>
      </c>
      <c r="L3126" s="49">
        <v>3</v>
      </c>
    </row>
    <row r="3127" spans="1:12" x14ac:dyDescent="0.25">
      <c r="A3127" s="45">
        <f>C3127&amp;"."&amp;IFERROR(MID(E3127,FIND("(",E3127)+1,FIND(")",E3127)-FIND("(",E3127)-1),"")</f>
      </c>
      <c r="B3127" s="46" t="s">
        <v>1178</v>
      </c>
      <c r="C3127" s="46">
        <v>85366</v>
      </c>
      <c r="D3127" s="46" t="s">
        <v>364</v>
      </c>
      <c r="E3127" s="46" t="s">
        <v>5364</v>
      </c>
      <c r="F3127" s="46" t="s">
        <v>25</v>
      </c>
      <c r="G3127" s="47">
        <v>12.9</v>
      </c>
      <c r="H3127" s="48">
        <v>99.357</v>
      </c>
      <c r="I3127" s="48">
        <v>4868.487</v>
      </c>
      <c r="J3127" s="49">
        <v>49</v>
      </c>
      <c r="K3127" s="49">
        <v>25</v>
      </c>
      <c r="L3127" s="49">
        <v>24</v>
      </c>
    </row>
    <row r="3128" spans="1:12" x14ac:dyDescent="0.25">
      <c r="A3128" s="45">
        <f>C3128&amp;"."&amp;IFERROR(MID(E3128,FIND("(",E3128)+1,FIND(")",E3128)-FIND("(",E3128)-1),"")</f>
      </c>
      <c r="B3128" s="46" t="s">
        <v>1178</v>
      </c>
      <c r="C3128" s="46">
        <v>85366</v>
      </c>
      <c r="D3128" s="46" t="s">
        <v>364</v>
      </c>
      <c r="E3128" s="46" t="s">
        <v>5365</v>
      </c>
      <c r="F3128" s="46" t="s">
        <v>25</v>
      </c>
      <c r="G3128" s="47">
        <v>12.9</v>
      </c>
      <c r="H3128" s="48">
        <v>108.942</v>
      </c>
      <c r="I3128" s="48">
        <v>22659.991</v>
      </c>
      <c r="J3128" s="49">
        <v>208</v>
      </c>
      <c r="K3128" s="49">
        <v>169</v>
      </c>
      <c r="L3128" s="49">
        <v>39</v>
      </c>
    </row>
    <row r="3129" spans="1:12" x14ac:dyDescent="0.25">
      <c r="A3129" s="45">
        <f>C3129&amp;"."&amp;IFERROR(MID(E3129,FIND("(",E3129)+1,FIND(")",E3129)-FIND("(",E3129)-1),"")</f>
      </c>
      <c r="B3129" s="46" t="s">
        <v>1178</v>
      </c>
      <c r="C3129" s="46">
        <v>85366</v>
      </c>
      <c r="D3129" s="46" t="s">
        <v>364</v>
      </c>
      <c r="E3129" s="46" t="s">
        <v>5366</v>
      </c>
      <c r="F3129" s="46" t="s">
        <v>25</v>
      </c>
      <c r="G3129" s="47">
        <v>12.9</v>
      </c>
      <c r="H3129" s="48">
        <v>115.964</v>
      </c>
      <c r="I3129" s="48">
        <v>16234.971</v>
      </c>
      <c r="J3129" s="49">
        <v>140</v>
      </c>
      <c r="K3129" s="49">
        <v>129</v>
      </c>
      <c r="L3129" s="49">
        <v>11</v>
      </c>
    </row>
    <row r="3130" spans="1:12" x14ac:dyDescent="0.25">
      <c r="A3130" s="45">
        <f>C3130&amp;"."&amp;IFERROR(MID(E3130,FIND("(",E3130)+1,FIND(")",E3130)-FIND("(",E3130)-1),"")</f>
      </c>
      <c r="B3130" s="46" t="s">
        <v>1178</v>
      </c>
      <c r="C3130" s="46">
        <v>85366</v>
      </c>
      <c r="D3130" s="46" t="s">
        <v>364</v>
      </c>
      <c r="E3130" s="46" t="s">
        <v>5367</v>
      </c>
      <c r="F3130" s="46" t="s">
        <v>25</v>
      </c>
      <c r="G3130" s="47">
        <v>12.9</v>
      </c>
      <c r="H3130" s="48">
        <v>88.85</v>
      </c>
      <c r="I3130" s="48">
        <v>8529.619</v>
      </c>
      <c r="J3130" s="49">
        <v>96</v>
      </c>
      <c r="K3130" s="49">
        <v>94</v>
      </c>
      <c r="L3130" s="49">
        <v>2</v>
      </c>
    </row>
    <row r="3131" spans="1:12" x14ac:dyDescent="0.25">
      <c r="A3131" s="45">
        <f>C3131&amp;"."&amp;IFERROR(MID(E3131,FIND("(",E3131)+1,FIND(")",E3131)-FIND("(",E3131)-1),"")</f>
      </c>
      <c r="B3131" s="46" t="s">
        <v>1178</v>
      </c>
      <c r="C3131" s="46">
        <v>85366</v>
      </c>
      <c r="D3131" s="46" t="s">
        <v>364</v>
      </c>
      <c r="E3131" s="46" t="s">
        <v>5368</v>
      </c>
      <c r="F3131" s="46" t="s">
        <v>25</v>
      </c>
      <c r="G3131" s="47">
        <v>12.9</v>
      </c>
      <c r="H3131" s="48">
        <v>93.13</v>
      </c>
      <c r="I3131" s="48">
        <v>10058.036</v>
      </c>
      <c r="J3131" s="49">
        <v>108</v>
      </c>
      <c r="K3131" s="49">
        <v>108</v>
      </c>
      <c r="L3131" s="49">
        <v>0</v>
      </c>
    </row>
    <row r="3132" spans="1:12" x14ac:dyDescent="0.25">
      <c r="A3132" s="45">
        <f>C3132&amp;"."&amp;IFERROR(MID(E3132,FIND("(",E3132)+1,FIND(")",E3132)-FIND("(",E3132)-1),"")</f>
      </c>
      <c r="B3132" s="46" t="s">
        <v>1178</v>
      </c>
      <c r="C3132" s="46">
        <v>85366</v>
      </c>
      <c r="D3132" s="46" t="s">
        <v>364</v>
      </c>
      <c r="E3132" s="46" t="s">
        <v>5369</v>
      </c>
      <c r="F3132" s="46" t="s">
        <v>25</v>
      </c>
      <c r="G3132" s="47">
        <v>12.9</v>
      </c>
      <c r="H3132" s="48">
        <v>94.324</v>
      </c>
      <c r="I3132" s="48">
        <v>15563.436</v>
      </c>
      <c r="J3132" s="49">
        <v>165</v>
      </c>
      <c r="K3132" s="49">
        <v>129</v>
      </c>
      <c r="L3132" s="49">
        <v>36</v>
      </c>
    </row>
    <row r="3133" spans="1:12" x14ac:dyDescent="0.25">
      <c r="A3133" s="45">
        <f>C3133&amp;"."&amp;IFERROR(MID(E3133,FIND("(",E3133)+1,FIND(")",E3133)-FIND("(",E3133)-1),"")</f>
      </c>
      <c r="B3133" s="46" t="s">
        <v>1178</v>
      </c>
      <c r="C3133" s="46">
        <v>85367</v>
      </c>
      <c r="D3133" s="46" t="s">
        <v>5370</v>
      </c>
      <c r="E3133" s="46" t="s">
        <v>5371</v>
      </c>
      <c r="F3133" s="46" t="s">
        <v>25</v>
      </c>
      <c r="G3133" s="47">
        <v>2.5</v>
      </c>
      <c r="H3133" s="48">
        <v>22.35</v>
      </c>
      <c r="I3133" s="48">
        <v>22.35</v>
      </c>
      <c r="J3133" s="49">
        <v>1</v>
      </c>
      <c r="K3133" s="49">
        <v>0</v>
      </c>
      <c r="L3133" s="49">
        <v>1</v>
      </c>
    </row>
    <row r="3134" spans="1:12" x14ac:dyDescent="0.25">
      <c r="A3134" s="45">
        <f>C3134&amp;"."&amp;IFERROR(MID(E3134,FIND("(",E3134)+1,FIND(")",E3134)-FIND("(",E3134)-1),"")</f>
      </c>
      <c r="B3134" s="46" t="s">
        <v>1178</v>
      </c>
      <c r="C3134" s="46">
        <v>85367</v>
      </c>
      <c r="D3134" s="46" t="s">
        <v>5370</v>
      </c>
      <c r="E3134" s="46" t="s">
        <v>5372</v>
      </c>
      <c r="F3134" s="46" t="s">
        <v>25</v>
      </c>
      <c r="G3134" s="47">
        <v>2.5</v>
      </c>
      <c r="H3134" s="48">
        <v>8.045</v>
      </c>
      <c r="I3134" s="48">
        <v>56.317</v>
      </c>
      <c r="J3134" s="49">
        <v>7</v>
      </c>
      <c r="K3134" s="49">
        <v>3</v>
      </c>
      <c r="L3134" s="49">
        <v>4</v>
      </c>
    </row>
    <row r="3135" spans="1:12" x14ac:dyDescent="0.25">
      <c r="A3135" s="45">
        <f>C3135&amp;"."&amp;IFERROR(MID(E3135,FIND("(",E3135)+1,FIND(")",E3135)-FIND("(",E3135)-1),"")</f>
      </c>
      <c r="B3135" s="46" t="s">
        <v>1178</v>
      </c>
      <c r="C3135" s="46">
        <v>85367</v>
      </c>
      <c r="D3135" s="46" t="s">
        <v>5370</v>
      </c>
      <c r="E3135" s="46" t="s">
        <v>5373</v>
      </c>
      <c r="F3135" s="46" t="s">
        <v>25</v>
      </c>
      <c r="G3135" s="47">
        <v>2.5</v>
      </c>
      <c r="H3135" s="48">
        <v>12.659</v>
      </c>
      <c r="I3135" s="48">
        <v>25.318</v>
      </c>
      <c r="J3135" s="49">
        <v>2</v>
      </c>
      <c r="K3135" s="49">
        <v>0</v>
      </c>
      <c r="L3135" s="49">
        <v>2</v>
      </c>
    </row>
    <row r="3136" spans="1:12" x14ac:dyDescent="0.25">
      <c r="A3136" s="45">
        <f>C3136&amp;"."&amp;IFERROR(MID(E3136,FIND("(",E3136)+1,FIND(")",E3136)-FIND("(",E3136)-1),"")</f>
      </c>
      <c r="B3136" s="46" t="s">
        <v>1178</v>
      </c>
      <c r="C3136" s="46">
        <v>85379</v>
      </c>
      <c r="D3136" s="46" t="s">
        <v>5374</v>
      </c>
      <c r="E3136" s="46" t="s">
        <v>5375</v>
      </c>
      <c r="F3136" s="46" t="s">
        <v>25</v>
      </c>
      <c r="G3136" s="47">
        <v>2.5</v>
      </c>
      <c r="H3136" s="48">
        <v>28.222</v>
      </c>
      <c r="I3136" s="48">
        <v>28.222</v>
      </c>
      <c r="J3136" s="49">
        <v>1</v>
      </c>
      <c r="K3136" s="49">
        <v>0</v>
      </c>
      <c r="L3136" s="49">
        <v>1</v>
      </c>
    </row>
    <row r="3137" spans="1:12" x14ac:dyDescent="0.25">
      <c r="A3137" s="45">
        <f>C3137&amp;"."&amp;IFERROR(MID(E3137,FIND("(",E3137)+1,FIND(")",E3137)-FIND("(",E3137)-1),"")</f>
      </c>
      <c r="B3137" s="46" t="s">
        <v>1178</v>
      </c>
      <c r="C3137" s="46">
        <v>85379</v>
      </c>
      <c r="D3137" s="46" t="s">
        <v>5374</v>
      </c>
      <c r="E3137" s="46" t="s">
        <v>5376</v>
      </c>
      <c r="F3137" s="46" t="s">
        <v>25</v>
      </c>
      <c r="G3137" s="47">
        <v>2.5</v>
      </c>
      <c r="H3137" s="48">
        <v>33.528</v>
      </c>
      <c r="I3137" s="48">
        <v>100.583</v>
      </c>
      <c r="J3137" s="49">
        <v>3</v>
      </c>
      <c r="K3137" s="49">
        <v>0</v>
      </c>
      <c r="L3137" s="49">
        <v>3</v>
      </c>
    </row>
    <row r="3138" spans="1:12" x14ac:dyDescent="0.25">
      <c r="A3138" s="45">
        <f>C3138&amp;"."&amp;IFERROR(MID(E3138,FIND("(",E3138)+1,FIND(")",E3138)-FIND("(",E3138)-1),"")</f>
      </c>
      <c r="B3138" s="46" t="s">
        <v>1178</v>
      </c>
      <c r="C3138" s="46">
        <v>85379</v>
      </c>
      <c r="D3138" s="46" t="s">
        <v>5374</v>
      </c>
      <c r="E3138" s="46" t="s">
        <v>5377</v>
      </c>
      <c r="F3138" s="46" t="s">
        <v>25</v>
      </c>
      <c r="G3138" s="47">
        <v>2.5</v>
      </c>
      <c r="H3138" s="48">
        <v>36.35</v>
      </c>
      <c r="I3138" s="48">
        <v>145.4</v>
      </c>
      <c r="J3138" s="49">
        <v>4</v>
      </c>
      <c r="K3138" s="49">
        <v>1</v>
      </c>
      <c r="L3138" s="49">
        <v>3</v>
      </c>
    </row>
    <row r="3139" spans="1:12" x14ac:dyDescent="0.25">
      <c r="A3139" s="45">
        <f>C3139&amp;"."&amp;IFERROR(MID(E3139,FIND("(",E3139)+1,FIND(")",E3139)-FIND("(",E3139)-1),"")</f>
      </c>
      <c r="B3139" s="46" t="s">
        <v>1178</v>
      </c>
      <c r="C3139" s="46">
        <v>85379</v>
      </c>
      <c r="D3139" s="46" t="s">
        <v>5374</v>
      </c>
      <c r="E3139" s="46" t="s">
        <v>5378</v>
      </c>
      <c r="F3139" s="46" t="s">
        <v>25</v>
      </c>
      <c r="G3139" s="47">
        <v>2.5</v>
      </c>
      <c r="H3139" s="48">
        <v>25.231</v>
      </c>
      <c r="I3139" s="48">
        <v>151.383</v>
      </c>
      <c r="J3139" s="49">
        <v>6</v>
      </c>
      <c r="K3139" s="49">
        <v>3</v>
      </c>
      <c r="L3139" s="49">
        <v>3</v>
      </c>
    </row>
    <row r="3140" spans="1:12" x14ac:dyDescent="0.25">
      <c r="A3140" s="45">
        <f>C3140&amp;"."&amp;IFERROR(MID(E3140,FIND("(",E3140)+1,FIND(")",E3140)-FIND("(",E3140)-1),"")</f>
      </c>
      <c r="B3140" s="46" t="s">
        <v>1178</v>
      </c>
      <c r="C3140" s="46">
        <v>85436</v>
      </c>
      <c r="D3140" s="46" t="s">
        <v>225</v>
      </c>
      <c r="E3140" s="46" t="s">
        <v>5379</v>
      </c>
      <c r="F3140" s="46" t="s">
        <v>25</v>
      </c>
      <c r="G3140" s="47">
        <v>18.65</v>
      </c>
      <c r="H3140" s="48">
        <v>128.231</v>
      </c>
      <c r="I3140" s="48">
        <v>20132.312</v>
      </c>
      <c r="J3140" s="49">
        <v>157</v>
      </c>
      <c r="K3140" s="49">
        <v>124</v>
      </c>
      <c r="L3140" s="49">
        <v>33</v>
      </c>
    </row>
    <row r="3141" spans="1:12" x14ac:dyDescent="0.25">
      <c r="A3141" s="45">
        <f>C3141&amp;"."&amp;IFERROR(MID(E3141,FIND("(",E3141)+1,FIND(")",E3141)-FIND("(",E3141)-1),"")</f>
      </c>
      <c r="B3141" s="46" t="s">
        <v>1178</v>
      </c>
      <c r="C3141" s="46">
        <v>85462</v>
      </c>
      <c r="D3141" s="46" t="s">
        <v>665</v>
      </c>
      <c r="E3141" s="46" t="s">
        <v>5380</v>
      </c>
      <c r="F3141" s="46" t="s">
        <v>25</v>
      </c>
      <c r="G3141" s="47">
        <v>21.5</v>
      </c>
      <c r="H3141" s="48">
        <v>175.018</v>
      </c>
      <c r="I3141" s="48">
        <v>264452.759</v>
      </c>
      <c r="J3141" s="49">
        <v>1511</v>
      </c>
      <c r="K3141" s="49">
        <v>1090</v>
      </c>
      <c r="L3141" s="49">
        <v>421</v>
      </c>
    </row>
    <row r="3142" spans="1:12" x14ac:dyDescent="0.25">
      <c r="A3142" s="45">
        <f>C3142&amp;"."&amp;IFERROR(MID(E3142,FIND("(",E3142)+1,FIND(")",E3142)-FIND("(",E3142)-1),"")</f>
      </c>
      <c r="B3142" s="46" t="s">
        <v>1178</v>
      </c>
      <c r="C3142" s="46">
        <v>85464</v>
      </c>
      <c r="D3142" s="46" t="s">
        <v>5381</v>
      </c>
      <c r="E3142" s="46" t="s">
        <v>5382</v>
      </c>
      <c r="F3142" s="46" t="s">
        <v>25</v>
      </c>
      <c r="G3142" s="47">
        <v>0.92</v>
      </c>
      <c r="H3142" s="48">
        <v>33.455</v>
      </c>
      <c r="I3142" s="48">
        <v>100.364</v>
      </c>
      <c r="J3142" s="49">
        <v>3</v>
      </c>
      <c r="K3142" s="49">
        <v>3</v>
      </c>
      <c r="L3142" s="49">
        <v>0</v>
      </c>
    </row>
    <row r="3143" spans="1:12" x14ac:dyDescent="0.25">
      <c r="A3143" s="45">
        <f>C3143&amp;"."&amp;IFERROR(MID(E3143,FIND("(",E3143)+1,FIND(")",E3143)-FIND("(",E3143)-1),"")</f>
      </c>
      <c r="B3143" s="46" t="s">
        <v>1178</v>
      </c>
      <c r="C3143" s="46">
        <v>85474</v>
      </c>
      <c r="D3143" s="46" t="s">
        <v>971</v>
      </c>
      <c r="E3143" s="46" t="s">
        <v>5383</v>
      </c>
      <c r="F3143" s="46" t="s">
        <v>25</v>
      </c>
      <c r="G3143" s="47">
        <v>19.7</v>
      </c>
      <c r="H3143" s="48">
        <v>117.374</v>
      </c>
      <c r="I3143" s="48">
        <v>3521.208</v>
      </c>
      <c r="J3143" s="49">
        <v>30</v>
      </c>
      <c r="K3143" s="49">
        <v>0</v>
      </c>
      <c r="L3143" s="49">
        <v>30</v>
      </c>
    </row>
    <row r="3144" spans="1:12" x14ac:dyDescent="0.25">
      <c r="A3144" s="45">
        <f>C3144&amp;"."&amp;IFERROR(MID(E3144,FIND("(",E3144)+1,FIND(")",E3144)-FIND("(",E3144)-1),"")</f>
      </c>
      <c r="B3144" s="46" t="s">
        <v>1178</v>
      </c>
      <c r="C3144" s="46">
        <v>85499</v>
      </c>
      <c r="D3144" s="46" t="s">
        <v>5384</v>
      </c>
      <c r="E3144" s="46" t="s">
        <v>1248</v>
      </c>
      <c r="F3144" s="46" t="s">
        <v>1495</v>
      </c>
      <c r="G3144" s="47">
        <v>2.84</v>
      </c>
      <c r="H3144" s="48">
        <v>17.858</v>
      </c>
      <c r="I3144" s="48">
        <v>17.858</v>
      </c>
      <c r="J3144" s="49">
        <v>1</v>
      </c>
      <c r="K3144" s="49">
        <v>0</v>
      </c>
      <c r="L3144" s="49">
        <v>1</v>
      </c>
    </row>
    <row r="3145" spans="1:12" x14ac:dyDescent="0.25">
      <c r="A3145" s="45">
        <f>C3145&amp;"."&amp;IFERROR(MID(E3145,FIND("(",E3145)+1,FIND(")",E3145)-FIND("(",E3145)-1),"")</f>
      </c>
      <c r="B3145" s="46" t="s">
        <v>1178</v>
      </c>
      <c r="C3145" s="46">
        <v>85507</v>
      </c>
      <c r="D3145" s="46" t="s">
        <v>444</v>
      </c>
      <c r="E3145" s="46" t="s">
        <v>5385</v>
      </c>
      <c r="F3145" s="46" t="s">
        <v>25</v>
      </c>
      <c r="G3145" s="47">
        <v>20.9</v>
      </c>
      <c r="H3145" s="48">
        <v>131.473</v>
      </c>
      <c r="I3145" s="48">
        <v>525.892</v>
      </c>
      <c r="J3145" s="49">
        <v>4</v>
      </c>
      <c r="K3145" s="49">
        <v>0</v>
      </c>
      <c r="L3145" s="49">
        <v>4</v>
      </c>
    </row>
    <row r="3146" spans="1:12" x14ac:dyDescent="0.25">
      <c r="A3146" s="45">
        <f>C3146&amp;"."&amp;IFERROR(MID(E3146,FIND("(",E3146)+1,FIND(")",E3146)-FIND("(",E3146)-1),"")</f>
      </c>
      <c r="B3146" s="46" t="s">
        <v>1178</v>
      </c>
      <c r="C3146" s="46">
        <v>85507</v>
      </c>
      <c r="D3146" s="46" t="s">
        <v>444</v>
      </c>
      <c r="E3146" s="46" t="s">
        <v>5386</v>
      </c>
      <c r="F3146" s="46" t="s">
        <v>25</v>
      </c>
      <c r="G3146" s="47">
        <v>20.9</v>
      </c>
      <c r="H3146" s="48">
        <v>131.223</v>
      </c>
      <c r="I3146" s="48">
        <v>3543.024</v>
      </c>
      <c r="J3146" s="49">
        <v>27</v>
      </c>
      <c r="K3146" s="49">
        <v>0</v>
      </c>
      <c r="L3146" s="49">
        <v>27</v>
      </c>
    </row>
    <row r="3147" spans="1:12" x14ac:dyDescent="0.25">
      <c r="A3147" s="45">
        <f>C3147&amp;"."&amp;IFERROR(MID(E3147,FIND("(",E3147)+1,FIND(")",E3147)-FIND("(",E3147)-1),"")</f>
      </c>
      <c r="B3147" s="46" t="s">
        <v>1178</v>
      </c>
      <c r="C3147" s="46">
        <v>85524</v>
      </c>
      <c r="D3147" s="46" t="s">
        <v>877</v>
      </c>
      <c r="E3147" s="46" t="s">
        <v>5387</v>
      </c>
      <c r="F3147" s="46" t="s">
        <v>25</v>
      </c>
      <c r="G3147" s="47">
        <v>23</v>
      </c>
      <c r="H3147" s="48">
        <v>137.148</v>
      </c>
      <c r="I3147" s="48">
        <v>5760.197</v>
      </c>
      <c r="J3147" s="49">
        <v>42</v>
      </c>
      <c r="K3147" s="49">
        <v>0</v>
      </c>
      <c r="L3147" s="49">
        <v>42</v>
      </c>
    </row>
    <row r="3148" spans="1:12" x14ac:dyDescent="0.25">
      <c r="A3148" s="45">
        <f>C3148&amp;"."&amp;IFERROR(MID(E3148,FIND("(",E3148)+1,FIND(")",E3148)-FIND("(",E3148)-1),"")</f>
      </c>
      <c r="B3148" s="46" t="s">
        <v>1178</v>
      </c>
      <c r="C3148" s="46">
        <v>85543</v>
      </c>
      <c r="D3148" s="46" t="s">
        <v>291</v>
      </c>
      <c r="E3148" s="46" t="s">
        <v>5388</v>
      </c>
      <c r="F3148" s="46" t="s">
        <v>25</v>
      </c>
      <c r="G3148" s="47">
        <v>25.5</v>
      </c>
      <c r="H3148" s="48">
        <v>188.526</v>
      </c>
      <c r="I3148" s="48">
        <v>85025.079</v>
      </c>
      <c r="J3148" s="49">
        <v>451</v>
      </c>
      <c r="K3148" s="49">
        <v>214</v>
      </c>
      <c r="L3148" s="49">
        <v>237</v>
      </c>
    </row>
    <row r="3149" spans="1:12" x14ac:dyDescent="0.25">
      <c r="A3149" s="45">
        <f>C3149&amp;"."&amp;IFERROR(MID(E3149,FIND("(",E3149)+1,FIND(")",E3149)-FIND("(",E3149)-1),"")</f>
      </c>
      <c r="B3149" s="46" t="s">
        <v>1178</v>
      </c>
      <c r="C3149" s="46">
        <v>85546</v>
      </c>
      <c r="D3149" s="46" t="s">
        <v>5389</v>
      </c>
      <c r="E3149" s="46" t="s">
        <v>5390</v>
      </c>
      <c r="F3149" s="46" t="s">
        <v>25</v>
      </c>
      <c r="G3149" s="47">
        <v>0.67</v>
      </c>
      <c r="H3149" s="48">
        <v>17.655</v>
      </c>
      <c r="I3149" s="48">
        <v>17.655</v>
      </c>
      <c r="J3149" s="49">
        <v>1</v>
      </c>
      <c r="K3149" s="49">
        <v>0</v>
      </c>
      <c r="L3149" s="49">
        <v>1</v>
      </c>
    </row>
    <row r="3150" spans="1:12" x14ac:dyDescent="0.25">
      <c r="A3150" s="45">
        <f>C3150&amp;"."&amp;IFERROR(MID(E3150,FIND("(",E3150)+1,FIND(")",E3150)-FIND("(",E3150)-1),"")</f>
      </c>
      <c r="B3150" s="46" t="s">
        <v>1178</v>
      </c>
      <c r="C3150" s="46">
        <v>85553</v>
      </c>
      <c r="D3150" s="46" t="s">
        <v>590</v>
      </c>
      <c r="E3150" s="46" t="s">
        <v>5391</v>
      </c>
      <c r="F3150" s="46" t="s">
        <v>25</v>
      </c>
      <c r="G3150" s="47">
        <v>38.15</v>
      </c>
      <c r="H3150" s="48">
        <v>279.105</v>
      </c>
      <c r="I3150" s="48">
        <v>27073.152</v>
      </c>
      <c r="J3150" s="49">
        <v>97</v>
      </c>
      <c r="K3150" s="49">
        <v>32</v>
      </c>
      <c r="L3150" s="49">
        <v>65</v>
      </c>
    </row>
    <row r="3151" spans="1:12" x14ac:dyDescent="0.25">
      <c r="A3151" s="45">
        <f>C3151&amp;"."&amp;IFERROR(MID(E3151,FIND("(",E3151)+1,FIND(")",E3151)-FIND("(",E3151)-1),"")</f>
      </c>
      <c r="B3151" s="46" t="s">
        <v>1178</v>
      </c>
      <c r="C3151" s="46">
        <v>85553</v>
      </c>
      <c r="D3151" s="46" t="s">
        <v>590</v>
      </c>
      <c r="E3151" s="46" t="s">
        <v>5392</v>
      </c>
      <c r="F3151" s="46" t="s">
        <v>25</v>
      </c>
      <c r="G3151" s="47">
        <v>38.15</v>
      </c>
      <c r="H3151" s="48">
        <v>205.113</v>
      </c>
      <c r="I3151" s="48">
        <v>1230.675</v>
      </c>
      <c r="J3151" s="49">
        <v>6</v>
      </c>
      <c r="K3151" s="49">
        <v>0</v>
      </c>
      <c r="L3151" s="49">
        <v>6</v>
      </c>
    </row>
    <row r="3152" spans="1:12" x14ac:dyDescent="0.25">
      <c r="A3152" s="45">
        <f>C3152&amp;"."&amp;IFERROR(MID(E3152,FIND("(",E3152)+1,FIND(")",E3152)-FIND("(",E3152)-1),"")</f>
      </c>
      <c r="B3152" s="46" t="s">
        <v>1178</v>
      </c>
      <c r="C3152" s="46">
        <v>85569</v>
      </c>
      <c r="D3152" s="46" t="s">
        <v>5393</v>
      </c>
      <c r="E3152" s="46" t="s">
        <v>1248</v>
      </c>
      <c r="F3152" s="46" t="s">
        <v>1495</v>
      </c>
      <c r="G3152" s="47">
        <v>0</v>
      </c>
      <c r="H3152" s="48">
        <v>1.763</v>
      </c>
      <c r="I3152" s="48">
        <v>21.16</v>
      </c>
      <c r="J3152" s="49">
        <v>12</v>
      </c>
      <c r="K3152" s="49">
        <v>0</v>
      </c>
      <c r="L3152" s="49">
        <v>12</v>
      </c>
    </row>
    <row r="3153" spans="1:12" x14ac:dyDescent="0.25">
      <c r="A3153" s="45">
        <f>C3153&amp;"."&amp;IFERROR(MID(E3153,FIND("(",E3153)+1,FIND(")",E3153)-FIND("(",E3153)-1),"")</f>
      </c>
      <c r="B3153" s="46" t="s">
        <v>1178</v>
      </c>
      <c r="C3153" s="46">
        <v>85590</v>
      </c>
      <c r="D3153" s="46" t="s">
        <v>5394</v>
      </c>
      <c r="E3153" s="46" t="s">
        <v>1248</v>
      </c>
      <c r="F3153" s="46" t="s">
        <v>1495</v>
      </c>
      <c r="G3153" s="47">
        <v>0</v>
      </c>
      <c r="H3153" s="48">
        <v>122.82</v>
      </c>
      <c r="I3153" s="48">
        <v>368.46</v>
      </c>
      <c r="J3153" s="49">
        <v>3</v>
      </c>
      <c r="K3153" s="49">
        <v>0</v>
      </c>
      <c r="L3153" s="49">
        <v>3</v>
      </c>
    </row>
    <row r="3154" spans="1:12" x14ac:dyDescent="0.25">
      <c r="A3154" s="45">
        <f>C3154&amp;"."&amp;IFERROR(MID(E3154,FIND("(",E3154)+1,FIND(")",E3154)-FIND("(",E3154)-1),"")</f>
      </c>
      <c r="B3154" s="46" t="s">
        <v>1178</v>
      </c>
      <c r="C3154" s="46">
        <v>85594</v>
      </c>
      <c r="D3154" s="46" t="s">
        <v>592</v>
      </c>
      <c r="E3154" s="46" t="s">
        <v>5395</v>
      </c>
      <c r="F3154" s="46" t="s">
        <v>25</v>
      </c>
      <c r="G3154" s="47">
        <v>25</v>
      </c>
      <c r="H3154" s="48">
        <v>165.95</v>
      </c>
      <c r="I3154" s="48">
        <v>11782.416</v>
      </c>
      <c r="J3154" s="49">
        <v>71</v>
      </c>
      <c r="K3154" s="49">
        <v>35</v>
      </c>
      <c r="L3154" s="49">
        <v>36</v>
      </c>
    </row>
    <row r="3155" spans="1:12" x14ac:dyDescent="0.25">
      <c r="A3155" s="45">
        <f>C3155&amp;"."&amp;IFERROR(MID(E3155,FIND("(",E3155)+1,FIND(")",E3155)-FIND("(",E3155)-1),"")</f>
      </c>
      <c r="B3155" s="46" t="s">
        <v>1178</v>
      </c>
      <c r="C3155" s="46">
        <v>85594</v>
      </c>
      <c r="D3155" s="46" t="s">
        <v>592</v>
      </c>
      <c r="E3155" s="46" t="s">
        <v>5396</v>
      </c>
      <c r="F3155" s="46" t="s">
        <v>25</v>
      </c>
      <c r="G3155" s="47">
        <v>25</v>
      </c>
      <c r="H3155" s="48">
        <v>137.173</v>
      </c>
      <c r="I3155" s="48">
        <v>10013.614</v>
      </c>
      <c r="J3155" s="49">
        <v>73</v>
      </c>
      <c r="K3155" s="49">
        <v>35</v>
      </c>
      <c r="L3155" s="49">
        <v>38</v>
      </c>
    </row>
    <row r="3156" spans="1:12" x14ac:dyDescent="0.25">
      <c r="A3156" s="45">
        <f>C3156&amp;"."&amp;IFERROR(MID(E3156,FIND("(",E3156)+1,FIND(")",E3156)-FIND("(",E3156)-1),"")</f>
      </c>
      <c r="B3156" s="46" t="s">
        <v>1178</v>
      </c>
      <c r="C3156" s="46">
        <v>85594</v>
      </c>
      <c r="D3156" s="46" t="s">
        <v>592</v>
      </c>
      <c r="E3156" s="46" t="s">
        <v>5397</v>
      </c>
      <c r="F3156" s="46" t="s">
        <v>25</v>
      </c>
      <c r="G3156" s="47">
        <v>25</v>
      </c>
      <c r="H3156" s="48">
        <v>143.959</v>
      </c>
      <c r="I3156" s="48">
        <v>41604.032</v>
      </c>
      <c r="J3156" s="49">
        <v>289</v>
      </c>
      <c r="K3156" s="49">
        <v>289</v>
      </c>
      <c r="L3156" s="49">
        <v>0</v>
      </c>
    </row>
    <row r="3157" spans="1:12" x14ac:dyDescent="0.25">
      <c r="A3157" s="45">
        <f>C3157&amp;"."&amp;IFERROR(MID(E3157,FIND("(",E3157)+1,FIND(")",E3157)-FIND("(",E3157)-1),"")</f>
      </c>
      <c r="B3157" s="46" t="s">
        <v>1178</v>
      </c>
      <c r="C3157" s="46">
        <v>85595</v>
      </c>
      <c r="D3157" s="46" t="s">
        <v>5398</v>
      </c>
      <c r="E3157" s="46" t="s">
        <v>5399</v>
      </c>
      <c r="F3157" s="46" t="s">
        <v>25</v>
      </c>
      <c r="G3157" s="47">
        <v>2.75</v>
      </c>
      <c r="H3157" s="48">
        <v>8.505</v>
      </c>
      <c r="I3157" s="48">
        <v>42.524</v>
      </c>
      <c r="J3157" s="49">
        <v>5</v>
      </c>
      <c r="K3157" s="49">
        <v>0</v>
      </c>
      <c r="L3157" s="49">
        <v>5</v>
      </c>
    </row>
    <row r="3158" spans="1:12" x14ac:dyDescent="0.25">
      <c r="A3158" s="45">
        <f>C3158&amp;"."&amp;IFERROR(MID(E3158,FIND("(",E3158)+1,FIND(")",E3158)-FIND("(",E3158)-1),"")</f>
      </c>
      <c r="B3158" s="46" t="s">
        <v>1178</v>
      </c>
      <c r="C3158" s="46">
        <v>85595</v>
      </c>
      <c r="D3158" s="46" t="s">
        <v>5398</v>
      </c>
      <c r="E3158" s="46" t="s">
        <v>5400</v>
      </c>
      <c r="F3158" s="46" t="s">
        <v>25</v>
      </c>
      <c r="G3158" s="47">
        <v>2.75</v>
      </c>
      <c r="H3158" s="48">
        <v>9.187</v>
      </c>
      <c r="I3158" s="48">
        <v>45.937</v>
      </c>
      <c r="J3158" s="49">
        <v>5</v>
      </c>
      <c r="K3158" s="49">
        <v>0</v>
      </c>
      <c r="L3158" s="49">
        <v>5</v>
      </c>
    </row>
    <row r="3159" spans="1:12" x14ac:dyDescent="0.25">
      <c r="A3159" s="45">
        <f>C3159&amp;"."&amp;IFERROR(MID(E3159,FIND("(",E3159)+1,FIND(")",E3159)-FIND("(",E3159)-1),"")</f>
      </c>
      <c r="B3159" s="46" t="s">
        <v>1178</v>
      </c>
      <c r="C3159" s="46">
        <v>85595</v>
      </c>
      <c r="D3159" s="46" t="s">
        <v>5398</v>
      </c>
      <c r="E3159" s="46" t="s">
        <v>5401</v>
      </c>
      <c r="F3159" s="46" t="s">
        <v>25</v>
      </c>
      <c r="G3159" s="47">
        <v>2.75</v>
      </c>
      <c r="H3159" s="48">
        <v>7.992</v>
      </c>
      <c r="I3159" s="48">
        <v>39.961</v>
      </c>
      <c r="J3159" s="49">
        <v>5</v>
      </c>
      <c r="K3159" s="49">
        <v>0</v>
      </c>
      <c r="L3159" s="49">
        <v>5</v>
      </c>
    </row>
    <row r="3160" spans="1:12" x14ac:dyDescent="0.25">
      <c r="A3160" s="45">
        <f>C3160&amp;"."&amp;IFERROR(MID(E3160,FIND("(",E3160)+1,FIND(")",E3160)-FIND("(",E3160)-1),"")</f>
      </c>
      <c r="B3160" s="46" t="s">
        <v>1178</v>
      </c>
      <c r="C3160" s="46">
        <v>85597</v>
      </c>
      <c r="D3160" s="46" t="s">
        <v>5402</v>
      </c>
      <c r="E3160" s="46" t="s">
        <v>5403</v>
      </c>
      <c r="F3160" s="46" t="s">
        <v>25</v>
      </c>
      <c r="G3160" s="47">
        <v>2.5</v>
      </c>
      <c r="H3160" s="48">
        <v>17.427</v>
      </c>
      <c r="I3160" s="48">
        <v>69.706</v>
      </c>
      <c r="J3160" s="49">
        <v>4</v>
      </c>
      <c r="K3160" s="49">
        <v>0</v>
      </c>
      <c r="L3160" s="49">
        <v>4</v>
      </c>
    </row>
    <row r="3161" spans="1:12" x14ac:dyDescent="0.25">
      <c r="A3161" s="45">
        <f>C3161&amp;"."&amp;IFERROR(MID(E3161,FIND("(",E3161)+1,FIND(")",E3161)-FIND("(",E3161)-1),"")</f>
      </c>
      <c r="B3161" s="46" t="s">
        <v>1178</v>
      </c>
      <c r="C3161" s="46">
        <v>85597</v>
      </c>
      <c r="D3161" s="46" t="s">
        <v>5402</v>
      </c>
      <c r="E3161" s="46" t="s">
        <v>5404</v>
      </c>
      <c r="F3161" s="46" t="s">
        <v>25</v>
      </c>
      <c r="G3161" s="47">
        <v>2.5</v>
      </c>
      <c r="H3161" s="48">
        <v>16.939</v>
      </c>
      <c r="I3161" s="48">
        <v>101.635</v>
      </c>
      <c r="J3161" s="49">
        <v>6</v>
      </c>
      <c r="K3161" s="49">
        <v>0</v>
      </c>
      <c r="L3161" s="49">
        <v>6</v>
      </c>
    </row>
    <row r="3162" spans="1:12" x14ac:dyDescent="0.25">
      <c r="A3162" s="45">
        <f>C3162&amp;"."&amp;IFERROR(MID(E3162,FIND("(",E3162)+1,FIND(")",E3162)-FIND("(",E3162)-1),"")</f>
      </c>
      <c r="B3162" s="46" t="s">
        <v>1178</v>
      </c>
      <c r="C3162" s="46">
        <v>85632</v>
      </c>
      <c r="D3162" s="46" t="s">
        <v>5405</v>
      </c>
      <c r="E3162" s="46" t="s">
        <v>5406</v>
      </c>
      <c r="F3162" s="46" t="s">
        <v>25</v>
      </c>
      <c r="G3162" s="47">
        <v>0</v>
      </c>
      <c r="H3162" s="48">
        <v>7.136</v>
      </c>
      <c r="I3162" s="48">
        <v>192.665</v>
      </c>
      <c r="J3162" s="49">
        <v>27</v>
      </c>
      <c r="K3162" s="49">
        <v>20</v>
      </c>
      <c r="L3162" s="49">
        <v>7</v>
      </c>
    </row>
    <row r="3163" spans="1:12" x14ac:dyDescent="0.25">
      <c r="A3163" s="45">
        <f>C3163&amp;"."&amp;IFERROR(MID(E3163,FIND("(",E3163)+1,FIND(")",E3163)-FIND("(",E3163)-1),"")</f>
      </c>
      <c r="B3163" s="46" t="s">
        <v>1178</v>
      </c>
      <c r="C3163" s="46">
        <v>85633</v>
      </c>
      <c r="D3163" s="46" t="s">
        <v>5407</v>
      </c>
      <c r="E3163" s="46" t="s">
        <v>5408</v>
      </c>
      <c r="F3163" s="46" t="s">
        <v>25</v>
      </c>
      <c r="G3163" s="47">
        <v>0</v>
      </c>
      <c r="H3163" s="48">
        <v>7.273</v>
      </c>
      <c r="I3163" s="48">
        <v>65.455</v>
      </c>
      <c r="J3163" s="49">
        <v>9</v>
      </c>
      <c r="K3163" s="49">
        <v>0</v>
      </c>
      <c r="L3163" s="49">
        <v>9</v>
      </c>
    </row>
    <row r="3164" spans="1:12" x14ac:dyDescent="0.25">
      <c r="A3164" s="45">
        <f>C3164&amp;"."&amp;IFERROR(MID(E3164,FIND("(",E3164)+1,FIND(")",E3164)-FIND("(",E3164)-1),"")</f>
      </c>
      <c r="B3164" s="46" t="s">
        <v>1178</v>
      </c>
      <c r="C3164" s="46">
        <v>85634</v>
      </c>
      <c r="D3164" s="46" t="s">
        <v>5409</v>
      </c>
      <c r="E3164" s="46" t="s">
        <v>5410</v>
      </c>
      <c r="F3164" s="46" t="s">
        <v>25</v>
      </c>
      <c r="G3164" s="47">
        <v>0.25</v>
      </c>
      <c r="H3164" s="48">
        <v>8.41</v>
      </c>
      <c r="I3164" s="48">
        <v>8.41</v>
      </c>
      <c r="J3164" s="49">
        <v>1</v>
      </c>
      <c r="K3164" s="49">
        <v>0</v>
      </c>
      <c r="L3164" s="49">
        <v>1</v>
      </c>
    </row>
    <row r="3165" spans="1:12" x14ac:dyDescent="0.25">
      <c r="A3165" s="45">
        <f>C3165&amp;"."&amp;IFERROR(MID(E3165,FIND("(",E3165)+1,FIND(")",E3165)-FIND("(",E3165)-1),"")</f>
      </c>
      <c r="B3165" s="46" t="s">
        <v>1178</v>
      </c>
      <c r="C3165" s="46">
        <v>85635</v>
      </c>
      <c r="D3165" s="46" t="s">
        <v>5411</v>
      </c>
      <c r="E3165" s="46" t="s">
        <v>1248</v>
      </c>
      <c r="F3165" s="46" t="s">
        <v>25</v>
      </c>
      <c r="G3165" s="47">
        <v>0.32</v>
      </c>
      <c r="H3165" s="48">
        <v>0.514</v>
      </c>
      <c r="I3165" s="48">
        <v>14.916</v>
      </c>
      <c r="J3165" s="49">
        <v>29</v>
      </c>
      <c r="K3165" s="49">
        <v>29</v>
      </c>
      <c r="L3165" s="49">
        <v>0</v>
      </c>
    </row>
    <row r="3166" spans="1:12" x14ac:dyDescent="0.25">
      <c r="A3166" s="45">
        <f>C3166&amp;"."&amp;IFERROR(MID(E3166,FIND("(",E3166)+1,FIND(")",E3166)-FIND("(",E3166)-1),"")</f>
      </c>
      <c r="B3166" s="46" t="s">
        <v>1178</v>
      </c>
      <c r="C3166" s="46">
        <v>85637</v>
      </c>
      <c r="D3166" s="46" t="s">
        <v>5412</v>
      </c>
      <c r="E3166" s="46" t="s">
        <v>1248</v>
      </c>
      <c r="F3166" s="46" t="s">
        <v>25</v>
      </c>
      <c r="G3166" s="47">
        <v>0.35</v>
      </c>
      <c r="H3166" s="48">
        <v>0.733</v>
      </c>
      <c r="I3166" s="48">
        <v>30.055</v>
      </c>
      <c r="J3166" s="49">
        <v>41</v>
      </c>
      <c r="K3166" s="49">
        <v>2</v>
      </c>
      <c r="L3166" s="49">
        <v>39</v>
      </c>
    </row>
    <row r="3167" spans="1:12" x14ac:dyDescent="0.25">
      <c r="A3167" s="45">
        <f>C3167&amp;"."&amp;IFERROR(MID(E3167,FIND("(",E3167)+1,FIND(")",E3167)-FIND("(",E3167)-1),"")</f>
      </c>
      <c r="B3167" s="46" t="s">
        <v>1178</v>
      </c>
      <c r="C3167" s="46">
        <v>85640</v>
      </c>
      <c r="D3167" s="46" t="s">
        <v>892</v>
      </c>
      <c r="E3167" s="46" t="s">
        <v>5413</v>
      </c>
      <c r="F3167" s="46" t="s">
        <v>25</v>
      </c>
      <c r="G3167" s="47">
        <v>11</v>
      </c>
      <c r="H3167" s="48">
        <v>171.932</v>
      </c>
      <c r="I3167" s="48">
        <v>18912.554</v>
      </c>
      <c r="J3167" s="49">
        <v>110</v>
      </c>
      <c r="K3167" s="49">
        <v>35</v>
      </c>
      <c r="L3167" s="49">
        <v>75</v>
      </c>
    </row>
    <row r="3168" spans="1:12" x14ac:dyDescent="0.25">
      <c r="A3168" s="45">
        <f>C3168&amp;"."&amp;IFERROR(MID(E3168,FIND("(",E3168)+1,FIND(")",E3168)-FIND("(",E3168)-1),"")</f>
      </c>
      <c r="B3168" s="46" t="s">
        <v>1178</v>
      </c>
      <c r="C3168" s="46">
        <v>85641</v>
      </c>
      <c r="D3168" s="46" t="s">
        <v>5414</v>
      </c>
      <c r="E3168" s="46" t="s">
        <v>1248</v>
      </c>
      <c r="F3168" s="46" t="s">
        <v>25</v>
      </c>
      <c r="G3168" s="47">
        <v>0</v>
      </c>
      <c r="H3168" s="48">
        <v>22.951</v>
      </c>
      <c r="I3168" s="48">
        <v>22.951</v>
      </c>
      <c r="J3168" s="49">
        <v>1</v>
      </c>
      <c r="K3168" s="49">
        <v>0</v>
      </c>
      <c r="L3168" s="49">
        <v>1</v>
      </c>
    </row>
    <row r="3169" spans="1:12" x14ac:dyDescent="0.25">
      <c r="A3169" s="45">
        <f>C3169&amp;"."&amp;IFERROR(MID(E3169,FIND("(",E3169)+1,FIND(")",E3169)-FIND("(",E3169)-1),"")</f>
      </c>
      <c r="B3169" s="46" t="s">
        <v>1178</v>
      </c>
      <c r="C3169" s="46">
        <v>85644</v>
      </c>
      <c r="D3169" s="46" t="s">
        <v>295</v>
      </c>
      <c r="E3169" s="46" t="s">
        <v>5415</v>
      </c>
      <c r="F3169" s="46" t="s">
        <v>25</v>
      </c>
      <c r="G3169" s="47">
        <v>17</v>
      </c>
      <c r="H3169" s="48">
        <v>257.392</v>
      </c>
      <c r="I3169" s="48">
        <v>50963.601</v>
      </c>
      <c r="J3169" s="49">
        <v>198</v>
      </c>
      <c r="K3169" s="49">
        <v>105</v>
      </c>
      <c r="L3169" s="49">
        <v>93</v>
      </c>
    </row>
    <row r="3170" spans="1:12" x14ac:dyDescent="0.25">
      <c r="A3170" s="45">
        <f>C3170&amp;"."&amp;IFERROR(MID(E3170,FIND("(",E3170)+1,FIND(")",E3170)-FIND("(",E3170)-1),"")</f>
      </c>
      <c r="B3170" s="46" t="s">
        <v>1178</v>
      </c>
      <c r="C3170" s="46">
        <v>85648</v>
      </c>
      <c r="D3170" s="46" t="s">
        <v>289</v>
      </c>
      <c r="E3170" s="46" t="s">
        <v>5416</v>
      </c>
      <c r="F3170" s="46" t="s">
        <v>25</v>
      </c>
      <c r="G3170" s="47">
        <v>11.65</v>
      </c>
      <c r="H3170" s="48">
        <v>159.801</v>
      </c>
      <c r="I3170" s="48">
        <v>17737.931</v>
      </c>
      <c r="J3170" s="49">
        <v>111</v>
      </c>
      <c r="K3170" s="49">
        <v>82</v>
      </c>
      <c r="L3170" s="49">
        <v>29</v>
      </c>
    </row>
    <row r="3171" spans="1:12" x14ac:dyDescent="0.25">
      <c r="A3171" s="45">
        <f>C3171&amp;"."&amp;IFERROR(MID(E3171,FIND("(",E3171)+1,FIND(")",E3171)-FIND("(",E3171)-1),"")</f>
      </c>
      <c r="B3171" s="46" t="s">
        <v>1178</v>
      </c>
      <c r="C3171" s="46">
        <v>85651</v>
      </c>
      <c r="D3171" s="46" t="s">
        <v>1124</v>
      </c>
      <c r="E3171" s="46" t="s">
        <v>5417</v>
      </c>
      <c r="F3171" s="46" t="s">
        <v>24</v>
      </c>
      <c r="G3171" s="47">
        <v>35</v>
      </c>
      <c r="H3171" s="48">
        <v>122.98</v>
      </c>
      <c r="I3171" s="48">
        <v>21644.5</v>
      </c>
      <c r="J3171" s="49">
        <v>176</v>
      </c>
      <c r="K3171" s="49">
        <v>46</v>
      </c>
      <c r="L3171" s="49">
        <v>130</v>
      </c>
    </row>
    <row r="3172" spans="1:12" x14ac:dyDescent="0.25">
      <c r="A3172" s="45">
        <f>C3172&amp;"."&amp;IFERROR(MID(E3172,FIND("(",E3172)+1,FIND(")",E3172)-FIND("(",E3172)-1),"")</f>
      </c>
      <c r="B3172" s="46" t="s">
        <v>1178</v>
      </c>
      <c r="C3172" s="46">
        <v>85652</v>
      </c>
      <c r="D3172" s="46" t="s">
        <v>5418</v>
      </c>
      <c r="E3172" s="46" t="s">
        <v>5419</v>
      </c>
      <c r="F3172" s="46" t="s">
        <v>24</v>
      </c>
      <c r="G3172" s="47">
        <v>7.07</v>
      </c>
      <c r="H3172" s="48">
        <v>22.235</v>
      </c>
      <c r="I3172" s="48">
        <v>177.881</v>
      </c>
      <c r="J3172" s="49">
        <v>8</v>
      </c>
      <c r="K3172" s="49">
        <v>0</v>
      </c>
      <c r="L3172" s="49">
        <v>8</v>
      </c>
    </row>
    <row r="3173" spans="1:12" x14ac:dyDescent="0.25">
      <c r="A3173" s="45">
        <f>C3173&amp;"."&amp;IFERROR(MID(E3173,FIND("(",E3173)+1,FIND(")",E3173)-FIND("(",E3173)-1),"")</f>
      </c>
      <c r="B3173" s="46" t="s">
        <v>1178</v>
      </c>
      <c r="C3173" s="46">
        <v>85653</v>
      </c>
      <c r="D3173" s="46" t="s">
        <v>5420</v>
      </c>
      <c r="E3173" s="46" t="s">
        <v>5421</v>
      </c>
      <c r="F3173" s="46" t="s">
        <v>24</v>
      </c>
      <c r="G3173" s="47">
        <v>7.07</v>
      </c>
      <c r="H3173" s="48">
        <v>22.236</v>
      </c>
      <c r="I3173" s="48">
        <v>111.179</v>
      </c>
      <c r="J3173" s="49">
        <v>5</v>
      </c>
      <c r="K3173" s="49">
        <v>2</v>
      </c>
      <c r="L3173" s="49">
        <v>3</v>
      </c>
    </row>
    <row r="3174" spans="1:12" x14ac:dyDescent="0.25">
      <c r="A3174" s="45">
        <f>C3174&amp;"."&amp;IFERROR(MID(E3174,FIND("(",E3174)+1,FIND(")",E3174)-FIND("(",E3174)-1),"")</f>
      </c>
      <c r="B3174" s="46" t="s">
        <v>1178</v>
      </c>
      <c r="C3174" s="46">
        <v>85654</v>
      </c>
      <c r="D3174" s="46" t="s">
        <v>1119</v>
      </c>
      <c r="E3174" s="46" t="s">
        <v>5422</v>
      </c>
      <c r="F3174" s="46" t="s">
        <v>24</v>
      </c>
      <c r="G3174" s="47">
        <v>37</v>
      </c>
      <c r="H3174" s="48">
        <v>241.888</v>
      </c>
      <c r="I3174" s="48">
        <v>21769.9</v>
      </c>
      <c r="J3174" s="49">
        <v>90</v>
      </c>
      <c r="K3174" s="49">
        <v>46</v>
      </c>
      <c r="L3174" s="49">
        <v>44</v>
      </c>
    </row>
    <row r="3175" spans="1:12" x14ac:dyDescent="0.25">
      <c r="A3175" s="45">
        <f>C3175&amp;"."&amp;IFERROR(MID(E3175,FIND("(",E3175)+1,FIND(")",E3175)-FIND("(",E3175)-1),"")</f>
      </c>
      <c r="B3175" s="46" t="s">
        <v>1178</v>
      </c>
      <c r="C3175" s="46">
        <v>85657</v>
      </c>
      <c r="D3175" s="46" t="s">
        <v>5423</v>
      </c>
      <c r="E3175" s="46" t="s">
        <v>5424</v>
      </c>
      <c r="F3175" s="46" t="s">
        <v>24</v>
      </c>
      <c r="G3175" s="47">
        <v>6</v>
      </c>
      <c r="H3175" s="48">
        <v>14.32</v>
      </c>
      <c r="I3175" s="48">
        <v>171.845</v>
      </c>
      <c r="J3175" s="49">
        <v>12</v>
      </c>
      <c r="K3175" s="49">
        <v>3</v>
      </c>
      <c r="L3175" s="49">
        <v>9</v>
      </c>
    </row>
    <row r="3176" spans="1:12" x14ac:dyDescent="0.25">
      <c r="A3176" s="45">
        <f>C3176&amp;"."&amp;IFERROR(MID(E3176,FIND("(",E3176)+1,FIND(")",E3176)-FIND("(",E3176)-1),"")</f>
      </c>
      <c r="B3176" s="46" t="s">
        <v>1178</v>
      </c>
      <c r="C3176" s="46">
        <v>85658</v>
      </c>
      <c r="D3176" s="46" t="s">
        <v>5425</v>
      </c>
      <c r="E3176" s="46" t="s">
        <v>5426</v>
      </c>
      <c r="F3176" s="46" t="s">
        <v>24</v>
      </c>
      <c r="G3176" s="47">
        <v>1.08</v>
      </c>
      <c r="H3176" s="48">
        <v>6.567</v>
      </c>
      <c r="I3176" s="48">
        <v>91.936</v>
      </c>
      <c r="J3176" s="49">
        <v>14</v>
      </c>
      <c r="K3176" s="49">
        <v>3</v>
      </c>
      <c r="L3176" s="49">
        <v>11</v>
      </c>
    </row>
    <row r="3177" spans="1:12" x14ac:dyDescent="0.25">
      <c r="A3177" s="45">
        <f>C3177&amp;"."&amp;IFERROR(MID(E3177,FIND("(",E3177)+1,FIND(")",E3177)-FIND("(",E3177)-1),"")</f>
      </c>
      <c r="B3177" s="46" t="s">
        <v>1178</v>
      </c>
      <c r="C3177" s="46">
        <v>85660</v>
      </c>
      <c r="D3177" s="46" t="s">
        <v>5427</v>
      </c>
      <c r="E3177" s="46" t="s">
        <v>5428</v>
      </c>
      <c r="F3177" s="46" t="s">
        <v>24</v>
      </c>
      <c r="G3177" s="47">
        <v>0</v>
      </c>
      <c r="H3177" s="48">
        <v>7.339</v>
      </c>
      <c r="I3177" s="48">
        <v>44.036</v>
      </c>
      <c r="J3177" s="49">
        <v>6</v>
      </c>
      <c r="K3177" s="49">
        <v>0</v>
      </c>
      <c r="L3177" s="49">
        <v>6</v>
      </c>
    </row>
    <row r="3178" spans="1:12" x14ac:dyDescent="0.25">
      <c r="A3178" s="45">
        <f>C3178&amp;"."&amp;IFERROR(MID(E3178,FIND("(",E3178)+1,FIND(")",E3178)-FIND("(",E3178)-1),"")</f>
      </c>
      <c r="B3178" s="46" t="s">
        <v>1178</v>
      </c>
      <c r="C3178" s="46">
        <v>85663</v>
      </c>
      <c r="D3178" s="46" t="s">
        <v>5429</v>
      </c>
      <c r="E3178" s="46" t="s">
        <v>5430</v>
      </c>
      <c r="F3178" s="46" t="s">
        <v>24</v>
      </c>
      <c r="G3178" s="47">
        <v>0.34</v>
      </c>
      <c r="H3178" s="48">
        <v>2.688</v>
      </c>
      <c r="I3178" s="48">
        <v>26.875</v>
      </c>
      <c r="J3178" s="49">
        <v>10</v>
      </c>
      <c r="K3178" s="49">
        <v>0</v>
      </c>
      <c r="L3178" s="49">
        <v>10</v>
      </c>
    </row>
    <row r="3179" spans="1:12" x14ac:dyDescent="0.25">
      <c r="A3179" s="45">
        <f>C3179&amp;"."&amp;IFERROR(MID(E3179,FIND("(",E3179)+1,FIND(")",E3179)-FIND("(",E3179)-1),"")</f>
      </c>
      <c r="B3179" s="46" t="s">
        <v>1178</v>
      </c>
      <c r="C3179" s="46">
        <v>85666</v>
      </c>
      <c r="D3179" s="46" t="s">
        <v>5431</v>
      </c>
      <c r="E3179" s="46" t="s">
        <v>5432</v>
      </c>
      <c r="F3179" s="46" t="s">
        <v>24</v>
      </c>
      <c r="G3179" s="47">
        <v>1.54</v>
      </c>
      <c r="H3179" s="48">
        <v>5.637</v>
      </c>
      <c r="I3179" s="48">
        <v>50.737</v>
      </c>
      <c r="J3179" s="49">
        <v>9</v>
      </c>
      <c r="K3179" s="49">
        <v>0</v>
      </c>
      <c r="L3179" s="49">
        <v>9</v>
      </c>
    </row>
    <row r="3180" spans="1:12" x14ac:dyDescent="0.25">
      <c r="A3180" s="45">
        <f>C3180&amp;"."&amp;IFERROR(MID(E3180,FIND("(",E3180)+1,FIND(")",E3180)-FIND("(",E3180)-1),"")</f>
      </c>
      <c r="B3180" s="46" t="s">
        <v>1178</v>
      </c>
      <c r="C3180" s="46">
        <v>85668</v>
      </c>
      <c r="D3180" s="46" t="s">
        <v>5433</v>
      </c>
      <c r="E3180" s="46" t="s">
        <v>5434</v>
      </c>
      <c r="F3180" s="46" t="s">
        <v>24</v>
      </c>
      <c r="G3180" s="47">
        <v>3.12</v>
      </c>
      <c r="H3180" s="48">
        <v>11.682</v>
      </c>
      <c r="I3180" s="48">
        <v>105.137</v>
      </c>
      <c r="J3180" s="49">
        <v>9</v>
      </c>
      <c r="K3180" s="49">
        <v>0</v>
      </c>
      <c r="L3180" s="49">
        <v>9</v>
      </c>
    </row>
    <row r="3181" spans="1:12" x14ac:dyDescent="0.25">
      <c r="A3181" s="45">
        <f>C3181&amp;"."&amp;IFERROR(MID(E3181,FIND("(",E3181)+1,FIND(")",E3181)-FIND("(",E3181)-1),"")</f>
      </c>
      <c r="B3181" s="46" t="s">
        <v>1178</v>
      </c>
      <c r="C3181" s="46">
        <v>85670</v>
      </c>
      <c r="D3181" s="46" t="s">
        <v>128</v>
      </c>
      <c r="E3181" s="46" t="s">
        <v>5435</v>
      </c>
      <c r="F3181" s="46" t="s">
        <v>24</v>
      </c>
      <c r="G3181" s="47">
        <v>37</v>
      </c>
      <c r="H3181" s="48">
        <v>144.18</v>
      </c>
      <c r="I3181" s="48">
        <v>11534.384</v>
      </c>
      <c r="J3181" s="49">
        <v>80</v>
      </c>
      <c r="K3181" s="49">
        <v>0</v>
      </c>
      <c r="L3181" s="49">
        <v>80</v>
      </c>
    </row>
    <row r="3182" spans="1:12" x14ac:dyDescent="0.25">
      <c r="A3182" s="45">
        <f>C3182&amp;"."&amp;IFERROR(MID(E3182,FIND("(",E3182)+1,FIND(")",E3182)-FIND("(",E3182)-1),"")</f>
      </c>
      <c r="B3182" s="46" t="s">
        <v>1178</v>
      </c>
      <c r="C3182" s="46">
        <v>85672</v>
      </c>
      <c r="D3182" s="46" t="s">
        <v>5436</v>
      </c>
      <c r="E3182" s="46" t="s">
        <v>1248</v>
      </c>
      <c r="F3182" s="46" t="s">
        <v>1495</v>
      </c>
      <c r="G3182" s="47">
        <v>0</v>
      </c>
      <c r="H3182" s="48">
        <v>7.16</v>
      </c>
      <c r="I3182" s="48">
        <v>50.121</v>
      </c>
      <c r="J3182" s="49">
        <v>7</v>
      </c>
      <c r="K3182" s="49">
        <v>0</v>
      </c>
      <c r="L3182" s="49">
        <v>7</v>
      </c>
    </row>
    <row r="3183" spans="1:12" x14ac:dyDescent="0.25">
      <c r="A3183" s="45">
        <f>C3183&amp;"."&amp;IFERROR(MID(E3183,FIND("(",E3183)+1,FIND(")",E3183)-FIND("(",E3183)-1),"")</f>
      </c>
      <c r="B3183" s="46" t="s">
        <v>1178</v>
      </c>
      <c r="C3183" s="46">
        <v>85673</v>
      </c>
      <c r="D3183" s="46" t="s">
        <v>5437</v>
      </c>
      <c r="E3183" s="46" t="s">
        <v>1248</v>
      </c>
      <c r="F3183" s="46" t="s">
        <v>1495</v>
      </c>
      <c r="G3183" s="47">
        <v>0</v>
      </c>
      <c r="H3183" s="48">
        <v>3.265</v>
      </c>
      <c r="I3183" s="48">
        <v>84.885</v>
      </c>
      <c r="J3183" s="49">
        <v>26</v>
      </c>
      <c r="K3183" s="49">
        <v>0</v>
      </c>
      <c r="L3183" s="49">
        <v>26</v>
      </c>
    </row>
    <row r="3184" spans="1:12" x14ac:dyDescent="0.25">
      <c r="A3184" s="45">
        <f>C3184&amp;"."&amp;IFERROR(MID(E3184,FIND("(",E3184)+1,FIND(")",E3184)-FIND("(",E3184)-1),"")</f>
      </c>
      <c r="B3184" s="46" t="s">
        <v>1178</v>
      </c>
      <c r="C3184" s="46">
        <v>85674</v>
      </c>
      <c r="D3184" s="46" t="s">
        <v>5438</v>
      </c>
      <c r="E3184" s="46" t="s">
        <v>1248</v>
      </c>
      <c r="F3184" s="46" t="s">
        <v>1495</v>
      </c>
      <c r="G3184" s="47">
        <v>0</v>
      </c>
      <c r="H3184" s="48">
        <v>5.346</v>
      </c>
      <c r="I3184" s="48">
        <v>64.15</v>
      </c>
      <c r="J3184" s="49">
        <v>12</v>
      </c>
      <c r="K3184" s="49">
        <v>0</v>
      </c>
      <c r="L3184" s="49">
        <v>12</v>
      </c>
    </row>
    <row r="3185" spans="1:12" x14ac:dyDescent="0.25">
      <c r="A3185" s="45">
        <f>C3185&amp;"."&amp;IFERROR(MID(E3185,FIND("(",E3185)+1,FIND(")",E3185)-FIND("(",E3185)-1),"")</f>
      </c>
      <c r="B3185" s="46" t="s">
        <v>1178</v>
      </c>
      <c r="C3185" s="46">
        <v>85810</v>
      </c>
      <c r="D3185" s="46" t="s">
        <v>5439</v>
      </c>
      <c r="E3185" s="46" t="s">
        <v>1248</v>
      </c>
      <c r="F3185" s="46" t="s">
        <v>1495</v>
      </c>
      <c r="G3185" s="47">
        <v>0</v>
      </c>
      <c r="H3185" s="48">
        <v>10.872</v>
      </c>
      <c r="I3185" s="48">
        <v>86.974</v>
      </c>
      <c r="J3185" s="49">
        <v>8</v>
      </c>
      <c r="K3185" s="49">
        <v>0</v>
      </c>
      <c r="L3185" s="49">
        <v>8</v>
      </c>
    </row>
    <row r="3186" spans="1:12" x14ac:dyDescent="0.25">
      <c r="A3186" s="45">
        <f>C3186&amp;"."&amp;IFERROR(MID(E3186,FIND("(",E3186)+1,FIND(")",E3186)-FIND("(",E3186)-1),"")</f>
      </c>
      <c r="B3186" s="46" t="s">
        <v>1178</v>
      </c>
      <c r="C3186" s="46">
        <v>85811</v>
      </c>
      <c r="D3186" s="46" t="s">
        <v>5440</v>
      </c>
      <c r="E3186" s="46" t="s">
        <v>1248</v>
      </c>
      <c r="F3186" s="46" t="s">
        <v>1495</v>
      </c>
      <c r="G3186" s="47">
        <v>0</v>
      </c>
      <c r="H3186" s="48">
        <v>7.409</v>
      </c>
      <c r="I3186" s="48">
        <v>125.95</v>
      </c>
      <c r="J3186" s="49">
        <v>17</v>
      </c>
      <c r="K3186" s="49">
        <v>0</v>
      </c>
      <c r="L3186" s="49">
        <v>17</v>
      </c>
    </row>
    <row r="3187" spans="1:12" x14ac:dyDescent="0.25">
      <c r="A3187" s="45">
        <f>C3187&amp;"."&amp;IFERROR(MID(E3187,FIND("(",E3187)+1,FIND(")",E3187)-FIND("(",E3187)-1),"")</f>
      </c>
      <c r="B3187" s="46" t="s">
        <v>1178</v>
      </c>
      <c r="C3187" s="46">
        <v>85842</v>
      </c>
      <c r="D3187" s="46" t="s">
        <v>5441</v>
      </c>
      <c r="E3187" s="46" t="s">
        <v>1248</v>
      </c>
      <c r="F3187" s="46" t="s">
        <v>1495</v>
      </c>
      <c r="G3187" s="47">
        <v>0</v>
      </c>
      <c r="H3187" s="48">
        <v>6.514</v>
      </c>
      <c r="I3187" s="48">
        <v>65.139</v>
      </c>
      <c r="J3187" s="49">
        <v>10</v>
      </c>
      <c r="K3187" s="49">
        <v>0</v>
      </c>
      <c r="L3187" s="49">
        <v>10</v>
      </c>
    </row>
    <row r="3188" spans="1:12" x14ac:dyDescent="0.25">
      <c r="A3188" s="45">
        <f>C3188&amp;"."&amp;IFERROR(MID(E3188,FIND("(",E3188)+1,FIND(")",E3188)-FIND("(",E3188)-1),"")</f>
      </c>
      <c r="B3188" s="46" t="s">
        <v>1178</v>
      </c>
      <c r="C3188" s="46">
        <v>85911</v>
      </c>
      <c r="D3188" s="46" t="s">
        <v>5442</v>
      </c>
      <c r="E3188" s="46" t="s">
        <v>5443</v>
      </c>
      <c r="F3188" s="46" t="s">
        <v>25</v>
      </c>
      <c r="G3188" s="47">
        <v>2.57</v>
      </c>
      <c r="H3188" s="48">
        <v>3.058</v>
      </c>
      <c r="I3188" s="48">
        <v>9.173</v>
      </c>
      <c r="J3188" s="49">
        <v>3</v>
      </c>
      <c r="K3188" s="49">
        <v>0</v>
      </c>
      <c r="L3188" s="49">
        <v>3</v>
      </c>
    </row>
    <row r="3189" spans="1:12" x14ac:dyDescent="0.25">
      <c r="A3189" s="45">
        <f>C3189&amp;"."&amp;IFERROR(MID(E3189,FIND("(",E3189)+1,FIND(")",E3189)-FIND("(",E3189)-1),"")</f>
      </c>
      <c r="B3189" s="46" t="s">
        <v>1178</v>
      </c>
      <c r="C3189" s="46">
        <v>85917</v>
      </c>
      <c r="D3189" s="46" t="s">
        <v>5444</v>
      </c>
      <c r="E3189" s="46" t="s">
        <v>5445</v>
      </c>
      <c r="F3189" s="46" t="s">
        <v>25</v>
      </c>
      <c r="G3189" s="47">
        <v>2.57</v>
      </c>
      <c r="H3189" s="48">
        <v>44.049</v>
      </c>
      <c r="I3189" s="48">
        <v>396.441</v>
      </c>
      <c r="J3189" s="49">
        <v>9</v>
      </c>
      <c r="K3189" s="49">
        <v>0</v>
      </c>
      <c r="L3189" s="49">
        <v>9</v>
      </c>
    </row>
    <row r="3190" spans="1:12" x14ac:dyDescent="0.25">
      <c r="A3190" s="45">
        <f>C3190&amp;"."&amp;IFERROR(MID(E3190,FIND("(",E3190)+1,FIND(")",E3190)-FIND("(",E3190)-1),"")</f>
      </c>
      <c r="B3190" s="46" t="s">
        <v>1178</v>
      </c>
      <c r="C3190" s="46">
        <v>86066</v>
      </c>
      <c r="D3190" s="46" t="s">
        <v>5446</v>
      </c>
      <c r="E3190" s="46" t="s">
        <v>1248</v>
      </c>
      <c r="F3190" s="46" t="s">
        <v>1495</v>
      </c>
      <c r="G3190" s="47">
        <v>0</v>
      </c>
      <c r="H3190" s="48">
        <v>8.537</v>
      </c>
      <c r="I3190" s="48">
        <v>85.367</v>
      </c>
      <c r="J3190" s="49">
        <v>10</v>
      </c>
      <c r="K3190" s="49">
        <v>0</v>
      </c>
      <c r="L3190" s="49">
        <v>10</v>
      </c>
    </row>
    <row r="3191" spans="1:12" x14ac:dyDescent="0.25">
      <c r="A3191" s="45">
        <f>C3191&amp;"."&amp;IFERROR(MID(E3191,FIND("(",E3191)+1,FIND(")",E3191)-FIND("(",E3191)-1),"")</f>
      </c>
      <c r="B3191" s="46" t="s">
        <v>1178</v>
      </c>
      <c r="C3191" s="46">
        <v>86071</v>
      </c>
      <c r="D3191" s="46" t="s">
        <v>247</v>
      </c>
      <c r="E3191" s="46" t="s">
        <v>5447</v>
      </c>
      <c r="F3191" s="46" t="s">
        <v>25</v>
      </c>
      <c r="G3191" s="47">
        <v>15</v>
      </c>
      <c r="H3191" s="48">
        <v>223.453</v>
      </c>
      <c r="I3191" s="48">
        <v>27931.608</v>
      </c>
      <c r="J3191" s="49">
        <v>125</v>
      </c>
      <c r="K3191" s="49">
        <v>89</v>
      </c>
      <c r="L3191" s="49">
        <v>36</v>
      </c>
    </row>
    <row r="3192" spans="1:12" x14ac:dyDescent="0.25">
      <c r="A3192" s="45">
        <f>C3192&amp;"."&amp;IFERROR(MID(E3192,FIND("(",E3192)+1,FIND(")",E3192)-FIND("(",E3192)-1),"")</f>
      </c>
      <c r="B3192" s="46" t="s">
        <v>1178</v>
      </c>
      <c r="C3192" s="46">
        <v>86094</v>
      </c>
      <c r="D3192" s="46" t="s">
        <v>5448</v>
      </c>
      <c r="E3192" s="46" t="s">
        <v>5449</v>
      </c>
      <c r="F3192" s="46" t="s">
        <v>26</v>
      </c>
      <c r="G3192" s="47">
        <v>0.43</v>
      </c>
      <c r="H3192" s="48">
        <v>1.61</v>
      </c>
      <c r="I3192" s="48">
        <v>3.22</v>
      </c>
      <c r="J3192" s="49">
        <v>2</v>
      </c>
      <c r="K3192" s="49">
        <v>0</v>
      </c>
      <c r="L3192" s="49">
        <v>2</v>
      </c>
    </row>
    <row r="3193" spans="1:12" x14ac:dyDescent="0.25">
      <c r="A3193" s="45">
        <f>C3193&amp;"."&amp;IFERROR(MID(E3193,FIND("(",E3193)+1,FIND(")",E3193)-FIND("(",E3193)-1),"")</f>
      </c>
      <c r="B3193" s="46" t="s">
        <v>1178</v>
      </c>
      <c r="C3193" s="46">
        <v>86099</v>
      </c>
      <c r="D3193" s="46" t="s">
        <v>5450</v>
      </c>
      <c r="E3193" s="46" t="s">
        <v>5451</v>
      </c>
      <c r="F3193" s="46" t="s">
        <v>26</v>
      </c>
      <c r="G3193" s="47">
        <v>0.43</v>
      </c>
      <c r="H3193" s="48">
        <v>1.61</v>
      </c>
      <c r="I3193" s="48">
        <v>4.83</v>
      </c>
      <c r="J3193" s="49">
        <v>3</v>
      </c>
      <c r="K3193" s="49">
        <v>0</v>
      </c>
      <c r="L3193" s="49">
        <v>3</v>
      </c>
    </row>
    <row r="3194" spans="1:12" x14ac:dyDescent="0.25">
      <c r="A3194" s="45">
        <f>C3194&amp;"."&amp;IFERROR(MID(E3194,FIND("(",E3194)+1,FIND(")",E3194)-FIND("(",E3194)-1),"")</f>
      </c>
      <c r="B3194" s="46" t="s">
        <v>1178</v>
      </c>
      <c r="C3194" s="46">
        <v>86118</v>
      </c>
      <c r="D3194" s="46" t="s">
        <v>5452</v>
      </c>
      <c r="E3194" s="46" t="s">
        <v>1248</v>
      </c>
      <c r="F3194" s="46" t="s">
        <v>1495</v>
      </c>
      <c r="G3194" s="47">
        <v>0</v>
      </c>
      <c r="H3194" s="48">
        <v>3.367</v>
      </c>
      <c r="I3194" s="48">
        <v>161.609</v>
      </c>
      <c r="J3194" s="49">
        <v>48</v>
      </c>
      <c r="K3194" s="49">
        <v>0</v>
      </c>
      <c r="L3194" s="49">
        <v>48</v>
      </c>
    </row>
    <row r="3195" spans="1:12" x14ac:dyDescent="0.25">
      <c r="A3195" s="45">
        <f>C3195&amp;"."&amp;IFERROR(MID(E3195,FIND("(",E3195)+1,FIND(")",E3195)-FIND("(",E3195)-1),"")</f>
      </c>
      <c r="B3195" s="46" t="s">
        <v>1178</v>
      </c>
      <c r="C3195" s="46">
        <v>86119</v>
      </c>
      <c r="D3195" s="46" t="s">
        <v>5453</v>
      </c>
      <c r="E3195" s="46" t="s">
        <v>1248</v>
      </c>
      <c r="F3195" s="46" t="s">
        <v>1495</v>
      </c>
      <c r="G3195" s="47">
        <v>0</v>
      </c>
      <c r="H3195" s="48">
        <v>3.369</v>
      </c>
      <c r="I3195" s="48">
        <v>37.057</v>
      </c>
      <c r="J3195" s="49">
        <v>11</v>
      </c>
      <c r="K3195" s="49">
        <v>0</v>
      </c>
      <c r="L3195" s="49">
        <v>11</v>
      </c>
    </row>
    <row r="3196" spans="1:12" x14ac:dyDescent="0.25">
      <c r="A3196" s="45">
        <f>C3196&amp;"."&amp;IFERROR(MID(E3196,FIND("(",E3196)+1,FIND(")",E3196)-FIND("(",E3196)-1),"")</f>
      </c>
      <c r="B3196" s="46" t="s">
        <v>1178</v>
      </c>
      <c r="C3196" s="46">
        <v>86164</v>
      </c>
      <c r="D3196" s="46" t="s">
        <v>5454</v>
      </c>
      <c r="E3196" s="46" t="s">
        <v>5455</v>
      </c>
      <c r="F3196" s="46" t="s">
        <v>26</v>
      </c>
      <c r="G3196" s="47">
        <v>2.13</v>
      </c>
      <c r="H3196" s="48">
        <v>12.864</v>
      </c>
      <c r="I3196" s="48">
        <v>25.728</v>
      </c>
      <c r="J3196" s="49">
        <v>2</v>
      </c>
      <c r="K3196" s="49">
        <v>0</v>
      </c>
      <c r="L3196" s="49">
        <v>2</v>
      </c>
    </row>
    <row r="3197" spans="1:12" x14ac:dyDescent="0.25">
      <c r="A3197" s="45">
        <f>C3197&amp;"."&amp;IFERROR(MID(E3197,FIND("(",E3197)+1,FIND(")",E3197)-FIND("(",E3197)-1),"")</f>
      </c>
      <c r="B3197" s="46" t="s">
        <v>1178</v>
      </c>
      <c r="C3197" s="46">
        <v>86169</v>
      </c>
      <c r="D3197" s="46" t="s">
        <v>5456</v>
      </c>
      <c r="E3197" s="46" t="s">
        <v>5457</v>
      </c>
      <c r="F3197" s="46" t="s">
        <v>26</v>
      </c>
      <c r="G3197" s="47">
        <v>2.7</v>
      </c>
      <c r="H3197" s="48">
        <v>12.597</v>
      </c>
      <c r="I3197" s="48">
        <v>12.597</v>
      </c>
      <c r="J3197" s="49">
        <v>1</v>
      </c>
      <c r="K3197" s="49">
        <v>0</v>
      </c>
      <c r="L3197" s="49">
        <v>1</v>
      </c>
    </row>
    <row r="3198" spans="1:12" x14ac:dyDescent="0.25">
      <c r="A3198" s="45">
        <f>C3198&amp;"."&amp;IFERROR(MID(E3198,FIND("(",E3198)+1,FIND(")",E3198)-FIND("(",E3198)-1),"")</f>
      </c>
      <c r="B3198" s="46" t="s">
        <v>1178</v>
      </c>
      <c r="C3198" s="46">
        <v>86182</v>
      </c>
      <c r="D3198" s="46" t="s">
        <v>5458</v>
      </c>
      <c r="E3198" s="46" t="s">
        <v>5459</v>
      </c>
      <c r="F3198" s="46" t="s">
        <v>26</v>
      </c>
      <c r="G3198" s="47">
        <v>0.32</v>
      </c>
      <c r="H3198" s="48">
        <v>0.475</v>
      </c>
      <c r="I3198" s="48">
        <v>3.804</v>
      </c>
      <c r="J3198" s="49">
        <v>8</v>
      </c>
      <c r="K3198" s="49">
        <v>0</v>
      </c>
      <c r="L3198" s="49">
        <v>8</v>
      </c>
    </row>
    <row r="3199" spans="1:12" x14ac:dyDescent="0.25">
      <c r="A3199" s="45">
        <f>C3199&amp;"."&amp;IFERROR(MID(E3199,FIND("(",E3199)+1,FIND(")",E3199)-FIND("(",E3199)-1),"")</f>
      </c>
      <c r="B3199" s="46" t="s">
        <v>1178</v>
      </c>
      <c r="C3199" s="46">
        <v>86204</v>
      </c>
      <c r="D3199" s="46" t="s">
        <v>90</v>
      </c>
      <c r="E3199" s="46" t="s">
        <v>5460</v>
      </c>
      <c r="F3199" s="46" t="s">
        <v>26</v>
      </c>
      <c r="G3199" s="47">
        <v>31.45</v>
      </c>
      <c r="H3199" s="48">
        <v>147.005</v>
      </c>
      <c r="I3199" s="48">
        <v>3675.131</v>
      </c>
      <c r="J3199" s="49">
        <v>25</v>
      </c>
      <c r="K3199" s="49">
        <v>0</v>
      </c>
      <c r="L3199" s="49">
        <v>25</v>
      </c>
    </row>
    <row r="3200" spans="1:12" x14ac:dyDescent="0.25">
      <c r="A3200" s="45">
        <f>C3200&amp;"."&amp;IFERROR(MID(E3200,FIND("(",E3200)+1,FIND(")",E3200)-FIND("(",E3200)-1),"")</f>
      </c>
      <c r="B3200" s="46" t="s">
        <v>1178</v>
      </c>
      <c r="C3200" s="46">
        <v>86204</v>
      </c>
      <c r="D3200" s="46" t="s">
        <v>90</v>
      </c>
      <c r="E3200" s="46" t="s">
        <v>5461</v>
      </c>
      <c r="F3200" s="46" t="s">
        <v>26</v>
      </c>
      <c r="G3200" s="47">
        <v>31.45</v>
      </c>
      <c r="H3200" s="48">
        <v>185.302</v>
      </c>
      <c r="I3200" s="48">
        <v>4817.842</v>
      </c>
      <c r="J3200" s="49">
        <v>26</v>
      </c>
      <c r="K3200" s="49">
        <v>13</v>
      </c>
      <c r="L3200" s="49">
        <v>13</v>
      </c>
    </row>
    <row r="3201" spans="1:12" x14ac:dyDescent="0.25">
      <c r="A3201" s="45">
        <f>C3201&amp;"."&amp;IFERROR(MID(E3201,FIND("(",E3201)+1,FIND(")",E3201)-FIND("(",E3201)-1),"")</f>
      </c>
      <c r="B3201" s="46" t="s">
        <v>1178</v>
      </c>
      <c r="C3201" s="46">
        <v>86205</v>
      </c>
      <c r="D3201" s="46" t="s">
        <v>5462</v>
      </c>
      <c r="E3201" s="46" t="s">
        <v>5463</v>
      </c>
      <c r="F3201" s="46" t="s">
        <v>26</v>
      </c>
      <c r="G3201" s="47">
        <v>1.19</v>
      </c>
      <c r="H3201" s="48">
        <v>9.711</v>
      </c>
      <c r="I3201" s="48">
        <v>38.843</v>
      </c>
      <c r="J3201" s="49">
        <v>4</v>
      </c>
      <c r="K3201" s="49">
        <v>1</v>
      </c>
      <c r="L3201" s="49">
        <v>3</v>
      </c>
    </row>
    <row r="3202" spans="1:12" x14ac:dyDescent="0.25">
      <c r="A3202" s="45">
        <f>C3202&amp;"."&amp;IFERROR(MID(E3202,FIND("(",E3202)+1,FIND(")",E3202)-FIND("(",E3202)-1),"")</f>
      </c>
      <c r="B3202" s="46" t="s">
        <v>1178</v>
      </c>
      <c r="C3202" s="46">
        <v>86206</v>
      </c>
      <c r="D3202" s="46" t="s">
        <v>5464</v>
      </c>
      <c r="E3202" s="46" t="s">
        <v>5465</v>
      </c>
      <c r="F3202" s="46" t="s">
        <v>26</v>
      </c>
      <c r="G3202" s="47">
        <v>1.19</v>
      </c>
      <c r="H3202" s="48">
        <v>1.585</v>
      </c>
      <c r="I3202" s="48">
        <v>9.511</v>
      </c>
      <c r="J3202" s="49">
        <v>6</v>
      </c>
      <c r="K3202" s="49">
        <v>0</v>
      </c>
      <c r="L3202" s="49">
        <v>6</v>
      </c>
    </row>
    <row r="3203" spans="1:12" x14ac:dyDescent="0.25">
      <c r="A3203" s="45">
        <f>C3203&amp;"."&amp;IFERROR(MID(E3203,FIND("(",E3203)+1,FIND(")",E3203)-FIND("(",E3203)-1),"")</f>
      </c>
      <c r="B3203" s="46" t="s">
        <v>1178</v>
      </c>
      <c r="C3203" s="46">
        <v>86209</v>
      </c>
      <c r="D3203" s="46" t="s">
        <v>5466</v>
      </c>
      <c r="E3203" s="46" t="s">
        <v>5467</v>
      </c>
      <c r="F3203" s="46" t="s">
        <v>26</v>
      </c>
      <c r="G3203" s="47">
        <v>0.6</v>
      </c>
      <c r="H3203" s="48">
        <v>3.589</v>
      </c>
      <c r="I3203" s="48">
        <v>3.589</v>
      </c>
      <c r="J3203" s="49">
        <v>1</v>
      </c>
      <c r="K3203" s="49">
        <v>1</v>
      </c>
      <c r="L3203" s="49">
        <v>0</v>
      </c>
    </row>
    <row r="3204" spans="1:12" x14ac:dyDescent="0.25">
      <c r="A3204" s="45">
        <f>C3204&amp;"."&amp;IFERROR(MID(E3204,FIND("(",E3204)+1,FIND(")",E3204)-FIND("(",E3204)-1),"")</f>
      </c>
      <c r="B3204" s="46" t="s">
        <v>1178</v>
      </c>
      <c r="C3204" s="46">
        <v>86210</v>
      </c>
      <c r="D3204" s="46" t="s">
        <v>5468</v>
      </c>
      <c r="E3204" s="46" t="s">
        <v>5469</v>
      </c>
      <c r="F3204" s="46" t="s">
        <v>26</v>
      </c>
      <c r="G3204" s="47">
        <v>0.6</v>
      </c>
      <c r="H3204" s="48">
        <v>1.123</v>
      </c>
      <c r="I3204" s="48">
        <v>5.616</v>
      </c>
      <c r="J3204" s="49">
        <v>5</v>
      </c>
      <c r="K3204" s="49">
        <v>0</v>
      </c>
      <c r="L3204" s="49">
        <v>5</v>
      </c>
    </row>
    <row r="3205" spans="1:12" x14ac:dyDescent="0.25">
      <c r="A3205" s="45">
        <f>C3205&amp;"."&amp;IFERROR(MID(E3205,FIND("(",E3205)+1,FIND(")",E3205)-FIND("(",E3205)-1),"")</f>
      </c>
      <c r="B3205" s="46" t="s">
        <v>1178</v>
      </c>
      <c r="C3205" s="46">
        <v>86214</v>
      </c>
      <c r="D3205" s="46" t="s">
        <v>5470</v>
      </c>
      <c r="E3205" s="46" t="s">
        <v>5471</v>
      </c>
      <c r="F3205" s="46" t="s">
        <v>26</v>
      </c>
      <c r="G3205" s="47">
        <v>1.28</v>
      </c>
      <c r="H3205" s="48">
        <v>6.517</v>
      </c>
      <c r="I3205" s="48">
        <v>6.517</v>
      </c>
      <c r="J3205" s="49">
        <v>1</v>
      </c>
      <c r="K3205" s="49">
        <v>0</v>
      </c>
      <c r="L3205" s="49">
        <v>1</v>
      </c>
    </row>
    <row r="3206" spans="1:12" x14ac:dyDescent="0.25">
      <c r="A3206" s="45">
        <f>C3206&amp;"."&amp;IFERROR(MID(E3206,FIND("(",E3206)+1,FIND(")",E3206)-FIND("(",E3206)-1),"")</f>
      </c>
      <c r="B3206" s="46" t="s">
        <v>1178</v>
      </c>
      <c r="C3206" s="46">
        <v>86215</v>
      </c>
      <c r="D3206" s="46" t="s">
        <v>5472</v>
      </c>
      <c r="E3206" s="46" t="s">
        <v>5473</v>
      </c>
      <c r="F3206" s="46" t="s">
        <v>26</v>
      </c>
      <c r="G3206" s="47">
        <v>1.28</v>
      </c>
      <c r="H3206" s="48">
        <v>0.934</v>
      </c>
      <c r="I3206" s="48">
        <v>4.669</v>
      </c>
      <c r="J3206" s="49">
        <v>5</v>
      </c>
      <c r="K3206" s="49">
        <v>0</v>
      </c>
      <c r="L3206" s="49">
        <v>5</v>
      </c>
    </row>
    <row r="3207" spans="1:12" x14ac:dyDescent="0.25">
      <c r="A3207" s="45">
        <f>C3207&amp;"."&amp;IFERROR(MID(E3207,FIND("(",E3207)+1,FIND(")",E3207)-FIND("(",E3207)-1),"")</f>
      </c>
      <c r="B3207" s="46" t="s">
        <v>1178</v>
      </c>
      <c r="C3207" s="46">
        <v>86219</v>
      </c>
      <c r="D3207" s="46" t="s">
        <v>5474</v>
      </c>
      <c r="E3207" s="46" t="s">
        <v>5475</v>
      </c>
      <c r="F3207" s="46" t="s">
        <v>26</v>
      </c>
      <c r="G3207" s="47">
        <v>1.11</v>
      </c>
      <c r="H3207" s="48">
        <v>10.817</v>
      </c>
      <c r="I3207" s="48">
        <v>10.817</v>
      </c>
      <c r="J3207" s="49">
        <v>1</v>
      </c>
      <c r="K3207" s="49">
        <v>0</v>
      </c>
      <c r="L3207" s="49">
        <v>1</v>
      </c>
    </row>
    <row r="3208" spans="1:12" x14ac:dyDescent="0.25">
      <c r="A3208" s="45">
        <f>C3208&amp;"."&amp;IFERROR(MID(E3208,FIND("(",E3208)+1,FIND(")",E3208)-FIND("(",E3208)-1),"")</f>
      </c>
      <c r="B3208" s="46" t="s">
        <v>1178</v>
      </c>
      <c r="C3208" s="46">
        <v>86220</v>
      </c>
      <c r="D3208" s="46" t="s">
        <v>5476</v>
      </c>
      <c r="E3208" s="46" t="s">
        <v>5477</v>
      </c>
      <c r="F3208" s="46" t="s">
        <v>26</v>
      </c>
      <c r="G3208" s="47">
        <v>1.11</v>
      </c>
      <c r="H3208" s="48">
        <v>1.068</v>
      </c>
      <c r="I3208" s="48">
        <v>3.203</v>
      </c>
      <c r="J3208" s="49">
        <v>3</v>
      </c>
      <c r="K3208" s="49">
        <v>0</v>
      </c>
      <c r="L3208" s="49">
        <v>3</v>
      </c>
    </row>
    <row r="3209" spans="1:12" x14ac:dyDescent="0.25">
      <c r="A3209" s="45">
        <f>C3209&amp;"."&amp;IFERROR(MID(E3209,FIND("(",E3209)+1,FIND(")",E3209)-FIND("(",E3209)-1),"")</f>
      </c>
      <c r="B3209" s="46" t="s">
        <v>1178</v>
      </c>
      <c r="C3209" s="46">
        <v>86232</v>
      </c>
      <c r="D3209" s="46" t="s">
        <v>5478</v>
      </c>
      <c r="E3209" s="46" t="s">
        <v>5479</v>
      </c>
      <c r="F3209" s="46" t="s">
        <v>26</v>
      </c>
      <c r="G3209" s="47">
        <v>2.55</v>
      </c>
      <c r="H3209" s="48">
        <v>10.542</v>
      </c>
      <c r="I3209" s="48">
        <v>10.542</v>
      </c>
      <c r="J3209" s="49">
        <v>1</v>
      </c>
      <c r="K3209" s="49">
        <v>0</v>
      </c>
      <c r="L3209" s="49">
        <v>1</v>
      </c>
    </row>
    <row r="3210" spans="1:12" x14ac:dyDescent="0.25">
      <c r="A3210" s="45">
        <f>C3210&amp;"."&amp;IFERROR(MID(E3210,FIND("(",E3210)+1,FIND(")",E3210)-FIND("(",E3210)-1),"")</f>
      </c>
      <c r="B3210" s="46" t="s">
        <v>1178</v>
      </c>
      <c r="C3210" s="46">
        <v>86236</v>
      </c>
      <c r="D3210" s="46" t="s">
        <v>5480</v>
      </c>
      <c r="E3210" s="46" t="s">
        <v>5481</v>
      </c>
      <c r="F3210" s="46" t="s">
        <v>26</v>
      </c>
      <c r="G3210" s="47">
        <v>0</v>
      </c>
      <c r="H3210" s="48">
        <v>10.796</v>
      </c>
      <c r="I3210" s="48">
        <v>10.796</v>
      </c>
      <c r="J3210" s="49">
        <v>1</v>
      </c>
      <c r="K3210" s="49">
        <v>0</v>
      </c>
      <c r="L3210" s="49">
        <v>1</v>
      </c>
    </row>
    <row r="3211" spans="1:12" x14ac:dyDescent="0.25">
      <c r="A3211" s="45">
        <f>C3211&amp;"."&amp;IFERROR(MID(E3211,FIND("(",E3211)+1,FIND(")",E3211)-FIND("(",E3211)-1),"")</f>
      </c>
      <c r="B3211" s="46" t="s">
        <v>1178</v>
      </c>
      <c r="C3211" s="46">
        <v>86237</v>
      </c>
      <c r="D3211" s="46" t="s">
        <v>5482</v>
      </c>
      <c r="E3211" s="46" t="s">
        <v>5483</v>
      </c>
      <c r="F3211" s="46" t="s">
        <v>26</v>
      </c>
      <c r="G3211" s="47">
        <v>1.29</v>
      </c>
      <c r="H3211" s="48">
        <v>332.828</v>
      </c>
      <c r="I3211" s="48">
        <v>998.484</v>
      </c>
      <c r="J3211" s="49">
        <v>3</v>
      </c>
      <c r="K3211" s="49">
        <v>0</v>
      </c>
      <c r="L3211" s="49">
        <v>3</v>
      </c>
    </row>
    <row r="3212" spans="1:12" x14ac:dyDescent="0.25">
      <c r="A3212" s="45">
        <f>C3212&amp;"."&amp;IFERROR(MID(E3212,FIND("(",E3212)+1,FIND(")",E3212)-FIND("(",E3212)-1),"")</f>
      </c>
      <c r="B3212" s="46" t="s">
        <v>1178</v>
      </c>
      <c r="C3212" s="46">
        <v>86239</v>
      </c>
      <c r="D3212" s="46" t="s">
        <v>5484</v>
      </c>
      <c r="E3212" s="46" t="s">
        <v>5485</v>
      </c>
      <c r="F3212" s="46" t="s">
        <v>26</v>
      </c>
      <c r="G3212" s="47">
        <v>1.14</v>
      </c>
      <c r="H3212" s="48">
        <v>9.616</v>
      </c>
      <c r="I3212" s="48">
        <v>57.696</v>
      </c>
      <c r="J3212" s="49">
        <v>6</v>
      </c>
      <c r="K3212" s="49">
        <v>0</v>
      </c>
      <c r="L3212" s="49">
        <v>6</v>
      </c>
    </row>
    <row r="3213" spans="1:12" x14ac:dyDescent="0.25">
      <c r="A3213" s="45">
        <f>C3213&amp;"."&amp;IFERROR(MID(E3213,FIND("(",E3213)+1,FIND(")",E3213)-FIND("(",E3213)-1),"")</f>
      </c>
      <c r="B3213" s="46" t="s">
        <v>1178</v>
      </c>
      <c r="C3213" s="46">
        <v>86247</v>
      </c>
      <c r="D3213" s="46" t="s">
        <v>5486</v>
      </c>
      <c r="E3213" s="46" t="s">
        <v>5487</v>
      </c>
      <c r="F3213" s="46" t="s">
        <v>26</v>
      </c>
      <c r="G3213" s="47">
        <v>5.13</v>
      </c>
      <c r="H3213" s="48">
        <v>19.944</v>
      </c>
      <c r="I3213" s="48">
        <v>39.889</v>
      </c>
      <c r="J3213" s="49">
        <v>2</v>
      </c>
      <c r="K3213" s="49">
        <v>0</v>
      </c>
      <c r="L3213" s="49">
        <v>2</v>
      </c>
    </row>
    <row r="3214" spans="1:12" x14ac:dyDescent="0.25">
      <c r="A3214" s="45">
        <f>C3214&amp;"."&amp;IFERROR(MID(E3214,FIND("(",E3214)+1,FIND(")",E3214)-FIND("(",E3214)-1),"")</f>
      </c>
      <c r="B3214" s="46" t="s">
        <v>1178</v>
      </c>
      <c r="C3214" s="46">
        <v>86249</v>
      </c>
      <c r="D3214" s="46" t="s">
        <v>5488</v>
      </c>
      <c r="E3214" s="46" t="s">
        <v>5489</v>
      </c>
      <c r="F3214" s="46" t="s">
        <v>26</v>
      </c>
      <c r="G3214" s="47">
        <v>5.13</v>
      </c>
      <c r="H3214" s="48">
        <v>0.796</v>
      </c>
      <c r="I3214" s="48">
        <v>7.957</v>
      </c>
      <c r="J3214" s="49">
        <v>10</v>
      </c>
      <c r="K3214" s="49">
        <v>0</v>
      </c>
      <c r="L3214" s="49">
        <v>10</v>
      </c>
    </row>
    <row r="3215" spans="1:12" x14ac:dyDescent="0.25">
      <c r="A3215" s="45">
        <f>C3215&amp;"."&amp;IFERROR(MID(E3215,FIND("(",E3215)+1,FIND(")",E3215)-FIND("(",E3215)-1),"")</f>
      </c>
      <c r="B3215" s="46" t="s">
        <v>1178</v>
      </c>
      <c r="C3215" s="46">
        <v>86252</v>
      </c>
      <c r="D3215" s="46" t="s">
        <v>5490</v>
      </c>
      <c r="E3215" s="46" t="s">
        <v>5491</v>
      </c>
      <c r="F3215" s="46" t="s">
        <v>26</v>
      </c>
      <c r="G3215" s="47">
        <v>6.66</v>
      </c>
      <c r="H3215" s="48">
        <v>19.194</v>
      </c>
      <c r="I3215" s="48">
        <v>57.581</v>
      </c>
      <c r="J3215" s="49">
        <v>3</v>
      </c>
      <c r="K3215" s="49">
        <v>0</v>
      </c>
      <c r="L3215" s="49">
        <v>3</v>
      </c>
    </row>
    <row r="3216" spans="1:12" x14ac:dyDescent="0.25">
      <c r="A3216" s="45">
        <f>C3216&amp;"."&amp;IFERROR(MID(E3216,FIND("(",E3216)+1,FIND(")",E3216)-FIND("(",E3216)-1),"")</f>
      </c>
      <c r="B3216" s="46" t="s">
        <v>1178</v>
      </c>
      <c r="C3216" s="46">
        <v>86257</v>
      </c>
      <c r="D3216" s="46" t="s">
        <v>5492</v>
      </c>
      <c r="E3216" s="46" t="s">
        <v>5493</v>
      </c>
      <c r="F3216" s="46" t="s">
        <v>26</v>
      </c>
      <c r="G3216" s="47">
        <v>6.51</v>
      </c>
      <c r="H3216" s="48">
        <v>35.719</v>
      </c>
      <c r="I3216" s="48">
        <v>35.719</v>
      </c>
      <c r="J3216" s="49">
        <v>1</v>
      </c>
      <c r="K3216" s="49">
        <v>0</v>
      </c>
      <c r="L3216" s="49">
        <v>1</v>
      </c>
    </row>
    <row r="3217" spans="1:12" x14ac:dyDescent="0.25">
      <c r="A3217" s="45">
        <f>C3217&amp;"."&amp;IFERROR(MID(E3217,FIND("(",E3217)+1,FIND(")",E3217)-FIND("(",E3217)-1),"")</f>
      </c>
      <c r="B3217" s="46" t="s">
        <v>1178</v>
      </c>
      <c r="C3217" s="46">
        <v>86260</v>
      </c>
      <c r="D3217" s="46" t="s">
        <v>5494</v>
      </c>
      <c r="E3217" s="46" t="s">
        <v>5495</v>
      </c>
      <c r="F3217" s="46" t="s">
        <v>26</v>
      </c>
      <c r="G3217" s="47">
        <v>0.46</v>
      </c>
      <c r="H3217" s="48">
        <v>1.376</v>
      </c>
      <c r="I3217" s="48">
        <v>2.751</v>
      </c>
      <c r="J3217" s="49">
        <v>2</v>
      </c>
      <c r="K3217" s="49">
        <v>1</v>
      </c>
      <c r="L3217" s="49">
        <v>1</v>
      </c>
    </row>
    <row r="3218" spans="1:12" x14ac:dyDescent="0.25">
      <c r="A3218" s="45">
        <f>C3218&amp;"."&amp;IFERROR(MID(E3218,FIND("(",E3218)+1,FIND(")",E3218)-FIND("(",E3218)-1),"")</f>
      </c>
      <c r="B3218" s="46" t="s">
        <v>1178</v>
      </c>
      <c r="C3218" s="46">
        <v>86265</v>
      </c>
      <c r="D3218" s="46" t="s">
        <v>374</v>
      </c>
      <c r="E3218" s="46" t="s">
        <v>5496</v>
      </c>
      <c r="F3218" s="46" t="s">
        <v>26</v>
      </c>
      <c r="G3218" s="47">
        <v>48.95</v>
      </c>
      <c r="H3218" s="48">
        <v>158.987</v>
      </c>
      <c r="I3218" s="48">
        <v>3815.683</v>
      </c>
      <c r="J3218" s="49">
        <v>24</v>
      </c>
      <c r="K3218" s="49">
        <v>0</v>
      </c>
      <c r="L3218" s="49">
        <v>24</v>
      </c>
    </row>
    <row r="3219" spans="1:12" x14ac:dyDescent="0.25">
      <c r="A3219" s="45">
        <f>C3219&amp;"."&amp;IFERROR(MID(E3219,FIND("(",E3219)+1,FIND(")",E3219)-FIND("(",E3219)-1),"")</f>
      </c>
      <c r="B3219" s="46" t="s">
        <v>1178</v>
      </c>
      <c r="C3219" s="46">
        <v>86265</v>
      </c>
      <c r="D3219" s="46" t="s">
        <v>374</v>
      </c>
      <c r="E3219" s="46" t="s">
        <v>5497</v>
      </c>
      <c r="F3219" s="46" t="s">
        <v>26</v>
      </c>
      <c r="G3219" s="47">
        <v>48.95</v>
      </c>
      <c r="H3219" s="48">
        <v>161.112</v>
      </c>
      <c r="I3219" s="48">
        <v>4027.804</v>
      </c>
      <c r="J3219" s="49">
        <v>25</v>
      </c>
      <c r="K3219" s="49">
        <v>13</v>
      </c>
      <c r="L3219" s="49">
        <v>12</v>
      </c>
    </row>
    <row r="3220" spans="1:12" x14ac:dyDescent="0.25">
      <c r="A3220" s="45">
        <f>C3220&amp;"."&amp;IFERROR(MID(E3220,FIND("(",E3220)+1,FIND(")",E3220)-FIND("(",E3220)-1),"")</f>
      </c>
      <c r="B3220" s="46" t="s">
        <v>1178</v>
      </c>
      <c r="C3220" s="46">
        <v>86267</v>
      </c>
      <c r="D3220" s="46" t="s">
        <v>5498</v>
      </c>
      <c r="E3220" s="46" t="s">
        <v>5499</v>
      </c>
      <c r="F3220" s="46" t="s">
        <v>26</v>
      </c>
      <c r="G3220" s="47">
        <v>1.64</v>
      </c>
      <c r="H3220" s="48">
        <v>2.931</v>
      </c>
      <c r="I3220" s="48">
        <v>8.792</v>
      </c>
      <c r="J3220" s="49">
        <v>3</v>
      </c>
      <c r="K3220" s="49">
        <v>0</v>
      </c>
      <c r="L3220" s="49">
        <v>3</v>
      </c>
    </row>
    <row r="3221" spans="1:12" x14ac:dyDescent="0.25">
      <c r="A3221" s="45">
        <f>C3221&amp;"."&amp;IFERROR(MID(E3221,FIND("(",E3221)+1,FIND(")",E3221)-FIND("(",E3221)-1),"")</f>
      </c>
      <c r="B3221" s="46" t="s">
        <v>1178</v>
      </c>
      <c r="C3221" s="46">
        <v>86283</v>
      </c>
      <c r="D3221" s="46" t="s">
        <v>5500</v>
      </c>
      <c r="E3221" s="46" t="s">
        <v>5501</v>
      </c>
      <c r="F3221" s="46" t="s">
        <v>26</v>
      </c>
      <c r="G3221" s="47">
        <v>10.13</v>
      </c>
      <c r="H3221" s="48">
        <v>12.185</v>
      </c>
      <c r="I3221" s="48">
        <v>36.556</v>
      </c>
      <c r="J3221" s="49">
        <v>3</v>
      </c>
      <c r="K3221" s="49">
        <v>0</v>
      </c>
      <c r="L3221" s="49">
        <v>3</v>
      </c>
    </row>
    <row r="3222" spans="1:12" x14ac:dyDescent="0.25">
      <c r="A3222" s="45">
        <f>C3222&amp;"."&amp;IFERROR(MID(E3222,FIND("(",E3222)+1,FIND(")",E3222)-FIND("(",E3222)-1),"")</f>
      </c>
      <c r="B3222" s="46" t="s">
        <v>1178</v>
      </c>
      <c r="C3222" s="46">
        <v>86283</v>
      </c>
      <c r="D3222" s="46" t="s">
        <v>5500</v>
      </c>
      <c r="E3222" s="46" t="s">
        <v>5502</v>
      </c>
      <c r="F3222" s="46" t="s">
        <v>26</v>
      </c>
      <c r="G3222" s="47">
        <v>10.13</v>
      </c>
      <c r="H3222" s="48">
        <v>33.974</v>
      </c>
      <c r="I3222" s="48">
        <v>135.895</v>
      </c>
      <c r="J3222" s="49">
        <v>4</v>
      </c>
      <c r="K3222" s="49">
        <v>0</v>
      </c>
      <c r="L3222" s="49">
        <v>4</v>
      </c>
    </row>
    <row r="3223" spans="1:12" x14ac:dyDescent="0.25">
      <c r="A3223" s="45">
        <f>C3223&amp;"."&amp;IFERROR(MID(E3223,FIND("(",E3223)+1,FIND(")",E3223)-FIND("(",E3223)-1),"")</f>
      </c>
      <c r="B3223" s="46" t="s">
        <v>1178</v>
      </c>
      <c r="C3223" s="46">
        <v>86289</v>
      </c>
      <c r="D3223" s="46" t="s">
        <v>5503</v>
      </c>
      <c r="E3223" s="46" t="s">
        <v>5504</v>
      </c>
      <c r="F3223" s="46" t="s">
        <v>26</v>
      </c>
      <c r="G3223" s="47">
        <v>10.13</v>
      </c>
      <c r="H3223" s="48">
        <v>33.185</v>
      </c>
      <c r="I3223" s="48">
        <v>298.669</v>
      </c>
      <c r="J3223" s="49">
        <v>9</v>
      </c>
      <c r="K3223" s="49">
        <v>0</v>
      </c>
      <c r="L3223" s="49">
        <v>9</v>
      </c>
    </row>
    <row r="3224" spans="1:12" x14ac:dyDescent="0.25">
      <c r="A3224" s="45">
        <f>C3224&amp;"."&amp;IFERROR(MID(E3224,FIND("(",E3224)+1,FIND(")",E3224)-FIND("(",E3224)-1),"")</f>
      </c>
      <c r="B3224" s="46" t="s">
        <v>1178</v>
      </c>
      <c r="C3224" s="46">
        <v>86290</v>
      </c>
      <c r="D3224" s="46" t="s">
        <v>5505</v>
      </c>
      <c r="E3224" s="46" t="s">
        <v>5506</v>
      </c>
      <c r="F3224" s="46" t="s">
        <v>26</v>
      </c>
      <c r="G3224" s="47">
        <v>10.13</v>
      </c>
      <c r="H3224" s="48">
        <v>7.584</v>
      </c>
      <c r="I3224" s="48">
        <v>212.35</v>
      </c>
      <c r="J3224" s="49">
        <v>28</v>
      </c>
      <c r="K3224" s="49">
        <v>0</v>
      </c>
      <c r="L3224" s="49">
        <v>28</v>
      </c>
    </row>
    <row r="3225" spans="1:12" x14ac:dyDescent="0.25">
      <c r="A3225" s="45">
        <f>C3225&amp;"."&amp;IFERROR(MID(E3225,FIND("(",E3225)+1,FIND(")",E3225)-FIND("(",E3225)-1),"")</f>
      </c>
      <c r="B3225" s="46" t="s">
        <v>1178</v>
      </c>
      <c r="C3225" s="46">
        <v>86292</v>
      </c>
      <c r="D3225" s="46" t="s">
        <v>5507</v>
      </c>
      <c r="E3225" s="46" t="s">
        <v>5508</v>
      </c>
      <c r="F3225" s="46" t="s">
        <v>26</v>
      </c>
      <c r="G3225" s="47">
        <v>0.38</v>
      </c>
      <c r="H3225" s="48">
        <v>5.106</v>
      </c>
      <c r="I3225" s="48">
        <v>45.952</v>
      </c>
      <c r="J3225" s="49">
        <v>9</v>
      </c>
      <c r="K3225" s="49">
        <v>5</v>
      </c>
      <c r="L3225" s="49">
        <v>4</v>
      </c>
    </row>
    <row r="3226" spans="1:12" x14ac:dyDescent="0.25">
      <c r="A3226" s="45">
        <f>C3226&amp;"."&amp;IFERROR(MID(E3226,FIND("(",E3226)+1,FIND(")",E3226)-FIND("(",E3226)-1),"")</f>
      </c>
      <c r="B3226" s="46" t="s">
        <v>1178</v>
      </c>
      <c r="C3226" s="46">
        <v>86297</v>
      </c>
      <c r="D3226" s="46" t="s">
        <v>5509</v>
      </c>
      <c r="E3226" s="46" t="s">
        <v>5510</v>
      </c>
      <c r="F3226" s="46" t="s">
        <v>26</v>
      </c>
      <c r="G3226" s="47">
        <v>0.38</v>
      </c>
      <c r="H3226" s="48">
        <v>3.217</v>
      </c>
      <c r="I3226" s="48">
        <v>25.736</v>
      </c>
      <c r="J3226" s="49">
        <v>8</v>
      </c>
      <c r="K3226" s="49">
        <v>4</v>
      </c>
      <c r="L3226" s="49">
        <v>4</v>
      </c>
    </row>
    <row r="3227" spans="1:12" x14ac:dyDescent="0.25">
      <c r="A3227" s="45">
        <f>C3227&amp;"."&amp;IFERROR(MID(E3227,FIND("(",E3227)+1,FIND(")",E3227)-FIND("(",E3227)-1),"")</f>
      </c>
      <c r="B3227" s="46" t="s">
        <v>1178</v>
      </c>
      <c r="C3227" s="46">
        <v>86300</v>
      </c>
      <c r="D3227" s="46" t="s">
        <v>5511</v>
      </c>
      <c r="E3227" s="46" t="s">
        <v>5512</v>
      </c>
      <c r="F3227" s="46" t="s">
        <v>26</v>
      </c>
      <c r="G3227" s="47">
        <v>1.84</v>
      </c>
      <c r="H3227" s="48">
        <v>6.64</v>
      </c>
      <c r="I3227" s="48">
        <v>13.28</v>
      </c>
      <c r="J3227" s="49">
        <v>2</v>
      </c>
      <c r="K3227" s="49">
        <v>1</v>
      </c>
      <c r="L3227" s="49">
        <v>1</v>
      </c>
    </row>
    <row r="3228" spans="1:12" x14ac:dyDescent="0.25">
      <c r="A3228" s="45">
        <f>C3228&amp;"."&amp;IFERROR(MID(E3228,FIND("(",E3228)+1,FIND(")",E3228)-FIND("(",E3228)-1),"")</f>
      </c>
      <c r="B3228" s="46" t="s">
        <v>1178</v>
      </c>
      <c r="C3228" s="46">
        <v>86314</v>
      </c>
      <c r="D3228" s="46" t="s">
        <v>5513</v>
      </c>
      <c r="E3228" s="46" t="s">
        <v>5514</v>
      </c>
      <c r="F3228" s="46" t="s">
        <v>26</v>
      </c>
      <c r="G3228" s="47">
        <v>2.24</v>
      </c>
      <c r="H3228" s="48">
        <v>13.058</v>
      </c>
      <c r="I3228" s="48">
        <v>13.058</v>
      </c>
      <c r="J3228" s="49">
        <v>1</v>
      </c>
      <c r="K3228" s="49">
        <v>0</v>
      </c>
      <c r="L3228" s="49">
        <v>1</v>
      </c>
    </row>
    <row r="3229" spans="1:12" x14ac:dyDescent="0.25">
      <c r="A3229" s="45">
        <f>C3229&amp;"."&amp;IFERROR(MID(E3229,FIND("(",E3229)+1,FIND(")",E3229)-FIND("(",E3229)-1),"")</f>
      </c>
      <c r="B3229" s="46" t="s">
        <v>1178</v>
      </c>
      <c r="C3229" s="46">
        <v>86318</v>
      </c>
      <c r="D3229" s="46" t="s">
        <v>456</v>
      </c>
      <c r="E3229" s="46" t="s">
        <v>5515</v>
      </c>
      <c r="F3229" s="46" t="s">
        <v>26</v>
      </c>
      <c r="G3229" s="47">
        <v>29.65</v>
      </c>
      <c r="H3229" s="48">
        <v>129.962</v>
      </c>
      <c r="I3229" s="48">
        <v>519.85</v>
      </c>
      <c r="J3229" s="49">
        <v>4</v>
      </c>
      <c r="K3229" s="49">
        <v>0</v>
      </c>
      <c r="L3229" s="49">
        <v>4</v>
      </c>
    </row>
    <row r="3230" spans="1:12" x14ac:dyDescent="0.25">
      <c r="A3230" s="45">
        <f>C3230&amp;"."&amp;IFERROR(MID(E3230,FIND("(",E3230)+1,FIND(")",E3230)-FIND("(",E3230)-1),"")</f>
      </c>
      <c r="B3230" s="46" t="s">
        <v>1178</v>
      </c>
      <c r="C3230" s="46">
        <v>86321</v>
      </c>
      <c r="D3230" s="46" t="s">
        <v>5516</v>
      </c>
      <c r="E3230" s="46" t="s">
        <v>5517</v>
      </c>
      <c r="F3230" s="46" t="s">
        <v>26</v>
      </c>
      <c r="G3230" s="47">
        <v>13.06</v>
      </c>
      <c r="H3230" s="48">
        <v>49.241</v>
      </c>
      <c r="I3230" s="48">
        <v>246.203</v>
      </c>
      <c r="J3230" s="49">
        <v>5</v>
      </c>
      <c r="K3230" s="49">
        <v>5</v>
      </c>
      <c r="L3230" s="49">
        <v>0</v>
      </c>
    </row>
    <row r="3231" spans="1:12" x14ac:dyDescent="0.25">
      <c r="A3231" s="45">
        <f>C3231&amp;"."&amp;IFERROR(MID(E3231,FIND("(",E3231)+1,FIND(")",E3231)-FIND("(",E3231)-1),"")</f>
      </c>
      <c r="B3231" s="46" t="s">
        <v>1178</v>
      </c>
      <c r="C3231" s="46">
        <v>86321</v>
      </c>
      <c r="D3231" s="46" t="s">
        <v>5516</v>
      </c>
      <c r="E3231" s="46" t="s">
        <v>5518</v>
      </c>
      <c r="F3231" s="46" t="s">
        <v>26</v>
      </c>
      <c r="G3231" s="47">
        <v>13.06</v>
      </c>
      <c r="H3231" s="48">
        <v>48</v>
      </c>
      <c r="I3231" s="48">
        <v>288</v>
      </c>
      <c r="J3231" s="49">
        <v>6</v>
      </c>
      <c r="K3231" s="49">
        <v>1</v>
      </c>
      <c r="L3231" s="49">
        <v>5</v>
      </c>
    </row>
    <row r="3232" spans="1:12" x14ac:dyDescent="0.25">
      <c r="A3232" s="45">
        <f>C3232&amp;"."&amp;IFERROR(MID(E3232,FIND("(",E3232)+1,FIND(")",E3232)-FIND("(",E3232)-1),"")</f>
      </c>
      <c r="B3232" s="46" t="s">
        <v>1178</v>
      </c>
      <c r="C3232" s="46">
        <v>86322</v>
      </c>
      <c r="D3232" s="46" t="s">
        <v>5519</v>
      </c>
      <c r="E3232" s="46" t="s">
        <v>5520</v>
      </c>
      <c r="F3232" s="46" t="s">
        <v>26</v>
      </c>
      <c r="G3232" s="47">
        <v>13.13</v>
      </c>
      <c r="H3232" s="48">
        <v>18.025</v>
      </c>
      <c r="I3232" s="48">
        <v>180.251</v>
      </c>
      <c r="J3232" s="49">
        <v>10</v>
      </c>
      <c r="K3232" s="49">
        <v>0</v>
      </c>
      <c r="L3232" s="49">
        <v>10</v>
      </c>
    </row>
    <row r="3233" spans="1:12" x14ac:dyDescent="0.25">
      <c r="A3233" s="45">
        <f>C3233&amp;"."&amp;IFERROR(MID(E3233,FIND("(",E3233)+1,FIND(")",E3233)-FIND("(",E3233)-1),"")</f>
      </c>
      <c r="B3233" s="46" t="s">
        <v>1178</v>
      </c>
      <c r="C3233" s="46">
        <v>86324</v>
      </c>
      <c r="D3233" s="46" t="s">
        <v>56</v>
      </c>
      <c r="E3233" s="46" t="s">
        <v>5521</v>
      </c>
      <c r="F3233" s="46" t="s">
        <v>26</v>
      </c>
      <c r="G3233" s="47">
        <v>15.55</v>
      </c>
      <c r="H3233" s="48">
        <v>70.733</v>
      </c>
      <c r="I3233" s="48">
        <v>919.53</v>
      </c>
      <c r="J3233" s="49">
        <v>13</v>
      </c>
      <c r="K3233" s="49">
        <v>13</v>
      </c>
      <c r="L3233" s="49">
        <v>0</v>
      </c>
    </row>
    <row r="3234" spans="1:12" x14ac:dyDescent="0.25">
      <c r="A3234" s="45">
        <f>C3234&amp;"."&amp;IFERROR(MID(E3234,FIND("(",E3234)+1,FIND(")",E3234)-FIND("(",E3234)-1),"")</f>
      </c>
      <c r="B3234" s="46" t="s">
        <v>1178</v>
      </c>
      <c r="C3234" s="46">
        <v>86327</v>
      </c>
      <c r="D3234" s="46" t="s">
        <v>897</v>
      </c>
      <c r="E3234" s="46" t="s">
        <v>1248</v>
      </c>
      <c r="F3234" s="46" t="s">
        <v>26</v>
      </c>
      <c r="G3234" s="47">
        <v>14.55</v>
      </c>
      <c r="H3234" s="48">
        <v>191.604</v>
      </c>
      <c r="I3234" s="48">
        <v>56906.393</v>
      </c>
      <c r="J3234" s="49">
        <v>297</v>
      </c>
      <c r="K3234" s="49">
        <v>17</v>
      </c>
      <c r="L3234" s="49">
        <v>280</v>
      </c>
    </row>
    <row r="3235" spans="1:12" x14ac:dyDescent="0.25">
      <c r="A3235" s="45">
        <f>C3235&amp;"."&amp;IFERROR(MID(E3235,FIND("(",E3235)+1,FIND(")",E3235)-FIND("(",E3235)-1),"")</f>
      </c>
      <c r="B3235" s="46" t="s">
        <v>1178</v>
      </c>
      <c r="C3235" s="46">
        <v>86332</v>
      </c>
      <c r="D3235" s="46" t="s">
        <v>888</v>
      </c>
      <c r="E3235" s="46" t="s">
        <v>5522</v>
      </c>
      <c r="F3235" s="46" t="s">
        <v>26</v>
      </c>
      <c r="G3235" s="47">
        <v>48.55</v>
      </c>
      <c r="H3235" s="48">
        <v>261.119</v>
      </c>
      <c r="I3235" s="48">
        <v>32901.044</v>
      </c>
      <c r="J3235" s="49">
        <v>126</v>
      </c>
      <c r="K3235" s="49">
        <v>102</v>
      </c>
      <c r="L3235" s="49">
        <v>24</v>
      </c>
    </row>
    <row r="3236" spans="1:12" x14ac:dyDescent="0.25">
      <c r="A3236" s="45">
        <f>C3236&amp;"."&amp;IFERROR(MID(E3236,FIND("(",E3236)+1,FIND(")",E3236)-FIND("(",E3236)-1),"")</f>
      </c>
      <c r="B3236" s="46" t="s">
        <v>1178</v>
      </c>
      <c r="C3236" s="46">
        <v>86333</v>
      </c>
      <c r="D3236" s="46" t="s">
        <v>5523</v>
      </c>
      <c r="E3236" s="46" t="s">
        <v>5524</v>
      </c>
      <c r="F3236" s="46" t="s">
        <v>26</v>
      </c>
      <c r="G3236" s="47">
        <v>0</v>
      </c>
      <c r="H3236" s="48">
        <v>12.241</v>
      </c>
      <c r="I3236" s="48">
        <v>12.241</v>
      </c>
      <c r="J3236" s="49">
        <v>1</v>
      </c>
      <c r="K3236" s="49">
        <v>1</v>
      </c>
      <c r="L3236" s="49">
        <v>0</v>
      </c>
    </row>
    <row r="3237" spans="1:12" x14ac:dyDescent="0.25">
      <c r="A3237" s="45">
        <f>C3237&amp;"."&amp;IFERROR(MID(E3237,FIND("(",E3237)+1,FIND(")",E3237)-FIND("(",E3237)-1),"")</f>
      </c>
      <c r="B3237" s="46" t="s">
        <v>1178</v>
      </c>
      <c r="C3237" s="46">
        <v>86335</v>
      </c>
      <c r="D3237" s="46" t="s">
        <v>5525</v>
      </c>
      <c r="E3237" s="46" t="s">
        <v>5526</v>
      </c>
      <c r="F3237" s="46" t="s">
        <v>26</v>
      </c>
      <c r="G3237" s="47">
        <v>1.92</v>
      </c>
      <c r="H3237" s="48">
        <v>2.316</v>
      </c>
      <c r="I3237" s="48">
        <v>6.947</v>
      </c>
      <c r="J3237" s="49">
        <v>3</v>
      </c>
      <c r="K3237" s="49">
        <v>0</v>
      </c>
      <c r="L3237" s="49">
        <v>3</v>
      </c>
    </row>
    <row r="3238" spans="1:12" x14ac:dyDescent="0.25">
      <c r="A3238" s="45">
        <f>C3238&amp;"."&amp;IFERROR(MID(E3238,FIND("(",E3238)+1,FIND(")",E3238)-FIND("(",E3238)-1),"")</f>
      </c>
      <c r="B3238" s="46" t="s">
        <v>1178</v>
      </c>
      <c r="C3238" s="46">
        <v>86340</v>
      </c>
      <c r="D3238" s="46" t="s">
        <v>5527</v>
      </c>
      <c r="E3238" s="46" t="s">
        <v>5528</v>
      </c>
      <c r="F3238" s="46" t="s">
        <v>26</v>
      </c>
      <c r="G3238" s="47">
        <v>1.66</v>
      </c>
      <c r="H3238" s="48">
        <v>4.519</v>
      </c>
      <c r="I3238" s="48">
        <v>13.557</v>
      </c>
      <c r="J3238" s="49">
        <v>3</v>
      </c>
      <c r="K3238" s="49">
        <v>0</v>
      </c>
      <c r="L3238" s="49">
        <v>3</v>
      </c>
    </row>
    <row r="3239" spans="1:12" x14ac:dyDescent="0.25">
      <c r="A3239" s="45">
        <f>C3239&amp;"."&amp;IFERROR(MID(E3239,FIND("(",E3239)+1,FIND(")",E3239)-FIND("(",E3239)-1),"")</f>
      </c>
      <c r="B3239" s="46" t="s">
        <v>1178</v>
      </c>
      <c r="C3239" s="46">
        <v>86345</v>
      </c>
      <c r="D3239" s="46" t="s">
        <v>5529</v>
      </c>
      <c r="E3239" s="46" t="s">
        <v>5530</v>
      </c>
      <c r="F3239" s="46" t="s">
        <v>26</v>
      </c>
      <c r="G3239" s="47">
        <v>0.85</v>
      </c>
      <c r="H3239" s="48">
        <v>5.418</v>
      </c>
      <c r="I3239" s="48">
        <v>10.836</v>
      </c>
      <c r="J3239" s="49">
        <v>2</v>
      </c>
      <c r="K3239" s="49">
        <v>0</v>
      </c>
      <c r="L3239" s="49">
        <v>2</v>
      </c>
    </row>
    <row r="3240" spans="1:12" x14ac:dyDescent="0.25">
      <c r="A3240" s="45">
        <f>C3240&amp;"."&amp;IFERROR(MID(E3240,FIND("(",E3240)+1,FIND(")",E3240)-FIND("(",E3240)-1),"")</f>
      </c>
      <c r="B3240" s="46" t="s">
        <v>1178</v>
      </c>
      <c r="C3240" s="46">
        <v>86353</v>
      </c>
      <c r="D3240" s="46" t="s">
        <v>5531</v>
      </c>
      <c r="E3240" s="46" t="s">
        <v>5532</v>
      </c>
      <c r="F3240" s="46" t="s">
        <v>26</v>
      </c>
      <c r="G3240" s="47">
        <v>1.71</v>
      </c>
      <c r="H3240" s="48">
        <v>9.856</v>
      </c>
      <c r="I3240" s="48">
        <v>39.426</v>
      </c>
      <c r="J3240" s="49">
        <v>4</v>
      </c>
      <c r="K3240" s="49">
        <v>0</v>
      </c>
      <c r="L3240" s="49">
        <v>4</v>
      </c>
    </row>
    <row r="3241" spans="1:12" x14ac:dyDescent="0.25">
      <c r="A3241" s="45">
        <f>C3241&amp;"."&amp;IFERROR(MID(E3241,FIND("(",E3241)+1,FIND(")",E3241)-FIND("(",E3241)-1),"")</f>
      </c>
      <c r="B3241" s="46" t="s">
        <v>1178</v>
      </c>
      <c r="C3241" s="46">
        <v>86366</v>
      </c>
      <c r="D3241" s="46" t="s">
        <v>5533</v>
      </c>
      <c r="E3241" s="46" t="s">
        <v>5534</v>
      </c>
      <c r="F3241" s="46" t="s">
        <v>26</v>
      </c>
      <c r="G3241" s="47">
        <v>10.02</v>
      </c>
      <c r="H3241" s="48">
        <v>27.373</v>
      </c>
      <c r="I3241" s="48">
        <v>109.493</v>
      </c>
      <c r="J3241" s="49">
        <v>4</v>
      </c>
      <c r="K3241" s="49">
        <v>0</v>
      </c>
      <c r="L3241" s="49">
        <v>4</v>
      </c>
    </row>
    <row r="3242" spans="1:12" x14ac:dyDescent="0.25">
      <c r="A3242" s="45">
        <f>C3242&amp;"."&amp;IFERROR(MID(E3242,FIND("(",E3242)+1,FIND(")",E3242)-FIND("(",E3242)-1),"")</f>
      </c>
      <c r="B3242" s="46" t="s">
        <v>1178</v>
      </c>
      <c r="C3242" s="46">
        <v>86370</v>
      </c>
      <c r="D3242" s="46" t="s">
        <v>5535</v>
      </c>
      <c r="E3242" s="46" t="s">
        <v>5536</v>
      </c>
      <c r="F3242" s="46" t="s">
        <v>26</v>
      </c>
      <c r="G3242" s="47">
        <v>9.79</v>
      </c>
      <c r="H3242" s="48">
        <v>25.206</v>
      </c>
      <c r="I3242" s="48">
        <v>75.619</v>
      </c>
      <c r="J3242" s="49">
        <v>3</v>
      </c>
      <c r="K3242" s="49">
        <v>0</v>
      </c>
      <c r="L3242" s="49">
        <v>3</v>
      </c>
    </row>
    <row r="3243" spans="1:12" x14ac:dyDescent="0.25">
      <c r="A3243" s="45">
        <f>C3243&amp;"."&amp;IFERROR(MID(E3243,FIND("(",E3243)+1,FIND(")",E3243)-FIND("(",E3243)-1),"")</f>
      </c>
      <c r="B3243" s="46" t="s">
        <v>1178</v>
      </c>
      <c r="C3243" s="46">
        <v>86370</v>
      </c>
      <c r="D3243" s="46" t="s">
        <v>5535</v>
      </c>
      <c r="E3243" s="46" t="s">
        <v>5537</v>
      </c>
      <c r="F3243" s="46" t="s">
        <v>26</v>
      </c>
      <c r="G3243" s="47">
        <v>9.79</v>
      </c>
      <c r="H3243" s="48">
        <v>38.258</v>
      </c>
      <c r="I3243" s="48">
        <v>191.289</v>
      </c>
      <c r="J3243" s="49">
        <v>5</v>
      </c>
      <c r="K3243" s="49">
        <v>1</v>
      </c>
      <c r="L3243" s="49">
        <v>4</v>
      </c>
    </row>
    <row r="3244" spans="1:12" x14ac:dyDescent="0.25">
      <c r="A3244" s="45">
        <f>C3244&amp;"."&amp;IFERROR(MID(E3244,FIND("(",E3244)+1,FIND(")",E3244)-FIND("(",E3244)-1),"")</f>
      </c>
      <c r="B3244" s="46" t="s">
        <v>1178</v>
      </c>
      <c r="C3244" s="46">
        <v>86373</v>
      </c>
      <c r="D3244" s="46" t="s">
        <v>890</v>
      </c>
      <c r="E3244" s="46" t="s">
        <v>5538</v>
      </c>
      <c r="F3244" s="46" t="s">
        <v>26</v>
      </c>
      <c r="G3244" s="47">
        <v>65.1</v>
      </c>
      <c r="H3244" s="48">
        <v>215.654</v>
      </c>
      <c r="I3244" s="48">
        <v>2803.499</v>
      </c>
      <c r="J3244" s="49">
        <v>13</v>
      </c>
      <c r="K3244" s="49">
        <v>0</v>
      </c>
      <c r="L3244" s="49">
        <v>13</v>
      </c>
    </row>
    <row r="3245" spans="1:12" x14ac:dyDescent="0.25">
      <c r="A3245" s="45">
        <f>C3245&amp;"."&amp;IFERROR(MID(E3245,FIND("(",E3245)+1,FIND(")",E3245)-FIND("(",E3245)-1),"")</f>
      </c>
      <c r="B3245" s="46" t="s">
        <v>1178</v>
      </c>
      <c r="C3245" s="46">
        <v>86373</v>
      </c>
      <c r="D3245" s="46" t="s">
        <v>890</v>
      </c>
      <c r="E3245" s="46" t="s">
        <v>5539</v>
      </c>
      <c r="F3245" s="46" t="s">
        <v>26</v>
      </c>
      <c r="G3245" s="47">
        <v>65.1</v>
      </c>
      <c r="H3245" s="48">
        <v>218.05</v>
      </c>
      <c r="I3245" s="48">
        <v>27910.42</v>
      </c>
      <c r="J3245" s="49">
        <v>128</v>
      </c>
      <c r="K3245" s="49">
        <v>102</v>
      </c>
      <c r="L3245" s="49">
        <v>26</v>
      </c>
    </row>
    <row r="3246" spans="1:12" x14ac:dyDescent="0.25">
      <c r="A3246" s="45">
        <f>C3246&amp;"."&amp;IFERROR(MID(E3246,FIND("(",E3246)+1,FIND(")",E3246)-FIND("(",E3246)-1),"")</f>
      </c>
      <c r="B3246" s="46" t="s">
        <v>1178</v>
      </c>
      <c r="C3246" s="46">
        <v>86374</v>
      </c>
      <c r="D3246" s="46" t="s">
        <v>5540</v>
      </c>
      <c r="E3246" s="46" t="s">
        <v>5541</v>
      </c>
      <c r="F3246" s="46" t="s">
        <v>26</v>
      </c>
      <c r="G3246" s="47">
        <v>2.45</v>
      </c>
      <c r="H3246" s="48">
        <v>8.542</v>
      </c>
      <c r="I3246" s="48">
        <v>51.249</v>
      </c>
      <c r="J3246" s="49">
        <v>6</v>
      </c>
      <c r="K3246" s="49">
        <v>3</v>
      </c>
      <c r="L3246" s="49">
        <v>3</v>
      </c>
    </row>
    <row r="3247" spans="1:12" x14ac:dyDescent="0.25">
      <c r="A3247" s="45">
        <f>C3247&amp;"."&amp;IFERROR(MID(E3247,FIND("(",E3247)+1,FIND(")",E3247)-FIND("(",E3247)-1),"")</f>
      </c>
      <c r="B3247" s="46" t="s">
        <v>1178</v>
      </c>
      <c r="C3247" s="46">
        <v>86374</v>
      </c>
      <c r="D3247" s="46" t="s">
        <v>5540</v>
      </c>
      <c r="E3247" s="46" t="s">
        <v>5542</v>
      </c>
      <c r="F3247" s="46" t="s">
        <v>26</v>
      </c>
      <c r="G3247" s="47">
        <v>2.45</v>
      </c>
      <c r="H3247" s="48">
        <v>6.603</v>
      </c>
      <c r="I3247" s="48">
        <v>33.013</v>
      </c>
      <c r="J3247" s="49">
        <v>5</v>
      </c>
      <c r="K3247" s="49">
        <v>5</v>
      </c>
      <c r="L3247" s="49">
        <v>0</v>
      </c>
    </row>
    <row r="3248" spans="1:12" x14ac:dyDescent="0.25">
      <c r="A3248" s="45">
        <f>C3248&amp;"."&amp;IFERROR(MID(E3248,FIND("(",E3248)+1,FIND(")",E3248)-FIND("(",E3248)-1),"")</f>
      </c>
      <c r="B3248" s="46" t="s">
        <v>1178</v>
      </c>
      <c r="C3248" s="46">
        <v>86375</v>
      </c>
      <c r="D3248" s="46" t="s">
        <v>5543</v>
      </c>
      <c r="E3248" s="46" t="s">
        <v>5544</v>
      </c>
      <c r="F3248" s="46" t="s">
        <v>26</v>
      </c>
      <c r="G3248" s="47">
        <v>2.45</v>
      </c>
      <c r="H3248" s="48">
        <v>4.35</v>
      </c>
      <c r="I3248" s="48">
        <v>21.748</v>
      </c>
      <c r="J3248" s="49">
        <v>5</v>
      </c>
      <c r="K3248" s="49">
        <v>0</v>
      </c>
      <c r="L3248" s="49">
        <v>5</v>
      </c>
    </row>
    <row r="3249" spans="1:12" x14ac:dyDescent="0.25">
      <c r="A3249" s="45">
        <f>C3249&amp;"."&amp;IFERROR(MID(E3249,FIND("(",E3249)+1,FIND(")",E3249)-FIND("(",E3249)-1),"")</f>
      </c>
      <c r="B3249" s="46" t="s">
        <v>1178</v>
      </c>
      <c r="C3249" s="46">
        <v>86378</v>
      </c>
      <c r="D3249" s="46" t="s">
        <v>5545</v>
      </c>
      <c r="E3249" s="46" t="s">
        <v>5546</v>
      </c>
      <c r="F3249" s="46" t="s">
        <v>26</v>
      </c>
      <c r="G3249" s="47">
        <v>10.13</v>
      </c>
      <c r="H3249" s="48">
        <v>31.444</v>
      </c>
      <c r="I3249" s="48">
        <v>31.444</v>
      </c>
      <c r="J3249" s="49">
        <v>1</v>
      </c>
      <c r="K3249" s="49">
        <v>1</v>
      </c>
      <c r="L3249" s="49">
        <v>0</v>
      </c>
    </row>
    <row r="3250" spans="1:12" x14ac:dyDescent="0.25">
      <c r="A3250" s="45">
        <f>C3250&amp;"."&amp;IFERROR(MID(E3250,FIND("(",E3250)+1,FIND(")",E3250)-FIND("(",E3250)-1),"")</f>
      </c>
      <c r="B3250" s="46" t="s">
        <v>1178</v>
      </c>
      <c r="C3250" s="46">
        <v>86383</v>
      </c>
      <c r="D3250" s="46" t="s">
        <v>458</v>
      </c>
      <c r="E3250" s="46" t="s">
        <v>5547</v>
      </c>
      <c r="F3250" s="46" t="s">
        <v>26</v>
      </c>
      <c r="G3250" s="47">
        <v>43.5</v>
      </c>
      <c r="H3250" s="48">
        <v>178.133</v>
      </c>
      <c r="I3250" s="48">
        <v>24938.668</v>
      </c>
      <c r="J3250" s="49">
        <v>140</v>
      </c>
      <c r="K3250" s="49">
        <v>102</v>
      </c>
      <c r="L3250" s="49">
        <v>38</v>
      </c>
    </row>
    <row r="3251" spans="1:12" x14ac:dyDescent="0.25">
      <c r="A3251" s="45">
        <f>C3251&amp;"."&amp;IFERROR(MID(E3251,FIND("(",E3251)+1,FIND(")",E3251)-FIND("(",E3251)-1),"")</f>
      </c>
      <c r="B3251" s="46" t="s">
        <v>1178</v>
      </c>
      <c r="C3251" s="46">
        <v>86392</v>
      </c>
      <c r="D3251" s="46" t="s">
        <v>410</v>
      </c>
      <c r="E3251" s="46" t="s">
        <v>5548</v>
      </c>
      <c r="F3251" s="46" t="s">
        <v>25</v>
      </c>
      <c r="G3251" s="47">
        <v>15.4</v>
      </c>
      <c r="H3251" s="48">
        <v>93.853</v>
      </c>
      <c r="I3251" s="48">
        <v>10793.102</v>
      </c>
      <c r="J3251" s="49">
        <v>115</v>
      </c>
      <c r="K3251" s="49">
        <v>74</v>
      </c>
      <c r="L3251" s="49">
        <v>41</v>
      </c>
    </row>
    <row r="3252" spans="1:12" x14ac:dyDescent="0.25">
      <c r="A3252" s="45">
        <f>C3252&amp;"."&amp;IFERROR(MID(E3252,FIND("(",E3252)+1,FIND(")",E3252)-FIND("(",E3252)-1),"")</f>
      </c>
      <c r="B3252" s="46" t="s">
        <v>1178</v>
      </c>
      <c r="C3252" s="46">
        <v>86393</v>
      </c>
      <c r="D3252" s="46" t="s">
        <v>5549</v>
      </c>
      <c r="E3252" s="46" t="s">
        <v>5550</v>
      </c>
      <c r="F3252" s="46" t="s">
        <v>25</v>
      </c>
      <c r="G3252" s="47">
        <v>0</v>
      </c>
      <c r="H3252" s="48">
        <v>2.803</v>
      </c>
      <c r="I3252" s="48">
        <v>2.803</v>
      </c>
      <c r="J3252" s="49">
        <v>1</v>
      </c>
      <c r="K3252" s="49">
        <v>1</v>
      </c>
      <c r="L3252" s="49">
        <v>0</v>
      </c>
    </row>
    <row r="3253" spans="1:12" x14ac:dyDescent="0.25">
      <c r="A3253" s="45">
        <f>C3253&amp;"."&amp;IFERROR(MID(E3253,FIND("(",E3253)+1,FIND(")",E3253)-FIND("(",E3253)-1),"")</f>
      </c>
      <c r="B3253" s="46" t="s">
        <v>1178</v>
      </c>
      <c r="C3253" s="46">
        <v>86394</v>
      </c>
      <c r="D3253" s="46" t="s">
        <v>5551</v>
      </c>
      <c r="E3253" s="46" t="s">
        <v>5552</v>
      </c>
      <c r="F3253" s="46" t="s">
        <v>25</v>
      </c>
      <c r="G3253" s="47">
        <v>0</v>
      </c>
      <c r="H3253" s="48">
        <v>2.868</v>
      </c>
      <c r="I3253" s="48">
        <v>17.206</v>
      </c>
      <c r="J3253" s="49">
        <v>6</v>
      </c>
      <c r="K3253" s="49">
        <v>0</v>
      </c>
      <c r="L3253" s="49">
        <v>6</v>
      </c>
    </row>
    <row r="3254" spans="1:12" x14ac:dyDescent="0.25">
      <c r="A3254" s="45">
        <f>C3254&amp;"."&amp;IFERROR(MID(E3254,FIND("(",E3254)+1,FIND(")",E3254)-FIND("(",E3254)-1),"")</f>
      </c>
      <c r="B3254" s="46" t="s">
        <v>1178</v>
      </c>
      <c r="C3254" s="46">
        <v>86403</v>
      </c>
      <c r="D3254" s="46" t="s">
        <v>5553</v>
      </c>
      <c r="E3254" s="46" t="s">
        <v>5554</v>
      </c>
      <c r="F3254" s="46" t="s">
        <v>25</v>
      </c>
      <c r="G3254" s="47">
        <v>2.72</v>
      </c>
      <c r="H3254" s="48">
        <v>8.365</v>
      </c>
      <c r="I3254" s="48">
        <v>50.188</v>
      </c>
      <c r="J3254" s="49">
        <v>6</v>
      </c>
      <c r="K3254" s="49">
        <v>1</v>
      </c>
      <c r="L3254" s="49">
        <v>5</v>
      </c>
    </row>
    <row r="3255" spans="1:12" x14ac:dyDescent="0.25">
      <c r="A3255" s="45">
        <f>C3255&amp;"."&amp;IFERROR(MID(E3255,FIND("(",E3255)+1,FIND(")",E3255)-FIND("(",E3255)-1),"")</f>
      </c>
      <c r="B3255" s="46" t="s">
        <v>1178</v>
      </c>
      <c r="C3255" s="46">
        <v>86429</v>
      </c>
      <c r="D3255" s="46" t="s">
        <v>5555</v>
      </c>
      <c r="E3255" s="46" t="s">
        <v>1248</v>
      </c>
      <c r="F3255" s="46" t="s">
        <v>1495</v>
      </c>
      <c r="G3255" s="47">
        <v>0</v>
      </c>
      <c r="H3255" s="48">
        <v>0.002</v>
      </c>
      <c r="I3255" s="48">
        <v>0.156</v>
      </c>
      <c r="J3255" s="49">
        <v>68</v>
      </c>
      <c r="K3255" s="49">
        <v>0</v>
      </c>
      <c r="L3255" s="49">
        <v>68</v>
      </c>
    </row>
    <row r="3256" spans="1:12" x14ac:dyDescent="0.25">
      <c r="A3256" s="45">
        <f>C3256&amp;"."&amp;IFERROR(MID(E3256,FIND("(",E3256)+1,FIND(")",E3256)-FIND("(",E3256)-1),"")</f>
      </c>
      <c r="B3256" s="46" t="s">
        <v>1178</v>
      </c>
      <c r="C3256" s="46">
        <v>86431</v>
      </c>
      <c r="D3256" s="46" t="s">
        <v>5556</v>
      </c>
      <c r="E3256" s="46" t="s">
        <v>1248</v>
      </c>
      <c r="F3256" s="46" t="s">
        <v>1495</v>
      </c>
      <c r="G3256" s="47">
        <v>0.01</v>
      </c>
      <c r="H3256" s="48">
        <v>0.06</v>
      </c>
      <c r="I3256" s="48">
        <v>63.12</v>
      </c>
      <c r="J3256" s="49">
        <v>1052</v>
      </c>
      <c r="K3256" s="49">
        <v>0</v>
      </c>
      <c r="L3256" s="49">
        <v>1052</v>
      </c>
    </row>
    <row r="3257" spans="1:12" x14ac:dyDescent="0.25">
      <c r="A3257" s="45">
        <f>C3257&amp;"."&amp;IFERROR(MID(E3257,FIND("(",E3257)+1,FIND(")",E3257)-FIND("(",E3257)-1),"")</f>
      </c>
      <c r="B3257" s="46" t="s">
        <v>1178</v>
      </c>
      <c r="C3257" s="46">
        <v>86433</v>
      </c>
      <c r="D3257" s="46" t="s">
        <v>5557</v>
      </c>
      <c r="E3257" s="46" t="s">
        <v>1248</v>
      </c>
      <c r="F3257" s="46" t="s">
        <v>1495</v>
      </c>
      <c r="G3257" s="47">
        <v>0.1</v>
      </c>
      <c r="H3257" s="48">
        <v>0.957</v>
      </c>
      <c r="I3257" s="48">
        <v>11.484</v>
      </c>
      <c r="J3257" s="49">
        <v>12</v>
      </c>
      <c r="K3257" s="49">
        <v>0</v>
      </c>
      <c r="L3257" s="49">
        <v>12</v>
      </c>
    </row>
    <row r="3258" spans="1:12" x14ac:dyDescent="0.25">
      <c r="A3258" s="45">
        <f>C3258&amp;"."&amp;IFERROR(MID(E3258,FIND("(",E3258)+1,FIND(")",E3258)-FIND("(",E3258)-1),"")</f>
      </c>
      <c r="B3258" s="46" t="s">
        <v>1178</v>
      </c>
      <c r="C3258" s="46">
        <v>86435</v>
      </c>
      <c r="D3258" s="46" t="s">
        <v>5558</v>
      </c>
      <c r="E3258" s="46" t="s">
        <v>1248</v>
      </c>
      <c r="F3258" s="46" t="s">
        <v>1495</v>
      </c>
      <c r="G3258" s="47">
        <v>0</v>
      </c>
      <c r="H3258" s="48">
        <v>0.027</v>
      </c>
      <c r="I3258" s="48">
        <v>11.342</v>
      </c>
      <c r="J3258" s="49">
        <v>428</v>
      </c>
      <c r="K3258" s="49">
        <v>1</v>
      </c>
      <c r="L3258" s="49">
        <v>427</v>
      </c>
    </row>
    <row r="3259" spans="1:12" x14ac:dyDescent="0.25">
      <c r="A3259" s="45">
        <f>C3259&amp;"."&amp;IFERROR(MID(E3259,FIND("(",E3259)+1,FIND(")",E3259)-FIND("(",E3259)-1),"")</f>
      </c>
      <c r="B3259" s="46" t="s">
        <v>1178</v>
      </c>
      <c r="C3259" s="46">
        <v>86436</v>
      </c>
      <c r="D3259" s="46" t="s">
        <v>5559</v>
      </c>
      <c r="E3259" s="46" t="s">
        <v>1248</v>
      </c>
      <c r="F3259" s="46" t="s">
        <v>1495</v>
      </c>
      <c r="G3259" s="47">
        <v>0</v>
      </c>
      <c r="H3259" s="48">
        <v>0.957</v>
      </c>
      <c r="I3259" s="48">
        <v>20.097</v>
      </c>
      <c r="J3259" s="49">
        <v>21</v>
      </c>
      <c r="K3259" s="49">
        <v>0</v>
      </c>
      <c r="L3259" s="49">
        <v>21</v>
      </c>
    </row>
    <row r="3260" spans="1:12" x14ac:dyDescent="0.25">
      <c r="A3260" s="45">
        <f>C3260&amp;"."&amp;IFERROR(MID(E3260,FIND("(",E3260)+1,FIND(")",E3260)-FIND("(",E3260)-1),"")</f>
      </c>
      <c r="B3260" s="46" t="s">
        <v>1178</v>
      </c>
      <c r="C3260" s="46">
        <v>86437</v>
      </c>
      <c r="D3260" s="46" t="s">
        <v>5560</v>
      </c>
      <c r="E3260" s="46" t="s">
        <v>1248</v>
      </c>
      <c r="F3260" s="46" t="s">
        <v>1495</v>
      </c>
      <c r="G3260" s="47">
        <v>0.1</v>
      </c>
      <c r="H3260" s="48">
        <v>0.47</v>
      </c>
      <c r="I3260" s="48">
        <v>3.76</v>
      </c>
      <c r="J3260" s="49">
        <v>8</v>
      </c>
      <c r="K3260" s="49">
        <v>0</v>
      </c>
      <c r="L3260" s="49">
        <v>8</v>
      </c>
    </row>
    <row r="3261" spans="1:12" x14ac:dyDescent="0.25">
      <c r="A3261" s="45">
        <f>C3261&amp;"."&amp;IFERROR(MID(E3261,FIND("(",E3261)+1,FIND(")",E3261)-FIND("(",E3261)-1),"")</f>
      </c>
      <c r="B3261" s="46" t="s">
        <v>1178</v>
      </c>
      <c r="C3261" s="46">
        <v>86442</v>
      </c>
      <c r="D3261" s="46" t="s">
        <v>5561</v>
      </c>
      <c r="E3261" s="46" t="s">
        <v>1248</v>
      </c>
      <c r="F3261" s="46" t="s">
        <v>1495</v>
      </c>
      <c r="G3261" s="47">
        <v>0</v>
      </c>
      <c r="H3261" s="48">
        <v>0.957</v>
      </c>
      <c r="I3261" s="48">
        <v>28.71</v>
      </c>
      <c r="J3261" s="49">
        <v>30</v>
      </c>
      <c r="K3261" s="49">
        <v>0</v>
      </c>
      <c r="L3261" s="49">
        <v>30</v>
      </c>
    </row>
    <row r="3262" spans="1:12" x14ac:dyDescent="0.25">
      <c r="A3262" s="45">
        <f>C3262&amp;"."&amp;IFERROR(MID(E3262,FIND("(",E3262)+1,FIND(")",E3262)-FIND("(",E3262)-1),"")</f>
      </c>
      <c r="B3262" s="46" t="s">
        <v>1178</v>
      </c>
      <c r="C3262" s="46">
        <v>86451</v>
      </c>
      <c r="D3262" s="46" t="s">
        <v>5562</v>
      </c>
      <c r="E3262" s="46" t="s">
        <v>1248</v>
      </c>
      <c r="F3262" s="46" t="s">
        <v>1495</v>
      </c>
      <c r="G3262" s="47">
        <v>0.1</v>
      </c>
      <c r="H3262" s="48">
        <v>1.18</v>
      </c>
      <c r="I3262" s="48">
        <v>185.26</v>
      </c>
      <c r="J3262" s="49">
        <v>157</v>
      </c>
      <c r="K3262" s="49">
        <v>56</v>
      </c>
      <c r="L3262" s="49">
        <v>101</v>
      </c>
    </row>
    <row r="3263" spans="1:12" x14ac:dyDescent="0.25">
      <c r="A3263" s="45">
        <f>C3263&amp;"."&amp;IFERROR(MID(E3263,FIND("(",E3263)+1,FIND(")",E3263)-FIND("(",E3263)-1),"")</f>
      </c>
      <c r="B3263" s="46" t="s">
        <v>1178</v>
      </c>
      <c r="C3263" s="46">
        <v>86452</v>
      </c>
      <c r="D3263" s="46" t="s">
        <v>5563</v>
      </c>
      <c r="E3263" s="46" t="s">
        <v>1248</v>
      </c>
      <c r="F3263" s="46" t="s">
        <v>1495</v>
      </c>
      <c r="G3263" s="47">
        <v>0</v>
      </c>
      <c r="H3263" s="48">
        <v>2.258</v>
      </c>
      <c r="I3263" s="48">
        <v>1460.603</v>
      </c>
      <c r="J3263" s="49">
        <v>647</v>
      </c>
      <c r="K3263" s="49">
        <v>1</v>
      </c>
      <c r="L3263" s="49">
        <v>646</v>
      </c>
    </row>
    <row r="3264" spans="1:12" x14ac:dyDescent="0.25">
      <c r="A3264" s="45">
        <f>C3264&amp;"."&amp;IFERROR(MID(E3264,FIND("(",E3264)+1,FIND(")",E3264)-FIND("(",E3264)-1),"")</f>
      </c>
      <c r="B3264" s="46" t="s">
        <v>1178</v>
      </c>
      <c r="C3264" s="46">
        <v>86453</v>
      </c>
      <c r="D3264" s="46" t="s">
        <v>5564</v>
      </c>
      <c r="E3264" s="46" t="s">
        <v>1248</v>
      </c>
      <c r="F3264" s="46" t="s">
        <v>1495</v>
      </c>
      <c r="G3264" s="47">
        <v>0.06</v>
      </c>
      <c r="H3264" s="48">
        <v>1.37</v>
      </c>
      <c r="I3264" s="48">
        <v>24.66</v>
      </c>
      <c r="J3264" s="49">
        <v>18</v>
      </c>
      <c r="K3264" s="49">
        <v>9</v>
      </c>
      <c r="L3264" s="49">
        <v>9</v>
      </c>
    </row>
    <row r="3265" spans="1:12" x14ac:dyDescent="0.25">
      <c r="A3265" s="45">
        <f>C3265&amp;"."&amp;IFERROR(MID(E3265,FIND("(",E3265)+1,FIND(")",E3265)-FIND("(",E3265)-1),"")</f>
      </c>
      <c r="B3265" s="46" t="s">
        <v>1178</v>
      </c>
      <c r="C3265" s="46">
        <v>86454</v>
      </c>
      <c r="D3265" s="46" t="s">
        <v>5565</v>
      </c>
      <c r="E3265" s="46" t="s">
        <v>1248</v>
      </c>
      <c r="F3265" s="46" t="s">
        <v>1495</v>
      </c>
      <c r="G3265" s="47">
        <v>0.18</v>
      </c>
      <c r="H3265" s="48">
        <v>1.05</v>
      </c>
      <c r="I3265" s="48">
        <v>441.884</v>
      </c>
      <c r="J3265" s="49">
        <v>421</v>
      </c>
      <c r="K3265" s="49">
        <v>375</v>
      </c>
      <c r="L3265" s="49">
        <v>46</v>
      </c>
    </row>
    <row r="3266" spans="1:12" x14ac:dyDescent="0.25">
      <c r="A3266" s="45">
        <f>C3266&amp;"."&amp;IFERROR(MID(E3266,FIND("(",E3266)+1,FIND(")",E3266)-FIND("(",E3266)-1),"")</f>
      </c>
      <c r="B3266" s="46" t="s">
        <v>1178</v>
      </c>
      <c r="C3266" s="46">
        <v>86455</v>
      </c>
      <c r="D3266" s="46" t="s">
        <v>5566</v>
      </c>
      <c r="E3266" s="46" t="s">
        <v>1248</v>
      </c>
      <c r="F3266" s="46" t="s">
        <v>1495</v>
      </c>
      <c r="G3266" s="47">
        <v>0.1</v>
      </c>
      <c r="H3266" s="48">
        <v>1.849</v>
      </c>
      <c r="I3266" s="48">
        <v>40.678</v>
      </c>
      <c r="J3266" s="49">
        <v>22</v>
      </c>
      <c r="K3266" s="49">
        <v>8</v>
      </c>
      <c r="L3266" s="49">
        <v>14</v>
      </c>
    </row>
    <row r="3267" spans="1:12" x14ac:dyDescent="0.25">
      <c r="A3267" s="45">
        <f>C3267&amp;"."&amp;IFERROR(MID(E3267,FIND("(",E3267)+1,FIND(")",E3267)-FIND("(",E3267)-1),"")</f>
      </c>
      <c r="B3267" s="46" t="s">
        <v>1178</v>
      </c>
      <c r="C3267" s="46">
        <v>86457</v>
      </c>
      <c r="D3267" s="46" t="s">
        <v>5567</v>
      </c>
      <c r="E3267" s="46" t="s">
        <v>1248</v>
      </c>
      <c r="F3267" s="46" t="s">
        <v>1495</v>
      </c>
      <c r="G3267" s="47">
        <v>0.1</v>
      </c>
      <c r="H3267" s="48">
        <v>4.24</v>
      </c>
      <c r="I3267" s="48">
        <v>152.64</v>
      </c>
      <c r="J3267" s="49">
        <v>36</v>
      </c>
      <c r="K3267" s="49">
        <v>36</v>
      </c>
      <c r="L3267" s="49">
        <v>0</v>
      </c>
    </row>
    <row r="3268" spans="1:12" x14ac:dyDescent="0.25">
      <c r="A3268" s="45">
        <f>C3268&amp;"."&amp;IFERROR(MID(E3268,FIND("(",E3268)+1,FIND(")",E3268)-FIND("(",E3268)-1),"")</f>
      </c>
      <c r="B3268" s="46" t="s">
        <v>1178</v>
      </c>
      <c r="C3268" s="46">
        <v>86459</v>
      </c>
      <c r="D3268" s="46" t="s">
        <v>5568</v>
      </c>
      <c r="E3268" s="46" t="s">
        <v>1248</v>
      </c>
      <c r="F3268" s="46" t="s">
        <v>1495</v>
      </c>
      <c r="G3268" s="47">
        <v>0.16</v>
      </c>
      <c r="H3268" s="48">
        <v>1.448</v>
      </c>
      <c r="I3268" s="48">
        <v>10.137</v>
      </c>
      <c r="J3268" s="49">
        <v>7</v>
      </c>
      <c r="K3268" s="49">
        <v>0</v>
      </c>
      <c r="L3268" s="49">
        <v>7</v>
      </c>
    </row>
    <row r="3269" spans="1:12" x14ac:dyDescent="0.25">
      <c r="A3269" s="45">
        <f>C3269&amp;"."&amp;IFERROR(MID(E3269,FIND("(",E3269)+1,FIND(")",E3269)-FIND("(",E3269)-1),"")</f>
      </c>
      <c r="B3269" s="46" t="s">
        <v>1178</v>
      </c>
      <c r="C3269" s="46">
        <v>86460</v>
      </c>
      <c r="D3269" s="46" t="s">
        <v>5569</v>
      </c>
      <c r="E3269" s="46" t="s">
        <v>1248</v>
      </c>
      <c r="F3269" s="46" t="s">
        <v>1495</v>
      </c>
      <c r="G3269" s="47">
        <v>0</v>
      </c>
      <c r="H3269" s="48">
        <v>2.488</v>
      </c>
      <c r="I3269" s="48">
        <v>109.455</v>
      </c>
      <c r="J3269" s="49">
        <v>44</v>
      </c>
      <c r="K3269" s="49">
        <v>2</v>
      </c>
      <c r="L3269" s="49">
        <v>42</v>
      </c>
    </row>
    <row r="3270" spans="1:12" x14ac:dyDescent="0.25">
      <c r="A3270" s="45">
        <f>C3270&amp;"."&amp;IFERROR(MID(E3270,FIND("(",E3270)+1,FIND(")",E3270)-FIND("(",E3270)-1),"")</f>
      </c>
      <c r="B3270" s="46" t="s">
        <v>1178</v>
      </c>
      <c r="C3270" s="46">
        <v>86463</v>
      </c>
      <c r="D3270" s="46" t="s">
        <v>5570</v>
      </c>
      <c r="E3270" s="46" t="s">
        <v>1248</v>
      </c>
      <c r="F3270" s="46" t="s">
        <v>1495</v>
      </c>
      <c r="G3270" s="47">
        <v>0.1</v>
      </c>
      <c r="H3270" s="48">
        <v>1.91</v>
      </c>
      <c r="I3270" s="48">
        <v>80.22</v>
      </c>
      <c r="J3270" s="49">
        <v>42</v>
      </c>
      <c r="K3270" s="49">
        <v>21</v>
      </c>
      <c r="L3270" s="49">
        <v>21</v>
      </c>
    </row>
    <row r="3271" spans="1:12" x14ac:dyDescent="0.25">
      <c r="A3271" s="45">
        <f>C3271&amp;"."&amp;IFERROR(MID(E3271,FIND("(",E3271)+1,FIND(")",E3271)-FIND("(",E3271)-1),"")</f>
      </c>
      <c r="B3271" s="46" t="s">
        <v>1178</v>
      </c>
      <c r="C3271" s="46">
        <v>86464</v>
      </c>
      <c r="D3271" s="46" t="s">
        <v>5571</v>
      </c>
      <c r="E3271" s="46" t="s">
        <v>1248</v>
      </c>
      <c r="F3271" s="46" t="s">
        <v>1495</v>
      </c>
      <c r="G3271" s="47">
        <v>0.51</v>
      </c>
      <c r="H3271" s="48">
        <v>1.69</v>
      </c>
      <c r="I3271" s="48">
        <v>490.112</v>
      </c>
      <c r="J3271" s="49">
        <v>290</v>
      </c>
      <c r="K3271" s="49">
        <v>176</v>
      </c>
      <c r="L3271" s="49">
        <v>114</v>
      </c>
    </row>
    <row r="3272" spans="1:12" x14ac:dyDescent="0.25">
      <c r="A3272" s="45">
        <f>C3272&amp;"."&amp;IFERROR(MID(E3272,FIND("(",E3272)+1,FIND(")",E3272)-FIND("(",E3272)-1),"")</f>
      </c>
      <c r="B3272" s="46" t="s">
        <v>1178</v>
      </c>
      <c r="C3272" s="46">
        <v>86465</v>
      </c>
      <c r="D3272" s="46" t="s">
        <v>5572</v>
      </c>
      <c r="E3272" s="46" t="s">
        <v>1248</v>
      </c>
      <c r="F3272" s="46" t="s">
        <v>1495</v>
      </c>
      <c r="G3272" s="47">
        <v>0.01</v>
      </c>
      <c r="H3272" s="48">
        <v>0.001</v>
      </c>
      <c r="I3272" s="48">
        <v>1.822</v>
      </c>
      <c r="J3272" s="49">
        <v>3643</v>
      </c>
      <c r="K3272" s="49">
        <v>0</v>
      </c>
      <c r="L3272" s="49">
        <v>3643</v>
      </c>
    </row>
    <row r="3273" spans="1:12" x14ac:dyDescent="0.25">
      <c r="A3273" s="45">
        <f>C3273&amp;"."&amp;IFERROR(MID(E3273,FIND("(",E3273)+1,FIND(")",E3273)-FIND("(",E3273)-1),"")</f>
      </c>
      <c r="B3273" s="46" t="s">
        <v>1178</v>
      </c>
      <c r="C3273" s="46">
        <v>86467</v>
      </c>
      <c r="D3273" s="46" t="s">
        <v>5573</v>
      </c>
      <c r="E3273" s="46" t="s">
        <v>1248</v>
      </c>
      <c r="F3273" s="46" t="s">
        <v>1495</v>
      </c>
      <c r="G3273" s="47">
        <v>0</v>
      </c>
      <c r="H3273" s="48">
        <v>0.214</v>
      </c>
      <c r="I3273" s="48">
        <v>0.214</v>
      </c>
      <c r="J3273" s="49">
        <v>1</v>
      </c>
      <c r="K3273" s="49">
        <v>0</v>
      </c>
      <c r="L3273" s="49">
        <v>1</v>
      </c>
    </row>
    <row r="3274" spans="1:12" x14ac:dyDescent="0.25">
      <c r="A3274" s="45">
        <f>C3274&amp;"."&amp;IFERROR(MID(E3274,FIND("(",E3274)+1,FIND(")",E3274)-FIND("(",E3274)-1),"")</f>
      </c>
      <c r="B3274" s="46" t="s">
        <v>1178</v>
      </c>
      <c r="C3274" s="46">
        <v>86468</v>
      </c>
      <c r="D3274" s="46" t="s">
        <v>5574</v>
      </c>
      <c r="E3274" s="46" t="s">
        <v>1248</v>
      </c>
      <c r="F3274" s="46" t="s">
        <v>1495</v>
      </c>
      <c r="G3274" s="47">
        <v>0</v>
      </c>
      <c r="H3274" s="48">
        <v>0.001</v>
      </c>
      <c r="I3274" s="48">
        <v>0.603</v>
      </c>
      <c r="J3274" s="49">
        <v>1206</v>
      </c>
      <c r="K3274" s="49">
        <v>0</v>
      </c>
      <c r="L3274" s="49">
        <v>1206</v>
      </c>
    </row>
    <row r="3275" spans="1:12" x14ac:dyDescent="0.25">
      <c r="A3275" s="45">
        <f>C3275&amp;"."&amp;IFERROR(MID(E3275,FIND("(",E3275)+1,FIND(")",E3275)-FIND("(",E3275)-1),"")</f>
      </c>
      <c r="B3275" s="46" t="s">
        <v>1178</v>
      </c>
      <c r="C3275" s="46">
        <v>86469</v>
      </c>
      <c r="D3275" s="46" t="s">
        <v>5575</v>
      </c>
      <c r="E3275" s="46" t="s">
        <v>1248</v>
      </c>
      <c r="F3275" s="46" t="s">
        <v>1495</v>
      </c>
      <c r="G3275" s="47">
        <v>0</v>
      </c>
      <c r="H3275" s="48">
        <v>2.13</v>
      </c>
      <c r="I3275" s="48">
        <v>36.213</v>
      </c>
      <c r="J3275" s="49">
        <v>17</v>
      </c>
      <c r="K3275" s="49">
        <v>0</v>
      </c>
      <c r="L3275" s="49">
        <v>17</v>
      </c>
    </row>
    <row r="3276" spans="1:12" x14ac:dyDescent="0.25">
      <c r="A3276" s="45">
        <f>C3276&amp;"."&amp;IFERROR(MID(E3276,FIND("(",E3276)+1,FIND(")",E3276)-FIND("(",E3276)-1),"")</f>
      </c>
      <c r="B3276" s="46" t="s">
        <v>1178</v>
      </c>
      <c r="C3276" s="46">
        <v>86471</v>
      </c>
      <c r="D3276" s="46" t="s">
        <v>5576</v>
      </c>
      <c r="E3276" s="46" t="s">
        <v>1248</v>
      </c>
      <c r="F3276" s="46" t="s">
        <v>1495</v>
      </c>
      <c r="G3276" s="47">
        <v>0</v>
      </c>
      <c r="H3276" s="48">
        <v>2.13</v>
      </c>
      <c r="I3276" s="48">
        <v>74.557</v>
      </c>
      <c r="J3276" s="49">
        <v>35</v>
      </c>
      <c r="K3276" s="49">
        <v>0</v>
      </c>
      <c r="L3276" s="49">
        <v>35</v>
      </c>
    </row>
    <row r="3277" spans="1:12" x14ac:dyDescent="0.25">
      <c r="A3277" s="45">
        <f>C3277&amp;"."&amp;IFERROR(MID(E3277,FIND("(",E3277)+1,FIND(")",E3277)-FIND("(",E3277)-1),"")</f>
      </c>
      <c r="B3277" s="46" t="s">
        <v>1178</v>
      </c>
      <c r="C3277" s="46">
        <v>86472</v>
      </c>
      <c r="D3277" s="46" t="s">
        <v>5577</v>
      </c>
      <c r="E3277" s="46" t="s">
        <v>1248</v>
      </c>
      <c r="F3277" s="46" t="s">
        <v>1495</v>
      </c>
      <c r="G3277" s="47">
        <v>0</v>
      </c>
      <c r="H3277" s="48">
        <v>0.002</v>
      </c>
      <c r="I3277" s="48">
        <v>0.154</v>
      </c>
      <c r="J3277" s="49">
        <v>67</v>
      </c>
      <c r="K3277" s="49">
        <v>0</v>
      </c>
      <c r="L3277" s="49">
        <v>67</v>
      </c>
    </row>
    <row r="3278" spans="1:12" x14ac:dyDescent="0.25">
      <c r="A3278" s="45">
        <f>C3278&amp;"."&amp;IFERROR(MID(E3278,FIND("(",E3278)+1,FIND(")",E3278)-FIND("(",E3278)-1),"")</f>
      </c>
      <c r="B3278" s="46" t="s">
        <v>1178</v>
      </c>
      <c r="C3278" s="46">
        <v>86474</v>
      </c>
      <c r="D3278" s="46" t="s">
        <v>5578</v>
      </c>
      <c r="E3278" s="46" t="s">
        <v>1248</v>
      </c>
      <c r="F3278" s="46" t="s">
        <v>1495</v>
      </c>
      <c r="G3278" s="47">
        <v>0</v>
      </c>
      <c r="H3278" s="48">
        <v>0.002</v>
      </c>
      <c r="I3278" s="48">
        <v>0.23</v>
      </c>
      <c r="J3278" s="49">
        <v>100</v>
      </c>
      <c r="K3278" s="49">
        <v>0</v>
      </c>
      <c r="L3278" s="49">
        <v>100</v>
      </c>
    </row>
    <row r="3279" spans="1:12" x14ac:dyDescent="0.25">
      <c r="A3279" s="45">
        <f>C3279&amp;"."&amp;IFERROR(MID(E3279,FIND("(",E3279)+1,FIND(")",E3279)-FIND("(",E3279)-1),"")</f>
      </c>
      <c r="B3279" s="46" t="s">
        <v>1178</v>
      </c>
      <c r="C3279" s="46">
        <v>86475</v>
      </c>
      <c r="D3279" s="46" t="s">
        <v>5579</v>
      </c>
      <c r="E3279" s="46" t="s">
        <v>1248</v>
      </c>
      <c r="F3279" s="46" t="s">
        <v>1495</v>
      </c>
      <c r="G3279" s="47">
        <v>0.1</v>
      </c>
      <c r="H3279" s="48">
        <v>4.964</v>
      </c>
      <c r="I3279" s="48">
        <v>277.967</v>
      </c>
      <c r="J3279" s="49">
        <v>56</v>
      </c>
      <c r="K3279" s="49">
        <v>30</v>
      </c>
      <c r="L3279" s="49">
        <v>26</v>
      </c>
    </row>
    <row r="3280" spans="1:12" x14ac:dyDescent="0.25">
      <c r="A3280" s="45">
        <f>C3280&amp;"."&amp;IFERROR(MID(E3280,FIND("(",E3280)+1,FIND(")",E3280)-FIND("(",E3280)-1),"")</f>
      </c>
      <c r="B3280" s="46" t="s">
        <v>1178</v>
      </c>
      <c r="C3280" s="46">
        <v>86476</v>
      </c>
      <c r="D3280" s="46" t="s">
        <v>5580</v>
      </c>
      <c r="E3280" s="46" t="s">
        <v>1248</v>
      </c>
      <c r="F3280" s="46" t="s">
        <v>1495</v>
      </c>
      <c r="G3280" s="47">
        <v>0</v>
      </c>
      <c r="H3280" s="48">
        <v>1.17</v>
      </c>
      <c r="I3280" s="48">
        <v>7.02</v>
      </c>
      <c r="J3280" s="49">
        <v>6</v>
      </c>
      <c r="K3280" s="49">
        <v>0</v>
      </c>
      <c r="L3280" s="49">
        <v>6</v>
      </c>
    </row>
    <row r="3281" spans="1:12" x14ac:dyDescent="0.25">
      <c r="A3281" s="45">
        <f>C3281&amp;"."&amp;IFERROR(MID(E3281,FIND("(",E3281)+1,FIND(")",E3281)-FIND("(",E3281)-1),"")</f>
      </c>
      <c r="B3281" s="46" t="s">
        <v>1178</v>
      </c>
      <c r="C3281" s="46">
        <v>86478</v>
      </c>
      <c r="D3281" s="46" t="s">
        <v>5581</v>
      </c>
      <c r="E3281" s="46" t="s">
        <v>1248</v>
      </c>
      <c r="F3281" s="46" t="s">
        <v>1495</v>
      </c>
      <c r="G3281" s="47">
        <v>0</v>
      </c>
      <c r="H3281" s="48">
        <v>2.13</v>
      </c>
      <c r="I3281" s="48">
        <v>57.515</v>
      </c>
      <c r="J3281" s="49">
        <v>27</v>
      </c>
      <c r="K3281" s="49">
        <v>0</v>
      </c>
      <c r="L3281" s="49">
        <v>27</v>
      </c>
    </row>
    <row r="3282" spans="1:12" x14ac:dyDescent="0.25">
      <c r="A3282" s="45">
        <f>C3282&amp;"."&amp;IFERROR(MID(E3282,FIND("(",E3282)+1,FIND(")",E3282)-FIND("(",E3282)-1),"")</f>
      </c>
      <c r="B3282" s="46" t="s">
        <v>1178</v>
      </c>
      <c r="C3282" s="46">
        <v>86479</v>
      </c>
      <c r="D3282" s="46" t="s">
        <v>5582</v>
      </c>
      <c r="E3282" s="46" t="s">
        <v>1248</v>
      </c>
      <c r="F3282" s="46" t="s">
        <v>1495</v>
      </c>
      <c r="G3282" s="47">
        <v>0</v>
      </c>
      <c r="H3282" s="48">
        <v>0.003</v>
      </c>
      <c r="I3282" s="48">
        <v>0.105</v>
      </c>
      <c r="J3282" s="49">
        <v>42</v>
      </c>
      <c r="K3282" s="49">
        <v>4</v>
      </c>
      <c r="L3282" s="49">
        <v>38</v>
      </c>
    </row>
    <row r="3283" spans="1:12" x14ac:dyDescent="0.25">
      <c r="A3283" s="45">
        <f>C3283&amp;"."&amp;IFERROR(MID(E3283,FIND("(",E3283)+1,FIND(")",E3283)-FIND("(",E3283)-1),"")</f>
      </c>
      <c r="B3283" s="46" t="s">
        <v>1178</v>
      </c>
      <c r="C3283" s="46">
        <v>86480</v>
      </c>
      <c r="D3283" s="46" t="s">
        <v>5583</v>
      </c>
      <c r="E3283" s="46" t="s">
        <v>1248</v>
      </c>
      <c r="F3283" s="46" t="s">
        <v>1495</v>
      </c>
      <c r="G3283" s="47">
        <v>0.1</v>
      </c>
      <c r="H3283" s="48">
        <v>2.13</v>
      </c>
      <c r="I3283" s="48">
        <v>4.26</v>
      </c>
      <c r="J3283" s="49">
        <v>2</v>
      </c>
      <c r="K3283" s="49">
        <v>0</v>
      </c>
      <c r="L3283" s="49">
        <v>2</v>
      </c>
    </row>
    <row r="3284" spans="1:12" x14ac:dyDescent="0.25">
      <c r="A3284" s="45">
        <f>C3284&amp;"."&amp;IFERROR(MID(E3284,FIND("(",E3284)+1,FIND(")",E3284)-FIND("(",E3284)-1),"")</f>
      </c>
      <c r="B3284" s="46" t="s">
        <v>1178</v>
      </c>
      <c r="C3284" s="46">
        <v>86481</v>
      </c>
      <c r="D3284" s="46" t="s">
        <v>5584</v>
      </c>
      <c r="E3284" s="46" t="s">
        <v>1248</v>
      </c>
      <c r="F3284" s="46" t="s">
        <v>1495</v>
      </c>
      <c r="G3284" s="47">
        <v>0</v>
      </c>
      <c r="H3284" s="48">
        <v>0</v>
      </c>
      <c r="I3284" s="48">
        <v>0</v>
      </c>
      <c r="J3284" s="49">
        <v>21</v>
      </c>
      <c r="K3284" s="49">
        <v>0</v>
      </c>
      <c r="L3284" s="49">
        <v>21</v>
      </c>
    </row>
    <row r="3285" spans="1:12" x14ac:dyDescent="0.25">
      <c r="A3285" s="45">
        <f>C3285&amp;"."&amp;IFERROR(MID(E3285,FIND("(",E3285)+1,FIND(")",E3285)-FIND("(",E3285)-1),"")</f>
      </c>
      <c r="B3285" s="46" t="s">
        <v>1178</v>
      </c>
      <c r="C3285" s="46">
        <v>86482</v>
      </c>
      <c r="D3285" s="46" t="s">
        <v>5585</v>
      </c>
      <c r="E3285" s="46" t="s">
        <v>1248</v>
      </c>
      <c r="F3285" s="46" t="s">
        <v>1495</v>
      </c>
      <c r="G3285" s="47">
        <v>0</v>
      </c>
      <c r="H3285" s="48">
        <v>2.13</v>
      </c>
      <c r="I3285" s="48">
        <v>8.521</v>
      </c>
      <c r="J3285" s="49">
        <v>4</v>
      </c>
      <c r="K3285" s="49">
        <v>0</v>
      </c>
      <c r="L3285" s="49">
        <v>4</v>
      </c>
    </row>
    <row r="3286" spans="1:12" x14ac:dyDescent="0.25">
      <c r="A3286" s="45">
        <f>C3286&amp;"."&amp;IFERROR(MID(E3286,FIND("(",E3286)+1,FIND(")",E3286)-FIND("(",E3286)-1),"")</f>
      </c>
      <c r="B3286" s="46" t="s">
        <v>1178</v>
      </c>
      <c r="C3286" s="46">
        <v>86484</v>
      </c>
      <c r="D3286" s="46" t="s">
        <v>5586</v>
      </c>
      <c r="E3286" s="46" t="s">
        <v>1248</v>
      </c>
      <c r="F3286" s="46" t="s">
        <v>1495</v>
      </c>
      <c r="G3286" s="47">
        <v>0</v>
      </c>
      <c r="H3286" s="48">
        <v>2.13</v>
      </c>
      <c r="I3286" s="48">
        <v>27.69</v>
      </c>
      <c r="J3286" s="49">
        <v>13</v>
      </c>
      <c r="K3286" s="49">
        <v>11</v>
      </c>
      <c r="L3286" s="49">
        <v>2</v>
      </c>
    </row>
    <row r="3287" spans="1:12" x14ac:dyDescent="0.25">
      <c r="A3287" s="45">
        <f>C3287&amp;"."&amp;IFERROR(MID(E3287,FIND("(",E3287)+1,FIND(")",E3287)-FIND("(",E3287)-1),"")</f>
      </c>
      <c r="B3287" s="46" t="s">
        <v>1178</v>
      </c>
      <c r="C3287" s="46">
        <v>86486</v>
      </c>
      <c r="D3287" s="46" t="s">
        <v>5587</v>
      </c>
      <c r="E3287" s="46" t="s">
        <v>1248</v>
      </c>
      <c r="F3287" s="46" t="s">
        <v>1495</v>
      </c>
      <c r="G3287" s="47">
        <v>0.41</v>
      </c>
      <c r="H3287" s="48">
        <v>0.967</v>
      </c>
      <c r="I3287" s="48">
        <v>17.404</v>
      </c>
      <c r="J3287" s="49">
        <v>18</v>
      </c>
      <c r="K3287" s="49">
        <v>0</v>
      </c>
      <c r="L3287" s="49">
        <v>18</v>
      </c>
    </row>
    <row r="3288" spans="1:12" x14ac:dyDescent="0.25">
      <c r="A3288" s="45">
        <f>C3288&amp;"."&amp;IFERROR(MID(E3288,FIND("(",E3288)+1,FIND(")",E3288)-FIND("(",E3288)-1),"")</f>
      </c>
      <c r="B3288" s="46" t="s">
        <v>1178</v>
      </c>
      <c r="C3288" s="46">
        <v>86487</v>
      </c>
      <c r="D3288" s="46" t="s">
        <v>5588</v>
      </c>
      <c r="E3288" s="46" t="s">
        <v>1248</v>
      </c>
      <c r="F3288" s="46" t="s">
        <v>1495</v>
      </c>
      <c r="G3288" s="47">
        <v>0.42</v>
      </c>
      <c r="H3288" s="48">
        <v>0.454</v>
      </c>
      <c r="I3288" s="48">
        <v>38.144</v>
      </c>
      <c r="J3288" s="49">
        <v>84</v>
      </c>
      <c r="K3288" s="49">
        <v>0</v>
      </c>
      <c r="L3288" s="49">
        <v>84</v>
      </c>
    </row>
    <row r="3289" spans="1:12" x14ac:dyDescent="0.25">
      <c r="A3289" s="45">
        <f>C3289&amp;"."&amp;IFERROR(MID(E3289,FIND("(",E3289)+1,FIND(")",E3289)-FIND("(",E3289)-1),"")</f>
      </c>
      <c r="B3289" s="46" t="s">
        <v>1178</v>
      </c>
      <c r="C3289" s="46">
        <v>86489</v>
      </c>
      <c r="D3289" s="46" t="s">
        <v>5589</v>
      </c>
      <c r="E3289" s="46" t="s">
        <v>1248</v>
      </c>
      <c r="F3289" s="46" t="s">
        <v>1495</v>
      </c>
      <c r="G3289" s="47">
        <v>0</v>
      </c>
      <c r="H3289" s="48">
        <v>0.002</v>
      </c>
      <c r="I3289" s="48">
        <v>0.938</v>
      </c>
      <c r="J3289" s="49">
        <v>408</v>
      </c>
      <c r="K3289" s="49">
        <v>0</v>
      </c>
      <c r="L3289" s="49">
        <v>408</v>
      </c>
    </row>
    <row r="3290" spans="1:12" x14ac:dyDescent="0.25">
      <c r="A3290" s="45">
        <f>C3290&amp;"."&amp;IFERROR(MID(E3290,FIND("(",E3290)+1,FIND(")",E3290)-FIND("(",E3290)-1),"")</f>
      </c>
      <c r="B3290" s="46" t="s">
        <v>1178</v>
      </c>
      <c r="C3290" s="46">
        <v>86513</v>
      </c>
      <c r="D3290" s="46" t="s">
        <v>894</v>
      </c>
      <c r="E3290" s="46" t="s">
        <v>5590</v>
      </c>
      <c r="F3290" s="46" t="s">
        <v>24</v>
      </c>
      <c r="G3290" s="47">
        <v>28</v>
      </c>
      <c r="H3290" s="48">
        <v>98.159</v>
      </c>
      <c r="I3290" s="48">
        <v>8932.439</v>
      </c>
      <c r="J3290" s="49">
        <v>91</v>
      </c>
      <c r="K3290" s="49">
        <v>50</v>
      </c>
      <c r="L3290" s="49">
        <v>41</v>
      </c>
    </row>
    <row r="3291" spans="1:12" x14ac:dyDescent="0.25">
      <c r="A3291" s="45">
        <f>C3291&amp;"."&amp;IFERROR(MID(E3291,FIND("(",E3291)+1,FIND(")",E3291)-FIND("(",E3291)-1),"")</f>
      </c>
      <c r="B3291" s="46" t="s">
        <v>1178</v>
      </c>
      <c r="C3291" s="46">
        <v>86513</v>
      </c>
      <c r="D3291" s="46" t="s">
        <v>894</v>
      </c>
      <c r="E3291" s="46" t="s">
        <v>5591</v>
      </c>
      <c r="F3291" s="46" t="s">
        <v>24</v>
      </c>
      <c r="G3291" s="47">
        <v>28</v>
      </c>
      <c r="H3291" s="48">
        <v>96.706</v>
      </c>
      <c r="I3291" s="48">
        <v>2030.817</v>
      </c>
      <c r="J3291" s="49">
        <v>21</v>
      </c>
      <c r="K3291" s="49">
        <v>16</v>
      </c>
      <c r="L3291" s="49">
        <v>5</v>
      </c>
    </row>
    <row r="3292" spans="1:12" x14ac:dyDescent="0.25">
      <c r="A3292" s="45">
        <f>C3292&amp;"."&amp;IFERROR(MID(E3292,FIND("(",E3292)+1,FIND(")",E3292)-FIND("(",E3292)-1),"")</f>
      </c>
      <c r="B3292" s="46" t="s">
        <v>1178</v>
      </c>
      <c r="C3292" s="46">
        <v>86514</v>
      </c>
      <c r="D3292" s="46" t="s">
        <v>744</v>
      </c>
      <c r="E3292" s="46" t="s">
        <v>5592</v>
      </c>
      <c r="F3292" s="46" t="s">
        <v>24</v>
      </c>
      <c r="G3292" s="47">
        <v>46</v>
      </c>
      <c r="H3292" s="48">
        <v>222.166</v>
      </c>
      <c r="I3292" s="48">
        <v>20439.27</v>
      </c>
      <c r="J3292" s="49">
        <v>92</v>
      </c>
      <c r="K3292" s="49">
        <v>50</v>
      </c>
      <c r="L3292" s="49">
        <v>42</v>
      </c>
    </row>
    <row r="3293" spans="1:12" x14ac:dyDescent="0.25">
      <c r="A3293" s="45">
        <f>C3293&amp;"."&amp;IFERROR(MID(E3293,FIND("(",E3293)+1,FIND(")",E3293)-FIND("(",E3293)-1),"")</f>
      </c>
      <c r="B3293" s="46" t="s">
        <v>1178</v>
      </c>
      <c r="C3293" s="46">
        <v>86514</v>
      </c>
      <c r="D3293" s="46" t="s">
        <v>744</v>
      </c>
      <c r="E3293" s="46" t="s">
        <v>5593</v>
      </c>
      <c r="F3293" s="46" t="s">
        <v>24</v>
      </c>
      <c r="G3293" s="47">
        <v>46</v>
      </c>
      <c r="H3293" s="48">
        <v>218.74</v>
      </c>
      <c r="I3293" s="48">
        <v>3499.836</v>
      </c>
      <c r="J3293" s="49">
        <v>16</v>
      </c>
      <c r="K3293" s="49">
        <v>16</v>
      </c>
      <c r="L3293" s="49">
        <v>0</v>
      </c>
    </row>
    <row r="3294" spans="1:12" x14ac:dyDescent="0.25">
      <c r="A3294" s="45">
        <f>C3294&amp;"."&amp;IFERROR(MID(E3294,FIND("(",E3294)+1,FIND(")",E3294)-FIND("(",E3294)-1),"")</f>
      </c>
      <c r="B3294" s="46" t="s">
        <v>1178</v>
      </c>
      <c r="C3294" s="46">
        <v>86551</v>
      </c>
      <c r="D3294" s="46" t="s">
        <v>5594</v>
      </c>
      <c r="E3294" s="46" t="s">
        <v>1248</v>
      </c>
      <c r="F3294" s="46" t="s">
        <v>1495</v>
      </c>
      <c r="G3294" s="47">
        <v>0</v>
      </c>
      <c r="H3294" s="48">
        <v>0.145</v>
      </c>
      <c r="I3294" s="48">
        <v>2.323</v>
      </c>
      <c r="J3294" s="49">
        <v>16</v>
      </c>
      <c r="K3294" s="49">
        <v>0</v>
      </c>
      <c r="L3294" s="49">
        <v>16</v>
      </c>
    </row>
    <row r="3295" spans="1:12" x14ac:dyDescent="0.25">
      <c r="A3295" s="45">
        <f>C3295&amp;"."&amp;IFERROR(MID(E3295,FIND("(",E3295)+1,FIND(")",E3295)-FIND("(",E3295)-1),"")</f>
      </c>
      <c r="B3295" s="46" t="s">
        <v>1178</v>
      </c>
      <c r="C3295" s="46">
        <v>86553</v>
      </c>
      <c r="D3295" s="46" t="s">
        <v>5595</v>
      </c>
      <c r="E3295" s="46" t="s">
        <v>1248</v>
      </c>
      <c r="F3295" s="46" t="s">
        <v>1495</v>
      </c>
      <c r="G3295" s="47">
        <v>0</v>
      </c>
      <c r="H3295" s="48">
        <v>0.15</v>
      </c>
      <c r="I3295" s="48">
        <v>4.189</v>
      </c>
      <c r="J3295" s="49">
        <v>28</v>
      </c>
      <c r="K3295" s="49">
        <v>28</v>
      </c>
      <c r="L3295" s="49">
        <v>0</v>
      </c>
    </row>
    <row r="3296" spans="1:12" x14ac:dyDescent="0.25">
      <c r="A3296" s="45">
        <f>C3296&amp;"."&amp;IFERROR(MID(E3296,FIND("(",E3296)+1,FIND(")",E3296)-FIND("(",E3296)-1),"")</f>
      </c>
      <c r="B3296" s="46" t="s">
        <v>1178</v>
      </c>
      <c r="C3296" s="46">
        <v>86676</v>
      </c>
      <c r="D3296" s="46" t="s">
        <v>5596</v>
      </c>
      <c r="E3296" s="46" t="s">
        <v>5597</v>
      </c>
      <c r="F3296" s="46" t="s">
        <v>26</v>
      </c>
      <c r="G3296" s="47">
        <v>3.09</v>
      </c>
      <c r="H3296" s="48">
        <v>2.279</v>
      </c>
      <c r="I3296" s="48">
        <v>11.397</v>
      </c>
      <c r="J3296" s="49">
        <v>5</v>
      </c>
      <c r="K3296" s="49">
        <v>0</v>
      </c>
      <c r="L3296" s="49">
        <v>5</v>
      </c>
    </row>
    <row r="3297" spans="1:12" x14ac:dyDescent="0.25">
      <c r="A3297" s="45">
        <f>C3297&amp;"."&amp;IFERROR(MID(E3297,FIND("(",E3297)+1,FIND(")",E3297)-FIND("(",E3297)-1),"")</f>
      </c>
      <c r="B3297" s="46" t="s">
        <v>1178</v>
      </c>
      <c r="C3297" s="46">
        <v>86679</v>
      </c>
      <c r="D3297" s="46" t="s">
        <v>5598</v>
      </c>
      <c r="E3297" s="46" t="s">
        <v>5599</v>
      </c>
      <c r="F3297" s="46" t="s">
        <v>26</v>
      </c>
      <c r="G3297" s="47">
        <v>0.55</v>
      </c>
      <c r="H3297" s="48">
        <v>0.002</v>
      </c>
      <c r="I3297" s="48">
        <v>0.004</v>
      </c>
      <c r="J3297" s="49">
        <v>2</v>
      </c>
      <c r="K3297" s="49">
        <v>0</v>
      </c>
      <c r="L3297" s="49">
        <v>2</v>
      </c>
    </row>
    <row r="3298" spans="1:12" x14ac:dyDescent="0.25">
      <c r="A3298" s="45">
        <f>C3298&amp;"."&amp;IFERROR(MID(E3298,FIND("(",E3298)+1,FIND(")",E3298)-FIND("(",E3298)-1),"")</f>
      </c>
      <c r="B3298" s="46" t="s">
        <v>1178</v>
      </c>
      <c r="C3298" s="46">
        <v>86685</v>
      </c>
      <c r="D3298" s="46" t="s">
        <v>5600</v>
      </c>
      <c r="E3298" s="46" t="s">
        <v>5601</v>
      </c>
      <c r="F3298" s="46" t="s">
        <v>24</v>
      </c>
      <c r="G3298" s="47">
        <v>0.58</v>
      </c>
      <c r="H3298" s="48">
        <v>1.75</v>
      </c>
      <c r="I3298" s="48">
        <v>24.495</v>
      </c>
      <c r="J3298" s="49">
        <v>14</v>
      </c>
      <c r="K3298" s="49">
        <v>6</v>
      </c>
      <c r="L3298" s="49">
        <v>8</v>
      </c>
    </row>
    <row r="3299" spans="1:12" x14ac:dyDescent="0.25">
      <c r="A3299" s="45">
        <f>C3299&amp;"."&amp;IFERROR(MID(E3299,FIND("(",E3299)+1,FIND(")",E3299)-FIND("(",E3299)-1),"")</f>
      </c>
      <c r="B3299" s="46" t="s">
        <v>1178</v>
      </c>
      <c r="C3299" s="46">
        <v>86685</v>
      </c>
      <c r="D3299" s="46" t="s">
        <v>5600</v>
      </c>
      <c r="E3299" s="46" t="s">
        <v>5602</v>
      </c>
      <c r="F3299" s="46" t="s">
        <v>24</v>
      </c>
      <c r="G3299" s="47">
        <v>0.58</v>
      </c>
      <c r="H3299" s="48">
        <v>1.613</v>
      </c>
      <c r="I3299" s="48">
        <v>17.747</v>
      </c>
      <c r="J3299" s="49">
        <v>11</v>
      </c>
      <c r="K3299" s="49">
        <v>3</v>
      </c>
      <c r="L3299" s="49">
        <v>8</v>
      </c>
    </row>
    <row r="3300" spans="1:12" x14ac:dyDescent="0.25">
      <c r="A3300" s="45">
        <f>C3300&amp;"."&amp;IFERROR(MID(E3300,FIND("(",E3300)+1,FIND(")",E3300)-FIND("(",E3300)-1),"")</f>
      </c>
      <c r="B3300" s="46" t="s">
        <v>1178</v>
      </c>
      <c r="C3300" s="46">
        <v>86685</v>
      </c>
      <c r="D3300" s="46" t="s">
        <v>5600</v>
      </c>
      <c r="E3300" s="46" t="s">
        <v>5603</v>
      </c>
      <c r="F3300" s="46" t="s">
        <v>24</v>
      </c>
      <c r="G3300" s="47">
        <v>0.58</v>
      </c>
      <c r="H3300" s="48">
        <v>1.867</v>
      </c>
      <c r="I3300" s="48">
        <v>16.804</v>
      </c>
      <c r="J3300" s="49">
        <v>9</v>
      </c>
      <c r="K3300" s="49">
        <v>0</v>
      </c>
      <c r="L3300" s="49">
        <v>9</v>
      </c>
    </row>
    <row r="3301" spans="1:12" x14ac:dyDescent="0.25">
      <c r="A3301" s="45">
        <f>C3301&amp;"."&amp;IFERROR(MID(E3301,FIND("(",E3301)+1,FIND(")",E3301)-FIND("(",E3301)-1),"")</f>
      </c>
      <c r="B3301" s="46" t="s">
        <v>1178</v>
      </c>
      <c r="C3301" s="46">
        <v>86765</v>
      </c>
      <c r="D3301" s="46" t="s">
        <v>5604</v>
      </c>
      <c r="E3301" s="46" t="s">
        <v>5605</v>
      </c>
      <c r="F3301" s="46" t="s">
        <v>24</v>
      </c>
      <c r="G3301" s="47">
        <v>0.56</v>
      </c>
      <c r="H3301" s="48">
        <v>2.499</v>
      </c>
      <c r="I3301" s="48">
        <v>57.469</v>
      </c>
      <c r="J3301" s="49">
        <v>23</v>
      </c>
      <c r="K3301" s="49">
        <v>12</v>
      </c>
      <c r="L3301" s="49">
        <v>11</v>
      </c>
    </row>
    <row r="3302" spans="1:12" x14ac:dyDescent="0.25">
      <c r="A3302" s="45">
        <f>C3302&amp;"."&amp;IFERROR(MID(E3302,FIND("(",E3302)+1,FIND(")",E3302)-FIND("(",E3302)-1),"")</f>
      </c>
      <c r="B3302" s="46" t="s">
        <v>1178</v>
      </c>
      <c r="C3302" s="46">
        <v>86765</v>
      </c>
      <c r="D3302" s="46" t="s">
        <v>5604</v>
      </c>
      <c r="E3302" s="46" t="s">
        <v>5606</v>
      </c>
      <c r="F3302" s="46" t="s">
        <v>24</v>
      </c>
      <c r="G3302" s="47">
        <v>0.56</v>
      </c>
      <c r="H3302" s="48">
        <v>2.231</v>
      </c>
      <c r="I3302" s="48">
        <v>13.385</v>
      </c>
      <c r="J3302" s="49">
        <v>6</v>
      </c>
      <c r="K3302" s="49">
        <v>6</v>
      </c>
      <c r="L3302" s="49">
        <v>0</v>
      </c>
    </row>
    <row r="3303" spans="1:12" x14ac:dyDescent="0.25">
      <c r="A3303" s="45">
        <f>C3303&amp;"."&amp;IFERROR(MID(E3303,FIND("(",E3303)+1,FIND(")",E3303)-FIND("(",E3303)-1),"")</f>
      </c>
      <c r="B3303" s="46" t="s">
        <v>1178</v>
      </c>
      <c r="C3303" s="46">
        <v>86772</v>
      </c>
      <c r="D3303" s="46" t="s">
        <v>5607</v>
      </c>
      <c r="E3303" s="46" t="s">
        <v>5608</v>
      </c>
      <c r="F3303" s="46" t="s">
        <v>24</v>
      </c>
      <c r="G3303" s="47">
        <v>4.11</v>
      </c>
      <c r="H3303" s="48">
        <v>12.773</v>
      </c>
      <c r="I3303" s="48">
        <v>191.602</v>
      </c>
      <c r="J3303" s="49">
        <v>15</v>
      </c>
      <c r="K3303" s="49">
        <v>5</v>
      </c>
      <c r="L3303" s="49">
        <v>10</v>
      </c>
    </row>
    <row r="3304" spans="1:12" x14ac:dyDescent="0.25">
      <c r="A3304" s="45">
        <f>C3304&amp;"."&amp;IFERROR(MID(E3304,FIND("(",E3304)+1,FIND(")",E3304)-FIND("(",E3304)-1),"")</f>
      </c>
      <c r="B3304" s="46" t="s">
        <v>1178</v>
      </c>
      <c r="C3304" s="46">
        <v>86772</v>
      </c>
      <c r="D3304" s="46" t="s">
        <v>5607</v>
      </c>
      <c r="E3304" s="46" t="s">
        <v>5609</v>
      </c>
      <c r="F3304" s="46" t="s">
        <v>24</v>
      </c>
      <c r="G3304" s="47">
        <v>4.11</v>
      </c>
      <c r="H3304" s="48">
        <v>12.302</v>
      </c>
      <c r="I3304" s="48">
        <v>135.319</v>
      </c>
      <c r="J3304" s="49">
        <v>11</v>
      </c>
      <c r="K3304" s="49">
        <v>1</v>
      </c>
      <c r="L3304" s="49">
        <v>10</v>
      </c>
    </row>
    <row r="3305" spans="1:12" x14ac:dyDescent="0.25">
      <c r="A3305" s="45">
        <f>C3305&amp;"."&amp;IFERROR(MID(E3305,FIND("(",E3305)+1,FIND(")",E3305)-FIND("(",E3305)-1),"")</f>
      </c>
      <c r="B3305" s="46" t="s">
        <v>1178</v>
      </c>
      <c r="C3305" s="46">
        <v>86772</v>
      </c>
      <c r="D3305" s="46" t="s">
        <v>5607</v>
      </c>
      <c r="E3305" s="46" t="s">
        <v>5610</v>
      </c>
      <c r="F3305" s="46" t="s">
        <v>24</v>
      </c>
      <c r="G3305" s="47">
        <v>4.11</v>
      </c>
      <c r="H3305" s="48">
        <v>11.851</v>
      </c>
      <c r="I3305" s="48">
        <v>23.701</v>
      </c>
      <c r="J3305" s="49">
        <v>2</v>
      </c>
      <c r="K3305" s="49">
        <v>0</v>
      </c>
      <c r="L3305" s="49">
        <v>2</v>
      </c>
    </row>
    <row r="3306" spans="1:12" x14ac:dyDescent="0.25">
      <c r="A3306" s="45">
        <f>C3306&amp;"."&amp;IFERROR(MID(E3306,FIND("(",E3306)+1,FIND(")",E3306)-FIND("(",E3306)-1),"")</f>
      </c>
      <c r="B3306" s="46" t="s">
        <v>1178</v>
      </c>
      <c r="C3306" s="46">
        <v>86774</v>
      </c>
      <c r="D3306" s="46" t="s">
        <v>5611</v>
      </c>
      <c r="E3306" s="46" t="s">
        <v>5612</v>
      </c>
      <c r="F3306" s="46" t="s">
        <v>24</v>
      </c>
      <c r="G3306" s="47">
        <v>4.11</v>
      </c>
      <c r="H3306" s="48">
        <v>12.976</v>
      </c>
      <c r="I3306" s="48">
        <v>25.951</v>
      </c>
      <c r="J3306" s="49">
        <v>2</v>
      </c>
      <c r="K3306" s="49">
        <v>0</v>
      </c>
      <c r="L3306" s="49">
        <v>2</v>
      </c>
    </row>
    <row r="3307" spans="1:12" x14ac:dyDescent="0.25">
      <c r="A3307" s="45">
        <f>C3307&amp;"."&amp;IFERROR(MID(E3307,FIND("(",E3307)+1,FIND(")",E3307)-FIND("(",E3307)-1),"")</f>
      </c>
      <c r="B3307" s="46" t="s">
        <v>1178</v>
      </c>
      <c r="C3307" s="46">
        <v>86774</v>
      </c>
      <c r="D3307" s="46" t="s">
        <v>5611</v>
      </c>
      <c r="E3307" s="46" t="s">
        <v>5613</v>
      </c>
      <c r="F3307" s="46" t="s">
        <v>24</v>
      </c>
      <c r="G3307" s="47">
        <v>4.11</v>
      </c>
      <c r="H3307" s="48">
        <v>10.955</v>
      </c>
      <c r="I3307" s="48">
        <v>109.554</v>
      </c>
      <c r="J3307" s="49">
        <v>10</v>
      </c>
      <c r="K3307" s="49">
        <v>0</v>
      </c>
      <c r="L3307" s="49">
        <v>10</v>
      </c>
    </row>
    <row r="3308" spans="1:12" x14ac:dyDescent="0.25">
      <c r="A3308" s="45">
        <f>C3308&amp;"."&amp;IFERROR(MID(E3308,FIND("(",E3308)+1,FIND(")",E3308)-FIND("(",E3308)-1),"")</f>
      </c>
      <c r="B3308" s="46" t="s">
        <v>1178</v>
      </c>
      <c r="C3308" s="46">
        <v>86774</v>
      </c>
      <c r="D3308" s="46" t="s">
        <v>5611</v>
      </c>
      <c r="E3308" s="46" t="s">
        <v>5614</v>
      </c>
      <c r="F3308" s="46" t="s">
        <v>24</v>
      </c>
      <c r="G3308" s="47">
        <v>4.11</v>
      </c>
      <c r="H3308" s="48">
        <v>12.827</v>
      </c>
      <c r="I3308" s="48">
        <v>141.099</v>
      </c>
      <c r="J3308" s="49">
        <v>11</v>
      </c>
      <c r="K3308" s="49">
        <v>4</v>
      </c>
      <c r="L3308" s="49">
        <v>7</v>
      </c>
    </row>
    <row r="3309" spans="1:12" x14ac:dyDescent="0.25">
      <c r="A3309" s="45">
        <f>C3309&amp;"."&amp;IFERROR(MID(E3309,FIND("(",E3309)+1,FIND(")",E3309)-FIND("(",E3309)-1),"")</f>
      </c>
      <c r="B3309" s="46" t="s">
        <v>1178</v>
      </c>
      <c r="C3309" s="46">
        <v>86775</v>
      </c>
      <c r="D3309" s="46" t="s">
        <v>5615</v>
      </c>
      <c r="E3309" s="46" t="s">
        <v>5616</v>
      </c>
      <c r="F3309" s="46" t="s">
        <v>24</v>
      </c>
      <c r="G3309" s="47">
        <v>7.46</v>
      </c>
      <c r="H3309" s="48">
        <v>14.35</v>
      </c>
      <c r="I3309" s="48">
        <v>172.198</v>
      </c>
      <c r="J3309" s="49">
        <v>12</v>
      </c>
      <c r="K3309" s="49">
        <v>3</v>
      </c>
      <c r="L3309" s="49">
        <v>9</v>
      </c>
    </row>
    <row r="3310" spans="1:12" x14ac:dyDescent="0.25">
      <c r="A3310" s="45">
        <f>C3310&amp;"."&amp;IFERROR(MID(E3310,FIND("(",E3310)+1,FIND(")",E3310)-FIND("(",E3310)-1),"")</f>
      </c>
      <c r="B3310" s="46" t="s">
        <v>1178</v>
      </c>
      <c r="C3310" s="46">
        <v>86775</v>
      </c>
      <c r="D3310" s="46" t="s">
        <v>5615</v>
      </c>
      <c r="E3310" s="46" t="s">
        <v>5617</v>
      </c>
      <c r="F3310" s="46" t="s">
        <v>24</v>
      </c>
      <c r="G3310" s="47">
        <v>7.46</v>
      </c>
      <c r="H3310" s="48">
        <v>19.443</v>
      </c>
      <c r="I3310" s="48">
        <v>213.872</v>
      </c>
      <c r="J3310" s="49">
        <v>11</v>
      </c>
      <c r="K3310" s="49">
        <v>6</v>
      </c>
      <c r="L3310" s="49">
        <v>5</v>
      </c>
    </row>
    <row r="3311" spans="1:12" x14ac:dyDescent="0.25">
      <c r="A3311" s="45">
        <f>C3311&amp;"."&amp;IFERROR(MID(E3311,FIND("(",E3311)+1,FIND(")",E3311)-FIND("(",E3311)-1),"")</f>
      </c>
      <c r="B3311" s="46" t="s">
        <v>1178</v>
      </c>
      <c r="C3311" s="46">
        <v>86776</v>
      </c>
      <c r="D3311" s="46" t="s">
        <v>5618</v>
      </c>
      <c r="E3311" s="46" t="s">
        <v>1248</v>
      </c>
      <c r="F3311" s="46" t="s">
        <v>24</v>
      </c>
      <c r="G3311" s="47">
        <v>0.97</v>
      </c>
      <c r="H3311" s="48">
        <v>2.046</v>
      </c>
      <c r="I3311" s="48">
        <v>71.609</v>
      </c>
      <c r="J3311" s="49">
        <v>35</v>
      </c>
      <c r="K3311" s="49">
        <v>3</v>
      </c>
      <c r="L3311" s="49">
        <v>32</v>
      </c>
    </row>
    <row r="3312" spans="1:12" x14ac:dyDescent="0.25">
      <c r="A3312" s="45">
        <f>C3312&amp;"."&amp;IFERROR(MID(E3312,FIND("(",E3312)+1,FIND(")",E3312)-FIND("(",E3312)-1),"")</f>
      </c>
      <c r="B3312" s="46" t="s">
        <v>1178</v>
      </c>
      <c r="C3312" s="46">
        <v>86803</v>
      </c>
      <c r="D3312" s="46" t="s">
        <v>5619</v>
      </c>
      <c r="E3312" s="46" t="s">
        <v>5620</v>
      </c>
      <c r="F3312" s="46" t="s">
        <v>24</v>
      </c>
      <c r="G3312" s="47">
        <v>1.68</v>
      </c>
      <c r="H3312" s="48">
        <v>8.054</v>
      </c>
      <c r="I3312" s="48">
        <v>48.324</v>
      </c>
      <c r="J3312" s="49">
        <v>6</v>
      </c>
      <c r="K3312" s="49">
        <v>0</v>
      </c>
      <c r="L3312" s="49">
        <v>6</v>
      </c>
    </row>
    <row r="3313" spans="1:12" x14ac:dyDescent="0.25">
      <c r="A3313" s="45">
        <f>C3313&amp;"."&amp;IFERROR(MID(E3313,FIND("(",E3313)+1,FIND(")",E3313)-FIND("(",E3313)-1),"")</f>
      </c>
      <c r="B3313" s="46" t="s">
        <v>1178</v>
      </c>
      <c r="C3313" s="46">
        <v>86803</v>
      </c>
      <c r="D3313" s="46" t="s">
        <v>5619</v>
      </c>
      <c r="E3313" s="46" t="s">
        <v>5621</v>
      </c>
      <c r="F3313" s="46" t="s">
        <v>24</v>
      </c>
      <c r="G3313" s="47">
        <v>1.68</v>
      </c>
      <c r="H3313" s="48">
        <v>10.461</v>
      </c>
      <c r="I3313" s="48">
        <v>62.768</v>
      </c>
      <c r="J3313" s="49">
        <v>6</v>
      </c>
      <c r="K3313" s="49">
        <v>0</v>
      </c>
      <c r="L3313" s="49">
        <v>6</v>
      </c>
    </row>
    <row r="3314" spans="1:12" x14ac:dyDescent="0.25">
      <c r="A3314" s="45">
        <f>C3314&amp;"."&amp;IFERROR(MID(E3314,FIND("(",E3314)+1,FIND(")",E3314)-FIND("(",E3314)-1),"")</f>
      </c>
      <c r="B3314" s="46" t="s">
        <v>1178</v>
      </c>
      <c r="C3314" s="46">
        <v>86803</v>
      </c>
      <c r="D3314" s="46" t="s">
        <v>5619</v>
      </c>
      <c r="E3314" s="46" t="s">
        <v>5622</v>
      </c>
      <c r="F3314" s="46" t="s">
        <v>24</v>
      </c>
      <c r="G3314" s="47">
        <v>1.68</v>
      </c>
      <c r="H3314" s="48">
        <v>8.841</v>
      </c>
      <c r="I3314" s="48">
        <v>229.862</v>
      </c>
      <c r="J3314" s="49">
        <v>26</v>
      </c>
      <c r="K3314" s="49">
        <v>0</v>
      </c>
      <c r="L3314" s="49">
        <v>26</v>
      </c>
    </row>
    <row r="3315" spans="1:12" x14ac:dyDescent="0.25">
      <c r="A3315" s="45">
        <f>C3315&amp;"."&amp;IFERROR(MID(E3315,FIND("(",E3315)+1,FIND(")",E3315)-FIND("(",E3315)-1),"")</f>
      </c>
      <c r="B3315" s="46" t="s">
        <v>1178</v>
      </c>
      <c r="C3315" s="46">
        <v>86803</v>
      </c>
      <c r="D3315" s="46" t="s">
        <v>5619</v>
      </c>
      <c r="E3315" s="46" t="s">
        <v>5623</v>
      </c>
      <c r="F3315" s="46" t="s">
        <v>24</v>
      </c>
      <c r="G3315" s="47">
        <v>1.68</v>
      </c>
      <c r="H3315" s="48">
        <v>7.739</v>
      </c>
      <c r="I3315" s="48">
        <v>162.509</v>
      </c>
      <c r="J3315" s="49">
        <v>21</v>
      </c>
      <c r="K3315" s="49">
        <v>15</v>
      </c>
      <c r="L3315" s="49">
        <v>6</v>
      </c>
    </row>
    <row r="3316" spans="1:12" x14ac:dyDescent="0.25">
      <c r="A3316" s="45">
        <f>C3316&amp;"."&amp;IFERROR(MID(E3316,FIND("(",E3316)+1,FIND(")",E3316)-FIND("(",E3316)-1),"")</f>
      </c>
      <c r="B3316" s="46" t="s">
        <v>1178</v>
      </c>
      <c r="C3316" s="46">
        <v>86804</v>
      </c>
      <c r="D3316" s="46" t="s">
        <v>5624</v>
      </c>
      <c r="E3316" s="46" t="s">
        <v>5625</v>
      </c>
      <c r="F3316" s="46" t="s">
        <v>26</v>
      </c>
      <c r="G3316" s="47">
        <v>0.47</v>
      </c>
      <c r="H3316" s="48">
        <v>13.7</v>
      </c>
      <c r="I3316" s="48">
        <v>13.7</v>
      </c>
      <c r="J3316" s="49">
        <v>1</v>
      </c>
      <c r="K3316" s="49">
        <v>0</v>
      </c>
      <c r="L3316" s="49">
        <v>1</v>
      </c>
    </row>
    <row r="3317" spans="1:12" x14ac:dyDescent="0.25">
      <c r="A3317" s="45">
        <f>C3317&amp;"."&amp;IFERROR(MID(E3317,FIND("(",E3317)+1,FIND(")",E3317)-FIND("(",E3317)-1),"")</f>
      </c>
      <c r="B3317" s="46" t="s">
        <v>1178</v>
      </c>
      <c r="C3317" s="46">
        <v>86818</v>
      </c>
      <c r="D3317" s="46" t="s">
        <v>5626</v>
      </c>
      <c r="E3317" s="46" t="s">
        <v>5627</v>
      </c>
      <c r="F3317" s="46" t="s">
        <v>25</v>
      </c>
      <c r="G3317" s="47">
        <v>12.88</v>
      </c>
      <c r="H3317" s="48">
        <v>112.77</v>
      </c>
      <c r="I3317" s="48">
        <v>112.77</v>
      </c>
      <c r="J3317" s="49">
        <v>1</v>
      </c>
      <c r="K3317" s="49">
        <v>0</v>
      </c>
      <c r="L3317" s="49">
        <v>1</v>
      </c>
    </row>
    <row r="3318" spans="1:12" x14ac:dyDescent="0.25">
      <c r="A3318" s="45">
        <f>C3318&amp;"."&amp;IFERROR(MID(E3318,FIND("(",E3318)+1,FIND(")",E3318)-FIND("(",E3318)-1),"")</f>
      </c>
      <c r="B3318" s="46" t="s">
        <v>1178</v>
      </c>
      <c r="C3318" s="46">
        <v>86820</v>
      </c>
      <c r="D3318" s="46" t="s">
        <v>5628</v>
      </c>
      <c r="E3318" s="46" t="s">
        <v>5629</v>
      </c>
      <c r="F3318" s="46" t="s">
        <v>25</v>
      </c>
      <c r="G3318" s="47">
        <v>1.54</v>
      </c>
      <c r="H3318" s="48">
        <v>4.731</v>
      </c>
      <c r="I3318" s="48">
        <v>14.194</v>
      </c>
      <c r="J3318" s="49">
        <v>3</v>
      </c>
      <c r="K3318" s="49">
        <v>0</v>
      </c>
      <c r="L3318" s="49">
        <v>3</v>
      </c>
    </row>
    <row r="3319" spans="1:12" x14ac:dyDescent="0.25">
      <c r="A3319" s="45">
        <f>C3319&amp;"."&amp;IFERROR(MID(E3319,FIND("(",E3319)+1,FIND(")",E3319)-FIND("(",E3319)-1),"")</f>
      </c>
      <c r="B3319" s="46" t="s">
        <v>1178</v>
      </c>
      <c r="C3319" s="46">
        <v>86826</v>
      </c>
      <c r="D3319" s="46" t="s">
        <v>5630</v>
      </c>
      <c r="E3319" s="46" t="s">
        <v>5631</v>
      </c>
      <c r="F3319" s="46" t="s">
        <v>24</v>
      </c>
      <c r="G3319" s="47">
        <v>3.82</v>
      </c>
      <c r="H3319" s="48">
        <v>62.695</v>
      </c>
      <c r="I3319" s="48">
        <v>250.779</v>
      </c>
      <c r="J3319" s="49">
        <v>4</v>
      </c>
      <c r="K3319" s="49">
        <v>1</v>
      </c>
      <c r="L3319" s="49">
        <v>3</v>
      </c>
    </row>
    <row r="3320" spans="1:12" x14ac:dyDescent="0.25">
      <c r="A3320" s="45">
        <f>C3320&amp;"."&amp;IFERROR(MID(E3320,FIND("(",E3320)+1,FIND(")",E3320)-FIND("(",E3320)-1),"")</f>
      </c>
      <c r="B3320" s="46" t="s">
        <v>1178</v>
      </c>
      <c r="C3320" s="46">
        <v>86826</v>
      </c>
      <c r="D3320" s="46" t="s">
        <v>5630</v>
      </c>
      <c r="E3320" s="46" t="s">
        <v>5632</v>
      </c>
      <c r="F3320" s="46" t="s">
        <v>24</v>
      </c>
      <c r="G3320" s="47">
        <v>3.82</v>
      </c>
      <c r="H3320" s="48">
        <v>40.236</v>
      </c>
      <c r="I3320" s="48">
        <v>684.007</v>
      </c>
      <c r="J3320" s="49">
        <v>17</v>
      </c>
      <c r="K3320" s="49">
        <v>6</v>
      </c>
      <c r="L3320" s="49">
        <v>11</v>
      </c>
    </row>
    <row r="3321" spans="1:12" x14ac:dyDescent="0.25">
      <c r="A3321" s="45">
        <f>C3321&amp;"."&amp;IFERROR(MID(E3321,FIND("(",E3321)+1,FIND(")",E3321)-FIND("(",E3321)-1),"")</f>
      </c>
      <c r="B3321" s="46" t="s">
        <v>1178</v>
      </c>
      <c r="C3321" s="46">
        <v>86827</v>
      </c>
      <c r="D3321" s="46" t="s">
        <v>5633</v>
      </c>
      <c r="E3321" s="46" t="s">
        <v>5634</v>
      </c>
      <c r="F3321" s="46" t="s">
        <v>24</v>
      </c>
      <c r="G3321" s="47">
        <v>4.06</v>
      </c>
      <c r="H3321" s="48">
        <v>11.109</v>
      </c>
      <c r="I3321" s="48">
        <v>88.872</v>
      </c>
      <c r="J3321" s="49">
        <v>8</v>
      </c>
      <c r="K3321" s="49">
        <v>2</v>
      </c>
      <c r="L3321" s="49">
        <v>6</v>
      </c>
    </row>
    <row r="3322" spans="1:12" x14ac:dyDescent="0.25">
      <c r="A3322" s="45">
        <f>C3322&amp;"."&amp;IFERROR(MID(E3322,FIND("(",E3322)+1,FIND(")",E3322)-FIND("(",E3322)-1),"")</f>
      </c>
      <c r="B3322" s="46" t="s">
        <v>1178</v>
      </c>
      <c r="C3322" s="46">
        <v>86827</v>
      </c>
      <c r="D3322" s="46" t="s">
        <v>5633</v>
      </c>
      <c r="E3322" s="46" t="s">
        <v>5635</v>
      </c>
      <c r="F3322" s="46" t="s">
        <v>24</v>
      </c>
      <c r="G3322" s="47">
        <v>4.06</v>
      </c>
      <c r="H3322" s="48">
        <v>12.024</v>
      </c>
      <c r="I3322" s="48">
        <v>120.241</v>
      </c>
      <c r="J3322" s="49">
        <v>10</v>
      </c>
      <c r="K3322" s="49">
        <v>1</v>
      </c>
      <c r="L3322" s="49">
        <v>9</v>
      </c>
    </row>
    <row r="3323" spans="1:12" x14ac:dyDescent="0.25">
      <c r="A3323" s="45">
        <f>C3323&amp;"."&amp;IFERROR(MID(E3323,FIND("(",E3323)+1,FIND(")",E3323)-FIND("(",E3323)-1),"")</f>
      </c>
      <c r="B3323" s="46" t="s">
        <v>1178</v>
      </c>
      <c r="C3323" s="46">
        <v>86827</v>
      </c>
      <c r="D3323" s="46" t="s">
        <v>5633</v>
      </c>
      <c r="E3323" s="46" t="s">
        <v>5636</v>
      </c>
      <c r="F3323" s="46" t="s">
        <v>24</v>
      </c>
      <c r="G3323" s="47">
        <v>4.06</v>
      </c>
      <c r="H3323" s="48">
        <v>11.947</v>
      </c>
      <c r="I3323" s="48">
        <v>191.155</v>
      </c>
      <c r="J3323" s="49">
        <v>16</v>
      </c>
      <c r="K3323" s="49">
        <v>8</v>
      </c>
      <c r="L3323" s="49">
        <v>8</v>
      </c>
    </row>
    <row r="3324" spans="1:12" x14ac:dyDescent="0.25">
      <c r="A3324" s="45">
        <f>C3324&amp;"."&amp;IFERROR(MID(E3324,FIND("(",E3324)+1,FIND(")",E3324)-FIND("(",E3324)-1),"")</f>
      </c>
      <c r="B3324" s="46" t="s">
        <v>1178</v>
      </c>
      <c r="C3324" s="46">
        <v>86828</v>
      </c>
      <c r="D3324" s="46" t="s">
        <v>5637</v>
      </c>
      <c r="E3324" s="46" t="s">
        <v>5638</v>
      </c>
      <c r="F3324" s="46" t="s">
        <v>24</v>
      </c>
      <c r="G3324" s="47">
        <v>7.25</v>
      </c>
      <c r="H3324" s="48">
        <v>21.712</v>
      </c>
      <c r="I3324" s="48">
        <v>651.358</v>
      </c>
      <c r="J3324" s="49">
        <v>30</v>
      </c>
      <c r="K3324" s="49">
        <v>2</v>
      </c>
      <c r="L3324" s="49">
        <v>28</v>
      </c>
    </row>
    <row r="3325" spans="1:12" x14ac:dyDescent="0.25">
      <c r="A3325" s="45">
        <f>C3325&amp;"."&amp;IFERROR(MID(E3325,FIND("(",E3325)+1,FIND(")",E3325)-FIND("(",E3325)-1),"")</f>
      </c>
      <c r="B3325" s="46" t="s">
        <v>1178</v>
      </c>
      <c r="C3325" s="46">
        <v>86828</v>
      </c>
      <c r="D3325" s="46" t="s">
        <v>5637</v>
      </c>
      <c r="E3325" s="46" t="s">
        <v>5639</v>
      </c>
      <c r="F3325" s="46" t="s">
        <v>24</v>
      </c>
      <c r="G3325" s="47">
        <v>7.25</v>
      </c>
      <c r="H3325" s="48">
        <v>24.706</v>
      </c>
      <c r="I3325" s="48">
        <v>1087.057</v>
      </c>
      <c r="J3325" s="49">
        <v>44</v>
      </c>
      <c r="K3325" s="49">
        <v>18</v>
      </c>
      <c r="L3325" s="49">
        <v>26</v>
      </c>
    </row>
    <row r="3326" spans="1:12" x14ac:dyDescent="0.25">
      <c r="A3326" s="45">
        <f>C3326&amp;"."&amp;IFERROR(MID(E3326,FIND("(",E3326)+1,FIND(")",E3326)-FIND("(",E3326)-1),"")</f>
      </c>
      <c r="B3326" s="46" t="s">
        <v>1178</v>
      </c>
      <c r="C3326" s="46">
        <v>86828</v>
      </c>
      <c r="D3326" s="46" t="s">
        <v>5637</v>
      </c>
      <c r="E3326" s="46" t="s">
        <v>5640</v>
      </c>
      <c r="F3326" s="46" t="s">
        <v>24</v>
      </c>
      <c r="G3326" s="47">
        <v>7.25</v>
      </c>
      <c r="H3326" s="48">
        <v>22.614</v>
      </c>
      <c r="I3326" s="48">
        <v>271.367</v>
      </c>
      <c r="J3326" s="49">
        <v>12</v>
      </c>
      <c r="K3326" s="49">
        <v>3</v>
      </c>
      <c r="L3326" s="49">
        <v>9</v>
      </c>
    </row>
    <row r="3327" spans="1:12" x14ac:dyDescent="0.25">
      <c r="A3327" s="45">
        <f>C3327&amp;"."&amp;IFERROR(MID(E3327,FIND("(",E3327)+1,FIND(")",E3327)-FIND("(",E3327)-1),"")</f>
      </c>
      <c r="B3327" s="46" t="s">
        <v>1178</v>
      </c>
      <c r="C3327" s="46">
        <v>86829</v>
      </c>
      <c r="D3327" s="46" t="s">
        <v>5641</v>
      </c>
      <c r="E3327" s="46" t="s">
        <v>5642</v>
      </c>
      <c r="F3327" s="46" t="s">
        <v>24</v>
      </c>
      <c r="G3327" s="47">
        <v>1.22</v>
      </c>
      <c r="H3327" s="48">
        <v>5.804</v>
      </c>
      <c r="I3327" s="48">
        <v>40.629</v>
      </c>
      <c r="J3327" s="49">
        <v>7</v>
      </c>
      <c r="K3327" s="49">
        <v>1</v>
      </c>
      <c r="L3327" s="49">
        <v>6</v>
      </c>
    </row>
    <row r="3328" spans="1:12" x14ac:dyDescent="0.25">
      <c r="A3328" s="45">
        <f>C3328&amp;"."&amp;IFERROR(MID(E3328,FIND("(",E3328)+1,FIND(")",E3328)-FIND("(",E3328)-1),"")</f>
      </c>
      <c r="B3328" s="46" t="s">
        <v>1178</v>
      </c>
      <c r="C3328" s="46">
        <v>86829</v>
      </c>
      <c r="D3328" s="46" t="s">
        <v>5641</v>
      </c>
      <c r="E3328" s="46" t="s">
        <v>5643</v>
      </c>
      <c r="F3328" s="46" t="s">
        <v>24</v>
      </c>
      <c r="G3328" s="47">
        <v>1.22</v>
      </c>
      <c r="H3328" s="48">
        <v>5.658</v>
      </c>
      <c r="I3328" s="48">
        <v>73.554</v>
      </c>
      <c r="J3328" s="49">
        <v>13</v>
      </c>
      <c r="K3328" s="49">
        <v>0</v>
      </c>
      <c r="L3328" s="49">
        <v>13</v>
      </c>
    </row>
    <row r="3329" spans="1:12" x14ac:dyDescent="0.25">
      <c r="A3329" s="45">
        <f>C3329&amp;"."&amp;IFERROR(MID(E3329,FIND("(",E3329)+1,FIND(")",E3329)-FIND("(",E3329)-1),"")</f>
      </c>
      <c r="B3329" s="46" t="s">
        <v>1178</v>
      </c>
      <c r="C3329" s="46">
        <v>86829</v>
      </c>
      <c r="D3329" s="46" t="s">
        <v>5641</v>
      </c>
      <c r="E3329" s="46" t="s">
        <v>5644</v>
      </c>
      <c r="F3329" s="46" t="s">
        <v>24</v>
      </c>
      <c r="G3329" s="47">
        <v>1.22</v>
      </c>
      <c r="H3329" s="48">
        <v>5.882</v>
      </c>
      <c r="I3329" s="48">
        <v>58.816</v>
      </c>
      <c r="J3329" s="49">
        <v>10</v>
      </c>
      <c r="K3329" s="49">
        <v>3</v>
      </c>
      <c r="L3329" s="49">
        <v>7</v>
      </c>
    </row>
    <row r="3330" spans="1:12" x14ac:dyDescent="0.25">
      <c r="A3330" s="45">
        <f>C3330&amp;"."&amp;IFERROR(MID(E3330,FIND("(",E3330)+1,FIND(")",E3330)-FIND("(",E3330)-1),"")</f>
      </c>
      <c r="B3330" s="46" t="s">
        <v>1178</v>
      </c>
      <c r="C3330" s="46">
        <v>86830</v>
      </c>
      <c r="D3330" s="46" t="s">
        <v>5645</v>
      </c>
      <c r="E3330" s="46" t="s">
        <v>5646</v>
      </c>
      <c r="F3330" s="46" t="s">
        <v>24</v>
      </c>
      <c r="G3330" s="47">
        <v>1.22</v>
      </c>
      <c r="H3330" s="48">
        <v>5.525</v>
      </c>
      <c r="I3330" s="48">
        <v>66.3</v>
      </c>
      <c r="J3330" s="49">
        <v>12</v>
      </c>
      <c r="K3330" s="49">
        <v>3</v>
      </c>
      <c r="L3330" s="49">
        <v>9</v>
      </c>
    </row>
    <row r="3331" spans="1:12" x14ac:dyDescent="0.25">
      <c r="A3331" s="45">
        <f>C3331&amp;"."&amp;IFERROR(MID(E3331,FIND("(",E3331)+1,FIND(")",E3331)-FIND("(",E3331)-1),"")</f>
      </c>
      <c r="B3331" s="46" t="s">
        <v>1178</v>
      </c>
      <c r="C3331" s="46">
        <v>86830</v>
      </c>
      <c r="D3331" s="46" t="s">
        <v>5645</v>
      </c>
      <c r="E3331" s="46" t="s">
        <v>5647</v>
      </c>
      <c r="F3331" s="46" t="s">
        <v>24</v>
      </c>
      <c r="G3331" s="47">
        <v>1.22</v>
      </c>
      <c r="H3331" s="48">
        <v>5.496</v>
      </c>
      <c r="I3331" s="48">
        <v>98.928</v>
      </c>
      <c r="J3331" s="49">
        <v>18</v>
      </c>
      <c r="K3331" s="49">
        <v>1</v>
      </c>
      <c r="L3331" s="49">
        <v>17</v>
      </c>
    </row>
    <row r="3332" spans="1:12" x14ac:dyDescent="0.25">
      <c r="A3332" s="45">
        <f>C3332&amp;"."&amp;IFERROR(MID(E3332,FIND("(",E3332)+1,FIND(")",E3332)-FIND("(",E3332)-1),"")</f>
      </c>
      <c r="B3332" s="46" t="s">
        <v>1178</v>
      </c>
      <c r="C3332" s="46">
        <v>86830</v>
      </c>
      <c r="D3332" s="46" t="s">
        <v>5645</v>
      </c>
      <c r="E3332" s="46" t="s">
        <v>5648</v>
      </c>
      <c r="F3332" s="46" t="s">
        <v>24</v>
      </c>
      <c r="G3332" s="47">
        <v>1.22</v>
      </c>
      <c r="H3332" s="48">
        <v>10.31</v>
      </c>
      <c r="I3332" s="48">
        <v>10.31</v>
      </c>
      <c r="J3332" s="49">
        <v>1</v>
      </c>
      <c r="K3332" s="49">
        <v>0</v>
      </c>
      <c r="L3332" s="49">
        <v>1</v>
      </c>
    </row>
    <row r="3333" spans="1:12" x14ac:dyDescent="0.25">
      <c r="A3333" s="45">
        <f>C3333&amp;"."&amp;IFERROR(MID(E3333,FIND("(",E3333)+1,FIND(")",E3333)-FIND("(",E3333)-1),"")</f>
      </c>
      <c r="B3333" s="46" t="s">
        <v>1178</v>
      </c>
      <c r="C3333" s="46">
        <v>86831</v>
      </c>
      <c r="D3333" s="46" t="s">
        <v>5649</v>
      </c>
      <c r="E3333" s="46" t="s">
        <v>5650</v>
      </c>
      <c r="F3333" s="46" t="s">
        <v>24</v>
      </c>
      <c r="G3333" s="47">
        <v>1.9</v>
      </c>
      <c r="H3333" s="48">
        <v>8.174</v>
      </c>
      <c r="I3333" s="48">
        <v>81.737</v>
      </c>
      <c r="J3333" s="49">
        <v>10</v>
      </c>
      <c r="K3333" s="49">
        <v>1</v>
      </c>
      <c r="L3333" s="49">
        <v>9</v>
      </c>
    </row>
    <row r="3334" spans="1:12" x14ac:dyDescent="0.25">
      <c r="A3334" s="45">
        <f>C3334&amp;"."&amp;IFERROR(MID(E3334,FIND("(",E3334)+1,FIND(")",E3334)-FIND("(",E3334)-1),"")</f>
      </c>
      <c r="B3334" s="46" t="s">
        <v>1178</v>
      </c>
      <c r="C3334" s="46">
        <v>86831</v>
      </c>
      <c r="D3334" s="46" t="s">
        <v>5649</v>
      </c>
      <c r="E3334" s="46" t="s">
        <v>5651</v>
      </c>
      <c r="F3334" s="46" t="s">
        <v>24</v>
      </c>
      <c r="G3334" s="47">
        <v>1.9</v>
      </c>
      <c r="H3334" s="48">
        <v>7.761</v>
      </c>
      <c r="I3334" s="48">
        <v>131.944</v>
      </c>
      <c r="J3334" s="49">
        <v>17</v>
      </c>
      <c r="K3334" s="49">
        <v>1</v>
      </c>
      <c r="L3334" s="49">
        <v>16</v>
      </c>
    </row>
    <row r="3335" spans="1:12" x14ac:dyDescent="0.25">
      <c r="A3335" s="45">
        <f>C3335&amp;"."&amp;IFERROR(MID(E3335,FIND("(",E3335)+1,FIND(")",E3335)-FIND("(",E3335)-1),"")</f>
      </c>
      <c r="B3335" s="46" t="s">
        <v>1178</v>
      </c>
      <c r="C3335" s="46">
        <v>86832</v>
      </c>
      <c r="D3335" s="46" t="s">
        <v>5652</v>
      </c>
      <c r="E3335" s="46" t="s">
        <v>5653</v>
      </c>
      <c r="F3335" s="46" t="s">
        <v>24</v>
      </c>
      <c r="G3335" s="47">
        <v>1.73</v>
      </c>
      <c r="H3335" s="48">
        <v>13.451</v>
      </c>
      <c r="I3335" s="48">
        <v>13.451</v>
      </c>
      <c r="J3335" s="49">
        <v>1</v>
      </c>
      <c r="K3335" s="49">
        <v>0</v>
      </c>
      <c r="L3335" s="49">
        <v>1</v>
      </c>
    </row>
    <row r="3336" spans="1:12" x14ac:dyDescent="0.25">
      <c r="A3336" s="45">
        <f>C3336&amp;"."&amp;IFERROR(MID(E3336,FIND("(",E3336)+1,FIND(")",E3336)-FIND("(",E3336)-1),"")</f>
      </c>
      <c r="B3336" s="46" t="s">
        <v>1178</v>
      </c>
      <c r="C3336" s="46">
        <v>86832</v>
      </c>
      <c r="D3336" s="46" t="s">
        <v>5652</v>
      </c>
      <c r="E3336" s="46" t="s">
        <v>5654</v>
      </c>
      <c r="F3336" s="46" t="s">
        <v>24</v>
      </c>
      <c r="G3336" s="47">
        <v>1.73</v>
      </c>
      <c r="H3336" s="48">
        <v>7.834</v>
      </c>
      <c r="I3336" s="48">
        <v>250.703</v>
      </c>
      <c r="J3336" s="49">
        <v>32</v>
      </c>
      <c r="K3336" s="49">
        <v>13</v>
      </c>
      <c r="L3336" s="49">
        <v>19</v>
      </c>
    </row>
    <row r="3337" spans="1:12" x14ac:dyDescent="0.25">
      <c r="A3337" s="45">
        <f>C3337&amp;"."&amp;IFERROR(MID(E3337,FIND("(",E3337)+1,FIND(")",E3337)-FIND("(",E3337)-1),"")</f>
      </c>
      <c r="B3337" s="46" t="s">
        <v>1178</v>
      </c>
      <c r="C3337" s="46">
        <v>86832</v>
      </c>
      <c r="D3337" s="46" t="s">
        <v>5652</v>
      </c>
      <c r="E3337" s="46" t="s">
        <v>5655</v>
      </c>
      <c r="F3337" s="46" t="s">
        <v>24</v>
      </c>
      <c r="G3337" s="47">
        <v>1.73</v>
      </c>
      <c r="H3337" s="48">
        <v>8.679</v>
      </c>
      <c r="I3337" s="48">
        <v>147.542</v>
      </c>
      <c r="J3337" s="49">
        <v>17</v>
      </c>
      <c r="K3337" s="49">
        <v>8</v>
      </c>
      <c r="L3337" s="49">
        <v>9</v>
      </c>
    </row>
    <row r="3338" spans="1:12" x14ac:dyDescent="0.25">
      <c r="A3338" s="45">
        <f>C3338&amp;"."&amp;IFERROR(MID(E3338,FIND("(",E3338)+1,FIND(")",E3338)-FIND("(",E3338)-1),"")</f>
      </c>
      <c r="B3338" s="46" t="s">
        <v>1178</v>
      </c>
      <c r="C3338" s="46">
        <v>86836</v>
      </c>
      <c r="D3338" s="46" t="s">
        <v>5656</v>
      </c>
      <c r="E3338" s="46" t="s">
        <v>5657</v>
      </c>
      <c r="F3338" s="46" t="s">
        <v>25</v>
      </c>
      <c r="G3338" s="47">
        <v>0.77</v>
      </c>
      <c r="H3338" s="48">
        <v>2.13</v>
      </c>
      <c r="I3338" s="48">
        <v>4.26</v>
      </c>
      <c r="J3338" s="49">
        <v>2</v>
      </c>
      <c r="K3338" s="49">
        <v>0</v>
      </c>
      <c r="L3338" s="49">
        <v>2</v>
      </c>
    </row>
    <row r="3339" spans="1:12" x14ac:dyDescent="0.25">
      <c r="A3339" s="45">
        <f>C3339&amp;"."&amp;IFERROR(MID(E3339,FIND("(",E3339)+1,FIND(")",E3339)-FIND("(",E3339)-1),"")</f>
      </c>
      <c r="B3339" s="46" t="s">
        <v>1178</v>
      </c>
      <c r="C3339" s="46">
        <v>86836</v>
      </c>
      <c r="D3339" s="46" t="s">
        <v>5656</v>
      </c>
      <c r="E3339" s="46" t="s">
        <v>5658</v>
      </c>
      <c r="F3339" s="46" t="s">
        <v>25</v>
      </c>
      <c r="G3339" s="47">
        <v>0.77</v>
      </c>
      <c r="H3339" s="48">
        <v>2.178</v>
      </c>
      <c r="I3339" s="48">
        <v>8.713</v>
      </c>
      <c r="J3339" s="49">
        <v>4</v>
      </c>
      <c r="K3339" s="49">
        <v>0</v>
      </c>
      <c r="L3339" s="49">
        <v>4</v>
      </c>
    </row>
    <row r="3340" spans="1:12" x14ac:dyDescent="0.25">
      <c r="A3340" s="45">
        <f>C3340&amp;"."&amp;IFERROR(MID(E3340,FIND("(",E3340)+1,FIND(")",E3340)-FIND("(",E3340)-1),"")</f>
      </c>
      <c r="B3340" s="46" t="s">
        <v>1178</v>
      </c>
      <c r="C3340" s="46">
        <v>86837</v>
      </c>
      <c r="D3340" s="46" t="s">
        <v>696</v>
      </c>
      <c r="E3340" s="46" t="s">
        <v>5659</v>
      </c>
      <c r="F3340" s="46" t="s">
        <v>25</v>
      </c>
      <c r="G3340" s="47">
        <v>16</v>
      </c>
      <c r="H3340" s="48">
        <v>76.983</v>
      </c>
      <c r="I3340" s="48">
        <v>384.916</v>
      </c>
      <c r="J3340" s="49">
        <v>5</v>
      </c>
      <c r="K3340" s="49">
        <v>0</v>
      </c>
      <c r="L3340" s="49">
        <v>5</v>
      </c>
    </row>
    <row r="3341" spans="1:12" x14ac:dyDescent="0.25">
      <c r="A3341" s="45">
        <f>C3341&amp;"."&amp;IFERROR(MID(E3341,FIND("(",E3341)+1,FIND(")",E3341)-FIND("(",E3341)-1),"")</f>
      </c>
      <c r="B3341" s="46" t="s">
        <v>1178</v>
      </c>
      <c r="C3341" s="46">
        <v>86841</v>
      </c>
      <c r="D3341" s="46" t="s">
        <v>5660</v>
      </c>
      <c r="E3341" s="46" t="s">
        <v>5661</v>
      </c>
      <c r="F3341" s="46" t="s">
        <v>25</v>
      </c>
      <c r="G3341" s="47">
        <v>0.78</v>
      </c>
      <c r="H3341" s="48">
        <v>3.62</v>
      </c>
      <c r="I3341" s="48">
        <v>7.24</v>
      </c>
      <c r="J3341" s="49">
        <v>2</v>
      </c>
      <c r="K3341" s="49">
        <v>0</v>
      </c>
      <c r="L3341" s="49">
        <v>2</v>
      </c>
    </row>
    <row r="3342" spans="1:12" x14ac:dyDescent="0.25">
      <c r="A3342" s="45">
        <f>C3342&amp;"."&amp;IFERROR(MID(E3342,FIND("(",E3342)+1,FIND(")",E3342)-FIND("(",E3342)-1),"")</f>
      </c>
      <c r="B3342" s="46" t="s">
        <v>1178</v>
      </c>
      <c r="C3342" s="46">
        <v>86843</v>
      </c>
      <c r="D3342" s="46" t="s">
        <v>5662</v>
      </c>
      <c r="E3342" s="46" t="s">
        <v>5663</v>
      </c>
      <c r="F3342" s="46" t="s">
        <v>25</v>
      </c>
      <c r="G3342" s="47">
        <v>2.02</v>
      </c>
      <c r="H3342" s="48">
        <v>6.49</v>
      </c>
      <c r="I3342" s="48">
        <v>12.98</v>
      </c>
      <c r="J3342" s="49">
        <v>2</v>
      </c>
      <c r="K3342" s="49">
        <v>0</v>
      </c>
      <c r="L3342" s="49">
        <v>2</v>
      </c>
    </row>
    <row r="3343" spans="1:12" x14ac:dyDescent="0.25">
      <c r="A3343" s="45">
        <f>C3343&amp;"."&amp;IFERROR(MID(E3343,FIND("(",E3343)+1,FIND(")",E3343)-FIND("(",E3343)-1),"")</f>
      </c>
      <c r="B3343" s="46" t="s">
        <v>1178</v>
      </c>
      <c r="C3343" s="46">
        <v>86843</v>
      </c>
      <c r="D3343" s="46" t="s">
        <v>5662</v>
      </c>
      <c r="E3343" s="46" t="s">
        <v>5664</v>
      </c>
      <c r="F3343" s="46" t="s">
        <v>25</v>
      </c>
      <c r="G3343" s="47">
        <v>2.02</v>
      </c>
      <c r="H3343" s="48">
        <v>6.49</v>
      </c>
      <c r="I3343" s="48">
        <v>12.98</v>
      </c>
      <c r="J3343" s="49">
        <v>2</v>
      </c>
      <c r="K3343" s="49">
        <v>0</v>
      </c>
      <c r="L3343" s="49">
        <v>2</v>
      </c>
    </row>
    <row r="3344" spans="1:12" x14ac:dyDescent="0.25">
      <c r="A3344" s="45">
        <f>C3344&amp;"."&amp;IFERROR(MID(E3344,FIND("(",E3344)+1,FIND(")",E3344)-FIND("(",E3344)-1),"")</f>
      </c>
      <c r="B3344" s="46" t="s">
        <v>1178</v>
      </c>
      <c r="C3344" s="46">
        <v>86845</v>
      </c>
      <c r="D3344" s="46" t="s">
        <v>5665</v>
      </c>
      <c r="E3344" s="46" t="s">
        <v>5666</v>
      </c>
      <c r="F3344" s="46" t="s">
        <v>25</v>
      </c>
      <c r="G3344" s="47">
        <v>2.02</v>
      </c>
      <c r="H3344" s="48">
        <v>6.49</v>
      </c>
      <c r="I3344" s="48">
        <v>12.98</v>
      </c>
      <c r="J3344" s="49">
        <v>2</v>
      </c>
      <c r="K3344" s="49">
        <v>0</v>
      </c>
      <c r="L3344" s="49">
        <v>2</v>
      </c>
    </row>
    <row r="3345" spans="1:12" x14ac:dyDescent="0.25">
      <c r="A3345" s="45">
        <f>C3345&amp;"."&amp;IFERROR(MID(E3345,FIND("(",E3345)+1,FIND(")",E3345)-FIND("(",E3345)-1),"")</f>
      </c>
      <c r="B3345" s="46" t="s">
        <v>1178</v>
      </c>
      <c r="C3345" s="46">
        <v>86846</v>
      </c>
      <c r="D3345" s="46" t="s">
        <v>5667</v>
      </c>
      <c r="E3345" s="46" t="s">
        <v>5668</v>
      </c>
      <c r="F3345" s="46" t="s">
        <v>25</v>
      </c>
      <c r="G3345" s="47">
        <v>0.27</v>
      </c>
      <c r="H3345" s="48">
        <v>0.8</v>
      </c>
      <c r="I3345" s="48">
        <v>3.2</v>
      </c>
      <c r="J3345" s="49">
        <v>4</v>
      </c>
      <c r="K3345" s="49">
        <v>0</v>
      </c>
      <c r="L3345" s="49">
        <v>4</v>
      </c>
    </row>
    <row r="3346" spans="1:12" x14ac:dyDescent="0.25">
      <c r="A3346" s="45">
        <f>C3346&amp;"."&amp;IFERROR(MID(E3346,FIND("(",E3346)+1,FIND(")",E3346)-FIND("(",E3346)-1),"")</f>
      </c>
      <c r="B3346" s="46" t="s">
        <v>1178</v>
      </c>
      <c r="C3346" s="46">
        <v>86846</v>
      </c>
      <c r="D3346" s="46" t="s">
        <v>5667</v>
      </c>
      <c r="E3346" s="46" t="s">
        <v>5669</v>
      </c>
      <c r="F3346" s="46" t="s">
        <v>25</v>
      </c>
      <c r="G3346" s="47">
        <v>0.27</v>
      </c>
      <c r="H3346" s="48">
        <v>0.8</v>
      </c>
      <c r="I3346" s="48">
        <v>1.6</v>
      </c>
      <c r="J3346" s="49">
        <v>2</v>
      </c>
      <c r="K3346" s="49">
        <v>0</v>
      </c>
      <c r="L3346" s="49">
        <v>2</v>
      </c>
    </row>
    <row r="3347" spans="1:12" x14ac:dyDescent="0.25">
      <c r="A3347" s="45">
        <f>C3347&amp;"."&amp;IFERROR(MID(E3347,FIND("(",E3347)+1,FIND(")",E3347)-FIND("(",E3347)-1),"")</f>
      </c>
      <c r="B3347" s="46" t="s">
        <v>1178</v>
      </c>
      <c r="C3347" s="46">
        <v>86848</v>
      </c>
      <c r="D3347" s="46" t="s">
        <v>5670</v>
      </c>
      <c r="E3347" s="46" t="s">
        <v>1248</v>
      </c>
      <c r="F3347" s="46" t="s">
        <v>25</v>
      </c>
      <c r="G3347" s="47">
        <v>0.39</v>
      </c>
      <c r="H3347" s="48">
        <v>0.98</v>
      </c>
      <c r="I3347" s="48">
        <v>0.98</v>
      </c>
      <c r="J3347" s="49">
        <v>1</v>
      </c>
      <c r="K3347" s="49">
        <v>0</v>
      </c>
      <c r="L3347" s="49">
        <v>1</v>
      </c>
    </row>
    <row r="3348" spans="1:12" x14ac:dyDescent="0.25">
      <c r="A3348" s="45">
        <f>C3348&amp;"."&amp;IFERROR(MID(E3348,FIND("(",E3348)+1,FIND(")",E3348)-FIND("(",E3348)-1),"")</f>
      </c>
      <c r="B3348" s="46" t="s">
        <v>1178</v>
      </c>
      <c r="C3348" s="46">
        <v>86862</v>
      </c>
      <c r="D3348" s="46" t="s">
        <v>5671</v>
      </c>
      <c r="E3348" s="46" t="s">
        <v>5672</v>
      </c>
      <c r="F3348" s="46" t="s">
        <v>24</v>
      </c>
      <c r="G3348" s="47">
        <v>1.68</v>
      </c>
      <c r="H3348" s="48">
        <v>8.214</v>
      </c>
      <c r="I3348" s="48">
        <v>65.714</v>
      </c>
      <c r="J3348" s="49">
        <v>8</v>
      </c>
      <c r="K3348" s="49">
        <v>5</v>
      </c>
      <c r="L3348" s="49">
        <v>3</v>
      </c>
    </row>
    <row r="3349" spans="1:12" x14ac:dyDescent="0.25">
      <c r="A3349" s="45">
        <f>C3349&amp;"."&amp;IFERROR(MID(E3349,FIND("(",E3349)+1,FIND(")",E3349)-FIND("(",E3349)-1),"")</f>
      </c>
      <c r="B3349" s="46" t="s">
        <v>1178</v>
      </c>
      <c r="C3349" s="46">
        <v>86865</v>
      </c>
      <c r="D3349" s="46" t="s">
        <v>5673</v>
      </c>
      <c r="E3349" s="46" t="s">
        <v>5674</v>
      </c>
      <c r="F3349" s="46" t="s">
        <v>24</v>
      </c>
      <c r="G3349" s="47">
        <v>0.81</v>
      </c>
      <c r="H3349" s="48">
        <v>3.579</v>
      </c>
      <c r="I3349" s="48">
        <v>67.995</v>
      </c>
      <c r="J3349" s="49">
        <v>19</v>
      </c>
      <c r="K3349" s="49">
        <v>12</v>
      </c>
      <c r="L3349" s="49">
        <v>7</v>
      </c>
    </row>
    <row r="3350" spans="1:12" x14ac:dyDescent="0.25">
      <c r="A3350" s="45">
        <f>C3350&amp;"."&amp;IFERROR(MID(E3350,FIND("(",E3350)+1,FIND(")",E3350)-FIND("(",E3350)-1),"")</f>
      </c>
      <c r="B3350" s="46" t="s">
        <v>1178</v>
      </c>
      <c r="C3350" s="46">
        <v>86865</v>
      </c>
      <c r="D3350" s="46" t="s">
        <v>5673</v>
      </c>
      <c r="E3350" s="46" t="s">
        <v>5675</v>
      </c>
      <c r="F3350" s="46" t="s">
        <v>24</v>
      </c>
      <c r="G3350" s="47">
        <v>0.81</v>
      </c>
      <c r="H3350" s="48">
        <v>2.933</v>
      </c>
      <c r="I3350" s="48">
        <v>23.46</v>
      </c>
      <c r="J3350" s="49">
        <v>8</v>
      </c>
      <c r="K3350" s="49">
        <v>0</v>
      </c>
      <c r="L3350" s="49">
        <v>8</v>
      </c>
    </row>
    <row r="3351" spans="1:12" x14ac:dyDescent="0.25">
      <c r="A3351" s="45">
        <f>C3351&amp;"."&amp;IFERROR(MID(E3351,FIND("(",E3351)+1,FIND(")",E3351)-FIND("(",E3351)-1),"")</f>
      </c>
      <c r="B3351" s="46" t="s">
        <v>1178</v>
      </c>
      <c r="C3351" s="46">
        <v>86865</v>
      </c>
      <c r="D3351" s="46" t="s">
        <v>5673</v>
      </c>
      <c r="E3351" s="46" t="s">
        <v>5676</v>
      </c>
      <c r="F3351" s="46" t="s">
        <v>24</v>
      </c>
      <c r="G3351" s="47">
        <v>0.81</v>
      </c>
      <c r="H3351" s="48">
        <v>1.002</v>
      </c>
      <c r="I3351" s="48">
        <v>16.024</v>
      </c>
      <c r="J3351" s="49">
        <v>16</v>
      </c>
      <c r="K3351" s="49">
        <v>3</v>
      </c>
      <c r="L3351" s="49">
        <v>13</v>
      </c>
    </row>
    <row r="3352" spans="1:12" x14ac:dyDescent="0.25">
      <c r="A3352" s="45">
        <f>C3352&amp;"."&amp;IFERROR(MID(E3352,FIND("(",E3352)+1,FIND(")",E3352)-FIND("(",E3352)-1),"")</f>
      </c>
      <c r="B3352" s="46" t="s">
        <v>1178</v>
      </c>
      <c r="C3352" s="46">
        <v>86866</v>
      </c>
      <c r="D3352" s="46" t="s">
        <v>5677</v>
      </c>
      <c r="E3352" s="46" t="s">
        <v>5678</v>
      </c>
      <c r="F3352" s="46" t="s">
        <v>24</v>
      </c>
      <c r="G3352" s="47">
        <v>0.56</v>
      </c>
      <c r="H3352" s="48">
        <v>2.36</v>
      </c>
      <c r="I3352" s="48">
        <v>30.675</v>
      </c>
      <c r="J3352" s="49">
        <v>13</v>
      </c>
      <c r="K3352" s="49">
        <v>0</v>
      </c>
      <c r="L3352" s="49">
        <v>13</v>
      </c>
    </row>
    <row r="3353" spans="1:12" x14ac:dyDescent="0.25">
      <c r="A3353" s="45">
        <f>C3353&amp;"."&amp;IFERROR(MID(E3353,FIND("(",E3353)+1,FIND(")",E3353)-FIND("(",E3353)-1),"")</f>
      </c>
      <c r="B3353" s="46" t="s">
        <v>1178</v>
      </c>
      <c r="C3353" s="46">
        <v>86866</v>
      </c>
      <c r="D3353" s="46" t="s">
        <v>5677</v>
      </c>
      <c r="E3353" s="46" t="s">
        <v>5679</v>
      </c>
      <c r="F3353" s="46" t="s">
        <v>24</v>
      </c>
      <c r="G3353" s="47">
        <v>0.56</v>
      </c>
      <c r="H3353" s="48">
        <v>2.013</v>
      </c>
      <c r="I3353" s="48">
        <v>32.21</v>
      </c>
      <c r="J3353" s="49">
        <v>16</v>
      </c>
      <c r="K3353" s="49">
        <v>0</v>
      </c>
      <c r="L3353" s="49">
        <v>16</v>
      </c>
    </row>
    <row r="3354" spans="1:12" x14ac:dyDescent="0.25">
      <c r="A3354" s="45">
        <f>C3354&amp;"."&amp;IFERROR(MID(E3354,FIND("(",E3354)+1,FIND(")",E3354)-FIND("(",E3354)-1),"")</f>
      </c>
      <c r="B3354" s="46" t="s">
        <v>1178</v>
      </c>
      <c r="C3354" s="46">
        <v>86867</v>
      </c>
      <c r="D3354" s="46" t="s">
        <v>5680</v>
      </c>
      <c r="E3354" s="46" t="s">
        <v>5681</v>
      </c>
      <c r="F3354" s="46" t="s">
        <v>26</v>
      </c>
      <c r="G3354" s="47">
        <v>7.82</v>
      </c>
      <c r="H3354" s="48">
        <v>23.37</v>
      </c>
      <c r="I3354" s="48">
        <v>46.74</v>
      </c>
      <c r="J3354" s="49">
        <v>2</v>
      </c>
      <c r="K3354" s="49">
        <v>0</v>
      </c>
      <c r="L3354" s="49">
        <v>2</v>
      </c>
    </row>
    <row r="3355" spans="1:12" x14ac:dyDescent="0.25">
      <c r="A3355" s="45">
        <f>C3355&amp;"."&amp;IFERROR(MID(E3355,FIND("(",E3355)+1,FIND(")",E3355)-FIND("(",E3355)-1),"")</f>
      </c>
      <c r="B3355" s="46" t="s">
        <v>1178</v>
      </c>
      <c r="C3355" s="46">
        <v>86871</v>
      </c>
      <c r="D3355" s="46" t="s">
        <v>5682</v>
      </c>
      <c r="E3355" s="46" t="s">
        <v>1248</v>
      </c>
      <c r="F3355" s="46" t="s">
        <v>24</v>
      </c>
      <c r="G3355" s="47">
        <v>0.58</v>
      </c>
      <c r="H3355" s="48">
        <v>1.651</v>
      </c>
      <c r="I3355" s="48">
        <v>19.817</v>
      </c>
      <c r="J3355" s="49">
        <v>12</v>
      </c>
      <c r="K3355" s="49">
        <v>2</v>
      </c>
      <c r="L3355" s="49">
        <v>10</v>
      </c>
    </row>
    <row r="3356" spans="1:12" x14ac:dyDescent="0.25">
      <c r="A3356" s="45">
        <f>C3356&amp;"."&amp;IFERROR(MID(E3356,FIND("(",E3356)+1,FIND(")",E3356)-FIND("(",E3356)-1),"")</f>
      </c>
      <c r="B3356" s="46" t="s">
        <v>1178</v>
      </c>
      <c r="C3356" s="46">
        <v>86872</v>
      </c>
      <c r="D3356" s="46" t="s">
        <v>5683</v>
      </c>
      <c r="E3356" s="46" t="s">
        <v>5684</v>
      </c>
      <c r="F3356" s="46" t="s">
        <v>24</v>
      </c>
      <c r="G3356" s="47">
        <v>7.46</v>
      </c>
      <c r="H3356" s="48">
        <v>27.058</v>
      </c>
      <c r="I3356" s="48">
        <v>1244.684</v>
      </c>
      <c r="J3356" s="49">
        <v>46</v>
      </c>
      <c r="K3356" s="49">
        <v>38</v>
      </c>
      <c r="L3356" s="49">
        <v>8</v>
      </c>
    </row>
    <row r="3357" spans="1:12" x14ac:dyDescent="0.25">
      <c r="A3357" s="45">
        <f>C3357&amp;"."&amp;IFERROR(MID(E3357,FIND("(",E3357)+1,FIND(")",E3357)-FIND("(",E3357)-1),"")</f>
      </c>
      <c r="B3357" s="46" t="s">
        <v>1178</v>
      </c>
      <c r="C3357" s="46">
        <v>86872</v>
      </c>
      <c r="D3357" s="46" t="s">
        <v>5683</v>
      </c>
      <c r="E3357" s="46" t="s">
        <v>5685</v>
      </c>
      <c r="F3357" s="46" t="s">
        <v>24</v>
      </c>
      <c r="G3357" s="47">
        <v>7.46</v>
      </c>
      <c r="H3357" s="48">
        <v>28.005</v>
      </c>
      <c r="I3357" s="48">
        <v>616.101</v>
      </c>
      <c r="J3357" s="49">
        <v>22</v>
      </c>
      <c r="K3357" s="49">
        <v>7</v>
      </c>
      <c r="L3357" s="49">
        <v>15</v>
      </c>
    </row>
    <row r="3358" spans="1:12" x14ac:dyDescent="0.25">
      <c r="A3358" s="45">
        <f>C3358&amp;"."&amp;IFERROR(MID(E3358,FIND("(",E3358)+1,FIND(")",E3358)-FIND("(",E3358)-1),"")</f>
      </c>
      <c r="B3358" s="46" t="s">
        <v>1178</v>
      </c>
      <c r="C3358" s="46">
        <v>86873</v>
      </c>
      <c r="D3358" s="46" t="s">
        <v>5686</v>
      </c>
      <c r="E3358" s="46" t="s">
        <v>5687</v>
      </c>
      <c r="F3358" s="46" t="s">
        <v>26</v>
      </c>
      <c r="G3358" s="47">
        <v>7.82</v>
      </c>
      <c r="H3358" s="48">
        <v>24.178</v>
      </c>
      <c r="I3358" s="48">
        <v>120.889</v>
      </c>
      <c r="J3358" s="49">
        <v>5</v>
      </c>
      <c r="K3358" s="49">
        <v>0</v>
      </c>
      <c r="L3358" s="49">
        <v>5</v>
      </c>
    </row>
    <row r="3359" spans="1:12" x14ac:dyDescent="0.25">
      <c r="A3359" s="45">
        <f>C3359&amp;"."&amp;IFERROR(MID(E3359,FIND("(",E3359)+1,FIND(")",E3359)-FIND("(",E3359)-1),"")</f>
      </c>
      <c r="B3359" s="46" t="s">
        <v>1178</v>
      </c>
      <c r="C3359" s="46">
        <v>86896</v>
      </c>
      <c r="D3359" s="46" t="s">
        <v>5688</v>
      </c>
      <c r="E3359" s="46" t="s">
        <v>1248</v>
      </c>
      <c r="F3359" s="46" t="s">
        <v>24</v>
      </c>
      <c r="G3359" s="47">
        <v>0.42</v>
      </c>
      <c r="H3359" s="48">
        <v>0.333</v>
      </c>
      <c r="I3359" s="48">
        <v>2.666</v>
      </c>
      <c r="J3359" s="49">
        <v>8</v>
      </c>
      <c r="K3359" s="49">
        <v>2</v>
      </c>
      <c r="L3359" s="49">
        <v>6</v>
      </c>
    </row>
    <row r="3360" spans="1:12" x14ac:dyDescent="0.25">
      <c r="A3360" s="45">
        <f>C3360&amp;"."&amp;IFERROR(MID(E3360,FIND("(",E3360)+1,FIND(")",E3360)-FIND("(",E3360)-1),"")</f>
      </c>
      <c r="B3360" s="46" t="s">
        <v>1178</v>
      </c>
      <c r="C3360" s="46">
        <v>86925</v>
      </c>
      <c r="D3360" s="46" t="s">
        <v>5689</v>
      </c>
      <c r="E3360" s="46" t="s">
        <v>5690</v>
      </c>
      <c r="F3360" s="46" t="s">
        <v>26</v>
      </c>
      <c r="G3360" s="47">
        <v>0.92</v>
      </c>
      <c r="H3360" s="48">
        <v>0</v>
      </c>
      <c r="I3360" s="48">
        <v>0</v>
      </c>
      <c r="J3360" s="49">
        <v>1</v>
      </c>
      <c r="K3360" s="49">
        <v>0</v>
      </c>
      <c r="L3360" s="49">
        <v>1</v>
      </c>
    </row>
    <row r="3361" spans="1:12" x14ac:dyDescent="0.25">
      <c r="A3361" s="45">
        <f>C3361&amp;"."&amp;IFERROR(MID(E3361,FIND("(",E3361)+1,FIND(")",E3361)-FIND("(",E3361)-1),"")</f>
      </c>
      <c r="B3361" s="46" t="s">
        <v>1178</v>
      </c>
      <c r="C3361" s="46">
        <v>86925</v>
      </c>
      <c r="D3361" s="46" t="s">
        <v>5689</v>
      </c>
      <c r="E3361" s="46" t="s">
        <v>5691</v>
      </c>
      <c r="F3361" s="46" t="s">
        <v>26</v>
      </c>
      <c r="G3361" s="47">
        <v>0.92</v>
      </c>
      <c r="H3361" s="48">
        <v>0</v>
      </c>
      <c r="I3361" s="48">
        <v>0</v>
      </c>
      <c r="J3361" s="49">
        <v>2</v>
      </c>
      <c r="K3361" s="49">
        <v>0</v>
      </c>
      <c r="L3361" s="49">
        <v>2</v>
      </c>
    </row>
    <row r="3362" spans="1:12" x14ac:dyDescent="0.25">
      <c r="A3362" s="45">
        <f>C3362&amp;"."&amp;IFERROR(MID(E3362,FIND("(",E3362)+1,FIND(")",E3362)-FIND("(",E3362)-1),"")</f>
      </c>
      <c r="B3362" s="46" t="s">
        <v>1178</v>
      </c>
      <c r="C3362" s="46">
        <v>86938</v>
      </c>
      <c r="D3362" s="46" t="s">
        <v>5692</v>
      </c>
      <c r="E3362" s="46" t="s">
        <v>5693</v>
      </c>
      <c r="F3362" s="46" t="s">
        <v>26</v>
      </c>
      <c r="G3362" s="47">
        <v>5.77</v>
      </c>
      <c r="H3362" s="48">
        <v>17.31</v>
      </c>
      <c r="I3362" s="48">
        <v>69.24</v>
      </c>
      <c r="J3362" s="49">
        <v>4</v>
      </c>
      <c r="K3362" s="49">
        <v>0</v>
      </c>
      <c r="L3362" s="49">
        <v>4</v>
      </c>
    </row>
    <row r="3363" spans="1:12" x14ac:dyDescent="0.25">
      <c r="A3363" s="45">
        <f>C3363&amp;"."&amp;IFERROR(MID(E3363,FIND("(",E3363)+1,FIND(")",E3363)-FIND("(",E3363)-1),"")</f>
      </c>
      <c r="B3363" s="46" t="s">
        <v>1178</v>
      </c>
      <c r="C3363" s="46">
        <v>86965</v>
      </c>
      <c r="D3363" s="46" t="s">
        <v>5694</v>
      </c>
      <c r="E3363" s="46" t="s">
        <v>5695</v>
      </c>
      <c r="F3363" s="46" t="s">
        <v>26</v>
      </c>
      <c r="G3363" s="47">
        <v>2</v>
      </c>
      <c r="H3363" s="48">
        <v>4.345</v>
      </c>
      <c r="I3363" s="48">
        <v>39.108</v>
      </c>
      <c r="J3363" s="49">
        <v>9</v>
      </c>
      <c r="K3363" s="49">
        <v>5</v>
      </c>
      <c r="L3363" s="49">
        <v>4</v>
      </c>
    </row>
    <row r="3364" spans="1:12" x14ac:dyDescent="0.25">
      <c r="A3364" s="45">
        <f>C3364&amp;"."&amp;IFERROR(MID(E3364,FIND("(",E3364)+1,FIND(")",E3364)-FIND("(",E3364)-1),"")</f>
      </c>
      <c r="B3364" s="46" t="s">
        <v>1178</v>
      </c>
      <c r="C3364" s="46">
        <v>86965</v>
      </c>
      <c r="D3364" s="46" t="s">
        <v>5694</v>
      </c>
      <c r="E3364" s="46" t="s">
        <v>5696</v>
      </c>
      <c r="F3364" s="46" t="s">
        <v>26</v>
      </c>
      <c r="G3364" s="47">
        <v>2</v>
      </c>
      <c r="H3364" s="48">
        <v>6.212</v>
      </c>
      <c r="I3364" s="48">
        <v>6.212</v>
      </c>
      <c r="J3364" s="49">
        <v>1</v>
      </c>
      <c r="K3364" s="49">
        <v>0</v>
      </c>
      <c r="L3364" s="49">
        <v>1</v>
      </c>
    </row>
    <row r="3365" spans="1:12" x14ac:dyDescent="0.25">
      <c r="A3365" s="45">
        <f>C3365&amp;"."&amp;IFERROR(MID(E3365,FIND("(",E3365)+1,FIND(")",E3365)-FIND("(",E3365)-1),"")</f>
      </c>
      <c r="B3365" s="46" t="s">
        <v>1178</v>
      </c>
      <c r="C3365" s="46">
        <v>86967</v>
      </c>
      <c r="D3365" s="46" t="s">
        <v>5697</v>
      </c>
      <c r="E3365" s="46" t="s">
        <v>5698</v>
      </c>
      <c r="F3365" s="46" t="s">
        <v>26</v>
      </c>
      <c r="G3365" s="47">
        <v>0.41</v>
      </c>
      <c r="H3365" s="48">
        <v>2.826</v>
      </c>
      <c r="I3365" s="48">
        <v>5.652</v>
      </c>
      <c r="J3365" s="49">
        <v>2</v>
      </c>
      <c r="K3365" s="49">
        <v>0</v>
      </c>
      <c r="L3365" s="49">
        <v>2</v>
      </c>
    </row>
    <row r="3366" spans="1:12" x14ac:dyDescent="0.25">
      <c r="A3366" s="45">
        <f>C3366&amp;"."&amp;IFERROR(MID(E3366,FIND("(",E3366)+1,FIND(")",E3366)-FIND("(",E3366)-1),"")</f>
      </c>
      <c r="B3366" s="46" t="s">
        <v>1178</v>
      </c>
      <c r="C3366" s="46">
        <v>86973</v>
      </c>
      <c r="D3366" s="46" t="s">
        <v>5699</v>
      </c>
      <c r="E3366" s="46" t="s">
        <v>1248</v>
      </c>
      <c r="F3366" s="46" t="s">
        <v>26</v>
      </c>
      <c r="G3366" s="47">
        <v>0.41</v>
      </c>
      <c r="H3366" s="48">
        <v>2.151</v>
      </c>
      <c r="I3366" s="48">
        <v>4.301</v>
      </c>
      <c r="J3366" s="49">
        <v>2</v>
      </c>
      <c r="K3366" s="49">
        <v>0</v>
      </c>
      <c r="L3366" s="49">
        <v>2</v>
      </c>
    </row>
    <row r="3367" spans="1:12" x14ac:dyDescent="0.25">
      <c r="A3367" s="45">
        <f>C3367&amp;"."&amp;IFERROR(MID(E3367,FIND("(",E3367)+1,FIND(")",E3367)-FIND("(",E3367)-1),"")</f>
      </c>
      <c r="B3367" s="46" t="s">
        <v>1178</v>
      </c>
      <c r="C3367" s="46">
        <v>86978</v>
      </c>
      <c r="D3367" s="46" t="s">
        <v>5700</v>
      </c>
      <c r="E3367" s="46" t="s">
        <v>5701</v>
      </c>
      <c r="F3367" s="46" t="s">
        <v>26</v>
      </c>
      <c r="G3367" s="47">
        <v>0.9</v>
      </c>
      <c r="H3367" s="48">
        <v>2.9</v>
      </c>
      <c r="I3367" s="48">
        <v>8.7</v>
      </c>
      <c r="J3367" s="49">
        <v>3</v>
      </c>
      <c r="K3367" s="49">
        <v>0</v>
      </c>
      <c r="L3367" s="49">
        <v>3</v>
      </c>
    </row>
    <row r="3368" spans="1:12" x14ac:dyDescent="0.25">
      <c r="A3368" s="45">
        <f>C3368&amp;"."&amp;IFERROR(MID(E3368,FIND("(",E3368)+1,FIND(")",E3368)-FIND("(",E3368)-1),"")</f>
      </c>
      <c r="B3368" s="46" t="s">
        <v>1178</v>
      </c>
      <c r="C3368" s="46">
        <v>86978</v>
      </c>
      <c r="D3368" s="46" t="s">
        <v>5700</v>
      </c>
      <c r="E3368" s="46" t="s">
        <v>5702</v>
      </c>
      <c r="F3368" s="46" t="s">
        <v>26</v>
      </c>
      <c r="G3368" s="47">
        <v>0.9</v>
      </c>
      <c r="H3368" s="48">
        <v>2.9</v>
      </c>
      <c r="I3368" s="48">
        <v>11.6</v>
      </c>
      <c r="J3368" s="49">
        <v>4</v>
      </c>
      <c r="K3368" s="49">
        <v>0</v>
      </c>
      <c r="L3368" s="49">
        <v>4</v>
      </c>
    </row>
    <row r="3369" spans="1:12" x14ac:dyDescent="0.25">
      <c r="A3369" s="45">
        <f>C3369&amp;"."&amp;IFERROR(MID(E3369,FIND("(",E3369)+1,FIND(")",E3369)-FIND("(",E3369)-1),"")</f>
      </c>
      <c r="B3369" s="46" t="s">
        <v>1178</v>
      </c>
      <c r="C3369" s="46">
        <v>86981</v>
      </c>
      <c r="D3369" s="46" t="s">
        <v>5703</v>
      </c>
      <c r="E3369" s="46" t="s">
        <v>5704</v>
      </c>
      <c r="F3369" s="46" t="s">
        <v>26</v>
      </c>
      <c r="G3369" s="47">
        <v>0.35</v>
      </c>
      <c r="H3369" s="48">
        <v>1.12</v>
      </c>
      <c r="I3369" s="48">
        <v>4.48</v>
      </c>
      <c r="J3369" s="49">
        <v>4</v>
      </c>
      <c r="K3369" s="49">
        <v>0</v>
      </c>
      <c r="L3369" s="49">
        <v>4</v>
      </c>
    </row>
    <row r="3370" spans="1:12" x14ac:dyDescent="0.25">
      <c r="A3370" s="45">
        <f>C3370&amp;"."&amp;IFERROR(MID(E3370,FIND("(",E3370)+1,FIND(")",E3370)-FIND("(",E3370)-1),"")</f>
      </c>
      <c r="B3370" s="46" t="s">
        <v>1178</v>
      </c>
      <c r="C3370" s="46">
        <v>86981</v>
      </c>
      <c r="D3370" s="46" t="s">
        <v>5703</v>
      </c>
      <c r="E3370" s="46" t="s">
        <v>5705</v>
      </c>
      <c r="F3370" s="46" t="s">
        <v>26</v>
      </c>
      <c r="G3370" s="47">
        <v>0.35</v>
      </c>
      <c r="H3370" s="48">
        <v>1.12</v>
      </c>
      <c r="I3370" s="48">
        <v>3.36</v>
      </c>
      <c r="J3370" s="49">
        <v>3</v>
      </c>
      <c r="K3370" s="49">
        <v>0</v>
      </c>
      <c r="L3370" s="49">
        <v>3</v>
      </c>
    </row>
    <row r="3371" spans="1:12" x14ac:dyDescent="0.25">
      <c r="A3371" s="45">
        <f>C3371&amp;"."&amp;IFERROR(MID(E3371,FIND("(",E3371)+1,FIND(")",E3371)-FIND("(",E3371)-1),"")</f>
      </c>
      <c r="B3371" s="46" t="s">
        <v>1178</v>
      </c>
      <c r="C3371" s="46">
        <v>86985</v>
      </c>
      <c r="D3371" s="46" t="s">
        <v>5706</v>
      </c>
      <c r="E3371" s="46" t="s">
        <v>5707</v>
      </c>
      <c r="F3371" s="46" t="s">
        <v>26</v>
      </c>
      <c r="G3371" s="47">
        <v>0.35</v>
      </c>
      <c r="H3371" s="48">
        <v>1.12</v>
      </c>
      <c r="I3371" s="48">
        <v>4.48</v>
      </c>
      <c r="J3371" s="49">
        <v>4</v>
      </c>
      <c r="K3371" s="49">
        <v>0</v>
      </c>
      <c r="L3371" s="49">
        <v>4</v>
      </c>
    </row>
    <row r="3372" spans="1:12" x14ac:dyDescent="0.25">
      <c r="A3372" s="45">
        <f>C3372&amp;"."&amp;IFERROR(MID(E3372,FIND("(",E3372)+1,FIND(")",E3372)-FIND("(",E3372)-1),"")</f>
      </c>
      <c r="B3372" s="46" t="s">
        <v>1178</v>
      </c>
      <c r="C3372" s="46">
        <v>86985</v>
      </c>
      <c r="D3372" s="46" t="s">
        <v>5706</v>
      </c>
      <c r="E3372" s="46" t="s">
        <v>5708</v>
      </c>
      <c r="F3372" s="46" t="s">
        <v>26</v>
      </c>
      <c r="G3372" s="47">
        <v>0.35</v>
      </c>
      <c r="H3372" s="48">
        <v>1.12</v>
      </c>
      <c r="I3372" s="48">
        <v>2.24</v>
      </c>
      <c r="J3372" s="49">
        <v>2</v>
      </c>
      <c r="K3372" s="49">
        <v>0</v>
      </c>
      <c r="L3372" s="49">
        <v>2</v>
      </c>
    </row>
    <row r="3373" spans="1:12" x14ac:dyDescent="0.25">
      <c r="A3373" s="45">
        <f>C3373&amp;"."&amp;IFERROR(MID(E3373,FIND("(",E3373)+1,FIND(")",E3373)-FIND("(",E3373)-1),"")</f>
      </c>
      <c r="B3373" s="46" t="s">
        <v>1178</v>
      </c>
      <c r="C3373" s="46">
        <v>86989</v>
      </c>
      <c r="D3373" s="46" t="s">
        <v>5709</v>
      </c>
      <c r="E3373" s="46" t="s">
        <v>5710</v>
      </c>
      <c r="F3373" s="46" t="s">
        <v>26</v>
      </c>
      <c r="G3373" s="47">
        <v>1.36</v>
      </c>
      <c r="H3373" s="48">
        <v>4.39</v>
      </c>
      <c r="I3373" s="48">
        <v>4.39</v>
      </c>
      <c r="J3373" s="49">
        <v>1</v>
      </c>
      <c r="K3373" s="49">
        <v>0</v>
      </c>
      <c r="L3373" s="49">
        <v>1</v>
      </c>
    </row>
    <row r="3374" spans="1:12" x14ac:dyDescent="0.25">
      <c r="A3374" s="45">
        <f>C3374&amp;"."&amp;IFERROR(MID(E3374,FIND("(",E3374)+1,FIND(")",E3374)-FIND("(",E3374)-1),"")</f>
      </c>
      <c r="B3374" s="46" t="s">
        <v>1178</v>
      </c>
      <c r="C3374" s="46">
        <v>86989</v>
      </c>
      <c r="D3374" s="46" t="s">
        <v>5709</v>
      </c>
      <c r="E3374" s="46" t="s">
        <v>5711</v>
      </c>
      <c r="F3374" s="46" t="s">
        <v>26</v>
      </c>
      <c r="G3374" s="47">
        <v>1.36</v>
      </c>
      <c r="H3374" s="48">
        <v>6.896</v>
      </c>
      <c r="I3374" s="48">
        <v>13.792</v>
      </c>
      <c r="J3374" s="49">
        <v>2</v>
      </c>
      <c r="K3374" s="49">
        <v>1</v>
      </c>
      <c r="L3374" s="49">
        <v>1</v>
      </c>
    </row>
    <row r="3375" spans="1:12" x14ac:dyDescent="0.25">
      <c r="A3375" s="45">
        <f>C3375&amp;"."&amp;IFERROR(MID(E3375,FIND("(",E3375)+1,FIND(")",E3375)-FIND("(",E3375)-1),"")</f>
      </c>
      <c r="B3375" s="46" t="s">
        <v>1178</v>
      </c>
      <c r="C3375" s="46">
        <v>86989</v>
      </c>
      <c r="D3375" s="46" t="s">
        <v>5709</v>
      </c>
      <c r="E3375" s="46" t="s">
        <v>5712</v>
      </c>
      <c r="F3375" s="46" t="s">
        <v>26</v>
      </c>
      <c r="G3375" s="47">
        <v>1.36</v>
      </c>
      <c r="H3375" s="48">
        <v>6.818</v>
      </c>
      <c r="I3375" s="48">
        <v>27.272</v>
      </c>
      <c r="J3375" s="49">
        <v>4</v>
      </c>
      <c r="K3375" s="49">
        <v>1</v>
      </c>
      <c r="L3375" s="49">
        <v>3</v>
      </c>
    </row>
    <row r="3376" spans="1:12" x14ac:dyDescent="0.25">
      <c r="A3376" s="45">
        <f>C3376&amp;"."&amp;IFERROR(MID(E3376,FIND("(",E3376)+1,FIND(")",E3376)-FIND("(",E3376)-1),"")</f>
      </c>
      <c r="B3376" s="46" t="s">
        <v>1178</v>
      </c>
      <c r="C3376" s="46">
        <v>86996</v>
      </c>
      <c r="D3376" s="46" t="s">
        <v>5713</v>
      </c>
      <c r="E3376" s="46" t="s">
        <v>5714</v>
      </c>
      <c r="F3376" s="46" t="s">
        <v>26</v>
      </c>
      <c r="G3376" s="47">
        <v>1.39</v>
      </c>
      <c r="H3376" s="48">
        <v>3.896</v>
      </c>
      <c r="I3376" s="48">
        <v>19.482</v>
      </c>
      <c r="J3376" s="49">
        <v>5</v>
      </c>
      <c r="K3376" s="49">
        <v>0</v>
      </c>
      <c r="L3376" s="49">
        <v>5</v>
      </c>
    </row>
    <row r="3377" spans="1:12" x14ac:dyDescent="0.25">
      <c r="A3377" s="45">
        <f>C3377&amp;"."&amp;IFERROR(MID(E3377,FIND("(",E3377)+1,FIND(")",E3377)-FIND("(",E3377)-1),"")</f>
      </c>
      <c r="B3377" s="46" t="s">
        <v>1178</v>
      </c>
      <c r="C3377" s="46">
        <v>86999</v>
      </c>
      <c r="D3377" s="46" t="s">
        <v>5715</v>
      </c>
      <c r="E3377" s="46" t="s">
        <v>1248</v>
      </c>
      <c r="F3377" s="46" t="s">
        <v>26</v>
      </c>
      <c r="G3377" s="47">
        <v>1.39</v>
      </c>
      <c r="H3377" s="48">
        <v>3.467</v>
      </c>
      <c r="I3377" s="48">
        <v>10.401</v>
      </c>
      <c r="J3377" s="49">
        <v>3</v>
      </c>
      <c r="K3377" s="49">
        <v>0</v>
      </c>
      <c r="L3377" s="49">
        <v>3</v>
      </c>
    </row>
    <row r="3378" spans="1:12" x14ac:dyDescent="0.25">
      <c r="A3378" s="45">
        <f>C3378&amp;"."&amp;IFERROR(MID(E3378,FIND("(",E3378)+1,FIND(")",E3378)-FIND("(",E3378)-1),"")</f>
      </c>
      <c r="B3378" s="46" t="s">
        <v>1178</v>
      </c>
      <c r="C3378" s="46">
        <v>87001</v>
      </c>
      <c r="D3378" s="46" t="s">
        <v>5716</v>
      </c>
      <c r="E3378" s="46" t="s">
        <v>5717</v>
      </c>
      <c r="F3378" s="46" t="s">
        <v>26</v>
      </c>
      <c r="G3378" s="47">
        <v>8.54</v>
      </c>
      <c r="H3378" s="48">
        <v>19.616</v>
      </c>
      <c r="I3378" s="48">
        <v>137.309</v>
      </c>
      <c r="J3378" s="49">
        <v>7</v>
      </c>
      <c r="K3378" s="49">
        <v>0</v>
      </c>
      <c r="L3378" s="49">
        <v>7</v>
      </c>
    </row>
    <row r="3379" spans="1:12" x14ac:dyDescent="0.25">
      <c r="A3379" s="45">
        <f>C3379&amp;"."&amp;IFERROR(MID(E3379,FIND("(",E3379)+1,FIND(")",E3379)-FIND("(",E3379)-1),"")</f>
      </c>
      <c r="B3379" s="46" t="s">
        <v>1178</v>
      </c>
      <c r="C3379" s="46">
        <v>87001</v>
      </c>
      <c r="D3379" s="46" t="s">
        <v>5716</v>
      </c>
      <c r="E3379" s="46" t="s">
        <v>5718</v>
      </c>
      <c r="F3379" s="46" t="s">
        <v>26</v>
      </c>
      <c r="G3379" s="47">
        <v>8.54</v>
      </c>
      <c r="H3379" s="48">
        <v>21.818</v>
      </c>
      <c r="I3379" s="48">
        <v>21.818</v>
      </c>
      <c r="J3379" s="49">
        <v>1</v>
      </c>
      <c r="K3379" s="49">
        <v>0</v>
      </c>
      <c r="L3379" s="49">
        <v>1</v>
      </c>
    </row>
    <row r="3380" spans="1:12" x14ac:dyDescent="0.25">
      <c r="A3380" s="45">
        <f>C3380&amp;"."&amp;IFERROR(MID(E3380,FIND("(",E3380)+1,FIND(")",E3380)-FIND("(",E3380)-1),"")</f>
      </c>
      <c r="B3380" s="46" t="s">
        <v>1178</v>
      </c>
      <c r="C3380" s="46">
        <v>87005</v>
      </c>
      <c r="D3380" s="46" t="s">
        <v>5719</v>
      </c>
      <c r="E3380" s="46" t="s">
        <v>5720</v>
      </c>
      <c r="F3380" s="46" t="s">
        <v>26</v>
      </c>
      <c r="G3380" s="47">
        <v>0.35</v>
      </c>
      <c r="H3380" s="48">
        <v>1.04</v>
      </c>
      <c r="I3380" s="48">
        <v>1.04</v>
      </c>
      <c r="J3380" s="49">
        <v>1</v>
      </c>
      <c r="K3380" s="49">
        <v>0</v>
      </c>
      <c r="L3380" s="49">
        <v>1</v>
      </c>
    </row>
    <row r="3381" spans="1:12" x14ac:dyDescent="0.25">
      <c r="A3381" s="45">
        <f>C3381&amp;"."&amp;IFERROR(MID(E3381,FIND("(",E3381)+1,FIND(")",E3381)-FIND("(",E3381)-1),"")</f>
      </c>
      <c r="B3381" s="46" t="s">
        <v>1178</v>
      </c>
      <c r="C3381" s="46">
        <v>87011</v>
      </c>
      <c r="D3381" s="46" t="s">
        <v>5721</v>
      </c>
      <c r="E3381" s="46" t="s">
        <v>5722</v>
      </c>
      <c r="F3381" s="46" t="s">
        <v>26</v>
      </c>
      <c r="G3381" s="47">
        <v>0.29</v>
      </c>
      <c r="H3381" s="48">
        <v>0.623</v>
      </c>
      <c r="I3381" s="48">
        <v>1.869</v>
      </c>
      <c r="J3381" s="49">
        <v>3</v>
      </c>
      <c r="K3381" s="49">
        <v>2</v>
      </c>
      <c r="L3381" s="49">
        <v>1</v>
      </c>
    </row>
    <row r="3382" spans="1:12" x14ac:dyDescent="0.25">
      <c r="A3382" s="45">
        <f>C3382&amp;"."&amp;IFERROR(MID(E3382,FIND("(",E3382)+1,FIND(")",E3382)-FIND("(",E3382)-1),"")</f>
      </c>
      <c r="B3382" s="46" t="s">
        <v>1178</v>
      </c>
      <c r="C3382" s="46">
        <v>87011</v>
      </c>
      <c r="D3382" s="46" t="s">
        <v>5721</v>
      </c>
      <c r="E3382" s="46" t="s">
        <v>5723</v>
      </c>
      <c r="F3382" s="46" t="s">
        <v>26</v>
      </c>
      <c r="G3382" s="47">
        <v>0.29</v>
      </c>
      <c r="H3382" s="48">
        <v>0.579</v>
      </c>
      <c r="I3382" s="48">
        <v>2.893</v>
      </c>
      <c r="J3382" s="49">
        <v>5</v>
      </c>
      <c r="K3382" s="49">
        <v>0</v>
      </c>
      <c r="L3382" s="49">
        <v>5</v>
      </c>
    </row>
    <row r="3383" spans="1:12" x14ac:dyDescent="0.25">
      <c r="A3383" s="45">
        <f>C3383&amp;"."&amp;IFERROR(MID(E3383,FIND("(",E3383)+1,FIND(")",E3383)-FIND("(",E3383)-1),"")</f>
      </c>
      <c r="B3383" s="46" t="s">
        <v>1178</v>
      </c>
      <c r="C3383" s="46">
        <v>87017</v>
      </c>
      <c r="D3383" s="46" t="s">
        <v>5724</v>
      </c>
      <c r="E3383" s="46" t="s">
        <v>5725</v>
      </c>
      <c r="F3383" s="46" t="s">
        <v>26</v>
      </c>
      <c r="G3383" s="47">
        <v>7.08</v>
      </c>
      <c r="H3383" s="48">
        <v>19.255</v>
      </c>
      <c r="I3383" s="48">
        <v>77.02</v>
      </c>
      <c r="J3383" s="49">
        <v>4</v>
      </c>
      <c r="K3383" s="49">
        <v>0</v>
      </c>
      <c r="L3383" s="49">
        <v>4</v>
      </c>
    </row>
    <row r="3384" spans="1:12" x14ac:dyDescent="0.25">
      <c r="A3384" s="45">
        <f>C3384&amp;"."&amp;IFERROR(MID(E3384,FIND("(",E3384)+1,FIND(")",E3384)-FIND("(",E3384)-1),"")</f>
      </c>
      <c r="B3384" s="46" t="s">
        <v>1178</v>
      </c>
      <c r="C3384" s="46">
        <v>87017</v>
      </c>
      <c r="D3384" s="46" t="s">
        <v>5724</v>
      </c>
      <c r="E3384" s="46" t="s">
        <v>5726</v>
      </c>
      <c r="F3384" s="46" t="s">
        <v>26</v>
      </c>
      <c r="G3384" s="47">
        <v>7.08</v>
      </c>
      <c r="H3384" s="48">
        <v>21.08</v>
      </c>
      <c r="I3384" s="48">
        <v>42.16</v>
      </c>
      <c r="J3384" s="49">
        <v>2</v>
      </c>
      <c r="K3384" s="49">
        <v>0</v>
      </c>
      <c r="L3384" s="49">
        <v>2</v>
      </c>
    </row>
    <row r="3385" spans="1:12" x14ac:dyDescent="0.25">
      <c r="A3385" s="45">
        <f>C3385&amp;"."&amp;IFERROR(MID(E3385,FIND("(",E3385)+1,FIND(")",E3385)-FIND("(",E3385)-1),"")</f>
      </c>
      <c r="B3385" s="46" t="s">
        <v>1178</v>
      </c>
      <c r="C3385" s="46">
        <v>87020</v>
      </c>
      <c r="D3385" s="46" t="s">
        <v>5727</v>
      </c>
      <c r="E3385" s="46" t="s">
        <v>5728</v>
      </c>
      <c r="F3385" s="46" t="s">
        <v>26</v>
      </c>
      <c r="G3385" s="47">
        <v>0.29</v>
      </c>
      <c r="H3385" s="48">
        <v>0.61</v>
      </c>
      <c r="I3385" s="48">
        <v>3.052</v>
      </c>
      <c r="J3385" s="49">
        <v>5</v>
      </c>
      <c r="K3385" s="49">
        <v>0</v>
      </c>
      <c r="L3385" s="49">
        <v>5</v>
      </c>
    </row>
    <row r="3386" spans="1:12" x14ac:dyDescent="0.25">
      <c r="A3386" s="45">
        <f>C3386&amp;"."&amp;IFERROR(MID(E3386,FIND("(",E3386)+1,FIND(")",E3386)-FIND("(",E3386)-1),"")</f>
      </c>
      <c r="B3386" s="46" t="s">
        <v>1178</v>
      </c>
      <c r="C3386" s="46">
        <v>87022</v>
      </c>
      <c r="D3386" s="46" t="s">
        <v>5729</v>
      </c>
      <c r="E3386" s="46" t="s">
        <v>5730</v>
      </c>
      <c r="F3386" s="46" t="s">
        <v>26</v>
      </c>
      <c r="G3386" s="47">
        <v>0.5</v>
      </c>
      <c r="H3386" s="48">
        <v>1.751</v>
      </c>
      <c r="I3386" s="48">
        <v>1.751</v>
      </c>
      <c r="J3386" s="49">
        <v>1</v>
      </c>
      <c r="K3386" s="49">
        <v>0</v>
      </c>
      <c r="L3386" s="49">
        <v>1</v>
      </c>
    </row>
    <row r="3387" spans="1:12" x14ac:dyDescent="0.25">
      <c r="A3387" s="45">
        <f>C3387&amp;"."&amp;IFERROR(MID(E3387,FIND("(",E3387)+1,FIND(")",E3387)-FIND("(",E3387)-1),"")</f>
      </c>
      <c r="B3387" s="46" t="s">
        <v>1178</v>
      </c>
      <c r="C3387" s="46">
        <v>87022</v>
      </c>
      <c r="D3387" s="46" t="s">
        <v>5729</v>
      </c>
      <c r="E3387" s="46" t="s">
        <v>5731</v>
      </c>
      <c r="F3387" s="46" t="s">
        <v>26</v>
      </c>
      <c r="G3387" s="47">
        <v>0.5</v>
      </c>
      <c r="H3387" s="48">
        <v>0.911</v>
      </c>
      <c r="I3387" s="48">
        <v>3.646</v>
      </c>
      <c r="J3387" s="49">
        <v>4</v>
      </c>
      <c r="K3387" s="49">
        <v>0</v>
      </c>
      <c r="L3387" s="49">
        <v>4</v>
      </c>
    </row>
    <row r="3388" spans="1:12" x14ac:dyDescent="0.25">
      <c r="A3388" s="45">
        <f>C3388&amp;"."&amp;IFERROR(MID(E3388,FIND("(",E3388)+1,FIND(")",E3388)-FIND("(",E3388)-1),"")</f>
      </c>
      <c r="B3388" s="46" t="s">
        <v>1178</v>
      </c>
      <c r="C3388" s="46">
        <v>87023</v>
      </c>
      <c r="D3388" s="46" t="s">
        <v>594</v>
      </c>
      <c r="E3388" s="46" t="s">
        <v>5732</v>
      </c>
      <c r="F3388" s="46" t="s">
        <v>24</v>
      </c>
      <c r="G3388" s="47">
        <v>35</v>
      </c>
      <c r="H3388" s="48">
        <v>188.883</v>
      </c>
      <c r="I3388" s="48">
        <v>377.767</v>
      </c>
      <c r="J3388" s="49">
        <v>2</v>
      </c>
      <c r="K3388" s="49">
        <v>0</v>
      </c>
      <c r="L3388" s="49">
        <v>2</v>
      </c>
    </row>
    <row r="3389" spans="1:12" x14ac:dyDescent="0.25">
      <c r="A3389" s="45">
        <f>C3389&amp;"."&amp;IFERROR(MID(E3389,FIND("(",E3389)+1,FIND(")",E3389)-FIND("(",E3389)-1),"")</f>
      </c>
      <c r="B3389" s="46" t="s">
        <v>1178</v>
      </c>
      <c r="C3389" s="46">
        <v>87023</v>
      </c>
      <c r="D3389" s="46" t="s">
        <v>594</v>
      </c>
      <c r="E3389" s="46" t="s">
        <v>5733</v>
      </c>
      <c r="F3389" s="46" t="s">
        <v>24</v>
      </c>
      <c r="G3389" s="47">
        <v>35</v>
      </c>
      <c r="H3389" s="48">
        <v>192.562</v>
      </c>
      <c r="I3389" s="48">
        <v>385.124</v>
      </c>
      <c r="J3389" s="49">
        <v>2</v>
      </c>
      <c r="K3389" s="49">
        <v>0</v>
      </c>
      <c r="L3389" s="49">
        <v>2</v>
      </c>
    </row>
    <row r="3390" spans="1:12" x14ac:dyDescent="0.25">
      <c r="A3390" s="45">
        <f>C3390&amp;"."&amp;IFERROR(MID(E3390,FIND("(",E3390)+1,FIND(")",E3390)-FIND("(",E3390)-1),"")</f>
      </c>
      <c r="B3390" s="46" t="s">
        <v>1178</v>
      </c>
      <c r="C3390" s="46">
        <v>87025</v>
      </c>
      <c r="D3390" s="46" t="s">
        <v>137</v>
      </c>
      <c r="E3390" s="46" t="s">
        <v>5734</v>
      </c>
      <c r="F3390" s="46" t="s">
        <v>24</v>
      </c>
      <c r="G3390" s="47">
        <v>40</v>
      </c>
      <c r="H3390" s="48">
        <v>206.227</v>
      </c>
      <c r="I3390" s="48">
        <v>412.453</v>
      </c>
      <c r="J3390" s="49">
        <v>2</v>
      </c>
      <c r="K3390" s="49">
        <v>0</v>
      </c>
      <c r="L3390" s="49">
        <v>2</v>
      </c>
    </row>
    <row r="3391" spans="1:12" x14ac:dyDescent="0.25">
      <c r="A3391" s="45">
        <f>C3391&amp;"."&amp;IFERROR(MID(E3391,FIND("(",E3391)+1,FIND(")",E3391)-FIND("(",E3391)-1),"")</f>
      </c>
      <c r="B3391" s="46" t="s">
        <v>1178</v>
      </c>
      <c r="C3391" s="46">
        <v>87025</v>
      </c>
      <c r="D3391" s="46" t="s">
        <v>137</v>
      </c>
      <c r="E3391" s="46" t="s">
        <v>5735</v>
      </c>
      <c r="F3391" s="46" t="s">
        <v>24</v>
      </c>
      <c r="G3391" s="47">
        <v>40</v>
      </c>
      <c r="H3391" s="48">
        <v>206.723</v>
      </c>
      <c r="I3391" s="48">
        <v>413.447</v>
      </c>
      <c r="J3391" s="49">
        <v>2</v>
      </c>
      <c r="K3391" s="49">
        <v>0</v>
      </c>
      <c r="L3391" s="49">
        <v>2</v>
      </c>
    </row>
    <row r="3392" spans="1:12" x14ac:dyDescent="0.25">
      <c r="A3392" s="45">
        <f>C3392&amp;"."&amp;IFERROR(MID(E3392,FIND("(",E3392)+1,FIND(")",E3392)-FIND("(",E3392)-1),"")</f>
      </c>
      <c r="B3392" s="46" t="s">
        <v>1178</v>
      </c>
      <c r="C3392" s="46">
        <v>87031</v>
      </c>
      <c r="D3392" s="46" t="s">
        <v>5736</v>
      </c>
      <c r="E3392" s="46" t="s">
        <v>5737</v>
      </c>
      <c r="F3392" s="46" t="s">
        <v>26</v>
      </c>
      <c r="G3392" s="47">
        <v>2.24</v>
      </c>
      <c r="H3392" s="48">
        <v>6.97</v>
      </c>
      <c r="I3392" s="48">
        <v>34.85</v>
      </c>
      <c r="J3392" s="49">
        <v>5</v>
      </c>
      <c r="K3392" s="49">
        <v>0</v>
      </c>
      <c r="L3392" s="49">
        <v>5</v>
      </c>
    </row>
    <row r="3393" spans="1:12" x14ac:dyDescent="0.25">
      <c r="A3393" s="45">
        <f>C3393&amp;"."&amp;IFERROR(MID(E3393,FIND("(",E3393)+1,FIND(")",E3393)-FIND("(",E3393)-1),"")</f>
      </c>
      <c r="B3393" s="46" t="s">
        <v>1178</v>
      </c>
      <c r="C3393" s="46">
        <v>87060</v>
      </c>
      <c r="D3393" s="46" t="s">
        <v>5738</v>
      </c>
      <c r="E3393" s="46" t="s">
        <v>5739</v>
      </c>
      <c r="F3393" s="46" t="s">
        <v>26</v>
      </c>
      <c r="G3393" s="47">
        <v>0.67</v>
      </c>
      <c r="H3393" s="48">
        <v>1.972</v>
      </c>
      <c r="I3393" s="48">
        <v>7.89</v>
      </c>
      <c r="J3393" s="49">
        <v>4</v>
      </c>
      <c r="K3393" s="49">
        <v>0</v>
      </c>
      <c r="L3393" s="49">
        <v>4</v>
      </c>
    </row>
    <row r="3394" spans="1:12" x14ac:dyDescent="0.25">
      <c r="A3394" s="45">
        <f>C3394&amp;"."&amp;IFERROR(MID(E3394,FIND("(",E3394)+1,FIND(")",E3394)-FIND("(",E3394)-1),"")</f>
      </c>
      <c r="B3394" s="46" t="s">
        <v>1178</v>
      </c>
      <c r="C3394" s="46">
        <v>87061</v>
      </c>
      <c r="D3394" s="46" t="s">
        <v>5740</v>
      </c>
      <c r="E3394" s="46" t="s">
        <v>5741</v>
      </c>
      <c r="F3394" s="46" t="s">
        <v>26</v>
      </c>
      <c r="G3394" s="47">
        <v>1.1</v>
      </c>
      <c r="H3394" s="48">
        <v>4.297</v>
      </c>
      <c r="I3394" s="48">
        <v>17.19</v>
      </c>
      <c r="J3394" s="49">
        <v>4</v>
      </c>
      <c r="K3394" s="49">
        <v>0</v>
      </c>
      <c r="L3394" s="49">
        <v>4</v>
      </c>
    </row>
    <row r="3395" spans="1:12" x14ac:dyDescent="0.25">
      <c r="A3395" s="45">
        <f>C3395&amp;"."&amp;IFERROR(MID(E3395,FIND("(",E3395)+1,FIND(")",E3395)-FIND("(",E3395)-1),"")</f>
      </c>
      <c r="B3395" s="46" t="s">
        <v>1178</v>
      </c>
      <c r="C3395" s="46">
        <v>87061</v>
      </c>
      <c r="D3395" s="46" t="s">
        <v>5740</v>
      </c>
      <c r="E3395" s="46" t="s">
        <v>5742</v>
      </c>
      <c r="F3395" s="46" t="s">
        <v>26</v>
      </c>
      <c r="G3395" s="47">
        <v>1.1</v>
      </c>
      <c r="H3395" s="48">
        <v>13.827</v>
      </c>
      <c r="I3395" s="48">
        <v>41.481</v>
      </c>
      <c r="J3395" s="49">
        <v>3</v>
      </c>
      <c r="K3395" s="49">
        <v>0</v>
      </c>
      <c r="L3395" s="49">
        <v>3</v>
      </c>
    </row>
    <row r="3396" spans="1:12" x14ac:dyDescent="0.25">
      <c r="A3396" s="45">
        <f>C3396&amp;"."&amp;IFERROR(MID(E3396,FIND("(",E3396)+1,FIND(")",E3396)-FIND("(",E3396)-1),"")</f>
      </c>
      <c r="B3396" s="46" t="s">
        <v>1178</v>
      </c>
      <c r="C3396" s="46">
        <v>87062</v>
      </c>
      <c r="D3396" s="46" t="s">
        <v>5743</v>
      </c>
      <c r="E3396" s="46" t="s">
        <v>5744</v>
      </c>
      <c r="F3396" s="46" t="s">
        <v>26</v>
      </c>
      <c r="G3396" s="47">
        <v>3.13</v>
      </c>
      <c r="H3396" s="48">
        <v>10.302</v>
      </c>
      <c r="I3396" s="48">
        <v>41.209</v>
      </c>
      <c r="J3396" s="49">
        <v>4</v>
      </c>
      <c r="K3396" s="49">
        <v>0</v>
      </c>
      <c r="L3396" s="49">
        <v>4</v>
      </c>
    </row>
    <row r="3397" spans="1:12" x14ac:dyDescent="0.25">
      <c r="A3397" s="45">
        <f>C3397&amp;"."&amp;IFERROR(MID(E3397,FIND("(",E3397)+1,FIND(")",E3397)-FIND("(",E3397)-1),"")</f>
      </c>
      <c r="B3397" s="46" t="s">
        <v>1178</v>
      </c>
      <c r="C3397" s="46">
        <v>87062</v>
      </c>
      <c r="D3397" s="46" t="s">
        <v>5743</v>
      </c>
      <c r="E3397" s="46" t="s">
        <v>5745</v>
      </c>
      <c r="F3397" s="46" t="s">
        <v>26</v>
      </c>
      <c r="G3397" s="47">
        <v>3.13</v>
      </c>
      <c r="H3397" s="48">
        <v>10.881</v>
      </c>
      <c r="I3397" s="48">
        <v>54.405</v>
      </c>
      <c r="J3397" s="49">
        <v>5</v>
      </c>
      <c r="K3397" s="49">
        <v>0</v>
      </c>
      <c r="L3397" s="49">
        <v>5</v>
      </c>
    </row>
    <row r="3398" spans="1:12" x14ac:dyDescent="0.25">
      <c r="A3398" s="45">
        <f>C3398&amp;"."&amp;IFERROR(MID(E3398,FIND("(",E3398)+1,FIND(")",E3398)-FIND("(",E3398)-1),"")</f>
      </c>
      <c r="B3398" s="46" t="s">
        <v>1178</v>
      </c>
      <c r="C3398" s="46">
        <v>87064</v>
      </c>
      <c r="D3398" s="46" t="s">
        <v>5746</v>
      </c>
      <c r="E3398" s="46" t="s">
        <v>5747</v>
      </c>
      <c r="F3398" s="46" t="s">
        <v>26</v>
      </c>
      <c r="G3398" s="47">
        <v>3.48</v>
      </c>
      <c r="H3398" s="48">
        <v>29.379</v>
      </c>
      <c r="I3398" s="48">
        <v>176.272</v>
      </c>
      <c r="J3398" s="49">
        <v>6</v>
      </c>
      <c r="K3398" s="49">
        <v>3</v>
      </c>
      <c r="L3398" s="49">
        <v>3</v>
      </c>
    </row>
    <row r="3399" spans="1:12" x14ac:dyDescent="0.25">
      <c r="A3399" s="45">
        <f>C3399&amp;"."&amp;IFERROR(MID(E3399,FIND("(",E3399)+1,FIND(")",E3399)-FIND("(",E3399)-1),"")</f>
      </c>
      <c r="B3399" s="46" t="s">
        <v>1178</v>
      </c>
      <c r="C3399" s="46">
        <v>87066</v>
      </c>
      <c r="D3399" s="46" t="s">
        <v>5748</v>
      </c>
      <c r="E3399" s="46" t="s">
        <v>5749</v>
      </c>
      <c r="F3399" s="46" t="s">
        <v>26</v>
      </c>
      <c r="G3399" s="47">
        <v>1.94</v>
      </c>
      <c r="H3399" s="48">
        <v>9.467</v>
      </c>
      <c r="I3399" s="48">
        <v>85.201</v>
      </c>
      <c r="J3399" s="49">
        <v>9</v>
      </c>
      <c r="K3399" s="49">
        <v>9</v>
      </c>
      <c r="L3399" s="49">
        <v>0</v>
      </c>
    </row>
    <row r="3400" spans="1:12" x14ac:dyDescent="0.25">
      <c r="A3400" s="45">
        <f>C3400&amp;"."&amp;IFERROR(MID(E3400,FIND("(",E3400)+1,FIND(")",E3400)-FIND("(",E3400)-1),"")</f>
      </c>
      <c r="B3400" s="46" t="s">
        <v>1178</v>
      </c>
      <c r="C3400" s="46">
        <v>87068</v>
      </c>
      <c r="D3400" s="46" t="s">
        <v>5750</v>
      </c>
      <c r="E3400" s="46" t="s">
        <v>5751</v>
      </c>
      <c r="F3400" s="46" t="s">
        <v>26</v>
      </c>
      <c r="G3400" s="47">
        <v>1.5</v>
      </c>
      <c r="H3400" s="48">
        <v>3.08</v>
      </c>
      <c r="I3400" s="48">
        <v>12.321</v>
      </c>
      <c r="J3400" s="49">
        <v>4</v>
      </c>
      <c r="K3400" s="49">
        <v>0</v>
      </c>
      <c r="L3400" s="49">
        <v>4</v>
      </c>
    </row>
    <row r="3401" spans="1:12" x14ac:dyDescent="0.25">
      <c r="A3401" s="45">
        <f>C3401&amp;"."&amp;IFERROR(MID(E3401,FIND("(",E3401)+1,FIND(")",E3401)-FIND("(",E3401)-1),"")</f>
      </c>
      <c r="B3401" s="46" t="s">
        <v>1178</v>
      </c>
      <c r="C3401" s="46">
        <v>87069</v>
      </c>
      <c r="D3401" s="46" t="s">
        <v>5752</v>
      </c>
      <c r="E3401" s="46" t="s">
        <v>5753</v>
      </c>
      <c r="F3401" s="46" t="s">
        <v>26</v>
      </c>
      <c r="G3401" s="47">
        <v>2.23</v>
      </c>
      <c r="H3401" s="48">
        <v>15.429</v>
      </c>
      <c r="I3401" s="48">
        <v>92.574</v>
      </c>
      <c r="J3401" s="49">
        <v>6</v>
      </c>
      <c r="K3401" s="49">
        <v>3</v>
      </c>
      <c r="L3401" s="49">
        <v>3</v>
      </c>
    </row>
    <row r="3402" spans="1:12" x14ac:dyDescent="0.25">
      <c r="A3402" s="45">
        <f>C3402&amp;"."&amp;IFERROR(MID(E3402,FIND("(",E3402)+1,FIND(")",E3402)-FIND("(",E3402)-1),"")</f>
      </c>
      <c r="B3402" s="46" t="s">
        <v>1178</v>
      </c>
      <c r="C3402" s="46">
        <v>87076</v>
      </c>
      <c r="D3402" s="46" t="s">
        <v>5754</v>
      </c>
      <c r="E3402" s="46" t="s">
        <v>5755</v>
      </c>
      <c r="F3402" s="46" t="s">
        <v>26</v>
      </c>
      <c r="G3402" s="47">
        <v>3.85</v>
      </c>
      <c r="H3402" s="48">
        <v>14.403</v>
      </c>
      <c r="I3402" s="48">
        <v>86.417</v>
      </c>
      <c r="J3402" s="49">
        <v>6</v>
      </c>
      <c r="K3402" s="49">
        <v>0</v>
      </c>
      <c r="L3402" s="49">
        <v>6</v>
      </c>
    </row>
    <row r="3403" spans="1:12" x14ac:dyDescent="0.25">
      <c r="A3403" s="45">
        <f>C3403&amp;"."&amp;IFERROR(MID(E3403,FIND("(",E3403)+1,FIND(")",E3403)-FIND("(",E3403)-1),"")</f>
      </c>
      <c r="B3403" s="46" t="s">
        <v>1178</v>
      </c>
      <c r="C3403" s="46">
        <v>87076</v>
      </c>
      <c r="D3403" s="46" t="s">
        <v>5754</v>
      </c>
      <c r="E3403" s="46" t="s">
        <v>5756</v>
      </c>
      <c r="F3403" s="46" t="s">
        <v>26</v>
      </c>
      <c r="G3403" s="47">
        <v>3.85</v>
      </c>
      <c r="H3403" s="48">
        <v>9.934</v>
      </c>
      <c r="I3403" s="48">
        <v>29.802</v>
      </c>
      <c r="J3403" s="49">
        <v>3</v>
      </c>
      <c r="K3403" s="49">
        <v>0</v>
      </c>
      <c r="L3403" s="49">
        <v>3</v>
      </c>
    </row>
    <row r="3404" spans="1:12" x14ac:dyDescent="0.25">
      <c r="A3404" s="45">
        <f>C3404&amp;"."&amp;IFERROR(MID(E3404,FIND("(",E3404)+1,FIND(")",E3404)-FIND("(",E3404)-1),"")</f>
      </c>
      <c r="B3404" s="46" t="s">
        <v>1178</v>
      </c>
      <c r="C3404" s="46">
        <v>87077</v>
      </c>
      <c r="D3404" s="46" t="s">
        <v>5757</v>
      </c>
      <c r="E3404" s="46" t="s">
        <v>5758</v>
      </c>
      <c r="F3404" s="46" t="s">
        <v>26</v>
      </c>
      <c r="G3404" s="47">
        <v>2.43</v>
      </c>
      <c r="H3404" s="48">
        <v>9.238</v>
      </c>
      <c r="I3404" s="48">
        <v>36.953</v>
      </c>
      <c r="J3404" s="49">
        <v>4</v>
      </c>
      <c r="K3404" s="49">
        <v>0</v>
      </c>
      <c r="L3404" s="49">
        <v>4</v>
      </c>
    </row>
    <row r="3405" spans="1:12" x14ac:dyDescent="0.25">
      <c r="A3405" s="45">
        <f>C3405&amp;"."&amp;IFERROR(MID(E3405,FIND("(",E3405)+1,FIND(")",E3405)-FIND("(",E3405)-1),"")</f>
      </c>
      <c r="B3405" s="46" t="s">
        <v>1178</v>
      </c>
      <c r="C3405" s="46">
        <v>87079</v>
      </c>
      <c r="D3405" s="46" t="s">
        <v>5759</v>
      </c>
      <c r="E3405" s="46" t="s">
        <v>5760</v>
      </c>
      <c r="F3405" s="46" t="s">
        <v>26</v>
      </c>
      <c r="G3405" s="47">
        <v>0.47</v>
      </c>
      <c r="H3405" s="48">
        <v>3.477</v>
      </c>
      <c r="I3405" s="48">
        <v>20.862</v>
      </c>
      <c r="J3405" s="49">
        <v>6</v>
      </c>
      <c r="K3405" s="49">
        <v>4</v>
      </c>
      <c r="L3405" s="49">
        <v>2</v>
      </c>
    </row>
    <row r="3406" spans="1:12" x14ac:dyDescent="0.25">
      <c r="A3406" s="45">
        <f>C3406&amp;"."&amp;IFERROR(MID(E3406,FIND("(",E3406)+1,FIND(")",E3406)-FIND("(",E3406)-1),"")</f>
      </c>
      <c r="B3406" s="46" t="s">
        <v>1178</v>
      </c>
      <c r="C3406" s="46">
        <v>87084</v>
      </c>
      <c r="D3406" s="46" t="s">
        <v>5761</v>
      </c>
      <c r="E3406" s="46" t="s">
        <v>5762</v>
      </c>
      <c r="F3406" s="46" t="s">
        <v>26</v>
      </c>
      <c r="G3406" s="47">
        <v>3.13</v>
      </c>
      <c r="H3406" s="48">
        <v>10.378</v>
      </c>
      <c r="I3406" s="48">
        <v>51.888</v>
      </c>
      <c r="J3406" s="49">
        <v>5</v>
      </c>
      <c r="K3406" s="49">
        <v>1</v>
      </c>
      <c r="L3406" s="49">
        <v>4</v>
      </c>
    </row>
    <row r="3407" spans="1:12" x14ac:dyDescent="0.25">
      <c r="A3407" s="45">
        <f>C3407&amp;"."&amp;IFERROR(MID(E3407,FIND("(",E3407)+1,FIND(")",E3407)-FIND("(",E3407)-1),"")</f>
      </c>
      <c r="B3407" s="46" t="s">
        <v>1178</v>
      </c>
      <c r="C3407" s="46">
        <v>87091</v>
      </c>
      <c r="D3407" s="46" t="s">
        <v>5763</v>
      </c>
      <c r="E3407" s="46" t="s">
        <v>5764</v>
      </c>
      <c r="F3407" s="46" t="s">
        <v>26</v>
      </c>
      <c r="G3407" s="47">
        <v>5.71</v>
      </c>
      <c r="H3407" s="48">
        <v>16.634</v>
      </c>
      <c r="I3407" s="48">
        <v>33.268</v>
      </c>
      <c r="J3407" s="49">
        <v>2</v>
      </c>
      <c r="K3407" s="49">
        <v>2</v>
      </c>
      <c r="L3407" s="49">
        <v>0</v>
      </c>
    </row>
    <row r="3408" spans="1:12" x14ac:dyDescent="0.25">
      <c r="A3408" s="45">
        <f>C3408&amp;"."&amp;IFERROR(MID(E3408,FIND("(",E3408)+1,FIND(")",E3408)-FIND("(",E3408)-1),"")</f>
      </c>
      <c r="B3408" s="46" t="s">
        <v>1178</v>
      </c>
      <c r="C3408" s="46">
        <v>87091</v>
      </c>
      <c r="D3408" s="46" t="s">
        <v>5763</v>
      </c>
      <c r="E3408" s="46" t="s">
        <v>5765</v>
      </c>
      <c r="F3408" s="46" t="s">
        <v>26</v>
      </c>
      <c r="G3408" s="47">
        <v>5.71</v>
      </c>
      <c r="H3408" s="48">
        <v>10.503</v>
      </c>
      <c r="I3408" s="48">
        <v>42.012</v>
      </c>
      <c r="J3408" s="49">
        <v>4</v>
      </c>
      <c r="K3408" s="49">
        <v>0</v>
      </c>
      <c r="L3408" s="49">
        <v>4</v>
      </c>
    </row>
    <row r="3409" spans="1:12" x14ac:dyDescent="0.25">
      <c r="A3409" s="45">
        <f>C3409&amp;"."&amp;IFERROR(MID(E3409,FIND("(",E3409)+1,FIND(")",E3409)-FIND("(",E3409)-1),"")</f>
      </c>
      <c r="B3409" s="46" t="s">
        <v>1178</v>
      </c>
      <c r="C3409" s="46">
        <v>87093</v>
      </c>
      <c r="D3409" s="46" t="s">
        <v>5766</v>
      </c>
      <c r="E3409" s="46" t="s">
        <v>5767</v>
      </c>
      <c r="F3409" s="46" t="s">
        <v>26</v>
      </c>
      <c r="G3409" s="47">
        <v>5.71</v>
      </c>
      <c r="H3409" s="48">
        <v>13.012</v>
      </c>
      <c r="I3409" s="48">
        <v>91.082</v>
      </c>
      <c r="J3409" s="49">
        <v>7</v>
      </c>
      <c r="K3409" s="49">
        <v>5</v>
      </c>
      <c r="L3409" s="49">
        <v>2</v>
      </c>
    </row>
    <row r="3410" spans="1:12" x14ac:dyDescent="0.25">
      <c r="A3410" s="45">
        <f>C3410&amp;"."&amp;IFERROR(MID(E3410,FIND("(",E3410)+1,FIND(")",E3410)-FIND("(",E3410)-1),"")</f>
      </c>
      <c r="B3410" s="46" t="s">
        <v>1178</v>
      </c>
      <c r="C3410" s="46">
        <v>87093</v>
      </c>
      <c r="D3410" s="46" t="s">
        <v>5766</v>
      </c>
      <c r="E3410" s="46" t="s">
        <v>5768</v>
      </c>
      <c r="F3410" s="46" t="s">
        <v>26</v>
      </c>
      <c r="G3410" s="47">
        <v>5.71</v>
      </c>
      <c r="H3410" s="48">
        <v>12.969</v>
      </c>
      <c r="I3410" s="48">
        <v>38.907</v>
      </c>
      <c r="J3410" s="49">
        <v>3</v>
      </c>
      <c r="K3410" s="49">
        <v>1</v>
      </c>
      <c r="L3410" s="49">
        <v>2</v>
      </c>
    </row>
    <row r="3411" spans="1:12" x14ac:dyDescent="0.25">
      <c r="A3411" s="45">
        <f>C3411&amp;"."&amp;IFERROR(MID(E3411,FIND("(",E3411)+1,FIND(")",E3411)-FIND("(",E3411)-1),"")</f>
      </c>
      <c r="B3411" s="46" t="s">
        <v>1178</v>
      </c>
      <c r="C3411" s="46">
        <v>87100</v>
      </c>
      <c r="D3411" s="46" t="s">
        <v>486</v>
      </c>
      <c r="E3411" s="46" t="s">
        <v>5769</v>
      </c>
      <c r="F3411" s="46" t="s">
        <v>26</v>
      </c>
      <c r="G3411" s="47">
        <v>48</v>
      </c>
      <c r="H3411" s="48">
        <v>211.016</v>
      </c>
      <c r="I3411" s="48">
        <v>37349.806</v>
      </c>
      <c r="J3411" s="49">
        <v>177</v>
      </c>
      <c r="K3411" s="49">
        <v>5</v>
      </c>
      <c r="L3411" s="49">
        <v>172</v>
      </c>
    </row>
    <row r="3412" spans="1:12" x14ac:dyDescent="0.25">
      <c r="A3412" s="45">
        <f>C3412&amp;"."&amp;IFERROR(MID(E3412,FIND("(",E3412)+1,FIND(")",E3412)-FIND("(",E3412)-1),"")</f>
      </c>
      <c r="B3412" s="46" t="s">
        <v>1178</v>
      </c>
      <c r="C3412" s="46">
        <v>87100</v>
      </c>
      <c r="D3412" s="46" t="s">
        <v>486</v>
      </c>
      <c r="E3412" s="46" t="s">
        <v>5770</v>
      </c>
      <c r="F3412" s="46" t="s">
        <v>26</v>
      </c>
      <c r="G3412" s="47">
        <v>48</v>
      </c>
      <c r="H3412" s="48">
        <v>229.369</v>
      </c>
      <c r="I3412" s="48">
        <v>36699.021</v>
      </c>
      <c r="J3412" s="49">
        <v>160</v>
      </c>
      <c r="K3412" s="49">
        <v>2</v>
      </c>
      <c r="L3412" s="49">
        <v>158</v>
      </c>
    </row>
    <row r="3413" spans="1:12" x14ac:dyDescent="0.25">
      <c r="A3413" s="45">
        <f>C3413&amp;"."&amp;IFERROR(MID(E3413,FIND("(",E3413)+1,FIND(")",E3413)-FIND("(",E3413)-1),"")</f>
      </c>
      <c r="B3413" s="46" t="s">
        <v>1178</v>
      </c>
      <c r="C3413" s="46">
        <v>87103</v>
      </c>
      <c r="D3413" s="46" t="s">
        <v>416</v>
      </c>
      <c r="E3413" s="46" t="s">
        <v>5771</v>
      </c>
      <c r="F3413" s="46" t="s">
        <v>26</v>
      </c>
      <c r="G3413" s="47">
        <v>38.5</v>
      </c>
      <c r="H3413" s="48">
        <v>164.608</v>
      </c>
      <c r="I3413" s="48">
        <v>22222.078</v>
      </c>
      <c r="J3413" s="49">
        <v>135</v>
      </c>
      <c r="K3413" s="49">
        <v>1</v>
      </c>
      <c r="L3413" s="49">
        <v>134</v>
      </c>
    </row>
    <row r="3414" spans="1:12" x14ac:dyDescent="0.25">
      <c r="A3414" s="45">
        <f>C3414&amp;"."&amp;IFERROR(MID(E3414,FIND("(",E3414)+1,FIND(")",E3414)-FIND("(",E3414)-1),"")</f>
      </c>
      <c r="B3414" s="46" t="s">
        <v>1178</v>
      </c>
      <c r="C3414" s="46">
        <v>87103</v>
      </c>
      <c r="D3414" s="46" t="s">
        <v>416</v>
      </c>
      <c r="E3414" s="46" t="s">
        <v>5772</v>
      </c>
      <c r="F3414" s="46" t="s">
        <v>26</v>
      </c>
      <c r="G3414" s="47">
        <v>38.5</v>
      </c>
      <c r="H3414" s="48">
        <v>181.77</v>
      </c>
      <c r="I3414" s="48">
        <v>50350.254</v>
      </c>
      <c r="J3414" s="49">
        <v>277</v>
      </c>
      <c r="K3414" s="49">
        <v>14</v>
      </c>
      <c r="L3414" s="49">
        <v>263</v>
      </c>
    </row>
    <row r="3415" spans="1:12" x14ac:dyDescent="0.25">
      <c r="A3415" s="45">
        <f>C3415&amp;"."&amp;IFERROR(MID(E3415,FIND("(",E3415)+1,FIND(")",E3415)-FIND("(",E3415)-1),"")</f>
      </c>
      <c r="B3415" s="46" t="s">
        <v>1178</v>
      </c>
      <c r="C3415" s="46">
        <v>87104</v>
      </c>
      <c r="D3415" s="46" t="s">
        <v>5773</v>
      </c>
      <c r="E3415" s="46" t="s">
        <v>5774</v>
      </c>
      <c r="F3415" s="46" t="s">
        <v>26</v>
      </c>
      <c r="G3415" s="47">
        <v>0.99</v>
      </c>
      <c r="H3415" s="48">
        <v>9.021</v>
      </c>
      <c r="I3415" s="48">
        <v>18.043</v>
      </c>
      <c r="J3415" s="49">
        <v>2</v>
      </c>
      <c r="K3415" s="49">
        <v>0</v>
      </c>
      <c r="L3415" s="49">
        <v>2</v>
      </c>
    </row>
    <row r="3416" spans="1:12" x14ac:dyDescent="0.25">
      <c r="A3416" s="45">
        <f>C3416&amp;"."&amp;IFERROR(MID(E3416,FIND("(",E3416)+1,FIND(")",E3416)-FIND("(",E3416)-1),"")</f>
      </c>
      <c r="B3416" s="46" t="s">
        <v>1178</v>
      </c>
      <c r="C3416" s="46">
        <v>87105</v>
      </c>
      <c r="D3416" s="46" t="s">
        <v>489</v>
      </c>
      <c r="E3416" s="46" t="s">
        <v>5775</v>
      </c>
      <c r="F3416" s="46" t="s">
        <v>26</v>
      </c>
      <c r="G3416" s="47">
        <v>25</v>
      </c>
      <c r="H3416" s="48">
        <v>71.124</v>
      </c>
      <c r="I3416" s="48">
        <v>10384.129</v>
      </c>
      <c r="J3416" s="49">
        <v>146</v>
      </c>
      <c r="K3416" s="49">
        <v>1</v>
      </c>
      <c r="L3416" s="49">
        <v>145</v>
      </c>
    </row>
    <row r="3417" spans="1:12" x14ac:dyDescent="0.25">
      <c r="A3417" s="45">
        <f>C3417&amp;"."&amp;IFERROR(MID(E3417,FIND("(",E3417)+1,FIND(")",E3417)-FIND("(",E3417)-1),"")</f>
      </c>
      <c r="B3417" s="46" t="s">
        <v>1178</v>
      </c>
      <c r="C3417" s="46">
        <v>87105</v>
      </c>
      <c r="D3417" s="46" t="s">
        <v>489</v>
      </c>
      <c r="E3417" s="46" t="s">
        <v>5776</v>
      </c>
      <c r="F3417" s="46" t="s">
        <v>26</v>
      </c>
      <c r="G3417" s="47">
        <v>25</v>
      </c>
      <c r="H3417" s="48">
        <v>89.158</v>
      </c>
      <c r="I3417" s="48">
        <v>5973.611</v>
      </c>
      <c r="J3417" s="49">
        <v>67</v>
      </c>
      <c r="K3417" s="49">
        <v>3</v>
      </c>
      <c r="L3417" s="49">
        <v>64</v>
      </c>
    </row>
    <row r="3418" spans="1:12" x14ac:dyDescent="0.25">
      <c r="A3418" s="45">
        <f>C3418&amp;"."&amp;IFERROR(MID(E3418,FIND("(",E3418)+1,FIND(")",E3418)-FIND("(",E3418)-1),"")</f>
      </c>
      <c r="B3418" s="46" t="s">
        <v>1178</v>
      </c>
      <c r="C3418" s="46">
        <v>87106</v>
      </c>
      <c r="D3418" s="46" t="s">
        <v>5777</v>
      </c>
      <c r="E3418" s="46" t="s">
        <v>5778</v>
      </c>
      <c r="F3418" s="46" t="s">
        <v>26</v>
      </c>
      <c r="G3418" s="47">
        <v>3.13</v>
      </c>
      <c r="H3418" s="48">
        <v>10.077</v>
      </c>
      <c r="I3418" s="48">
        <v>50.386</v>
      </c>
      <c r="J3418" s="49">
        <v>5</v>
      </c>
      <c r="K3418" s="49">
        <v>0</v>
      </c>
      <c r="L3418" s="49">
        <v>5</v>
      </c>
    </row>
    <row r="3419" spans="1:12" x14ac:dyDescent="0.25">
      <c r="A3419" s="45">
        <f>C3419&amp;"."&amp;IFERROR(MID(E3419,FIND("(",E3419)+1,FIND(")",E3419)-FIND("(",E3419)-1),"")</f>
      </c>
      <c r="B3419" s="46" t="s">
        <v>1178</v>
      </c>
      <c r="C3419" s="46">
        <v>87107</v>
      </c>
      <c r="D3419" s="46" t="s">
        <v>598</v>
      </c>
      <c r="E3419" s="46" t="s">
        <v>5779</v>
      </c>
      <c r="F3419" s="46" t="s">
        <v>26</v>
      </c>
      <c r="G3419" s="47">
        <v>24</v>
      </c>
      <c r="H3419" s="48">
        <v>113.376</v>
      </c>
      <c r="I3419" s="48">
        <v>3514.667</v>
      </c>
      <c r="J3419" s="49">
        <v>31</v>
      </c>
      <c r="K3419" s="49">
        <v>16</v>
      </c>
      <c r="L3419" s="49">
        <v>15</v>
      </c>
    </row>
    <row r="3420" spans="1:12" x14ac:dyDescent="0.25">
      <c r="A3420" s="45">
        <f>C3420&amp;"."&amp;IFERROR(MID(E3420,FIND("(",E3420)+1,FIND(")",E3420)-FIND("(",E3420)-1),"")</f>
      </c>
      <c r="B3420" s="46" t="s">
        <v>1178</v>
      </c>
      <c r="C3420" s="46">
        <v>87107</v>
      </c>
      <c r="D3420" s="46" t="s">
        <v>598</v>
      </c>
      <c r="E3420" s="46" t="s">
        <v>5780</v>
      </c>
      <c r="F3420" s="46" t="s">
        <v>26</v>
      </c>
      <c r="G3420" s="47">
        <v>24</v>
      </c>
      <c r="H3420" s="48">
        <v>105.163</v>
      </c>
      <c r="I3420" s="48">
        <v>26501.191</v>
      </c>
      <c r="J3420" s="49">
        <v>252</v>
      </c>
      <c r="K3420" s="49">
        <v>3</v>
      </c>
      <c r="L3420" s="49">
        <v>249</v>
      </c>
    </row>
    <row r="3421" spans="1:12" x14ac:dyDescent="0.25">
      <c r="A3421" s="45">
        <f>C3421&amp;"."&amp;IFERROR(MID(E3421,FIND("(",E3421)+1,FIND(")",E3421)-FIND("(",E3421)-1),"")</f>
      </c>
      <c r="B3421" s="46" t="s">
        <v>1178</v>
      </c>
      <c r="C3421" s="46">
        <v>87108</v>
      </c>
      <c r="D3421" s="46" t="s">
        <v>5781</v>
      </c>
      <c r="E3421" s="46" t="s">
        <v>5782</v>
      </c>
      <c r="F3421" s="46" t="s">
        <v>26</v>
      </c>
      <c r="G3421" s="47">
        <v>0.47</v>
      </c>
      <c r="H3421" s="48">
        <v>0.79</v>
      </c>
      <c r="I3421" s="48">
        <v>1.58</v>
      </c>
      <c r="J3421" s="49">
        <v>2</v>
      </c>
      <c r="K3421" s="49">
        <v>0</v>
      </c>
      <c r="L3421" s="49">
        <v>2</v>
      </c>
    </row>
    <row r="3422" spans="1:12" x14ac:dyDescent="0.25">
      <c r="A3422" s="45">
        <f>C3422&amp;"."&amp;IFERROR(MID(E3422,FIND("(",E3422)+1,FIND(")",E3422)-FIND("(",E3422)-1),"")</f>
      </c>
      <c r="B3422" s="46" t="s">
        <v>1178</v>
      </c>
      <c r="C3422" s="46">
        <v>87110</v>
      </c>
      <c r="D3422" s="46" t="s">
        <v>464</v>
      </c>
      <c r="E3422" s="46" t="s">
        <v>5783</v>
      </c>
      <c r="F3422" s="46" t="s">
        <v>26</v>
      </c>
      <c r="G3422" s="47">
        <v>16.75</v>
      </c>
      <c r="H3422" s="48">
        <v>52.688</v>
      </c>
      <c r="I3422" s="48">
        <v>7745.132</v>
      </c>
      <c r="J3422" s="49">
        <v>147</v>
      </c>
      <c r="K3422" s="49">
        <v>1</v>
      </c>
      <c r="L3422" s="49">
        <v>146</v>
      </c>
    </row>
    <row r="3423" spans="1:12" x14ac:dyDescent="0.25">
      <c r="A3423" s="45">
        <f>C3423&amp;"."&amp;IFERROR(MID(E3423,FIND("(",E3423)+1,FIND(")",E3423)-FIND("(",E3423)-1),"")</f>
      </c>
      <c r="B3423" s="46" t="s">
        <v>1178</v>
      </c>
      <c r="C3423" s="46">
        <v>87110</v>
      </c>
      <c r="D3423" s="46" t="s">
        <v>464</v>
      </c>
      <c r="E3423" s="46" t="s">
        <v>5784</v>
      </c>
      <c r="F3423" s="46" t="s">
        <v>26</v>
      </c>
      <c r="G3423" s="47">
        <v>16.75</v>
      </c>
      <c r="H3423" s="48">
        <v>46.612</v>
      </c>
      <c r="I3423" s="48">
        <v>3123.03</v>
      </c>
      <c r="J3423" s="49">
        <v>67</v>
      </c>
      <c r="K3423" s="49">
        <v>3</v>
      </c>
      <c r="L3423" s="49">
        <v>64</v>
      </c>
    </row>
    <row r="3424" spans="1:12" x14ac:dyDescent="0.25">
      <c r="A3424" s="45">
        <f>C3424&amp;"."&amp;IFERROR(MID(E3424,FIND("(",E3424)+1,FIND(")",E3424)-FIND("(",E3424)-1),"")</f>
      </c>
      <c r="B3424" s="46" t="s">
        <v>1178</v>
      </c>
      <c r="C3424" s="46">
        <v>87111</v>
      </c>
      <c r="D3424" s="46" t="s">
        <v>5785</v>
      </c>
      <c r="E3424" s="46" t="s">
        <v>5786</v>
      </c>
      <c r="F3424" s="46" t="s">
        <v>26</v>
      </c>
      <c r="G3424" s="47">
        <v>3.85</v>
      </c>
      <c r="H3424" s="48">
        <v>13.103</v>
      </c>
      <c r="I3424" s="48">
        <v>52.412</v>
      </c>
      <c r="J3424" s="49">
        <v>4</v>
      </c>
      <c r="K3424" s="49">
        <v>0</v>
      </c>
      <c r="L3424" s="49">
        <v>4</v>
      </c>
    </row>
    <row r="3425" spans="1:12" x14ac:dyDescent="0.25">
      <c r="A3425" s="45">
        <f>C3425&amp;"."&amp;IFERROR(MID(E3425,FIND("(",E3425)+1,FIND(")",E3425)-FIND("(",E3425)-1),"")</f>
      </c>
      <c r="B3425" s="46" t="s">
        <v>1178</v>
      </c>
      <c r="C3425" s="46">
        <v>87112</v>
      </c>
      <c r="D3425" s="46" t="s">
        <v>460</v>
      </c>
      <c r="E3425" s="46" t="s">
        <v>5787</v>
      </c>
      <c r="F3425" s="46" t="s">
        <v>26</v>
      </c>
      <c r="G3425" s="47">
        <v>9.8</v>
      </c>
      <c r="H3425" s="48">
        <v>34.78</v>
      </c>
      <c r="I3425" s="48">
        <v>1773.763</v>
      </c>
      <c r="J3425" s="49">
        <v>51</v>
      </c>
      <c r="K3425" s="49">
        <v>5</v>
      </c>
      <c r="L3425" s="49">
        <v>46</v>
      </c>
    </row>
    <row r="3426" spans="1:12" x14ac:dyDescent="0.25">
      <c r="A3426" s="45">
        <f>C3426&amp;"."&amp;IFERROR(MID(E3426,FIND("(",E3426)+1,FIND(")",E3426)-FIND("(",E3426)-1),"")</f>
      </c>
      <c r="B3426" s="46" t="s">
        <v>1178</v>
      </c>
      <c r="C3426" s="46">
        <v>87112</v>
      </c>
      <c r="D3426" s="46" t="s">
        <v>460</v>
      </c>
      <c r="E3426" s="46" t="s">
        <v>5788</v>
      </c>
      <c r="F3426" s="46" t="s">
        <v>26</v>
      </c>
      <c r="G3426" s="47">
        <v>9.8</v>
      </c>
      <c r="H3426" s="48">
        <v>40.498</v>
      </c>
      <c r="I3426" s="48">
        <v>4535.827</v>
      </c>
      <c r="J3426" s="49">
        <v>112</v>
      </c>
      <c r="K3426" s="49">
        <v>1</v>
      </c>
      <c r="L3426" s="49">
        <v>111</v>
      </c>
    </row>
    <row r="3427" spans="1:12" x14ac:dyDescent="0.25">
      <c r="A3427" s="45">
        <f>C3427&amp;"."&amp;IFERROR(MID(E3427,FIND("(",E3427)+1,FIND(")",E3427)-FIND("(",E3427)-1),"")</f>
      </c>
      <c r="B3427" s="46" t="s">
        <v>1178</v>
      </c>
      <c r="C3427" s="46">
        <v>87115</v>
      </c>
      <c r="D3427" s="46" t="s">
        <v>5789</v>
      </c>
      <c r="E3427" s="46" t="s">
        <v>5790</v>
      </c>
      <c r="F3427" s="46" t="s">
        <v>26</v>
      </c>
      <c r="G3427" s="47">
        <v>1.94</v>
      </c>
      <c r="H3427" s="48">
        <v>14.766</v>
      </c>
      <c r="I3427" s="48">
        <v>14.766</v>
      </c>
      <c r="J3427" s="49">
        <v>1</v>
      </c>
      <c r="K3427" s="49">
        <v>1</v>
      </c>
      <c r="L3427" s="49">
        <v>0</v>
      </c>
    </row>
    <row r="3428" spans="1:12" x14ac:dyDescent="0.25">
      <c r="A3428" s="45">
        <f>C3428&amp;"."&amp;IFERROR(MID(E3428,FIND("(",E3428)+1,FIND(")",E3428)-FIND("(",E3428)-1),"")</f>
      </c>
      <c r="B3428" s="46" t="s">
        <v>1178</v>
      </c>
      <c r="C3428" s="46">
        <v>87119</v>
      </c>
      <c r="D3428" s="46" t="s">
        <v>5791</v>
      </c>
      <c r="E3428" s="46" t="s">
        <v>5792</v>
      </c>
      <c r="F3428" s="46" t="s">
        <v>26</v>
      </c>
      <c r="G3428" s="47">
        <v>3.35</v>
      </c>
      <c r="H3428" s="48">
        <v>13.673</v>
      </c>
      <c r="I3428" s="48">
        <v>54.693</v>
      </c>
      <c r="J3428" s="49">
        <v>4</v>
      </c>
      <c r="K3428" s="49">
        <v>0</v>
      </c>
      <c r="L3428" s="49">
        <v>4</v>
      </c>
    </row>
    <row r="3429" spans="1:12" x14ac:dyDescent="0.25">
      <c r="A3429" s="45">
        <f>C3429&amp;"."&amp;IFERROR(MID(E3429,FIND("(",E3429)+1,FIND(")",E3429)-FIND("(",E3429)-1),"")</f>
      </c>
      <c r="B3429" s="46" t="s">
        <v>1178</v>
      </c>
      <c r="C3429" s="46">
        <v>87121</v>
      </c>
      <c r="D3429" s="46" t="s">
        <v>139</v>
      </c>
      <c r="E3429" s="46" t="s">
        <v>5793</v>
      </c>
      <c r="F3429" s="46" t="s">
        <v>26</v>
      </c>
      <c r="G3429" s="47">
        <v>51</v>
      </c>
      <c r="H3429" s="48">
        <v>172.512</v>
      </c>
      <c r="I3429" s="48">
        <v>19493.835</v>
      </c>
      <c r="J3429" s="49">
        <v>113</v>
      </c>
      <c r="K3429" s="49">
        <v>79</v>
      </c>
      <c r="L3429" s="49">
        <v>34</v>
      </c>
    </row>
    <row r="3430" spans="1:12" x14ac:dyDescent="0.25">
      <c r="A3430" s="45">
        <f>C3430&amp;"."&amp;IFERROR(MID(E3430,FIND("(",E3430)+1,FIND(")",E3430)-FIND("(",E3430)-1),"")</f>
      </c>
      <c r="B3430" s="46" t="s">
        <v>1178</v>
      </c>
      <c r="C3430" s="46">
        <v>87121</v>
      </c>
      <c r="D3430" s="46" t="s">
        <v>139</v>
      </c>
      <c r="E3430" s="46" t="s">
        <v>5794</v>
      </c>
      <c r="F3430" s="46" t="s">
        <v>26</v>
      </c>
      <c r="G3430" s="47">
        <v>51</v>
      </c>
      <c r="H3430" s="48">
        <v>178.256</v>
      </c>
      <c r="I3430" s="48">
        <v>13547.491</v>
      </c>
      <c r="J3430" s="49">
        <v>76</v>
      </c>
      <c r="K3430" s="49">
        <v>58</v>
      </c>
      <c r="L3430" s="49">
        <v>18</v>
      </c>
    </row>
    <row r="3431" spans="1:12" x14ac:dyDescent="0.25">
      <c r="A3431" s="45">
        <f>C3431&amp;"."&amp;IFERROR(MID(E3431,FIND("(",E3431)+1,FIND(")",E3431)-FIND("(",E3431)-1),"")</f>
      </c>
      <c r="B3431" s="46" t="s">
        <v>1178</v>
      </c>
      <c r="C3431" s="46">
        <v>87123</v>
      </c>
      <c r="D3431" s="46" t="s">
        <v>148</v>
      </c>
      <c r="E3431" s="46" t="s">
        <v>5795</v>
      </c>
      <c r="F3431" s="46" t="s">
        <v>26</v>
      </c>
      <c r="G3431" s="47">
        <v>57</v>
      </c>
      <c r="H3431" s="48">
        <v>320.725</v>
      </c>
      <c r="I3431" s="48">
        <v>12508.28</v>
      </c>
      <c r="J3431" s="49">
        <v>39</v>
      </c>
      <c r="K3431" s="49">
        <v>39</v>
      </c>
      <c r="L3431" s="49">
        <v>0</v>
      </c>
    </row>
    <row r="3432" spans="1:12" x14ac:dyDescent="0.25">
      <c r="A3432" s="45">
        <f>C3432&amp;"."&amp;IFERROR(MID(E3432,FIND("(",E3432)+1,FIND(")",E3432)-FIND("(",E3432)-1),"")</f>
      </c>
      <c r="B3432" s="46" t="s">
        <v>1178</v>
      </c>
      <c r="C3432" s="46">
        <v>87123</v>
      </c>
      <c r="D3432" s="46" t="s">
        <v>148</v>
      </c>
      <c r="E3432" s="46" t="s">
        <v>5796</v>
      </c>
      <c r="F3432" s="46" t="s">
        <v>26</v>
      </c>
      <c r="G3432" s="47">
        <v>57</v>
      </c>
      <c r="H3432" s="48">
        <v>317.745</v>
      </c>
      <c r="I3432" s="48">
        <v>22877.607</v>
      </c>
      <c r="J3432" s="49">
        <v>72</v>
      </c>
      <c r="K3432" s="49">
        <v>58</v>
      </c>
      <c r="L3432" s="49">
        <v>14</v>
      </c>
    </row>
    <row r="3433" spans="1:12" x14ac:dyDescent="0.25">
      <c r="A3433" s="45">
        <f>C3433&amp;"."&amp;IFERROR(MID(E3433,FIND("(",E3433)+1,FIND(")",E3433)-FIND("(",E3433)-1),"")</f>
      </c>
      <c r="B3433" s="46" t="s">
        <v>1178</v>
      </c>
      <c r="C3433" s="46">
        <v>87123</v>
      </c>
      <c r="D3433" s="46" t="s">
        <v>148</v>
      </c>
      <c r="E3433" s="46" t="s">
        <v>5797</v>
      </c>
      <c r="F3433" s="46" t="s">
        <v>26</v>
      </c>
      <c r="G3433" s="47">
        <v>57</v>
      </c>
      <c r="H3433" s="48">
        <v>318.62</v>
      </c>
      <c r="I3433" s="48">
        <v>14656.514</v>
      </c>
      <c r="J3433" s="49">
        <v>46</v>
      </c>
      <c r="K3433" s="49">
        <v>40</v>
      </c>
      <c r="L3433" s="49">
        <v>6</v>
      </c>
    </row>
    <row r="3434" spans="1:12" x14ac:dyDescent="0.25">
      <c r="A3434" s="45">
        <f>C3434&amp;"."&amp;IFERROR(MID(E3434,FIND("(",E3434)+1,FIND(")",E3434)-FIND("(",E3434)-1),"")</f>
      </c>
      <c r="B3434" s="46" t="s">
        <v>1178</v>
      </c>
      <c r="C3434" s="46">
        <v>87126</v>
      </c>
      <c r="D3434" s="46" t="s">
        <v>757</v>
      </c>
      <c r="E3434" s="46" t="s">
        <v>5798</v>
      </c>
      <c r="F3434" s="46" t="s">
        <v>26</v>
      </c>
      <c r="G3434" s="47">
        <v>49</v>
      </c>
      <c r="H3434" s="48">
        <v>214.545</v>
      </c>
      <c r="I3434" s="48">
        <v>17592.729</v>
      </c>
      <c r="J3434" s="49">
        <v>82</v>
      </c>
      <c r="K3434" s="49">
        <v>58</v>
      </c>
      <c r="L3434" s="49">
        <v>24</v>
      </c>
    </row>
    <row r="3435" spans="1:12" x14ac:dyDescent="0.25">
      <c r="A3435" s="45">
        <f>C3435&amp;"."&amp;IFERROR(MID(E3435,FIND("(",E3435)+1,FIND(")",E3435)-FIND("(",E3435)-1),"")</f>
      </c>
      <c r="B3435" s="46" t="s">
        <v>1178</v>
      </c>
      <c r="C3435" s="46">
        <v>87126</v>
      </c>
      <c r="D3435" s="46" t="s">
        <v>757</v>
      </c>
      <c r="E3435" s="46" t="s">
        <v>5799</v>
      </c>
      <c r="F3435" s="46" t="s">
        <v>26</v>
      </c>
      <c r="G3435" s="47">
        <v>49</v>
      </c>
      <c r="H3435" s="48">
        <v>226.449</v>
      </c>
      <c r="I3435" s="48">
        <v>11096</v>
      </c>
      <c r="J3435" s="49">
        <v>49</v>
      </c>
      <c r="K3435" s="49">
        <v>39</v>
      </c>
      <c r="L3435" s="49">
        <v>10</v>
      </c>
    </row>
    <row r="3436" spans="1:12" x14ac:dyDescent="0.25">
      <c r="A3436" s="45">
        <f>C3436&amp;"."&amp;IFERROR(MID(E3436,FIND("(",E3436)+1,FIND(")",E3436)-FIND("(",E3436)-1),"")</f>
      </c>
      <c r="B3436" s="46" t="s">
        <v>1178</v>
      </c>
      <c r="C3436" s="46">
        <v>87126</v>
      </c>
      <c r="D3436" s="46" t="s">
        <v>757</v>
      </c>
      <c r="E3436" s="46" t="s">
        <v>5800</v>
      </c>
      <c r="F3436" s="46" t="s">
        <v>26</v>
      </c>
      <c r="G3436" s="47">
        <v>49</v>
      </c>
      <c r="H3436" s="48">
        <v>229.902</v>
      </c>
      <c r="I3436" s="48">
        <v>13564.242</v>
      </c>
      <c r="J3436" s="49">
        <v>59</v>
      </c>
      <c r="K3436" s="49">
        <v>40</v>
      </c>
      <c r="L3436" s="49">
        <v>19</v>
      </c>
    </row>
    <row r="3437" spans="1:12" x14ac:dyDescent="0.25">
      <c r="A3437" s="45">
        <f>C3437&amp;"."&amp;IFERROR(MID(E3437,FIND("(",E3437)+1,FIND(")",E3437)-FIND("(",E3437)-1),"")</f>
      </c>
      <c r="B3437" s="46" t="s">
        <v>1178</v>
      </c>
      <c r="C3437" s="46">
        <v>87128</v>
      </c>
      <c r="D3437" s="46" t="s">
        <v>747</v>
      </c>
      <c r="E3437" s="46" t="s">
        <v>5801</v>
      </c>
      <c r="F3437" s="46" t="s">
        <v>26</v>
      </c>
      <c r="G3437" s="47">
        <v>9</v>
      </c>
      <c r="H3437" s="48">
        <v>22.052</v>
      </c>
      <c r="I3437" s="48">
        <v>1742.082</v>
      </c>
      <c r="J3437" s="49">
        <v>79</v>
      </c>
      <c r="K3437" s="49">
        <v>79</v>
      </c>
      <c r="L3437" s="49">
        <v>0</v>
      </c>
    </row>
    <row r="3438" spans="1:12" x14ac:dyDescent="0.25">
      <c r="A3438" s="45">
        <f>C3438&amp;"."&amp;IFERROR(MID(E3438,FIND("(",E3438)+1,FIND(")",E3438)-FIND("(",E3438)-1),"")</f>
      </c>
      <c r="B3438" s="46" t="s">
        <v>1178</v>
      </c>
      <c r="C3438" s="46">
        <v>87128</v>
      </c>
      <c r="D3438" s="46" t="s">
        <v>747</v>
      </c>
      <c r="E3438" s="46" t="s">
        <v>5802</v>
      </c>
      <c r="F3438" s="46" t="s">
        <v>26</v>
      </c>
      <c r="G3438" s="47">
        <v>9</v>
      </c>
      <c r="H3438" s="48">
        <v>32.089</v>
      </c>
      <c r="I3438" s="48">
        <v>1861.166</v>
      </c>
      <c r="J3438" s="49">
        <v>58</v>
      </c>
      <c r="K3438" s="49">
        <v>58</v>
      </c>
      <c r="L3438" s="49">
        <v>0</v>
      </c>
    </row>
    <row r="3439" spans="1:12" x14ac:dyDescent="0.25">
      <c r="A3439" s="45">
        <f>C3439&amp;"."&amp;IFERROR(MID(E3439,FIND("(",E3439)+1,FIND(")",E3439)-FIND("(",E3439)-1),"")</f>
      </c>
      <c r="B3439" s="46" t="s">
        <v>1178</v>
      </c>
      <c r="C3439" s="46">
        <v>87130</v>
      </c>
      <c r="D3439" s="46" t="s">
        <v>141</v>
      </c>
      <c r="E3439" s="46" t="s">
        <v>5803</v>
      </c>
      <c r="F3439" s="46" t="s">
        <v>26</v>
      </c>
      <c r="G3439" s="47">
        <v>0.56</v>
      </c>
      <c r="H3439" s="48">
        <v>5.466</v>
      </c>
      <c r="I3439" s="48">
        <v>273.283</v>
      </c>
      <c r="J3439" s="49">
        <v>50</v>
      </c>
      <c r="K3439" s="49">
        <v>18</v>
      </c>
      <c r="L3439" s="49">
        <v>32</v>
      </c>
    </row>
    <row r="3440" spans="1:12" x14ac:dyDescent="0.25">
      <c r="A3440" s="45">
        <f>C3440&amp;"."&amp;IFERROR(MID(E3440,FIND("(",E3440)+1,FIND(")",E3440)-FIND("(",E3440)-1),"")</f>
      </c>
      <c r="B3440" s="46" t="s">
        <v>1178</v>
      </c>
      <c r="C3440" s="46">
        <v>87130</v>
      </c>
      <c r="D3440" s="46" t="s">
        <v>141</v>
      </c>
      <c r="E3440" s="46" t="s">
        <v>5804</v>
      </c>
      <c r="F3440" s="46" t="s">
        <v>26</v>
      </c>
      <c r="G3440" s="47">
        <v>0.56</v>
      </c>
      <c r="H3440" s="48">
        <v>6.149</v>
      </c>
      <c r="I3440" s="48">
        <v>1057.573</v>
      </c>
      <c r="J3440" s="49">
        <v>172</v>
      </c>
      <c r="K3440" s="49">
        <v>29</v>
      </c>
      <c r="L3440" s="49">
        <v>143</v>
      </c>
    </row>
    <row r="3441" spans="1:12" x14ac:dyDescent="0.25">
      <c r="A3441" s="45">
        <f>C3441&amp;"."&amp;IFERROR(MID(E3441,FIND("(",E3441)+1,FIND(")",E3441)-FIND("(",E3441)-1),"")</f>
      </c>
      <c r="B3441" s="46" t="s">
        <v>1178</v>
      </c>
      <c r="C3441" s="46">
        <v>87139</v>
      </c>
      <c r="D3441" s="46" t="s">
        <v>505</v>
      </c>
      <c r="E3441" s="46" t="s">
        <v>5805</v>
      </c>
      <c r="F3441" s="46" t="s">
        <v>26</v>
      </c>
      <c r="G3441" s="47">
        <v>43</v>
      </c>
      <c r="H3441" s="48">
        <v>150.479</v>
      </c>
      <c r="I3441" s="48">
        <v>6922.014</v>
      </c>
      <c r="J3441" s="49">
        <v>46</v>
      </c>
      <c r="K3441" s="49">
        <v>0</v>
      </c>
      <c r="L3441" s="49">
        <v>46</v>
      </c>
    </row>
    <row r="3442" spans="1:12" x14ac:dyDescent="0.25">
      <c r="A3442" s="45">
        <f>C3442&amp;"."&amp;IFERROR(MID(E3442,FIND("(",E3442)+1,FIND(")",E3442)-FIND("(",E3442)-1),"")</f>
      </c>
      <c r="B3442" s="46" t="s">
        <v>1178</v>
      </c>
      <c r="C3442" s="46">
        <v>87139</v>
      </c>
      <c r="D3442" s="46" t="s">
        <v>505</v>
      </c>
      <c r="E3442" s="46" t="s">
        <v>5806</v>
      </c>
      <c r="F3442" s="46" t="s">
        <v>26</v>
      </c>
      <c r="G3442" s="47">
        <v>43</v>
      </c>
      <c r="H3442" s="48">
        <v>137.039</v>
      </c>
      <c r="I3442" s="48">
        <v>35492.997</v>
      </c>
      <c r="J3442" s="49">
        <v>259</v>
      </c>
      <c r="K3442" s="49">
        <v>0</v>
      </c>
      <c r="L3442" s="49">
        <v>259</v>
      </c>
    </row>
    <row r="3443" spans="1:12" x14ac:dyDescent="0.25">
      <c r="A3443" s="45">
        <f>C3443&amp;"."&amp;IFERROR(MID(E3443,FIND("(",E3443)+1,FIND(")",E3443)-FIND("(",E3443)-1),"")</f>
      </c>
      <c r="B3443" s="46" t="s">
        <v>1178</v>
      </c>
      <c r="C3443" s="46">
        <v>87140</v>
      </c>
      <c r="D3443" s="46" t="s">
        <v>143</v>
      </c>
      <c r="E3443" s="46" t="s">
        <v>5807</v>
      </c>
      <c r="F3443" s="46" t="s">
        <v>26</v>
      </c>
      <c r="G3443" s="47">
        <v>47.5</v>
      </c>
      <c r="H3443" s="48">
        <v>126.052</v>
      </c>
      <c r="I3443" s="48">
        <v>2773.148</v>
      </c>
      <c r="J3443" s="49">
        <v>22</v>
      </c>
      <c r="K3443" s="49">
        <v>0</v>
      </c>
      <c r="L3443" s="49">
        <v>22</v>
      </c>
    </row>
    <row r="3444" spans="1:12" x14ac:dyDescent="0.25">
      <c r="A3444" s="45">
        <f>C3444&amp;"."&amp;IFERROR(MID(E3444,FIND("(",E3444)+1,FIND(")",E3444)-FIND("(",E3444)-1),"")</f>
      </c>
      <c r="B3444" s="46" t="s">
        <v>1178</v>
      </c>
      <c r="C3444" s="46">
        <v>87140</v>
      </c>
      <c r="D3444" s="46" t="s">
        <v>143</v>
      </c>
      <c r="E3444" s="46" t="s">
        <v>5808</v>
      </c>
      <c r="F3444" s="46" t="s">
        <v>26</v>
      </c>
      <c r="G3444" s="47">
        <v>47.5</v>
      </c>
      <c r="H3444" s="48">
        <v>165.668</v>
      </c>
      <c r="I3444" s="48">
        <v>8283.404</v>
      </c>
      <c r="J3444" s="49">
        <v>50</v>
      </c>
      <c r="K3444" s="49">
        <v>0</v>
      </c>
      <c r="L3444" s="49">
        <v>50</v>
      </c>
    </row>
    <row r="3445" spans="1:12" x14ac:dyDescent="0.25">
      <c r="A3445" s="45">
        <f>C3445&amp;"."&amp;IFERROR(MID(E3445,FIND("(",E3445)+1,FIND(")",E3445)-FIND("(",E3445)-1),"")</f>
      </c>
      <c r="B3445" s="46" t="s">
        <v>1178</v>
      </c>
      <c r="C3445" s="46">
        <v>87140</v>
      </c>
      <c r="D3445" s="46" t="s">
        <v>143</v>
      </c>
      <c r="E3445" s="46" t="s">
        <v>5809</v>
      </c>
      <c r="F3445" s="46" t="s">
        <v>26</v>
      </c>
      <c r="G3445" s="47">
        <v>47.5</v>
      </c>
      <c r="H3445" s="48">
        <v>166.23</v>
      </c>
      <c r="I3445" s="48">
        <v>38897.833</v>
      </c>
      <c r="J3445" s="49">
        <v>234</v>
      </c>
      <c r="K3445" s="49">
        <v>0</v>
      </c>
      <c r="L3445" s="49">
        <v>234</v>
      </c>
    </row>
    <row r="3446" spans="1:12" x14ac:dyDescent="0.25">
      <c r="A3446" s="45">
        <f>C3446&amp;"."&amp;IFERROR(MID(E3446,FIND("(",E3446)+1,FIND(")",E3446)-FIND("(",E3446)-1),"")</f>
      </c>
      <c r="B3446" s="46" t="s">
        <v>1178</v>
      </c>
      <c r="C3446" s="46">
        <v>87142</v>
      </c>
      <c r="D3446" s="46" t="s">
        <v>587</v>
      </c>
      <c r="E3446" s="46" t="s">
        <v>5810</v>
      </c>
      <c r="F3446" s="46" t="s">
        <v>24</v>
      </c>
      <c r="G3446" s="47">
        <v>39</v>
      </c>
      <c r="H3446" s="48">
        <v>232.112</v>
      </c>
      <c r="I3446" s="48">
        <v>121162.345</v>
      </c>
      <c r="J3446" s="49">
        <v>522</v>
      </c>
      <c r="K3446" s="49">
        <v>200</v>
      </c>
      <c r="L3446" s="49">
        <v>322</v>
      </c>
    </row>
    <row r="3447" spans="1:12" x14ac:dyDescent="0.25">
      <c r="A3447" s="45">
        <f>C3447&amp;"."&amp;IFERROR(MID(E3447,FIND("(",E3447)+1,FIND(")",E3447)-FIND("(",E3447)-1),"")</f>
      </c>
      <c r="B3447" s="46" t="s">
        <v>1178</v>
      </c>
      <c r="C3447" s="46">
        <v>87143</v>
      </c>
      <c r="D3447" s="46" t="s">
        <v>1132</v>
      </c>
      <c r="E3447" s="46" t="s">
        <v>1248</v>
      </c>
      <c r="F3447" s="46" t="s">
        <v>24</v>
      </c>
      <c r="G3447" s="47">
        <v>18</v>
      </c>
      <c r="H3447" s="48">
        <v>48.588</v>
      </c>
      <c r="I3447" s="48">
        <v>26869.401</v>
      </c>
      <c r="J3447" s="49">
        <v>553</v>
      </c>
      <c r="K3447" s="49">
        <v>230</v>
      </c>
      <c r="L3447" s="49">
        <v>323</v>
      </c>
    </row>
    <row r="3448" spans="1:12" x14ac:dyDescent="0.25">
      <c r="A3448" s="45">
        <f>C3448&amp;"."&amp;IFERROR(MID(E3448,FIND("(",E3448)+1,FIND(")",E3448)-FIND("(",E3448)-1),"")</f>
      </c>
      <c r="B3448" s="46" t="s">
        <v>1178</v>
      </c>
      <c r="C3448" s="46">
        <v>87150</v>
      </c>
      <c r="D3448" s="46" t="s">
        <v>5811</v>
      </c>
      <c r="E3448" s="46" t="s">
        <v>5812</v>
      </c>
      <c r="F3448" s="46" t="s">
        <v>26</v>
      </c>
      <c r="G3448" s="47">
        <v>0.77</v>
      </c>
      <c r="H3448" s="48">
        <v>0.91</v>
      </c>
      <c r="I3448" s="48">
        <v>7.277</v>
      </c>
      <c r="J3448" s="49">
        <v>8</v>
      </c>
      <c r="K3448" s="49">
        <v>0</v>
      </c>
      <c r="L3448" s="49">
        <v>8</v>
      </c>
    </row>
    <row r="3449" spans="1:12" x14ac:dyDescent="0.25">
      <c r="A3449" s="45">
        <f>C3449&amp;"."&amp;IFERROR(MID(E3449,FIND("(",E3449)+1,FIND(")",E3449)-FIND("(",E3449)-1),"")</f>
      </c>
      <c r="B3449" s="46" t="s">
        <v>1178</v>
      </c>
      <c r="C3449" s="46">
        <v>87151</v>
      </c>
      <c r="D3449" s="46" t="s">
        <v>5813</v>
      </c>
      <c r="E3449" s="46" t="s">
        <v>5814</v>
      </c>
      <c r="F3449" s="46" t="s">
        <v>26</v>
      </c>
      <c r="G3449" s="47">
        <v>1.13</v>
      </c>
      <c r="H3449" s="48">
        <v>3.57</v>
      </c>
      <c r="I3449" s="48">
        <v>3.57</v>
      </c>
      <c r="J3449" s="49">
        <v>1</v>
      </c>
      <c r="K3449" s="49">
        <v>0</v>
      </c>
      <c r="L3449" s="49">
        <v>1</v>
      </c>
    </row>
    <row r="3450" spans="1:12" x14ac:dyDescent="0.25">
      <c r="A3450" s="45">
        <f>C3450&amp;"."&amp;IFERROR(MID(E3450,FIND("(",E3450)+1,FIND(")",E3450)-FIND("(",E3450)-1),"")</f>
      </c>
      <c r="B3450" s="46" t="s">
        <v>1178</v>
      </c>
      <c r="C3450" s="46">
        <v>87152</v>
      </c>
      <c r="D3450" s="46" t="s">
        <v>5815</v>
      </c>
      <c r="E3450" s="46" t="s">
        <v>5816</v>
      </c>
      <c r="F3450" s="46" t="s">
        <v>26</v>
      </c>
      <c r="G3450" s="47">
        <v>0.77</v>
      </c>
      <c r="H3450" s="48">
        <v>2.617</v>
      </c>
      <c r="I3450" s="48">
        <v>7.852</v>
      </c>
      <c r="J3450" s="49">
        <v>3</v>
      </c>
      <c r="K3450" s="49">
        <v>0</v>
      </c>
      <c r="L3450" s="49">
        <v>3</v>
      </c>
    </row>
    <row r="3451" spans="1:12" x14ac:dyDescent="0.25">
      <c r="A3451" s="45">
        <f>C3451&amp;"."&amp;IFERROR(MID(E3451,FIND("(",E3451)+1,FIND(")",E3451)-FIND("(",E3451)-1),"")</f>
      </c>
      <c r="B3451" s="46" t="s">
        <v>1178</v>
      </c>
      <c r="C3451" s="46">
        <v>87153</v>
      </c>
      <c r="D3451" s="46" t="s">
        <v>5817</v>
      </c>
      <c r="E3451" s="46" t="s">
        <v>5818</v>
      </c>
      <c r="F3451" s="46" t="s">
        <v>26</v>
      </c>
      <c r="G3451" s="47">
        <v>4.08</v>
      </c>
      <c r="H3451" s="48">
        <v>11.842</v>
      </c>
      <c r="I3451" s="48">
        <v>11.842</v>
      </c>
      <c r="J3451" s="49">
        <v>1</v>
      </c>
      <c r="K3451" s="49">
        <v>0</v>
      </c>
      <c r="L3451" s="49">
        <v>1</v>
      </c>
    </row>
    <row r="3452" spans="1:12" x14ac:dyDescent="0.25">
      <c r="A3452" s="45">
        <f>C3452&amp;"."&amp;IFERROR(MID(E3452,FIND("(",E3452)+1,FIND(")",E3452)-FIND("(",E3452)-1),"")</f>
      </c>
      <c r="B3452" s="46" t="s">
        <v>1178</v>
      </c>
      <c r="C3452" s="46">
        <v>87153</v>
      </c>
      <c r="D3452" s="46" t="s">
        <v>5817</v>
      </c>
      <c r="E3452" s="46" t="s">
        <v>5819</v>
      </c>
      <c r="F3452" s="46" t="s">
        <v>26</v>
      </c>
      <c r="G3452" s="47">
        <v>4.08</v>
      </c>
      <c r="H3452" s="48">
        <v>12.435</v>
      </c>
      <c r="I3452" s="48">
        <v>24.869</v>
      </c>
      <c r="J3452" s="49">
        <v>2</v>
      </c>
      <c r="K3452" s="49">
        <v>0</v>
      </c>
      <c r="L3452" s="49">
        <v>2</v>
      </c>
    </row>
    <row r="3453" spans="1:12" x14ac:dyDescent="0.25">
      <c r="A3453" s="45">
        <f>C3453&amp;"."&amp;IFERROR(MID(E3453,FIND("(",E3453)+1,FIND(")",E3453)-FIND("(",E3453)-1),"")</f>
      </c>
      <c r="B3453" s="46" t="s">
        <v>1178</v>
      </c>
      <c r="C3453" s="46">
        <v>87154</v>
      </c>
      <c r="D3453" s="46" t="s">
        <v>5820</v>
      </c>
      <c r="E3453" s="46" t="s">
        <v>5821</v>
      </c>
      <c r="F3453" s="46" t="s">
        <v>26</v>
      </c>
      <c r="G3453" s="47">
        <v>9.61</v>
      </c>
      <c r="H3453" s="48">
        <v>62.901</v>
      </c>
      <c r="I3453" s="48">
        <v>62.901</v>
      </c>
      <c r="J3453" s="49">
        <v>1</v>
      </c>
      <c r="K3453" s="49">
        <v>0</v>
      </c>
      <c r="L3453" s="49">
        <v>1</v>
      </c>
    </row>
    <row r="3454" spans="1:12" x14ac:dyDescent="0.25">
      <c r="A3454" s="45">
        <f>C3454&amp;"."&amp;IFERROR(MID(E3454,FIND("(",E3454)+1,FIND(")",E3454)-FIND("(",E3454)-1),"")</f>
      </c>
      <c r="B3454" s="46" t="s">
        <v>1178</v>
      </c>
      <c r="C3454" s="46">
        <v>87154</v>
      </c>
      <c r="D3454" s="46" t="s">
        <v>5820</v>
      </c>
      <c r="E3454" s="46" t="s">
        <v>5822</v>
      </c>
      <c r="F3454" s="46" t="s">
        <v>26</v>
      </c>
      <c r="G3454" s="47">
        <v>9.61</v>
      </c>
      <c r="H3454" s="48">
        <v>27.851</v>
      </c>
      <c r="I3454" s="48">
        <v>111.405</v>
      </c>
      <c r="J3454" s="49">
        <v>4</v>
      </c>
      <c r="K3454" s="49">
        <v>0</v>
      </c>
      <c r="L3454" s="49">
        <v>4</v>
      </c>
    </row>
    <row r="3455" spans="1:12" x14ac:dyDescent="0.25">
      <c r="A3455" s="45">
        <f>C3455&amp;"."&amp;IFERROR(MID(E3455,FIND("(",E3455)+1,FIND(")",E3455)-FIND("(",E3455)-1),"")</f>
      </c>
      <c r="B3455" s="46" t="s">
        <v>1178</v>
      </c>
      <c r="C3455" s="46">
        <v>87155</v>
      </c>
      <c r="D3455" s="46" t="s">
        <v>5823</v>
      </c>
      <c r="E3455" s="46" t="s">
        <v>5824</v>
      </c>
      <c r="F3455" s="46" t="s">
        <v>26</v>
      </c>
      <c r="G3455" s="47">
        <v>9.61</v>
      </c>
      <c r="H3455" s="48">
        <v>26.676</v>
      </c>
      <c r="I3455" s="48">
        <v>80.029</v>
      </c>
      <c r="J3455" s="49">
        <v>3</v>
      </c>
      <c r="K3455" s="49">
        <v>1</v>
      </c>
      <c r="L3455" s="49">
        <v>2</v>
      </c>
    </row>
    <row r="3456" spans="1:12" x14ac:dyDescent="0.25">
      <c r="A3456" s="45">
        <f>C3456&amp;"."&amp;IFERROR(MID(E3456,FIND("(",E3456)+1,FIND(")",E3456)-FIND("(",E3456)-1),"")</f>
      </c>
      <c r="B3456" s="46" t="s">
        <v>1178</v>
      </c>
      <c r="C3456" s="46">
        <v>87156</v>
      </c>
      <c r="D3456" s="46" t="s">
        <v>5825</v>
      </c>
      <c r="E3456" s="46" t="s">
        <v>1248</v>
      </c>
      <c r="F3456" s="46" t="s">
        <v>26</v>
      </c>
      <c r="G3456" s="47">
        <v>1.11</v>
      </c>
      <c r="H3456" s="48">
        <v>2.875</v>
      </c>
      <c r="I3456" s="48">
        <v>11.501</v>
      </c>
      <c r="J3456" s="49">
        <v>4</v>
      </c>
      <c r="K3456" s="49">
        <v>0</v>
      </c>
      <c r="L3456" s="49">
        <v>4</v>
      </c>
    </row>
    <row r="3457" spans="1:12" x14ac:dyDescent="0.25">
      <c r="A3457" s="45">
        <f>C3457&amp;"."&amp;IFERROR(MID(E3457,FIND("(",E3457)+1,FIND(")",E3457)-FIND("(",E3457)-1),"")</f>
      </c>
      <c r="B3457" s="46" t="s">
        <v>1178</v>
      </c>
      <c r="C3457" s="46">
        <v>87159</v>
      </c>
      <c r="D3457" s="46" t="s">
        <v>5826</v>
      </c>
      <c r="E3457" s="46" t="s">
        <v>1248</v>
      </c>
      <c r="F3457" s="46" t="s">
        <v>26</v>
      </c>
      <c r="G3457" s="47">
        <v>0</v>
      </c>
      <c r="H3457" s="48">
        <v>5.279</v>
      </c>
      <c r="I3457" s="48">
        <v>5.279</v>
      </c>
      <c r="J3457" s="49">
        <v>1</v>
      </c>
      <c r="K3457" s="49">
        <v>0</v>
      </c>
      <c r="L3457" s="49">
        <v>1</v>
      </c>
    </row>
    <row r="3458" spans="1:12" x14ac:dyDescent="0.25">
      <c r="A3458" s="45">
        <f>C3458&amp;"."&amp;IFERROR(MID(E3458,FIND("(",E3458)+1,FIND(")",E3458)-FIND("(",E3458)-1),"")</f>
      </c>
      <c r="B3458" s="46" t="s">
        <v>1178</v>
      </c>
      <c r="C3458" s="46">
        <v>87164</v>
      </c>
      <c r="D3458" s="46" t="s">
        <v>752</v>
      </c>
      <c r="E3458" s="46" t="s">
        <v>5827</v>
      </c>
      <c r="F3458" s="46" t="s">
        <v>24</v>
      </c>
      <c r="G3458" s="47">
        <v>28.05</v>
      </c>
      <c r="H3458" s="48">
        <v>105.063</v>
      </c>
      <c r="I3458" s="48">
        <v>23849.284</v>
      </c>
      <c r="J3458" s="49">
        <v>227</v>
      </c>
      <c r="K3458" s="49">
        <v>68</v>
      </c>
      <c r="L3458" s="49">
        <v>159</v>
      </c>
    </row>
    <row r="3459" spans="1:12" x14ac:dyDescent="0.25">
      <c r="A3459" s="45">
        <f>C3459&amp;"."&amp;IFERROR(MID(E3459,FIND("(",E3459)+1,FIND(")",E3459)-FIND("(",E3459)-1),"")</f>
      </c>
      <c r="B3459" s="46" t="s">
        <v>1178</v>
      </c>
      <c r="C3459" s="46">
        <v>87164</v>
      </c>
      <c r="D3459" s="46" t="s">
        <v>752</v>
      </c>
      <c r="E3459" s="46" t="s">
        <v>5828</v>
      </c>
      <c r="F3459" s="46" t="s">
        <v>24</v>
      </c>
      <c r="G3459" s="47">
        <v>28.05</v>
      </c>
      <c r="H3459" s="48">
        <v>110.785</v>
      </c>
      <c r="I3459" s="48">
        <v>4985.333</v>
      </c>
      <c r="J3459" s="49">
        <v>45</v>
      </c>
      <c r="K3459" s="49">
        <v>45</v>
      </c>
      <c r="L3459" s="49">
        <v>0</v>
      </c>
    </row>
    <row r="3460" spans="1:12" x14ac:dyDescent="0.25">
      <c r="A3460" s="45">
        <f>C3460&amp;"."&amp;IFERROR(MID(E3460,FIND("(",E3460)+1,FIND(")",E3460)-FIND("(",E3460)-1),"")</f>
      </c>
      <c r="B3460" s="46" t="s">
        <v>1178</v>
      </c>
      <c r="C3460" s="46">
        <v>87164</v>
      </c>
      <c r="D3460" s="46" t="s">
        <v>752</v>
      </c>
      <c r="E3460" s="46" t="s">
        <v>5829</v>
      </c>
      <c r="F3460" s="46" t="s">
        <v>24</v>
      </c>
      <c r="G3460" s="47">
        <v>28.05</v>
      </c>
      <c r="H3460" s="48">
        <v>113.547</v>
      </c>
      <c r="I3460" s="48">
        <v>19984.286</v>
      </c>
      <c r="J3460" s="49">
        <v>176</v>
      </c>
      <c r="K3460" s="49">
        <v>47</v>
      </c>
      <c r="L3460" s="49">
        <v>129</v>
      </c>
    </row>
    <row r="3461" spans="1:12" x14ac:dyDescent="0.25">
      <c r="A3461" s="45">
        <f>C3461&amp;"."&amp;IFERROR(MID(E3461,FIND("(",E3461)+1,FIND(")",E3461)-FIND("(",E3461)-1),"")</f>
      </c>
      <c r="B3461" s="46" t="s">
        <v>1178</v>
      </c>
      <c r="C3461" s="46">
        <v>87168</v>
      </c>
      <c r="D3461" s="46" t="s">
        <v>462</v>
      </c>
      <c r="E3461" s="46" t="s">
        <v>5830</v>
      </c>
      <c r="F3461" s="46" t="s">
        <v>24</v>
      </c>
      <c r="G3461" s="47">
        <v>37.3</v>
      </c>
      <c r="H3461" s="48">
        <v>147.236</v>
      </c>
      <c r="I3461" s="48">
        <v>35925.582</v>
      </c>
      <c r="J3461" s="49">
        <v>244</v>
      </c>
      <c r="K3461" s="49">
        <v>97</v>
      </c>
      <c r="L3461" s="49">
        <v>147</v>
      </c>
    </row>
    <row r="3462" spans="1:12" x14ac:dyDescent="0.25">
      <c r="A3462" s="45">
        <f>C3462&amp;"."&amp;IFERROR(MID(E3462,FIND("(",E3462)+1,FIND(")",E3462)-FIND("(",E3462)-1),"")</f>
      </c>
      <c r="B3462" s="46" t="s">
        <v>1178</v>
      </c>
      <c r="C3462" s="46">
        <v>87168</v>
      </c>
      <c r="D3462" s="46" t="s">
        <v>462</v>
      </c>
      <c r="E3462" s="46" t="s">
        <v>5831</v>
      </c>
      <c r="F3462" s="46" t="s">
        <v>24</v>
      </c>
      <c r="G3462" s="47">
        <v>37.3</v>
      </c>
      <c r="H3462" s="48">
        <v>153.135</v>
      </c>
      <c r="I3462" s="48">
        <v>30473.923</v>
      </c>
      <c r="J3462" s="49">
        <v>199</v>
      </c>
      <c r="K3462" s="49">
        <v>78</v>
      </c>
      <c r="L3462" s="49">
        <v>121</v>
      </c>
    </row>
    <row r="3463" spans="1:12" x14ac:dyDescent="0.25">
      <c r="A3463" s="45">
        <f>C3463&amp;"."&amp;IFERROR(MID(E3463,FIND("(",E3463)+1,FIND(")",E3463)-FIND("(",E3463)-1),"")</f>
      </c>
      <c r="B3463" s="46" t="s">
        <v>1178</v>
      </c>
      <c r="C3463" s="46">
        <v>87172</v>
      </c>
      <c r="D3463" s="46" t="s">
        <v>5832</v>
      </c>
      <c r="E3463" s="46" t="s">
        <v>5833</v>
      </c>
      <c r="F3463" s="46" t="s">
        <v>26</v>
      </c>
      <c r="G3463" s="47">
        <v>0</v>
      </c>
      <c r="H3463" s="48">
        <v>13.826</v>
      </c>
      <c r="I3463" s="48">
        <v>13.826</v>
      </c>
      <c r="J3463" s="49">
        <v>1</v>
      </c>
      <c r="K3463" s="49">
        <v>1</v>
      </c>
      <c r="L3463" s="49">
        <v>0</v>
      </c>
    </row>
    <row r="3464" spans="1:12" x14ac:dyDescent="0.25">
      <c r="A3464" s="45">
        <f>C3464&amp;"."&amp;IFERROR(MID(E3464,FIND("(",E3464)+1,FIND(")",E3464)-FIND("(",E3464)-1),"")</f>
      </c>
      <c r="B3464" s="46" t="s">
        <v>1178</v>
      </c>
      <c r="C3464" s="46">
        <v>87173</v>
      </c>
      <c r="D3464" s="46" t="s">
        <v>5834</v>
      </c>
      <c r="E3464" s="46" t="s">
        <v>5835</v>
      </c>
      <c r="F3464" s="46" t="s">
        <v>26</v>
      </c>
      <c r="G3464" s="47">
        <v>15.7</v>
      </c>
      <c r="H3464" s="48">
        <v>55.113</v>
      </c>
      <c r="I3464" s="48">
        <v>165.339</v>
      </c>
      <c r="J3464" s="49">
        <v>3</v>
      </c>
      <c r="K3464" s="49">
        <v>1</v>
      </c>
      <c r="L3464" s="49">
        <v>2</v>
      </c>
    </row>
    <row r="3465" spans="1:12" x14ac:dyDescent="0.25">
      <c r="A3465" s="45">
        <f>C3465&amp;"."&amp;IFERROR(MID(E3465,FIND("(",E3465)+1,FIND(")",E3465)-FIND("(",E3465)-1),"")</f>
      </c>
      <c r="B3465" s="46" t="s">
        <v>1178</v>
      </c>
      <c r="C3465" s="46">
        <v>87173</v>
      </c>
      <c r="D3465" s="46" t="s">
        <v>5834</v>
      </c>
      <c r="E3465" s="46" t="s">
        <v>5836</v>
      </c>
      <c r="F3465" s="46" t="s">
        <v>26</v>
      </c>
      <c r="G3465" s="47">
        <v>15.7</v>
      </c>
      <c r="H3465" s="48">
        <v>63.351</v>
      </c>
      <c r="I3465" s="48">
        <v>63.351</v>
      </c>
      <c r="J3465" s="49">
        <v>1</v>
      </c>
      <c r="K3465" s="49">
        <v>1</v>
      </c>
      <c r="L3465" s="49">
        <v>0</v>
      </c>
    </row>
    <row r="3466" spans="1:12" x14ac:dyDescent="0.25">
      <c r="A3466" s="45">
        <f>C3466&amp;"."&amp;IFERROR(MID(E3466,FIND("(",E3466)+1,FIND(")",E3466)-FIND("(",E3466)-1),"")</f>
      </c>
      <c r="B3466" s="46" t="s">
        <v>1178</v>
      </c>
      <c r="C3466" s="46">
        <v>87178</v>
      </c>
      <c r="D3466" s="46" t="s">
        <v>5837</v>
      </c>
      <c r="E3466" s="46" t="s">
        <v>1248</v>
      </c>
      <c r="F3466" s="46" t="s">
        <v>1495</v>
      </c>
      <c r="G3466" s="47">
        <v>0</v>
      </c>
      <c r="H3466" s="48">
        <v>8.403</v>
      </c>
      <c r="I3466" s="48">
        <v>67.221</v>
      </c>
      <c r="J3466" s="49">
        <v>8</v>
      </c>
      <c r="K3466" s="49">
        <v>0</v>
      </c>
      <c r="L3466" s="49">
        <v>8</v>
      </c>
    </row>
    <row r="3467" spans="1:12" x14ac:dyDescent="0.25">
      <c r="A3467" s="45">
        <f>C3467&amp;"."&amp;IFERROR(MID(E3467,FIND("(",E3467)+1,FIND(")",E3467)-FIND("(",E3467)-1),"")</f>
      </c>
      <c r="B3467" s="46" t="s">
        <v>1178</v>
      </c>
      <c r="C3467" s="46">
        <v>87187</v>
      </c>
      <c r="D3467" s="46" t="s">
        <v>5838</v>
      </c>
      <c r="E3467" s="46" t="s">
        <v>5839</v>
      </c>
      <c r="F3467" s="46" t="s">
        <v>24</v>
      </c>
      <c r="G3467" s="47">
        <v>0.52</v>
      </c>
      <c r="H3467" s="48">
        <v>1.577</v>
      </c>
      <c r="I3467" s="48">
        <v>15.774</v>
      </c>
      <c r="J3467" s="49">
        <v>10</v>
      </c>
      <c r="K3467" s="49">
        <v>4</v>
      </c>
      <c r="L3467" s="49">
        <v>6</v>
      </c>
    </row>
    <row r="3468" spans="1:12" x14ac:dyDescent="0.25">
      <c r="A3468" s="45">
        <f>C3468&amp;"."&amp;IFERROR(MID(E3468,FIND("(",E3468)+1,FIND(")",E3468)-FIND("(",E3468)-1),"")</f>
      </c>
      <c r="B3468" s="46" t="s">
        <v>1178</v>
      </c>
      <c r="C3468" s="46">
        <v>87192</v>
      </c>
      <c r="D3468" s="46" t="s">
        <v>5840</v>
      </c>
      <c r="E3468" s="46" t="s">
        <v>5841</v>
      </c>
      <c r="F3468" s="46" t="s">
        <v>26</v>
      </c>
      <c r="G3468" s="47">
        <v>7.84</v>
      </c>
      <c r="H3468" s="48">
        <v>21.005</v>
      </c>
      <c r="I3468" s="48">
        <v>42.01</v>
      </c>
      <c r="J3468" s="49">
        <v>2</v>
      </c>
      <c r="K3468" s="49">
        <v>0</v>
      </c>
      <c r="L3468" s="49">
        <v>2</v>
      </c>
    </row>
    <row r="3469" spans="1:12" x14ac:dyDescent="0.25">
      <c r="A3469" s="45">
        <f>C3469&amp;"."&amp;IFERROR(MID(E3469,FIND("(",E3469)+1,FIND(")",E3469)-FIND("(",E3469)-1),"")</f>
      </c>
      <c r="B3469" s="46" t="s">
        <v>1178</v>
      </c>
      <c r="C3469" s="46">
        <v>87192</v>
      </c>
      <c r="D3469" s="46" t="s">
        <v>5840</v>
      </c>
      <c r="E3469" s="46" t="s">
        <v>5842</v>
      </c>
      <c r="F3469" s="46" t="s">
        <v>26</v>
      </c>
      <c r="G3469" s="47">
        <v>7.84</v>
      </c>
      <c r="H3469" s="48">
        <v>34.74</v>
      </c>
      <c r="I3469" s="48">
        <v>138.958</v>
      </c>
      <c r="J3469" s="49">
        <v>4</v>
      </c>
      <c r="K3469" s="49">
        <v>0</v>
      </c>
      <c r="L3469" s="49">
        <v>4</v>
      </c>
    </row>
    <row r="3470" spans="1:12" x14ac:dyDescent="0.25">
      <c r="A3470" s="45">
        <f>C3470&amp;"."&amp;IFERROR(MID(E3470,FIND("(",E3470)+1,FIND(")",E3470)-FIND("(",E3470)-1),"")</f>
      </c>
      <c r="B3470" s="46" t="s">
        <v>1178</v>
      </c>
      <c r="C3470" s="46">
        <v>87193</v>
      </c>
      <c r="D3470" s="46" t="s">
        <v>5843</v>
      </c>
      <c r="E3470" s="46" t="s">
        <v>5844</v>
      </c>
      <c r="F3470" s="46" t="s">
        <v>26</v>
      </c>
      <c r="G3470" s="47">
        <v>1.04</v>
      </c>
      <c r="H3470" s="48">
        <v>8.837</v>
      </c>
      <c r="I3470" s="48">
        <v>35.346</v>
      </c>
      <c r="J3470" s="49">
        <v>4</v>
      </c>
      <c r="K3470" s="49">
        <v>0</v>
      </c>
      <c r="L3470" s="49">
        <v>4</v>
      </c>
    </row>
    <row r="3471" spans="1:12" x14ac:dyDescent="0.25">
      <c r="A3471" s="45">
        <f>C3471&amp;"."&amp;IFERROR(MID(E3471,FIND("(",E3471)+1,FIND(")",E3471)-FIND("(",E3471)-1),"")</f>
      </c>
      <c r="B3471" s="46" t="s">
        <v>1178</v>
      </c>
      <c r="C3471" s="46">
        <v>87193</v>
      </c>
      <c r="D3471" s="46" t="s">
        <v>5843</v>
      </c>
      <c r="E3471" s="46" t="s">
        <v>5845</v>
      </c>
      <c r="F3471" s="46" t="s">
        <v>26</v>
      </c>
      <c r="G3471" s="47">
        <v>1.04</v>
      </c>
      <c r="H3471" s="48">
        <v>3.53</v>
      </c>
      <c r="I3471" s="48">
        <v>7.059</v>
      </c>
      <c r="J3471" s="49">
        <v>2</v>
      </c>
      <c r="K3471" s="49">
        <v>0</v>
      </c>
      <c r="L3471" s="49">
        <v>2</v>
      </c>
    </row>
    <row r="3472" spans="1:12" x14ac:dyDescent="0.25">
      <c r="A3472" s="45">
        <f>C3472&amp;"."&amp;IFERROR(MID(E3472,FIND("(",E3472)+1,FIND(")",E3472)-FIND("(",E3472)-1),"")</f>
      </c>
      <c r="B3472" s="46" t="s">
        <v>1178</v>
      </c>
      <c r="C3472" s="46">
        <v>87194</v>
      </c>
      <c r="D3472" s="46" t="s">
        <v>5846</v>
      </c>
      <c r="E3472" s="46" t="s">
        <v>5847</v>
      </c>
      <c r="F3472" s="46" t="s">
        <v>24</v>
      </c>
      <c r="G3472" s="47">
        <v>1.73</v>
      </c>
      <c r="H3472" s="48">
        <v>4.284</v>
      </c>
      <c r="I3472" s="48">
        <v>124.228</v>
      </c>
      <c r="J3472" s="49">
        <v>29</v>
      </c>
      <c r="K3472" s="49">
        <v>2</v>
      </c>
      <c r="L3472" s="49">
        <v>27</v>
      </c>
    </row>
    <row r="3473" spans="1:12" x14ac:dyDescent="0.25">
      <c r="A3473" s="45">
        <f>C3473&amp;"."&amp;IFERROR(MID(E3473,FIND("(",E3473)+1,FIND(")",E3473)-FIND("(",E3473)-1),"")</f>
      </c>
      <c r="B3473" s="46" t="s">
        <v>1178</v>
      </c>
      <c r="C3473" s="46">
        <v>87199</v>
      </c>
      <c r="D3473" s="46" t="s">
        <v>5848</v>
      </c>
      <c r="E3473" s="46" t="s">
        <v>5849</v>
      </c>
      <c r="F3473" s="46" t="s">
        <v>24</v>
      </c>
      <c r="G3473" s="47">
        <v>0.63</v>
      </c>
      <c r="H3473" s="48">
        <v>3.745</v>
      </c>
      <c r="I3473" s="48">
        <v>153.555</v>
      </c>
      <c r="J3473" s="49">
        <v>41</v>
      </c>
      <c r="K3473" s="49">
        <v>24</v>
      </c>
      <c r="L3473" s="49">
        <v>17</v>
      </c>
    </row>
    <row r="3474" spans="1:12" x14ac:dyDescent="0.25">
      <c r="A3474" s="45">
        <f>C3474&amp;"."&amp;IFERROR(MID(E3474,FIND("(",E3474)+1,FIND(")",E3474)-FIND("(",E3474)-1),"")</f>
      </c>
      <c r="B3474" s="46" t="s">
        <v>1178</v>
      </c>
      <c r="C3474" s="46">
        <v>87203</v>
      </c>
      <c r="D3474" s="46" t="s">
        <v>5850</v>
      </c>
      <c r="E3474" s="46" t="s">
        <v>5851</v>
      </c>
      <c r="F3474" s="46" t="s">
        <v>26</v>
      </c>
      <c r="G3474" s="47">
        <v>1.24</v>
      </c>
      <c r="H3474" s="48">
        <v>4.284</v>
      </c>
      <c r="I3474" s="48">
        <v>17.138</v>
      </c>
      <c r="J3474" s="49">
        <v>4</v>
      </c>
      <c r="K3474" s="49">
        <v>0</v>
      </c>
      <c r="L3474" s="49">
        <v>4</v>
      </c>
    </row>
    <row r="3475" spans="1:12" x14ac:dyDescent="0.25">
      <c r="A3475" s="45">
        <f>C3475&amp;"."&amp;IFERROR(MID(E3475,FIND("(",E3475)+1,FIND(")",E3475)-FIND("(",E3475)-1),"")</f>
      </c>
      <c r="B3475" s="46" t="s">
        <v>1178</v>
      </c>
      <c r="C3475" s="46">
        <v>87205</v>
      </c>
      <c r="D3475" s="46" t="s">
        <v>5852</v>
      </c>
      <c r="E3475" s="46" t="s">
        <v>5853</v>
      </c>
      <c r="F3475" s="46" t="s">
        <v>24</v>
      </c>
      <c r="G3475" s="47">
        <v>0.45</v>
      </c>
      <c r="H3475" s="48">
        <v>1.256</v>
      </c>
      <c r="I3475" s="48">
        <v>11.306</v>
      </c>
      <c r="J3475" s="49">
        <v>9</v>
      </c>
      <c r="K3475" s="49">
        <v>3</v>
      </c>
      <c r="L3475" s="49">
        <v>6</v>
      </c>
    </row>
    <row r="3476" spans="1:12" x14ac:dyDescent="0.25">
      <c r="A3476" s="45">
        <f>C3476&amp;"."&amp;IFERROR(MID(E3476,FIND("(",E3476)+1,FIND(")",E3476)-FIND("(",E3476)-1),"")</f>
      </c>
      <c r="B3476" s="46" t="s">
        <v>1178</v>
      </c>
      <c r="C3476" s="46">
        <v>87209</v>
      </c>
      <c r="D3476" s="46" t="s">
        <v>5854</v>
      </c>
      <c r="E3476" s="46" t="s">
        <v>5855</v>
      </c>
      <c r="F3476" s="46" t="s">
        <v>24</v>
      </c>
      <c r="G3476" s="47">
        <v>0.19</v>
      </c>
      <c r="H3476" s="48">
        <v>1.042</v>
      </c>
      <c r="I3476" s="48">
        <v>29.182</v>
      </c>
      <c r="J3476" s="49">
        <v>28</v>
      </c>
      <c r="K3476" s="49">
        <v>24</v>
      </c>
      <c r="L3476" s="49">
        <v>4</v>
      </c>
    </row>
    <row r="3477" spans="1:12" x14ac:dyDescent="0.25">
      <c r="A3477" s="45">
        <f>C3477&amp;"."&amp;IFERROR(MID(E3477,FIND("(",E3477)+1,FIND(")",E3477)-FIND("(",E3477)-1),"")</f>
      </c>
      <c r="B3477" s="46" t="s">
        <v>1178</v>
      </c>
      <c r="C3477" s="46">
        <v>87212</v>
      </c>
      <c r="D3477" s="46" t="s">
        <v>5856</v>
      </c>
      <c r="E3477" s="46" t="s">
        <v>1248</v>
      </c>
      <c r="F3477" s="46" t="s">
        <v>24</v>
      </c>
      <c r="G3477" s="47">
        <v>0</v>
      </c>
      <c r="H3477" s="48">
        <v>18.215</v>
      </c>
      <c r="I3477" s="48">
        <v>18.215</v>
      </c>
      <c r="J3477" s="49">
        <v>1</v>
      </c>
      <c r="K3477" s="49">
        <v>0</v>
      </c>
      <c r="L3477" s="49">
        <v>1</v>
      </c>
    </row>
    <row r="3478" spans="1:12" x14ac:dyDescent="0.25">
      <c r="A3478" s="45">
        <f>C3478&amp;"."&amp;IFERROR(MID(E3478,FIND("(",E3478)+1,FIND(")",E3478)-FIND("(",E3478)-1),"")</f>
      </c>
      <c r="B3478" s="46" t="s">
        <v>1178</v>
      </c>
      <c r="C3478" s="46">
        <v>87214</v>
      </c>
      <c r="D3478" s="46" t="s">
        <v>5857</v>
      </c>
      <c r="E3478" s="46" t="s">
        <v>5858</v>
      </c>
      <c r="F3478" s="46" t="s">
        <v>24</v>
      </c>
      <c r="G3478" s="47">
        <v>2.68</v>
      </c>
      <c r="H3478" s="48">
        <v>7.709</v>
      </c>
      <c r="I3478" s="48">
        <v>138.76</v>
      </c>
      <c r="J3478" s="49">
        <v>18</v>
      </c>
      <c r="K3478" s="49">
        <v>2</v>
      </c>
      <c r="L3478" s="49">
        <v>16</v>
      </c>
    </row>
    <row r="3479" spans="1:12" x14ac:dyDescent="0.25">
      <c r="A3479" s="45">
        <f>C3479&amp;"."&amp;IFERROR(MID(E3479,FIND("(",E3479)+1,FIND(")",E3479)-FIND("(",E3479)-1),"")</f>
      </c>
      <c r="B3479" s="46" t="s">
        <v>1178</v>
      </c>
      <c r="C3479" s="46">
        <v>87218</v>
      </c>
      <c r="D3479" s="46" t="s">
        <v>5859</v>
      </c>
      <c r="E3479" s="46" t="s">
        <v>5860</v>
      </c>
      <c r="F3479" s="46" t="s">
        <v>26</v>
      </c>
      <c r="G3479" s="47">
        <v>4.42</v>
      </c>
      <c r="H3479" s="48">
        <v>14.054</v>
      </c>
      <c r="I3479" s="48">
        <v>56.217</v>
      </c>
      <c r="J3479" s="49">
        <v>4</v>
      </c>
      <c r="K3479" s="49">
        <v>0</v>
      </c>
      <c r="L3479" s="49">
        <v>4</v>
      </c>
    </row>
    <row r="3480" spans="1:12" x14ac:dyDescent="0.25">
      <c r="A3480" s="45">
        <f>C3480&amp;"."&amp;IFERROR(MID(E3480,FIND("(",E3480)+1,FIND(")",E3480)-FIND("(",E3480)-1),"")</f>
      </c>
      <c r="B3480" s="46" t="s">
        <v>1178</v>
      </c>
      <c r="C3480" s="46">
        <v>87220</v>
      </c>
      <c r="D3480" s="46" t="s">
        <v>5861</v>
      </c>
      <c r="E3480" s="46" t="s">
        <v>5862</v>
      </c>
      <c r="F3480" s="46" t="s">
        <v>24</v>
      </c>
      <c r="G3480" s="47">
        <v>2.68</v>
      </c>
      <c r="H3480" s="48">
        <v>7.695</v>
      </c>
      <c r="I3480" s="48">
        <v>84.642</v>
      </c>
      <c r="J3480" s="49">
        <v>11</v>
      </c>
      <c r="K3480" s="49">
        <v>2</v>
      </c>
      <c r="L3480" s="49">
        <v>9</v>
      </c>
    </row>
    <row r="3481" spans="1:12" x14ac:dyDescent="0.25">
      <c r="A3481" s="45">
        <f>C3481&amp;"."&amp;IFERROR(MID(E3481,FIND("(",E3481)+1,FIND(")",E3481)-FIND("(",E3481)-1),"")</f>
      </c>
      <c r="B3481" s="46" t="s">
        <v>1178</v>
      </c>
      <c r="C3481" s="46">
        <v>87222</v>
      </c>
      <c r="D3481" s="46" t="s">
        <v>5863</v>
      </c>
      <c r="E3481" s="46" t="s">
        <v>1248</v>
      </c>
      <c r="F3481" s="46" t="s">
        <v>1495</v>
      </c>
      <c r="G3481" s="47">
        <v>0</v>
      </c>
      <c r="H3481" s="48">
        <v>0.458</v>
      </c>
      <c r="I3481" s="48">
        <v>9.153</v>
      </c>
      <c r="J3481" s="49">
        <v>20</v>
      </c>
      <c r="K3481" s="49">
        <v>0</v>
      </c>
      <c r="L3481" s="49">
        <v>20</v>
      </c>
    </row>
    <row r="3482" spans="1:12" x14ac:dyDescent="0.25">
      <c r="A3482" s="45">
        <f>C3482&amp;"."&amp;IFERROR(MID(E3482,FIND("(",E3482)+1,FIND(")",E3482)-FIND("(",E3482)-1),"")</f>
      </c>
      <c r="B3482" s="46" t="s">
        <v>1178</v>
      </c>
      <c r="C3482" s="46">
        <v>87227</v>
      </c>
      <c r="D3482" s="46" t="s">
        <v>5864</v>
      </c>
      <c r="E3482" s="46" t="s">
        <v>5865</v>
      </c>
      <c r="F3482" s="46" t="s">
        <v>26</v>
      </c>
      <c r="G3482" s="47">
        <v>1.87</v>
      </c>
      <c r="H3482" s="48">
        <v>5.162</v>
      </c>
      <c r="I3482" s="48">
        <v>15.487</v>
      </c>
      <c r="J3482" s="49">
        <v>3</v>
      </c>
      <c r="K3482" s="49">
        <v>0</v>
      </c>
      <c r="L3482" s="49">
        <v>3</v>
      </c>
    </row>
    <row r="3483" spans="1:12" x14ac:dyDescent="0.25">
      <c r="A3483" s="45">
        <f>C3483&amp;"."&amp;IFERROR(MID(E3483,FIND("(",E3483)+1,FIND(")",E3483)-FIND("(",E3483)-1),"")</f>
      </c>
      <c r="B3483" s="46" t="s">
        <v>1178</v>
      </c>
      <c r="C3483" s="46">
        <v>87228</v>
      </c>
      <c r="D3483" s="46" t="s">
        <v>5866</v>
      </c>
      <c r="E3483" s="46" t="s">
        <v>5867</v>
      </c>
      <c r="F3483" s="46" t="s">
        <v>24</v>
      </c>
      <c r="G3483" s="47">
        <v>2.68</v>
      </c>
      <c r="H3483" s="48">
        <v>7.695</v>
      </c>
      <c r="I3483" s="48">
        <v>84.642</v>
      </c>
      <c r="J3483" s="49">
        <v>11</v>
      </c>
      <c r="K3483" s="49">
        <v>2</v>
      </c>
      <c r="L3483" s="49">
        <v>9</v>
      </c>
    </row>
    <row r="3484" spans="1:12" x14ac:dyDescent="0.25">
      <c r="A3484" s="45">
        <f>C3484&amp;"."&amp;IFERROR(MID(E3484,FIND("(",E3484)+1,FIND(")",E3484)-FIND("(",E3484)-1),"")</f>
      </c>
      <c r="B3484" s="46" t="s">
        <v>1178</v>
      </c>
      <c r="C3484" s="46">
        <v>87236</v>
      </c>
      <c r="D3484" s="46" t="s">
        <v>5868</v>
      </c>
      <c r="E3484" s="46" t="s">
        <v>5869</v>
      </c>
      <c r="F3484" s="46" t="s">
        <v>24</v>
      </c>
      <c r="G3484" s="47">
        <v>2.68</v>
      </c>
      <c r="H3484" s="48">
        <v>7.695</v>
      </c>
      <c r="I3484" s="48">
        <v>92.337</v>
      </c>
      <c r="J3484" s="49">
        <v>12</v>
      </c>
      <c r="K3484" s="49">
        <v>2</v>
      </c>
      <c r="L3484" s="49">
        <v>10</v>
      </c>
    </row>
    <row r="3485" spans="1:12" x14ac:dyDescent="0.25">
      <c r="A3485" s="45">
        <f>C3485&amp;"."&amp;IFERROR(MID(E3485,FIND("(",E3485)+1,FIND(")",E3485)-FIND("(",E3485)-1),"")</f>
      </c>
      <c r="B3485" s="46" t="s">
        <v>1178</v>
      </c>
      <c r="C3485" s="46">
        <v>87238</v>
      </c>
      <c r="D3485" s="46" t="s">
        <v>5870</v>
      </c>
      <c r="E3485" s="46" t="s">
        <v>1248</v>
      </c>
      <c r="F3485" s="46" t="s">
        <v>1495</v>
      </c>
      <c r="G3485" s="47">
        <v>0</v>
      </c>
      <c r="H3485" s="48">
        <v>3.151</v>
      </c>
      <c r="I3485" s="48">
        <v>141.786</v>
      </c>
      <c r="J3485" s="49">
        <v>45</v>
      </c>
      <c r="K3485" s="49">
        <v>0</v>
      </c>
      <c r="L3485" s="49">
        <v>45</v>
      </c>
    </row>
    <row r="3486" spans="1:12" x14ac:dyDescent="0.25">
      <c r="A3486" s="45">
        <f>C3486&amp;"."&amp;IFERROR(MID(E3486,FIND("(",E3486)+1,FIND(")",E3486)-FIND("(",E3486)-1),"")</f>
      </c>
      <c r="B3486" s="46" t="s">
        <v>1178</v>
      </c>
      <c r="C3486" s="46">
        <v>87254</v>
      </c>
      <c r="D3486" s="46" t="s">
        <v>5871</v>
      </c>
      <c r="E3486" s="46" t="s">
        <v>5872</v>
      </c>
      <c r="F3486" s="46" t="s">
        <v>24</v>
      </c>
      <c r="G3486" s="47">
        <v>0.37</v>
      </c>
      <c r="H3486" s="48">
        <v>1.307</v>
      </c>
      <c r="I3486" s="48">
        <v>56.191</v>
      </c>
      <c r="J3486" s="49">
        <v>43</v>
      </c>
      <c r="K3486" s="49">
        <v>28</v>
      </c>
      <c r="L3486" s="49">
        <v>15</v>
      </c>
    </row>
    <row r="3487" spans="1:12" x14ac:dyDescent="0.25">
      <c r="A3487" s="45">
        <f>C3487&amp;"."&amp;IFERROR(MID(E3487,FIND("(",E3487)+1,FIND(")",E3487)-FIND("(",E3487)-1),"")</f>
      </c>
      <c r="B3487" s="46" t="s">
        <v>1178</v>
      </c>
      <c r="C3487" s="46">
        <v>87255</v>
      </c>
      <c r="D3487" s="46" t="s">
        <v>5873</v>
      </c>
      <c r="E3487" s="46" t="s">
        <v>1248</v>
      </c>
      <c r="F3487" s="46" t="s">
        <v>1495</v>
      </c>
      <c r="G3487" s="47">
        <v>0</v>
      </c>
      <c r="H3487" s="48">
        <v>37.118</v>
      </c>
      <c r="I3487" s="48">
        <v>148.473</v>
      </c>
      <c r="J3487" s="49">
        <v>4</v>
      </c>
      <c r="K3487" s="49">
        <v>1</v>
      </c>
      <c r="L3487" s="49">
        <v>3</v>
      </c>
    </row>
    <row r="3488" spans="1:12" x14ac:dyDescent="0.25">
      <c r="A3488" s="45">
        <f>C3488&amp;"."&amp;IFERROR(MID(E3488,FIND("(",E3488)+1,FIND(")",E3488)-FIND("(",E3488)-1),"")</f>
      </c>
      <c r="B3488" s="46" t="s">
        <v>1178</v>
      </c>
      <c r="C3488" s="46">
        <v>87260</v>
      </c>
      <c r="D3488" s="46" t="s">
        <v>5874</v>
      </c>
      <c r="E3488" s="46" t="s">
        <v>1248</v>
      </c>
      <c r="F3488" s="46" t="s">
        <v>1495</v>
      </c>
      <c r="G3488" s="47">
        <v>0</v>
      </c>
      <c r="H3488" s="48">
        <v>7.349</v>
      </c>
      <c r="I3488" s="48">
        <v>29.395</v>
      </c>
      <c r="J3488" s="49">
        <v>4</v>
      </c>
      <c r="K3488" s="49">
        <v>0</v>
      </c>
      <c r="L3488" s="49">
        <v>4</v>
      </c>
    </row>
    <row r="3489" spans="1:12" x14ac:dyDescent="0.25">
      <c r="A3489" s="45">
        <f>C3489&amp;"."&amp;IFERROR(MID(E3489,FIND("(",E3489)+1,FIND(")",E3489)-FIND("(",E3489)-1),"")</f>
      </c>
      <c r="B3489" s="46" t="s">
        <v>1178</v>
      </c>
      <c r="C3489" s="46">
        <v>87274</v>
      </c>
      <c r="D3489" s="46" t="s">
        <v>5875</v>
      </c>
      <c r="E3489" s="46" t="s">
        <v>5876</v>
      </c>
      <c r="F3489" s="46" t="s">
        <v>26</v>
      </c>
      <c r="G3489" s="47">
        <v>9.52</v>
      </c>
      <c r="H3489" s="48">
        <v>24.41</v>
      </c>
      <c r="I3489" s="48">
        <v>73.229</v>
      </c>
      <c r="J3489" s="49">
        <v>3</v>
      </c>
      <c r="K3489" s="49">
        <v>0</v>
      </c>
      <c r="L3489" s="49">
        <v>3</v>
      </c>
    </row>
    <row r="3490" spans="1:12" x14ac:dyDescent="0.25">
      <c r="A3490" s="45">
        <f>C3490&amp;"."&amp;IFERROR(MID(E3490,FIND("(",E3490)+1,FIND(")",E3490)-FIND("(",E3490)-1),"")</f>
      </c>
      <c r="B3490" s="46" t="s">
        <v>1178</v>
      </c>
      <c r="C3490" s="46">
        <v>87275</v>
      </c>
      <c r="D3490" s="46" t="s">
        <v>5877</v>
      </c>
      <c r="E3490" s="46" t="s">
        <v>5878</v>
      </c>
      <c r="F3490" s="46" t="s">
        <v>24</v>
      </c>
      <c r="G3490" s="47">
        <v>0.37</v>
      </c>
      <c r="H3490" s="48">
        <v>1.307</v>
      </c>
      <c r="I3490" s="48">
        <v>56.191</v>
      </c>
      <c r="J3490" s="49">
        <v>43</v>
      </c>
      <c r="K3490" s="49">
        <v>28</v>
      </c>
      <c r="L3490" s="49">
        <v>15</v>
      </c>
    </row>
    <row r="3491" spans="1:12" x14ac:dyDescent="0.25">
      <c r="A3491" s="45">
        <f>C3491&amp;"."&amp;IFERROR(MID(E3491,FIND("(",E3491)+1,FIND(")",E3491)-FIND("(",E3491)-1),"")</f>
      </c>
      <c r="B3491" s="46" t="s">
        <v>1178</v>
      </c>
      <c r="C3491" s="46">
        <v>87287</v>
      </c>
      <c r="D3491" s="46" t="s">
        <v>5879</v>
      </c>
      <c r="E3491" s="46" t="s">
        <v>5880</v>
      </c>
      <c r="F3491" s="46" t="s">
        <v>24</v>
      </c>
      <c r="G3491" s="47">
        <v>7.58</v>
      </c>
      <c r="H3491" s="48">
        <v>22.809</v>
      </c>
      <c r="I3491" s="48">
        <v>319.326</v>
      </c>
      <c r="J3491" s="49">
        <v>14</v>
      </c>
      <c r="K3491" s="49">
        <v>2</v>
      </c>
      <c r="L3491" s="49">
        <v>12</v>
      </c>
    </row>
    <row r="3492" spans="1:12" x14ac:dyDescent="0.25">
      <c r="A3492" s="45">
        <f>C3492&amp;"."&amp;IFERROR(MID(E3492,FIND("(",E3492)+1,FIND(")",E3492)-FIND("(",E3492)-1),"")</f>
      </c>
      <c r="B3492" s="46" t="s">
        <v>1178</v>
      </c>
      <c r="C3492" s="46">
        <v>87289</v>
      </c>
      <c r="D3492" s="46" t="s">
        <v>5881</v>
      </c>
      <c r="E3492" s="46" t="s">
        <v>5882</v>
      </c>
      <c r="F3492" s="46" t="s">
        <v>24</v>
      </c>
      <c r="G3492" s="47">
        <v>0.2</v>
      </c>
      <c r="H3492" s="48">
        <v>1.21</v>
      </c>
      <c r="I3492" s="48">
        <v>29.045</v>
      </c>
      <c r="J3492" s="49">
        <v>24</v>
      </c>
      <c r="K3492" s="49">
        <v>4</v>
      </c>
      <c r="L3492" s="49">
        <v>20</v>
      </c>
    </row>
    <row r="3493" spans="1:12" x14ac:dyDescent="0.25">
      <c r="A3493" s="45">
        <f>C3493&amp;"."&amp;IFERROR(MID(E3493,FIND("(",E3493)+1,FIND(")",E3493)-FIND("(",E3493)-1),"")</f>
      </c>
      <c r="B3493" s="46" t="s">
        <v>1178</v>
      </c>
      <c r="C3493" s="46">
        <v>87290</v>
      </c>
      <c r="D3493" s="46" t="s">
        <v>5883</v>
      </c>
      <c r="E3493" s="46" t="s">
        <v>1248</v>
      </c>
      <c r="F3493" s="46" t="s">
        <v>24</v>
      </c>
      <c r="G3493" s="47">
        <v>0.2</v>
      </c>
      <c r="H3493" s="48">
        <v>0.906</v>
      </c>
      <c r="I3493" s="48">
        <v>12.691</v>
      </c>
      <c r="J3493" s="49">
        <v>14</v>
      </c>
      <c r="K3493" s="49">
        <v>4</v>
      </c>
      <c r="L3493" s="49">
        <v>10</v>
      </c>
    </row>
    <row r="3494" spans="1:12" x14ac:dyDescent="0.25">
      <c r="A3494" s="45">
        <f>C3494&amp;"."&amp;IFERROR(MID(E3494,FIND("(",E3494)+1,FIND(")",E3494)-FIND("(",E3494)-1),"")</f>
      </c>
      <c r="B3494" s="46" t="s">
        <v>1178</v>
      </c>
      <c r="C3494" s="46">
        <v>87294</v>
      </c>
      <c r="D3494" s="46" t="s">
        <v>5884</v>
      </c>
      <c r="E3494" s="46" t="s">
        <v>5885</v>
      </c>
      <c r="F3494" s="46" t="s">
        <v>24</v>
      </c>
      <c r="G3494" s="47">
        <v>4.48</v>
      </c>
      <c r="H3494" s="48">
        <v>21.897</v>
      </c>
      <c r="I3494" s="48">
        <v>350.348</v>
      </c>
      <c r="J3494" s="49">
        <v>16</v>
      </c>
      <c r="K3494" s="49">
        <v>2</v>
      </c>
      <c r="L3494" s="49">
        <v>14</v>
      </c>
    </row>
    <row r="3495" spans="1:12" x14ac:dyDescent="0.25">
      <c r="A3495" s="45">
        <f>C3495&amp;"."&amp;IFERROR(MID(E3495,FIND("(",E3495)+1,FIND(")",E3495)-FIND("(",E3495)-1),"")</f>
      </c>
      <c r="B3495" s="46" t="s">
        <v>1178</v>
      </c>
      <c r="C3495" s="46">
        <v>87295</v>
      </c>
      <c r="D3495" s="46" t="s">
        <v>5886</v>
      </c>
      <c r="E3495" s="46" t="s">
        <v>5887</v>
      </c>
      <c r="F3495" s="46" t="s">
        <v>24</v>
      </c>
      <c r="G3495" s="47">
        <v>0.55</v>
      </c>
      <c r="H3495" s="48">
        <v>1.351</v>
      </c>
      <c r="I3495" s="48">
        <v>16.217</v>
      </c>
      <c r="J3495" s="49">
        <v>12</v>
      </c>
      <c r="K3495" s="49">
        <v>2</v>
      </c>
      <c r="L3495" s="49">
        <v>10</v>
      </c>
    </row>
    <row r="3496" spans="1:12" x14ac:dyDescent="0.25">
      <c r="A3496" s="45">
        <f>C3496&amp;"."&amp;IFERROR(MID(E3496,FIND("(",E3496)+1,FIND(")",E3496)-FIND("(",E3496)-1),"")</f>
      </c>
      <c r="B3496" s="46" t="s">
        <v>1178</v>
      </c>
      <c r="C3496" s="46">
        <v>87299</v>
      </c>
      <c r="D3496" s="46" t="s">
        <v>5888</v>
      </c>
      <c r="E3496" s="46" t="s">
        <v>5889</v>
      </c>
      <c r="F3496" s="46" t="s">
        <v>24</v>
      </c>
      <c r="G3496" s="47">
        <v>0.22</v>
      </c>
      <c r="H3496" s="48">
        <v>0.886</v>
      </c>
      <c r="I3496" s="48">
        <v>31.012</v>
      </c>
      <c r="J3496" s="49">
        <v>35</v>
      </c>
      <c r="K3496" s="49">
        <v>24</v>
      </c>
      <c r="L3496" s="49">
        <v>11</v>
      </c>
    </row>
    <row r="3497" spans="1:12" x14ac:dyDescent="0.25">
      <c r="A3497" s="45">
        <f>C3497&amp;"."&amp;IFERROR(MID(E3497,FIND("(",E3497)+1,FIND(")",E3497)-FIND("(",E3497)-1),"")</f>
      </c>
      <c r="B3497" s="46" t="s">
        <v>1178</v>
      </c>
      <c r="C3497" s="46">
        <v>87306</v>
      </c>
      <c r="D3497" s="46" t="s">
        <v>5890</v>
      </c>
      <c r="E3497" s="46" t="s">
        <v>1248</v>
      </c>
      <c r="F3497" s="46" t="s">
        <v>1495</v>
      </c>
      <c r="G3497" s="47">
        <v>0</v>
      </c>
      <c r="H3497" s="48">
        <v>8.843</v>
      </c>
      <c r="I3497" s="48">
        <v>53.057</v>
      </c>
      <c r="J3497" s="49">
        <v>6</v>
      </c>
      <c r="K3497" s="49">
        <v>0</v>
      </c>
      <c r="L3497" s="49">
        <v>6</v>
      </c>
    </row>
    <row r="3498" spans="1:12" x14ac:dyDescent="0.25">
      <c r="A3498" s="45">
        <f>C3498&amp;"."&amp;IFERROR(MID(E3498,FIND("(",E3498)+1,FIND(")",E3498)-FIND("(",E3498)-1),"")</f>
      </c>
      <c r="B3498" s="46" t="s">
        <v>1178</v>
      </c>
      <c r="C3498" s="46">
        <v>87309</v>
      </c>
      <c r="D3498" s="46" t="s">
        <v>5891</v>
      </c>
      <c r="E3498" s="46" t="s">
        <v>5892</v>
      </c>
      <c r="F3498" s="46" t="s">
        <v>24</v>
      </c>
      <c r="G3498" s="47">
        <v>0.46</v>
      </c>
      <c r="H3498" s="48">
        <v>2.583</v>
      </c>
      <c r="I3498" s="48">
        <v>43.907</v>
      </c>
      <c r="J3498" s="49">
        <v>17</v>
      </c>
      <c r="K3498" s="49">
        <v>4</v>
      </c>
      <c r="L3498" s="49">
        <v>13</v>
      </c>
    </row>
    <row r="3499" spans="1:12" x14ac:dyDescent="0.25">
      <c r="A3499" s="45">
        <f>C3499&amp;"."&amp;IFERROR(MID(E3499,FIND("(",E3499)+1,FIND(")",E3499)-FIND("(",E3499)-1),"")</f>
      </c>
      <c r="B3499" s="46" t="s">
        <v>1178</v>
      </c>
      <c r="C3499" s="46">
        <v>87317</v>
      </c>
      <c r="D3499" s="46" t="s">
        <v>5893</v>
      </c>
      <c r="E3499" s="46" t="s">
        <v>5894</v>
      </c>
      <c r="F3499" s="46" t="s">
        <v>24</v>
      </c>
      <c r="G3499" s="47">
        <v>0.81</v>
      </c>
      <c r="H3499" s="48">
        <v>3.578</v>
      </c>
      <c r="I3499" s="48">
        <v>50.093</v>
      </c>
      <c r="J3499" s="49">
        <v>14</v>
      </c>
      <c r="K3499" s="49">
        <v>2</v>
      </c>
      <c r="L3499" s="49">
        <v>12</v>
      </c>
    </row>
    <row r="3500" spans="1:12" x14ac:dyDescent="0.25">
      <c r="A3500" s="45">
        <f>C3500&amp;"."&amp;IFERROR(MID(E3500,FIND("(",E3500)+1,FIND(")",E3500)-FIND("(",E3500)-1),"")</f>
      </c>
      <c r="B3500" s="46" t="s">
        <v>1178</v>
      </c>
      <c r="C3500" s="46">
        <v>87328</v>
      </c>
      <c r="D3500" s="46" t="s">
        <v>5895</v>
      </c>
      <c r="E3500" s="46" t="s">
        <v>5896</v>
      </c>
      <c r="F3500" s="46" t="s">
        <v>24</v>
      </c>
      <c r="G3500" s="47">
        <v>2.1</v>
      </c>
      <c r="H3500" s="48">
        <v>4.967</v>
      </c>
      <c r="I3500" s="48">
        <v>34.766</v>
      </c>
      <c r="J3500" s="49">
        <v>7</v>
      </c>
      <c r="K3500" s="49">
        <v>0</v>
      </c>
      <c r="L3500" s="49">
        <v>7</v>
      </c>
    </row>
    <row r="3501" spans="1:12" x14ac:dyDescent="0.25">
      <c r="A3501" s="45">
        <f>C3501&amp;"."&amp;IFERROR(MID(E3501,FIND("(",E3501)+1,FIND(")",E3501)-FIND("(",E3501)-1),"")</f>
      </c>
      <c r="B3501" s="46" t="s">
        <v>1178</v>
      </c>
      <c r="C3501" s="46">
        <v>87330</v>
      </c>
      <c r="D3501" s="46" t="s">
        <v>5897</v>
      </c>
      <c r="E3501" s="46" t="s">
        <v>5898</v>
      </c>
      <c r="F3501" s="46" t="s">
        <v>24</v>
      </c>
      <c r="G3501" s="47">
        <v>4.56</v>
      </c>
      <c r="H3501" s="48">
        <v>14.462</v>
      </c>
      <c r="I3501" s="48">
        <v>115.696</v>
      </c>
      <c r="J3501" s="49">
        <v>8</v>
      </c>
      <c r="K3501" s="49">
        <v>0</v>
      </c>
      <c r="L3501" s="49">
        <v>8</v>
      </c>
    </row>
    <row r="3502" spans="1:12" x14ac:dyDescent="0.25">
      <c r="A3502" s="45">
        <f>C3502&amp;"."&amp;IFERROR(MID(E3502,FIND("(",E3502)+1,FIND(")",E3502)-FIND("(",E3502)-1),"")</f>
      </c>
      <c r="B3502" s="46" t="s">
        <v>1178</v>
      </c>
      <c r="C3502" s="46">
        <v>87330</v>
      </c>
      <c r="D3502" s="46" t="s">
        <v>5897</v>
      </c>
      <c r="E3502" s="46" t="s">
        <v>5899</v>
      </c>
      <c r="F3502" s="46" t="s">
        <v>24</v>
      </c>
      <c r="G3502" s="47">
        <v>4.56</v>
      </c>
      <c r="H3502" s="48">
        <v>13.705</v>
      </c>
      <c r="I3502" s="48">
        <v>95.933</v>
      </c>
      <c r="J3502" s="49">
        <v>7</v>
      </c>
      <c r="K3502" s="49">
        <v>0</v>
      </c>
      <c r="L3502" s="49">
        <v>7</v>
      </c>
    </row>
    <row r="3503" spans="1:12" x14ac:dyDescent="0.25">
      <c r="A3503" s="45">
        <f>C3503&amp;"."&amp;IFERROR(MID(E3503,FIND("(",E3503)+1,FIND(")",E3503)-FIND("(",E3503)-1),"")</f>
      </c>
      <c r="B3503" s="46" t="s">
        <v>1178</v>
      </c>
      <c r="C3503" s="46">
        <v>87331</v>
      </c>
      <c r="D3503" s="46" t="s">
        <v>5900</v>
      </c>
      <c r="E3503" s="46" t="s">
        <v>5901</v>
      </c>
      <c r="F3503" s="46" t="s">
        <v>24</v>
      </c>
      <c r="G3503" s="47">
        <v>4.56</v>
      </c>
      <c r="H3503" s="48">
        <v>14.462</v>
      </c>
      <c r="I3503" s="48">
        <v>115.696</v>
      </c>
      <c r="J3503" s="49">
        <v>8</v>
      </c>
      <c r="K3503" s="49">
        <v>0</v>
      </c>
      <c r="L3503" s="49">
        <v>8</v>
      </c>
    </row>
    <row r="3504" spans="1:12" x14ac:dyDescent="0.25">
      <c r="A3504" s="45">
        <f>C3504&amp;"."&amp;IFERROR(MID(E3504,FIND("(",E3504)+1,FIND(")",E3504)-FIND("(",E3504)-1),"")</f>
      </c>
      <c r="B3504" s="46" t="s">
        <v>1178</v>
      </c>
      <c r="C3504" s="46">
        <v>87331</v>
      </c>
      <c r="D3504" s="46" t="s">
        <v>5900</v>
      </c>
      <c r="E3504" s="46" t="s">
        <v>5902</v>
      </c>
      <c r="F3504" s="46" t="s">
        <v>24</v>
      </c>
      <c r="G3504" s="47">
        <v>4.56</v>
      </c>
      <c r="H3504" s="48">
        <v>13.705</v>
      </c>
      <c r="I3504" s="48">
        <v>95.933</v>
      </c>
      <c r="J3504" s="49">
        <v>7</v>
      </c>
      <c r="K3504" s="49">
        <v>0</v>
      </c>
      <c r="L3504" s="49">
        <v>7</v>
      </c>
    </row>
    <row r="3505" spans="1:12" x14ac:dyDescent="0.25">
      <c r="A3505" s="45">
        <f>C3505&amp;"."&amp;IFERROR(MID(E3505,FIND("(",E3505)+1,FIND(")",E3505)-FIND("(",E3505)-1),"")</f>
      </c>
      <c r="B3505" s="46" t="s">
        <v>1178</v>
      </c>
      <c r="C3505" s="46">
        <v>87333</v>
      </c>
      <c r="D3505" s="46" t="s">
        <v>5903</v>
      </c>
      <c r="E3505" s="46" t="s">
        <v>5904</v>
      </c>
      <c r="F3505" s="46" t="s">
        <v>24</v>
      </c>
      <c r="G3505" s="47">
        <v>0</v>
      </c>
      <c r="H3505" s="48">
        <v>10.193</v>
      </c>
      <c r="I3505" s="48">
        <v>91.735</v>
      </c>
      <c r="J3505" s="49">
        <v>9</v>
      </c>
      <c r="K3505" s="49">
        <v>2</v>
      </c>
      <c r="L3505" s="49">
        <v>7</v>
      </c>
    </row>
    <row r="3506" spans="1:12" x14ac:dyDescent="0.25">
      <c r="A3506" s="45">
        <f>C3506&amp;"."&amp;IFERROR(MID(E3506,FIND("(",E3506)+1,FIND(")",E3506)-FIND("(",E3506)-1),"")</f>
      </c>
      <c r="B3506" s="46" t="s">
        <v>1178</v>
      </c>
      <c r="C3506" s="46">
        <v>87333</v>
      </c>
      <c r="D3506" s="46" t="s">
        <v>5903</v>
      </c>
      <c r="E3506" s="46" t="s">
        <v>5905</v>
      </c>
      <c r="F3506" s="46" t="s">
        <v>24</v>
      </c>
      <c r="G3506" s="47">
        <v>0</v>
      </c>
      <c r="H3506" s="48">
        <v>10.121</v>
      </c>
      <c r="I3506" s="48">
        <v>192.295</v>
      </c>
      <c r="J3506" s="49">
        <v>19</v>
      </c>
      <c r="K3506" s="49">
        <v>0</v>
      </c>
      <c r="L3506" s="49">
        <v>19</v>
      </c>
    </row>
    <row r="3507" spans="1:12" x14ac:dyDescent="0.25">
      <c r="A3507" s="45">
        <f>C3507&amp;"."&amp;IFERROR(MID(E3507,FIND("(",E3507)+1,FIND(")",E3507)-FIND("(",E3507)-1),"")</f>
      </c>
      <c r="B3507" s="46" t="s">
        <v>1178</v>
      </c>
      <c r="C3507" s="46">
        <v>87338</v>
      </c>
      <c r="D3507" s="46" t="s">
        <v>5906</v>
      </c>
      <c r="E3507" s="46" t="s">
        <v>5907</v>
      </c>
      <c r="F3507" s="46" t="s">
        <v>24</v>
      </c>
      <c r="G3507" s="47">
        <v>1.18</v>
      </c>
      <c r="H3507" s="48">
        <v>7.102</v>
      </c>
      <c r="I3507" s="48">
        <v>63.916</v>
      </c>
      <c r="J3507" s="49">
        <v>9</v>
      </c>
      <c r="K3507" s="49">
        <v>0</v>
      </c>
      <c r="L3507" s="49">
        <v>9</v>
      </c>
    </row>
    <row r="3508" spans="1:12" x14ac:dyDescent="0.25">
      <c r="A3508" s="45">
        <f>C3508&amp;"."&amp;IFERROR(MID(E3508,FIND("(",E3508)+1,FIND(")",E3508)-FIND("(",E3508)-1),"")</f>
      </c>
      <c r="B3508" s="46" t="s">
        <v>1178</v>
      </c>
      <c r="C3508" s="46">
        <v>87339</v>
      </c>
      <c r="D3508" s="46" t="s">
        <v>5908</v>
      </c>
      <c r="E3508" s="46" t="s">
        <v>5909</v>
      </c>
      <c r="F3508" s="46" t="s">
        <v>24</v>
      </c>
      <c r="G3508" s="47">
        <v>1.26</v>
      </c>
      <c r="H3508" s="48">
        <v>6.953</v>
      </c>
      <c r="I3508" s="48">
        <v>55.624</v>
      </c>
      <c r="J3508" s="49">
        <v>8</v>
      </c>
      <c r="K3508" s="49">
        <v>0</v>
      </c>
      <c r="L3508" s="49">
        <v>8</v>
      </c>
    </row>
    <row r="3509" spans="1:12" x14ac:dyDescent="0.25">
      <c r="A3509" s="45">
        <f>C3509&amp;"."&amp;IFERROR(MID(E3509,FIND("(",E3509)+1,FIND(")",E3509)-FIND("(",E3509)-1),"")</f>
      </c>
      <c r="B3509" s="46" t="s">
        <v>1178</v>
      </c>
      <c r="C3509" s="46">
        <v>87340</v>
      </c>
      <c r="D3509" s="46" t="s">
        <v>5910</v>
      </c>
      <c r="E3509" s="46" t="s">
        <v>5911</v>
      </c>
      <c r="F3509" s="46" t="s">
        <v>24</v>
      </c>
      <c r="G3509" s="47">
        <v>0.28</v>
      </c>
      <c r="H3509" s="48">
        <v>1.006</v>
      </c>
      <c r="I3509" s="48">
        <v>18.1</v>
      </c>
      <c r="J3509" s="49">
        <v>18</v>
      </c>
      <c r="K3509" s="49">
        <v>0</v>
      </c>
      <c r="L3509" s="49">
        <v>18</v>
      </c>
    </row>
    <row r="3510" spans="1:12" x14ac:dyDescent="0.25">
      <c r="A3510" s="45">
        <f>C3510&amp;"."&amp;IFERROR(MID(E3510,FIND("(",E3510)+1,FIND(")",E3510)-FIND("(",E3510)-1),"")</f>
      </c>
      <c r="B3510" s="46" t="s">
        <v>1178</v>
      </c>
      <c r="C3510" s="46">
        <v>87345</v>
      </c>
      <c r="D3510" s="46" t="s">
        <v>5912</v>
      </c>
      <c r="E3510" s="46" t="s">
        <v>1248</v>
      </c>
      <c r="F3510" s="46" t="s">
        <v>24</v>
      </c>
      <c r="G3510" s="47">
        <v>1.04</v>
      </c>
      <c r="H3510" s="48">
        <v>2.093</v>
      </c>
      <c r="I3510" s="48">
        <v>35.584</v>
      </c>
      <c r="J3510" s="49">
        <v>17</v>
      </c>
      <c r="K3510" s="49">
        <v>0</v>
      </c>
      <c r="L3510" s="49">
        <v>17</v>
      </c>
    </row>
    <row r="3511" spans="1:12" x14ac:dyDescent="0.25">
      <c r="A3511" s="45">
        <f>C3511&amp;"."&amp;IFERROR(MID(E3511,FIND("(",E3511)+1,FIND(")",E3511)-FIND("(",E3511)-1),"")</f>
      </c>
      <c r="B3511" s="46" t="s">
        <v>1178</v>
      </c>
      <c r="C3511" s="46">
        <v>87346</v>
      </c>
      <c r="D3511" s="46" t="s">
        <v>5913</v>
      </c>
      <c r="E3511" s="46" t="s">
        <v>5914</v>
      </c>
      <c r="F3511" s="46" t="s">
        <v>24</v>
      </c>
      <c r="G3511" s="47">
        <v>1.77</v>
      </c>
      <c r="H3511" s="48">
        <v>8.11</v>
      </c>
      <c r="I3511" s="48">
        <v>32.441</v>
      </c>
      <c r="J3511" s="49">
        <v>4</v>
      </c>
      <c r="K3511" s="49">
        <v>2</v>
      </c>
      <c r="L3511" s="49">
        <v>2</v>
      </c>
    </row>
    <row r="3512" spans="1:12" x14ac:dyDescent="0.25">
      <c r="A3512" s="45">
        <f>C3512&amp;"."&amp;IFERROR(MID(E3512,FIND("(",E3512)+1,FIND(")",E3512)-FIND("(",E3512)-1),"")</f>
      </c>
      <c r="B3512" s="46" t="s">
        <v>1178</v>
      </c>
      <c r="C3512" s="46">
        <v>87346</v>
      </c>
      <c r="D3512" s="46" t="s">
        <v>5913</v>
      </c>
      <c r="E3512" s="46" t="s">
        <v>5915</v>
      </c>
      <c r="F3512" s="46" t="s">
        <v>24</v>
      </c>
      <c r="G3512" s="47">
        <v>1.77</v>
      </c>
      <c r="H3512" s="48">
        <v>7.12</v>
      </c>
      <c r="I3512" s="48">
        <v>71.204</v>
      </c>
      <c r="J3512" s="49">
        <v>10</v>
      </c>
      <c r="K3512" s="49">
        <v>0</v>
      </c>
      <c r="L3512" s="49">
        <v>10</v>
      </c>
    </row>
    <row r="3513" spans="1:12" x14ac:dyDescent="0.25">
      <c r="A3513" s="45">
        <f>C3513&amp;"."&amp;IFERROR(MID(E3513,FIND("(",E3513)+1,FIND(")",E3513)-FIND("(",E3513)-1),"")</f>
      </c>
      <c r="B3513" s="46" t="s">
        <v>1178</v>
      </c>
      <c r="C3513" s="46">
        <v>87348</v>
      </c>
      <c r="D3513" s="46" t="s">
        <v>5916</v>
      </c>
      <c r="E3513" s="46" t="s">
        <v>5917</v>
      </c>
      <c r="F3513" s="46" t="s">
        <v>24</v>
      </c>
      <c r="G3513" s="47">
        <v>0.84</v>
      </c>
      <c r="H3513" s="48">
        <v>2.384</v>
      </c>
      <c r="I3513" s="48">
        <v>14.306</v>
      </c>
      <c r="J3513" s="49">
        <v>6</v>
      </c>
      <c r="K3513" s="49">
        <v>0</v>
      </c>
      <c r="L3513" s="49">
        <v>6</v>
      </c>
    </row>
    <row r="3514" spans="1:12" x14ac:dyDescent="0.25">
      <c r="A3514" s="45">
        <f>C3514&amp;"."&amp;IFERROR(MID(E3514,FIND("(",E3514)+1,FIND(")",E3514)-FIND("(",E3514)-1),"")</f>
      </c>
      <c r="B3514" s="46" t="s">
        <v>1178</v>
      </c>
      <c r="C3514" s="46">
        <v>87350</v>
      </c>
      <c r="D3514" s="46" t="s">
        <v>5918</v>
      </c>
      <c r="E3514" s="46" t="s">
        <v>5919</v>
      </c>
      <c r="F3514" s="46" t="s">
        <v>24</v>
      </c>
      <c r="G3514" s="47">
        <v>1.48</v>
      </c>
      <c r="H3514" s="48">
        <v>1.518</v>
      </c>
      <c r="I3514" s="48">
        <v>13.664</v>
      </c>
      <c r="J3514" s="49">
        <v>9</v>
      </c>
      <c r="K3514" s="49">
        <v>0</v>
      </c>
      <c r="L3514" s="49">
        <v>9</v>
      </c>
    </row>
    <row r="3515" spans="1:12" x14ac:dyDescent="0.25">
      <c r="A3515" s="45">
        <f>C3515&amp;"."&amp;IFERROR(MID(E3515,FIND("(",E3515)+1,FIND(")",E3515)-FIND("(",E3515)-1),"")</f>
      </c>
      <c r="B3515" s="46" t="s">
        <v>1178</v>
      </c>
      <c r="C3515" s="46">
        <v>87356</v>
      </c>
      <c r="D3515" s="46" t="s">
        <v>5920</v>
      </c>
      <c r="E3515" s="46" t="s">
        <v>5921</v>
      </c>
      <c r="F3515" s="46" t="s">
        <v>24</v>
      </c>
      <c r="G3515" s="47">
        <v>4.28</v>
      </c>
      <c r="H3515" s="48">
        <v>11.368</v>
      </c>
      <c r="I3515" s="48">
        <v>11.368</v>
      </c>
      <c r="J3515" s="49">
        <v>1</v>
      </c>
      <c r="K3515" s="49">
        <v>1</v>
      </c>
      <c r="L3515" s="49">
        <v>0</v>
      </c>
    </row>
    <row r="3516" spans="1:12" x14ac:dyDescent="0.25">
      <c r="A3516" s="45">
        <f>C3516&amp;"."&amp;IFERROR(MID(E3516,FIND("(",E3516)+1,FIND(")",E3516)-FIND("(",E3516)-1),"")</f>
      </c>
      <c r="B3516" s="46" t="s">
        <v>1178</v>
      </c>
      <c r="C3516" s="46">
        <v>87358</v>
      </c>
      <c r="D3516" s="46" t="s">
        <v>5922</v>
      </c>
      <c r="E3516" s="46" t="s">
        <v>5923</v>
      </c>
      <c r="F3516" s="46" t="s">
        <v>24</v>
      </c>
      <c r="G3516" s="47">
        <v>4.28</v>
      </c>
      <c r="H3516" s="48">
        <v>10.433</v>
      </c>
      <c r="I3516" s="48">
        <v>125.193</v>
      </c>
      <c r="J3516" s="49">
        <v>12</v>
      </c>
      <c r="K3516" s="49">
        <v>0</v>
      </c>
      <c r="L3516" s="49">
        <v>12</v>
      </c>
    </row>
    <row r="3517" spans="1:12" x14ac:dyDescent="0.25">
      <c r="A3517" s="45">
        <f>C3517&amp;"."&amp;IFERROR(MID(E3517,FIND("(",E3517)+1,FIND(")",E3517)-FIND("(",E3517)-1),"")</f>
      </c>
      <c r="B3517" s="46" t="s">
        <v>1178</v>
      </c>
      <c r="C3517" s="46">
        <v>87365</v>
      </c>
      <c r="D3517" s="46" t="s">
        <v>5924</v>
      </c>
      <c r="E3517" s="46" t="s">
        <v>5925</v>
      </c>
      <c r="F3517" s="46" t="s">
        <v>24</v>
      </c>
      <c r="G3517" s="47">
        <v>3.88</v>
      </c>
      <c r="H3517" s="48">
        <v>10.649</v>
      </c>
      <c r="I3517" s="48">
        <v>85.189</v>
      </c>
      <c r="J3517" s="49">
        <v>8</v>
      </c>
      <c r="K3517" s="49">
        <v>0</v>
      </c>
      <c r="L3517" s="49">
        <v>8</v>
      </c>
    </row>
    <row r="3518" spans="1:12" x14ac:dyDescent="0.25">
      <c r="A3518" s="45">
        <f>C3518&amp;"."&amp;IFERROR(MID(E3518,FIND("(",E3518)+1,FIND(")",E3518)-FIND("(",E3518)-1),"")</f>
      </c>
      <c r="B3518" s="46" t="s">
        <v>1178</v>
      </c>
      <c r="C3518" s="46">
        <v>87376</v>
      </c>
      <c r="D3518" s="46" t="s">
        <v>899</v>
      </c>
      <c r="E3518" s="46" t="s">
        <v>5926</v>
      </c>
      <c r="F3518" s="46" t="s">
        <v>24</v>
      </c>
      <c r="G3518" s="47">
        <v>15.35</v>
      </c>
      <c r="H3518" s="48">
        <v>64.804</v>
      </c>
      <c r="I3518" s="48">
        <v>648.036</v>
      </c>
      <c r="J3518" s="49">
        <v>10</v>
      </c>
      <c r="K3518" s="49">
        <v>0</v>
      </c>
      <c r="L3518" s="49">
        <v>10</v>
      </c>
    </row>
    <row r="3519" spans="1:12" x14ac:dyDescent="0.25">
      <c r="A3519" s="45">
        <f>C3519&amp;"."&amp;IFERROR(MID(E3519,FIND("(",E3519)+1,FIND(")",E3519)-FIND("(",E3519)-1),"")</f>
      </c>
      <c r="B3519" s="46" t="s">
        <v>1178</v>
      </c>
      <c r="C3519" s="46">
        <v>87376</v>
      </c>
      <c r="D3519" s="46" t="s">
        <v>899</v>
      </c>
      <c r="E3519" s="46" t="s">
        <v>5927</v>
      </c>
      <c r="F3519" s="46" t="s">
        <v>24</v>
      </c>
      <c r="G3519" s="47">
        <v>15.35</v>
      </c>
      <c r="H3519" s="48">
        <v>64.792</v>
      </c>
      <c r="I3519" s="48">
        <v>647.916</v>
      </c>
      <c r="J3519" s="49">
        <v>10</v>
      </c>
      <c r="K3519" s="49">
        <v>0</v>
      </c>
      <c r="L3519" s="49">
        <v>10</v>
      </c>
    </row>
    <row r="3520" spans="1:12" x14ac:dyDescent="0.25">
      <c r="A3520" s="45">
        <f>C3520&amp;"."&amp;IFERROR(MID(E3520,FIND("(",E3520)+1,FIND(")",E3520)-FIND("(",E3520)-1),"")</f>
      </c>
      <c r="B3520" s="46" t="s">
        <v>1178</v>
      </c>
      <c r="C3520" s="46">
        <v>87380</v>
      </c>
      <c r="D3520" s="46" t="s">
        <v>5928</v>
      </c>
      <c r="E3520" s="46" t="s">
        <v>5929</v>
      </c>
      <c r="F3520" s="46" t="s">
        <v>26</v>
      </c>
      <c r="G3520" s="47">
        <v>2.76</v>
      </c>
      <c r="H3520" s="48">
        <v>11.918</v>
      </c>
      <c r="I3520" s="48">
        <v>35.755</v>
      </c>
      <c r="J3520" s="49">
        <v>3</v>
      </c>
      <c r="K3520" s="49">
        <v>0</v>
      </c>
      <c r="L3520" s="49">
        <v>3</v>
      </c>
    </row>
    <row r="3521" spans="1:12" x14ac:dyDescent="0.25">
      <c r="A3521" s="45">
        <f>C3521&amp;"."&amp;IFERROR(MID(E3521,FIND("(",E3521)+1,FIND(")",E3521)-FIND("(",E3521)-1),"")</f>
      </c>
      <c r="B3521" s="46" t="s">
        <v>1178</v>
      </c>
      <c r="C3521" s="46">
        <v>87380</v>
      </c>
      <c r="D3521" s="46" t="s">
        <v>5928</v>
      </c>
      <c r="E3521" s="46" t="s">
        <v>5930</v>
      </c>
      <c r="F3521" s="46" t="s">
        <v>26</v>
      </c>
      <c r="G3521" s="47">
        <v>2.76</v>
      </c>
      <c r="H3521" s="48">
        <v>7.934</v>
      </c>
      <c r="I3521" s="48">
        <v>142.814</v>
      </c>
      <c r="J3521" s="49">
        <v>18</v>
      </c>
      <c r="K3521" s="49">
        <v>0</v>
      </c>
      <c r="L3521" s="49">
        <v>18</v>
      </c>
    </row>
    <row r="3522" spans="1:12" x14ac:dyDescent="0.25">
      <c r="A3522" s="45">
        <f>C3522&amp;"."&amp;IFERROR(MID(E3522,FIND("(",E3522)+1,FIND(")",E3522)-FIND("(",E3522)-1),"")</f>
      </c>
      <c r="B3522" s="46" t="s">
        <v>1178</v>
      </c>
      <c r="C3522" s="46">
        <v>87381</v>
      </c>
      <c r="D3522" s="46" t="s">
        <v>5931</v>
      </c>
      <c r="E3522" s="46" t="s">
        <v>5932</v>
      </c>
      <c r="F3522" s="46" t="s">
        <v>26</v>
      </c>
      <c r="G3522" s="47">
        <v>4.04</v>
      </c>
      <c r="H3522" s="48">
        <v>17.309</v>
      </c>
      <c r="I3522" s="48">
        <v>17.309</v>
      </c>
      <c r="J3522" s="49">
        <v>1</v>
      </c>
      <c r="K3522" s="49">
        <v>0</v>
      </c>
      <c r="L3522" s="49">
        <v>1</v>
      </c>
    </row>
    <row r="3523" spans="1:12" x14ac:dyDescent="0.25">
      <c r="A3523" s="45">
        <f>C3523&amp;"."&amp;IFERROR(MID(E3523,FIND("(",E3523)+1,FIND(")",E3523)-FIND("(",E3523)-1),"")</f>
      </c>
      <c r="B3523" s="46" t="s">
        <v>1178</v>
      </c>
      <c r="C3523" s="46">
        <v>87388</v>
      </c>
      <c r="D3523" s="46" t="s">
        <v>5933</v>
      </c>
      <c r="E3523" s="46" t="s">
        <v>5934</v>
      </c>
      <c r="F3523" s="46" t="s">
        <v>26</v>
      </c>
      <c r="G3523" s="47">
        <v>6.47</v>
      </c>
      <c r="H3523" s="48">
        <v>23.288</v>
      </c>
      <c r="I3523" s="48">
        <v>93.153</v>
      </c>
      <c r="J3523" s="49">
        <v>4</v>
      </c>
      <c r="K3523" s="49">
        <v>1</v>
      </c>
      <c r="L3523" s="49">
        <v>3</v>
      </c>
    </row>
    <row r="3524" spans="1:12" x14ac:dyDescent="0.25">
      <c r="A3524" s="45">
        <f>C3524&amp;"."&amp;IFERROR(MID(E3524,FIND("(",E3524)+1,FIND(")",E3524)-FIND("(",E3524)-1),"")</f>
      </c>
      <c r="B3524" s="46" t="s">
        <v>1178</v>
      </c>
      <c r="C3524" s="46">
        <v>87405</v>
      </c>
      <c r="D3524" s="46" t="s">
        <v>5935</v>
      </c>
      <c r="E3524" s="46" t="s">
        <v>5936</v>
      </c>
      <c r="F3524" s="46" t="s">
        <v>26</v>
      </c>
      <c r="G3524" s="47">
        <v>4.44</v>
      </c>
      <c r="H3524" s="48">
        <v>15.112</v>
      </c>
      <c r="I3524" s="48">
        <v>60.449</v>
      </c>
      <c r="J3524" s="49">
        <v>4</v>
      </c>
      <c r="K3524" s="49">
        <v>1</v>
      </c>
      <c r="L3524" s="49">
        <v>3</v>
      </c>
    </row>
    <row r="3525" spans="1:12" x14ac:dyDescent="0.25">
      <c r="A3525" s="45">
        <f>C3525&amp;"."&amp;IFERROR(MID(E3525,FIND("(",E3525)+1,FIND(")",E3525)-FIND("(",E3525)-1),"")</f>
      </c>
      <c r="B3525" s="46" t="s">
        <v>1178</v>
      </c>
      <c r="C3525" s="46">
        <v>87417</v>
      </c>
      <c r="D3525" s="46" t="s">
        <v>5937</v>
      </c>
      <c r="E3525" s="46" t="s">
        <v>5938</v>
      </c>
      <c r="F3525" s="46" t="s">
        <v>26</v>
      </c>
      <c r="G3525" s="47">
        <v>5.77</v>
      </c>
      <c r="H3525" s="48">
        <v>37.699</v>
      </c>
      <c r="I3525" s="48">
        <v>75.399</v>
      </c>
      <c r="J3525" s="49">
        <v>2</v>
      </c>
      <c r="K3525" s="49">
        <v>0</v>
      </c>
      <c r="L3525" s="49">
        <v>2</v>
      </c>
    </row>
    <row r="3526" spans="1:12" x14ac:dyDescent="0.25">
      <c r="A3526" s="45">
        <f>C3526&amp;"."&amp;IFERROR(MID(E3526,FIND("(",E3526)+1,FIND(")",E3526)-FIND("(",E3526)-1),"")</f>
      </c>
      <c r="B3526" s="46" t="s">
        <v>1178</v>
      </c>
      <c r="C3526" s="46">
        <v>87417</v>
      </c>
      <c r="D3526" s="46" t="s">
        <v>5937</v>
      </c>
      <c r="E3526" s="46" t="s">
        <v>5939</v>
      </c>
      <c r="F3526" s="46" t="s">
        <v>26</v>
      </c>
      <c r="G3526" s="47">
        <v>5.77</v>
      </c>
      <c r="H3526" s="48">
        <v>18.403</v>
      </c>
      <c r="I3526" s="48">
        <v>73.614</v>
      </c>
      <c r="J3526" s="49">
        <v>4</v>
      </c>
      <c r="K3526" s="49">
        <v>0</v>
      </c>
      <c r="L3526" s="49">
        <v>4</v>
      </c>
    </row>
    <row r="3527" spans="1:12" x14ac:dyDescent="0.25">
      <c r="A3527" s="45">
        <f>C3527&amp;"."&amp;IFERROR(MID(E3527,FIND("(",E3527)+1,FIND(")",E3527)-FIND("(",E3527)-1),"")</f>
      </c>
      <c r="B3527" s="46" t="s">
        <v>1178</v>
      </c>
      <c r="C3527" s="46">
        <v>87417</v>
      </c>
      <c r="D3527" s="46" t="s">
        <v>5937</v>
      </c>
      <c r="E3527" s="46" t="s">
        <v>5940</v>
      </c>
      <c r="F3527" s="46" t="s">
        <v>26</v>
      </c>
      <c r="G3527" s="47">
        <v>5.77</v>
      </c>
      <c r="H3527" s="48">
        <v>20.012</v>
      </c>
      <c r="I3527" s="48">
        <v>120.073</v>
      </c>
      <c r="J3527" s="49">
        <v>6</v>
      </c>
      <c r="K3527" s="49">
        <v>3</v>
      </c>
      <c r="L3527" s="49">
        <v>3</v>
      </c>
    </row>
    <row r="3528" spans="1:12" x14ac:dyDescent="0.25">
      <c r="A3528" s="45">
        <f>C3528&amp;"."&amp;IFERROR(MID(E3528,FIND("(",E3528)+1,FIND(")",E3528)-FIND("(",E3528)-1),"")</f>
      </c>
      <c r="B3528" s="46" t="s">
        <v>1178</v>
      </c>
      <c r="C3528" s="46">
        <v>87434</v>
      </c>
      <c r="D3528" s="46" t="s">
        <v>5941</v>
      </c>
      <c r="E3528" s="46" t="s">
        <v>5942</v>
      </c>
      <c r="F3528" s="46" t="s">
        <v>26</v>
      </c>
      <c r="G3528" s="47">
        <v>1.83</v>
      </c>
      <c r="H3528" s="48">
        <v>28.102</v>
      </c>
      <c r="I3528" s="48">
        <v>28.102</v>
      </c>
      <c r="J3528" s="49">
        <v>1</v>
      </c>
      <c r="K3528" s="49">
        <v>1</v>
      </c>
      <c r="L3528" s="49">
        <v>0</v>
      </c>
    </row>
    <row r="3529" spans="1:12" x14ac:dyDescent="0.25">
      <c r="A3529" s="45">
        <f>C3529&amp;"."&amp;IFERROR(MID(E3529,FIND("(",E3529)+1,FIND(")",E3529)-FIND("(",E3529)-1),"")</f>
      </c>
      <c r="B3529" s="46" t="s">
        <v>1178</v>
      </c>
      <c r="C3529" s="46">
        <v>87434</v>
      </c>
      <c r="D3529" s="46" t="s">
        <v>5941</v>
      </c>
      <c r="E3529" s="46" t="s">
        <v>5943</v>
      </c>
      <c r="F3529" s="46" t="s">
        <v>26</v>
      </c>
      <c r="G3529" s="47">
        <v>1.83</v>
      </c>
      <c r="H3529" s="48">
        <v>15.753</v>
      </c>
      <c r="I3529" s="48">
        <v>31.505</v>
      </c>
      <c r="J3529" s="49">
        <v>2</v>
      </c>
      <c r="K3529" s="49">
        <v>0</v>
      </c>
      <c r="L3529" s="49">
        <v>2</v>
      </c>
    </row>
    <row r="3530" spans="1:12" x14ac:dyDescent="0.25">
      <c r="A3530" s="45">
        <f>C3530&amp;"."&amp;IFERROR(MID(E3530,FIND("(",E3530)+1,FIND(")",E3530)-FIND("(",E3530)-1),"")</f>
      </c>
      <c r="B3530" s="46" t="s">
        <v>1178</v>
      </c>
      <c r="C3530" s="46">
        <v>87443</v>
      </c>
      <c r="D3530" s="46" t="s">
        <v>5944</v>
      </c>
      <c r="E3530" s="46" t="s">
        <v>5945</v>
      </c>
      <c r="F3530" s="46" t="s">
        <v>26</v>
      </c>
      <c r="G3530" s="47">
        <v>1.48</v>
      </c>
      <c r="H3530" s="48">
        <v>6.158</v>
      </c>
      <c r="I3530" s="48">
        <v>24.634</v>
      </c>
      <c r="J3530" s="49">
        <v>4</v>
      </c>
      <c r="K3530" s="49">
        <v>0</v>
      </c>
      <c r="L3530" s="49">
        <v>4</v>
      </c>
    </row>
    <row r="3531" spans="1:12" x14ac:dyDescent="0.25">
      <c r="A3531" s="45">
        <f>C3531&amp;"."&amp;IFERROR(MID(E3531,FIND("(",E3531)+1,FIND(")",E3531)-FIND("(",E3531)-1),"")</f>
      </c>
      <c r="B3531" s="46" t="s">
        <v>1178</v>
      </c>
      <c r="C3531" s="46">
        <v>87455</v>
      </c>
      <c r="D3531" s="46" t="s">
        <v>5946</v>
      </c>
      <c r="E3531" s="46" t="s">
        <v>5947</v>
      </c>
      <c r="F3531" s="46" t="s">
        <v>26</v>
      </c>
      <c r="G3531" s="47">
        <v>8.07</v>
      </c>
      <c r="H3531" s="48">
        <v>13.396</v>
      </c>
      <c r="I3531" s="48">
        <v>53.583</v>
      </c>
      <c r="J3531" s="49">
        <v>4</v>
      </c>
      <c r="K3531" s="49">
        <v>2</v>
      </c>
      <c r="L3531" s="49">
        <v>2</v>
      </c>
    </row>
    <row r="3532" spans="1:12" x14ac:dyDescent="0.25">
      <c r="A3532" s="45">
        <f>C3532&amp;"."&amp;IFERROR(MID(E3532,FIND("(",E3532)+1,FIND(")",E3532)-FIND("(",E3532)-1),"")</f>
      </c>
      <c r="B3532" s="46" t="s">
        <v>1178</v>
      </c>
      <c r="C3532" s="46">
        <v>87460</v>
      </c>
      <c r="D3532" s="46" t="s">
        <v>736</v>
      </c>
      <c r="E3532" s="46" t="s">
        <v>5948</v>
      </c>
      <c r="F3532" s="46" t="s">
        <v>26</v>
      </c>
      <c r="G3532" s="47">
        <v>52</v>
      </c>
      <c r="H3532" s="48">
        <v>214.009</v>
      </c>
      <c r="I3532" s="48">
        <v>11984.5</v>
      </c>
      <c r="J3532" s="49">
        <v>56</v>
      </c>
      <c r="K3532" s="49">
        <v>56</v>
      </c>
      <c r="L3532" s="49">
        <v>0</v>
      </c>
    </row>
    <row r="3533" spans="1:12" x14ac:dyDescent="0.25">
      <c r="A3533" s="45">
        <f>C3533&amp;"."&amp;IFERROR(MID(E3533,FIND("(",E3533)+1,FIND(")",E3533)-FIND("(",E3533)-1),"")</f>
      </c>
      <c r="B3533" s="46" t="s">
        <v>1178</v>
      </c>
      <c r="C3533" s="46">
        <v>87460</v>
      </c>
      <c r="D3533" s="46" t="s">
        <v>736</v>
      </c>
      <c r="E3533" s="46" t="s">
        <v>5949</v>
      </c>
      <c r="F3533" s="46" t="s">
        <v>26</v>
      </c>
      <c r="G3533" s="47">
        <v>52</v>
      </c>
      <c r="H3533" s="48">
        <v>237.506</v>
      </c>
      <c r="I3533" s="48">
        <v>103315.052</v>
      </c>
      <c r="J3533" s="49">
        <v>435</v>
      </c>
      <c r="K3533" s="49">
        <v>393</v>
      </c>
      <c r="L3533" s="49">
        <v>42</v>
      </c>
    </row>
    <row r="3534" spans="1:12" x14ac:dyDescent="0.25">
      <c r="A3534" s="45">
        <f>C3534&amp;"."&amp;IFERROR(MID(E3534,FIND("(",E3534)+1,FIND(")",E3534)-FIND("(",E3534)-1),"")</f>
      </c>
      <c r="B3534" s="46" t="s">
        <v>1178</v>
      </c>
      <c r="C3534" s="46">
        <v>87462</v>
      </c>
      <c r="D3534" s="46" t="s">
        <v>293</v>
      </c>
      <c r="E3534" s="46" t="s">
        <v>5950</v>
      </c>
      <c r="F3534" s="46" t="s">
        <v>26</v>
      </c>
      <c r="G3534" s="47">
        <v>49.5</v>
      </c>
      <c r="H3534" s="48">
        <v>160.044</v>
      </c>
      <c r="I3534" s="48">
        <v>74740.491</v>
      </c>
      <c r="J3534" s="49">
        <v>467</v>
      </c>
      <c r="K3534" s="49">
        <v>393</v>
      </c>
      <c r="L3534" s="49">
        <v>74</v>
      </c>
    </row>
    <row r="3535" spans="1:12" x14ac:dyDescent="0.25">
      <c r="A3535" s="45">
        <f>C3535&amp;"."&amp;IFERROR(MID(E3535,FIND("(",E3535)+1,FIND(")",E3535)-FIND("(",E3535)-1),"")</f>
      </c>
      <c r="B3535" s="46" t="s">
        <v>1178</v>
      </c>
      <c r="C3535" s="46">
        <v>87462</v>
      </c>
      <c r="D3535" s="46" t="s">
        <v>293</v>
      </c>
      <c r="E3535" s="46" t="s">
        <v>5951</v>
      </c>
      <c r="F3535" s="46" t="s">
        <v>26</v>
      </c>
      <c r="G3535" s="47">
        <v>49.5</v>
      </c>
      <c r="H3535" s="48">
        <v>156.986</v>
      </c>
      <c r="I3535" s="48">
        <v>10047.131</v>
      </c>
      <c r="J3535" s="49">
        <v>64</v>
      </c>
      <c r="K3535" s="49">
        <v>56</v>
      </c>
      <c r="L3535" s="49">
        <v>8</v>
      </c>
    </row>
    <row r="3536" spans="1:12" x14ac:dyDescent="0.25">
      <c r="A3536" s="45">
        <f>C3536&amp;"."&amp;IFERROR(MID(E3536,FIND("(",E3536)+1,FIND(")",E3536)-FIND("(",E3536)-1),"")</f>
      </c>
      <c r="B3536" s="46" t="s">
        <v>1178</v>
      </c>
      <c r="C3536" s="46">
        <v>87469</v>
      </c>
      <c r="D3536" s="46" t="s">
        <v>146</v>
      </c>
      <c r="E3536" s="46" t="s">
        <v>5952</v>
      </c>
      <c r="F3536" s="46" t="s">
        <v>26</v>
      </c>
      <c r="G3536" s="47">
        <v>48.05</v>
      </c>
      <c r="H3536" s="48">
        <v>162.079</v>
      </c>
      <c r="I3536" s="48">
        <v>42464.654</v>
      </c>
      <c r="J3536" s="49">
        <v>262</v>
      </c>
      <c r="K3536" s="49">
        <v>142</v>
      </c>
      <c r="L3536" s="49">
        <v>120</v>
      </c>
    </row>
    <row r="3537" spans="1:12" x14ac:dyDescent="0.25">
      <c r="A3537" s="45">
        <f>C3537&amp;"."&amp;IFERROR(MID(E3537,FIND("(",E3537)+1,FIND(")",E3537)-FIND("(",E3537)-1),"")</f>
      </c>
      <c r="B3537" s="46" t="s">
        <v>1178</v>
      </c>
      <c r="C3537" s="46">
        <v>87469</v>
      </c>
      <c r="D3537" s="46" t="s">
        <v>146</v>
      </c>
      <c r="E3537" s="46" t="s">
        <v>5953</v>
      </c>
      <c r="F3537" s="46" t="s">
        <v>26</v>
      </c>
      <c r="G3537" s="47">
        <v>48.05</v>
      </c>
      <c r="H3537" s="48">
        <v>169.307</v>
      </c>
      <c r="I3537" s="48">
        <v>98536.9</v>
      </c>
      <c r="J3537" s="49">
        <v>582</v>
      </c>
      <c r="K3537" s="49">
        <v>251</v>
      </c>
      <c r="L3537" s="49">
        <v>331</v>
      </c>
    </row>
    <row r="3538" spans="1:12" x14ac:dyDescent="0.25">
      <c r="A3538" s="45">
        <f>C3538&amp;"."&amp;IFERROR(MID(E3538,FIND("(",E3538)+1,FIND(")",E3538)-FIND("(",E3538)-1),"")</f>
      </c>
      <c r="B3538" s="46" t="s">
        <v>1178</v>
      </c>
      <c r="C3538" s="46">
        <v>87469</v>
      </c>
      <c r="D3538" s="46" t="s">
        <v>146</v>
      </c>
      <c r="E3538" s="46" t="s">
        <v>5954</v>
      </c>
      <c r="F3538" s="46" t="s">
        <v>26</v>
      </c>
      <c r="G3538" s="47">
        <v>48.05</v>
      </c>
      <c r="H3538" s="48">
        <v>153.64</v>
      </c>
      <c r="I3538" s="48">
        <v>30113.417</v>
      </c>
      <c r="J3538" s="49">
        <v>196</v>
      </c>
      <c r="K3538" s="49">
        <v>56</v>
      </c>
      <c r="L3538" s="49">
        <v>140</v>
      </c>
    </row>
    <row r="3539" spans="1:12" x14ac:dyDescent="0.25">
      <c r="A3539" s="45">
        <f>C3539&amp;"."&amp;IFERROR(MID(E3539,FIND("(",E3539)+1,FIND(")",E3539)-FIND("(",E3539)-1),"")</f>
      </c>
      <c r="B3539" s="46" t="s">
        <v>1178</v>
      </c>
      <c r="C3539" s="46">
        <v>87470</v>
      </c>
      <c r="D3539" s="46" t="s">
        <v>858</v>
      </c>
      <c r="E3539" s="46" t="s">
        <v>5955</v>
      </c>
      <c r="F3539" s="46" t="s">
        <v>26</v>
      </c>
      <c r="G3539" s="47">
        <v>0.72</v>
      </c>
      <c r="H3539" s="48">
        <v>26.746</v>
      </c>
      <c r="I3539" s="48">
        <v>2005.954</v>
      </c>
      <c r="J3539" s="49">
        <v>75</v>
      </c>
      <c r="K3539" s="49">
        <v>56</v>
      </c>
      <c r="L3539" s="49">
        <v>19</v>
      </c>
    </row>
    <row r="3540" spans="1:12" x14ac:dyDescent="0.25">
      <c r="A3540" s="45">
        <f>C3540&amp;"."&amp;IFERROR(MID(E3540,FIND("(",E3540)+1,FIND(")",E3540)-FIND("(",E3540)-1),"")</f>
      </c>
      <c r="B3540" s="46" t="s">
        <v>1178</v>
      </c>
      <c r="C3540" s="46">
        <v>87470</v>
      </c>
      <c r="D3540" s="46" t="s">
        <v>858</v>
      </c>
      <c r="E3540" s="46" t="s">
        <v>5956</v>
      </c>
      <c r="F3540" s="46" t="s">
        <v>26</v>
      </c>
      <c r="G3540" s="47">
        <v>0.72</v>
      </c>
      <c r="H3540" s="48">
        <v>27.519</v>
      </c>
      <c r="I3540" s="48">
        <v>16126.088</v>
      </c>
      <c r="J3540" s="49">
        <v>586</v>
      </c>
      <c r="K3540" s="49">
        <v>393</v>
      </c>
      <c r="L3540" s="49">
        <v>193</v>
      </c>
    </row>
    <row r="3541" spans="1:12" x14ac:dyDescent="0.25">
      <c r="A3541" s="45">
        <f>C3541&amp;"."&amp;IFERROR(MID(E3541,FIND("(",E3541)+1,FIND(")",E3541)-FIND("(",E3541)-1),"")</f>
      </c>
      <c r="B3541" s="46" t="s">
        <v>1178</v>
      </c>
      <c r="C3541" s="46">
        <v>87472</v>
      </c>
      <c r="D3541" s="46" t="s">
        <v>507</v>
      </c>
      <c r="E3541" s="46" t="s">
        <v>5957</v>
      </c>
      <c r="F3541" s="46" t="s">
        <v>25</v>
      </c>
      <c r="G3541" s="47">
        <v>40</v>
      </c>
      <c r="H3541" s="48">
        <v>224.067</v>
      </c>
      <c r="I3541" s="48">
        <v>40107.937</v>
      </c>
      <c r="J3541" s="49">
        <v>179</v>
      </c>
      <c r="K3541" s="49">
        <v>146</v>
      </c>
      <c r="L3541" s="49">
        <v>33</v>
      </c>
    </row>
    <row r="3542" spans="1:12" x14ac:dyDescent="0.25">
      <c r="A3542" s="45">
        <f>C3542&amp;"."&amp;IFERROR(MID(E3542,FIND("(",E3542)+1,FIND(")",E3542)-FIND("(",E3542)-1),"")</f>
      </c>
      <c r="B3542" s="46" t="s">
        <v>1178</v>
      </c>
      <c r="C3542" s="46">
        <v>87549</v>
      </c>
      <c r="D3542" s="46" t="s">
        <v>5958</v>
      </c>
      <c r="E3542" s="46" t="s">
        <v>1248</v>
      </c>
      <c r="F3542" s="46" t="s">
        <v>1495</v>
      </c>
      <c r="G3542" s="47">
        <v>0</v>
      </c>
      <c r="H3542" s="48">
        <v>2.857</v>
      </c>
      <c r="I3542" s="48">
        <v>51.427</v>
      </c>
      <c r="J3542" s="49">
        <v>18</v>
      </c>
      <c r="K3542" s="49">
        <v>4</v>
      </c>
      <c r="L3542" s="49">
        <v>14</v>
      </c>
    </row>
    <row r="3543" spans="1:12" x14ac:dyDescent="0.25">
      <c r="A3543" s="45">
        <f>C3543&amp;"."&amp;IFERROR(MID(E3543,FIND("(",E3543)+1,FIND(")",E3543)-FIND("(",E3543)-1),"")</f>
      </c>
      <c r="B3543" s="46" t="s">
        <v>1178</v>
      </c>
      <c r="C3543" s="46">
        <v>87553</v>
      </c>
      <c r="D3543" s="46" t="s">
        <v>1018</v>
      </c>
      <c r="E3543" s="46" t="s">
        <v>5959</v>
      </c>
      <c r="F3543" s="46" t="s">
        <v>26</v>
      </c>
      <c r="G3543" s="47">
        <v>48</v>
      </c>
      <c r="H3543" s="48">
        <v>176.32</v>
      </c>
      <c r="I3543" s="48">
        <v>70527.998</v>
      </c>
      <c r="J3543" s="49">
        <v>400</v>
      </c>
      <c r="K3543" s="49">
        <v>217</v>
      </c>
      <c r="L3543" s="49">
        <v>183</v>
      </c>
    </row>
    <row r="3544" spans="1:12" x14ac:dyDescent="0.25">
      <c r="A3544" s="45">
        <f>C3544&amp;"."&amp;IFERROR(MID(E3544,FIND("(",E3544)+1,FIND(")",E3544)-FIND("(",E3544)-1),"")</f>
      </c>
      <c r="B3544" s="46" t="s">
        <v>1178</v>
      </c>
      <c r="C3544" s="46">
        <v>87559</v>
      </c>
      <c r="D3544" s="46" t="s">
        <v>755</v>
      </c>
      <c r="E3544" s="46" t="s">
        <v>5960</v>
      </c>
      <c r="F3544" s="46" t="s">
        <v>26</v>
      </c>
      <c r="G3544" s="47">
        <v>46</v>
      </c>
      <c r="H3544" s="48">
        <v>148.776</v>
      </c>
      <c r="I3544" s="48">
        <v>59212.875</v>
      </c>
      <c r="J3544" s="49">
        <v>398</v>
      </c>
      <c r="K3544" s="49">
        <v>217</v>
      </c>
      <c r="L3544" s="49">
        <v>181</v>
      </c>
    </row>
    <row r="3545" spans="1:12" x14ac:dyDescent="0.25">
      <c r="A3545" s="45">
        <f>C3545&amp;"."&amp;IFERROR(MID(E3545,FIND("(",E3545)+1,FIND(")",E3545)-FIND("(",E3545)-1),"")</f>
      </c>
      <c r="B3545" s="46" t="s">
        <v>1178</v>
      </c>
      <c r="C3545" s="46">
        <v>87560</v>
      </c>
      <c r="D3545" s="46" t="s">
        <v>976</v>
      </c>
      <c r="E3545" s="46" t="s">
        <v>5961</v>
      </c>
      <c r="F3545" s="46" t="s">
        <v>26</v>
      </c>
      <c r="G3545" s="47">
        <v>52.5</v>
      </c>
      <c r="H3545" s="48">
        <v>139.941</v>
      </c>
      <c r="I3545" s="48">
        <v>55276.803</v>
      </c>
      <c r="J3545" s="49">
        <v>395</v>
      </c>
      <c r="K3545" s="49">
        <v>217</v>
      </c>
      <c r="L3545" s="49">
        <v>178</v>
      </c>
    </row>
    <row r="3546" spans="1:12" x14ac:dyDescent="0.25">
      <c r="A3546" s="45">
        <f>C3546&amp;"."&amp;IFERROR(MID(E3546,FIND("(",E3546)+1,FIND(")",E3546)-FIND("(",E3546)-1),"")</f>
      </c>
      <c r="B3546" s="46" t="s">
        <v>1178</v>
      </c>
      <c r="C3546" s="46">
        <v>87562</v>
      </c>
      <c r="D3546" s="46" t="s">
        <v>209</v>
      </c>
      <c r="E3546" s="46" t="s">
        <v>5962</v>
      </c>
      <c r="F3546" s="46" t="s">
        <v>26</v>
      </c>
      <c r="G3546" s="47">
        <v>63</v>
      </c>
      <c r="H3546" s="48">
        <v>210.468</v>
      </c>
      <c r="I3546" s="48">
        <v>19784.012</v>
      </c>
      <c r="J3546" s="49">
        <v>94</v>
      </c>
      <c r="K3546" s="49">
        <v>94</v>
      </c>
      <c r="L3546" s="49">
        <v>0</v>
      </c>
    </row>
    <row r="3547" spans="1:12" x14ac:dyDescent="0.25">
      <c r="A3547" s="45">
        <f>C3547&amp;"."&amp;IFERROR(MID(E3547,FIND("(",E3547)+1,FIND(")",E3547)-FIND("(",E3547)-1),"")</f>
      </c>
      <c r="B3547" s="46" t="s">
        <v>1178</v>
      </c>
      <c r="C3547" s="46">
        <v>87562</v>
      </c>
      <c r="D3547" s="46" t="s">
        <v>209</v>
      </c>
      <c r="E3547" s="46" t="s">
        <v>5963</v>
      </c>
      <c r="F3547" s="46" t="s">
        <v>26</v>
      </c>
      <c r="G3547" s="47">
        <v>63</v>
      </c>
      <c r="H3547" s="48">
        <v>212.494</v>
      </c>
      <c r="I3547" s="48">
        <v>43348.876</v>
      </c>
      <c r="J3547" s="49">
        <v>204</v>
      </c>
      <c r="K3547" s="49">
        <v>62</v>
      </c>
      <c r="L3547" s="49">
        <v>142</v>
      </c>
    </row>
    <row r="3548" spans="1:12" x14ac:dyDescent="0.25">
      <c r="A3548" s="45">
        <f>C3548&amp;"."&amp;IFERROR(MID(E3548,FIND("(",E3548)+1,FIND(")",E3548)-FIND("(",E3548)-1),"")</f>
      </c>
      <c r="B3548" s="46" t="s">
        <v>1178</v>
      </c>
      <c r="C3548" s="46">
        <v>87563</v>
      </c>
      <c r="D3548" s="46" t="s">
        <v>553</v>
      </c>
      <c r="E3548" s="46" t="s">
        <v>5964</v>
      </c>
      <c r="F3548" s="46" t="s">
        <v>26</v>
      </c>
      <c r="G3548" s="47">
        <v>1.45</v>
      </c>
      <c r="H3548" s="48">
        <v>1.108</v>
      </c>
      <c r="I3548" s="48">
        <v>1.108</v>
      </c>
      <c r="J3548" s="49">
        <v>1</v>
      </c>
      <c r="K3548" s="49">
        <v>0</v>
      </c>
      <c r="L3548" s="49">
        <v>1</v>
      </c>
    </row>
    <row r="3549" spans="1:12" x14ac:dyDescent="0.25">
      <c r="A3549" s="45">
        <f>C3549&amp;"."&amp;IFERROR(MID(E3549,FIND("(",E3549)+1,FIND(")",E3549)-FIND("(",E3549)-1),"")</f>
      </c>
      <c r="B3549" s="46" t="s">
        <v>1178</v>
      </c>
      <c r="C3549" s="46">
        <v>87563</v>
      </c>
      <c r="D3549" s="46" t="s">
        <v>553</v>
      </c>
      <c r="E3549" s="46" t="s">
        <v>5965</v>
      </c>
      <c r="F3549" s="46" t="s">
        <v>26</v>
      </c>
      <c r="G3549" s="47">
        <v>1.45</v>
      </c>
      <c r="H3549" s="48">
        <v>45.861</v>
      </c>
      <c r="I3549" s="48">
        <v>31643.964</v>
      </c>
      <c r="J3549" s="49">
        <v>690</v>
      </c>
      <c r="K3549" s="49">
        <v>156</v>
      </c>
      <c r="L3549" s="49">
        <v>534</v>
      </c>
    </row>
    <row r="3550" spans="1:12" x14ac:dyDescent="0.25">
      <c r="A3550" s="45">
        <f>C3550&amp;"."&amp;IFERROR(MID(E3550,FIND("(",E3550)+1,FIND(")",E3550)-FIND("(",E3550)-1),"")</f>
      </c>
      <c r="B3550" s="46" t="s">
        <v>1178</v>
      </c>
      <c r="C3550" s="46">
        <v>87564</v>
      </c>
      <c r="D3550" s="46" t="s">
        <v>800</v>
      </c>
      <c r="E3550" s="46" t="s">
        <v>5966</v>
      </c>
      <c r="F3550" s="46" t="s">
        <v>25</v>
      </c>
      <c r="G3550" s="47">
        <v>35</v>
      </c>
      <c r="H3550" s="48">
        <v>373.236</v>
      </c>
      <c r="I3550" s="48">
        <v>65316.308</v>
      </c>
      <c r="J3550" s="49">
        <v>175</v>
      </c>
      <c r="K3550" s="49">
        <v>122</v>
      </c>
      <c r="L3550" s="49">
        <v>53</v>
      </c>
    </row>
    <row r="3551" spans="1:12" x14ac:dyDescent="0.25">
      <c r="A3551" s="45">
        <f>C3551&amp;"."&amp;IFERROR(MID(E3551,FIND("(",E3551)+1,FIND(")",E3551)-FIND("(",E3551)-1),"")</f>
      </c>
      <c r="B3551" s="46" t="s">
        <v>1178</v>
      </c>
      <c r="C3551" s="46">
        <v>87565</v>
      </c>
      <c r="D3551" s="46" t="s">
        <v>93</v>
      </c>
      <c r="E3551" s="46" t="s">
        <v>5967</v>
      </c>
      <c r="F3551" s="46" t="s">
        <v>26</v>
      </c>
      <c r="G3551" s="47">
        <v>1.45</v>
      </c>
      <c r="H3551" s="48">
        <v>46.12</v>
      </c>
      <c r="I3551" s="48">
        <v>6548.99</v>
      </c>
      <c r="J3551" s="49">
        <v>142</v>
      </c>
      <c r="K3551" s="49">
        <v>61</v>
      </c>
      <c r="L3551" s="49">
        <v>81</v>
      </c>
    </row>
    <row r="3552" spans="1:12" x14ac:dyDescent="0.25">
      <c r="A3552" s="45">
        <f>C3552&amp;"."&amp;IFERROR(MID(E3552,FIND("(",E3552)+1,FIND(")",E3552)-FIND("(",E3552)-1),"")</f>
      </c>
      <c r="B3552" s="46" t="s">
        <v>1178</v>
      </c>
      <c r="C3552" s="46">
        <v>87566</v>
      </c>
      <c r="D3552" s="46" t="s">
        <v>597</v>
      </c>
      <c r="E3552" s="46" t="s">
        <v>1248</v>
      </c>
      <c r="F3552" s="46" t="s">
        <v>26</v>
      </c>
      <c r="G3552" s="47">
        <v>12</v>
      </c>
      <c r="H3552" s="48">
        <v>89.719</v>
      </c>
      <c r="I3552" s="48">
        <v>34183.125</v>
      </c>
      <c r="J3552" s="49">
        <v>381</v>
      </c>
      <c r="K3552" s="49">
        <v>93</v>
      </c>
      <c r="L3552" s="49">
        <v>288</v>
      </c>
    </row>
    <row r="3553" spans="1:12" x14ac:dyDescent="0.25">
      <c r="A3553" s="45">
        <f>C3553&amp;"."&amp;IFERROR(MID(E3553,FIND("(",E3553)+1,FIND(")",E3553)-FIND("(",E3553)-1),"")</f>
      </c>
      <c r="B3553" s="46" t="s">
        <v>1178</v>
      </c>
      <c r="C3553" s="46">
        <v>87567</v>
      </c>
      <c r="D3553" s="46" t="s">
        <v>5968</v>
      </c>
      <c r="E3553" s="46" t="s">
        <v>5969</v>
      </c>
      <c r="F3553" s="46" t="s">
        <v>26</v>
      </c>
      <c r="G3553" s="47">
        <v>2.9</v>
      </c>
      <c r="H3553" s="48">
        <v>15.367</v>
      </c>
      <c r="I3553" s="48">
        <v>138.307</v>
      </c>
      <c r="J3553" s="49">
        <v>9</v>
      </c>
      <c r="K3553" s="49">
        <v>9</v>
      </c>
      <c r="L3553" s="49">
        <v>0</v>
      </c>
    </row>
    <row r="3554" spans="1:12" x14ac:dyDescent="0.25">
      <c r="A3554" s="45">
        <f>C3554&amp;"."&amp;IFERROR(MID(E3554,FIND("(",E3554)+1,FIND(")",E3554)-FIND("(",E3554)-1),"")</f>
      </c>
      <c r="B3554" s="46" t="s">
        <v>1178</v>
      </c>
      <c r="C3554" s="46">
        <v>87568</v>
      </c>
      <c r="D3554" s="46" t="s">
        <v>5970</v>
      </c>
      <c r="E3554" s="46" t="s">
        <v>5971</v>
      </c>
      <c r="F3554" s="46" t="s">
        <v>26</v>
      </c>
      <c r="G3554" s="47">
        <v>1.01</v>
      </c>
      <c r="H3554" s="48">
        <v>6.341</v>
      </c>
      <c r="I3554" s="48">
        <v>31.707</v>
      </c>
      <c r="J3554" s="49">
        <v>5</v>
      </c>
      <c r="K3554" s="49">
        <v>1</v>
      </c>
      <c r="L3554" s="49">
        <v>4</v>
      </c>
    </row>
    <row r="3555" spans="1:12" x14ac:dyDescent="0.25">
      <c r="A3555" s="45">
        <f>C3555&amp;"."&amp;IFERROR(MID(E3555,FIND("(",E3555)+1,FIND(")",E3555)-FIND("(",E3555)-1),"")</f>
      </c>
      <c r="B3555" s="46" t="s">
        <v>1178</v>
      </c>
      <c r="C3555" s="46">
        <v>87573</v>
      </c>
      <c r="D3555" s="46" t="s">
        <v>5972</v>
      </c>
      <c r="E3555" s="46" t="s">
        <v>5973</v>
      </c>
      <c r="F3555" s="46" t="s">
        <v>26</v>
      </c>
      <c r="G3555" s="47">
        <v>1.85</v>
      </c>
      <c r="H3555" s="48">
        <v>19.178</v>
      </c>
      <c r="I3555" s="48">
        <v>57.533</v>
      </c>
      <c r="J3555" s="49">
        <v>3</v>
      </c>
      <c r="K3555" s="49">
        <v>0</v>
      </c>
      <c r="L3555" s="49">
        <v>3</v>
      </c>
    </row>
    <row r="3556" spans="1:12" x14ac:dyDescent="0.25">
      <c r="A3556" s="45">
        <f>C3556&amp;"."&amp;IFERROR(MID(E3556,FIND("(",E3556)+1,FIND(")",E3556)-FIND("(",E3556)-1),"")</f>
      </c>
      <c r="B3556" s="46" t="s">
        <v>1178</v>
      </c>
      <c r="C3556" s="46">
        <v>87574</v>
      </c>
      <c r="D3556" s="46" t="s">
        <v>5974</v>
      </c>
      <c r="E3556" s="46" t="s">
        <v>5975</v>
      </c>
      <c r="F3556" s="46" t="s">
        <v>26</v>
      </c>
      <c r="G3556" s="47">
        <v>1.29</v>
      </c>
      <c r="H3556" s="48">
        <v>4.668</v>
      </c>
      <c r="I3556" s="48">
        <v>9.336</v>
      </c>
      <c r="J3556" s="49">
        <v>2</v>
      </c>
      <c r="K3556" s="49">
        <v>1</v>
      </c>
      <c r="L3556" s="49">
        <v>1</v>
      </c>
    </row>
    <row r="3557" spans="1:12" x14ac:dyDescent="0.25">
      <c r="A3557" s="45">
        <f>C3557&amp;"."&amp;IFERROR(MID(E3557,FIND("(",E3557)+1,FIND(")",E3557)-FIND("(",E3557)-1),"")</f>
      </c>
      <c r="B3557" s="46" t="s">
        <v>1178</v>
      </c>
      <c r="C3557" s="46">
        <v>87576</v>
      </c>
      <c r="D3557" s="46" t="s">
        <v>5976</v>
      </c>
      <c r="E3557" s="46" t="s">
        <v>1248</v>
      </c>
      <c r="F3557" s="46" t="s">
        <v>26</v>
      </c>
      <c r="G3557" s="47">
        <v>1.72</v>
      </c>
      <c r="H3557" s="48">
        <v>4.293</v>
      </c>
      <c r="I3557" s="48">
        <v>21.466</v>
      </c>
      <c r="J3557" s="49">
        <v>5</v>
      </c>
      <c r="K3557" s="49">
        <v>0</v>
      </c>
      <c r="L3557" s="49">
        <v>5</v>
      </c>
    </row>
    <row r="3558" spans="1:12" x14ac:dyDescent="0.25">
      <c r="A3558" s="45">
        <f>C3558&amp;"."&amp;IFERROR(MID(E3558,FIND("(",E3558)+1,FIND(")",E3558)-FIND("(",E3558)-1),"")</f>
      </c>
      <c r="B3558" s="46" t="s">
        <v>1178</v>
      </c>
      <c r="C3558" s="46">
        <v>87578</v>
      </c>
      <c r="D3558" s="46" t="s">
        <v>5977</v>
      </c>
      <c r="E3558" s="46" t="s">
        <v>5978</v>
      </c>
      <c r="F3558" s="46" t="s">
        <v>26</v>
      </c>
      <c r="G3558" s="47">
        <v>13.41</v>
      </c>
      <c r="H3558" s="48">
        <v>22.078</v>
      </c>
      <c r="I3558" s="48">
        <v>66.234</v>
      </c>
      <c r="J3558" s="49">
        <v>3</v>
      </c>
      <c r="K3558" s="49">
        <v>1</v>
      </c>
      <c r="L3558" s="49">
        <v>2</v>
      </c>
    </row>
    <row r="3559" spans="1:12" x14ac:dyDescent="0.25">
      <c r="A3559" s="45">
        <f>C3559&amp;"."&amp;IFERROR(MID(E3559,FIND("(",E3559)+1,FIND(")",E3559)-FIND("(",E3559)-1),"")</f>
      </c>
      <c r="B3559" s="46" t="s">
        <v>1178</v>
      </c>
      <c r="C3559" s="46">
        <v>87579</v>
      </c>
      <c r="D3559" s="46" t="s">
        <v>5979</v>
      </c>
      <c r="E3559" s="46" t="s">
        <v>5980</v>
      </c>
      <c r="F3559" s="46" t="s">
        <v>26</v>
      </c>
      <c r="G3559" s="47">
        <v>13.41</v>
      </c>
      <c r="H3559" s="48">
        <v>40.068</v>
      </c>
      <c r="I3559" s="48">
        <v>120.205</v>
      </c>
      <c r="J3559" s="49">
        <v>3</v>
      </c>
      <c r="K3559" s="49">
        <v>0</v>
      </c>
      <c r="L3559" s="49">
        <v>3</v>
      </c>
    </row>
    <row r="3560" spans="1:12" x14ac:dyDescent="0.25">
      <c r="A3560" s="45">
        <f>C3560&amp;"."&amp;IFERROR(MID(E3560,FIND("(",E3560)+1,FIND(")",E3560)-FIND("(",E3560)-1),"")</f>
      </c>
      <c r="B3560" s="46" t="s">
        <v>1178</v>
      </c>
      <c r="C3560" s="46">
        <v>87585</v>
      </c>
      <c r="D3560" s="46" t="s">
        <v>5981</v>
      </c>
      <c r="E3560" s="46" t="s">
        <v>5982</v>
      </c>
      <c r="F3560" s="46" t="s">
        <v>26</v>
      </c>
      <c r="G3560" s="47">
        <v>1.38</v>
      </c>
      <c r="H3560" s="48">
        <v>4.149</v>
      </c>
      <c r="I3560" s="48">
        <v>37.341</v>
      </c>
      <c r="J3560" s="49">
        <v>9</v>
      </c>
      <c r="K3560" s="49">
        <v>0</v>
      </c>
      <c r="L3560" s="49">
        <v>9</v>
      </c>
    </row>
    <row r="3561" spans="1:12" x14ac:dyDescent="0.25">
      <c r="A3561" s="45">
        <f>C3561&amp;"."&amp;IFERROR(MID(E3561,FIND("(",E3561)+1,FIND(")",E3561)-FIND("(",E3561)-1),"")</f>
      </c>
      <c r="B3561" s="46" t="s">
        <v>1178</v>
      </c>
      <c r="C3561" s="46">
        <v>87588</v>
      </c>
      <c r="D3561" s="46" t="s">
        <v>5983</v>
      </c>
      <c r="E3561" s="46" t="s">
        <v>5984</v>
      </c>
      <c r="F3561" s="46" t="s">
        <v>26</v>
      </c>
      <c r="G3561" s="47">
        <v>12.04</v>
      </c>
      <c r="H3561" s="48">
        <v>20.262</v>
      </c>
      <c r="I3561" s="48">
        <v>101.308</v>
      </c>
      <c r="J3561" s="49">
        <v>5</v>
      </c>
      <c r="K3561" s="49">
        <v>0</v>
      </c>
      <c r="L3561" s="49">
        <v>5</v>
      </c>
    </row>
    <row r="3562" spans="1:12" x14ac:dyDescent="0.25">
      <c r="A3562" s="45">
        <f>C3562&amp;"."&amp;IFERROR(MID(E3562,FIND("(",E3562)+1,FIND(")",E3562)-FIND("(",E3562)-1),"")</f>
      </c>
      <c r="B3562" s="46" t="s">
        <v>1178</v>
      </c>
      <c r="C3562" s="46">
        <v>87589</v>
      </c>
      <c r="D3562" s="46" t="s">
        <v>5985</v>
      </c>
      <c r="E3562" s="46" t="s">
        <v>5986</v>
      </c>
      <c r="F3562" s="46" t="s">
        <v>26</v>
      </c>
      <c r="G3562" s="47">
        <v>12.04</v>
      </c>
      <c r="H3562" s="48">
        <v>19.634</v>
      </c>
      <c r="I3562" s="48">
        <v>39.268</v>
      </c>
      <c r="J3562" s="49">
        <v>2</v>
      </c>
      <c r="K3562" s="49">
        <v>1</v>
      </c>
      <c r="L3562" s="49">
        <v>1</v>
      </c>
    </row>
    <row r="3563" spans="1:12" x14ac:dyDescent="0.25">
      <c r="A3563" s="45">
        <f>C3563&amp;"."&amp;IFERROR(MID(E3563,FIND("(",E3563)+1,FIND(")",E3563)-FIND("(",E3563)-1),"")</f>
      </c>
      <c r="B3563" s="46" t="s">
        <v>1178</v>
      </c>
      <c r="C3563" s="46">
        <v>87591</v>
      </c>
      <c r="D3563" s="46" t="s">
        <v>5987</v>
      </c>
      <c r="E3563" s="46" t="s">
        <v>5988</v>
      </c>
      <c r="F3563" s="46" t="s">
        <v>26</v>
      </c>
      <c r="G3563" s="47">
        <v>0.47</v>
      </c>
      <c r="H3563" s="48">
        <v>1.496</v>
      </c>
      <c r="I3563" s="48">
        <v>2.992</v>
      </c>
      <c r="J3563" s="49">
        <v>2</v>
      </c>
      <c r="K3563" s="49">
        <v>0</v>
      </c>
      <c r="L3563" s="49">
        <v>2</v>
      </c>
    </row>
    <row r="3564" spans="1:12" x14ac:dyDescent="0.25">
      <c r="A3564" s="45">
        <f>C3564&amp;"."&amp;IFERROR(MID(E3564,FIND("(",E3564)+1,FIND(")",E3564)-FIND("(",E3564)-1),"")</f>
      </c>
      <c r="B3564" s="46" t="s">
        <v>1178</v>
      </c>
      <c r="C3564" s="46">
        <v>87592</v>
      </c>
      <c r="D3564" s="46" t="s">
        <v>5989</v>
      </c>
      <c r="E3564" s="46" t="s">
        <v>5990</v>
      </c>
      <c r="F3564" s="46" t="s">
        <v>26</v>
      </c>
      <c r="G3564" s="47">
        <v>0.47</v>
      </c>
      <c r="H3564" s="48">
        <v>1.496</v>
      </c>
      <c r="I3564" s="48">
        <v>7.481</v>
      </c>
      <c r="J3564" s="49">
        <v>5</v>
      </c>
      <c r="K3564" s="49">
        <v>0</v>
      </c>
      <c r="L3564" s="49">
        <v>5</v>
      </c>
    </row>
    <row r="3565" spans="1:12" x14ac:dyDescent="0.25">
      <c r="A3565" s="45">
        <f>C3565&amp;"."&amp;IFERROR(MID(E3565,FIND("(",E3565)+1,FIND(")",E3565)-FIND("(",E3565)-1),"")</f>
      </c>
      <c r="B3565" s="46" t="s">
        <v>1178</v>
      </c>
      <c r="C3565" s="46">
        <v>87598</v>
      </c>
      <c r="D3565" s="46" t="s">
        <v>5991</v>
      </c>
      <c r="E3565" s="46" t="s">
        <v>5992</v>
      </c>
      <c r="F3565" s="46" t="s">
        <v>26</v>
      </c>
      <c r="G3565" s="47">
        <v>10.8</v>
      </c>
      <c r="H3565" s="48">
        <v>31.94</v>
      </c>
      <c r="I3565" s="48">
        <v>159.7</v>
      </c>
      <c r="J3565" s="49">
        <v>5</v>
      </c>
      <c r="K3565" s="49">
        <v>0</v>
      </c>
      <c r="L3565" s="49">
        <v>5</v>
      </c>
    </row>
    <row r="3566" spans="1:12" x14ac:dyDescent="0.25">
      <c r="A3566" s="45">
        <f>C3566&amp;"."&amp;IFERROR(MID(E3566,FIND("(",E3566)+1,FIND(")",E3566)-FIND("(",E3566)-1),"")</f>
      </c>
      <c r="B3566" s="46" t="s">
        <v>1178</v>
      </c>
      <c r="C3566" s="46">
        <v>87600</v>
      </c>
      <c r="D3566" s="46" t="s">
        <v>5993</v>
      </c>
      <c r="E3566" s="46" t="s">
        <v>5994</v>
      </c>
      <c r="F3566" s="46" t="s">
        <v>26</v>
      </c>
      <c r="G3566" s="47">
        <v>0.68</v>
      </c>
      <c r="H3566" s="48">
        <v>2.765</v>
      </c>
      <c r="I3566" s="48">
        <v>13.825</v>
      </c>
      <c r="J3566" s="49">
        <v>5</v>
      </c>
      <c r="K3566" s="49">
        <v>0</v>
      </c>
      <c r="L3566" s="49">
        <v>5</v>
      </c>
    </row>
    <row r="3567" spans="1:12" x14ac:dyDescent="0.25">
      <c r="A3567" s="45">
        <f>C3567&amp;"."&amp;IFERROR(MID(E3567,FIND("(",E3567)+1,FIND(")",E3567)-FIND("(",E3567)-1),"")</f>
      </c>
      <c r="B3567" s="46" t="s">
        <v>1178</v>
      </c>
      <c r="C3567" s="46">
        <v>87609</v>
      </c>
      <c r="D3567" s="46" t="s">
        <v>5995</v>
      </c>
      <c r="E3567" s="46" t="s">
        <v>5996</v>
      </c>
      <c r="F3567" s="46" t="s">
        <v>26</v>
      </c>
      <c r="G3567" s="47">
        <v>3.74</v>
      </c>
      <c r="H3567" s="48">
        <v>12.295</v>
      </c>
      <c r="I3567" s="48">
        <v>110.658</v>
      </c>
      <c r="J3567" s="49">
        <v>9</v>
      </c>
      <c r="K3567" s="49">
        <v>0</v>
      </c>
      <c r="L3567" s="49">
        <v>9</v>
      </c>
    </row>
    <row r="3568" spans="1:12" x14ac:dyDescent="0.25">
      <c r="A3568" s="45">
        <f>C3568&amp;"."&amp;IFERROR(MID(E3568,FIND("(",E3568)+1,FIND(")",E3568)-FIND("(",E3568)-1),"")</f>
      </c>
      <c r="B3568" s="46" t="s">
        <v>1178</v>
      </c>
      <c r="C3568" s="46">
        <v>87614</v>
      </c>
      <c r="D3568" s="46" t="s">
        <v>5997</v>
      </c>
      <c r="E3568" s="46" t="s">
        <v>5998</v>
      </c>
      <c r="F3568" s="46" t="s">
        <v>26</v>
      </c>
      <c r="G3568" s="47">
        <v>10.19</v>
      </c>
      <c r="H3568" s="48">
        <v>33.675</v>
      </c>
      <c r="I3568" s="48">
        <v>707.169</v>
      </c>
      <c r="J3568" s="49">
        <v>21</v>
      </c>
      <c r="K3568" s="49">
        <v>2</v>
      </c>
      <c r="L3568" s="49">
        <v>19</v>
      </c>
    </row>
    <row r="3569" spans="1:12" x14ac:dyDescent="0.25">
      <c r="A3569" s="45">
        <f>C3569&amp;"."&amp;IFERROR(MID(E3569,FIND("(",E3569)+1,FIND(")",E3569)-FIND("(",E3569)-1),"")</f>
      </c>
      <c r="B3569" s="46" t="s">
        <v>1178</v>
      </c>
      <c r="C3569" s="46">
        <v>87614</v>
      </c>
      <c r="D3569" s="46" t="s">
        <v>5997</v>
      </c>
      <c r="E3569" s="46" t="s">
        <v>5999</v>
      </c>
      <c r="F3569" s="46" t="s">
        <v>26</v>
      </c>
      <c r="G3569" s="47">
        <v>10.19</v>
      </c>
      <c r="H3569" s="48">
        <v>33.543</v>
      </c>
      <c r="I3569" s="48">
        <v>402.517</v>
      </c>
      <c r="J3569" s="49">
        <v>12</v>
      </c>
      <c r="K3569" s="49">
        <v>5</v>
      </c>
      <c r="L3569" s="49">
        <v>7</v>
      </c>
    </row>
    <row r="3570" spans="1:12" x14ac:dyDescent="0.25">
      <c r="A3570" s="45">
        <f>C3570&amp;"."&amp;IFERROR(MID(E3570,FIND("(",E3570)+1,FIND(")",E3570)-FIND("(",E3570)-1),"")</f>
      </c>
      <c r="B3570" s="46" t="s">
        <v>1178</v>
      </c>
      <c r="C3570" s="46">
        <v>87618</v>
      </c>
      <c r="D3570" s="46" t="s">
        <v>6000</v>
      </c>
      <c r="E3570" s="46" t="s">
        <v>1248</v>
      </c>
      <c r="F3570" s="46" t="s">
        <v>1495</v>
      </c>
      <c r="G3570" s="47">
        <v>0.04</v>
      </c>
      <c r="H3570" s="48">
        <v>3.31</v>
      </c>
      <c r="I3570" s="48">
        <v>129.096</v>
      </c>
      <c r="J3570" s="49">
        <v>39</v>
      </c>
      <c r="K3570" s="49">
        <v>3</v>
      </c>
      <c r="L3570" s="49">
        <v>36</v>
      </c>
    </row>
    <row r="3571" spans="1:12" x14ac:dyDescent="0.25">
      <c r="A3571" s="45">
        <f>C3571&amp;"."&amp;IFERROR(MID(E3571,FIND("(",E3571)+1,FIND(")",E3571)-FIND("(",E3571)-1),"")</f>
      </c>
      <c r="B3571" s="46" t="s">
        <v>1178</v>
      </c>
      <c r="C3571" s="46">
        <v>87626</v>
      </c>
      <c r="D3571" s="46" t="s">
        <v>135</v>
      </c>
      <c r="E3571" s="46" t="s">
        <v>6001</v>
      </c>
      <c r="F3571" s="46" t="s">
        <v>25</v>
      </c>
      <c r="G3571" s="47">
        <v>11.8</v>
      </c>
      <c r="H3571" s="48">
        <v>61.257</v>
      </c>
      <c r="I3571" s="48">
        <v>4288.011</v>
      </c>
      <c r="J3571" s="49">
        <v>70</v>
      </c>
      <c r="K3571" s="49">
        <v>20</v>
      </c>
      <c r="L3571" s="49">
        <v>50</v>
      </c>
    </row>
    <row r="3572" spans="1:12" x14ac:dyDescent="0.25">
      <c r="A3572" s="45">
        <f>C3572&amp;"."&amp;IFERROR(MID(E3572,FIND("(",E3572)+1,FIND(")",E3572)-FIND("(",E3572)-1),"")</f>
      </c>
      <c r="B3572" s="46" t="s">
        <v>1178</v>
      </c>
      <c r="C3572" s="46">
        <v>87626</v>
      </c>
      <c r="D3572" s="46" t="s">
        <v>135</v>
      </c>
      <c r="E3572" s="46" t="s">
        <v>6002</v>
      </c>
      <c r="F3572" s="46" t="s">
        <v>25</v>
      </c>
      <c r="G3572" s="47">
        <v>11.8</v>
      </c>
      <c r="H3572" s="48">
        <v>56.101</v>
      </c>
      <c r="I3572" s="48">
        <v>26143.061</v>
      </c>
      <c r="J3572" s="49">
        <v>466</v>
      </c>
      <c r="K3572" s="49">
        <v>213</v>
      </c>
      <c r="L3572" s="49">
        <v>253</v>
      </c>
    </row>
    <row r="3573" spans="1:12" x14ac:dyDescent="0.25">
      <c r="A3573" s="45">
        <f>C3573&amp;"."&amp;IFERROR(MID(E3573,FIND("(",E3573)+1,FIND(")",E3573)-FIND("(",E3573)-1),"")</f>
      </c>
      <c r="B3573" s="46" t="s">
        <v>1178</v>
      </c>
      <c r="C3573" s="46">
        <v>87640</v>
      </c>
      <c r="D3573" s="46" t="s">
        <v>6003</v>
      </c>
      <c r="E3573" s="46" t="s">
        <v>1248</v>
      </c>
      <c r="F3573" s="46" t="s">
        <v>1495</v>
      </c>
      <c r="G3573" s="47">
        <v>0</v>
      </c>
      <c r="H3573" s="48">
        <v>0.912</v>
      </c>
      <c r="I3573" s="48">
        <v>40.143</v>
      </c>
      <c r="J3573" s="49">
        <v>44</v>
      </c>
      <c r="K3573" s="49">
        <v>0</v>
      </c>
      <c r="L3573" s="49">
        <v>44</v>
      </c>
    </row>
    <row r="3574" spans="1:12" x14ac:dyDescent="0.25">
      <c r="A3574" s="45">
        <f>C3574&amp;"."&amp;IFERROR(MID(E3574,FIND("(",E3574)+1,FIND(")",E3574)-FIND("(",E3574)-1),"")</f>
      </c>
      <c r="B3574" s="46" t="s">
        <v>1178</v>
      </c>
      <c r="C3574" s="46">
        <v>87646</v>
      </c>
      <c r="D3574" s="46" t="s">
        <v>860</v>
      </c>
      <c r="E3574" s="46" t="s">
        <v>6004</v>
      </c>
      <c r="F3574" s="46" t="s">
        <v>25</v>
      </c>
      <c r="G3574" s="47">
        <v>6.8</v>
      </c>
      <c r="H3574" s="48">
        <v>49.411</v>
      </c>
      <c r="I3574" s="48">
        <v>22333.891</v>
      </c>
      <c r="J3574" s="49">
        <v>452</v>
      </c>
      <c r="K3574" s="49">
        <v>213</v>
      </c>
      <c r="L3574" s="49">
        <v>239</v>
      </c>
    </row>
    <row r="3575" spans="1:12" x14ac:dyDescent="0.25">
      <c r="A3575" s="45">
        <f>C3575&amp;"."&amp;IFERROR(MID(E3575,FIND("(",E3575)+1,FIND(")",E3575)-FIND("(",E3575)-1),"")</f>
      </c>
      <c r="B3575" s="46" t="s">
        <v>1178</v>
      </c>
      <c r="C3575" s="46">
        <v>87671</v>
      </c>
      <c r="D3575" s="46" t="s">
        <v>6005</v>
      </c>
      <c r="E3575" s="46" t="s">
        <v>1248</v>
      </c>
      <c r="F3575" s="46" t="s">
        <v>1495</v>
      </c>
      <c r="G3575" s="47">
        <v>0</v>
      </c>
      <c r="H3575" s="48">
        <v>2.439</v>
      </c>
      <c r="I3575" s="48">
        <v>248.819</v>
      </c>
      <c r="J3575" s="49">
        <v>102</v>
      </c>
      <c r="K3575" s="49">
        <v>0</v>
      </c>
      <c r="L3575" s="49">
        <v>102</v>
      </c>
    </row>
    <row r="3576" spans="1:12" x14ac:dyDescent="0.25">
      <c r="A3576" s="45">
        <f>C3576&amp;"."&amp;IFERROR(MID(E3576,FIND("(",E3576)+1,FIND(")",E3576)-FIND("(",E3576)-1),"")</f>
      </c>
      <c r="B3576" s="46" t="s">
        <v>1178</v>
      </c>
      <c r="C3576" s="46">
        <v>87679</v>
      </c>
      <c r="D3576" s="46" t="s">
        <v>6006</v>
      </c>
      <c r="E3576" s="46" t="s">
        <v>1248</v>
      </c>
      <c r="F3576" s="46" t="s">
        <v>1495</v>
      </c>
      <c r="G3576" s="47">
        <v>0</v>
      </c>
      <c r="H3576" s="48">
        <v>82.288</v>
      </c>
      <c r="I3576" s="48">
        <v>82.288</v>
      </c>
      <c r="J3576" s="49">
        <v>1</v>
      </c>
      <c r="K3576" s="49">
        <v>0</v>
      </c>
      <c r="L3576" s="49">
        <v>1</v>
      </c>
    </row>
    <row r="3577" spans="1:12" x14ac:dyDescent="0.25">
      <c r="A3577" s="45">
        <f>C3577&amp;"."&amp;IFERROR(MID(E3577,FIND("(",E3577)+1,FIND(")",E3577)-FIND("(",E3577)-1),"")</f>
      </c>
      <c r="B3577" s="46" t="s">
        <v>1178</v>
      </c>
      <c r="C3577" s="46">
        <v>87680</v>
      </c>
      <c r="D3577" s="46" t="s">
        <v>6007</v>
      </c>
      <c r="E3577" s="46" t="s">
        <v>1248</v>
      </c>
      <c r="F3577" s="46" t="s">
        <v>1495</v>
      </c>
      <c r="G3577" s="47">
        <v>0</v>
      </c>
      <c r="H3577" s="48">
        <v>0.313</v>
      </c>
      <c r="I3577" s="48">
        <v>4.7</v>
      </c>
      <c r="J3577" s="49">
        <v>15</v>
      </c>
      <c r="K3577" s="49">
        <v>1</v>
      </c>
      <c r="L3577" s="49">
        <v>14</v>
      </c>
    </row>
    <row r="3578" spans="1:12" x14ac:dyDescent="0.25">
      <c r="A3578" s="45">
        <f>C3578&amp;"."&amp;IFERROR(MID(E3578,FIND("(",E3578)+1,FIND(")",E3578)-FIND("(",E3578)-1),"")</f>
      </c>
      <c r="B3578" s="46" t="s">
        <v>1178</v>
      </c>
      <c r="C3578" s="46">
        <v>87697</v>
      </c>
      <c r="D3578" s="46" t="s">
        <v>6008</v>
      </c>
      <c r="E3578" s="46" t="s">
        <v>1248</v>
      </c>
      <c r="F3578" s="46" t="s">
        <v>1495</v>
      </c>
      <c r="G3578" s="47">
        <v>0</v>
      </c>
      <c r="H3578" s="48">
        <v>0.61</v>
      </c>
      <c r="I3578" s="48">
        <v>189.799</v>
      </c>
      <c r="J3578" s="49">
        <v>311</v>
      </c>
      <c r="K3578" s="49">
        <v>311</v>
      </c>
      <c r="L3578" s="49">
        <v>0</v>
      </c>
    </row>
    <row r="3579" spans="1:12" x14ac:dyDescent="0.25">
      <c r="A3579" s="45">
        <f>C3579&amp;"."&amp;IFERROR(MID(E3579,FIND("(",E3579)+1,FIND(")",E3579)-FIND("(",E3579)-1),"")</f>
      </c>
      <c r="B3579" s="46" t="s">
        <v>1178</v>
      </c>
      <c r="C3579" s="46">
        <v>87719</v>
      </c>
      <c r="D3579" s="46" t="s">
        <v>6009</v>
      </c>
      <c r="E3579" s="46" t="s">
        <v>1248</v>
      </c>
      <c r="F3579" s="46" t="s">
        <v>1495</v>
      </c>
      <c r="G3579" s="47">
        <v>0</v>
      </c>
      <c r="H3579" s="48">
        <v>0.151</v>
      </c>
      <c r="I3579" s="48">
        <v>3.311</v>
      </c>
      <c r="J3579" s="49">
        <v>22</v>
      </c>
      <c r="K3579" s="49">
        <v>0</v>
      </c>
      <c r="L3579" s="49">
        <v>22</v>
      </c>
    </row>
    <row r="3580" spans="1:12" x14ac:dyDescent="0.25">
      <c r="A3580" s="45">
        <f>C3580&amp;"."&amp;IFERROR(MID(E3580,FIND("(",E3580)+1,FIND(")",E3580)-FIND("(",E3580)-1),"")</f>
      </c>
      <c r="B3580" s="46" t="s">
        <v>1178</v>
      </c>
      <c r="C3580" s="46">
        <v>87755</v>
      </c>
      <c r="D3580" s="46" t="s">
        <v>6010</v>
      </c>
      <c r="E3580" s="46" t="s">
        <v>1248</v>
      </c>
      <c r="F3580" s="46" t="s">
        <v>1495</v>
      </c>
      <c r="G3580" s="47">
        <v>0</v>
      </c>
      <c r="H3580" s="48">
        <v>0.313</v>
      </c>
      <c r="I3580" s="48">
        <v>4.384</v>
      </c>
      <c r="J3580" s="49">
        <v>14</v>
      </c>
      <c r="K3580" s="49">
        <v>7</v>
      </c>
      <c r="L3580" s="49">
        <v>7</v>
      </c>
    </row>
    <row r="3581" spans="1:12" x14ac:dyDescent="0.25">
      <c r="A3581" s="45">
        <f>C3581&amp;"."&amp;IFERROR(MID(E3581,FIND("(",E3581)+1,FIND(")",E3581)-FIND("(",E3581)-1),"")</f>
      </c>
      <c r="B3581" s="46" t="s">
        <v>1178</v>
      </c>
      <c r="C3581" s="46">
        <v>87757</v>
      </c>
      <c r="D3581" s="46" t="s">
        <v>6011</v>
      </c>
      <c r="E3581" s="46" t="s">
        <v>1248</v>
      </c>
      <c r="F3581" s="46" t="s">
        <v>1495</v>
      </c>
      <c r="G3581" s="47">
        <v>0.96</v>
      </c>
      <c r="H3581" s="48">
        <v>130.441</v>
      </c>
      <c r="I3581" s="48">
        <v>4826.324</v>
      </c>
      <c r="J3581" s="49">
        <v>37</v>
      </c>
      <c r="K3581" s="49">
        <v>20</v>
      </c>
      <c r="L3581" s="49">
        <v>17</v>
      </c>
    </row>
    <row r="3582" spans="1:12" x14ac:dyDescent="0.25">
      <c r="A3582" s="45">
        <f>C3582&amp;"."&amp;IFERROR(MID(E3582,FIND("(",E3582)+1,FIND(")",E3582)-FIND("(",E3582)-1),"")</f>
      </c>
      <c r="B3582" s="46" t="s">
        <v>1178</v>
      </c>
      <c r="C3582" s="46">
        <v>87760</v>
      </c>
      <c r="D3582" s="46" t="s">
        <v>6012</v>
      </c>
      <c r="E3582" s="46" t="s">
        <v>1248</v>
      </c>
      <c r="F3582" s="46" t="s">
        <v>1495</v>
      </c>
      <c r="G3582" s="47">
        <v>0</v>
      </c>
      <c r="H3582" s="48">
        <v>2.866</v>
      </c>
      <c r="I3582" s="48">
        <v>2.866</v>
      </c>
      <c r="J3582" s="49">
        <v>1</v>
      </c>
      <c r="K3582" s="49">
        <v>0</v>
      </c>
      <c r="L3582" s="49">
        <v>1</v>
      </c>
    </row>
    <row r="3583" spans="1:12" x14ac:dyDescent="0.25">
      <c r="A3583" s="45">
        <f>C3583&amp;"."&amp;IFERROR(MID(E3583,FIND("(",E3583)+1,FIND(")",E3583)-FIND("(",E3583)-1),"")</f>
      </c>
      <c r="B3583" s="46" t="s">
        <v>1178</v>
      </c>
      <c r="C3583" s="46">
        <v>87779</v>
      </c>
      <c r="D3583" s="46" t="s">
        <v>6013</v>
      </c>
      <c r="E3583" s="46" t="s">
        <v>1248</v>
      </c>
      <c r="F3583" s="46" t="s">
        <v>1495</v>
      </c>
      <c r="G3583" s="47">
        <v>0</v>
      </c>
      <c r="H3583" s="48">
        <v>120.377</v>
      </c>
      <c r="I3583" s="48">
        <v>3009.43</v>
      </c>
      <c r="J3583" s="49">
        <v>25</v>
      </c>
      <c r="K3583" s="49">
        <v>20</v>
      </c>
      <c r="L3583" s="49">
        <v>5</v>
      </c>
    </row>
    <row r="3584" spans="1:12" x14ac:dyDescent="0.25">
      <c r="A3584" s="45">
        <f>C3584&amp;"."&amp;IFERROR(MID(E3584,FIND("(",E3584)+1,FIND(")",E3584)-FIND("(",E3584)-1),"")</f>
      </c>
      <c r="B3584" s="46" t="s">
        <v>1178</v>
      </c>
      <c r="C3584" s="46">
        <v>87812</v>
      </c>
      <c r="D3584" s="46" t="s">
        <v>812</v>
      </c>
      <c r="E3584" s="46" t="s">
        <v>6014</v>
      </c>
      <c r="F3584" s="46" t="s">
        <v>25</v>
      </c>
      <c r="G3584" s="47">
        <v>14</v>
      </c>
      <c r="H3584" s="48">
        <v>82.976</v>
      </c>
      <c r="I3584" s="48">
        <v>5227.515</v>
      </c>
      <c r="J3584" s="49">
        <v>63</v>
      </c>
      <c r="K3584" s="49">
        <v>20</v>
      </c>
      <c r="L3584" s="49">
        <v>43</v>
      </c>
    </row>
    <row r="3585" spans="1:12" x14ac:dyDescent="0.25">
      <c r="A3585" s="45">
        <f>C3585&amp;"."&amp;IFERROR(MID(E3585,FIND("(",E3585)+1,FIND(")",E3585)-FIND("(",E3585)-1),"")</f>
      </c>
      <c r="B3585" s="46" t="s">
        <v>1178</v>
      </c>
      <c r="C3585" s="46">
        <v>87816</v>
      </c>
      <c r="D3585" s="46" t="s">
        <v>6015</v>
      </c>
      <c r="E3585" s="46" t="s">
        <v>1248</v>
      </c>
      <c r="F3585" s="46" t="s">
        <v>1495</v>
      </c>
      <c r="G3585" s="47">
        <v>0</v>
      </c>
      <c r="H3585" s="48">
        <v>0.016</v>
      </c>
      <c r="I3585" s="48">
        <v>1.552</v>
      </c>
      <c r="J3585" s="49">
        <v>100</v>
      </c>
      <c r="K3585" s="49">
        <v>0</v>
      </c>
      <c r="L3585" s="49">
        <v>100</v>
      </c>
    </row>
    <row r="3586" spans="1:12" x14ac:dyDescent="0.25">
      <c r="A3586" s="45">
        <f>C3586&amp;"."&amp;IFERROR(MID(E3586,FIND("(",E3586)+1,FIND(")",E3586)-FIND("(",E3586)-1),"")</f>
      </c>
      <c r="B3586" s="46" t="s">
        <v>1178</v>
      </c>
      <c r="C3586" s="46">
        <v>87819</v>
      </c>
      <c r="D3586" s="46" t="s">
        <v>6016</v>
      </c>
      <c r="E3586" s="46" t="s">
        <v>1248</v>
      </c>
      <c r="F3586" s="46" t="s">
        <v>1495</v>
      </c>
      <c r="G3586" s="47">
        <v>0</v>
      </c>
      <c r="H3586" s="48">
        <v>0.057</v>
      </c>
      <c r="I3586" s="48">
        <v>8.008</v>
      </c>
      <c r="J3586" s="49">
        <v>140</v>
      </c>
      <c r="K3586" s="49">
        <v>0</v>
      </c>
      <c r="L3586" s="49">
        <v>140</v>
      </c>
    </row>
    <row r="3587" spans="1:12" x14ac:dyDescent="0.25">
      <c r="A3587" s="45">
        <f>C3587&amp;"."&amp;IFERROR(MID(E3587,FIND("(",E3587)+1,FIND(")",E3587)-FIND("(",E3587)-1),"")</f>
      </c>
      <c r="B3587" s="46" t="s">
        <v>1178</v>
      </c>
      <c r="C3587" s="46">
        <v>87851</v>
      </c>
      <c r="D3587" s="46" t="s">
        <v>6017</v>
      </c>
      <c r="E3587" s="46" t="s">
        <v>6018</v>
      </c>
      <c r="F3587" s="46" t="s">
        <v>25</v>
      </c>
      <c r="G3587" s="47">
        <v>0</v>
      </c>
      <c r="H3587" s="48">
        <v>1671.818</v>
      </c>
      <c r="I3587" s="48">
        <v>1671.818</v>
      </c>
      <c r="J3587" s="49">
        <v>1</v>
      </c>
      <c r="K3587" s="49">
        <v>0</v>
      </c>
      <c r="L3587" s="49">
        <v>1</v>
      </c>
    </row>
    <row r="3588" spans="1:12" x14ac:dyDescent="0.25">
      <c r="A3588" s="45">
        <f>C3588&amp;"."&amp;IFERROR(MID(E3588,FIND("(",E3588)+1,FIND(")",E3588)-FIND("(",E3588)-1),"")</f>
      </c>
      <c r="B3588" s="46" t="s">
        <v>1178</v>
      </c>
      <c r="C3588" s="46">
        <v>941</v>
      </c>
      <c r="D3588" s="46" t="s">
        <v>6019</v>
      </c>
      <c r="E3588" s="46" t="s">
        <v>1248</v>
      </c>
      <c r="F3588" s="46" t="s">
        <v>1495</v>
      </c>
      <c r="G3588" s="47">
        <v>0</v>
      </c>
      <c r="H3588" s="48">
        <v>0.525</v>
      </c>
      <c r="I3588" s="48">
        <v>7349.207</v>
      </c>
      <c r="J3588" s="49">
        <v>14000</v>
      </c>
      <c r="K3588" s="49">
        <v>0</v>
      </c>
      <c r="L3588" s="49">
        <v>14000</v>
      </c>
    </row>
    <row r="3589" spans="1:12" x14ac:dyDescent="0.25">
      <c r="A3589" s="45">
        <f>C3589&amp;"."&amp;IFERROR(MID(E3589,FIND("(",E3589)+1,FIND(")",E3589)-FIND("(",E3589)-1),"")</f>
      </c>
      <c r="B3589" s="46" t="s">
        <v>1178</v>
      </c>
      <c r="C3589" s="46">
        <v>94767</v>
      </c>
      <c r="D3589" s="46" t="s">
        <v>6020</v>
      </c>
      <c r="E3589" s="46" t="s">
        <v>6021</v>
      </c>
      <c r="F3589" s="46" t="s">
        <v>25</v>
      </c>
      <c r="G3589" s="47">
        <v>0</v>
      </c>
      <c r="H3589" s="48">
        <v>379.829</v>
      </c>
      <c r="I3589" s="48">
        <v>6457.086</v>
      </c>
      <c r="J3589" s="49">
        <v>17</v>
      </c>
      <c r="K3589" s="49">
        <v>9</v>
      </c>
      <c r="L3589" s="49">
        <v>8</v>
      </c>
    </row>
    <row r="3590" spans="1:12" x14ac:dyDescent="0.25">
      <c r="A3590" s="45">
        <f>C3590&amp;"."&amp;IFERROR(MID(E3590,FIND("(",E3590)+1,FIND(")",E3590)-FIND("(",E3590)-1),"")</f>
      </c>
      <c r="B3590" s="46" t="s">
        <v>1178</v>
      </c>
      <c r="C3590" s="46">
        <v>94819</v>
      </c>
      <c r="D3590" s="46" t="s">
        <v>6022</v>
      </c>
      <c r="E3590" s="46" t="s">
        <v>6023</v>
      </c>
      <c r="F3590" s="46" t="s">
        <v>25</v>
      </c>
      <c r="G3590" s="47">
        <v>0</v>
      </c>
      <c r="H3590" s="48">
        <v>175.818</v>
      </c>
      <c r="I3590" s="48">
        <v>879.09</v>
      </c>
      <c r="J3590" s="49">
        <v>5</v>
      </c>
      <c r="K3590" s="49">
        <v>5</v>
      </c>
      <c r="L3590" s="49">
        <v>0</v>
      </c>
    </row>
    <row r="3591" spans="1:12" x14ac:dyDescent="0.25">
      <c r="A3591" s="45">
        <f>C3591&amp;"."&amp;IFERROR(MID(E3591,FIND("(",E3591)+1,FIND(")",E3591)-FIND("(",E3591)-1),"")</f>
      </c>
      <c r="B3591" s="46" t="s">
        <v>1178</v>
      </c>
      <c r="C3591" s="46">
        <v>94823</v>
      </c>
      <c r="D3591" s="46" t="s">
        <v>6024</v>
      </c>
      <c r="E3591" s="46" t="s">
        <v>6025</v>
      </c>
      <c r="F3591" s="46" t="s">
        <v>25</v>
      </c>
      <c r="G3591" s="47">
        <v>0</v>
      </c>
      <c r="H3591" s="48">
        <v>90.806</v>
      </c>
      <c r="I3591" s="48">
        <v>90.806</v>
      </c>
      <c r="J3591" s="49">
        <v>1</v>
      </c>
      <c r="K3591" s="49">
        <v>1</v>
      </c>
      <c r="L3591" s="49">
        <v>0</v>
      </c>
    </row>
    <row r="3592" spans="1:12" x14ac:dyDescent="0.25">
      <c r="A3592" s="45">
        <f>C3592&amp;"."&amp;IFERROR(MID(E3592,FIND("(",E3592)+1,FIND(")",E3592)-FIND("(",E3592)-1),"")</f>
      </c>
      <c r="B3592" s="46" t="s">
        <v>1178</v>
      </c>
      <c r="C3592" s="46">
        <v>94825</v>
      </c>
      <c r="D3592" s="46" t="s">
        <v>6026</v>
      </c>
      <c r="E3592" s="46" t="s">
        <v>6027</v>
      </c>
      <c r="F3592" s="46" t="s">
        <v>25</v>
      </c>
      <c r="G3592" s="47">
        <v>0</v>
      </c>
      <c r="H3592" s="48">
        <v>63.636</v>
      </c>
      <c r="I3592" s="48">
        <v>127.271</v>
      </c>
      <c r="J3592" s="49">
        <v>2</v>
      </c>
      <c r="K3592" s="49">
        <v>2</v>
      </c>
      <c r="L3592" s="49">
        <v>0</v>
      </c>
    </row>
    <row r="3593" spans="1:12" x14ac:dyDescent="0.25">
      <c r="A3593" s="45">
        <f>C3593&amp;"."&amp;IFERROR(MID(E3593,FIND("(",E3593)+1,FIND(")",E3593)-FIND("(",E3593)-1),"")</f>
      </c>
      <c r="B3593" s="46" t="s">
        <v>1178</v>
      </c>
      <c r="C3593" s="46">
        <v>94827</v>
      </c>
      <c r="D3593" s="46" t="s">
        <v>6028</v>
      </c>
      <c r="E3593" s="46" t="s">
        <v>6029</v>
      </c>
      <c r="F3593" s="46" t="s">
        <v>25</v>
      </c>
      <c r="G3593" s="47">
        <v>0</v>
      </c>
      <c r="H3593" s="48">
        <v>42.208</v>
      </c>
      <c r="I3593" s="48">
        <v>84.415</v>
      </c>
      <c r="J3593" s="49">
        <v>2</v>
      </c>
      <c r="K3593" s="49">
        <v>2</v>
      </c>
      <c r="L3593" s="49">
        <v>0</v>
      </c>
    </row>
    <row r="3594" spans="1:12" x14ac:dyDescent="0.25">
      <c r="A3594" s="45">
        <f>C3594&amp;"."&amp;IFERROR(MID(E3594,FIND("(",E3594)+1,FIND(")",E3594)-FIND("(",E3594)-1),"")</f>
      </c>
      <c r="B3594" s="46" t="s">
        <v>1178</v>
      </c>
      <c r="C3594" s="46">
        <v>94828</v>
      </c>
      <c r="D3594" s="46" t="s">
        <v>6030</v>
      </c>
      <c r="E3594" s="46" t="s">
        <v>6031</v>
      </c>
      <c r="F3594" s="46" t="s">
        <v>25</v>
      </c>
      <c r="G3594" s="47">
        <v>0</v>
      </c>
      <c r="H3594" s="48">
        <v>69.448</v>
      </c>
      <c r="I3594" s="48">
        <v>69.448</v>
      </c>
      <c r="J3594" s="49">
        <v>1</v>
      </c>
      <c r="K3594" s="49">
        <v>1</v>
      </c>
      <c r="L3594" s="49">
        <v>0</v>
      </c>
    </row>
    <row r="3595" spans="1:12" x14ac:dyDescent="0.25">
      <c r="A3595" s="45">
        <f>C3595&amp;"."&amp;IFERROR(MID(E3595,FIND("(",E3595)+1,FIND(")",E3595)-FIND("(",E3595)-1),"")</f>
      </c>
      <c r="B3595" s="46" t="s">
        <v>1178</v>
      </c>
      <c r="C3595" s="46">
        <v>94831</v>
      </c>
      <c r="D3595" s="46" t="s">
        <v>6032</v>
      </c>
      <c r="E3595" s="46" t="s">
        <v>1248</v>
      </c>
      <c r="F3595" s="46" t="s">
        <v>24</v>
      </c>
      <c r="G3595" s="47">
        <v>0</v>
      </c>
      <c r="H3595" s="48">
        <v>0</v>
      </c>
      <c r="I3595" s="48">
        <v>0</v>
      </c>
      <c r="J3595" s="49">
        <v>1</v>
      </c>
      <c r="K3595" s="49">
        <v>1</v>
      </c>
      <c r="L3595" s="49">
        <v>0</v>
      </c>
    </row>
    <row r="3596" spans="1:12" x14ac:dyDescent="0.25">
      <c r="A3596" s="45">
        <f>C3596&amp;"."&amp;IFERROR(MID(E3596,FIND("(",E3596)+1,FIND(")",E3596)-FIND("(",E3596)-1),"")</f>
      </c>
      <c r="B3596" s="46" t="s">
        <v>1178</v>
      </c>
      <c r="C3596" s="46">
        <v>94833</v>
      </c>
      <c r="D3596" s="46" t="s">
        <v>6033</v>
      </c>
      <c r="E3596" s="46" t="s">
        <v>1248</v>
      </c>
      <c r="F3596" s="46" t="s">
        <v>24</v>
      </c>
      <c r="G3596" s="47">
        <v>0</v>
      </c>
      <c r="H3596" s="48">
        <v>123.877</v>
      </c>
      <c r="I3596" s="48">
        <v>991.015</v>
      </c>
      <c r="J3596" s="49">
        <v>8</v>
      </c>
      <c r="K3596" s="49">
        <v>4</v>
      </c>
      <c r="L3596" s="49">
        <v>4</v>
      </c>
    </row>
    <row r="3597" spans="1:12" x14ac:dyDescent="0.25">
      <c r="A3597" s="45">
        <f>C3597&amp;"."&amp;IFERROR(MID(E3597,FIND("(",E3597)+1,FIND(")",E3597)-FIND("(",E3597)-1),"")</f>
      </c>
      <c r="B3597" s="46" t="s">
        <v>1178</v>
      </c>
      <c r="C3597" s="46">
        <v>94834</v>
      </c>
      <c r="D3597" s="46" t="s">
        <v>6034</v>
      </c>
      <c r="E3597" s="46" t="s">
        <v>1248</v>
      </c>
      <c r="F3597" s="46" t="s">
        <v>24</v>
      </c>
      <c r="G3597" s="47">
        <v>0</v>
      </c>
      <c r="H3597" s="48">
        <v>225.529</v>
      </c>
      <c r="I3597" s="48">
        <v>225.529</v>
      </c>
      <c r="J3597" s="49">
        <v>1</v>
      </c>
      <c r="K3597" s="49">
        <v>1</v>
      </c>
      <c r="L3597" s="49">
        <v>0</v>
      </c>
    </row>
    <row r="3598" spans="1:12" x14ac:dyDescent="0.25">
      <c r="A3598" s="45">
        <f>C3598&amp;"."&amp;IFERROR(MID(E3598,FIND("(",E3598)+1,FIND(")",E3598)-FIND("(",E3598)-1),"")</f>
      </c>
      <c r="B3598" s="46" t="s">
        <v>1178</v>
      </c>
      <c r="C3598" s="46">
        <v>94835</v>
      </c>
      <c r="D3598" s="46" t="s">
        <v>6035</v>
      </c>
      <c r="E3598" s="46" t="s">
        <v>1248</v>
      </c>
      <c r="F3598" s="46" t="s">
        <v>24</v>
      </c>
      <c r="G3598" s="47">
        <v>0</v>
      </c>
      <c r="H3598" s="48">
        <v>0</v>
      </c>
      <c r="I3598" s="48">
        <v>0</v>
      </c>
      <c r="J3598" s="49">
        <v>1</v>
      </c>
      <c r="K3598" s="49">
        <v>1</v>
      </c>
      <c r="L3598" s="49">
        <v>0</v>
      </c>
    </row>
    <row r="3599" spans="1:12" x14ac:dyDescent="0.25">
      <c r="A3599" s="45">
        <f>C3599&amp;"."&amp;IFERROR(MID(E3599,FIND("(",E3599)+1,FIND(")",E3599)-FIND("(",E3599)-1),"")</f>
      </c>
      <c r="B3599" s="46" t="s">
        <v>1178</v>
      </c>
      <c r="C3599" s="46">
        <v>94836</v>
      </c>
      <c r="D3599" s="46" t="s">
        <v>6036</v>
      </c>
      <c r="E3599" s="46" t="s">
        <v>1248</v>
      </c>
      <c r="F3599" s="46" t="s">
        <v>24</v>
      </c>
      <c r="G3599" s="47">
        <v>0</v>
      </c>
      <c r="H3599" s="48">
        <v>189.775</v>
      </c>
      <c r="I3599" s="48">
        <v>379.551</v>
      </c>
      <c r="J3599" s="49">
        <v>2</v>
      </c>
      <c r="K3599" s="49">
        <v>2</v>
      </c>
      <c r="L3599" s="49">
        <v>0</v>
      </c>
    </row>
    <row r="3600" spans="1:12" x14ac:dyDescent="0.25">
      <c r="A3600" s="45">
        <f>C3600&amp;"."&amp;IFERROR(MID(E3600,FIND("(",E3600)+1,FIND(")",E3600)-FIND("(",E3600)-1),"")</f>
      </c>
      <c r="B3600" s="46" t="s">
        <v>1178</v>
      </c>
      <c r="C3600" s="46">
        <v>94924</v>
      </c>
      <c r="D3600" s="46" t="s">
        <v>970</v>
      </c>
      <c r="E3600" s="46" t="s">
        <v>1248</v>
      </c>
      <c r="F3600" s="46" t="s">
        <v>26</v>
      </c>
      <c r="G3600" s="47">
        <v>1.2</v>
      </c>
      <c r="H3600" s="48">
        <v>130.44</v>
      </c>
      <c r="I3600" s="48">
        <v>17478.994</v>
      </c>
      <c r="J3600" s="49">
        <v>134</v>
      </c>
      <c r="K3600" s="49">
        <v>60</v>
      </c>
      <c r="L3600" s="49">
        <v>74</v>
      </c>
    </row>
    <row r="3601" spans="1:12" x14ac:dyDescent="0.25">
      <c r="A3601" s="45">
        <f>C3601&amp;"."&amp;IFERROR(MID(E3601,FIND("(",E3601)+1,FIND(")",E3601)-FIND("(",E3601)-1),"")</f>
      </c>
      <c r="B3601" s="46" t="s">
        <v>1178</v>
      </c>
      <c r="C3601" s="46">
        <v>94926</v>
      </c>
      <c r="D3601" s="46" t="s">
        <v>6037</v>
      </c>
      <c r="E3601" s="46" t="s">
        <v>1248</v>
      </c>
      <c r="F3601" s="46" t="s">
        <v>1495</v>
      </c>
      <c r="G3601" s="47">
        <v>0</v>
      </c>
      <c r="H3601" s="48">
        <v>0.31</v>
      </c>
      <c r="I3601" s="48">
        <v>4.337</v>
      </c>
      <c r="J3601" s="49">
        <v>14</v>
      </c>
      <c r="K3601" s="49">
        <v>0</v>
      </c>
      <c r="L3601" s="49">
        <v>14</v>
      </c>
    </row>
    <row r="3602" spans="1:12" x14ac:dyDescent="0.25">
      <c r="A3602" s="45">
        <f>C3602&amp;"."&amp;IFERROR(MID(E3602,FIND("(",E3602)+1,FIND(")",E3602)-FIND("(",E3602)-1),"")</f>
      </c>
      <c r="B3602" s="46" t="s">
        <v>1178</v>
      </c>
      <c r="C3602" s="46">
        <v>94927</v>
      </c>
      <c r="D3602" s="46" t="s">
        <v>6038</v>
      </c>
      <c r="E3602" s="46" t="s">
        <v>1248</v>
      </c>
      <c r="F3602" s="46" t="s">
        <v>1495</v>
      </c>
      <c r="G3602" s="47">
        <v>0</v>
      </c>
      <c r="H3602" s="48">
        <v>0.101</v>
      </c>
      <c r="I3602" s="48">
        <v>4.427</v>
      </c>
      <c r="J3602" s="49">
        <v>44</v>
      </c>
      <c r="K3602" s="49">
        <v>0</v>
      </c>
      <c r="L3602" s="49">
        <v>44</v>
      </c>
    </row>
    <row r="3603" spans="1:12" x14ac:dyDescent="0.25">
      <c r="A3603" s="45">
        <f>C3603&amp;"."&amp;IFERROR(MID(E3603,FIND("(",E3603)+1,FIND(")",E3603)-FIND("(",E3603)-1),"")</f>
      </c>
      <c r="B3603" s="46" t="s">
        <v>1178</v>
      </c>
      <c r="C3603" s="46">
        <v>95017</v>
      </c>
      <c r="D3603" s="46" t="s">
        <v>6039</v>
      </c>
      <c r="E3603" s="46" t="s">
        <v>1248</v>
      </c>
      <c r="F3603" s="46" t="s">
        <v>1495</v>
      </c>
      <c r="G3603" s="47">
        <v>0.72</v>
      </c>
      <c r="H3603" s="48">
        <v>1.312</v>
      </c>
      <c r="I3603" s="48">
        <v>6.559</v>
      </c>
      <c r="J3603" s="49">
        <v>5</v>
      </c>
      <c r="K3603" s="49">
        <v>0</v>
      </c>
      <c r="L3603" s="49">
        <v>5</v>
      </c>
    </row>
    <row r="3604" spans="1:12" x14ac:dyDescent="0.25">
      <c r="A3604" s="45">
        <f>C3604&amp;"."&amp;IFERROR(MID(E3604,FIND("(",E3604)+1,FIND(")",E3604)-FIND("(",E3604)-1),"")</f>
      </c>
      <c r="B3604" s="46" t="s">
        <v>1178</v>
      </c>
      <c r="C3604" s="46">
        <v>95029</v>
      </c>
      <c r="D3604" s="46" t="s">
        <v>509</v>
      </c>
      <c r="E3604" s="46" t="s">
        <v>6040</v>
      </c>
      <c r="F3604" s="46" t="s">
        <v>25</v>
      </c>
      <c r="G3604" s="47">
        <v>13.65</v>
      </c>
      <c r="H3604" s="48">
        <v>76.808</v>
      </c>
      <c r="I3604" s="48">
        <v>3379.56</v>
      </c>
      <c r="J3604" s="49">
        <v>44</v>
      </c>
      <c r="K3604" s="49">
        <v>10</v>
      </c>
      <c r="L3604" s="49">
        <v>34</v>
      </c>
    </row>
    <row r="3605" spans="1:12" x14ac:dyDescent="0.25">
      <c r="A3605" s="45">
        <f>C3605&amp;"."&amp;IFERROR(MID(E3605,FIND("(",E3605)+1,FIND(")",E3605)-FIND("(",E3605)-1),"")</f>
      </c>
      <c r="B3605" s="46" t="s">
        <v>1178</v>
      </c>
      <c r="C3605" s="46">
        <v>97158</v>
      </c>
      <c r="D3605" s="46" t="s">
        <v>6041</v>
      </c>
      <c r="E3605" s="46" t="s">
        <v>1248</v>
      </c>
      <c r="F3605" s="46" t="s">
        <v>1495</v>
      </c>
      <c r="G3605" s="47">
        <v>0</v>
      </c>
      <c r="H3605" s="48">
        <v>1.69</v>
      </c>
      <c r="I3605" s="48">
        <v>6.762</v>
      </c>
      <c r="J3605" s="49">
        <v>4</v>
      </c>
      <c r="K3605" s="49">
        <v>0</v>
      </c>
      <c r="L3605" s="49">
        <v>4</v>
      </c>
    </row>
    <row r="3606" spans="1:12" x14ac:dyDescent="0.25">
      <c r="A3606" s="45">
        <f>C3606&amp;"."&amp;IFERROR(MID(E3606,FIND("(",E3606)+1,FIND(")",E3606)-FIND("(",E3606)-1),"")</f>
      </c>
      <c r="B3606" s="46" t="s">
        <v>1178</v>
      </c>
      <c r="C3606" s="46">
        <v>97159</v>
      </c>
      <c r="D3606" s="46" t="s">
        <v>6042</v>
      </c>
      <c r="E3606" s="46" t="s">
        <v>1248</v>
      </c>
      <c r="F3606" s="46" t="s">
        <v>1495</v>
      </c>
      <c r="G3606" s="47">
        <v>0</v>
      </c>
      <c r="H3606" s="48">
        <v>1.994</v>
      </c>
      <c r="I3606" s="48">
        <v>3.987</v>
      </c>
      <c r="J3606" s="49">
        <v>2</v>
      </c>
      <c r="K3606" s="49">
        <v>0</v>
      </c>
      <c r="L3606" s="49">
        <v>2</v>
      </c>
    </row>
    <row r="3607" spans="1:12" x14ac:dyDescent="0.25">
      <c r="A3607" s="45">
        <f>C3607&amp;"."&amp;IFERROR(MID(E3607,FIND("(",E3607)+1,FIND(")",E3607)-FIND("(",E3607)-1),"")</f>
      </c>
      <c r="B3607" s="46" t="s">
        <v>1178</v>
      </c>
      <c r="C3607" s="46">
        <v>97160</v>
      </c>
      <c r="D3607" s="46" t="s">
        <v>6043</v>
      </c>
      <c r="E3607" s="46" t="s">
        <v>1248</v>
      </c>
      <c r="F3607" s="46" t="s">
        <v>1495</v>
      </c>
      <c r="G3607" s="47">
        <v>0</v>
      </c>
      <c r="H3607" s="48">
        <v>0.599</v>
      </c>
      <c r="I3607" s="48">
        <v>13.187</v>
      </c>
      <c r="J3607" s="49">
        <v>22</v>
      </c>
      <c r="K3607" s="49">
        <v>0</v>
      </c>
      <c r="L3607" s="49">
        <v>22</v>
      </c>
    </row>
    <row r="3608" spans="1:12" x14ac:dyDescent="0.25">
      <c r="A3608" s="45">
        <f>C3608&amp;"."&amp;IFERROR(MID(E3608,FIND("(",E3608)+1,FIND(")",E3608)-FIND("(",E3608)-1),"")</f>
      </c>
      <c r="B3608" s="46" t="s">
        <v>1178</v>
      </c>
      <c r="C3608" s="46">
        <v>97161</v>
      </c>
      <c r="D3608" s="46" t="s">
        <v>6044</v>
      </c>
      <c r="E3608" s="46" t="s">
        <v>1248</v>
      </c>
      <c r="F3608" s="46" t="s">
        <v>1495</v>
      </c>
      <c r="G3608" s="47">
        <v>0</v>
      </c>
      <c r="H3608" s="48">
        <v>5.167</v>
      </c>
      <c r="I3608" s="48">
        <v>1.137</v>
      </c>
      <c r="J3608" s="49">
        <v>0.22</v>
      </c>
      <c r="K3608" s="49">
        <v>0</v>
      </c>
      <c r="L3608" s="49">
        <v>0.22</v>
      </c>
    </row>
    <row r="3609" spans="1:12" x14ac:dyDescent="0.25">
      <c r="A3609" s="45">
        <f>C3609&amp;"."&amp;IFERROR(MID(E3609,FIND("(",E3609)+1,FIND(")",E3609)-FIND("(",E3609)-1),"")</f>
      </c>
      <c r="B3609" s="46" t="s">
        <v>1178</v>
      </c>
      <c r="C3609" s="46">
        <v>97162</v>
      </c>
      <c r="D3609" s="46" t="s">
        <v>6045</v>
      </c>
      <c r="E3609" s="46" t="s">
        <v>1248</v>
      </c>
      <c r="F3609" s="46" t="s">
        <v>1495</v>
      </c>
      <c r="G3609" s="47">
        <v>0</v>
      </c>
      <c r="H3609" s="48">
        <v>1.193</v>
      </c>
      <c r="I3609" s="48">
        <v>2.386</v>
      </c>
      <c r="J3609" s="49">
        <v>2</v>
      </c>
      <c r="K3609" s="49">
        <v>0</v>
      </c>
      <c r="L3609" s="49">
        <v>2</v>
      </c>
    </row>
    <row r="3610" spans="1:12" x14ac:dyDescent="0.25">
      <c r="A3610" s="45">
        <f>C3610&amp;"."&amp;IFERROR(MID(E3610,FIND("(",E3610)+1,FIND(")",E3610)-FIND("(",E3610)-1),"")</f>
      </c>
      <c r="B3610" s="46" t="s">
        <v>1178</v>
      </c>
      <c r="C3610" s="46">
        <v>97163</v>
      </c>
      <c r="D3610" s="46" t="s">
        <v>6046</v>
      </c>
      <c r="E3610" s="46" t="s">
        <v>1248</v>
      </c>
      <c r="F3610" s="46" t="s">
        <v>1495</v>
      </c>
      <c r="G3610" s="47">
        <v>0</v>
      </c>
      <c r="H3610" s="48">
        <v>0.905</v>
      </c>
      <c r="I3610" s="48">
        <v>65.189</v>
      </c>
      <c r="J3610" s="49">
        <v>72</v>
      </c>
      <c r="K3610" s="49">
        <v>4</v>
      </c>
      <c r="L3610" s="49">
        <v>68</v>
      </c>
    </row>
    <row r="3611" spans="1:12" x14ac:dyDescent="0.25">
      <c r="A3611" s="45">
        <f>C3611&amp;"."&amp;IFERROR(MID(E3611,FIND("(",E3611)+1,FIND(")",E3611)-FIND("(",E3611)-1),"")</f>
      </c>
      <c r="B3611" s="46" t="s">
        <v>1178</v>
      </c>
      <c r="C3611" s="46">
        <v>97164</v>
      </c>
      <c r="D3611" s="46" t="s">
        <v>6047</v>
      </c>
      <c r="E3611" s="46" t="s">
        <v>1248</v>
      </c>
      <c r="F3611" s="46" t="s">
        <v>1495</v>
      </c>
      <c r="G3611" s="47">
        <v>0</v>
      </c>
      <c r="H3611" s="48">
        <v>1.068</v>
      </c>
      <c r="I3611" s="48">
        <v>27.755</v>
      </c>
      <c r="J3611" s="49">
        <v>26</v>
      </c>
      <c r="K3611" s="49">
        <v>0</v>
      </c>
      <c r="L3611" s="49">
        <v>26</v>
      </c>
    </row>
    <row r="3612" spans="1:12" x14ac:dyDescent="0.25">
      <c r="A3612" s="45">
        <f>C3612&amp;"."&amp;IFERROR(MID(E3612,FIND("(",E3612)+1,FIND(")",E3612)-FIND("(",E3612)-1),"")</f>
      </c>
      <c r="B3612" s="46" t="s">
        <v>1178</v>
      </c>
      <c r="C3612" s="46">
        <v>97165</v>
      </c>
      <c r="D3612" s="46" t="s">
        <v>6048</v>
      </c>
      <c r="E3612" s="46" t="s">
        <v>1248</v>
      </c>
      <c r="F3612" s="46" t="s">
        <v>1495</v>
      </c>
      <c r="G3612" s="47">
        <v>0</v>
      </c>
      <c r="H3612" s="48">
        <v>2.4</v>
      </c>
      <c r="I3612" s="48">
        <v>100.8</v>
      </c>
      <c r="J3612" s="49">
        <v>42</v>
      </c>
      <c r="K3612" s="49">
        <v>0</v>
      </c>
      <c r="L3612" s="49">
        <v>42</v>
      </c>
    </row>
    <row r="3613" spans="1:12" x14ac:dyDescent="0.25">
      <c r="A3613" s="45">
        <f>C3613&amp;"."&amp;IFERROR(MID(E3613,FIND("(",E3613)+1,FIND(")",E3613)-FIND("(",E3613)-1),"")</f>
      </c>
      <c r="B3613" s="46" t="s">
        <v>1178</v>
      </c>
      <c r="C3613" s="46">
        <v>97166</v>
      </c>
      <c r="D3613" s="46" t="s">
        <v>6049</v>
      </c>
      <c r="E3613" s="46" t="s">
        <v>1248</v>
      </c>
      <c r="F3613" s="46" t="s">
        <v>1495</v>
      </c>
      <c r="G3613" s="47">
        <v>0</v>
      </c>
      <c r="H3613" s="48">
        <v>3.341</v>
      </c>
      <c r="I3613" s="48">
        <v>1.47</v>
      </c>
      <c r="J3613" s="49">
        <v>0.44</v>
      </c>
      <c r="K3613" s="49">
        <v>0</v>
      </c>
      <c r="L3613" s="49">
        <v>0.44</v>
      </c>
    </row>
    <row r="3614" spans="1:12" x14ac:dyDescent="0.25">
      <c r="A3614" s="45">
        <f>C3614&amp;"."&amp;IFERROR(MID(E3614,FIND("(",E3614)+1,FIND(")",E3614)-FIND("(",E3614)-1),"")</f>
      </c>
      <c r="B3614" s="46" t="s">
        <v>1178</v>
      </c>
      <c r="C3614" s="46">
        <v>97167</v>
      </c>
      <c r="D3614" s="46" t="s">
        <v>6050</v>
      </c>
      <c r="E3614" s="46" t="s">
        <v>1248</v>
      </c>
      <c r="F3614" s="46" t="s">
        <v>1495</v>
      </c>
      <c r="G3614" s="47">
        <v>0</v>
      </c>
      <c r="H3614" s="48">
        <v>3.756</v>
      </c>
      <c r="I3614" s="48">
        <v>18.78</v>
      </c>
      <c r="J3614" s="49">
        <v>5</v>
      </c>
      <c r="K3614" s="49">
        <v>0</v>
      </c>
      <c r="L3614" s="49">
        <v>5</v>
      </c>
    </row>
    <row r="3615" spans="1:12" x14ac:dyDescent="0.25">
      <c r="A3615" s="45">
        <f>C3615&amp;"."&amp;IFERROR(MID(E3615,FIND("(",E3615)+1,FIND(")",E3615)-FIND("(",E3615)-1),"")</f>
      </c>
      <c r="B3615" s="46" t="s">
        <v>1178</v>
      </c>
      <c r="C3615" s="46">
        <v>97168</v>
      </c>
      <c r="D3615" s="46" t="s">
        <v>6051</v>
      </c>
      <c r="E3615" s="46" t="s">
        <v>1248</v>
      </c>
      <c r="F3615" s="46" t="s">
        <v>1495</v>
      </c>
      <c r="G3615" s="47">
        <v>0</v>
      </c>
      <c r="H3615" s="48">
        <v>7.805</v>
      </c>
      <c r="I3615" s="48">
        <v>23.414</v>
      </c>
      <c r="J3615" s="49">
        <v>3</v>
      </c>
      <c r="K3615" s="49">
        <v>0</v>
      </c>
      <c r="L3615" s="49">
        <v>3</v>
      </c>
    </row>
    <row r="3616" spans="1:12" x14ac:dyDescent="0.25">
      <c r="A3616" s="45">
        <f>C3616&amp;"."&amp;IFERROR(MID(E3616,FIND("(",E3616)+1,FIND(")",E3616)-FIND("(",E3616)-1),"")</f>
      </c>
      <c r="B3616" s="46" t="s">
        <v>1178</v>
      </c>
      <c r="C3616" s="46">
        <v>97170</v>
      </c>
      <c r="D3616" s="46" t="s">
        <v>6052</v>
      </c>
      <c r="E3616" s="46" t="s">
        <v>1248</v>
      </c>
      <c r="F3616" s="46" t="s">
        <v>1495</v>
      </c>
      <c r="G3616" s="47">
        <v>0</v>
      </c>
      <c r="H3616" s="48">
        <v>5.462</v>
      </c>
      <c r="I3616" s="48">
        <v>32.772</v>
      </c>
      <c r="J3616" s="49">
        <v>6</v>
      </c>
      <c r="K3616" s="49">
        <v>0</v>
      </c>
      <c r="L3616" s="49">
        <v>6</v>
      </c>
    </row>
    <row r="3617" spans="1:12" x14ac:dyDescent="0.25">
      <c r="A3617" s="45">
        <f>C3617&amp;"."&amp;IFERROR(MID(E3617,FIND("(",E3617)+1,FIND(")",E3617)-FIND("(",E3617)-1),"")</f>
      </c>
      <c r="B3617" s="46" t="s">
        <v>1178</v>
      </c>
      <c r="C3617" s="46">
        <v>97172</v>
      </c>
      <c r="D3617" s="46" t="s">
        <v>6053</v>
      </c>
      <c r="E3617" s="46" t="s">
        <v>1248</v>
      </c>
      <c r="F3617" s="46" t="s">
        <v>1495</v>
      </c>
      <c r="G3617" s="47">
        <v>0</v>
      </c>
      <c r="H3617" s="48">
        <v>5.711</v>
      </c>
      <c r="I3617" s="48">
        <v>62.818</v>
      </c>
      <c r="J3617" s="49">
        <v>11</v>
      </c>
      <c r="K3617" s="49">
        <v>0</v>
      </c>
      <c r="L3617" s="49">
        <v>11</v>
      </c>
    </row>
    <row r="3618" spans="1:12" x14ac:dyDescent="0.25">
      <c r="A3618" s="45">
        <f>C3618&amp;"."&amp;IFERROR(MID(E3618,FIND("(",E3618)+1,FIND(")",E3618)-FIND("(",E3618)-1),"")</f>
      </c>
      <c r="B3618" s="46" t="s">
        <v>1178</v>
      </c>
      <c r="C3618" s="46">
        <v>97173</v>
      </c>
      <c r="D3618" s="46" t="s">
        <v>6054</v>
      </c>
      <c r="E3618" s="46" t="s">
        <v>1248</v>
      </c>
      <c r="F3618" s="46" t="s">
        <v>1495</v>
      </c>
      <c r="G3618" s="47">
        <v>0</v>
      </c>
      <c r="H3618" s="48">
        <v>6.602</v>
      </c>
      <c r="I3618" s="48">
        <v>13.204</v>
      </c>
      <c r="J3618" s="49">
        <v>2</v>
      </c>
      <c r="K3618" s="49">
        <v>0</v>
      </c>
      <c r="L3618" s="49">
        <v>2</v>
      </c>
    </row>
    <row r="3619" spans="1:12" x14ac:dyDescent="0.25">
      <c r="A3619" s="45">
        <f>C3619&amp;"."&amp;IFERROR(MID(E3619,FIND("(",E3619)+1,FIND(")",E3619)-FIND("(",E3619)-1),"")</f>
      </c>
      <c r="B3619" s="46" t="s">
        <v>1178</v>
      </c>
      <c r="C3619" s="46">
        <v>97177</v>
      </c>
      <c r="D3619" s="46" t="s">
        <v>6055</v>
      </c>
      <c r="E3619" s="46" t="s">
        <v>1248</v>
      </c>
      <c r="F3619" s="46" t="s">
        <v>1495</v>
      </c>
      <c r="G3619" s="47">
        <v>0</v>
      </c>
      <c r="H3619" s="48">
        <v>0.647</v>
      </c>
      <c r="I3619" s="48">
        <v>22.645</v>
      </c>
      <c r="J3619" s="49">
        <v>35</v>
      </c>
      <c r="K3619" s="49">
        <v>0</v>
      </c>
      <c r="L3619" s="49">
        <v>35</v>
      </c>
    </row>
    <row r="3620" spans="1:12" x14ac:dyDescent="0.25">
      <c r="A3620" s="45">
        <f>C3620&amp;"."&amp;IFERROR(MID(E3620,FIND("(",E3620)+1,FIND(")",E3620)-FIND("(",E3620)-1),"")</f>
      </c>
      <c r="B3620" s="46" t="s">
        <v>1178</v>
      </c>
      <c r="C3620" s="46">
        <v>97179</v>
      </c>
      <c r="D3620" s="46" t="s">
        <v>6056</v>
      </c>
      <c r="E3620" s="46" t="s">
        <v>1248</v>
      </c>
      <c r="F3620" s="46" t="s">
        <v>1495</v>
      </c>
      <c r="G3620" s="47">
        <v>0</v>
      </c>
      <c r="H3620" s="48">
        <v>0.192</v>
      </c>
      <c r="I3620" s="48">
        <v>6.134</v>
      </c>
      <c r="J3620" s="49">
        <v>32</v>
      </c>
      <c r="K3620" s="49">
        <v>0</v>
      </c>
      <c r="L3620" s="49">
        <v>32</v>
      </c>
    </row>
    <row r="3621" spans="1:12" x14ac:dyDescent="0.25">
      <c r="A3621" s="45">
        <f>C3621&amp;"."&amp;IFERROR(MID(E3621,FIND("(",E3621)+1,FIND(")",E3621)-FIND("(",E3621)-1),"")</f>
      </c>
      <c r="B3621" s="46" t="s">
        <v>1178</v>
      </c>
      <c r="C3621" s="46">
        <v>97181</v>
      </c>
      <c r="D3621" s="46" t="s">
        <v>6057</v>
      </c>
      <c r="E3621" s="46" t="s">
        <v>1248</v>
      </c>
      <c r="F3621" s="46" t="s">
        <v>1495</v>
      </c>
      <c r="G3621" s="47">
        <v>0</v>
      </c>
      <c r="H3621" s="48">
        <v>85.387</v>
      </c>
      <c r="I3621" s="48">
        <v>85.387</v>
      </c>
      <c r="J3621" s="49">
        <v>1</v>
      </c>
      <c r="K3621" s="49">
        <v>0</v>
      </c>
      <c r="L3621" s="49">
        <v>1</v>
      </c>
    </row>
    <row r="3622" spans="1:12" x14ac:dyDescent="0.25">
      <c r="A3622" s="45">
        <f>C3622&amp;"."&amp;IFERROR(MID(E3622,FIND("(",E3622)+1,FIND(")",E3622)-FIND("(",E3622)-1),"")</f>
      </c>
      <c r="B3622" s="46" t="s">
        <v>1178</v>
      </c>
      <c r="C3622" s="46">
        <v>97182</v>
      </c>
      <c r="D3622" s="46" t="s">
        <v>6058</v>
      </c>
      <c r="E3622" s="46" t="s">
        <v>1248</v>
      </c>
      <c r="F3622" s="46" t="s">
        <v>1495</v>
      </c>
      <c r="G3622" s="47">
        <v>0</v>
      </c>
      <c r="H3622" s="48">
        <v>5.371</v>
      </c>
      <c r="I3622" s="48">
        <v>21.482</v>
      </c>
      <c r="J3622" s="49">
        <v>4</v>
      </c>
      <c r="K3622" s="49">
        <v>0</v>
      </c>
      <c r="L3622" s="49">
        <v>4</v>
      </c>
    </row>
    <row r="3623" spans="1:12" x14ac:dyDescent="0.25">
      <c r="A3623" s="45">
        <f>C3623&amp;"."&amp;IFERROR(MID(E3623,FIND("(",E3623)+1,FIND(")",E3623)-FIND("(",E3623)-1),"")</f>
      </c>
      <c r="B3623" s="46" t="s">
        <v>1178</v>
      </c>
      <c r="C3623" s="46">
        <v>97184</v>
      </c>
      <c r="D3623" s="46" t="s">
        <v>6059</v>
      </c>
      <c r="E3623" s="46" t="s">
        <v>1248</v>
      </c>
      <c r="F3623" s="46" t="s">
        <v>1495</v>
      </c>
      <c r="G3623" s="47">
        <v>0</v>
      </c>
      <c r="H3623" s="48">
        <v>3.771</v>
      </c>
      <c r="I3623" s="48">
        <v>128.224</v>
      </c>
      <c r="J3623" s="49">
        <v>34</v>
      </c>
      <c r="K3623" s="49">
        <v>0</v>
      </c>
      <c r="L3623" s="49">
        <v>34</v>
      </c>
    </row>
    <row r="3624" spans="1:12" x14ac:dyDescent="0.25">
      <c r="A3624" s="45">
        <f>C3624&amp;"."&amp;IFERROR(MID(E3624,FIND("(",E3624)+1,FIND(")",E3624)-FIND("(",E3624)-1),"")</f>
      </c>
      <c r="B3624" s="46" t="s">
        <v>1178</v>
      </c>
      <c r="C3624" s="46">
        <v>97189</v>
      </c>
      <c r="D3624" s="46" t="s">
        <v>634</v>
      </c>
      <c r="E3624" s="46" t="s">
        <v>6060</v>
      </c>
      <c r="F3624" s="46" t="s">
        <v>26</v>
      </c>
      <c r="G3624" s="47">
        <v>16</v>
      </c>
      <c r="H3624" s="48">
        <v>48.332</v>
      </c>
      <c r="I3624" s="48">
        <v>18752.718</v>
      </c>
      <c r="J3624" s="49">
        <v>388</v>
      </c>
      <c r="K3624" s="49">
        <v>217</v>
      </c>
      <c r="L3624" s="49">
        <v>171</v>
      </c>
    </row>
    <row r="3625" spans="1:12" x14ac:dyDescent="0.25">
      <c r="A3625" s="45">
        <f>C3625&amp;"."&amp;IFERROR(MID(E3625,FIND("(",E3625)+1,FIND(")",E3625)-FIND("(",E3625)-1),"")</f>
      </c>
      <c r="B3625" s="46" t="s">
        <v>1178</v>
      </c>
      <c r="C3625" s="46">
        <v>97299</v>
      </c>
      <c r="D3625" s="46" t="s">
        <v>211</v>
      </c>
      <c r="E3625" s="46" t="s">
        <v>6061</v>
      </c>
      <c r="F3625" s="46" t="s">
        <v>24</v>
      </c>
      <c r="G3625" s="47">
        <v>26</v>
      </c>
      <c r="H3625" s="48">
        <v>82.504</v>
      </c>
      <c r="I3625" s="48">
        <v>165.008</v>
      </c>
      <c r="J3625" s="49">
        <v>2</v>
      </c>
      <c r="K3625" s="49">
        <v>0</v>
      </c>
      <c r="L3625" s="49">
        <v>2</v>
      </c>
    </row>
    <row r="3626" spans="1:12" x14ac:dyDescent="0.25">
      <c r="A3626" s="45">
        <f>C3626&amp;"."&amp;IFERROR(MID(E3626,FIND("(",E3626)+1,FIND(")",E3626)-FIND("(",E3626)-1),"")</f>
      </c>
      <c r="B3626" s="46" t="s">
        <v>1178</v>
      </c>
      <c r="C3626" s="46">
        <v>97300</v>
      </c>
      <c r="D3626" s="46" t="s">
        <v>213</v>
      </c>
      <c r="E3626" s="46" t="s">
        <v>6062</v>
      </c>
      <c r="F3626" s="46" t="s">
        <v>24</v>
      </c>
      <c r="G3626" s="47">
        <v>13.3</v>
      </c>
      <c r="H3626" s="48">
        <v>48.526</v>
      </c>
      <c r="I3626" s="48">
        <v>4173.232</v>
      </c>
      <c r="J3626" s="49">
        <v>86</v>
      </c>
      <c r="K3626" s="49">
        <v>0</v>
      </c>
      <c r="L3626" s="49">
        <v>86</v>
      </c>
    </row>
    <row r="3627" spans="1:12" x14ac:dyDescent="0.25">
      <c r="A3627" s="45">
        <f>C3627&amp;"."&amp;IFERROR(MID(E3627,FIND("(",E3627)+1,FIND(")",E3627)-FIND("(",E3627)-1),"")</f>
      </c>
      <c r="B3627" s="46" t="s">
        <v>1178</v>
      </c>
      <c r="C3627" s="46">
        <v>97300</v>
      </c>
      <c r="D3627" s="46" t="s">
        <v>213</v>
      </c>
      <c r="E3627" s="46" t="s">
        <v>6063</v>
      </c>
      <c r="F3627" s="46" t="s">
        <v>24</v>
      </c>
      <c r="G3627" s="47">
        <v>13.3</v>
      </c>
      <c r="H3627" s="48">
        <v>45.456</v>
      </c>
      <c r="I3627" s="48">
        <v>90.911</v>
      </c>
      <c r="J3627" s="49">
        <v>2</v>
      </c>
      <c r="K3627" s="49">
        <v>0</v>
      </c>
      <c r="L3627" s="49">
        <v>2</v>
      </c>
    </row>
    <row r="3628" spans="1:12" x14ac:dyDescent="0.25">
      <c r="A3628" s="45">
        <f>C3628&amp;"."&amp;IFERROR(MID(E3628,FIND("(",E3628)+1,FIND(")",E3628)-FIND("(",E3628)-1),"")</f>
      </c>
      <c r="B3628" s="46" t="s">
        <v>1178</v>
      </c>
      <c r="C3628" s="46">
        <v>97301</v>
      </c>
      <c r="D3628" s="46" t="s">
        <v>350</v>
      </c>
      <c r="E3628" s="46" t="s">
        <v>6064</v>
      </c>
      <c r="F3628" s="46" t="s">
        <v>24</v>
      </c>
      <c r="G3628" s="47">
        <v>18.4</v>
      </c>
      <c r="H3628" s="48">
        <v>80.882</v>
      </c>
      <c r="I3628" s="48">
        <v>161.763</v>
      </c>
      <c r="J3628" s="49">
        <v>2</v>
      </c>
      <c r="K3628" s="49">
        <v>0</v>
      </c>
      <c r="L3628" s="49">
        <v>2</v>
      </c>
    </row>
    <row r="3629" spans="1:12" x14ac:dyDescent="0.25">
      <c r="A3629" s="45">
        <f>C3629&amp;"."&amp;IFERROR(MID(E3629,FIND("(",E3629)+1,FIND(")",E3629)-FIND("(",E3629)-1),"")</f>
      </c>
      <c r="B3629" s="46" t="s">
        <v>1178</v>
      </c>
      <c r="C3629" s="46">
        <v>97301</v>
      </c>
      <c r="D3629" s="46" t="s">
        <v>350</v>
      </c>
      <c r="E3629" s="46" t="s">
        <v>6065</v>
      </c>
      <c r="F3629" s="46" t="s">
        <v>24</v>
      </c>
      <c r="G3629" s="47">
        <v>18.4</v>
      </c>
      <c r="H3629" s="48">
        <v>121.542</v>
      </c>
      <c r="I3629" s="48">
        <v>10452.651</v>
      </c>
      <c r="J3629" s="49">
        <v>86</v>
      </c>
      <c r="K3629" s="49">
        <v>0</v>
      </c>
      <c r="L3629" s="49">
        <v>86</v>
      </c>
    </row>
    <row r="3630" spans="1:12" x14ac:dyDescent="0.25">
      <c r="A3630" s="45">
        <f>C3630&amp;"."&amp;IFERROR(MID(E3630,FIND("(",E3630)+1,FIND(")",E3630)-FIND("(",E3630)-1),"")</f>
      </c>
      <c r="B3630" s="46" t="s">
        <v>1178</v>
      </c>
      <c r="C3630" s="46">
        <v>97305</v>
      </c>
      <c r="D3630" s="46" t="s">
        <v>557</v>
      </c>
      <c r="E3630" s="46" t="s">
        <v>6066</v>
      </c>
      <c r="F3630" s="46" t="s">
        <v>24</v>
      </c>
      <c r="G3630" s="47">
        <v>20</v>
      </c>
      <c r="H3630" s="48">
        <v>44.27</v>
      </c>
      <c r="I3630" s="48">
        <v>88.54</v>
      </c>
      <c r="J3630" s="49">
        <v>2</v>
      </c>
      <c r="K3630" s="49">
        <v>0</v>
      </c>
      <c r="L3630" s="49">
        <v>2</v>
      </c>
    </row>
    <row r="3631" spans="1:12" x14ac:dyDescent="0.25">
      <c r="A3631" s="45">
        <f>C3631&amp;"."&amp;IFERROR(MID(E3631,FIND("(",E3631)+1,FIND(")",E3631)-FIND("(",E3631)-1),"")</f>
      </c>
      <c r="B3631" s="46" t="s">
        <v>1178</v>
      </c>
      <c r="C3631" s="46">
        <v>97308</v>
      </c>
      <c r="D3631" s="46" t="s">
        <v>514</v>
      </c>
      <c r="E3631" s="46" t="s">
        <v>6067</v>
      </c>
      <c r="F3631" s="46" t="s">
        <v>24</v>
      </c>
      <c r="G3631" s="47">
        <v>15.25</v>
      </c>
      <c r="H3631" s="48">
        <v>60.355</v>
      </c>
      <c r="I3631" s="48">
        <v>120.71</v>
      </c>
      <c r="J3631" s="49">
        <v>2</v>
      </c>
      <c r="K3631" s="49">
        <v>0</v>
      </c>
      <c r="L3631" s="49">
        <v>2</v>
      </c>
    </row>
    <row r="3632" spans="1:12" x14ac:dyDescent="0.25">
      <c r="A3632" s="45">
        <f>C3632&amp;"."&amp;IFERROR(MID(E3632,FIND("(",E3632)+1,FIND(")",E3632)-FIND("(",E3632)-1),"")</f>
      </c>
      <c r="B3632" s="46" t="s">
        <v>1178</v>
      </c>
      <c r="C3632" s="46">
        <v>97308</v>
      </c>
      <c r="D3632" s="46" t="s">
        <v>514</v>
      </c>
      <c r="E3632" s="46" t="s">
        <v>6068</v>
      </c>
      <c r="F3632" s="46" t="s">
        <v>24</v>
      </c>
      <c r="G3632" s="47">
        <v>15.25</v>
      </c>
      <c r="H3632" s="48">
        <v>60.5</v>
      </c>
      <c r="I3632" s="48">
        <v>121</v>
      </c>
      <c r="J3632" s="49">
        <v>2</v>
      </c>
      <c r="K3632" s="49">
        <v>0</v>
      </c>
      <c r="L3632" s="49">
        <v>2</v>
      </c>
    </row>
    <row r="3633" spans="1:12" x14ac:dyDescent="0.25">
      <c r="A3633" s="45">
        <f>C3633&amp;"."&amp;IFERROR(MID(E3633,FIND("(",E3633)+1,FIND(")",E3633)-FIND("(",E3633)-1),"")</f>
      </c>
      <c r="B3633" s="46" t="s">
        <v>1178</v>
      </c>
      <c r="C3633" s="46">
        <v>97308</v>
      </c>
      <c r="D3633" s="46" t="s">
        <v>514</v>
      </c>
      <c r="E3633" s="46" t="s">
        <v>6069</v>
      </c>
      <c r="F3633" s="46" t="s">
        <v>24</v>
      </c>
      <c r="G3633" s="47">
        <v>15.25</v>
      </c>
      <c r="H3633" s="48">
        <v>63.942</v>
      </c>
      <c r="I3633" s="48">
        <v>127.885</v>
      </c>
      <c r="J3633" s="49">
        <v>2</v>
      </c>
      <c r="K3633" s="49">
        <v>0</v>
      </c>
      <c r="L3633" s="49">
        <v>2</v>
      </c>
    </row>
    <row r="3634" spans="1:12" x14ac:dyDescent="0.25">
      <c r="A3634" s="45">
        <f>C3634&amp;"."&amp;IFERROR(MID(E3634,FIND("(",E3634)+1,FIND(")",E3634)-FIND("(",E3634)-1),"")</f>
      </c>
      <c r="B3634" s="46" t="s">
        <v>1178</v>
      </c>
      <c r="C3634" s="46">
        <v>97334</v>
      </c>
      <c r="D3634" s="46" t="s">
        <v>6070</v>
      </c>
      <c r="E3634" s="46" t="s">
        <v>6071</v>
      </c>
      <c r="F3634" s="46" t="s">
        <v>24</v>
      </c>
      <c r="G3634" s="47">
        <v>0</v>
      </c>
      <c r="H3634" s="48">
        <v>4.325</v>
      </c>
      <c r="I3634" s="48">
        <v>77.855</v>
      </c>
      <c r="J3634" s="49">
        <v>18</v>
      </c>
      <c r="K3634" s="49">
        <v>2</v>
      </c>
      <c r="L3634" s="49">
        <v>16</v>
      </c>
    </row>
    <row r="3635" spans="1:12" x14ac:dyDescent="0.25">
      <c r="A3635" s="45">
        <f>C3635&amp;"."&amp;IFERROR(MID(E3635,FIND("(",E3635)+1,FIND(")",E3635)-FIND("(",E3635)-1),"")</f>
      </c>
      <c r="B3635" s="46" t="s">
        <v>1178</v>
      </c>
      <c r="C3635" s="46">
        <v>97654</v>
      </c>
      <c r="D3635" s="46" t="s">
        <v>6072</v>
      </c>
      <c r="E3635" s="46" t="s">
        <v>1248</v>
      </c>
      <c r="F3635" s="46" t="s">
        <v>1495</v>
      </c>
      <c r="G3635" s="47">
        <v>0</v>
      </c>
      <c r="H3635" s="48">
        <v>5.867</v>
      </c>
      <c r="I3635" s="48">
        <v>164.266</v>
      </c>
      <c r="J3635" s="49">
        <v>28</v>
      </c>
      <c r="K3635" s="49">
        <v>13</v>
      </c>
      <c r="L3635" s="49">
        <v>15</v>
      </c>
    </row>
    <row r="3636" spans="1:12" x14ac:dyDescent="0.25">
      <c r="A3636" s="45">
        <f>C3636&amp;"."&amp;IFERROR(MID(E3636,FIND("(",E3636)+1,FIND(")",E3636)-FIND("(",E3636)-1),"")</f>
      </c>
      <c r="B3636" s="46" t="s">
        <v>1178</v>
      </c>
      <c r="C3636" s="46">
        <v>97724</v>
      </c>
      <c r="D3636" s="46" t="s">
        <v>6073</v>
      </c>
      <c r="E3636" s="46" t="s">
        <v>6074</v>
      </c>
      <c r="F3636" s="46" t="s">
        <v>26</v>
      </c>
      <c r="G3636" s="47">
        <v>0</v>
      </c>
      <c r="H3636" s="48">
        <v>14.051</v>
      </c>
      <c r="I3636" s="48">
        <v>112.411</v>
      </c>
      <c r="J3636" s="49">
        <v>8</v>
      </c>
      <c r="K3636" s="49">
        <v>0</v>
      </c>
      <c r="L3636" s="49">
        <v>8</v>
      </c>
    </row>
    <row r="3637" spans="1:12" x14ac:dyDescent="0.25">
      <c r="A3637" s="45">
        <f>C3637&amp;"."&amp;IFERROR(MID(E3637,FIND("(",E3637)+1,FIND(")",E3637)-FIND("(",E3637)-1),"")</f>
      </c>
      <c r="B3637" s="46" t="s">
        <v>1178</v>
      </c>
      <c r="C3637" s="46">
        <v>97724</v>
      </c>
      <c r="D3637" s="46" t="s">
        <v>6073</v>
      </c>
      <c r="E3637" s="46" t="s">
        <v>6075</v>
      </c>
      <c r="F3637" s="46" t="s">
        <v>26</v>
      </c>
      <c r="G3637" s="47">
        <v>0</v>
      </c>
      <c r="H3637" s="48">
        <v>14.489</v>
      </c>
      <c r="I3637" s="48">
        <v>550.59</v>
      </c>
      <c r="J3637" s="49">
        <v>38</v>
      </c>
      <c r="K3637" s="49">
        <v>19</v>
      </c>
      <c r="L3637" s="49">
        <v>19</v>
      </c>
    </row>
    <row r="3638" spans="1:12" x14ac:dyDescent="0.25">
      <c r="A3638" s="45">
        <f>C3638&amp;"."&amp;IFERROR(MID(E3638,FIND("(",E3638)+1,FIND(")",E3638)-FIND("(",E3638)-1),"")</f>
      </c>
      <c r="B3638" s="46" t="s">
        <v>1178</v>
      </c>
      <c r="C3638" s="46">
        <v>97740</v>
      </c>
      <c r="D3638" s="46" t="s">
        <v>6076</v>
      </c>
      <c r="E3638" s="46" t="s">
        <v>1248</v>
      </c>
      <c r="F3638" s="46" t="s">
        <v>26</v>
      </c>
      <c r="G3638" s="47">
        <v>0</v>
      </c>
      <c r="H3638" s="48">
        <v>8.385</v>
      </c>
      <c r="I3638" s="48">
        <v>16.771</v>
      </c>
      <c r="J3638" s="49">
        <v>2</v>
      </c>
      <c r="K3638" s="49">
        <v>1</v>
      </c>
      <c r="L3638" s="49">
        <v>1</v>
      </c>
    </row>
    <row r="3639" spans="1:12" x14ac:dyDescent="0.25">
      <c r="A3639" s="45">
        <f>C3639&amp;"."&amp;IFERROR(MID(E3639,FIND("(",E3639)+1,FIND(")",E3639)-FIND("(",E3639)-1),"")</f>
      </c>
      <c r="B3639" s="46" t="s">
        <v>1178</v>
      </c>
      <c r="C3639" s="46">
        <v>97762</v>
      </c>
      <c r="D3639" s="46" t="s">
        <v>6077</v>
      </c>
      <c r="E3639" s="46" t="s">
        <v>6078</v>
      </c>
      <c r="F3639" s="46" t="s">
        <v>26</v>
      </c>
      <c r="G3639" s="47">
        <v>0</v>
      </c>
      <c r="H3639" s="48">
        <v>20.513</v>
      </c>
      <c r="I3639" s="48">
        <v>61.54</v>
      </c>
      <c r="J3639" s="49">
        <v>3</v>
      </c>
      <c r="K3639" s="49">
        <v>0</v>
      </c>
      <c r="L3639" s="49">
        <v>3</v>
      </c>
    </row>
    <row r="3640" spans="1:12" x14ac:dyDescent="0.25">
      <c r="A3640" s="45">
        <f>C3640&amp;"."&amp;IFERROR(MID(E3640,FIND("(",E3640)+1,FIND(")",E3640)-FIND("(",E3640)-1),"")</f>
      </c>
      <c r="B3640" s="46" t="s">
        <v>1178</v>
      </c>
      <c r="C3640" s="46">
        <v>97764</v>
      </c>
      <c r="D3640" s="46" t="s">
        <v>6079</v>
      </c>
      <c r="E3640" s="46" t="s">
        <v>6080</v>
      </c>
      <c r="F3640" s="46" t="s">
        <v>26</v>
      </c>
      <c r="G3640" s="47">
        <v>0</v>
      </c>
      <c r="H3640" s="48">
        <v>26.232</v>
      </c>
      <c r="I3640" s="48">
        <v>104.93</v>
      </c>
      <c r="J3640" s="49">
        <v>4</v>
      </c>
      <c r="K3640" s="49">
        <v>0</v>
      </c>
      <c r="L3640" s="49">
        <v>4</v>
      </c>
    </row>
    <row r="3641" spans="1:12" x14ac:dyDescent="0.25">
      <c r="A3641" s="45">
        <f>C3641&amp;"."&amp;IFERROR(MID(E3641,FIND("(",E3641)+1,FIND(")",E3641)-FIND("(",E3641)-1),"")</f>
      </c>
      <c r="B3641" s="46" t="s">
        <v>1178</v>
      </c>
      <c r="C3641" s="46">
        <v>97766</v>
      </c>
      <c r="D3641" s="46" t="s">
        <v>6081</v>
      </c>
      <c r="E3641" s="46" t="s">
        <v>6082</v>
      </c>
      <c r="F3641" s="46" t="s">
        <v>26</v>
      </c>
      <c r="G3641" s="47">
        <v>0</v>
      </c>
      <c r="H3641" s="48">
        <v>28.681</v>
      </c>
      <c r="I3641" s="48">
        <v>57.363</v>
      </c>
      <c r="J3641" s="49">
        <v>2</v>
      </c>
      <c r="K3641" s="49">
        <v>0</v>
      </c>
      <c r="L3641" s="49">
        <v>2</v>
      </c>
    </row>
    <row r="3642" spans="1:12" x14ac:dyDescent="0.25">
      <c r="A3642" s="45">
        <f>C3642&amp;"."&amp;IFERROR(MID(E3642,FIND("(",E3642)+1,FIND(")",E3642)-FIND("(",E3642)-1),"")</f>
      </c>
      <c r="B3642" s="46" t="s">
        <v>1178</v>
      </c>
      <c r="C3642" s="46">
        <v>97767</v>
      </c>
      <c r="D3642" s="46" t="s">
        <v>6083</v>
      </c>
      <c r="E3642" s="46" t="s">
        <v>6084</v>
      </c>
      <c r="F3642" s="46" t="s">
        <v>26</v>
      </c>
      <c r="G3642" s="47">
        <v>0</v>
      </c>
      <c r="H3642" s="48">
        <v>28.918</v>
      </c>
      <c r="I3642" s="48">
        <v>173.505</v>
      </c>
      <c r="J3642" s="49">
        <v>6</v>
      </c>
      <c r="K3642" s="49">
        <v>1</v>
      </c>
      <c r="L3642" s="49">
        <v>5</v>
      </c>
    </row>
    <row r="3643" spans="1:12" x14ac:dyDescent="0.25">
      <c r="A3643" s="45">
        <f>C3643&amp;"."&amp;IFERROR(MID(E3643,FIND("(",E3643)+1,FIND(")",E3643)-FIND("(",E3643)-1),"")</f>
      </c>
      <c r="B3643" s="46" t="s">
        <v>1178</v>
      </c>
      <c r="C3643" s="46">
        <v>97776</v>
      </c>
      <c r="D3643" s="46" t="s">
        <v>6085</v>
      </c>
      <c r="E3643" s="46" t="s">
        <v>6086</v>
      </c>
      <c r="F3643" s="46" t="s">
        <v>26</v>
      </c>
      <c r="G3643" s="47">
        <v>0</v>
      </c>
      <c r="H3643" s="48">
        <v>26.101</v>
      </c>
      <c r="I3643" s="48">
        <v>26.101</v>
      </c>
      <c r="J3643" s="49">
        <v>1</v>
      </c>
      <c r="K3643" s="49">
        <v>1</v>
      </c>
      <c r="L3643" s="49">
        <v>0</v>
      </c>
    </row>
    <row r="3644" spans="1:12" x14ac:dyDescent="0.25">
      <c r="A3644" s="45">
        <f>C3644&amp;"."&amp;IFERROR(MID(E3644,FIND("(",E3644)+1,FIND(")",E3644)-FIND("(",E3644)-1),"")</f>
      </c>
      <c r="B3644" s="46" t="s">
        <v>1178</v>
      </c>
      <c r="C3644" s="46">
        <v>97795</v>
      </c>
      <c r="D3644" s="46" t="s">
        <v>6087</v>
      </c>
      <c r="E3644" s="46" t="s">
        <v>6088</v>
      </c>
      <c r="F3644" s="46" t="s">
        <v>26</v>
      </c>
      <c r="G3644" s="47">
        <v>0</v>
      </c>
      <c r="H3644" s="48">
        <v>12.864</v>
      </c>
      <c r="I3644" s="48">
        <v>90.046</v>
      </c>
      <c r="J3644" s="49">
        <v>7</v>
      </c>
      <c r="K3644" s="49">
        <v>5</v>
      </c>
      <c r="L3644" s="49">
        <v>2</v>
      </c>
    </row>
    <row r="3645" spans="1:12" x14ac:dyDescent="0.25">
      <c r="A3645" s="45">
        <f>C3645&amp;"."&amp;IFERROR(MID(E3645,FIND("(",E3645)+1,FIND(")",E3645)-FIND("(",E3645)-1),"")</f>
      </c>
      <c r="B3645" s="46" t="s">
        <v>1178</v>
      </c>
      <c r="C3645" s="46">
        <v>97826</v>
      </c>
      <c r="D3645" s="46" t="s">
        <v>6089</v>
      </c>
      <c r="E3645" s="46" t="s">
        <v>6090</v>
      </c>
      <c r="F3645" s="46" t="s">
        <v>26</v>
      </c>
      <c r="G3645" s="47">
        <v>0</v>
      </c>
      <c r="H3645" s="48">
        <v>9.968</v>
      </c>
      <c r="I3645" s="48">
        <v>39.872</v>
      </c>
      <c r="J3645" s="49">
        <v>4</v>
      </c>
      <c r="K3645" s="49">
        <v>0</v>
      </c>
      <c r="L3645" s="49">
        <v>4</v>
      </c>
    </row>
    <row r="3646" spans="1:12" x14ac:dyDescent="0.25">
      <c r="A3646" s="45">
        <f>C3646&amp;"."&amp;IFERROR(MID(E3646,FIND("(",E3646)+1,FIND(")",E3646)-FIND("(",E3646)-1),"")</f>
      </c>
      <c r="B3646" s="46" t="s">
        <v>1178</v>
      </c>
      <c r="C3646" s="46">
        <v>97826</v>
      </c>
      <c r="D3646" s="46" t="s">
        <v>6089</v>
      </c>
      <c r="E3646" s="46" t="s">
        <v>6091</v>
      </c>
      <c r="F3646" s="46" t="s">
        <v>26</v>
      </c>
      <c r="G3646" s="47">
        <v>0</v>
      </c>
      <c r="H3646" s="48">
        <v>8.794</v>
      </c>
      <c r="I3646" s="48">
        <v>43.972</v>
      </c>
      <c r="J3646" s="49">
        <v>5</v>
      </c>
      <c r="K3646" s="49">
        <v>0</v>
      </c>
      <c r="L3646" s="49">
        <v>5</v>
      </c>
    </row>
    <row r="3647" spans="1:12" x14ac:dyDescent="0.25">
      <c r="A3647" s="45">
        <f>C3647&amp;"."&amp;IFERROR(MID(E3647,FIND("(",E3647)+1,FIND(")",E3647)-FIND("(",E3647)-1),"")</f>
      </c>
      <c r="B3647" s="46" t="s">
        <v>1178</v>
      </c>
      <c r="C3647" s="46">
        <v>97834</v>
      </c>
      <c r="D3647" s="46" t="s">
        <v>6092</v>
      </c>
      <c r="E3647" s="46" t="s">
        <v>6093</v>
      </c>
      <c r="F3647" s="46" t="s">
        <v>26</v>
      </c>
      <c r="G3647" s="47">
        <v>0</v>
      </c>
      <c r="H3647" s="48">
        <v>1.939</v>
      </c>
      <c r="I3647" s="48">
        <v>5.816</v>
      </c>
      <c r="J3647" s="49">
        <v>3</v>
      </c>
      <c r="K3647" s="49">
        <v>0</v>
      </c>
      <c r="L3647" s="49">
        <v>3</v>
      </c>
    </row>
    <row r="3648" spans="1:12" x14ac:dyDescent="0.25">
      <c r="A3648" s="45">
        <f>C3648&amp;"."&amp;IFERROR(MID(E3648,FIND("(",E3648)+1,FIND(")",E3648)-FIND("(",E3648)-1),"")</f>
      </c>
      <c r="B3648" s="46" t="s">
        <v>1178</v>
      </c>
      <c r="C3648" s="46">
        <v>98172</v>
      </c>
      <c r="D3648" s="46" t="s">
        <v>6094</v>
      </c>
      <c r="E3648" s="46" t="s">
        <v>1248</v>
      </c>
      <c r="F3648" s="46" t="s">
        <v>1495</v>
      </c>
      <c r="G3648" s="47">
        <v>0</v>
      </c>
      <c r="H3648" s="48">
        <v>3.67</v>
      </c>
      <c r="I3648" s="48">
        <v>99.09</v>
      </c>
      <c r="J3648" s="49">
        <v>27</v>
      </c>
      <c r="K3648" s="49">
        <v>6</v>
      </c>
      <c r="L3648" s="49">
        <v>21</v>
      </c>
    </row>
    <row r="3649" spans="1:12" x14ac:dyDescent="0.25">
      <c r="A3649" s="45">
        <f>C3649&amp;"."&amp;IFERROR(MID(E3649,FIND("(",E3649)+1,FIND(")",E3649)-FIND("(",E3649)-1),"")</f>
      </c>
      <c r="B3649" s="46" t="s">
        <v>1178</v>
      </c>
      <c r="C3649" s="46">
        <v>98173</v>
      </c>
      <c r="D3649" s="46" t="s">
        <v>6095</v>
      </c>
      <c r="E3649" s="46" t="s">
        <v>1248</v>
      </c>
      <c r="F3649" s="46" t="s">
        <v>1495</v>
      </c>
      <c r="G3649" s="47">
        <v>0</v>
      </c>
      <c r="H3649" s="48">
        <v>1.68</v>
      </c>
      <c r="I3649" s="48">
        <v>16.8</v>
      </c>
      <c r="J3649" s="49">
        <v>10</v>
      </c>
      <c r="K3649" s="49">
        <v>0</v>
      </c>
      <c r="L3649" s="49">
        <v>10</v>
      </c>
    </row>
    <row r="3650" spans="1:12" x14ac:dyDescent="0.25">
      <c r="A3650" s="45">
        <f>C3650&amp;"."&amp;IFERROR(MID(E3650,FIND("(",E3650)+1,FIND(")",E3650)-FIND("(",E3650)-1),"")</f>
      </c>
      <c r="B3650" s="46" t="s">
        <v>1178</v>
      </c>
      <c r="C3650" s="46">
        <v>98253</v>
      </c>
      <c r="D3650" s="46" t="s">
        <v>6096</v>
      </c>
      <c r="E3650" s="46" t="s">
        <v>6097</v>
      </c>
      <c r="F3650" s="46" t="s">
        <v>24</v>
      </c>
      <c r="G3650" s="47">
        <v>0</v>
      </c>
      <c r="H3650" s="48">
        <v>8.472</v>
      </c>
      <c r="I3650" s="48">
        <v>33.887</v>
      </c>
      <c r="J3650" s="49">
        <v>4</v>
      </c>
      <c r="K3650" s="49">
        <v>0</v>
      </c>
      <c r="L3650" s="49">
        <v>4</v>
      </c>
    </row>
    <row r="3651" spans="1:12" x14ac:dyDescent="0.25">
      <c r="A3651" s="45">
        <f>C3651&amp;"."&amp;IFERROR(MID(E3651,FIND("(",E3651)+1,FIND(")",E3651)-FIND("(",E3651)-1),"")</f>
      </c>
      <c r="B3651" s="46" t="s">
        <v>1178</v>
      </c>
      <c r="C3651" s="46">
        <v>98253</v>
      </c>
      <c r="D3651" s="46" t="s">
        <v>6096</v>
      </c>
      <c r="E3651" s="46" t="s">
        <v>6098</v>
      </c>
      <c r="F3651" s="46" t="s">
        <v>24</v>
      </c>
      <c r="G3651" s="47">
        <v>0</v>
      </c>
      <c r="H3651" s="48">
        <v>8.367</v>
      </c>
      <c r="I3651" s="48">
        <v>66.936</v>
      </c>
      <c r="J3651" s="49">
        <v>8</v>
      </c>
      <c r="K3651" s="49">
        <v>1</v>
      </c>
      <c r="L3651" s="49">
        <v>7</v>
      </c>
    </row>
    <row r="3652" spans="1:12" x14ac:dyDescent="0.25">
      <c r="A3652" s="45">
        <f>C3652&amp;"."&amp;IFERROR(MID(E3652,FIND("(",E3652)+1,FIND(")",E3652)-FIND("(",E3652)-1),"")</f>
      </c>
      <c r="B3652" s="46" t="s">
        <v>1178</v>
      </c>
      <c r="C3652" s="46">
        <v>98265</v>
      </c>
      <c r="D3652" s="46" t="s">
        <v>6099</v>
      </c>
      <c r="E3652" s="46" t="s">
        <v>6100</v>
      </c>
      <c r="F3652" s="46" t="s">
        <v>25</v>
      </c>
      <c r="G3652" s="47">
        <v>0</v>
      </c>
      <c r="H3652" s="48">
        <v>21.231</v>
      </c>
      <c r="I3652" s="48">
        <v>42.461</v>
      </c>
      <c r="J3652" s="49">
        <v>2</v>
      </c>
      <c r="K3652" s="49">
        <v>0</v>
      </c>
      <c r="L3652" s="49">
        <v>2</v>
      </c>
    </row>
    <row r="3653" spans="1:12" x14ac:dyDescent="0.25">
      <c r="A3653" s="45">
        <f>C3653&amp;"."&amp;IFERROR(MID(E3653,FIND("(",E3653)+1,FIND(")",E3653)-FIND("(",E3653)-1),"")</f>
      </c>
      <c r="B3653" s="46" t="s">
        <v>1178</v>
      </c>
      <c r="C3653" s="46">
        <v>98567</v>
      </c>
      <c r="D3653" s="46" t="s">
        <v>6101</v>
      </c>
      <c r="E3653" s="46" t="s">
        <v>6102</v>
      </c>
      <c r="F3653" s="46" t="s">
        <v>25</v>
      </c>
      <c r="G3653" s="47">
        <v>0</v>
      </c>
      <c r="H3653" s="48">
        <v>66.502</v>
      </c>
      <c r="I3653" s="48">
        <v>66.502</v>
      </c>
      <c r="J3653" s="49">
        <v>1</v>
      </c>
      <c r="K3653" s="49">
        <v>0</v>
      </c>
      <c r="L3653" s="49">
        <v>1</v>
      </c>
    </row>
    <row r="3654" spans="1:12" x14ac:dyDescent="0.25">
      <c r="A3654" s="45">
        <f>C3654&amp;"."&amp;IFERROR(MID(E3654,FIND("(",E3654)+1,FIND(")",E3654)-FIND("(",E3654)-1),"")</f>
      </c>
      <c r="B3654" s="46" t="s">
        <v>1178</v>
      </c>
      <c r="C3654" s="46">
        <v>98619</v>
      </c>
      <c r="D3654" s="46" t="s">
        <v>6103</v>
      </c>
      <c r="E3654" s="46" t="s">
        <v>6104</v>
      </c>
      <c r="F3654" s="46" t="s">
        <v>25</v>
      </c>
      <c r="G3654" s="47">
        <v>0</v>
      </c>
      <c r="H3654" s="48">
        <v>29.143</v>
      </c>
      <c r="I3654" s="48">
        <v>29.143</v>
      </c>
      <c r="J3654" s="49">
        <v>1</v>
      </c>
      <c r="K3654" s="49">
        <v>0</v>
      </c>
      <c r="L3654" s="49">
        <v>1</v>
      </c>
    </row>
    <row r="3655" spans="1:12" x14ac:dyDescent="0.25">
      <c r="A3655" s="45">
        <f>C3655&amp;"."&amp;IFERROR(MID(E3655,FIND("(",E3655)+1,FIND(")",E3655)-FIND("(",E3655)-1),"")</f>
      </c>
      <c r="B3655" s="46" t="s">
        <v>1178</v>
      </c>
      <c r="C3655" s="46">
        <v>98620</v>
      </c>
      <c r="D3655" s="46" t="s">
        <v>6105</v>
      </c>
      <c r="E3655" s="46" t="s">
        <v>6106</v>
      </c>
      <c r="F3655" s="46" t="s">
        <v>25</v>
      </c>
      <c r="G3655" s="47">
        <v>0</v>
      </c>
      <c r="H3655" s="48">
        <v>17.962</v>
      </c>
      <c r="I3655" s="48">
        <v>17.962</v>
      </c>
      <c r="J3655" s="49">
        <v>1</v>
      </c>
      <c r="K3655" s="49">
        <v>0</v>
      </c>
      <c r="L3655" s="49">
        <v>1</v>
      </c>
    </row>
    <row r="3656" spans="1:12" x14ac:dyDescent="0.25">
      <c r="A3656" s="45">
        <f>C3656&amp;"."&amp;IFERROR(MID(E3656,FIND("(",E3656)+1,FIND(")",E3656)-FIND("(",E3656)-1),"")</f>
      </c>
      <c r="B3656" s="46" t="s">
        <v>1178</v>
      </c>
      <c r="C3656" s="46">
        <v>98621</v>
      </c>
      <c r="D3656" s="46" t="s">
        <v>6107</v>
      </c>
      <c r="E3656" s="46" t="s">
        <v>6108</v>
      </c>
      <c r="F3656" s="46" t="s">
        <v>25</v>
      </c>
      <c r="G3656" s="47">
        <v>0</v>
      </c>
      <c r="H3656" s="48">
        <v>21.942</v>
      </c>
      <c r="I3656" s="48">
        <v>43.884</v>
      </c>
      <c r="J3656" s="49">
        <v>2</v>
      </c>
      <c r="K3656" s="49">
        <v>0</v>
      </c>
      <c r="L3656" s="49">
        <v>2</v>
      </c>
    </row>
    <row r="3657" spans="1:12" x14ac:dyDescent="0.25">
      <c r="A3657" s="45">
        <f>C3657&amp;"."&amp;IFERROR(MID(E3657,FIND("(",E3657)+1,FIND(")",E3657)-FIND("(",E3657)-1),"")</f>
      </c>
      <c r="B3657" s="46" t="s">
        <v>1178</v>
      </c>
      <c r="C3657" s="46">
        <v>98648</v>
      </c>
      <c r="D3657" s="46" t="s">
        <v>6109</v>
      </c>
      <c r="E3657" s="46" t="s">
        <v>1248</v>
      </c>
      <c r="F3657" s="46" t="s">
        <v>26</v>
      </c>
      <c r="G3657" s="47">
        <v>0</v>
      </c>
      <c r="H3657" s="48">
        <v>11.545</v>
      </c>
      <c r="I3657" s="48">
        <v>46.179</v>
      </c>
      <c r="J3657" s="49">
        <v>4</v>
      </c>
      <c r="K3657" s="49">
        <v>0</v>
      </c>
      <c r="L3657" s="49">
        <v>4</v>
      </c>
    </row>
    <row r="3658" spans="1:12" x14ac:dyDescent="0.25">
      <c r="A3658" s="45">
        <f>C3658&amp;"."&amp;IFERROR(MID(E3658,FIND("(",E3658)+1,FIND(")",E3658)-FIND("(",E3658)-1),"")</f>
      </c>
      <c r="B3658" s="46" t="s">
        <v>1178</v>
      </c>
      <c r="C3658" s="46">
        <v>98837</v>
      </c>
      <c r="D3658" s="46" t="s">
        <v>6110</v>
      </c>
      <c r="E3658" s="46" t="s">
        <v>1248</v>
      </c>
      <c r="F3658" s="46" t="s">
        <v>24</v>
      </c>
      <c r="G3658" s="47">
        <v>0</v>
      </c>
      <c r="H3658" s="48">
        <v>3.288</v>
      </c>
      <c r="I3658" s="48">
        <v>32.879</v>
      </c>
      <c r="J3658" s="49">
        <v>10</v>
      </c>
      <c r="K3658" s="49">
        <v>1</v>
      </c>
      <c r="L3658" s="49">
        <v>9</v>
      </c>
    </row>
    <row r="3659" spans="1:12" x14ac:dyDescent="0.25">
      <c r="A3659" s="45">
        <f>C3659&amp;"."&amp;IFERROR(MID(E3659,FIND("(",E3659)+1,FIND(")",E3659)-FIND("(",E3659)-1),"")</f>
      </c>
      <c r="B3659" s="46" t="s">
        <v>1178</v>
      </c>
      <c r="C3659" s="46">
        <v>98859</v>
      </c>
      <c r="D3659" s="46" t="s">
        <v>6111</v>
      </c>
      <c r="E3659" s="46" t="s">
        <v>1248</v>
      </c>
      <c r="F3659" s="46" t="s">
        <v>1495</v>
      </c>
      <c r="G3659" s="47">
        <v>0</v>
      </c>
      <c r="H3659" s="48">
        <v>0.293</v>
      </c>
      <c r="I3659" s="48">
        <v>5.86</v>
      </c>
      <c r="J3659" s="49">
        <v>20</v>
      </c>
      <c r="K3659" s="49">
        <v>0</v>
      </c>
      <c r="L3659" s="49">
        <v>20</v>
      </c>
    </row>
    <row r="3660" spans="1:12" x14ac:dyDescent="0.25">
      <c r="A3660" s="45">
        <f>C3660&amp;"."&amp;IFERROR(MID(E3660,FIND("(",E3660)+1,FIND(")",E3660)-FIND("(",E3660)-1),"")</f>
      </c>
      <c r="B3660" s="46" t="s">
        <v>1178</v>
      </c>
      <c r="C3660" s="46">
        <v>98863</v>
      </c>
      <c r="D3660" s="46" t="s">
        <v>6112</v>
      </c>
      <c r="E3660" s="46" t="s">
        <v>6113</v>
      </c>
      <c r="F3660" s="46" t="s">
        <v>25</v>
      </c>
      <c r="G3660" s="47">
        <v>0</v>
      </c>
      <c r="H3660" s="48">
        <v>0.758</v>
      </c>
      <c r="I3660" s="48">
        <v>4.551</v>
      </c>
      <c r="J3660" s="49">
        <v>6</v>
      </c>
      <c r="K3660" s="49">
        <v>0</v>
      </c>
      <c r="L3660" s="49">
        <v>6</v>
      </c>
    </row>
    <row r="3661" spans="1:12" x14ac:dyDescent="0.25">
      <c r="A3661" s="45">
        <f>C3661&amp;"."&amp;IFERROR(MID(E3661,FIND("(",E3661)+1,FIND(")",E3661)-FIND("(",E3661)-1),"")</f>
      </c>
      <c r="B3661" s="46" t="s">
        <v>1178</v>
      </c>
      <c r="C3661" s="46">
        <v>98866</v>
      </c>
      <c r="D3661" s="46" t="s">
        <v>6114</v>
      </c>
      <c r="E3661" s="46" t="s">
        <v>1248</v>
      </c>
      <c r="F3661" s="46" t="s">
        <v>25</v>
      </c>
      <c r="G3661" s="47">
        <v>0</v>
      </c>
      <c r="H3661" s="48">
        <v>0.135</v>
      </c>
      <c r="I3661" s="48">
        <v>0.812</v>
      </c>
      <c r="J3661" s="49">
        <v>6</v>
      </c>
      <c r="K3661" s="49">
        <v>0</v>
      </c>
      <c r="L3661" s="49">
        <v>6</v>
      </c>
    </row>
    <row r="3662" spans="1:12" x14ac:dyDescent="0.25">
      <c r="A3662" s="45">
        <f>C3662&amp;"."&amp;IFERROR(MID(E3662,FIND("(",E3662)+1,FIND(")",E3662)-FIND("(",E3662)-1),"")</f>
      </c>
      <c r="B3662" s="46" t="s">
        <v>1178</v>
      </c>
      <c r="C3662" s="46">
        <v>98868</v>
      </c>
      <c r="D3662" s="46" t="s">
        <v>6115</v>
      </c>
      <c r="E3662" s="46" t="s">
        <v>6116</v>
      </c>
      <c r="F3662" s="46" t="s">
        <v>25</v>
      </c>
      <c r="G3662" s="47">
        <v>0</v>
      </c>
      <c r="H3662" s="48">
        <v>6.293</v>
      </c>
      <c r="I3662" s="48">
        <v>25.172</v>
      </c>
      <c r="J3662" s="49">
        <v>4</v>
      </c>
      <c r="K3662" s="49">
        <v>0</v>
      </c>
      <c r="L3662" s="49">
        <v>4</v>
      </c>
    </row>
    <row r="3663" spans="1:12" x14ac:dyDescent="0.25">
      <c r="A3663" s="45">
        <f>C3663&amp;"."&amp;IFERROR(MID(E3663,FIND("(",E3663)+1,FIND(")",E3663)-FIND("(",E3663)-1),"")</f>
      </c>
      <c r="B3663" s="46" t="s">
        <v>1178</v>
      </c>
      <c r="C3663" s="46">
        <v>98868</v>
      </c>
      <c r="D3663" s="46" t="s">
        <v>6115</v>
      </c>
      <c r="E3663" s="46" t="s">
        <v>6117</v>
      </c>
      <c r="F3663" s="46" t="s">
        <v>25</v>
      </c>
      <c r="G3663" s="47">
        <v>0</v>
      </c>
      <c r="H3663" s="48">
        <v>6.485</v>
      </c>
      <c r="I3663" s="48">
        <v>58.369</v>
      </c>
      <c r="J3663" s="49">
        <v>9</v>
      </c>
      <c r="K3663" s="49">
        <v>0</v>
      </c>
      <c r="L3663" s="49">
        <v>9</v>
      </c>
    </row>
    <row r="3664" spans="1:12" x14ac:dyDescent="0.25">
      <c r="A3664" s="45">
        <f>C3664&amp;"."&amp;IFERROR(MID(E3664,FIND("(",E3664)+1,FIND(")",E3664)-FIND("(",E3664)-1),"")</f>
      </c>
      <c r="B3664" s="46" t="s">
        <v>1178</v>
      </c>
      <c r="C3664" s="46">
        <v>99163</v>
      </c>
      <c r="D3664" s="46" t="s">
        <v>6118</v>
      </c>
      <c r="E3664" s="46" t="s">
        <v>6119</v>
      </c>
      <c r="F3664" s="46" t="s">
        <v>24</v>
      </c>
      <c r="G3664" s="47">
        <v>0</v>
      </c>
      <c r="H3664" s="48">
        <v>20.358</v>
      </c>
      <c r="I3664" s="48">
        <v>305.367</v>
      </c>
      <c r="J3664" s="49">
        <v>15</v>
      </c>
      <c r="K3664" s="49">
        <v>1</v>
      </c>
      <c r="L3664" s="49">
        <v>14</v>
      </c>
    </row>
    <row r="3665" spans="1:12" x14ac:dyDescent="0.25">
      <c r="A3665" s="45">
        <f>C3665&amp;"."&amp;IFERROR(MID(E3665,FIND("(",E3665)+1,FIND(")",E3665)-FIND("(",E3665)-1),"")</f>
      </c>
      <c r="B3665" s="46" t="s">
        <v>1178</v>
      </c>
      <c r="C3665" s="46">
        <v>99163</v>
      </c>
      <c r="D3665" s="46" t="s">
        <v>6118</v>
      </c>
      <c r="E3665" s="46" t="s">
        <v>6120</v>
      </c>
      <c r="F3665" s="46" t="s">
        <v>24</v>
      </c>
      <c r="G3665" s="47">
        <v>0</v>
      </c>
      <c r="H3665" s="48">
        <v>23.352</v>
      </c>
      <c r="I3665" s="48">
        <v>186.812</v>
      </c>
      <c r="J3665" s="49">
        <v>8</v>
      </c>
      <c r="K3665" s="49">
        <v>0</v>
      </c>
      <c r="L3665" s="49">
        <v>8</v>
      </c>
    </row>
    <row r="3666" spans="1:12" x14ac:dyDescent="0.25">
      <c r="A3666" s="45">
        <f>C3666&amp;"."&amp;IFERROR(MID(E3666,FIND("(",E3666)+1,FIND(")",E3666)-FIND("(",E3666)-1),"")</f>
      </c>
      <c r="B3666" s="46" t="s">
        <v>1178</v>
      </c>
      <c r="C3666" s="46">
        <v>99295</v>
      </c>
      <c r="D3666" s="46" t="s">
        <v>6121</v>
      </c>
      <c r="E3666" s="46" t="s">
        <v>6122</v>
      </c>
      <c r="F3666" s="46" t="s">
        <v>25</v>
      </c>
      <c r="G3666" s="47">
        <v>0</v>
      </c>
      <c r="H3666" s="48">
        <v>4.392</v>
      </c>
      <c r="I3666" s="48">
        <v>13.175</v>
      </c>
      <c r="J3666" s="49">
        <v>3</v>
      </c>
      <c r="K3666" s="49">
        <v>0</v>
      </c>
      <c r="L3666" s="49">
        <v>3</v>
      </c>
    </row>
    <row r="3667" spans="1:12" x14ac:dyDescent="0.25">
      <c r="A3667" s="45">
        <f>C3667&amp;"."&amp;IFERROR(MID(E3667,FIND("(",E3667)+1,FIND(")",E3667)-FIND("(",E3667)-1),"")</f>
      </c>
      <c r="B3667" s="46" t="s">
        <v>1178</v>
      </c>
      <c r="C3667" s="46">
        <v>99295</v>
      </c>
      <c r="D3667" s="46" t="s">
        <v>6121</v>
      </c>
      <c r="E3667" s="46" t="s">
        <v>6123</v>
      </c>
      <c r="F3667" s="46" t="s">
        <v>25</v>
      </c>
      <c r="G3667" s="47">
        <v>0</v>
      </c>
      <c r="H3667" s="48">
        <v>4.5</v>
      </c>
      <c r="I3667" s="48">
        <v>22.498</v>
      </c>
      <c r="J3667" s="49">
        <v>5</v>
      </c>
      <c r="K3667" s="49">
        <v>0</v>
      </c>
      <c r="L3667" s="49">
        <v>5</v>
      </c>
    </row>
    <row r="3668" spans="1:12" x14ac:dyDescent="0.25">
      <c r="A3668" s="45">
        <f>C3668&amp;"."&amp;IFERROR(MID(E3668,FIND("(",E3668)+1,FIND(")",E3668)-FIND("(",E3668)-1),"")</f>
      </c>
      <c r="B3668" s="46" t="s">
        <v>1178</v>
      </c>
      <c r="C3668" s="46">
        <v>99350</v>
      </c>
      <c r="D3668" s="46" t="s">
        <v>6124</v>
      </c>
      <c r="E3668" s="46" t="s">
        <v>6125</v>
      </c>
      <c r="F3668" s="46" t="s">
        <v>26</v>
      </c>
      <c r="G3668" s="47">
        <v>0</v>
      </c>
      <c r="H3668" s="48">
        <v>8.529</v>
      </c>
      <c r="I3668" s="48">
        <v>8.529</v>
      </c>
      <c r="J3668" s="49">
        <v>1</v>
      </c>
      <c r="K3668" s="49">
        <v>1</v>
      </c>
      <c r="L3668" s="49">
        <v>0</v>
      </c>
    </row>
    <row r="3669" spans="1:12" x14ac:dyDescent="0.25">
      <c r="A3669" s="45">
        <f>C3669&amp;"."&amp;IFERROR(MID(E3669,FIND("(",E3669)+1,FIND(")",E3669)-FIND("(",E3669)-1),"")</f>
      </c>
      <c r="B3669" s="46" t="s">
        <v>1178</v>
      </c>
      <c r="C3669" s="46">
        <v>99613</v>
      </c>
      <c r="D3669" s="46" t="s">
        <v>6126</v>
      </c>
      <c r="E3669" s="46" t="s">
        <v>6127</v>
      </c>
      <c r="F3669" s="46" t="s">
        <v>26</v>
      </c>
      <c r="G3669" s="47">
        <v>5.77</v>
      </c>
      <c r="H3669" s="48">
        <v>18.028</v>
      </c>
      <c r="I3669" s="48">
        <v>18.028</v>
      </c>
      <c r="J3669" s="49">
        <v>1</v>
      </c>
      <c r="K3669" s="49">
        <v>0</v>
      </c>
      <c r="L3669" s="49">
        <v>1</v>
      </c>
    </row>
  </sheetData>
  <autoFilter ref="A4:L3669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9A99"/>
  </sheetPr>
  <dimension ref="A1:D78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12" customWidth="1"/>
  </cols>
  <sheetData>
    <row r="1" ht="24" customHeight="1" spans="1:4" x14ac:dyDescent="0.25">
      <c r="A1" s="1" t="s">
        <v>6128</v>
      </c>
      <c r="B1" s="1"/>
      <c r="C1" s="1"/>
      <c r="D1" s="1"/>
    </row>
    <row r="2" spans="1:4" x14ac:dyDescent="0.25">
      <c r="A2" s="2" t="s">
        <v>6129</v>
      </c>
      <c r="B2" s="2"/>
      <c r="C2" s="2"/>
      <c r="D2" s="2"/>
    </row>
    <row r="4" ht="32" customHeight="1" spans="1:4" x14ac:dyDescent="0.25">
      <c r="A4" s="50" t="s">
        <v>32</v>
      </c>
      <c r="B4" s="50" t="s">
        <v>39</v>
      </c>
      <c r="C4" s="50" t="s">
        <v>40</v>
      </c>
      <c r="D4" s="50" t="s">
        <v>6</v>
      </c>
    </row>
    <row r="5" spans="1:4" x14ac:dyDescent="0.25">
      <c r="A5" s="46" t="s">
        <v>6130</v>
      </c>
      <c r="B5" s="46" t="s">
        <v>14</v>
      </c>
      <c r="C5" s="46" t="s">
        <v>6131</v>
      </c>
      <c r="D5" s="49">
        <v>0</v>
      </c>
    </row>
    <row r="6" spans="1:4" x14ac:dyDescent="0.25">
      <c r="A6" s="46" t="s">
        <v>6132</v>
      </c>
      <c r="B6" s="46" t="s">
        <v>14</v>
      </c>
      <c r="C6" s="46" t="s">
        <v>6131</v>
      </c>
      <c r="D6" s="49">
        <v>0</v>
      </c>
    </row>
    <row r="7" spans="1:4" x14ac:dyDescent="0.25">
      <c r="A7" s="46" t="s">
        <v>6133</v>
      </c>
      <c r="B7" s="46" t="s">
        <v>14</v>
      </c>
      <c r="C7" s="46" t="s">
        <v>6131</v>
      </c>
      <c r="D7" s="49">
        <v>0</v>
      </c>
    </row>
    <row r="8" spans="1:4" x14ac:dyDescent="0.25">
      <c r="A8" s="46" t="s">
        <v>6134</v>
      </c>
      <c r="B8" s="46" t="s">
        <v>14</v>
      </c>
      <c r="C8" s="46" t="s">
        <v>6131</v>
      </c>
      <c r="D8" s="49">
        <v>0</v>
      </c>
    </row>
    <row r="9" spans="1:4" x14ac:dyDescent="0.25">
      <c r="A9" s="46" t="s">
        <v>6135</v>
      </c>
      <c r="B9" s="46" t="s">
        <v>14</v>
      </c>
      <c r="C9" s="46" t="s">
        <v>6131</v>
      </c>
      <c r="D9" s="49">
        <v>0</v>
      </c>
    </row>
    <row r="10" spans="1:4" x14ac:dyDescent="0.25">
      <c r="A10" s="46" t="s">
        <v>6136</v>
      </c>
      <c r="B10" s="46" t="s">
        <v>14</v>
      </c>
      <c r="C10" s="46" t="s">
        <v>6131</v>
      </c>
      <c r="D10" s="49">
        <v>0</v>
      </c>
    </row>
    <row r="11" spans="1:4" x14ac:dyDescent="0.25">
      <c r="A11" s="46" t="s">
        <v>6137</v>
      </c>
      <c r="B11" s="46" t="s">
        <v>14</v>
      </c>
      <c r="C11" s="46" t="s">
        <v>6131</v>
      </c>
      <c r="D11" s="49">
        <v>0</v>
      </c>
    </row>
    <row r="12" spans="1:4" x14ac:dyDescent="0.25">
      <c r="A12" s="46" t="s">
        <v>6138</v>
      </c>
      <c r="B12" s="46" t="s">
        <v>14</v>
      </c>
      <c r="C12" s="46" t="s">
        <v>6131</v>
      </c>
      <c r="D12" s="49">
        <v>0</v>
      </c>
    </row>
    <row r="13" spans="1:4" x14ac:dyDescent="0.25">
      <c r="A13" s="46" t="s">
        <v>6139</v>
      </c>
      <c r="B13" s="46" t="s">
        <v>14</v>
      </c>
      <c r="C13" s="46" t="s">
        <v>6131</v>
      </c>
      <c r="D13" s="49">
        <v>0</v>
      </c>
    </row>
    <row r="14" spans="1:4" x14ac:dyDescent="0.25">
      <c r="A14" s="46" t="s">
        <v>6140</v>
      </c>
      <c r="B14" s="46" t="s">
        <v>14</v>
      </c>
      <c r="C14" s="46" t="s">
        <v>6131</v>
      </c>
      <c r="D14" s="49">
        <v>0</v>
      </c>
    </row>
    <row r="15" spans="1:4" x14ac:dyDescent="0.25">
      <c r="A15" s="46" t="s">
        <v>6141</v>
      </c>
      <c r="B15" s="46" t="s">
        <v>14</v>
      </c>
      <c r="C15" s="46" t="s">
        <v>6131</v>
      </c>
      <c r="D15" s="49">
        <v>0</v>
      </c>
    </row>
    <row r="16" spans="1:4" x14ac:dyDescent="0.25">
      <c r="A16" s="46" t="s">
        <v>6142</v>
      </c>
      <c r="B16" s="46" t="s">
        <v>14</v>
      </c>
      <c r="C16" s="46" t="s">
        <v>6131</v>
      </c>
      <c r="D16" s="49">
        <v>0</v>
      </c>
    </row>
    <row r="17" spans="1:4" x14ac:dyDescent="0.25">
      <c r="A17" s="46" t="s">
        <v>6143</v>
      </c>
      <c r="B17" s="46" t="s">
        <v>14</v>
      </c>
      <c r="C17" s="46" t="s">
        <v>6131</v>
      </c>
      <c r="D17" s="49">
        <v>0</v>
      </c>
    </row>
    <row r="18" spans="1:4" x14ac:dyDescent="0.25">
      <c r="A18" s="46" t="s">
        <v>6144</v>
      </c>
      <c r="B18" s="46" t="s">
        <v>14</v>
      </c>
      <c r="C18" s="46" t="s">
        <v>6131</v>
      </c>
      <c r="D18" s="49">
        <v>0</v>
      </c>
    </row>
    <row r="19" spans="1:4" x14ac:dyDescent="0.25">
      <c r="A19" s="46" t="s">
        <v>6145</v>
      </c>
      <c r="B19" s="46" t="s">
        <v>14</v>
      </c>
      <c r="C19" s="46" t="s">
        <v>6131</v>
      </c>
      <c r="D19" s="49">
        <v>0</v>
      </c>
    </row>
    <row r="20" spans="1:4" x14ac:dyDescent="0.25">
      <c r="A20" s="46" t="s">
        <v>6146</v>
      </c>
      <c r="B20" s="46" t="s">
        <v>14</v>
      </c>
      <c r="C20" s="46" t="s">
        <v>6131</v>
      </c>
      <c r="D20" s="49">
        <v>0</v>
      </c>
    </row>
    <row r="21" spans="1:4" x14ac:dyDescent="0.25">
      <c r="A21" s="46" t="s">
        <v>6147</v>
      </c>
      <c r="B21" s="46" t="s">
        <v>14</v>
      </c>
      <c r="C21" s="46" t="s">
        <v>6131</v>
      </c>
      <c r="D21" s="49">
        <v>0</v>
      </c>
    </row>
    <row r="22" spans="1:4" x14ac:dyDescent="0.25">
      <c r="A22" s="46" t="s">
        <v>6148</v>
      </c>
      <c r="B22" s="46" t="s">
        <v>14</v>
      </c>
      <c r="C22" s="46" t="s">
        <v>6131</v>
      </c>
      <c r="D22" s="49">
        <v>0</v>
      </c>
    </row>
    <row r="23" spans="1:4" x14ac:dyDescent="0.25">
      <c r="A23" s="46" t="s">
        <v>6149</v>
      </c>
      <c r="B23" s="46" t="s">
        <v>14</v>
      </c>
      <c r="C23" s="46" t="s">
        <v>6131</v>
      </c>
      <c r="D23" s="49">
        <v>0</v>
      </c>
    </row>
    <row r="24" spans="1:4" x14ac:dyDescent="0.25">
      <c r="A24" s="46" t="s">
        <v>6150</v>
      </c>
      <c r="B24" s="46" t="s">
        <v>14</v>
      </c>
      <c r="C24" s="46" t="s">
        <v>6131</v>
      </c>
      <c r="D24" s="49">
        <v>0</v>
      </c>
    </row>
    <row r="25" spans="1:4" x14ac:dyDescent="0.25">
      <c r="A25" s="46" t="s">
        <v>6151</v>
      </c>
      <c r="B25" s="46" t="s">
        <v>14</v>
      </c>
      <c r="C25" s="46" t="s">
        <v>6131</v>
      </c>
      <c r="D25" s="49">
        <v>0</v>
      </c>
    </row>
    <row r="26" spans="1:4" x14ac:dyDescent="0.25">
      <c r="A26" s="46" t="s">
        <v>6152</v>
      </c>
      <c r="B26" s="46" t="s">
        <v>14</v>
      </c>
      <c r="C26" s="46" t="s">
        <v>6131</v>
      </c>
      <c r="D26" s="49">
        <v>0</v>
      </c>
    </row>
    <row r="27" spans="1:4" x14ac:dyDescent="0.25">
      <c r="A27" s="46" t="s">
        <v>6153</v>
      </c>
      <c r="B27" s="46" t="s">
        <v>14</v>
      </c>
      <c r="C27" s="46" t="s">
        <v>6131</v>
      </c>
      <c r="D27" s="49">
        <v>0</v>
      </c>
    </row>
    <row r="28" spans="1:4" x14ac:dyDescent="0.25">
      <c r="A28" s="46" t="s">
        <v>6154</v>
      </c>
      <c r="B28" s="46" t="s">
        <v>14</v>
      </c>
      <c r="C28" s="46" t="s">
        <v>6131</v>
      </c>
      <c r="D28" s="49">
        <v>0</v>
      </c>
    </row>
    <row r="29" spans="1:4" x14ac:dyDescent="0.25">
      <c r="A29" s="46" t="s">
        <v>6155</v>
      </c>
      <c r="B29" s="46" t="s">
        <v>14</v>
      </c>
      <c r="C29" s="46" t="s">
        <v>6131</v>
      </c>
      <c r="D29" s="49">
        <v>0</v>
      </c>
    </row>
    <row r="30" spans="1:4" x14ac:dyDescent="0.25">
      <c r="A30" s="46" t="s">
        <v>6156</v>
      </c>
      <c r="B30" s="46" t="s">
        <v>14</v>
      </c>
      <c r="C30" s="46" t="s">
        <v>6131</v>
      </c>
      <c r="D30" s="49">
        <v>0</v>
      </c>
    </row>
    <row r="31" spans="1:4" x14ac:dyDescent="0.25">
      <c r="A31" s="46" t="s">
        <v>6157</v>
      </c>
      <c r="B31" s="46" t="s">
        <v>14</v>
      </c>
      <c r="C31" s="46" t="s">
        <v>6131</v>
      </c>
      <c r="D31" s="49">
        <v>0</v>
      </c>
    </row>
    <row r="32" spans="1:4" x14ac:dyDescent="0.25">
      <c r="A32" s="46" t="s">
        <v>6158</v>
      </c>
      <c r="B32" s="46" t="s">
        <v>14</v>
      </c>
      <c r="C32" s="46" t="s">
        <v>6131</v>
      </c>
      <c r="D32" s="49">
        <v>0</v>
      </c>
    </row>
    <row r="33" spans="1:4" x14ac:dyDescent="0.25">
      <c r="A33" s="46" t="s">
        <v>6159</v>
      </c>
      <c r="B33" s="46" t="s">
        <v>14</v>
      </c>
      <c r="C33" s="46" t="s">
        <v>6131</v>
      </c>
      <c r="D33" s="49">
        <v>0</v>
      </c>
    </row>
    <row r="34" spans="1:4" x14ac:dyDescent="0.25">
      <c r="A34" s="46" t="s">
        <v>6160</v>
      </c>
      <c r="B34" s="46" t="s">
        <v>14</v>
      </c>
      <c r="C34" s="46" t="s">
        <v>6131</v>
      </c>
      <c r="D34" s="49">
        <v>0</v>
      </c>
    </row>
    <row r="35" spans="1:4" x14ac:dyDescent="0.25">
      <c r="A35" s="46" t="s">
        <v>6161</v>
      </c>
      <c r="B35" s="46" t="s">
        <v>14</v>
      </c>
      <c r="C35" s="46" t="s">
        <v>6131</v>
      </c>
      <c r="D35" s="49">
        <v>0</v>
      </c>
    </row>
    <row r="36" spans="1:4" x14ac:dyDescent="0.25">
      <c r="A36" s="46" t="s">
        <v>6162</v>
      </c>
      <c r="B36" s="46" t="s">
        <v>14</v>
      </c>
      <c r="C36" s="46" t="s">
        <v>6131</v>
      </c>
      <c r="D36" s="49">
        <v>0</v>
      </c>
    </row>
    <row r="37" spans="1:4" x14ac:dyDescent="0.25">
      <c r="A37" s="46" t="s">
        <v>6163</v>
      </c>
      <c r="B37" s="46" t="s">
        <v>14</v>
      </c>
      <c r="C37" s="46" t="s">
        <v>6131</v>
      </c>
      <c r="D37" s="49">
        <v>0</v>
      </c>
    </row>
    <row r="38" spans="1:4" x14ac:dyDescent="0.25">
      <c r="A38" s="46" t="s">
        <v>6164</v>
      </c>
      <c r="B38" s="46" t="s">
        <v>14</v>
      </c>
      <c r="C38" s="46" t="s">
        <v>6131</v>
      </c>
      <c r="D38" s="49">
        <v>0</v>
      </c>
    </row>
    <row r="39" spans="1:4" x14ac:dyDescent="0.25">
      <c r="A39" s="46" t="s">
        <v>6165</v>
      </c>
      <c r="B39" s="46" t="s">
        <v>14</v>
      </c>
      <c r="C39" s="46" t="s">
        <v>6131</v>
      </c>
      <c r="D39" s="49">
        <v>0</v>
      </c>
    </row>
    <row r="40" spans="1:4" x14ac:dyDescent="0.25">
      <c r="A40" s="46" t="s">
        <v>6166</v>
      </c>
      <c r="B40" s="46" t="s">
        <v>14</v>
      </c>
      <c r="C40" s="46" t="s">
        <v>6131</v>
      </c>
      <c r="D40" s="49">
        <v>0</v>
      </c>
    </row>
    <row r="41" spans="1:4" x14ac:dyDescent="0.25">
      <c r="A41" s="46" t="s">
        <v>6167</v>
      </c>
      <c r="B41" s="46" t="s">
        <v>14</v>
      </c>
      <c r="C41" s="46" t="s">
        <v>6131</v>
      </c>
      <c r="D41" s="49">
        <v>0</v>
      </c>
    </row>
    <row r="42" spans="1:4" x14ac:dyDescent="0.25">
      <c r="A42" s="46" t="s">
        <v>6168</v>
      </c>
      <c r="B42" s="46" t="s">
        <v>14</v>
      </c>
      <c r="C42" s="46" t="s">
        <v>6131</v>
      </c>
      <c r="D42" s="49">
        <v>0</v>
      </c>
    </row>
    <row r="43" spans="1:4" x14ac:dyDescent="0.25">
      <c r="A43" s="46" t="s">
        <v>6169</v>
      </c>
      <c r="B43" s="46" t="s">
        <v>14</v>
      </c>
      <c r="C43" s="46" t="s">
        <v>6131</v>
      </c>
      <c r="D43" s="49">
        <v>0</v>
      </c>
    </row>
    <row r="44" spans="1:4" x14ac:dyDescent="0.25">
      <c r="A44" s="46" t="s">
        <v>6170</v>
      </c>
      <c r="B44" s="46" t="s">
        <v>14</v>
      </c>
      <c r="C44" s="46" t="s">
        <v>6131</v>
      </c>
      <c r="D44" s="49">
        <v>0</v>
      </c>
    </row>
    <row r="45" spans="1:4" x14ac:dyDescent="0.25">
      <c r="A45" s="46" t="s">
        <v>6171</v>
      </c>
      <c r="B45" s="46" t="s">
        <v>14</v>
      </c>
      <c r="C45" s="46" t="s">
        <v>6131</v>
      </c>
      <c r="D45" s="49">
        <v>0</v>
      </c>
    </row>
    <row r="46" spans="1:4" x14ac:dyDescent="0.25">
      <c r="A46" s="46" t="s">
        <v>6172</v>
      </c>
      <c r="B46" s="46" t="s">
        <v>14</v>
      </c>
      <c r="C46" s="46" t="s">
        <v>6131</v>
      </c>
      <c r="D46" s="49">
        <v>0</v>
      </c>
    </row>
    <row r="47" spans="1:4" x14ac:dyDescent="0.25">
      <c r="A47" s="46" t="s">
        <v>6173</v>
      </c>
      <c r="B47" s="46" t="s">
        <v>14</v>
      </c>
      <c r="C47" s="46" t="s">
        <v>6131</v>
      </c>
      <c r="D47" s="49">
        <v>0</v>
      </c>
    </row>
    <row r="48" spans="1:4" x14ac:dyDescent="0.25">
      <c r="A48" s="46" t="s">
        <v>6174</v>
      </c>
      <c r="B48" s="46" t="s">
        <v>14</v>
      </c>
      <c r="C48" s="46" t="s">
        <v>6131</v>
      </c>
      <c r="D48" s="49">
        <v>0</v>
      </c>
    </row>
    <row r="49" spans="1:4" x14ac:dyDescent="0.25">
      <c r="A49" s="46" t="s">
        <v>6175</v>
      </c>
      <c r="B49" s="46" t="s">
        <v>14</v>
      </c>
      <c r="C49" s="46" t="s">
        <v>6131</v>
      </c>
      <c r="D49" s="49">
        <v>0</v>
      </c>
    </row>
    <row r="50" spans="1:4" x14ac:dyDescent="0.25">
      <c r="A50" s="46" t="s">
        <v>6176</v>
      </c>
      <c r="B50" s="46" t="s">
        <v>14</v>
      </c>
      <c r="C50" s="46" t="s">
        <v>6131</v>
      </c>
      <c r="D50" s="49">
        <v>0</v>
      </c>
    </row>
    <row r="51" spans="1:4" x14ac:dyDescent="0.25">
      <c r="A51" s="46" t="s">
        <v>6177</v>
      </c>
      <c r="B51" s="46" t="s">
        <v>14</v>
      </c>
      <c r="C51" s="46" t="s">
        <v>6131</v>
      </c>
      <c r="D51" s="49">
        <v>0</v>
      </c>
    </row>
    <row r="52" spans="1:4" x14ac:dyDescent="0.25">
      <c r="A52" s="46" t="s">
        <v>6178</v>
      </c>
      <c r="B52" s="46" t="s">
        <v>14</v>
      </c>
      <c r="C52" s="46" t="s">
        <v>6131</v>
      </c>
      <c r="D52" s="49">
        <v>0</v>
      </c>
    </row>
    <row r="53" spans="1:4" x14ac:dyDescent="0.25">
      <c r="A53" s="46" t="s">
        <v>6179</v>
      </c>
      <c r="B53" s="46" t="s">
        <v>14</v>
      </c>
      <c r="C53" s="46" t="s">
        <v>6131</v>
      </c>
      <c r="D53" s="49">
        <v>0</v>
      </c>
    </row>
    <row r="54" spans="1:4" x14ac:dyDescent="0.25">
      <c r="A54" s="46" t="s">
        <v>6180</v>
      </c>
      <c r="B54" s="46" t="s">
        <v>14</v>
      </c>
      <c r="C54" s="46" t="s">
        <v>6131</v>
      </c>
      <c r="D54" s="49">
        <v>0</v>
      </c>
    </row>
    <row r="55" spans="1:4" x14ac:dyDescent="0.25">
      <c r="A55" s="46" t="s">
        <v>6181</v>
      </c>
      <c r="B55" s="46" t="s">
        <v>14</v>
      </c>
      <c r="C55" s="46" t="s">
        <v>6131</v>
      </c>
      <c r="D55" s="49">
        <v>0</v>
      </c>
    </row>
    <row r="56" spans="1:4" x14ac:dyDescent="0.25">
      <c r="A56" s="46" t="s">
        <v>6182</v>
      </c>
      <c r="B56" s="46" t="s">
        <v>14</v>
      </c>
      <c r="C56" s="46" t="s">
        <v>6131</v>
      </c>
      <c r="D56" s="49">
        <v>0</v>
      </c>
    </row>
    <row r="57" spans="1:4" x14ac:dyDescent="0.25">
      <c r="A57" s="46" t="s">
        <v>6183</v>
      </c>
      <c r="B57" s="46" t="s">
        <v>14</v>
      </c>
      <c r="C57" s="46" t="s">
        <v>6131</v>
      </c>
      <c r="D57" s="49">
        <v>0</v>
      </c>
    </row>
    <row r="58" spans="1:4" x14ac:dyDescent="0.25">
      <c r="A58" s="46" t="s">
        <v>6184</v>
      </c>
      <c r="B58" s="46" t="s">
        <v>14</v>
      </c>
      <c r="C58" s="46" t="s">
        <v>6131</v>
      </c>
      <c r="D58" s="49">
        <v>0</v>
      </c>
    </row>
    <row r="59" spans="1:4" x14ac:dyDescent="0.25">
      <c r="A59" s="46" t="s">
        <v>6185</v>
      </c>
      <c r="B59" s="46" t="s">
        <v>14</v>
      </c>
      <c r="C59" s="46" t="s">
        <v>6131</v>
      </c>
      <c r="D59" s="49">
        <v>0</v>
      </c>
    </row>
    <row r="60" spans="1:4" x14ac:dyDescent="0.25">
      <c r="A60" s="46" t="s">
        <v>6186</v>
      </c>
      <c r="B60" s="46" t="s">
        <v>14</v>
      </c>
      <c r="C60" s="46" t="s">
        <v>6131</v>
      </c>
      <c r="D60" s="49">
        <v>0</v>
      </c>
    </row>
    <row r="61" spans="1:4" x14ac:dyDescent="0.25">
      <c r="A61" s="46" t="s">
        <v>6187</v>
      </c>
      <c r="B61" s="46" t="s">
        <v>14</v>
      </c>
      <c r="C61" s="46" t="s">
        <v>6131</v>
      </c>
      <c r="D61" s="49">
        <v>0</v>
      </c>
    </row>
    <row r="62" spans="1:4" x14ac:dyDescent="0.25">
      <c r="A62" s="46" t="s">
        <v>6188</v>
      </c>
      <c r="B62" s="46" t="s">
        <v>14</v>
      </c>
      <c r="C62" s="46" t="s">
        <v>6131</v>
      </c>
      <c r="D62" s="49">
        <v>0</v>
      </c>
    </row>
    <row r="63" spans="1:4" x14ac:dyDescent="0.25">
      <c r="A63" s="46" t="s">
        <v>6189</v>
      </c>
      <c r="B63" s="46" t="s">
        <v>14</v>
      </c>
      <c r="C63" s="46" t="s">
        <v>6131</v>
      </c>
      <c r="D63" s="49">
        <v>0</v>
      </c>
    </row>
    <row r="64" spans="1:4" x14ac:dyDescent="0.25">
      <c r="A64" s="46" t="s">
        <v>6190</v>
      </c>
      <c r="B64" s="46" t="s">
        <v>14</v>
      </c>
      <c r="C64" s="46" t="s">
        <v>6131</v>
      </c>
      <c r="D64" s="49">
        <v>0</v>
      </c>
    </row>
    <row r="65" spans="1:4" x14ac:dyDescent="0.25">
      <c r="A65" s="46" t="s">
        <v>6191</v>
      </c>
      <c r="B65" s="46" t="s">
        <v>14</v>
      </c>
      <c r="C65" s="46" t="s">
        <v>6131</v>
      </c>
      <c r="D65" s="49">
        <v>0</v>
      </c>
    </row>
    <row r="66" spans="1:4" x14ac:dyDescent="0.25">
      <c r="A66" s="46" t="s">
        <v>6192</v>
      </c>
      <c r="B66" s="46" t="s">
        <v>14</v>
      </c>
      <c r="C66" s="46" t="s">
        <v>6131</v>
      </c>
      <c r="D66" s="49">
        <v>0</v>
      </c>
    </row>
    <row r="67" spans="1:4" x14ac:dyDescent="0.25">
      <c r="A67" s="46" t="s">
        <v>6193</v>
      </c>
      <c r="B67" s="46" t="s">
        <v>14</v>
      </c>
      <c r="C67" s="46" t="s">
        <v>6131</v>
      </c>
      <c r="D67" s="49">
        <v>0</v>
      </c>
    </row>
    <row r="68" spans="1:4" x14ac:dyDescent="0.25">
      <c r="A68" s="46" t="s">
        <v>6194</v>
      </c>
      <c r="B68" s="46" t="s">
        <v>14</v>
      </c>
      <c r="C68" s="46" t="s">
        <v>6131</v>
      </c>
      <c r="D68" s="49">
        <v>0</v>
      </c>
    </row>
    <row r="69" spans="1:4" x14ac:dyDescent="0.25">
      <c r="A69" s="46" t="s">
        <v>6195</v>
      </c>
      <c r="B69" s="46" t="s">
        <v>14</v>
      </c>
      <c r="C69" s="46" t="s">
        <v>6131</v>
      </c>
      <c r="D69" s="49">
        <v>0</v>
      </c>
    </row>
    <row r="70" spans="1:4" x14ac:dyDescent="0.25">
      <c r="A70" s="46" t="s">
        <v>6196</v>
      </c>
      <c r="B70" s="46" t="s">
        <v>14</v>
      </c>
      <c r="C70" s="46" t="s">
        <v>6131</v>
      </c>
      <c r="D70" s="49">
        <v>0</v>
      </c>
    </row>
    <row r="71" spans="1:4" x14ac:dyDescent="0.25">
      <c r="A71" s="46" t="s">
        <v>6197</v>
      </c>
      <c r="B71" s="46" t="s">
        <v>14</v>
      </c>
      <c r="C71" s="46" t="s">
        <v>6131</v>
      </c>
      <c r="D71" s="49">
        <v>0</v>
      </c>
    </row>
    <row r="72" spans="1:4" x14ac:dyDescent="0.25">
      <c r="A72" s="46" t="s">
        <v>6198</v>
      </c>
      <c r="B72" s="46" t="s">
        <v>14</v>
      </c>
      <c r="C72" s="46" t="s">
        <v>6131</v>
      </c>
      <c r="D72" s="49">
        <v>0</v>
      </c>
    </row>
    <row r="73" spans="1:4" x14ac:dyDescent="0.25">
      <c r="A73" s="46" t="s">
        <v>6199</v>
      </c>
      <c r="B73" s="46" t="s">
        <v>14</v>
      </c>
      <c r="C73" s="46" t="s">
        <v>6131</v>
      </c>
      <c r="D73" s="49">
        <v>0</v>
      </c>
    </row>
    <row r="74" spans="1:4" x14ac:dyDescent="0.25">
      <c r="A74" s="46" t="s">
        <v>6200</v>
      </c>
      <c r="B74" s="46" t="s">
        <v>14</v>
      </c>
      <c r="C74" s="46" t="s">
        <v>6131</v>
      </c>
      <c r="D74" s="49">
        <v>0</v>
      </c>
    </row>
    <row r="75" spans="1:4" x14ac:dyDescent="0.25">
      <c r="A75" s="46" t="s">
        <v>6201</v>
      </c>
      <c r="B75" s="46" t="s">
        <v>14</v>
      </c>
      <c r="C75" s="46" t="s">
        <v>6131</v>
      </c>
      <c r="D75" s="49">
        <v>0</v>
      </c>
    </row>
    <row r="76" spans="1:4" x14ac:dyDescent="0.25">
      <c r="A76" s="46" t="s">
        <v>6202</v>
      </c>
      <c r="B76" s="46" t="s">
        <v>14</v>
      </c>
      <c r="C76" s="46" t="s">
        <v>6131</v>
      </c>
      <c r="D76" s="49">
        <v>0</v>
      </c>
    </row>
    <row r="77" spans="1:4" x14ac:dyDescent="0.25">
      <c r="A77" s="46" t="s">
        <v>6203</v>
      </c>
      <c r="B77" s="46" t="s">
        <v>14</v>
      </c>
      <c r="C77" s="46" t="s">
        <v>6131</v>
      </c>
      <c r="D77" s="49">
        <v>0</v>
      </c>
    </row>
    <row r="78" spans="1:4" x14ac:dyDescent="0.25">
      <c r="A78" s="46" t="s">
        <v>6204</v>
      </c>
      <c r="B78" s="46" t="s">
        <v>14</v>
      </c>
      <c r="C78" s="46" t="s">
        <v>6131</v>
      </c>
      <c r="D78" s="49">
        <v>0</v>
      </c>
    </row>
    <row r="79" spans="1:4" x14ac:dyDescent="0.25">
      <c r="A79" s="46" t="s">
        <v>6205</v>
      </c>
      <c r="B79" s="46" t="s">
        <v>14</v>
      </c>
      <c r="C79" s="46" t="s">
        <v>6131</v>
      </c>
      <c r="D79" s="49">
        <v>0</v>
      </c>
    </row>
    <row r="80" spans="1:4" x14ac:dyDescent="0.25">
      <c r="A80" s="46" t="s">
        <v>6206</v>
      </c>
      <c r="B80" s="46" t="s">
        <v>14</v>
      </c>
      <c r="C80" s="46" t="s">
        <v>6131</v>
      </c>
      <c r="D80" s="49">
        <v>0</v>
      </c>
    </row>
    <row r="81" spans="1:4" x14ac:dyDescent="0.25">
      <c r="A81" s="46" t="s">
        <v>6207</v>
      </c>
      <c r="B81" s="46" t="s">
        <v>14</v>
      </c>
      <c r="C81" s="46" t="s">
        <v>6131</v>
      </c>
      <c r="D81" s="49">
        <v>0</v>
      </c>
    </row>
    <row r="82" spans="1:4" x14ac:dyDescent="0.25">
      <c r="A82" s="46" t="s">
        <v>6208</v>
      </c>
      <c r="B82" s="46" t="s">
        <v>14</v>
      </c>
      <c r="C82" s="46" t="s">
        <v>6131</v>
      </c>
      <c r="D82" s="49">
        <v>0</v>
      </c>
    </row>
    <row r="83" spans="1:4" x14ac:dyDescent="0.25">
      <c r="A83" s="46" t="s">
        <v>6209</v>
      </c>
      <c r="B83" s="46" t="s">
        <v>14</v>
      </c>
      <c r="C83" s="46" t="s">
        <v>6131</v>
      </c>
      <c r="D83" s="49">
        <v>0</v>
      </c>
    </row>
    <row r="84" spans="1:4" x14ac:dyDescent="0.25">
      <c r="A84" s="46" t="s">
        <v>6210</v>
      </c>
      <c r="B84" s="46" t="s">
        <v>14</v>
      </c>
      <c r="C84" s="46" t="s">
        <v>6131</v>
      </c>
      <c r="D84" s="49">
        <v>0</v>
      </c>
    </row>
    <row r="85" spans="1:4" x14ac:dyDescent="0.25">
      <c r="A85" s="46" t="s">
        <v>6211</v>
      </c>
      <c r="B85" s="46" t="s">
        <v>14</v>
      </c>
      <c r="C85" s="46" t="s">
        <v>6131</v>
      </c>
      <c r="D85" s="49">
        <v>0</v>
      </c>
    </row>
    <row r="86" spans="1:4" x14ac:dyDescent="0.25">
      <c r="A86" s="46" t="s">
        <v>6212</v>
      </c>
      <c r="B86" s="46" t="s">
        <v>14</v>
      </c>
      <c r="C86" s="46" t="s">
        <v>6131</v>
      </c>
      <c r="D86" s="49">
        <v>0</v>
      </c>
    </row>
    <row r="87" spans="1:4" x14ac:dyDescent="0.25">
      <c r="A87" s="46" t="s">
        <v>6213</v>
      </c>
      <c r="B87" s="46" t="s">
        <v>14</v>
      </c>
      <c r="C87" s="46" t="s">
        <v>6131</v>
      </c>
      <c r="D87" s="49">
        <v>0</v>
      </c>
    </row>
    <row r="88" spans="1:4" x14ac:dyDescent="0.25">
      <c r="A88" s="46" t="s">
        <v>6214</v>
      </c>
      <c r="B88" s="46" t="s">
        <v>14</v>
      </c>
      <c r="C88" s="46" t="s">
        <v>6131</v>
      </c>
      <c r="D88" s="49">
        <v>0</v>
      </c>
    </row>
    <row r="89" spans="1:4" x14ac:dyDescent="0.25">
      <c r="A89" s="46" t="s">
        <v>6215</v>
      </c>
      <c r="B89" s="46" t="s">
        <v>14</v>
      </c>
      <c r="C89" s="46" t="s">
        <v>6131</v>
      </c>
      <c r="D89" s="49">
        <v>0</v>
      </c>
    </row>
    <row r="90" spans="1:4" x14ac:dyDescent="0.25">
      <c r="A90" s="46" t="s">
        <v>6216</v>
      </c>
      <c r="B90" s="46" t="s">
        <v>14</v>
      </c>
      <c r="C90" s="46" t="s">
        <v>6131</v>
      </c>
      <c r="D90" s="49">
        <v>0</v>
      </c>
    </row>
    <row r="91" spans="1:4" x14ac:dyDescent="0.25">
      <c r="A91" s="46" t="s">
        <v>6217</v>
      </c>
      <c r="B91" s="46" t="s">
        <v>14</v>
      </c>
      <c r="C91" s="46" t="s">
        <v>6131</v>
      </c>
      <c r="D91" s="49">
        <v>0</v>
      </c>
    </row>
    <row r="92" spans="1:4" x14ac:dyDescent="0.25">
      <c r="A92" s="46" t="s">
        <v>6218</v>
      </c>
      <c r="B92" s="46" t="s">
        <v>14</v>
      </c>
      <c r="C92" s="46" t="s">
        <v>6131</v>
      </c>
      <c r="D92" s="49">
        <v>0</v>
      </c>
    </row>
    <row r="93" spans="1:4" x14ac:dyDescent="0.25">
      <c r="A93" s="46" t="s">
        <v>6219</v>
      </c>
      <c r="B93" s="46" t="s">
        <v>14</v>
      </c>
      <c r="C93" s="46" t="s">
        <v>6131</v>
      </c>
      <c r="D93" s="49">
        <v>0</v>
      </c>
    </row>
    <row r="94" spans="1:4" x14ac:dyDescent="0.25">
      <c r="A94" s="46" t="s">
        <v>6220</v>
      </c>
      <c r="B94" s="46" t="s">
        <v>14</v>
      </c>
      <c r="C94" s="46" t="s">
        <v>6131</v>
      </c>
      <c r="D94" s="49">
        <v>0</v>
      </c>
    </row>
    <row r="95" spans="1:4" x14ac:dyDescent="0.25">
      <c r="A95" s="46" t="s">
        <v>6221</v>
      </c>
      <c r="B95" s="46" t="s">
        <v>14</v>
      </c>
      <c r="C95" s="46" t="s">
        <v>6131</v>
      </c>
      <c r="D95" s="49">
        <v>0</v>
      </c>
    </row>
    <row r="96" spans="1:4" x14ac:dyDescent="0.25">
      <c r="A96" s="46" t="s">
        <v>6222</v>
      </c>
      <c r="B96" s="46" t="s">
        <v>14</v>
      </c>
      <c r="C96" s="46" t="s">
        <v>6131</v>
      </c>
      <c r="D96" s="49">
        <v>0</v>
      </c>
    </row>
    <row r="97" spans="1:4" x14ac:dyDescent="0.25">
      <c r="A97" s="46" t="s">
        <v>6223</v>
      </c>
      <c r="B97" s="46" t="s">
        <v>14</v>
      </c>
      <c r="C97" s="46" t="s">
        <v>6131</v>
      </c>
      <c r="D97" s="49">
        <v>0</v>
      </c>
    </row>
    <row r="98" spans="1:4" x14ac:dyDescent="0.25">
      <c r="A98" s="46" t="s">
        <v>6224</v>
      </c>
      <c r="B98" s="46" t="s">
        <v>14</v>
      </c>
      <c r="C98" s="46" t="s">
        <v>6131</v>
      </c>
      <c r="D98" s="49">
        <v>0</v>
      </c>
    </row>
    <row r="99" spans="1:4" x14ac:dyDescent="0.25">
      <c r="A99" s="46" t="s">
        <v>6225</v>
      </c>
      <c r="B99" s="46" t="s">
        <v>14</v>
      </c>
      <c r="C99" s="46" t="s">
        <v>6131</v>
      </c>
      <c r="D99" s="49">
        <v>0</v>
      </c>
    </row>
    <row r="100" spans="1:4" x14ac:dyDescent="0.25">
      <c r="A100" s="46" t="s">
        <v>6226</v>
      </c>
      <c r="B100" s="46" t="s">
        <v>14</v>
      </c>
      <c r="C100" s="46" t="s">
        <v>6131</v>
      </c>
      <c r="D100" s="49">
        <v>0</v>
      </c>
    </row>
    <row r="101" spans="1:4" x14ac:dyDescent="0.25">
      <c r="A101" s="46" t="s">
        <v>6227</v>
      </c>
      <c r="B101" s="46" t="s">
        <v>14</v>
      </c>
      <c r="C101" s="46" t="s">
        <v>6131</v>
      </c>
      <c r="D101" s="49">
        <v>0</v>
      </c>
    </row>
    <row r="102" spans="1:4" x14ac:dyDescent="0.25">
      <c r="A102" s="46" t="s">
        <v>6228</v>
      </c>
      <c r="B102" s="46" t="s">
        <v>14</v>
      </c>
      <c r="C102" s="46" t="s">
        <v>6131</v>
      </c>
      <c r="D102" s="49">
        <v>0</v>
      </c>
    </row>
    <row r="103" spans="1:4" x14ac:dyDescent="0.25">
      <c r="A103" s="46" t="s">
        <v>6229</v>
      </c>
      <c r="B103" s="46" t="s">
        <v>14</v>
      </c>
      <c r="C103" s="46" t="s">
        <v>6131</v>
      </c>
      <c r="D103" s="49">
        <v>0</v>
      </c>
    </row>
    <row r="104" spans="1:4" x14ac:dyDescent="0.25">
      <c r="A104" s="46" t="s">
        <v>6230</v>
      </c>
      <c r="B104" s="46" t="s">
        <v>14</v>
      </c>
      <c r="C104" s="46" t="s">
        <v>6131</v>
      </c>
      <c r="D104" s="49">
        <v>0</v>
      </c>
    </row>
    <row r="105" spans="1:4" x14ac:dyDescent="0.25">
      <c r="A105" s="46" t="s">
        <v>6231</v>
      </c>
      <c r="B105" s="46" t="s">
        <v>14</v>
      </c>
      <c r="C105" s="46" t="s">
        <v>6131</v>
      </c>
      <c r="D105" s="49">
        <v>0</v>
      </c>
    </row>
    <row r="106" spans="1:4" x14ac:dyDescent="0.25">
      <c r="A106" s="46" t="s">
        <v>6232</v>
      </c>
      <c r="B106" s="46" t="s">
        <v>14</v>
      </c>
      <c r="C106" s="46" t="s">
        <v>6131</v>
      </c>
      <c r="D106" s="49">
        <v>0</v>
      </c>
    </row>
    <row r="107" spans="1:4" x14ac:dyDescent="0.25">
      <c r="A107" s="46" t="s">
        <v>6233</v>
      </c>
      <c r="B107" s="46" t="s">
        <v>14</v>
      </c>
      <c r="C107" s="46" t="s">
        <v>6131</v>
      </c>
      <c r="D107" s="49">
        <v>0</v>
      </c>
    </row>
    <row r="108" spans="1:4" x14ac:dyDescent="0.25">
      <c r="A108" s="46" t="s">
        <v>6234</v>
      </c>
      <c r="B108" s="46" t="s">
        <v>14</v>
      </c>
      <c r="C108" s="46" t="s">
        <v>6131</v>
      </c>
      <c r="D108" s="49">
        <v>0</v>
      </c>
    </row>
    <row r="109" spans="1:4" x14ac:dyDescent="0.25">
      <c r="A109" s="46" t="s">
        <v>6235</v>
      </c>
      <c r="B109" s="46" t="s">
        <v>14</v>
      </c>
      <c r="C109" s="46" t="s">
        <v>6131</v>
      </c>
      <c r="D109" s="49">
        <v>0</v>
      </c>
    </row>
    <row r="110" spans="1:4" x14ac:dyDescent="0.25">
      <c r="A110" s="46" t="s">
        <v>6236</v>
      </c>
      <c r="B110" s="46" t="s">
        <v>14</v>
      </c>
      <c r="C110" s="46" t="s">
        <v>6131</v>
      </c>
      <c r="D110" s="49">
        <v>0</v>
      </c>
    </row>
    <row r="111" spans="1:4" x14ac:dyDescent="0.25">
      <c r="A111" s="46" t="s">
        <v>6237</v>
      </c>
      <c r="B111" s="46" t="s">
        <v>14</v>
      </c>
      <c r="C111" s="46" t="s">
        <v>6131</v>
      </c>
      <c r="D111" s="49">
        <v>0</v>
      </c>
    </row>
    <row r="112" spans="1:4" x14ac:dyDescent="0.25">
      <c r="A112" s="46" t="s">
        <v>6238</v>
      </c>
      <c r="B112" s="46" t="s">
        <v>14</v>
      </c>
      <c r="C112" s="46" t="s">
        <v>6131</v>
      </c>
      <c r="D112" s="49">
        <v>0</v>
      </c>
    </row>
    <row r="113" spans="1:4" x14ac:dyDescent="0.25">
      <c r="A113" s="46" t="s">
        <v>6239</v>
      </c>
      <c r="B113" s="46" t="s">
        <v>14</v>
      </c>
      <c r="C113" s="46" t="s">
        <v>6131</v>
      </c>
      <c r="D113" s="49">
        <v>0</v>
      </c>
    </row>
    <row r="114" spans="1:4" x14ac:dyDescent="0.25">
      <c r="A114" s="46" t="s">
        <v>6240</v>
      </c>
      <c r="B114" s="46" t="s">
        <v>14</v>
      </c>
      <c r="C114" s="46" t="s">
        <v>6131</v>
      </c>
      <c r="D114" s="49">
        <v>0</v>
      </c>
    </row>
    <row r="115" spans="1:4" x14ac:dyDescent="0.25">
      <c r="A115" s="46" t="s">
        <v>6241</v>
      </c>
      <c r="B115" s="46" t="s">
        <v>14</v>
      </c>
      <c r="C115" s="46" t="s">
        <v>6131</v>
      </c>
      <c r="D115" s="49">
        <v>0</v>
      </c>
    </row>
    <row r="116" spans="1:4" x14ac:dyDescent="0.25">
      <c r="A116" s="46" t="s">
        <v>6242</v>
      </c>
      <c r="B116" s="46" t="s">
        <v>14</v>
      </c>
      <c r="C116" s="46" t="s">
        <v>6131</v>
      </c>
      <c r="D116" s="49">
        <v>0</v>
      </c>
    </row>
    <row r="117" spans="1:4" x14ac:dyDescent="0.25">
      <c r="A117" s="46" t="s">
        <v>6243</v>
      </c>
      <c r="B117" s="46" t="s">
        <v>14</v>
      </c>
      <c r="C117" s="46" t="s">
        <v>6131</v>
      </c>
      <c r="D117" s="49">
        <v>0</v>
      </c>
    </row>
    <row r="118" spans="1:4" x14ac:dyDescent="0.25">
      <c r="A118" s="46" t="s">
        <v>6244</v>
      </c>
      <c r="B118" s="46" t="s">
        <v>14</v>
      </c>
      <c r="C118" s="46" t="s">
        <v>6131</v>
      </c>
      <c r="D118" s="49">
        <v>0</v>
      </c>
    </row>
    <row r="119" spans="1:4" x14ac:dyDescent="0.25">
      <c r="A119" s="46" t="s">
        <v>6245</v>
      </c>
      <c r="B119" s="46" t="s">
        <v>14</v>
      </c>
      <c r="C119" s="46" t="s">
        <v>6131</v>
      </c>
      <c r="D119" s="49">
        <v>0</v>
      </c>
    </row>
    <row r="120" spans="1:4" x14ac:dyDescent="0.25">
      <c r="A120" s="46" t="s">
        <v>6246</v>
      </c>
      <c r="B120" s="46" t="s">
        <v>14</v>
      </c>
      <c r="C120" s="46" t="s">
        <v>6131</v>
      </c>
      <c r="D120" s="49">
        <v>0</v>
      </c>
    </row>
    <row r="121" spans="1:4" x14ac:dyDescent="0.25">
      <c r="A121" s="46" t="s">
        <v>6247</v>
      </c>
      <c r="B121" s="46" t="s">
        <v>14</v>
      </c>
      <c r="C121" s="46" t="s">
        <v>6131</v>
      </c>
      <c r="D121" s="49">
        <v>0</v>
      </c>
    </row>
    <row r="122" spans="1:4" x14ac:dyDescent="0.25">
      <c r="A122" s="46" t="s">
        <v>6248</v>
      </c>
      <c r="B122" s="46" t="s">
        <v>14</v>
      </c>
      <c r="C122" s="46" t="s">
        <v>6131</v>
      </c>
      <c r="D122" s="49">
        <v>0</v>
      </c>
    </row>
    <row r="123" spans="1:4" x14ac:dyDescent="0.25">
      <c r="A123" s="46" t="s">
        <v>6249</v>
      </c>
      <c r="B123" s="46" t="s">
        <v>14</v>
      </c>
      <c r="C123" s="46" t="s">
        <v>6131</v>
      </c>
      <c r="D123" s="49">
        <v>0</v>
      </c>
    </row>
    <row r="124" spans="1:4" x14ac:dyDescent="0.25">
      <c r="A124" s="46" t="s">
        <v>6250</v>
      </c>
      <c r="B124" s="46" t="s">
        <v>14</v>
      </c>
      <c r="C124" s="46" t="s">
        <v>6131</v>
      </c>
      <c r="D124" s="49">
        <v>0</v>
      </c>
    </row>
    <row r="125" spans="1:4" x14ac:dyDescent="0.25">
      <c r="A125" s="46" t="s">
        <v>6251</v>
      </c>
      <c r="B125" s="46" t="s">
        <v>14</v>
      </c>
      <c r="C125" s="46" t="s">
        <v>6131</v>
      </c>
      <c r="D125" s="49">
        <v>0</v>
      </c>
    </row>
    <row r="126" spans="1:4" x14ac:dyDescent="0.25">
      <c r="A126" s="46" t="s">
        <v>6252</v>
      </c>
      <c r="B126" s="46" t="s">
        <v>14</v>
      </c>
      <c r="C126" s="46" t="s">
        <v>6131</v>
      </c>
      <c r="D126" s="49">
        <v>0</v>
      </c>
    </row>
    <row r="127" spans="1:4" x14ac:dyDescent="0.25">
      <c r="A127" s="46" t="s">
        <v>6253</v>
      </c>
      <c r="B127" s="46" t="s">
        <v>14</v>
      </c>
      <c r="C127" s="46" t="s">
        <v>6131</v>
      </c>
      <c r="D127" s="49">
        <v>0</v>
      </c>
    </row>
    <row r="128" spans="1:4" x14ac:dyDescent="0.25">
      <c r="A128" s="46" t="s">
        <v>6254</v>
      </c>
      <c r="B128" s="46" t="s">
        <v>14</v>
      </c>
      <c r="C128" s="46" t="s">
        <v>6131</v>
      </c>
      <c r="D128" s="49">
        <v>0</v>
      </c>
    </row>
    <row r="129" spans="1:4" x14ac:dyDescent="0.25">
      <c r="A129" s="46" t="s">
        <v>6255</v>
      </c>
      <c r="B129" s="46" t="s">
        <v>14</v>
      </c>
      <c r="C129" s="46" t="s">
        <v>6131</v>
      </c>
      <c r="D129" s="49">
        <v>0</v>
      </c>
    </row>
    <row r="130" spans="1:4" x14ac:dyDescent="0.25">
      <c r="A130" s="46" t="s">
        <v>6256</v>
      </c>
      <c r="B130" s="46" t="s">
        <v>14</v>
      </c>
      <c r="C130" s="46" t="s">
        <v>6131</v>
      </c>
      <c r="D130" s="49">
        <v>0</v>
      </c>
    </row>
    <row r="131" spans="1:4" x14ac:dyDescent="0.25">
      <c r="A131" s="46" t="s">
        <v>6257</v>
      </c>
      <c r="B131" s="46" t="s">
        <v>14</v>
      </c>
      <c r="C131" s="46" t="s">
        <v>6131</v>
      </c>
      <c r="D131" s="49">
        <v>0</v>
      </c>
    </row>
    <row r="132" spans="1:4" x14ac:dyDescent="0.25">
      <c r="A132" s="46" t="s">
        <v>6258</v>
      </c>
      <c r="B132" s="46" t="s">
        <v>14</v>
      </c>
      <c r="C132" s="46" t="s">
        <v>6131</v>
      </c>
      <c r="D132" s="49">
        <v>0</v>
      </c>
    </row>
    <row r="133" spans="1:4" x14ac:dyDescent="0.25">
      <c r="A133" s="46" t="s">
        <v>6259</v>
      </c>
      <c r="B133" s="46" t="s">
        <v>14</v>
      </c>
      <c r="C133" s="46" t="s">
        <v>6131</v>
      </c>
      <c r="D133" s="49">
        <v>0</v>
      </c>
    </row>
    <row r="134" spans="1:4" x14ac:dyDescent="0.25">
      <c r="A134" s="46" t="s">
        <v>6260</v>
      </c>
      <c r="B134" s="46" t="s">
        <v>14</v>
      </c>
      <c r="C134" s="46" t="s">
        <v>6131</v>
      </c>
      <c r="D134" s="49">
        <v>0</v>
      </c>
    </row>
    <row r="135" spans="1:4" x14ac:dyDescent="0.25">
      <c r="A135" s="46" t="s">
        <v>6261</v>
      </c>
      <c r="B135" s="46" t="s">
        <v>14</v>
      </c>
      <c r="C135" s="46" t="s">
        <v>6131</v>
      </c>
      <c r="D135" s="49">
        <v>0</v>
      </c>
    </row>
    <row r="136" spans="1:4" x14ac:dyDescent="0.25">
      <c r="A136" s="46" t="s">
        <v>6262</v>
      </c>
      <c r="B136" s="46" t="s">
        <v>14</v>
      </c>
      <c r="C136" s="46" t="s">
        <v>6131</v>
      </c>
      <c r="D136" s="49">
        <v>0</v>
      </c>
    </row>
    <row r="137" spans="1:4" x14ac:dyDescent="0.25">
      <c r="A137" s="46" t="s">
        <v>6263</v>
      </c>
      <c r="B137" s="46" t="s">
        <v>14</v>
      </c>
      <c r="C137" s="46" t="s">
        <v>6131</v>
      </c>
      <c r="D137" s="49">
        <v>0</v>
      </c>
    </row>
    <row r="138" spans="1:4" x14ac:dyDescent="0.25">
      <c r="A138" s="46" t="s">
        <v>6264</v>
      </c>
      <c r="B138" s="46" t="s">
        <v>14</v>
      </c>
      <c r="C138" s="46" t="s">
        <v>6131</v>
      </c>
      <c r="D138" s="49">
        <v>0</v>
      </c>
    </row>
    <row r="139" spans="1:4" x14ac:dyDescent="0.25">
      <c r="A139" s="46" t="s">
        <v>6265</v>
      </c>
      <c r="B139" s="46" t="s">
        <v>14</v>
      </c>
      <c r="C139" s="46" t="s">
        <v>6131</v>
      </c>
      <c r="D139" s="49">
        <v>0</v>
      </c>
    </row>
    <row r="140" spans="1:4" x14ac:dyDescent="0.25">
      <c r="A140" s="46" t="s">
        <v>6266</v>
      </c>
      <c r="B140" s="46" t="s">
        <v>14</v>
      </c>
      <c r="C140" s="46" t="s">
        <v>6131</v>
      </c>
      <c r="D140" s="49">
        <v>0</v>
      </c>
    </row>
    <row r="141" spans="1:4" x14ac:dyDescent="0.25">
      <c r="A141" s="46" t="s">
        <v>6267</v>
      </c>
      <c r="B141" s="46" t="s">
        <v>14</v>
      </c>
      <c r="C141" s="46" t="s">
        <v>6131</v>
      </c>
      <c r="D141" s="49">
        <v>0</v>
      </c>
    </row>
    <row r="142" spans="1:4" x14ac:dyDescent="0.25">
      <c r="A142" s="46" t="s">
        <v>6268</v>
      </c>
      <c r="B142" s="46" t="s">
        <v>14</v>
      </c>
      <c r="C142" s="46" t="s">
        <v>6131</v>
      </c>
      <c r="D142" s="49">
        <v>0</v>
      </c>
    </row>
    <row r="143" spans="1:4" x14ac:dyDescent="0.25">
      <c r="A143" s="46" t="s">
        <v>6269</v>
      </c>
      <c r="B143" s="46" t="s">
        <v>14</v>
      </c>
      <c r="C143" s="46" t="s">
        <v>6131</v>
      </c>
      <c r="D143" s="49">
        <v>0</v>
      </c>
    </row>
    <row r="144" spans="1:4" x14ac:dyDescent="0.25">
      <c r="A144" s="46" t="s">
        <v>6270</v>
      </c>
      <c r="B144" s="46" t="s">
        <v>14</v>
      </c>
      <c r="C144" s="46" t="s">
        <v>6131</v>
      </c>
      <c r="D144" s="49">
        <v>0</v>
      </c>
    </row>
    <row r="145" spans="1:4" x14ac:dyDescent="0.25">
      <c r="A145" s="46" t="s">
        <v>6271</v>
      </c>
      <c r="B145" s="46" t="s">
        <v>14</v>
      </c>
      <c r="C145" s="46" t="s">
        <v>6131</v>
      </c>
      <c r="D145" s="49">
        <v>0</v>
      </c>
    </row>
    <row r="146" spans="1:4" x14ac:dyDescent="0.25">
      <c r="A146" s="46" t="s">
        <v>6272</v>
      </c>
      <c r="B146" s="46" t="s">
        <v>14</v>
      </c>
      <c r="C146" s="46" t="s">
        <v>6131</v>
      </c>
      <c r="D146" s="49">
        <v>0</v>
      </c>
    </row>
    <row r="147" spans="1:4" x14ac:dyDescent="0.25">
      <c r="A147" s="46" t="s">
        <v>6273</v>
      </c>
      <c r="B147" s="46" t="s">
        <v>14</v>
      </c>
      <c r="C147" s="46" t="s">
        <v>6131</v>
      </c>
      <c r="D147" s="49">
        <v>0</v>
      </c>
    </row>
    <row r="148" spans="1:4" x14ac:dyDescent="0.25">
      <c r="A148" s="46" t="s">
        <v>6274</v>
      </c>
      <c r="B148" s="46" t="s">
        <v>14</v>
      </c>
      <c r="C148" s="46" t="s">
        <v>6131</v>
      </c>
      <c r="D148" s="49">
        <v>0</v>
      </c>
    </row>
    <row r="149" spans="1:4" x14ac:dyDescent="0.25">
      <c r="A149" s="46" t="s">
        <v>6275</v>
      </c>
      <c r="B149" s="46" t="s">
        <v>14</v>
      </c>
      <c r="C149" s="46" t="s">
        <v>6131</v>
      </c>
      <c r="D149" s="49">
        <v>0</v>
      </c>
    </row>
    <row r="150" spans="1:4" x14ac:dyDescent="0.25">
      <c r="A150" s="46" t="s">
        <v>6276</v>
      </c>
      <c r="B150" s="46" t="s">
        <v>14</v>
      </c>
      <c r="C150" s="46" t="s">
        <v>6131</v>
      </c>
      <c r="D150" s="49">
        <v>0</v>
      </c>
    </row>
    <row r="151" spans="1:4" x14ac:dyDescent="0.25">
      <c r="A151" s="46" t="s">
        <v>6277</v>
      </c>
      <c r="B151" s="46" t="s">
        <v>14</v>
      </c>
      <c r="C151" s="46" t="s">
        <v>6131</v>
      </c>
      <c r="D151" s="49">
        <v>0</v>
      </c>
    </row>
    <row r="152" spans="1:4" x14ac:dyDescent="0.25">
      <c r="A152" s="46" t="s">
        <v>6278</v>
      </c>
      <c r="B152" s="46" t="s">
        <v>14</v>
      </c>
      <c r="C152" s="46" t="s">
        <v>6131</v>
      </c>
      <c r="D152" s="49">
        <v>0</v>
      </c>
    </row>
    <row r="153" spans="1:4" x14ac:dyDescent="0.25">
      <c r="A153" s="46" t="s">
        <v>6279</v>
      </c>
      <c r="B153" s="46" t="s">
        <v>14</v>
      </c>
      <c r="C153" s="46" t="s">
        <v>6131</v>
      </c>
      <c r="D153" s="49">
        <v>0</v>
      </c>
    </row>
    <row r="154" spans="1:4" x14ac:dyDescent="0.25">
      <c r="A154" s="46" t="s">
        <v>6280</v>
      </c>
      <c r="B154" s="46" t="s">
        <v>14</v>
      </c>
      <c r="C154" s="46" t="s">
        <v>6131</v>
      </c>
      <c r="D154" s="49">
        <v>0</v>
      </c>
    </row>
    <row r="155" spans="1:4" x14ac:dyDescent="0.25">
      <c r="A155" s="46" t="s">
        <v>6281</v>
      </c>
      <c r="B155" s="46" t="s">
        <v>14</v>
      </c>
      <c r="C155" s="46" t="s">
        <v>6131</v>
      </c>
      <c r="D155" s="49">
        <v>0</v>
      </c>
    </row>
    <row r="156" spans="1:4" x14ac:dyDescent="0.25">
      <c r="A156" s="46" t="s">
        <v>6282</v>
      </c>
      <c r="B156" s="46" t="s">
        <v>14</v>
      </c>
      <c r="C156" s="46" t="s">
        <v>6131</v>
      </c>
      <c r="D156" s="49">
        <v>0</v>
      </c>
    </row>
    <row r="157" spans="1:4" x14ac:dyDescent="0.25">
      <c r="A157" s="46" t="s">
        <v>6283</v>
      </c>
      <c r="B157" s="46" t="s">
        <v>14</v>
      </c>
      <c r="C157" s="46" t="s">
        <v>6131</v>
      </c>
      <c r="D157" s="49">
        <v>0</v>
      </c>
    </row>
    <row r="158" spans="1:4" x14ac:dyDescent="0.25">
      <c r="A158" s="46" t="s">
        <v>6284</v>
      </c>
      <c r="B158" s="46" t="s">
        <v>14</v>
      </c>
      <c r="C158" s="46" t="s">
        <v>6131</v>
      </c>
      <c r="D158" s="49">
        <v>0</v>
      </c>
    </row>
    <row r="159" spans="1:4" x14ac:dyDescent="0.25">
      <c r="A159" s="46" t="s">
        <v>6285</v>
      </c>
      <c r="B159" s="46" t="s">
        <v>14</v>
      </c>
      <c r="C159" s="46" t="s">
        <v>6131</v>
      </c>
      <c r="D159" s="49">
        <v>0</v>
      </c>
    </row>
    <row r="160" spans="1:4" x14ac:dyDescent="0.25">
      <c r="A160" s="46" t="s">
        <v>6286</v>
      </c>
      <c r="B160" s="46" t="s">
        <v>14</v>
      </c>
      <c r="C160" s="46" t="s">
        <v>6131</v>
      </c>
      <c r="D160" s="49">
        <v>0</v>
      </c>
    </row>
    <row r="161" spans="1:4" x14ac:dyDescent="0.25">
      <c r="A161" s="46" t="s">
        <v>6287</v>
      </c>
      <c r="B161" s="46" t="s">
        <v>14</v>
      </c>
      <c r="C161" s="46" t="s">
        <v>6131</v>
      </c>
      <c r="D161" s="49">
        <v>0</v>
      </c>
    </row>
    <row r="162" spans="1:4" x14ac:dyDescent="0.25">
      <c r="A162" s="46" t="s">
        <v>6288</v>
      </c>
      <c r="B162" s="46" t="s">
        <v>14</v>
      </c>
      <c r="C162" s="46" t="s">
        <v>6131</v>
      </c>
      <c r="D162" s="49">
        <v>0</v>
      </c>
    </row>
    <row r="163" spans="1:4" x14ac:dyDescent="0.25">
      <c r="A163" s="46" t="s">
        <v>6289</v>
      </c>
      <c r="B163" s="46" t="s">
        <v>14</v>
      </c>
      <c r="C163" s="46" t="s">
        <v>6131</v>
      </c>
      <c r="D163" s="49">
        <v>0</v>
      </c>
    </row>
    <row r="164" spans="1:4" x14ac:dyDescent="0.25">
      <c r="A164" s="46" t="s">
        <v>6290</v>
      </c>
      <c r="B164" s="46" t="s">
        <v>14</v>
      </c>
      <c r="C164" s="46" t="s">
        <v>6131</v>
      </c>
      <c r="D164" s="49">
        <v>0</v>
      </c>
    </row>
    <row r="165" spans="1:4" x14ac:dyDescent="0.25">
      <c r="A165" s="46" t="s">
        <v>6291</v>
      </c>
      <c r="B165" s="46" t="s">
        <v>14</v>
      </c>
      <c r="C165" s="46" t="s">
        <v>6131</v>
      </c>
      <c r="D165" s="49">
        <v>0</v>
      </c>
    </row>
    <row r="166" spans="1:4" x14ac:dyDescent="0.25">
      <c r="A166" s="46" t="s">
        <v>6292</v>
      </c>
      <c r="B166" s="46" t="s">
        <v>14</v>
      </c>
      <c r="C166" s="46" t="s">
        <v>6131</v>
      </c>
      <c r="D166" s="49">
        <v>0</v>
      </c>
    </row>
    <row r="167" spans="1:4" x14ac:dyDescent="0.25">
      <c r="A167" s="46" t="s">
        <v>6293</v>
      </c>
      <c r="B167" s="46" t="s">
        <v>14</v>
      </c>
      <c r="C167" s="46" t="s">
        <v>6131</v>
      </c>
      <c r="D167" s="49">
        <v>0</v>
      </c>
    </row>
    <row r="168" spans="1:4" x14ac:dyDescent="0.25">
      <c r="A168" s="46" t="s">
        <v>6294</v>
      </c>
      <c r="B168" s="46" t="s">
        <v>14</v>
      </c>
      <c r="C168" s="46" t="s">
        <v>6131</v>
      </c>
      <c r="D168" s="49">
        <v>0</v>
      </c>
    </row>
    <row r="169" spans="1:4" x14ac:dyDescent="0.25">
      <c r="A169" s="46" t="s">
        <v>6295</v>
      </c>
      <c r="B169" s="46" t="s">
        <v>14</v>
      </c>
      <c r="C169" s="46" t="s">
        <v>6131</v>
      </c>
      <c r="D169" s="49">
        <v>0</v>
      </c>
    </row>
    <row r="170" spans="1:4" x14ac:dyDescent="0.25">
      <c r="A170" s="46" t="s">
        <v>6296</v>
      </c>
      <c r="B170" s="46" t="s">
        <v>14</v>
      </c>
      <c r="C170" s="46" t="s">
        <v>6131</v>
      </c>
      <c r="D170" s="49">
        <v>0</v>
      </c>
    </row>
    <row r="171" spans="1:4" x14ac:dyDescent="0.25">
      <c r="A171" s="46" t="s">
        <v>6297</v>
      </c>
      <c r="B171" s="46" t="s">
        <v>14</v>
      </c>
      <c r="C171" s="46" t="s">
        <v>6131</v>
      </c>
      <c r="D171" s="49">
        <v>0</v>
      </c>
    </row>
    <row r="172" spans="1:4" x14ac:dyDescent="0.25">
      <c r="A172" s="46" t="s">
        <v>6298</v>
      </c>
      <c r="B172" s="46" t="s">
        <v>14</v>
      </c>
      <c r="C172" s="46" t="s">
        <v>6131</v>
      </c>
      <c r="D172" s="49">
        <v>0</v>
      </c>
    </row>
    <row r="173" spans="1:4" x14ac:dyDescent="0.25">
      <c r="A173" s="46" t="s">
        <v>6299</v>
      </c>
      <c r="B173" s="46" t="s">
        <v>14</v>
      </c>
      <c r="C173" s="46" t="s">
        <v>6131</v>
      </c>
      <c r="D173" s="49">
        <v>0</v>
      </c>
    </row>
    <row r="174" spans="1:4" x14ac:dyDescent="0.25">
      <c r="A174" s="46" t="s">
        <v>6300</v>
      </c>
      <c r="B174" s="46" t="s">
        <v>14</v>
      </c>
      <c r="C174" s="46" t="s">
        <v>6131</v>
      </c>
      <c r="D174" s="49">
        <v>0</v>
      </c>
    </row>
    <row r="175" spans="1:4" x14ac:dyDescent="0.25">
      <c r="A175" s="46" t="s">
        <v>6301</v>
      </c>
      <c r="B175" s="46" t="s">
        <v>14</v>
      </c>
      <c r="C175" s="46" t="s">
        <v>6131</v>
      </c>
      <c r="D175" s="49">
        <v>0</v>
      </c>
    </row>
    <row r="176" spans="1:4" x14ac:dyDescent="0.25">
      <c r="A176" s="46" t="s">
        <v>6302</v>
      </c>
      <c r="B176" s="46" t="s">
        <v>14</v>
      </c>
      <c r="C176" s="46" t="s">
        <v>6131</v>
      </c>
      <c r="D176" s="49">
        <v>0</v>
      </c>
    </row>
    <row r="177" spans="1:4" x14ac:dyDescent="0.25">
      <c r="A177" s="46" t="s">
        <v>6303</v>
      </c>
      <c r="B177" s="46" t="s">
        <v>14</v>
      </c>
      <c r="C177" s="46" t="s">
        <v>6131</v>
      </c>
      <c r="D177" s="49">
        <v>0</v>
      </c>
    </row>
    <row r="178" spans="1:4" x14ac:dyDescent="0.25">
      <c r="A178" s="46" t="s">
        <v>6304</v>
      </c>
      <c r="B178" s="46" t="s">
        <v>14</v>
      </c>
      <c r="C178" s="46" t="s">
        <v>6131</v>
      </c>
      <c r="D178" s="49">
        <v>0</v>
      </c>
    </row>
    <row r="179" spans="1:4" x14ac:dyDescent="0.25">
      <c r="A179" s="46" t="s">
        <v>6305</v>
      </c>
      <c r="B179" s="46" t="s">
        <v>14</v>
      </c>
      <c r="C179" s="46" t="s">
        <v>6131</v>
      </c>
      <c r="D179" s="49">
        <v>0</v>
      </c>
    </row>
    <row r="180" spans="1:4" x14ac:dyDescent="0.25">
      <c r="A180" s="46" t="s">
        <v>6306</v>
      </c>
      <c r="B180" s="46" t="s">
        <v>14</v>
      </c>
      <c r="C180" s="46" t="s">
        <v>6131</v>
      </c>
      <c r="D180" s="49">
        <v>0</v>
      </c>
    </row>
    <row r="181" spans="1:4" x14ac:dyDescent="0.25">
      <c r="A181" s="46" t="s">
        <v>6307</v>
      </c>
      <c r="B181" s="46" t="s">
        <v>14</v>
      </c>
      <c r="C181" s="46" t="s">
        <v>6131</v>
      </c>
      <c r="D181" s="49">
        <v>0</v>
      </c>
    </row>
    <row r="182" spans="1:4" x14ac:dyDescent="0.25">
      <c r="A182" s="46" t="s">
        <v>6308</v>
      </c>
      <c r="B182" s="46" t="s">
        <v>14</v>
      </c>
      <c r="C182" s="46" t="s">
        <v>6131</v>
      </c>
      <c r="D182" s="49">
        <v>0</v>
      </c>
    </row>
    <row r="183" spans="1:4" x14ac:dyDescent="0.25">
      <c r="A183" s="46" t="s">
        <v>6309</v>
      </c>
      <c r="B183" s="46" t="s">
        <v>14</v>
      </c>
      <c r="C183" s="46" t="s">
        <v>6131</v>
      </c>
      <c r="D183" s="49">
        <v>0</v>
      </c>
    </row>
    <row r="184" spans="1:4" x14ac:dyDescent="0.25">
      <c r="A184" s="46" t="s">
        <v>6310</v>
      </c>
      <c r="B184" s="46" t="s">
        <v>14</v>
      </c>
      <c r="C184" s="46" t="s">
        <v>6131</v>
      </c>
      <c r="D184" s="49">
        <v>0</v>
      </c>
    </row>
    <row r="185" spans="1:4" x14ac:dyDescent="0.25">
      <c r="A185" s="46" t="s">
        <v>6311</v>
      </c>
      <c r="B185" s="46" t="s">
        <v>14</v>
      </c>
      <c r="C185" s="46" t="s">
        <v>6131</v>
      </c>
      <c r="D185" s="49">
        <v>0</v>
      </c>
    </row>
    <row r="186" spans="1:4" x14ac:dyDescent="0.25">
      <c r="A186" s="46" t="s">
        <v>6312</v>
      </c>
      <c r="B186" s="46" t="s">
        <v>14</v>
      </c>
      <c r="C186" s="46" t="s">
        <v>6131</v>
      </c>
      <c r="D186" s="49">
        <v>0</v>
      </c>
    </row>
    <row r="187" spans="1:4" x14ac:dyDescent="0.25">
      <c r="A187" s="46" t="s">
        <v>6313</v>
      </c>
      <c r="B187" s="46" t="s">
        <v>14</v>
      </c>
      <c r="C187" s="46" t="s">
        <v>6131</v>
      </c>
      <c r="D187" s="49">
        <v>0</v>
      </c>
    </row>
    <row r="188" spans="1:4" x14ac:dyDescent="0.25">
      <c r="A188" s="46" t="s">
        <v>6314</v>
      </c>
      <c r="B188" s="46" t="s">
        <v>14</v>
      </c>
      <c r="C188" s="46" t="s">
        <v>6131</v>
      </c>
      <c r="D188" s="49">
        <v>0</v>
      </c>
    </row>
    <row r="189" spans="1:4" x14ac:dyDescent="0.25">
      <c r="A189" s="46" t="s">
        <v>6315</v>
      </c>
      <c r="B189" s="46" t="s">
        <v>14</v>
      </c>
      <c r="C189" s="46" t="s">
        <v>6131</v>
      </c>
      <c r="D189" s="49">
        <v>0</v>
      </c>
    </row>
    <row r="190" spans="1:4" x14ac:dyDescent="0.25">
      <c r="A190" s="46" t="s">
        <v>6316</v>
      </c>
      <c r="B190" s="46" t="s">
        <v>14</v>
      </c>
      <c r="C190" s="46" t="s">
        <v>6131</v>
      </c>
      <c r="D190" s="49">
        <v>0</v>
      </c>
    </row>
    <row r="191" spans="1:4" x14ac:dyDescent="0.25">
      <c r="A191" s="46" t="s">
        <v>6317</v>
      </c>
      <c r="B191" s="46" t="s">
        <v>14</v>
      </c>
      <c r="C191" s="46" t="s">
        <v>6131</v>
      </c>
      <c r="D191" s="49">
        <v>0</v>
      </c>
    </row>
    <row r="192" spans="1:4" x14ac:dyDescent="0.25">
      <c r="A192" s="46" t="s">
        <v>6318</v>
      </c>
      <c r="B192" s="46" t="s">
        <v>14</v>
      </c>
      <c r="C192" s="46" t="s">
        <v>6131</v>
      </c>
      <c r="D192" s="49">
        <v>0</v>
      </c>
    </row>
    <row r="193" spans="1:4" x14ac:dyDescent="0.25">
      <c r="A193" s="46" t="s">
        <v>6319</v>
      </c>
      <c r="B193" s="46" t="s">
        <v>14</v>
      </c>
      <c r="C193" s="46" t="s">
        <v>6131</v>
      </c>
      <c r="D193" s="49">
        <v>0</v>
      </c>
    </row>
    <row r="194" spans="1:4" x14ac:dyDescent="0.25">
      <c r="A194" s="46" t="s">
        <v>6320</v>
      </c>
      <c r="B194" s="46" t="s">
        <v>14</v>
      </c>
      <c r="C194" s="46" t="s">
        <v>6131</v>
      </c>
      <c r="D194" s="49">
        <v>0</v>
      </c>
    </row>
    <row r="195" spans="1:4" x14ac:dyDescent="0.25">
      <c r="A195" s="46" t="s">
        <v>6321</v>
      </c>
      <c r="B195" s="46" t="s">
        <v>14</v>
      </c>
      <c r="C195" s="46" t="s">
        <v>6131</v>
      </c>
      <c r="D195" s="49">
        <v>0</v>
      </c>
    </row>
    <row r="196" spans="1:4" x14ac:dyDescent="0.25">
      <c r="A196" s="46" t="s">
        <v>6322</v>
      </c>
      <c r="B196" s="46" t="s">
        <v>14</v>
      </c>
      <c r="C196" s="46" t="s">
        <v>6131</v>
      </c>
      <c r="D196" s="49">
        <v>0</v>
      </c>
    </row>
    <row r="197" spans="1:4" x14ac:dyDescent="0.25">
      <c r="A197" s="46" t="s">
        <v>6323</v>
      </c>
      <c r="B197" s="46" t="s">
        <v>14</v>
      </c>
      <c r="C197" s="46" t="s">
        <v>6131</v>
      </c>
      <c r="D197" s="49">
        <v>0</v>
      </c>
    </row>
    <row r="198" spans="1:4" x14ac:dyDescent="0.25">
      <c r="A198" s="46" t="s">
        <v>6324</v>
      </c>
      <c r="B198" s="46" t="s">
        <v>14</v>
      </c>
      <c r="C198" s="46" t="s">
        <v>6131</v>
      </c>
      <c r="D198" s="49">
        <v>0</v>
      </c>
    </row>
    <row r="199" spans="1:4" x14ac:dyDescent="0.25">
      <c r="A199" s="46" t="s">
        <v>6325</v>
      </c>
      <c r="B199" s="46" t="s">
        <v>14</v>
      </c>
      <c r="C199" s="46" t="s">
        <v>6131</v>
      </c>
      <c r="D199" s="49">
        <v>0</v>
      </c>
    </row>
    <row r="200" spans="1:4" x14ac:dyDescent="0.25">
      <c r="A200" s="46" t="s">
        <v>6326</v>
      </c>
      <c r="B200" s="46" t="s">
        <v>14</v>
      </c>
      <c r="C200" s="46" t="s">
        <v>6131</v>
      </c>
      <c r="D200" s="49">
        <v>0</v>
      </c>
    </row>
    <row r="201" spans="1:4" x14ac:dyDescent="0.25">
      <c r="A201" s="46" t="s">
        <v>6327</v>
      </c>
      <c r="B201" s="46" t="s">
        <v>14</v>
      </c>
      <c r="C201" s="46" t="s">
        <v>6131</v>
      </c>
      <c r="D201" s="49">
        <v>0</v>
      </c>
    </row>
    <row r="202" spans="1:4" x14ac:dyDescent="0.25">
      <c r="A202" s="46" t="s">
        <v>6328</v>
      </c>
      <c r="B202" s="46" t="s">
        <v>14</v>
      </c>
      <c r="C202" s="46" t="s">
        <v>6131</v>
      </c>
      <c r="D202" s="49">
        <v>0</v>
      </c>
    </row>
    <row r="203" spans="1:4" x14ac:dyDescent="0.25">
      <c r="A203" s="46" t="s">
        <v>6329</v>
      </c>
      <c r="B203" s="46" t="s">
        <v>14</v>
      </c>
      <c r="C203" s="46" t="s">
        <v>6131</v>
      </c>
      <c r="D203" s="49">
        <v>0</v>
      </c>
    </row>
    <row r="204" spans="1:4" x14ac:dyDescent="0.25">
      <c r="A204" s="46" t="s">
        <v>6330</v>
      </c>
      <c r="B204" s="46" t="s">
        <v>14</v>
      </c>
      <c r="C204" s="46" t="s">
        <v>6131</v>
      </c>
      <c r="D204" s="49">
        <v>0</v>
      </c>
    </row>
    <row r="205" spans="1:4" x14ac:dyDescent="0.25">
      <c r="A205" s="46" t="s">
        <v>6331</v>
      </c>
      <c r="B205" s="46" t="s">
        <v>14</v>
      </c>
      <c r="C205" s="46" t="s">
        <v>6131</v>
      </c>
      <c r="D205" s="49">
        <v>0</v>
      </c>
    </row>
    <row r="206" spans="1:4" x14ac:dyDescent="0.25">
      <c r="A206" s="46" t="s">
        <v>6332</v>
      </c>
      <c r="B206" s="46" t="s">
        <v>14</v>
      </c>
      <c r="C206" s="46" t="s">
        <v>6131</v>
      </c>
      <c r="D206" s="49">
        <v>0</v>
      </c>
    </row>
    <row r="207" spans="1:4" x14ac:dyDescent="0.25">
      <c r="A207" s="46" t="s">
        <v>6333</v>
      </c>
      <c r="B207" s="46" t="s">
        <v>14</v>
      </c>
      <c r="C207" s="46" t="s">
        <v>6131</v>
      </c>
      <c r="D207" s="49">
        <v>0</v>
      </c>
    </row>
    <row r="208" spans="1:4" x14ac:dyDescent="0.25">
      <c r="A208" s="46" t="s">
        <v>6334</v>
      </c>
      <c r="B208" s="46" t="s">
        <v>14</v>
      </c>
      <c r="C208" s="46" t="s">
        <v>6131</v>
      </c>
      <c r="D208" s="49">
        <v>0</v>
      </c>
    </row>
    <row r="209" spans="1:4" x14ac:dyDescent="0.25">
      <c r="A209" s="46" t="s">
        <v>6335</v>
      </c>
      <c r="B209" s="46" t="s">
        <v>14</v>
      </c>
      <c r="C209" s="46" t="s">
        <v>6131</v>
      </c>
      <c r="D209" s="49">
        <v>0</v>
      </c>
    </row>
    <row r="210" spans="1:4" x14ac:dyDescent="0.25">
      <c r="A210" s="46" t="s">
        <v>6336</v>
      </c>
      <c r="B210" s="46" t="s">
        <v>14</v>
      </c>
      <c r="C210" s="46" t="s">
        <v>6131</v>
      </c>
      <c r="D210" s="49">
        <v>0</v>
      </c>
    </row>
    <row r="211" spans="1:4" x14ac:dyDescent="0.25">
      <c r="A211" s="46" t="s">
        <v>6337</v>
      </c>
      <c r="B211" s="46" t="s">
        <v>14</v>
      </c>
      <c r="C211" s="46" t="s">
        <v>6131</v>
      </c>
      <c r="D211" s="49">
        <v>0</v>
      </c>
    </row>
    <row r="212" spans="1:4" x14ac:dyDescent="0.25">
      <c r="A212" s="46" t="s">
        <v>6338</v>
      </c>
      <c r="B212" s="46" t="s">
        <v>14</v>
      </c>
      <c r="C212" s="46" t="s">
        <v>6131</v>
      </c>
      <c r="D212" s="49">
        <v>0</v>
      </c>
    </row>
    <row r="213" spans="1:4" x14ac:dyDescent="0.25">
      <c r="A213" s="46" t="s">
        <v>6339</v>
      </c>
      <c r="B213" s="46" t="s">
        <v>14</v>
      </c>
      <c r="C213" s="46" t="s">
        <v>6131</v>
      </c>
      <c r="D213" s="49">
        <v>0</v>
      </c>
    </row>
    <row r="214" spans="1:4" x14ac:dyDescent="0.25">
      <c r="A214" s="46" t="s">
        <v>6340</v>
      </c>
      <c r="B214" s="46" t="s">
        <v>14</v>
      </c>
      <c r="C214" s="46" t="s">
        <v>6131</v>
      </c>
      <c r="D214" s="49">
        <v>0</v>
      </c>
    </row>
    <row r="215" spans="1:4" x14ac:dyDescent="0.25">
      <c r="A215" s="46" t="s">
        <v>6341</v>
      </c>
      <c r="B215" s="46" t="s">
        <v>14</v>
      </c>
      <c r="C215" s="46" t="s">
        <v>6131</v>
      </c>
      <c r="D215" s="49">
        <v>0</v>
      </c>
    </row>
    <row r="216" spans="1:4" x14ac:dyDescent="0.25">
      <c r="A216" s="46" t="s">
        <v>6342</v>
      </c>
      <c r="B216" s="46" t="s">
        <v>14</v>
      </c>
      <c r="C216" s="46" t="s">
        <v>6131</v>
      </c>
      <c r="D216" s="49">
        <v>0</v>
      </c>
    </row>
    <row r="217" spans="1:4" x14ac:dyDescent="0.25">
      <c r="A217" s="46" t="s">
        <v>6343</v>
      </c>
      <c r="B217" s="46" t="s">
        <v>14</v>
      </c>
      <c r="C217" s="46" t="s">
        <v>6131</v>
      </c>
      <c r="D217" s="49">
        <v>0</v>
      </c>
    </row>
    <row r="218" spans="1:4" x14ac:dyDescent="0.25">
      <c r="A218" s="46" t="s">
        <v>6344</v>
      </c>
      <c r="B218" s="46" t="s">
        <v>14</v>
      </c>
      <c r="C218" s="46" t="s">
        <v>6131</v>
      </c>
      <c r="D218" s="49">
        <v>0</v>
      </c>
    </row>
    <row r="219" spans="1:4" x14ac:dyDescent="0.25">
      <c r="A219" s="46" t="s">
        <v>6345</v>
      </c>
      <c r="B219" s="46" t="s">
        <v>14</v>
      </c>
      <c r="C219" s="46" t="s">
        <v>6131</v>
      </c>
      <c r="D219" s="49">
        <v>0</v>
      </c>
    </row>
    <row r="220" spans="1:4" x14ac:dyDescent="0.25">
      <c r="A220" s="46" t="s">
        <v>6346</v>
      </c>
      <c r="B220" s="46" t="s">
        <v>14</v>
      </c>
      <c r="C220" s="46" t="s">
        <v>6131</v>
      </c>
      <c r="D220" s="49">
        <v>0</v>
      </c>
    </row>
    <row r="221" spans="1:4" x14ac:dyDescent="0.25">
      <c r="A221" s="46" t="s">
        <v>6347</v>
      </c>
      <c r="B221" s="46" t="s">
        <v>14</v>
      </c>
      <c r="C221" s="46" t="s">
        <v>6131</v>
      </c>
      <c r="D221" s="49">
        <v>0</v>
      </c>
    </row>
    <row r="222" spans="1:4" x14ac:dyDescent="0.25">
      <c r="A222" s="46" t="s">
        <v>6348</v>
      </c>
      <c r="B222" s="46" t="s">
        <v>14</v>
      </c>
      <c r="C222" s="46" t="s">
        <v>6131</v>
      </c>
      <c r="D222" s="49">
        <v>0</v>
      </c>
    </row>
    <row r="223" spans="1:4" x14ac:dyDescent="0.25">
      <c r="A223" s="46" t="s">
        <v>6349</v>
      </c>
      <c r="B223" s="46" t="s">
        <v>14</v>
      </c>
      <c r="C223" s="46" t="s">
        <v>6131</v>
      </c>
      <c r="D223" s="49">
        <v>0</v>
      </c>
    </row>
    <row r="224" spans="1:4" x14ac:dyDescent="0.25">
      <c r="A224" s="46" t="s">
        <v>6350</v>
      </c>
      <c r="B224" s="46" t="s">
        <v>14</v>
      </c>
      <c r="C224" s="46" t="s">
        <v>6131</v>
      </c>
      <c r="D224" s="49">
        <v>0</v>
      </c>
    </row>
    <row r="225" spans="1:4" x14ac:dyDescent="0.25">
      <c r="A225" s="46" t="s">
        <v>6351</v>
      </c>
      <c r="B225" s="46" t="s">
        <v>14</v>
      </c>
      <c r="C225" s="46" t="s">
        <v>6131</v>
      </c>
      <c r="D225" s="49">
        <v>0</v>
      </c>
    </row>
    <row r="226" spans="1:4" x14ac:dyDescent="0.25">
      <c r="A226" s="46" t="s">
        <v>6352</v>
      </c>
      <c r="B226" s="46" t="s">
        <v>14</v>
      </c>
      <c r="C226" s="46" t="s">
        <v>6131</v>
      </c>
      <c r="D226" s="49">
        <v>0</v>
      </c>
    </row>
    <row r="227" spans="1:4" x14ac:dyDescent="0.25">
      <c r="A227" s="46" t="s">
        <v>6353</v>
      </c>
      <c r="B227" s="46" t="s">
        <v>14</v>
      </c>
      <c r="C227" s="46" t="s">
        <v>6131</v>
      </c>
      <c r="D227" s="49">
        <v>0</v>
      </c>
    </row>
    <row r="228" spans="1:4" x14ac:dyDescent="0.25">
      <c r="A228" s="46" t="s">
        <v>6354</v>
      </c>
      <c r="B228" s="46" t="s">
        <v>14</v>
      </c>
      <c r="C228" s="46" t="s">
        <v>6131</v>
      </c>
      <c r="D228" s="49">
        <v>0</v>
      </c>
    </row>
    <row r="229" spans="1:4" x14ac:dyDescent="0.25">
      <c r="A229" s="46" t="s">
        <v>6355</v>
      </c>
      <c r="B229" s="46" t="s">
        <v>14</v>
      </c>
      <c r="C229" s="46" t="s">
        <v>6131</v>
      </c>
      <c r="D229" s="49">
        <v>0</v>
      </c>
    </row>
    <row r="230" spans="1:4" x14ac:dyDescent="0.25">
      <c r="A230" s="46" t="s">
        <v>6356</v>
      </c>
      <c r="B230" s="46" t="s">
        <v>14</v>
      </c>
      <c r="C230" s="46" t="s">
        <v>6131</v>
      </c>
      <c r="D230" s="49">
        <v>0</v>
      </c>
    </row>
    <row r="231" spans="1:4" x14ac:dyDescent="0.25">
      <c r="A231" s="46" t="s">
        <v>6357</v>
      </c>
      <c r="B231" s="46" t="s">
        <v>14</v>
      </c>
      <c r="C231" s="46" t="s">
        <v>6131</v>
      </c>
      <c r="D231" s="49">
        <v>0</v>
      </c>
    </row>
    <row r="232" spans="1:4" x14ac:dyDescent="0.25">
      <c r="A232" s="46" t="s">
        <v>6358</v>
      </c>
      <c r="B232" s="46" t="s">
        <v>14</v>
      </c>
      <c r="C232" s="46" t="s">
        <v>6131</v>
      </c>
      <c r="D232" s="49">
        <v>0</v>
      </c>
    </row>
    <row r="233" spans="1:4" x14ac:dyDescent="0.25">
      <c r="A233" s="46" t="s">
        <v>6359</v>
      </c>
      <c r="B233" s="46" t="s">
        <v>14</v>
      </c>
      <c r="C233" s="46" t="s">
        <v>6131</v>
      </c>
      <c r="D233" s="49">
        <v>0</v>
      </c>
    </row>
    <row r="234" spans="1:4" x14ac:dyDescent="0.25">
      <c r="A234" s="46" t="s">
        <v>6360</v>
      </c>
      <c r="B234" s="46" t="s">
        <v>14</v>
      </c>
      <c r="C234" s="46" t="s">
        <v>6131</v>
      </c>
      <c r="D234" s="49">
        <v>0</v>
      </c>
    </row>
    <row r="235" spans="1:4" x14ac:dyDescent="0.25">
      <c r="A235" s="46" t="s">
        <v>6361</v>
      </c>
      <c r="B235" s="46" t="s">
        <v>14</v>
      </c>
      <c r="C235" s="46" t="s">
        <v>6131</v>
      </c>
      <c r="D235" s="49">
        <v>0</v>
      </c>
    </row>
    <row r="236" spans="1:4" x14ac:dyDescent="0.25">
      <c r="A236" s="46" t="s">
        <v>6362</v>
      </c>
      <c r="B236" s="46" t="s">
        <v>14</v>
      </c>
      <c r="C236" s="46" t="s">
        <v>6131</v>
      </c>
      <c r="D236" s="49">
        <v>0</v>
      </c>
    </row>
    <row r="237" spans="1:4" x14ac:dyDescent="0.25">
      <c r="A237" s="46" t="s">
        <v>6363</v>
      </c>
      <c r="B237" s="46" t="s">
        <v>14</v>
      </c>
      <c r="C237" s="46" t="s">
        <v>6131</v>
      </c>
      <c r="D237" s="49">
        <v>0</v>
      </c>
    </row>
    <row r="238" spans="1:4" x14ac:dyDescent="0.25">
      <c r="A238" s="46" t="s">
        <v>6364</v>
      </c>
      <c r="B238" s="46" t="s">
        <v>14</v>
      </c>
      <c r="C238" s="46" t="s">
        <v>6131</v>
      </c>
      <c r="D238" s="49">
        <v>0</v>
      </c>
    </row>
    <row r="239" spans="1:4" x14ac:dyDescent="0.25">
      <c r="A239" s="46" t="s">
        <v>6365</v>
      </c>
      <c r="B239" s="46" t="s">
        <v>14</v>
      </c>
      <c r="C239" s="46" t="s">
        <v>6131</v>
      </c>
      <c r="D239" s="49">
        <v>0</v>
      </c>
    </row>
    <row r="240" spans="1:4" x14ac:dyDescent="0.25">
      <c r="A240" s="46" t="s">
        <v>6366</v>
      </c>
      <c r="B240" s="46" t="s">
        <v>14</v>
      </c>
      <c r="C240" s="46" t="s">
        <v>6131</v>
      </c>
      <c r="D240" s="49">
        <v>0</v>
      </c>
    </row>
    <row r="241" spans="1:4" x14ac:dyDescent="0.25">
      <c r="A241" s="46" t="s">
        <v>6367</v>
      </c>
      <c r="B241" s="46" t="s">
        <v>14</v>
      </c>
      <c r="C241" s="46" t="s">
        <v>6131</v>
      </c>
      <c r="D241" s="49">
        <v>0</v>
      </c>
    </row>
    <row r="242" spans="1:4" x14ac:dyDescent="0.25">
      <c r="A242" s="46" t="s">
        <v>6368</v>
      </c>
      <c r="B242" s="46" t="s">
        <v>14</v>
      </c>
      <c r="C242" s="46" t="s">
        <v>6131</v>
      </c>
      <c r="D242" s="49">
        <v>0</v>
      </c>
    </row>
    <row r="243" spans="1:4" x14ac:dyDescent="0.25">
      <c r="A243" s="46" t="s">
        <v>6369</v>
      </c>
      <c r="B243" s="46" t="s">
        <v>14</v>
      </c>
      <c r="C243" s="46" t="s">
        <v>6131</v>
      </c>
      <c r="D243" s="49">
        <v>0</v>
      </c>
    </row>
    <row r="244" spans="1:4" x14ac:dyDescent="0.25">
      <c r="A244" s="46" t="s">
        <v>6370</v>
      </c>
      <c r="B244" s="46" t="s">
        <v>14</v>
      </c>
      <c r="C244" s="46" t="s">
        <v>6131</v>
      </c>
      <c r="D244" s="49">
        <v>0</v>
      </c>
    </row>
    <row r="245" spans="1:4" x14ac:dyDescent="0.25">
      <c r="A245" s="46" t="s">
        <v>6371</v>
      </c>
      <c r="B245" s="46" t="s">
        <v>14</v>
      </c>
      <c r="C245" s="46" t="s">
        <v>6131</v>
      </c>
      <c r="D245" s="49">
        <v>0</v>
      </c>
    </row>
    <row r="246" spans="1:4" x14ac:dyDescent="0.25">
      <c r="A246" s="46" t="s">
        <v>6372</v>
      </c>
      <c r="B246" s="46" t="s">
        <v>14</v>
      </c>
      <c r="C246" s="46" t="s">
        <v>6131</v>
      </c>
      <c r="D246" s="49">
        <v>0</v>
      </c>
    </row>
    <row r="247" spans="1:4" x14ac:dyDescent="0.25">
      <c r="A247" s="46" t="s">
        <v>6373</v>
      </c>
      <c r="B247" s="46" t="s">
        <v>14</v>
      </c>
      <c r="C247" s="46" t="s">
        <v>6131</v>
      </c>
      <c r="D247" s="49">
        <v>0</v>
      </c>
    </row>
    <row r="248" spans="1:4" x14ac:dyDescent="0.25">
      <c r="A248" s="46" t="s">
        <v>6374</v>
      </c>
      <c r="B248" s="46" t="s">
        <v>14</v>
      </c>
      <c r="C248" s="46" t="s">
        <v>6131</v>
      </c>
      <c r="D248" s="49">
        <v>0</v>
      </c>
    </row>
    <row r="249" spans="1:4" x14ac:dyDescent="0.25">
      <c r="A249" s="46" t="s">
        <v>6375</v>
      </c>
      <c r="B249" s="46" t="s">
        <v>14</v>
      </c>
      <c r="C249" s="46" t="s">
        <v>6131</v>
      </c>
      <c r="D249" s="49">
        <v>0</v>
      </c>
    </row>
    <row r="250" spans="1:4" x14ac:dyDescent="0.25">
      <c r="A250" s="46" t="s">
        <v>6376</v>
      </c>
      <c r="B250" s="46" t="s">
        <v>14</v>
      </c>
      <c r="C250" s="46" t="s">
        <v>6131</v>
      </c>
      <c r="D250" s="49">
        <v>0</v>
      </c>
    </row>
    <row r="251" spans="1:4" x14ac:dyDescent="0.25">
      <c r="A251" s="46" t="s">
        <v>6377</v>
      </c>
      <c r="B251" s="46" t="s">
        <v>14</v>
      </c>
      <c r="C251" s="46" t="s">
        <v>6131</v>
      </c>
      <c r="D251" s="49">
        <v>0</v>
      </c>
    </row>
    <row r="252" spans="1:4" x14ac:dyDescent="0.25">
      <c r="A252" s="46" t="s">
        <v>6378</v>
      </c>
      <c r="B252" s="46" t="s">
        <v>14</v>
      </c>
      <c r="C252" s="46" t="s">
        <v>6131</v>
      </c>
      <c r="D252" s="49">
        <v>0</v>
      </c>
    </row>
    <row r="253" spans="1:4" x14ac:dyDescent="0.25">
      <c r="A253" s="46" t="s">
        <v>6379</v>
      </c>
      <c r="B253" s="46" t="s">
        <v>14</v>
      </c>
      <c r="C253" s="46" t="s">
        <v>6131</v>
      </c>
      <c r="D253" s="49">
        <v>0</v>
      </c>
    </row>
    <row r="254" spans="1:4" x14ac:dyDescent="0.25">
      <c r="A254" s="46" t="s">
        <v>6380</v>
      </c>
      <c r="B254" s="46" t="s">
        <v>14</v>
      </c>
      <c r="C254" s="46" t="s">
        <v>6131</v>
      </c>
      <c r="D254" s="49">
        <v>0</v>
      </c>
    </row>
    <row r="255" spans="1:4" x14ac:dyDescent="0.25">
      <c r="A255" s="46" t="s">
        <v>6381</v>
      </c>
      <c r="B255" s="46" t="s">
        <v>14</v>
      </c>
      <c r="C255" s="46" t="s">
        <v>6131</v>
      </c>
      <c r="D255" s="49">
        <v>0</v>
      </c>
    </row>
    <row r="256" spans="1:4" x14ac:dyDescent="0.25">
      <c r="A256" s="46" t="s">
        <v>6382</v>
      </c>
      <c r="B256" s="46" t="s">
        <v>14</v>
      </c>
      <c r="C256" s="46" t="s">
        <v>6131</v>
      </c>
      <c r="D256" s="49">
        <v>0</v>
      </c>
    </row>
    <row r="257" spans="1:4" x14ac:dyDescent="0.25">
      <c r="A257" s="46" t="s">
        <v>6383</v>
      </c>
      <c r="B257" s="46" t="s">
        <v>14</v>
      </c>
      <c r="C257" s="46" t="s">
        <v>6131</v>
      </c>
      <c r="D257" s="49">
        <v>0</v>
      </c>
    </row>
    <row r="258" spans="1:4" x14ac:dyDescent="0.25">
      <c r="A258" s="46" t="s">
        <v>6384</v>
      </c>
      <c r="B258" s="46" t="s">
        <v>14</v>
      </c>
      <c r="C258" s="46" t="s">
        <v>6131</v>
      </c>
      <c r="D258" s="49">
        <v>0</v>
      </c>
    </row>
    <row r="259" spans="1:4" x14ac:dyDescent="0.25">
      <c r="A259" s="46" t="s">
        <v>6385</v>
      </c>
      <c r="B259" s="46" t="s">
        <v>14</v>
      </c>
      <c r="C259" s="46" t="s">
        <v>6131</v>
      </c>
      <c r="D259" s="49">
        <v>0</v>
      </c>
    </row>
    <row r="260" spans="1:4" x14ac:dyDescent="0.25">
      <c r="A260" s="46" t="s">
        <v>6386</v>
      </c>
      <c r="B260" s="46" t="s">
        <v>14</v>
      </c>
      <c r="C260" s="46" t="s">
        <v>6131</v>
      </c>
      <c r="D260" s="49">
        <v>0</v>
      </c>
    </row>
    <row r="261" spans="1:4" x14ac:dyDescent="0.25">
      <c r="A261" s="46" t="s">
        <v>6387</v>
      </c>
      <c r="B261" s="46" t="s">
        <v>14</v>
      </c>
      <c r="C261" s="46" t="s">
        <v>6131</v>
      </c>
      <c r="D261" s="49">
        <v>0</v>
      </c>
    </row>
    <row r="262" spans="1:4" x14ac:dyDescent="0.25">
      <c r="A262" s="46" t="s">
        <v>6388</v>
      </c>
      <c r="B262" s="46" t="s">
        <v>14</v>
      </c>
      <c r="C262" s="46" t="s">
        <v>6131</v>
      </c>
      <c r="D262" s="49">
        <v>0</v>
      </c>
    </row>
    <row r="263" spans="1:4" x14ac:dyDescent="0.25">
      <c r="A263" s="46" t="s">
        <v>6389</v>
      </c>
      <c r="B263" s="46" t="s">
        <v>14</v>
      </c>
      <c r="C263" s="46" t="s">
        <v>6131</v>
      </c>
      <c r="D263" s="49">
        <v>0</v>
      </c>
    </row>
    <row r="264" spans="1:4" x14ac:dyDescent="0.25">
      <c r="A264" s="46" t="s">
        <v>6390</v>
      </c>
      <c r="B264" s="46" t="s">
        <v>14</v>
      </c>
      <c r="C264" s="46" t="s">
        <v>6131</v>
      </c>
      <c r="D264" s="49">
        <v>0</v>
      </c>
    </row>
    <row r="265" spans="1:4" x14ac:dyDescent="0.25">
      <c r="A265" s="46" t="s">
        <v>6391</v>
      </c>
      <c r="B265" s="46" t="s">
        <v>14</v>
      </c>
      <c r="C265" s="46" t="s">
        <v>6131</v>
      </c>
      <c r="D265" s="49">
        <v>0</v>
      </c>
    </row>
    <row r="266" spans="1:4" x14ac:dyDescent="0.25">
      <c r="A266" s="46" t="s">
        <v>6392</v>
      </c>
      <c r="B266" s="46" t="s">
        <v>14</v>
      </c>
      <c r="C266" s="46" t="s">
        <v>6131</v>
      </c>
      <c r="D266" s="49">
        <v>0</v>
      </c>
    </row>
    <row r="267" spans="1:4" x14ac:dyDescent="0.25">
      <c r="A267" s="46" t="s">
        <v>6393</v>
      </c>
      <c r="B267" s="46" t="s">
        <v>14</v>
      </c>
      <c r="C267" s="46" t="s">
        <v>6131</v>
      </c>
      <c r="D267" s="49">
        <v>0</v>
      </c>
    </row>
    <row r="268" spans="1:4" x14ac:dyDescent="0.25">
      <c r="A268" s="46" t="s">
        <v>6394</v>
      </c>
      <c r="B268" s="46" t="s">
        <v>14</v>
      </c>
      <c r="C268" s="46" t="s">
        <v>6131</v>
      </c>
      <c r="D268" s="49">
        <v>0</v>
      </c>
    </row>
    <row r="269" spans="1:4" x14ac:dyDescent="0.25">
      <c r="A269" s="46" t="s">
        <v>6395</v>
      </c>
      <c r="B269" s="46" t="s">
        <v>14</v>
      </c>
      <c r="C269" s="46" t="s">
        <v>6131</v>
      </c>
      <c r="D269" s="49">
        <v>0</v>
      </c>
    </row>
    <row r="270" spans="1:4" x14ac:dyDescent="0.25">
      <c r="A270" s="46" t="s">
        <v>6396</v>
      </c>
      <c r="B270" s="46" t="s">
        <v>14</v>
      </c>
      <c r="C270" s="46" t="s">
        <v>6131</v>
      </c>
      <c r="D270" s="49">
        <v>0</v>
      </c>
    </row>
    <row r="271" spans="1:4" x14ac:dyDescent="0.25">
      <c r="A271" s="46" t="s">
        <v>6397</v>
      </c>
      <c r="B271" s="46" t="s">
        <v>14</v>
      </c>
      <c r="C271" s="46" t="s">
        <v>6131</v>
      </c>
      <c r="D271" s="49">
        <v>0</v>
      </c>
    </row>
    <row r="272" spans="1:4" x14ac:dyDescent="0.25">
      <c r="A272" s="46" t="s">
        <v>6398</v>
      </c>
      <c r="B272" s="46" t="s">
        <v>14</v>
      </c>
      <c r="C272" s="46" t="s">
        <v>6131</v>
      </c>
      <c r="D272" s="49">
        <v>0</v>
      </c>
    </row>
    <row r="273" spans="1:4" x14ac:dyDescent="0.25">
      <c r="A273" s="46" t="s">
        <v>6399</v>
      </c>
      <c r="B273" s="46" t="s">
        <v>14</v>
      </c>
      <c r="C273" s="46" t="s">
        <v>6131</v>
      </c>
      <c r="D273" s="49">
        <v>0</v>
      </c>
    </row>
    <row r="274" spans="1:4" x14ac:dyDescent="0.25">
      <c r="A274" s="46" t="s">
        <v>6400</v>
      </c>
      <c r="B274" s="46" t="s">
        <v>14</v>
      </c>
      <c r="C274" s="46" t="s">
        <v>6131</v>
      </c>
      <c r="D274" s="49">
        <v>0</v>
      </c>
    </row>
    <row r="275" spans="1:4" x14ac:dyDescent="0.25">
      <c r="A275" s="46" t="s">
        <v>6401</v>
      </c>
      <c r="B275" s="46" t="s">
        <v>14</v>
      </c>
      <c r="C275" s="46" t="s">
        <v>6131</v>
      </c>
      <c r="D275" s="49">
        <v>0</v>
      </c>
    </row>
    <row r="276" spans="1:4" x14ac:dyDescent="0.25">
      <c r="A276" s="46" t="s">
        <v>6402</v>
      </c>
      <c r="B276" s="46" t="s">
        <v>14</v>
      </c>
      <c r="C276" s="46" t="s">
        <v>6131</v>
      </c>
      <c r="D276" s="49">
        <v>0</v>
      </c>
    </row>
    <row r="277" spans="1:4" x14ac:dyDescent="0.25">
      <c r="A277" s="46" t="s">
        <v>6403</v>
      </c>
      <c r="B277" s="46" t="s">
        <v>14</v>
      </c>
      <c r="C277" s="46" t="s">
        <v>6131</v>
      </c>
      <c r="D277" s="49">
        <v>0</v>
      </c>
    </row>
    <row r="278" spans="1:4" x14ac:dyDescent="0.25">
      <c r="A278" s="46" t="s">
        <v>6404</v>
      </c>
      <c r="B278" s="46" t="s">
        <v>14</v>
      </c>
      <c r="C278" s="46" t="s">
        <v>6131</v>
      </c>
      <c r="D278" s="49">
        <v>0</v>
      </c>
    </row>
    <row r="279" spans="1:4" x14ac:dyDescent="0.25">
      <c r="A279" s="46" t="s">
        <v>6405</v>
      </c>
      <c r="B279" s="46" t="s">
        <v>14</v>
      </c>
      <c r="C279" s="46" t="s">
        <v>6131</v>
      </c>
      <c r="D279" s="49">
        <v>0</v>
      </c>
    </row>
    <row r="280" spans="1:4" x14ac:dyDescent="0.25">
      <c r="A280" s="46" t="s">
        <v>6406</v>
      </c>
      <c r="B280" s="46" t="s">
        <v>14</v>
      </c>
      <c r="C280" s="46" t="s">
        <v>6131</v>
      </c>
      <c r="D280" s="49">
        <v>0</v>
      </c>
    </row>
    <row r="281" spans="1:4" x14ac:dyDescent="0.25">
      <c r="A281" s="46" t="s">
        <v>6407</v>
      </c>
      <c r="B281" s="46" t="s">
        <v>14</v>
      </c>
      <c r="C281" s="46" t="s">
        <v>6131</v>
      </c>
      <c r="D281" s="49">
        <v>0</v>
      </c>
    </row>
    <row r="282" spans="1:4" x14ac:dyDescent="0.25">
      <c r="A282" s="46" t="s">
        <v>6408</v>
      </c>
      <c r="B282" s="46" t="s">
        <v>14</v>
      </c>
      <c r="C282" s="46" t="s">
        <v>6131</v>
      </c>
      <c r="D282" s="49">
        <v>0</v>
      </c>
    </row>
    <row r="283" spans="1:4" x14ac:dyDescent="0.25">
      <c r="A283" s="46" t="s">
        <v>6409</v>
      </c>
      <c r="B283" s="46" t="s">
        <v>14</v>
      </c>
      <c r="C283" s="46" t="s">
        <v>6131</v>
      </c>
      <c r="D283" s="49">
        <v>0</v>
      </c>
    </row>
    <row r="284" spans="1:4" x14ac:dyDescent="0.25">
      <c r="A284" s="46" t="s">
        <v>6410</v>
      </c>
      <c r="B284" s="46" t="s">
        <v>14</v>
      </c>
      <c r="C284" s="46" t="s">
        <v>6131</v>
      </c>
      <c r="D284" s="49">
        <v>0</v>
      </c>
    </row>
    <row r="285" spans="1:4" x14ac:dyDescent="0.25">
      <c r="A285" s="46" t="s">
        <v>6411</v>
      </c>
      <c r="B285" s="46" t="s">
        <v>14</v>
      </c>
      <c r="C285" s="46" t="s">
        <v>6131</v>
      </c>
      <c r="D285" s="49">
        <v>0</v>
      </c>
    </row>
    <row r="286" spans="1:4" x14ac:dyDescent="0.25">
      <c r="A286" s="46" t="s">
        <v>6412</v>
      </c>
      <c r="B286" s="46" t="s">
        <v>14</v>
      </c>
      <c r="C286" s="46" t="s">
        <v>6131</v>
      </c>
      <c r="D286" s="49">
        <v>0</v>
      </c>
    </row>
    <row r="287" spans="1:4" x14ac:dyDescent="0.25">
      <c r="A287" s="46" t="s">
        <v>6413</v>
      </c>
      <c r="B287" s="46" t="s">
        <v>14</v>
      </c>
      <c r="C287" s="46" t="s">
        <v>6131</v>
      </c>
      <c r="D287" s="49">
        <v>0</v>
      </c>
    </row>
    <row r="288" spans="1:4" x14ac:dyDescent="0.25">
      <c r="A288" s="46" t="s">
        <v>6414</v>
      </c>
      <c r="B288" s="46" t="s">
        <v>14</v>
      </c>
      <c r="C288" s="46" t="s">
        <v>6131</v>
      </c>
      <c r="D288" s="49">
        <v>0</v>
      </c>
    </row>
    <row r="289" spans="1:4" x14ac:dyDescent="0.25">
      <c r="A289" s="46" t="s">
        <v>6415</v>
      </c>
      <c r="B289" s="46" t="s">
        <v>14</v>
      </c>
      <c r="C289" s="46" t="s">
        <v>6131</v>
      </c>
      <c r="D289" s="49">
        <v>0</v>
      </c>
    </row>
    <row r="290" spans="1:4" x14ac:dyDescent="0.25">
      <c r="A290" s="46" t="s">
        <v>6416</v>
      </c>
      <c r="B290" s="46" t="s">
        <v>14</v>
      </c>
      <c r="C290" s="46" t="s">
        <v>6131</v>
      </c>
      <c r="D290" s="49">
        <v>0</v>
      </c>
    </row>
    <row r="291" spans="1:4" x14ac:dyDescent="0.25">
      <c r="A291" s="46" t="s">
        <v>6417</v>
      </c>
      <c r="B291" s="46" t="s">
        <v>14</v>
      </c>
      <c r="C291" s="46" t="s">
        <v>6131</v>
      </c>
      <c r="D291" s="49">
        <v>0</v>
      </c>
    </row>
    <row r="292" spans="1:4" x14ac:dyDescent="0.25">
      <c r="A292" s="46" t="s">
        <v>6418</v>
      </c>
      <c r="B292" s="46" t="s">
        <v>14</v>
      </c>
      <c r="C292" s="46" t="s">
        <v>6131</v>
      </c>
      <c r="D292" s="49">
        <v>0</v>
      </c>
    </row>
    <row r="293" spans="1:4" x14ac:dyDescent="0.25">
      <c r="A293" s="46" t="s">
        <v>6419</v>
      </c>
      <c r="B293" s="46" t="s">
        <v>14</v>
      </c>
      <c r="C293" s="46" t="s">
        <v>6131</v>
      </c>
      <c r="D293" s="49">
        <v>0</v>
      </c>
    </row>
    <row r="294" spans="1:4" x14ac:dyDescent="0.25">
      <c r="A294" s="46" t="s">
        <v>6420</v>
      </c>
      <c r="B294" s="46" t="s">
        <v>14</v>
      </c>
      <c r="C294" s="46" t="s">
        <v>6131</v>
      </c>
      <c r="D294" s="49">
        <v>0</v>
      </c>
    </row>
    <row r="295" spans="1:4" x14ac:dyDescent="0.25">
      <c r="A295" s="46" t="s">
        <v>6421</v>
      </c>
      <c r="B295" s="46" t="s">
        <v>14</v>
      </c>
      <c r="C295" s="46" t="s">
        <v>6131</v>
      </c>
      <c r="D295" s="49">
        <v>0</v>
      </c>
    </row>
    <row r="296" spans="1:4" x14ac:dyDescent="0.25">
      <c r="A296" s="46" t="s">
        <v>6422</v>
      </c>
      <c r="B296" s="46" t="s">
        <v>14</v>
      </c>
      <c r="C296" s="46" t="s">
        <v>6131</v>
      </c>
      <c r="D296" s="49">
        <v>0</v>
      </c>
    </row>
    <row r="297" spans="1:4" x14ac:dyDescent="0.25">
      <c r="A297" s="46" t="s">
        <v>6423</v>
      </c>
      <c r="B297" s="46" t="s">
        <v>14</v>
      </c>
      <c r="C297" s="46" t="s">
        <v>6131</v>
      </c>
      <c r="D297" s="49">
        <v>0</v>
      </c>
    </row>
    <row r="298" spans="1:4" x14ac:dyDescent="0.25">
      <c r="A298" s="46" t="s">
        <v>6424</v>
      </c>
      <c r="B298" s="46" t="s">
        <v>14</v>
      </c>
      <c r="C298" s="46" t="s">
        <v>6131</v>
      </c>
      <c r="D298" s="49">
        <v>0</v>
      </c>
    </row>
    <row r="299" spans="1:4" x14ac:dyDescent="0.25">
      <c r="A299" s="46" t="s">
        <v>6425</v>
      </c>
      <c r="B299" s="46" t="s">
        <v>14</v>
      </c>
      <c r="C299" s="46" t="s">
        <v>6131</v>
      </c>
      <c r="D299" s="49">
        <v>0</v>
      </c>
    </row>
    <row r="300" spans="1:4" x14ac:dyDescent="0.25">
      <c r="A300" s="46" t="s">
        <v>6426</v>
      </c>
      <c r="B300" s="46" t="s">
        <v>14</v>
      </c>
      <c r="C300" s="46" t="s">
        <v>6131</v>
      </c>
      <c r="D300" s="49">
        <v>0</v>
      </c>
    </row>
    <row r="301" spans="1:4" x14ac:dyDescent="0.25">
      <c r="A301" s="46" t="s">
        <v>6427</v>
      </c>
      <c r="B301" s="46" t="s">
        <v>14</v>
      </c>
      <c r="C301" s="46" t="s">
        <v>6131</v>
      </c>
      <c r="D301" s="49">
        <v>0</v>
      </c>
    </row>
    <row r="302" spans="1:4" x14ac:dyDescent="0.25">
      <c r="A302" s="46" t="s">
        <v>6428</v>
      </c>
      <c r="B302" s="46" t="s">
        <v>14</v>
      </c>
      <c r="C302" s="46" t="s">
        <v>6131</v>
      </c>
      <c r="D302" s="49">
        <v>0</v>
      </c>
    </row>
    <row r="303" spans="1:4" x14ac:dyDescent="0.25">
      <c r="A303" s="46" t="s">
        <v>6429</v>
      </c>
      <c r="B303" s="46" t="s">
        <v>14</v>
      </c>
      <c r="C303" s="46" t="s">
        <v>6131</v>
      </c>
      <c r="D303" s="49">
        <v>0</v>
      </c>
    </row>
    <row r="304" spans="1:4" x14ac:dyDescent="0.25">
      <c r="A304" s="46" t="s">
        <v>6430</v>
      </c>
      <c r="B304" s="46" t="s">
        <v>14</v>
      </c>
      <c r="C304" s="46" t="s">
        <v>6131</v>
      </c>
      <c r="D304" s="49">
        <v>0</v>
      </c>
    </row>
    <row r="305" spans="1:4" x14ac:dyDescent="0.25">
      <c r="A305" s="46" t="s">
        <v>6431</v>
      </c>
      <c r="B305" s="46" t="s">
        <v>14</v>
      </c>
      <c r="C305" s="46" t="s">
        <v>6131</v>
      </c>
      <c r="D305" s="49">
        <v>0</v>
      </c>
    </row>
    <row r="306" spans="1:4" x14ac:dyDescent="0.25">
      <c r="A306" s="46" t="s">
        <v>6432</v>
      </c>
      <c r="B306" s="46" t="s">
        <v>14</v>
      </c>
      <c r="C306" s="46" t="s">
        <v>6131</v>
      </c>
      <c r="D306" s="49">
        <v>0</v>
      </c>
    </row>
    <row r="307" spans="1:4" x14ac:dyDescent="0.25">
      <c r="A307" s="46" t="s">
        <v>6433</v>
      </c>
      <c r="B307" s="46" t="s">
        <v>14</v>
      </c>
      <c r="C307" s="46" t="s">
        <v>6131</v>
      </c>
      <c r="D307" s="49">
        <v>0</v>
      </c>
    </row>
    <row r="308" spans="1:4" x14ac:dyDescent="0.25">
      <c r="A308" s="46" t="s">
        <v>6434</v>
      </c>
      <c r="B308" s="46" t="s">
        <v>14</v>
      </c>
      <c r="C308" s="46" t="s">
        <v>6131</v>
      </c>
      <c r="D308" s="49">
        <v>0</v>
      </c>
    </row>
    <row r="309" spans="1:4" x14ac:dyDescent="0.25">
      <c r="A309" s="46" t="s">
        <v>6435</v>
      </c>
      <c r="B309" s="46" t="s">
        <v>14</v>
      </c>
      <c r="C309" s="46" t="s">
        <v>6131</v>
      </c>
      <c r="D309" s="49">
        <v>0</v>
      </c>
    </row>
    <row r="310" spans="1:4" x14ac:dyDescent="0.25">
      <c r="A310" s="46" t="s">
        <v>6436</v>
      </c>
      <c r="B310" s="46" t="s">
        <v>14</v>
      </c>
      <c r="C310" s="46" t="s">
        <v>6131</v>
      </c>
      <c r="D310" s="49">
        <v>0</v>
      </c>
    </row>
    <row r="311" spans="1:4" x14ac:dyDescent="0.25">
      <c r="A311" s="46" t="s">
        <v>6437</v>
      </c>
      <c r="B311" s="46" t="s">
        <v>14</v>
      </c>
      <c r="C311" s="46" t="s">
        <v>6131</v>
      </c>
      <c r="D311" s="49">
        <v>0</v>
      </c>
    </row>
    <row r="312" spans="1:4" x14ac:dyDescent="0.25">
      <c r="A312" s="46" t="s">
        <v>6438</v>
      </c>
      <c r="B312" s="46" t="s">
        <v>14</v>
      </c>
      <c r="C312" s="46" t="s">
        <v>6131</v>
      </c>
      <c r="D312" s="49">
        <v>0</v>
      </c>
    </row>
    <row r="313" spans="1:4" x14ac:dyDescent="0.25">
      <c r="A313" s="46" t="s">
        <v>6439</v>
      </c>
      <c r="B313" s="46" t="s">
        <v>14</v>
      </c>
      <c r="C313" s="46" t="s">
        <v>6131</v>
      </c>
      <c r="D313" s="49">
        <v>0</v>
      </c>
    </row>
    <row r="314" spans="1:4" x14ac:dyDescent="0.25">
      <c r="A314" s="46" t="s">
        <v>6440</v>
      </c>
      <c r="B314" s="46" t="s">
        <v>14</v>
      </c>
      <c r="C314" s="46" t="s">
        <v>6131</v>
      </c>
      <c r="D314" s="49">
        <v>0</v>
      </c>
    </row>
    <row r="315" spans="1:4" x14ac:dyDescent="0.25">
      <c r="A315" s="46" t="s">
        <v>6441</v>
      </c>
      <c r="B315" s="46" t="s">
        <v>14</v>
      </c>
      <c r="C315" s="46" t="s">
        <v>6131</v>
      </c>
      <c r="D315" s="49">
        <v>0</v>
      </c>
    </row>
    <row r="316" spans="1:4" x14ac:dyDescent="0.25">
      <c r="A316" s="46" t="s">
        <v>6442</v>
      </c>
      <c r="B316" s="46" t="s">
        <v>14</v>
      </c>
      <c r="C316" s="46" t="s">
        <v>6131</v>
      </c>
      <c r="D316" s="49">
        <v>0</v>
      </c>
    </row>
    <row r="317" spans="1:4" x14ac:dyDescent="0.25">
      <c r="A317" s="46" t="s">
        <v>6443</v>
      </c>
      <c r="B317" s="46" t="s">
        <v>14</v>
      </c>
      <c r="C317" s="46" t="s">
        <v>6131</v>
      </c>
      <c r="D317" s="49">
        <v>0</v>
      </c>
    </row>
    <row r="318" spans="1:4" x14ac:dyDescent="0.25">
      <c r="A318" s="46" t="s">
        <v>6444</v>
      </c>
      <c r="B318" s="46" t="s">
        <v>14</v>
      </c>
      <c r="C318" s="46" t="s">
        <v>6131</v>
      </c>
      <c r="D318" s="49">
        <v>0</v>
      </c>
    </row>
    <row r="319" spans="1:4" x14ac:dyDescent="0.25">
      <c r="A319" s="46" t="s">
        <v>6445</v>
      </c>
      <c r="B319" s="46" t="s">
        <v>14</v>
      </c>
      <c r="C319" s="46" t="s">
        <v>6131</v>
      </c>
      <c r="D319" s="49">
        <v>0</v>
      </c>
    </row>
    <row r="320" spans="1:4" x14ac:dyDescent="0.25">
      <c r="A320" s="46" t="s">
        <v>6446</v>
      </c>
      <c r="B320" s="46" t="s">
        <v>14</v>
      </c>
      <c r="C320" s="46" t="s">
        <v>6131</v>
      </c>
      <c r="D320" s="49">
        <v>0</v>
      </c>
    </row>
    <row r="321" spans="1:4" x14ac:dyDescent="0.25">
      <c r="A321" s="46" t="s">
        <v>6447</v>
      </c>
      <c r="B321" s="46" t="s">
        <v>14</v>
      </c>
      <c r="C321" s="46" t="s">
        <v>6131</v>
      </c>
      <c r="D321" s="49">
        <v>0</v>
      </c>
    </row>
    <row r="322" spans="1:4" x14ac:dyDescent="0.25">
      <c r="A322" s="46" t="s">
        <v>6448</v>
      </c>
      <c r="B322" s="46" t="s">
        <v>14</v>
      </c>
      <c r="C322" s="46" t="s">
        <v>6131</v>
      </c>
      <c r="D322" s="49">
        <v>0</v>
      </c>
    </row>
    <row r="323" spans="1:4" x14ac:dyDescent="0.25">
      <c r="A323" s="46" t="s">
        <v>6449</v>
      </c>
      <c r="B323" s="46" t="s">
        <v>14</v>
      </c>
      <c r="C323" s="46" t="s">
        <v>6131</v>
      </c>
      <c r="D323" s="49">
        <v>0</v>
      </c>
    </row>
    <row r="324" spans="1:4" x14ac:dyDescent="0.25">
      <c r="A324" s="46" t="s">
        <v>6450</v>
      </c>
      <c r="B324" s="46" t="s">
        <v>14</v>
      </c>
      <c r="C324" s="46" t="s">
        <v>6131</v>
      </c>
      <c r="D324" s="49">
        <v>0</v>
      </c>
    </row>
    <row r="325" spans="1:4" x14ac:dyDescent="0.25">
      <c r="A325" s="46" t="s">
        <v>6451</v>
      </c>
      <c r="B325" s="46" t="s">
        <v>14</v>
      </c>
      <c r="C325" s="46" t="s">
        <v>6131</v>
      </c>
      <c r="D325" s="49">
        <v>0</v>
      </c>
    </row>
    <row r="326" spans="1:4" x14ac:dyDescent="0.25">
      <c r="A326" s="46" t="s">
        <v>6452</v>
      </c>
      <c r="B326" s="46" t="s">
        <v>14</v>
      </c>
      <c r="C326" s="46" t="s">
        <v>6131</v>
      </c>
      <c r="D326" s="49">
        <v>0</v>
      </c>
    </row>
    <row r="327" spans="1:4" x14ac:dyDescent="0.25">
      <c r="A327" s="46" t="s">
        <v>6453</v>
      </c>
      <c r="B327" s="46" t="s">
        <v>14</v>
      </c>
      <c r="C327" s="46" t="s">
        <v>6131</v>
      </c>
      <c r="D327" s="49">
        <v>0</v>
      </c>
    </row>
    <row r="328" spans="1:4" x14ac:dyDescent="0.25">
      <c r="A328" s="46" t="s">
        <v>6454</v>
      </c>
      <c r="B328" s="46" t="s">
        <v>14</v>
      </c>
      <c r="C328" s="46" t="s">
        <v>6131</v>
      </c>
      <c r="D328" s="49">
        <v>0</v>
      </c>
    </row>
    <row r="329" spans="1:4" x14ac:dyDescent="0.25">
      <c r="A329" s="46" t="s">
        <v>6455</v>
      </c>
      <c r="B329" s="46" t="s">
        <v>14</v>
      </c>
      <c r="C329" s="46" t="s">
        <v>6131</v>
      </c>
      <c r="D329" s="49">
        <v>0</v>
      </c>
    </row>
    <row r="330" spans="1:4" x14ac:dyDescent="0.25">
      <c r="A330" s="46" t="s">
        <v>6456</v>
      </c>
      <c r="B330" s="46" t="s">
        <v>14</v>
      </c>
      <c r="C330" s="46" t="s">
        <v>6131</v>
      </c>
      <c r="D330" s="49">
        <v>0</v>
      </c>
    </row>
    <row r="331" spans="1:4" x14ac:dyDescent="0.25">
      <c r="A331" s="46" t="s">
        <v>6457</v>
      </c>
      <c r="B331" s="46" t="s">
        <v>14</v>
      </c>
      <c r="C331" s="46" t="s">
        <v>6131</v>
      </c>
      <c r="D331" s="49">
        <v>0</v>
      </c>
    </row>
    <row r="332" spans="1:4" x14ac:dyDescent="0.25">
      <c r="A332" s="46" t="s">
        <v>6458</v>
      </c>
      <c r="B332" s="46" t="s">
        <v>14</v>
      </c>
      <c r="C332" s="46" t="s">
        <v>6131</v>
      </c>
      <c r="D332" s="49">
        <v>0</v>
      </c>
    </row>
    <row r="333" spans="1:4" x14ac:dyDescent="0.25">
      <c r="A333" s="46" t="s">
        <v>6459</v>
      </c>
      <c r="B333" s="46" t="s">
        <v>14</v>
      </c>
      <c r="C333" s="46" t="s">
        <v>6131</v>
      </c>
      <c r="D333" s="49">
        <v>0</v>
      </c>
    </row>
    <row r="334" spans="1:4" x14ac:dyDescent="0.25">
      <c r="A334" s="46" t="s">
        <v>6460</v>
      </c>
      <c r="B334" s="46" t="s">
        <v>14</v>
      </c>
      <c r="C334" s="46" t="s">
        <v>6131</v>
      </c>
      <c r="D334" s="49">
        <v>0</v>
      </c>
    </row>
    <row r="335" spans="1:4" x14ac:dyDescent="0.25">
      <c r="A335" s="46" t="s">
        <v>6461</v>
      </c>
      <c r="B335" s="46" t="s">
        <v>14</v>
      </c>
      <c r="C335" s="46" t="s">
        <v>6131</v>
      </c>
      <c r="D335" s="49">
        <v>0</v>
      </c>
    </row>
    <row r="336" spans="1:4" x14ac:dyDescent="0.25">
      <c r="A336" s="46" t="s">
        <v>6462</v>
      </c>
      <c r="B336" s="46" t="s">
        <v>14</v>
      </c>
      <c r="C336" s="46" t="s">
        <v>6131</v>
      </c>
      <c r="D336" s="49">
        <v>0</v>
      </c>
    </row>
    <row r="337" spans="1:4" x14ac:dyDescent="0.25">
      <c r="A337" s="46" t="s">
        <v>6463</v>
      </c>
      <c r="B337" s="46" t="s">
        <v>14</v>
      </c>
      <c r="C337" s="46" t="s">
        <v>6131</v>
      </c>
      <c r="D337" s="49">
        <v>0</v>
      </c>
    </row>
    <row r="338" spans="1:4" x14ac:dyDescent="0.25">
      <c r="A338" s="46" t="s">
        <v>6464</v>
      </c>
      <c r="B338" s="46" t="s">
        <v>14</v>
      </c>
      <c r="C338" s="46" t="s">
        <v>6131</v>
      </c>
      <c r="D338" s="49">
        <v>0</v>
      </c>
    </row>
    <row r="339" spans="1:4" x14ac:dyDescent="0.25">
      <c r="A339" s="46" t="s">
        <v>6465</v>
      </c>
      <c r="B339" s="46" t="s">
        <v>14</v>
      </c>
      <c r="C339" s="46" t="s">
        <v>6131</v>
      </c>
      <c r="D339" s="49">
        <v>0</v>
      </c>
    </row>
    <row r="340" spans="1:4" x14ac:dyDescent="0.25">
      <c r="A340" s="46" t="s">
        <v>6466</v>
      </c>
      <c r="B340" s="46" t="s">
        <v>14</v>
      </c>
      <c r="C340" s="46" t="s">
        <v>6131</v>
      </c>
      <c r="D340" s="49">
        <v>0</v>
      </c>
    </row>
    <row r="341" spans="1:4" x14ac:dyDescent="0.25">
      <c r="A341" s="46" t="s">
        <v>6467</v>
      </c>
      <c r="B341" s="46" t="s">
        <v>14</v>
      </c>
      <c r="C341" s="46" t="s">
        <v>6131</v>
      </c>
      <c r="D341" s="49">
        <v>0</v>
      </c>
    </row>
    <row r="342" spans="1:4" x14ac:dyDescent="0.25">
      <c r="A342" s="46" t="s">
        <v>6468</v>
      </c>
      <c r="B342" s="46" t="s">
        <v>14</v>
      </c>
      <c r="C342" s="46" t="s">
        <v>6131</v>
      </c>
      <c r="D342" s="49">
        <v>0</v>
      </c>
    </row>
    <row r="343" spans="1:4" x14ac:dyDescent="0.25">
      <c r="A343" s="46" t="s">
        <v>6469</v>
      </c>
      <c r="B343" s="46" t="s">
        <v>14</v>
      </c>
      <c r="C343" s="46" t="s">
        <v>6131</v>
      </c>
      <c r="D343" s="49">
        <v>0</v>
      </c>
    </row>
    <row r="344" spans="1:4" x14ac:dyDescent="0.25">
      <c r="A344" s="46" t="s">
        <v>6470</v>
      </c>
      <c r="B344" s="46" t="s">
        <v>14</v>
      </c>
      <c r="C344" s="46" t="s">
        <v>6131</v>
      </c>
      <c r="D344" s="49">
        <v>0</v>
      </c>
    </row>
    <row r="345" spans="1:4" x14ac:dyDescent="0.25">
      <c r="A345" s="46" t="s">
        <v>6471</v>
      </c>
      <c r="B345" s="46" t="s">
        <v>14</v>
      </c>
      <c r="C345" s="46" t="s">
        <v>6131</v>
      </c>
      <c r="D345" s="49">
        <v>0</v>
      </c>
    </row>
    <row r="346" spans="1:4" x14ac:dyDescent="0.25">
      <c r="A346" s="46" t="s">
        <v>6472</v>
      </c>
      <c r="B346" s="46" t="s">
        <v>14</v>
      </c>
      <c r="C346" s="46" t="s">
        <v>6131</v>
      </c>
      <c r="D346" s="49">
        <v>0</v>
      </c>
    </row>
    <row r="347" spans="1:4" x14ac:dyDescent="0.25">
      <c r="A347" s="46" t="s">
        <v>6473</v>
      </c>
      <c r="B347" s="46" t="s">
        <v>14</v>
      </c>
      <c r="C347" s="46" t="s">
        <v>6131</v>
      </c>
      <c r="D347" s="49">
        <v>0</v>
      </c>
    </row>
    <row r="348" spans="1:4" x14ac:dyDescent="0.25">
      <c r="A348" s="46" t="s">
        <v>6474</v>
      </c>
      <c r="B348" s="46" t="s">
        <v>14</v>
      </c>
      <c r="C348" s="46" t="s">
        <v>6131</v>
      </c>
      <c r="D348" s="49">
        <v>0</v>
      </c>
    </row>
    <row r="349" spans="1:4" x14ac:dyDescent="0.25">
      <c r="A349" s="46" t="s">
        <v>6475</v>
      </c>
      <c r="B349" s="46" t="s">
        <v>14</v>
      </c>
      <c r="C349" s="46" t="s">
        <v>6131</v>
      </c>
      <c r="D349" s="49">
        <v>0</v>
      </c>
    </row>
    <row r="350" spans="1:4" x14ac:dyDescent="0.25">
      <c r="A350" s="46" t="s">
        <v>6476</v>
      </c>
      <c r="B350" s="46" t="s">
        <v>14</v>
      </c>
      <c r="C350" s="46" t="s">
        <v>6131</v>
      </c>
      <c r="D350" s="49">
        <v>0</v>
      </c>
    </row>
    <row r="351" spans="1:4" x14ac:dyDescent="0.25">
      <c r="A351" s="46" t="s">
        <v>6477</v>
      </c>
      <c r="B351" s="46" t="s">
        <v>14</v>
      </c>
      <c r="C351" s="46" t="s">
        <v>6131</v>
      </c>
      <c r="D351" s="49">
        <v>0</v>
      </c>
    </row>
    <row r="352" spans="1:4" x14ac:dyDescent="0.25">
      <c r="A352" s="46" t="s">
        <v>6478</v>
      </c>
      <c r="B352" s="46" t="s">
        <v>14</v>
      </c>
      <c r="C352" s="46" t="s">
        <v>6131</v>
      </c>
      <c r="D352" s="49">
        <v>0</v>
      </c>
    </row>
    <row r="353" spans="1:4" x14ac:dyDescent="0.25">
      <c r="A353" s="46" t="s">
        <v>6479</v>
      </c>
      <c r="B353" s="46" t="s">
        <v>14</v>
      </c>
      <c r="C353" s="46" t="s">
        <v>6131</v>
      </c>
      <c r="D353" s="49">
        <v>0</v>
      </c>
    </row>
    <row r="354" spans="1:4" x14ac:dyDescent="0.25">
      <c r="A354" s="46" t="s">
        <v>6480</v>
      </c>
      <c r="B354" s="46" t="s">
        <v>14</v>
      </c>
      <c r="C354" s="46" t="s">
        <v>6131</v>
      </c>
      <c r="D354" s="49">
        <v>0</v>
      </c>
    </row>
    <row r="355" spans="1:4" x14ac:dyDescent="0.25">
      <c r="A355" s="46" t="s">
        <v>6481</v>
      </c>
      <c r="B355" s="46" t="s">
        <v>14</v>
      </c>
      <c r="C355" s="46" t="s">
        <v>6131</v>
      </c>
      <c r="D355" s="49">
        <v>0</v>
      </c>
    </row>
    <row r="356" spans="1:4" x14ac:dyDescent="0.25">
      <c r="A356" s="46" t="s">
        <v>6482</v>
      </c>
      <c r="B356" s="46" t="s">
        <v>14</v>
      </c>
      <c r="C356" s="46" t="s">
        <v>6131</v>
      </c>
      <c r="D356" s="49">
        <v>0</v>
      </c>
    </row>
    <row r="357" spans="1:4" x14ac:dyDescent="0.25">
      <c r="A357" s="46" t="s">
        <v>6483</v>
      </c>
      <c r="B357" s="46" t="s">
        <v>14</v>
      </c>
      <c r="C357" s="46" t="s">
        <v>6131</v>
      </c>
      <c r="D357" s="49">
        <v>0</v>
      </c>
    </row>
    <row r="358" spans="1:4" x14ac:dyDescent="0.25">
      <c r="A358" s="46" t="s">
        <v>6484</v>
      </c>
      <c r="B358" s="46" t="s">
        <v>14</v>
      </c>
      <c r="C358" s="46" t="s">
        <v>6131</v>
      </c>
      <c r="D358" s="49">
        <v>0</v>
      </c>
    </row>
    <row r="359" spans="1:4" x14ac:dyDescent="0.25">
      <c r="A359" s="46" t="s">
        <v>6485</v>
      </c>
      <c r="B359" s="46" t="s">
        <v>14</v>
      </c>
      <c r="C359" s="46" t="s">
        <v>6131</v>
      </c>
      <c r="D359" s="49">
        <v>0</v>
      </c>
    </row>
    <row r="360" spans="1:4" x14ac:dyDescent="0.25">
      <c r="A360" s="46" t="s">
        <v>6486</v>
      </c>
      <c r="B360" s="46" t="s">
        <v>14</v>
      </c>
      <c r="C360" s="46" t="s">
        <v>6131</v>
      </c>
      <c r="D360" s="49">
        <v>0</v>
      </c>
    </row>
    <row r="361" spans="1:4" x14ac:dyDescent="0.25">
      <c r="A361" s="46" t="s">
        <v>6487</v>
      </c>
      <c r="B361" s="46" t="s">
        <v>14</v>
      </c>
      <c r="C361" s="46" t="s">
        <v>6131</v>
      </c>
      <c r="D361" s="49">
        <v>0</v>
      </c>
    </row>
    <row r="362" spans="1:4" x14ac:dyDescent="0.25">
      <c r="A362" s="46" t="s">
        <v>6488</v>
      </c>
      <c r="B362" s="46" t="s">
        <v>14</v>
      </c>
      <c r="C362" s="46" t="s">
        <v>6131</v>
      </c>
      <c r="D362" s="49">
        <v>0</v>
      </c>
    </row>
    <row r="363" spans="1:4" x14ac:dyDescent="0.25">
      <c r="A363" s="46" t="s">
        <v>6489</v>
      </c>
      <c r="B363" s="46" t="s">
        <v>14</v>
      </c>
      <c r="C363" s="46" t="s">
        <v>6131</v>
      </c>
      <c r="D363" s="49">
        <v>0</v>
      </c>
    </row>
    <row r="364" spans="1:4" x14ac:dyDescent="0.25">
      <c r="A364" s="46" t="s">
        <v>6490</v>
      </c>
      <c r="B364" s="46" t="s">
        <v>14</v>
      </c>
      <c r="C364" s="46" t="s">
        <v>6131</v>
      </c>
      <c r="D364" s="49">
        <v>0</v>
      </c>
    </row>
    <row r="365" spans="1:4" x14ac:dyDescent="0.25">
      <c r="A365" s="46" t="s">
        <v>6491</v>
      </c>
      <c r="B365" s="46" t="s">
        <v>14</v>
      </c>
      <c r="C365" s="46" t="s">
        <v>6131</v>
      </c>
      <c r="D365" s="49">
        <v>0</v>
      </c>
    </row>
    <row r="366" spans="1:4" x14ac:dyDescent="0.25">
      <c r="A366" s="46" t="s">
        <v>6492</v>
      </c>
      <c r="B366" s="46" t="s">
        <v>14</v>
      </c>
      <c r="C366" s="46" t="s">
        <v>6131</v>
      </c>
      <c r="D366" s="49">
        <v>0</v>
      </c>
    </row>
    <row r="367" spans="1:4" x14ac:dyDescent="0.25">
      <c r="A367" s="46" t="s">
        <v>6493</v>
      </c>
      <c r="B367" s="46" t="s">
        <v>14</v>
      </c>
      <c r="C367" s="46" t="s">
        <v>6131</v>
      </c>
      <c r="D367" s="49">
        <v>0</v>
      </c>
    </row>
    <row r="368" spans="1:4" x14ac:dyDescent="0.25">
      <c r="A368" s="46" t="s">
        <v>6494</v>
      </c>
      <c r="B368" s="46" t="s">
        <v>14</v>
      </c>
      <c r="C368" s="46" t="s">
        <v>6131</v>
      </c>
      <c r="D368" s="49">
        <v>0</v>
      </c>
    </row>
    <row r="369" spans="1:4" x14ac:dyDescent="0.25">
      <c r="A369" s="46" t="s">
        <v>6495</v>
      </c>
      <c r="B369" s="46" t="s">
        <v>14</v>
      </c>
      <c r="C369" s="46" t="s">
        <v>6131</v>
      </c>
      <c r="D369" s="49">
        <v>0</v>
      </c>
    </row>
    <row r="370" spans="1:4" x14ac:dyDescent="0.25">
      <c r="A370" s="46" t="s">
        <v>6496</v>
      </c>
      <c r="B370" s="46" t="s">
        <v>14</v>
      </c>
      <c r="C370" s="46" t="s">
        <v>6131</v>
      </c>
      <c r="D370" s="49">
        <v>0</v>
      </c>
    </row>
    <row r="371" spans="1:4" x14ac:dyDescent="0.25">
      <c r="A371" s="46" t="s">
        <v>6497</v>
      </c>
      <c r="B371" s="46" t="s">
        <v>14</v>
      </c>
      <c r="C371" s="46" t="s">
        <v>6131</v>
      </c>
      <c r="D371" s="49">
        <v>0</v>
      </c>
    </row>
    <row r="372" spans="1:4" x14ac:dyDescent="0.25">
      <c r="A372" s="46" t="s">
        <v>6498</v>
      </c>
      <c r="B372" s="46" t="s">
        <v>14</v>
      </c>
      <c r="C372" s="46" t="s">
        <v>6131</v>
      </c>
      <c r="D372" s="49">
        <v>0</v>
      </c>
    </row>
    <row r="373" spans="1:4" x14ac:dyDescent="0.25">
      <c r="A373" s="46" t="s">
        <v>6499</v>
      </c>
      <c r="B373" s="46" t="s">
        <v>14</v>
      </c>
      <c r="C373" s="46" t="s">
        <v>6131</v>
      </c>
      <c r="D373" s="49">
        <v>0</v>
      </c>
    </row>
    <row r="374" spans="1:4" x14ac:dyDescent="0.25">
      <c r="A374" s="46" t="s">
        <v>6500</v>
      </c>
      <c r="B374" s="46" t="s">
        <v>14</v>
      </c>
      <c r="C374" s="46" t="s">
        <v>6131</v>
      </c>
      <c r="D374" s="49">
        <v>0</v>
      </c>
    </row>
    <row r="375" spans="1:4" x14ac:dyDescent="0.25">
      <c r="A375" s="46" t="s">
        <v>6501</v>
      </c>
      <c r="B375" s="46" t="s">
        <v>14</v>
      </c>
      <c r="C375" s="46" t="s">
        <v>6131</v>
      </c>
      <c r="D375" s="49">
        <v>0</v>
      </c>
    </row>
    <row r="376" spans="1:4" x14ac:dyDescent="0.25">
      <c r="A376" s="46" t="s">
        <v>6502</v>
      </c>
      <c r="B376" s="46" t="s">
        <v>14</v>
      </c>
      <c r="C376" s="46" t="s">
        <v>6131</v>
      </c>
      <c r="D376" s="49">
        <v>0</v>
      </c>
    </row>
    <row r="377" spans="1:4" x14ac:dyDescent="0.25">
      <c r="A377" s="46" t="s">
        <v>6503</v>
      </c>
      <c r="B377" s="46" t="s">
        <v>14</v>
      </c>
      <c r="C377" s="46" t="s">
        <v>6131</v>
      </c>
      <c r="D377" s="49">
        <v>0</v>
      </c>
    </row>
    <row r="378" spans="1:4" x14ac:dyDescent="0.25">
      <c r="A378" s="46" t="s">
        <v>6504</v>
      </c>
      <c r="B378" s="46" t="s">
        <v>14</v>
      </c>
      <c r="C378" s="46" t="s">
        <v>6131</v>
      </c>
      <c r="D378" s="49">
        <v>0</v>
      </c>
    </row>
    <row r="379" spans="1:4" x14ac:dyDescent="0.25">
      <c r="A379" s="46" t="s">
        <v>6505</v>
      </c>
      <c r="B379" s="46" t="s">
        <v>14</v>
      </c>
      <c r="C379" s="46" t="s">
        <v>6131</v>
      </c>
      <c r="D379" s="49">
        <v>0</v>
      </c>
    </row>
    <row r="380" spans="1:4" x14ac:dyDescent="0.25">
      <c r="A380" s="46" t="s">
        <v>6506</v>
      </c>
      <c r="B380" s="46" t="s">
        <v>14</v>
      </c>
      <c r="C380" s="46" t="s">
        <v>6131</v>
      </c>
      <c r="D380" s="49">
        <v>0</v>
      </c>
    </row>
    <row r="381" spans="1:4" x14ac:dyDescent="0.25">
      <c r="A381" s="46" t="s">
        <v>6507</v>
      </c>
      <c r="B381" s="46" t="s">
        <v>14</v>
      </c>
      <c r="C381" s="46" t="s">
        <v>6131</v>
      </c>
      <c r="D381" s="49">
        <v>0</v>
      </c>
    </row>
    <row r="382" spans="1:4" x14ac:dyDescent="0.25">
      <c r="A382" s="46" t="s">
        <v>6508</v>
      </c>
      <c r="B382" s="46" t="s">
        <v>14</v>
      </c>
      <c r="C382" s="46" t="s">
        <v>6131</v>
      </c>
      <c r="D382" s="49">
        <v>0</v>
      </c>
    </row>
    <row r="383" spans="1:4" x14ac:dyDescent="0.25">
      <c r="A383" s="46" t="s">
        <v>6509</v>
      </c>
      <c r="B383" s="46" t="s">
        <v>14</v>
      </c>
      <c r="C383" s="46" t="s">
        <v>6131</v>
      </c>
      <c r="D383" s="49">
        <v>0</v>
      </c>
    </row>
    <row r="384" spans="1:4" x14ac:dyDescent="0.25">
      <c r="A384" s="46" t="s">
        <v>6510</v>
      </c>
      <c r="B384" s="46" t="s">
        <v>14</v>
      </c>
      <c r="C384" s="46" t="s">
        <v>6131</v>
      </c>
      <c r="D384" s="49">
        <v>0</v>
      </c>
    </row>
    <row r="385" spans="1:4" x14ac:dyDescent="0.25">
      <c r="A385" s="46" t="s">
        <v>6511</v>
      </c>
      <c r="B385" s="46" t="s">
        <v>14</v>
      </c>
      <c r="C385" s="46" t="s">
        <v>6131</v>
      </c>
      <c r="D385" s="49">
        <v>0</v>
      </c>
    </row>
    <row r="386" spans="1:4" x14ac:dyDescent="0.25">
      <c r="A386" s="46" t="s">
        <v>6512</v>
      </c>
      <c r="B386" s="46" t="s">
        <v>14</v>
      </c>
      <c r="C386" s="46" t="s">
        <v>6131</v>
      </c>
      <c r="D386" s="49">
        <v>0</v>
      </c>
    </row>
    <row r="387" spans="1:4" x14ac:dyDescent="0.25">
      <c r="A387" s="46" t="s">
        <v>6513</v>
      </c>
      <c r="B387" s="46" t="s">
        <v>14</v>
      </c>
      <c r="C387" s="46" t="s">
        <v>6131</v>
      </c>
      <c r="D387" s="49">
        <v>0</v>
      </c>
    </row>
    <row r="388" spans="1:4" x14ac:dyDescent="0.25">
      <c r="A388" s="46" t="s">
        <v>6514</v>
      </c>
      <c r="B388" s="46" t="s">
        <v>14</v>
      </c>
      <c r="C388" s="46" t="s">
        <v>6131</v>
      </c>
      <c r="D388" s="49">
        <v>0</v>
      </c>
    </row>
    <row r="389" spans="1:4" x14ac:dyDescent="0.25">
      <c r="A389" s="46" t="s">
        <v>6515</v>
      </c>
      <c r="B389" s="46" t="s">
        <v>14</v>
      </c>
      <c r="C389" s="46" t="s">
        <v>6131</v>
      </c>
      <c r="D389" s="49">
        <v>0</v>
      </c>
    </row>
    <row r="390" spans="1:4" x14ac:dyDescent="0.25">
      <c r="A390" s="46" t="s">
        <v>6516</v>
      </c>
      <c r="B390" s="46" t="s">
        <v>14</v>
      </c>
      <c r="C390" s="46" t="s">
        <v>6131</v>
      </c>
      <c r="D390" s="49">
        <v>0</v>
      </c>
    </row>
    <row r="391" spans="1:4" x14ac:dyDescent="0.25">
      <c r="A391" s="46" t="s">
        <v>6517</v>
      </c>
      <c r="B391" s="46" t="s">
        <v>14</v>
      </c>
      <c r="C391" s="46" t="s">
        <v>6131</v>
      </c>
      <c r="D391" s="49">
        <v>0</v>
      </c>
    </row>
    <row r="392" spans="1:4" x14ac:dyDescent="0.25">
      <c r="A392" s="46" t="s">
        <v>6518</v>
      </c>
      <c r="B392" s="46" t="s">
        <v>14</v>
      </c>
      <c r="C392" s="46" t="s">
        <v>6131</v>
      </c>
      <c r="D392" s="49">
        <v>0</v>
      </c>
    </row>
    <row r="393" spans="1:4" x14ac:dyDescent="0.25">
      <c r="A393" s="46" t="s">
        <v>6519</v>
      </c>
      <c r="B393" s="46" t="s">
        <v>14</v>
      </c>
      <c r="C393" s="46" t="s">
        <v>6131</v>
      </c>
      <c r="D393" s="49">
        <v>0</v>
      </c>
    </row>
    <row r="394" spans="1:4" x14ac:dyDescent="0.25">
      <c r="A394" s="46" t="s">
        <v>6520</v>
      </c>
      <c r="B394" s="46" t="s">
        <v>14</v>
      </c>
      <c r="C394" s="46" t="s">
        <v>6131</v>
      </c>
      <c r="D394" s="49">
        <v>0</v>
      </c>
    </row>
    <row r="395" spans="1:4" x14ac:dyDescent="0.25">
      <c r="A395" s="46" t="s">
        <v>6521</v>
      </c>
      <c r="B395" s="46" t="s">
        <v>14</v>
      </c>
      <c r="C395" s="46" t="s">
        <v>6131</v>
      </c>
      <c r="D395" s="49">
        <v>0</v>
      </c>
    </row>
    <row r="396" spans="1:4" x14ac:dyDescent="0.25">
      <c r="A396" s="46" t="s">
        <v>6522</v>
      </c>
      <c r="B396" s="46" t="s">
        <v>14</v>
      </c>
      <c r="C396" s="46" t="s">
        <v>6131</v>
      </c>
      <c r="D396" s="49">
        <v>0</v>
      </c>
    </row>
    <row r="397" spans="1:4" x14ac:dyDescent="0.25">
      <c r="A397" s="46" t="s">
        <v>6523</v>
      </c>
      <c r="B397" s="46" t="s">
        <v>14</v>
      </c>
      <c r="C397" s="46" t="s">
        <v>6131</v>
      </c>
      <c r="D397" s="49">
        <v>0</v>
      </c>
    </row>
    <row r="398" spans="1:4" x14ac:dyDescent="0.25">
      <c r="A398" s="46" t="s">
        <v>6524</v>
      </c>
      <c r="B398" s="46" t="s">
        <v>14</v>
      </c>
      <c r="C398" s="46" t="s">
        <v>6131</v>
      </c>
      <c r="D398" s="49">
        <v>0</v>
      </c>
    </row>
    <row r="399" spans="1:4" x14ac:dyDescent="0.25">
      <c r="A399" s="46" t="s">
        <v>6525</v>
      </c>
      <c r="B399" s="46" t="s">
        <v>14</v>
      </c>
      <c r="C399" s="46" t="s">
        <v>6131</v>
      </c>
      <c r="D399" s="49">
        <v>0</v>
      </c>
    </row>
    <row r="400" spans="1:4" x14ac:dyDescent="0.25">
      <c r="A400" s="46" t="s">
        <v>6526</v>
      </c>
      <c r="B400" s="46" t="s">
        <v>14</v>
      </c>
      <c r="C400" s="46" t="s">
        <v>6131</v>
      </c>
      <c r="D400" s="49">
        <v>0</v>
      </c>
    </row>
    <row r="401" spans="1:4" x14ac:dyDescent="0.25">
      <c r="A401" s="46" t="s">
        <v>6527</v>
      </c>
      <c r="B401" s="46" t="s">
        <v>14</v>
      </c>
      <c r="C401" s="46" t="s">
        <v>6131</v>
      </c>
      <c r="D401" s="49">
        <v>0</v>
      </c>
    </row>
    <row r="402" spans="1:4" x14ac:dyDescent="0.25">
      <c r="A402" s="46" t="s">
        <v>6528</v>
      </c>
      <c r="B402" s="46" t="s">
        <v>14</v>
      </c>
      <c r="C402" s="46" t="s">
        <v>6131</v>
      </c>
      <c r="D402" s="49">
        <v>0</v>
      </c>
    </row>
    <row r="403" spans="1:4" x14ac:dyDescent="0.25">
      <c r="A403" s="46" t="s">
        <v>6529</v>
      </c>
      <c r="B403" s="46" t="s">
        <v>14</v>
      </c>
      <c r="C403" s="46" t="s">
        <v>6131</v>
      </c>
      <c r="D403" s="49">
        <v>0</v>
      </c>
    </row>
    <row r="404" spans="1:4" x14ac:dyDescent="0.25">
      <c r="A404" s="46" t="s">
        <v>6530</v>
      </c>
      <c r="B404" s="46" t="s">
        <v>14</v>
      </c>
      <c r="C404" s="46" t="s">
        <v>6131</v>
      </c>
      <c r="D404" s="49">
        <v>0</v>
      </c>
    </row>
    <row r="405" spans="1:4" x14ac:dyDescent="0.25">
      <c r="A405" s="46" t="s">
        <v>6531</v>
      </c>
      <c r="B405" s="46" t="s">
        <v>14</v>
      </c>
      <c r="C405" s="46" t="s">
        <v>6131</v>
      </c>
      <c r="D405" s="49">
        <v>0</v>
      </c>
    </row>
    <row r="406" spans="1:4" x14ac:dyDescent="0.25">
      <c r="A406" s="46" t="s">
        <v>6532</v>
      </c>
      <c r="B406" s="46" t="s">
        <v>14</v>
      </c>
      <c r="C406" s="46" t="s">
        <v>6131</v>
      </c>
      <c r="D406" s="49">
        <v>0</v>
      </c>
    </row>
    <row r="407" spans="1:4" x14ac:dyDescent="0.25">
      <c r="A407" s="46" t="s">
        <v>6533</v>
      </c>
      <c r="B407" s="46" t="s">
        <v>14</v>
      </c>
      <c r="C407" s="46" t="s">
        <v>6131</v>
      </c>
      <c r="D407" s="49">
        <v>0</v>
      </c>
    </row>
    <row r="408" spans="1:4" x14ac:dyDescent="0.25">
      <c r="A408" s="46" t="s">
        <v>6534</v>
      </c>
      <c r="B408" s="46" t="s">
        <v>14</v>
      </c>
      <c r="C408" s="46" t="s">
        <v>6131</v>
      </c>
      <c r="D408" s="49">
        <v>0</v>
      </c>
    </row>
    <row r="409" spans="1:4" x14ac:dyDescent="0.25">
      <c r="A409" s="46" t="s">
        <v>6535</v>
      </c>
      <c r="B409" s="46" t="s">
        <v>14</v>
      </c>
      <c r="C409" s="46" t="s">
        <v>6131</v>
      </c>
      <c r="D409" s="49">
        <v>0</v>
      </c>
    </row>
    <row r="410" spans="1:4" x14ac:dyDescent="0.25">
      <c r="A410" s="46" t="s">
        <v>6536</v>
      </c>
      <c r="B410" s="46" t="s">
        <v>14</v>
      </c>
      <c r="C410" s="46" t="s">
        <v>6131</v>
      </c>
      <c r="D410" s="49">
        <v>0</v>
      </c>
    </row>
    <row r="411" spans="1:4" x14ac:dyDescent="0.25">
      <c r="A411" s="46" t="s">
        <v>6537</v>
      </c>
      <c r="B411" s="46" t="s">
        <v>14</v>
      </c>
      <c r="C411" s="46" t="s">
        <v>6131</v>
      </c>
      <c r="D411" s="49">
        <v>0</v>
      </c>
    </row>
    <row r="412" spans="1:4" x14ac:dyDescent="0.25">
      <c r="A412" s="46" t="s">
        <v>6538</v>
      </c>
      <c r="B412" s="46" t="s">
        <v>14</v>
      </c>
      <c r="C412" s="46" t="s">
        <v>6131</v>
      </c>
      <c r="D412" s="49">
        <v>0</v>
      </c>
    </row>
    <row r="413" spans="1:4" x14ac:dyDescent="0.25">
      <c r="A413" s="46" t="s">
        <v>6539</v>
      </c>
      <c r="B413" s="46" t="s">
        <v>14</v>
      </c>
      <c r="C413" s="46" t="s">
        <v>6131</v>
      </c>
      <c r="D413" s="49">
        <v>0</v>
      </c>
    </row>
    <row r="414" spans="1:4" x14ac:dyDescent="0.25">
      <c r="A414" s="46" t="s">
        <v>6540</v>
      </c>
      <c r="B414" s="46" t="s">
        <v>14</v>
      </c>
      <c r="C414" s="46" t="s">
        <v>6131</v>
      </c>
      <c r="D414" s="49">
        <v>0</v>
      </c>
    </row>
    <row r="415" spans="1:4" x14ac:dyDescent="0.25">
      <c r="A415" s="46" t="s">
        <v>6541</v>
      </c>
      <c r="B415" s="46" t="s">
        <v>14</v>
      </c>
      <c r="C415" s="46" t="s">
        <v>6131</v>
      </c>
      <c r="D415" s="49">
        <v>0</v>
      </c>
    </row>
    <row r="416" spans="1:4" x14ac:dyDescent="0.25">
      <c r="A416" s="46" t="s">
        <v>6542</v>
      </c>
      <c r="B416" s="46" t="s">
        <v>14</v>
      </c>
      <c r="C416" s="46" t="s">
        <v>6131</v>
      </c>
      <c r="D416" s="49">
        <v>0</v>
      </c>
    </row>
    <row r="417" spans="1:4" x14ac:dyDescent="0.25">
      <c r="A417" s="46" t="s">
        <v>6543</v>
      </c>
      <c r="B417" s="46" t="s">
        <v>14</v>
      </c>
      <c r="C417" s="46" t="s">
        <v>6131</v>
      </c>
      <c r="D417" s="49">
        <v>0</v>
      </c>
    </row>
    <row r="418" spans="1:4" x14ac:dyDescent="0.25">
      <c r="A418" s="46" t="s">
        <v>6544</v>
      </c>
      <c r="B418" s="46" t="s">
        <v>14</v>
      </c>
      <c r="C418" s="46" t="s">
        <v>6131</v>
      </c>
      <c r="D418" s="49">
        <v>0</v>
      </c>
    </row>
    <row r="419" spans="1:4" x14ac:dyDescent="0.25">
      <c r="A419" s="46" t="s">
        <v>6545</v>
      </c>
      <c r="B419" s="46" t="s">
        <v>14</v>
      </c>
      <c r="C419" s="46" t="s">
        <v>6131</v>
      </c>
      <c r="D419" s="49">
        <v>0</v>
      </c>
    </row>
    <row r="420" spans="1:4" x14ac:dyDescent="0.25">
      <c r="A420" s="46" t="s">
        <v>6546</v>
      </c>
      <c r="B420" s="46" t="s">
        <v>14</v>
      </c>
      <c r="C420" s="46" t="s">
        <v>6131</v>
      </c>
      <c r="D420" s="49">
        <v>0</v>
      </c>
    </row>
    <row r="421" spans="1:4" x14ac:dyDescent="0.25">
      <c r="A421" s="46" t="s">
        <v>6547</v>
      </c>
      <c r="B421" s="46" t="s">
        <v>14</v>
      </c>
      <c r="C421" s="46" t="s">
        <v>6131</v>
      </c>
      <c r="D421" s="49">
        <v>0</v>
      </c>
    </row>
    <row r="422" spans="1:4" x14ac:dyDescent="0.25">
      <c r="A422" s="46" t="s">
        <v>6548</v>
      </c>
      <c r="B422" s="46" t="s">
        <v>14</v>
      </c>
      <c r="C422" s="46" t="s">
        <v>6131</v>
      </c>
      <c r="D422" s="49">
        <v>0</v>
      </c>
    </row>
    <row r="423" spans="1:4" x14ac:dyDescent="0.25">
      <c r="A423" s="46" t="s">
        <v>6549</v>
      </c>
      <c r="B423" s="46" t="s">
        <v>14</v>
      </c>
      <c r="C423" s="46" t="s">
        <v>6131</v>
      </c>
      <c r="D423" s="49">
        <v>0</v>
      </c>
    </row>
    <row r="424" spans="1:4" x14ac:dyDescent="0.25">
      <c r="A424" s="46" t="s">
        <v>6550</v>
      </c>
      <c r="B424" s="46" t="s">
        <v>14</v>
      </c>
      <c r="C424" s="46" t="s">
        <v>6131</v>
      </c>
      <c r="D424" s="49">
        <v>0</v>
      </c>
    </row>
    <row r="425" spans="1:4" x14ac:dyDescent="0.25">
      <c r="A425" s="46" t="s">
        <v>6551</v>
      </c>
      <c r="B425" s="46" t="s">
        <v>14</v>
      </c>
      <c r="C425" s="46" t="s">
        <v>6131</v>
      </c>
      <c r="D425" s="49">
        <v>0</v>
      </c>
    </row>
    <row r="426" spans="1:4" x14ac:dyDescent="0.25">
      <c r="A426" s="46" t="s">
        <v>6552</v>
      </c>
      <c r="B426" s="46" t="s">
        <v>14</v>
      </c>
      <c r="C426" s="46" t="s">
        <v>6131</v>
      </c>
      <c r="D426" s="49">
        <v>0</v>
      </c>
    </row>
    <row r="427" spans="1:4" x14ac:dyDescent="0.25">
      <c r="A427" s="46" t="s">
        <v>6553</v>
      </c>
      <c r="B427" s="46" t="s">
        <v>14</v>
      </c>
      <c r="C427" s="46" t="s">
        <v>6131</v>
      </c>
      <c r="D427" s="49">
        <v>0</v>
      </c>
    </row>
    <row r="428" spans="1:4" x14ac:dyDescent="0.25">
      <c r="A428" s="46" t="s">
        <v>6554</v>
      </c>
      <c r="B428" s="46" t="s">
        <v>14</v>
      </c>
      <c r="C428" s="46" t="s">
        <v>6131</v>
      </c>
      <c r="D428" s="49">
        <v>0</v>
      </c>
    </row>
    <row r="429" spans="1:4" x14ac:dyDescent="0.25">
      <c r="A429" s="46" t="s">
        <v>6555</v>
      </c>
      <c r="B429" s="46" t="s">
        <v>14</v>
      </c>
      <c r="C429" s="46" t="s">
        <v>6131</v>
      </c>
      <c r="D429" s="49">
        <v>0</v>
      </c>
    </row>
    <row r="430" spans="1:4" x14ac:dyDescent="0.25">
      <c r="A430" s="46" t="s">
        <v>6556</v>
      </c>
      <c r="B430" s="46" t="s">
        <v>14</v>
      </c>
      <c r="C430" s="46" t="s">
        <v>6131</v>
      </c>
      <c r="D430" s="49">
        <v>0</v>
      </c>
    </row>
    <row r="431" spans="1:4" x14ac:dyDescent="0.25">
      <c r="A431" s="46" t="s">
        <v>6557</v>
      </c>
      <c r="B431" s="46" t="s">
        <v>14</v>
      </c>
      <c r="C431" s="46" t="s">
        <v>6131</v>
      </c>
      <c r="D431" s="49">
        <v>0</v>
      </c>
    </row>
    <row r="432" spans="1:4" x14ac:dyDescent="0.25">
      <c r="A432" s="46" t="s">
        <v>6558</v>
      </c>
      <c r="B432" s="46" t="s">
        <v>14</v>
      </c>
      <c r="C432" s="46" t="s">
        <v>6131</v>
      </c>
      <c r="D432" s="49">
        <v>0</v>
      </c>
    </row>
    <row r="433" spans="1:4" x14ac:dyDescent="0.25">
      <c r="A433" s="46" t="s">
        <v>6559</v>
      </c>
      <c r="B433" s="46" t="s">
        <v>14</v>
      </c>
      <c r="C433" s="46" t="s">
        <v>6131</v>
      </c>
      <c r="D433" s="49">
        <v>0</v>
      </c>
    </row>
    <row r="434" spans="1:4" x14ac:dyDescent="0.25">
      <c r="A434" s="46" t="s">
        <v>6560</v>
      </c>
      <c r="B434" s="46" t="s">
        <v>14</v>
      </c>
      <c r="C434" s="46" t="s">
        <v>6131</v>
      </c>
      <c r="D434" s="49">
        <v>0</v>
      </c>
    </row>
    <row r="435" spans="1:4" x14ac:dyDescent="0.25">
      <c r="A435" s="46" t="s">
        <v>6561</v>
      </c>
      <c r="B435" s="46" t="s">
        <v>14</v>
      </c>
      <c r="C435" s="46" t="s">
        <v>6131</v>
      </c>
      <c r="D435" s="49">
        <v>0</v>
      </c>
    </row>
    <row r="436" spans="1:4" x14ac:dyDescent="0.25">
      <c r="A436" s="46" t="s">
        <v>6562</v>
      </c>
      <c r="B436" s="46" t="s">
        <v>14</v>
      </c>
      <c r="C436" s="46" t="s">
        <v>6131</v>
      </c>
      <c r="D436" s="49">
        <v>0</v>
      </c>
    </row>
    <row r="437" spans="1:4" x14ac:dyDescent="0.25">
      <c r="A437" s="46" t="s">
        <v>6563</v>
      </c>
      <c r="B437" s="46" t="s">
        <v>14</v>
      </c>
      <c r="C437" s="46" t="s">
        <v>6131</v>
      </c>
      <c r="D437" s="49">
        <v>0</v>
      </c>
    </row>
    <row r="438" spans="1:4" x14ac:dyDescent="0.25">
      <c r="A438" s="46" t="s">
        <v>6564</v>
      </c>
      <c r="B438" s="46" t="s">
        <v>14</v>
      </c>
      <c r="C438" s="46" t="s">
        <v>6131</v>
      </c>
      <c r="D438" s="49">
        <v>0</v>
      </c>
    </row>
    <row r="439" spans="1:4" x14ac:dyDescent="0.25">
      <c r="A439" s="46" t="s">
        <v>6565</v>
      </c>
      <c r="B439" s="46" t="s">
        <v>14</v>
      </c>
      <c r="C439" s="46" t="s">
        <v>6131</v>
      </c>
      <c r="D439" s="49">
        <v>0</v>
      </c>
    </row>
    <row r="440" spans="1:4" x14ac:dyDescent="0.25">
      <c r="A440" s="46" t="s">
        <v>6566</v>
      </c>
      <c r="B440" s="46" t="s">
        <v>14</v>
      </c>
      <c r="C440" s="46" t="s">
        <v>6131</v>
      </c>
      <c r="D440" s="49">
        <v>0</v>
      </c>
    </row>
    <row r="441" spans="1:4" x14ac:dyDescent="0.25">
      <c r="A441" s="46" t="s">
        <v>6567</v>
      </c>
      <c r="B441" s="46" t="s">
        <v>14</v>
      </c>
      <c r="C441" s="46" t="s">
        <v>6131</v>
      </c>
      <c r="D441" s="49">
        <v>0</v>
      </c>
    </row>
    <row r="442" spans="1:4" x14ac:dyDescent="0.25">
      <c r="A442" s="46" t="s">
        <v>6568</v>
      </c>
      <c r="B442" s="46" t="s">
        <v>14</v>
      </c>
      <c r="C442" s="46" t="s">
        <v>6131</v>
      </c>
      <c r="D442" s="49">
        <v>0</v>
      </c>
    </row>
    <row r="443" spans="1:4" x14ac:dyDescent="0.25">
      <c r="A443" s="46" t="s">
        <v>6569</v>
      </c>
      <c r="B443" s="46" t="s">
        <v>14</v>
      </c>
      <c r="C443" s="46" t="s">
        <v>6131</v>
      </c>
      <c r="D443" s="49">
        <v>0</v>
      </c>
    </row>
    <row r="444" spans="1:4" x14ac:dyDescent="0.25">
      <c r="A444" s="46" t="s">
        <v>6570</v>
      </c>
      <c r="B444" s="46" t="s">
        <v>14</v>
      </c>
      <c r="C444" s="46" t="s">
        <v>6131</v>
      </c>
      <c r="D444" s="49">
        <v>0</v>
      </c>
    </row>
    <row r="445" spans="1:4" x14ac:dyDescent="0.25">
      <c r="A445" s="46" t="s">
        <v>6571</v>
      </c>
      <c r="B445" s="46" t="s">
        <v>14</v>
      </c>
      <c r="C445" s="46" t="s">
        <v>6131</v>
      </c>
      <c r="D445" s="49">
        <v>0</v>
      </c>
    </row>
    <row r="446" spans="1:4" x14ac:dyDescent="0.25">
      <c r="A446" s="46" t="s">
        <v>6572</v>
      </c>
      <c r="B446" s="46" t="s">
        <v>14</v>
      </c>
      <c r="C446" s="46" t="s">
        <v>6131</v>
      </c>
      <c r="D446" s="49">
        <v>0</v>
      </c>
    </row>
    <row r="447" spans="1:4" x14ac:dyDescent="0.25">
      <c r="A447" s="46" t="s">
        <v>6573</v>
      </c>
      <c r="B447" s="46" t="s">
        <v>14</v>
      </c>
      <c r="C447" s="46" t="s">
        <v>6131</v>
      </c>
      <c r="D447" s="49">
        <v>0</v>
      </c>
    </row>
    <row r="448" spans="1:4" x14ac:dyDescent="0.25">
      <c r="A448" s="46" t="s">
        <v>6574</v>
      </c>
      <c r="B448" s="46" t="s">
        <v>14</v>
      </c>
      <c r="C448" s="46" t="s">
        <v>6131</v>
      </c>
      <c r="D448" s="49">
        <v>0</v>
      </c>
    </row>
    <row r="449" spans="1:4" x14ac:dyDescent="0.25">
      <c r="A449" s="46" t="s">
        <v>6575</v>
      </c>
      <c r="B449" s="46" t="s">
        <v>14</v>
      </c>
      <c r="C449" s="46" t="s">
        <v>6131</v>
      </c>
      <c r="D449" s="49">
        <v>0</v>
      </c>
    </row>
    <row r="450" spans="1:4" x14ac:dyDescent="0.25">
      <c r="A450" s="46" t="s">
        <v>6576</v>
      </c>
      <c r="B450" s="46" t="s">
        <v>14</v>
      </c>
      <c r="C450" s="46" t="s">
        <v>6131</v>
      </c>
      <c r="D450" s="49">
        <v>0</v>
      </c>
    </row>
    <row r="451" spans="1:4" x14ac:dyDescent="0.25">
      <c r="A451" s="46" t="s">
        <v>6577</v>
      </c>
      <c r="B451" s="46" t="s">
        <v>14</v>
      </c>
      <c r="C451" s="46" t="s">
        <v>6131</v>
      </c>
      <c r="D451" s="49">
        <v>0</v>
      </c>
    </row>
    <row r="452" spans="1:4" x14ac:dyDescent="0.25">
      <c r="A452" s="46" t="s">
        <v>6578</v>
      </c>
      <c r="B452" s="46" t="s">
        <v>14</v>
      </c>
      <c r="C452" s="46" t="s">
        <v>6131</v>
      </c>
      <c r="D452" s="49">
        <v>0</v>
      </c>
    </row>
    <row r="453" spans="1:4" x14ac:dyDescent="0.25">
      <c r="A453" s="46" t="s">
        <v>6579</v>
      </c>
      <c r="B453" s="46" t="s">
        <v>14</v>
      </c>
      <c r="C453" s="46" t="s">
        <v>6131</v>
      </c>
      <c r="D453" s="49">
        <v>0</v>
      </c>
    </row>
    <row r="454" spans="1:4" x14ac:dyDescent="0.25">
      <c r="A454" s="46" t="s">
        <v>6580</v>
      </c>
      <c r="B454" s="46" t="s">
        <v>14</v>
      </c>
      <c r="C454" s="46" t="s">
        <v>6131</v>
      </c>
      <c r="D454" s="49">
        <v>0</v>
      </c>
    </row>
    <row r="455" spans="1:4" x14ac:dyDescent="0.25">
      <c r="A455" s="46" t="s">
        <v>6581</v>
      </c>
      <c r="B455" s="46" t="s">
        <v>14</v>
      </c>
      <c r="C455" s="46" t="s">
        <v>6131</v>
      </c>
      <c r="D455" s="49">
        <v>0</v>
      </c>
    </row>
    <row r="456" spans="1:4" x14ac:dyDescent="0.25">
      <c r="A456" s="46" t="s">
        <v>6582</v>
      </c>
      <c r="B456" s="46" t="s">
        <v>14</v>
      </c>
      <c r="C456" s="46" t="s">
        <v>6131</v>
      </c>
      <c r="D456" s="49">
        <v>0</v>
      </c>
    </row>
    <row r="457" spans="1:4" x14ac:dyDescent="0.25">
      <c r="A457" s="46" t="s">
        <v>6583</v>
      </c>
      <c r="B457" s="46" t="s">
        <v>14</v>
      </c>
      <c r="C457" s="46" t="s">
        <v>6131</v>
      </c>
      <c r="D457" s="49">
        <v>0</v>
      </c>
    </row>
    <row r="458" spans="1:4" x14ac:dyDescent="0.25">
      <c r="A458" s="46" t="s">
        <v>6584</v>
      </c>
      <c r="B458" s="46" t="s">
        <v>14</v>
      </c>
      <c r="C458" s="46" t="s">
        <v>6131</v>
      </c>
      <c r="D458" s="49">
        <v>0</v>
      </c>
    </row>
    <row r="459" spans="1:4" x14ac:dyDescent="0.25">
      <c r="A459" s="46" t="s">
        <v>6585</v>
      </c>
      <c r="B459" s="46" t="s">
        <v>14</v>
      </c>
      <c r="C459" s="46" t="s">
        <v>6131</v>
      </c>
      <c r="D459" s="49">
        <v>0</v>
      </c>
    </row>
    <row r="460" spans="1:4" x14ac:dyDescent="0.25">
      <c r="A460" s="46" t="s">
        <v>6586</v>
      </c>
      <c r="B460" s="46" t="s">
        <v>14</v>
      </c>
      <c r="C460" s="46" t="s">
        <v>6131</v>
      </c>
      <c r="D460" s="49">
        <v>0</v>
      </c>
    </row>
    <row r="461" spans="1:4" x14ac:dyDescent="0.25">
      <c r="A461" s="46" t="s">
        <v>6587</v>
      </c>
      <c r="B461" s="46" t="s">
        <v>14</v>
      </c>
      <c r="C461" s="46" t="s">
        <v>6131</v>
      </c>
      <c r="D461" s="49">
        <v>0</v>
      </c>
    </row>
    <row r="462" spans="1:4" x14ac:dyDescent="0.25">
      <c r="A462" s="46" t="s">
        <v>6588</v>
      </c>
      <c r="B462" s="46" t="s">
        <v>14</v>
      </c>
      <c r="C462" s="46" t="s">
        <v>6131</v>
      </c>
      <c r="D462" s="49">
        <v>0</v>
      </c>
    </row>
    <row r="463" spans="1:4" x14ac:dyDescent="0.25">
      <c r="A463" s="46" t="s">
        <v>6589</v>
      </c>
      <c r="B463" s="46" t="s">
        <v>14</v>
      </c>
      <c r="C463" s="46" t="s">
        <v>6131</v>
      </c>
      <c r="D463" s="49">
        <v>0</v>
      </c>
    </row>
    <row r="464" spans="1:4" x14ac:dyDescent="0.25">
      <c r="A464" s="46" t="s">
        <v>6590</v>
      </c>
      <c r="B464" s="46" t="s">
        <v>14</v>
      </c>
      <c r="C464" s="46" t="s">
        <v>6131</v>
      </c>
      <c r="D464" s="49">
        <v>0</v>
      </c>
    </row>
    <row r="465" spans="1:4" x14ac:dyDescent="0.25">
      <c r="A465" s="46" t="s">
        <v>6591</v>
      </c>
      <c r="B465" s="46" t="s">
        <v>14</v>
      </c>
      <c r="C465" s="46" t="s">
        <v>6131</v>
      </c>
      <c r="D465" s="49">
        <v>0</v>
      </c>
    </row>
    <row r="466" spans="1:4" x14ac:dyDescent="0.25">
      <c r="A466" s="46" t="s">
        <v>6592</v>
      </c>
      <c r="B466" s="46" t="s">
        <v>14</v>
      </c>
      <c r="C466" s="46" t="s">
        <v>6131</v>
      </c>
      <c r="D466" s="49">
        <v>0</v>
      </c>
    </row>
    <row r="467" spans="1:4" x14ac:dyDescent="0.25">
      <c r="A467" s="46" t="s">
        <v>6593</v>
      </c>
      <c r="B467" s="46" t="s">
        <v>14</v>
      </c>
      <c r="C467" s="46" t="s">
        <v>6131</v>
      </c>
      <c r="D467" s="49">
        <v>0</v>
      </c>
    </row>
    <row r="468" spans="1:4" x14ac:dyDescent="0.25">
      <c r="A468" s="46" t="s">
        <v>6594</v>
      </c>
      <c r="B468" s="46" t="s">
        <v>14</v>
      </c>
      <c r="C468" s="46" t="s">
        <v>6131</v>
      </c>
      <c r="D468" s="49">
        <v>0</v>
      </c>
    </row>
    <row r="469" spans="1:4" x14ac:dyDescent="0.25">
      <c r="A469" s="46" t="s">
        <v>6595</v>
      </c>
      <c r="B469" s="46" t="s">
        <v>14</v>
      </c>
      <c r="C469" s="46" t="s">
        <v>6131</v>
      </c>
      <c r="D469" s="49">
        <v>0</v>
      </c>
    </row>
    <row r="470" spans="1:4" x14ac:dyDescent="0.25">
      <c r="A470" s="46" t="s">
        <v>6596</v>
      </c>
      <c r="B470" s="46" t="s">
        <v>14</v>
      </c>
      <c r="C470" s="46" t="s">
        <v>6131</v>
      </c>
      <c r="D470" s="49">
        <v>0</v>
      </c>
    </row>
    <row r="471" spans="1:4" x14ac:dyDescent="0.25">
      <c r="A471" s="46" t="s">
        <v>6597</v>
      </c>
      <c r="B471" s="46" t="s">
        <v>14</v>
      </c>
      <c r="C471" s="46" t="s">
        <v>6131</v>
      </c>
      <c r="D471" s="49">
        <v>0</v>
      </c>
    </row>
    <row r="472" spans="1:4" x14ac:dyDescent="0.25">
      <c r="A472" s="46" t="s">
        <v>6598</v>
      </c>
      <c r="B472" s="46" t="s">
        <v>14</v>
      </c>
      <c r="C472" s="46" t="s">
        <v>6131</v>
      </c>
      <c r="D472" s="49">
        <v>0</v>
      </c>
    </row>
    <row r="473" spans="1:4" x14ac:dyDescent="0.25">
      <c r="A473" s="46" t="s">
        <v>6599</v>
      </c>
      <c r="B473" s="46" t="s">
        <v>14</v>
      </c>
      <c r="C473" s="46" t="s">
        <v>6131</v>
      </c>
      <c r="D473" s="49">
        <v>0</v>
      </c>
    </row>
    <row r="474" spans="1:4" x14ac:dyDescent="0.25">
      <c r="A474" s="46" t="s">
        <v>6600</v>
      </c>
      <c r="B474" s="46" t="s">
        <v>14</v>
      </c>
      <c r="C474" s="46" t="s">
        <v>6131</v>
      </c>
      <c r="D474" s="49">
        <v>0</v>
      </c>
    </row>
    <row r="475" spans="1:4" x14ac:dyDescent="0.25">
      <c r="A475" s="46" t="s">
        <v>6601</v>
      </c>
      <c r="B475" s="46" t="s">
        <v>14</v>
      </c>
      <c r="C475" s="46" t="s">
        <v>6131</v>
      </c>
      <c r="D475" s="49">
        <v>0</v>
      </c>
    </row>
    <row r="476" spans="1:4" x14ac:dyDescent="0.25">
      <c r="A476" s="46" t="s">
        <v>6602</v>
      </c>
      <c r="B476" s="46" t="s">
        <v>14</v>
      </c>
      <c r="C476" s="46" t="s">
        <v>6131</v>
      </c>
      <c r="D476" s="49">
        <v>0</v>
      </c>
    </row>
    <row r="477" spans="1:4" x14ac:dyDescent="0.25">
      <c r="A477" s="46" t="s">
        <v>6603</v>
      </c>
      <c r="B477" s="46" t="s">
        <v>14</v>
      </c>
      <c r="C477" s="46" t="s">
        <v>6131</v>
      </c>
      <c r="D477" s="49">
        <v>0</v>
      </c>
    </row>
    <row r="478" spans="1:4" x14ac:dyDescent="0.25">
      <c r="A478" s="46" t="s">
        <v>6604</v>
      </c>
      <c r="B478" s="46" t="s">
        <v>14</v>
      </c>
      <c r="C478" s="46" t="s">
        <v>6131</v>
      </c>
      <c r="D478" s="49">
        <v>0</v>
      </c>
    </row>
    <row r="479" spans="1:4" x14ac:dyDescent="0.25">
      <c r="A479" s="46" t="s">
        <v>6605</v>
      </c>
      <c r="B479" s="46" t="s">
        <v>14</v>
      </c>
      <c r="C479" s="46" t="s">
        <v>6131</v>
      </c>
      <c r="D479" s="49">
        <v>0</v>
      </c>
    </row>
    <row r="480" spans="1:4" x14ac:dyDescent="0.25">
      <c r="A480" s="46" t="s">
        <v>6606</v>
      </c>
      <c r="B480" s="46" t="s">
        <v>14</v>
      </c>
      <c r="C480" s="46" t="s">
        <v>6131</v>
      </c>
      <c r="D480" s="49">
        <v>0</v>
      </c>
    </row>
    <row r="481" spans="1:4" x14ac:dyDescent="0.25">
      <c r="A481" s="46" t="s">
        <v>6607</v>
      </c>
      <c r="B481" s="46" t="s">
        <v>14</v>
      </c>
      <c r="C481" s="46" t="s">
        <v>6131</v>
      </c>
      <c r="D481" s="49">
        <v>0</v>
      </c>
    </row>
    <row r="482" spans="1:4" x14ac:dyDescent="0.25">
      <c r="A482" s="46" t="s">
        <v>6608</v>
      </c>
      <c r="B482" s="46" t="s">
        <v>14</v>
      </c>
      <c r="C482" s="46" t="s">
        <v>6131</v>
      </c>
      <c r="D482" s="49">
        <v>0</v>
      </c>
    </row>
    <row r="483" spans="1:4" x14ac:dyDescent="0.25">
      <c r="A483" s="46" t="s">
        <v>6609</v>
      </c>
      <c r="B483" s="46" t="s">
        <v>14</v>
      </c>
      <c r="C483" s="46" t="s">
        <v>6131</v>
      </c>
      <c r="D483" s="49">
        <v>0</v>
      </c>
    </row>
    <row r="484" spans="1:4" x14ac:dyDescent="0.25">
      <c r="A484" s="46" t="s">
        <v>6610</v>
      </c>
      <c r="B484" s="46" t="s">
        <v>14</v>
      </c>
      <c r="C484" s="46" t="s">
        <v>6131</v>
      </c>
      <c r="D484" s="49">
        <v>0</v>
      </c>
    </row>
    <row r="485" spans="1:4" x14ac:dyDescent="0.25">
      <c r="A485" s="46" t="s">
        <v>6611</v>
      </c>
      <c r="B485" s="46" t="s">
        <v>14</v>
      </c>
      <c r="C485" s="46" t="s">
        <v>6131</v>
      </c>
      <c r="D485" s="49">
        <v>0</v>
      </c>
    </row>
    <row r="486" spans="1:4" x14ac:dyDescent="0.25">
      <c r="A486" s="46" t="s">
        <v>6612</v>
      </c>
      <c r="B486" s="46" t="s">
        <v>14</v>
      </c>
      <c r="C486" s="46" t="s">
        <v>6131</v>
      </c>
      <c r="D486" s="49">
        <v>0</v>
      </c>
    </row>
    <row r="487" spans="1:4" x14ac:dyDescent="0.25">
      <c r="A487" s="46" t="s">
        <v>6613</v>
      </c>
      <c r="B487" s="46" t="s">
        <v>14</v>
      </c>
      <c r="C487" s="46" t="s">
        <v>6131</v>
      </c>
      <c r="D487" s="49">
        <v>0</v>
      </c>
    </row>
    <row r="488" spans="1:4" x14ac:dyDescent="0.25">
      <c r="A488" s="46" t="s">
        <v>6614</v>
      </c>
      <c r="B488" s="46" t="s">
        <v>14</v>
      </c>
      <c r="C488" s="46" t="s">
        <v>6131</v>
      </c>
      <c r="D488" s="49">
        <v>0</v>
      </c>
    </row>
    <row r="489" spans="1:4" x14ac:dyDescent="0.25">
      <c r="A489" s="46" t="s">
        <v>6615</v>
      </c>
      <c r="B489" s="46" t="s">
        <v>14</v>
      </c>
      <c r="C489" s="46" t="s">
        <v>6131</v>
      </c>
      <c r="D489" s="49">
        <v>0</v>
      </c>
    </row>
    <row r="490" spans="1:4" x14ac:dyDescent="0.25">
      <c r="A490" s="46" t="s">
        <v>6616</v>
      </c>
      <c r="B490" s="46" t="s">
        <v>14</v>
      </c>
      <c r="C490" s="46" t="s">
        <v>6131</v>
      </c>
      <c r="D490" s="49">
        <v>0</v>
      </c>
    </row>
    <row r="491" spans="1:4" x14ac:dyDescent="0.25">
      <c r="A491" s="46" t="s">
        <v>6617</v>
      </c>
      <c r="B491" s="46" t="s">
        <v>14</v>
      </c>
      <c r="C491" s="46" t="s">
        <v>6131</v>
      </c>
      <c r="D491" s="49">
        <v>0</v>
      </c>
    </row>
    <row r="492" spans="1:4" x14ac:dyDescent="0.25">
      <c r="A492" s="46" t="s">
        <v>6618</v>
      </c>
      <c r="B492" s="46" t="s">
        <v>14</v>
      </c>
      <c r="C492" s="46" t="s">
        <v>6131</v>
      </c>
      <c r="D492" s="49">
        <v>0</v>
      </c>
    </row>
    <row r="493" spans="1:4" x14ac:dyDescent="0.25">
      <c r="A493" s="46" t="s">
        <v>6619</v>
      </c>
      <c r="B493" s="46" t="s">
        <v>14</v>
      </c>
      <c r="C493" s="46" t="s">
        <v>6131</v>
      </c>
      <c r="D493" s="49">
        <v>0</v>
      </c>
    </row>
    <row r="494" spans="1:4" x14ac:dyDescent="0.25">
      <c r="A494" s="46" t="s">
        <v>6620</v>
      </c>
      <c r="B494" s="46" t="s">
        <v>14</v>
      </c>
      <c r="C494" s="46" t="s">
        <v>6131</v>
      </c>
      <c r="D494" s="49">
        <v>0</v>
      </c>
    </row>
    <row r="495" spans="1:4" x14ac:dyDescent="0.25">
      <c r="A495" s="46" t="s">
        <v>6621</v>
      </c>
      <c r="B495" s="46" t="s">
        <v>14</v>
      </c>
      <c r="C495" s="46" t="s">
        <v>6131</v>
      </c>
      <c r="D495" s="49">
        <v>0</v>
      </c>
    </row>
    <row r="496" spans="1:4" x14ac:dyDescent="0.25">
      <c r="A496" s="46" t="s">
        <v>6622</v>
      </c>
      <c r="B496" s="46" t="s">
        <v>14</v>
      </c>
      <c r="C496" s="46" t="s">
        <v>6131</v>
      </c>
      <c r="D496" s="49">
        <v>0</v>
      </c>
    </row>
    <row r="497" spans="1:4" x14ac:dyDescent="0.25">
      <c r="A497" s="46" t="s">
        <v>6623</v>
      </c>
      <c r="B497" s="46" t="s">
        <v>14</v>
      </c>
      <c r="C497" s="46" t="s">
        <v>6131</v>
      </c>
      <c r="D497" s="49">
        <v>0</v>
      </c>
    </row>
    <row r="498" spans="1:4" x14ac:dyDescent="0.25">
      <c r="A498" s="46" t="s">
        <v>6624</v>
      </c>
      <c r="B498" s="46" t="s">
        <v>14</v>
      </c>
      <c r="C498" s="46" t="s">
        <v>6131</v>
      </c>
      <c r="D498" s="49">
        <v>0</v>
      </c>
    </row>
    <row r="499" spans="1:4" x14ac:dyDescent="0.25">
      <c r="A499" s="46" t="s">
        <v>6625</v>
      </c>
      <c r="B499" s="46" t="s">
        <v>14</v>
      </c>
      <c r="C499" s="46" t="s">
        <v>6131</v>
      </c>
      <c r="D499" s="49">
        <v>0</v>
      </c>
    </row>
    <row r="500" spans="1:4" x14ac:dyDescent="0.25">
      <c r="A500" s="46" t="s">
        <v>6626</v>
      </c>
      <c r="B500" s="46" t="s">
        <v>14</v>
      </c>
      <c r="C500" s="46" t="s">
        <v>6131</v>
      </c>
      <c r="D500" s="49">
        <v>0</v>
      </c>
    </row>
    <row r="501" spans="1:4" x14ac:dyDescent="0.25">
      <c r="A501" s="46" t="s">
        <v>6627</v>
      </c>
      <c r="B501" s="46" t="s">
        <v>14</v>
      </c>
      <c r="C501" s="46" t="s">
        <v>6131</v>
      </c>
      <c r="D501" s="49">
        <v>0</v>
      </c>
    </row>
    <row r="502" spans="1:4" x14ac:dyDescent="0.25">
      <c r="A502" s="46" t="s">
        <v>6628</v>
      </c>
      <c r="B502" s="46" t="s">
        <v>14</v>
      </c>
      <c r="C502" s="46" t="s">
        <v>6131</v>
      </c>
      <c r="D502" s="49">
        <v>0</v>
      </c>
    </row>
    <row r="503" spans="1:4" x14ac:dyDescent="0.25">
      <c r="A503" s="46" t="s">
        <v>6629</v>
      </c>
      <c r="B503" s="46" t="s">
        <v>14</v>
      </c>
      <c r="C503" s="46" t="s">
        <v>6131</v>
      </c>
      <c r="D503" s="49">
        <v>0</v>
      </c>
    </row>
    <row r="504" spans="1:4" x14ac:dyDescent="0.25">
      <c r="A504" s="46" t="s">
        <v>6630</v>
      </c>
      <c r="B504" s="46" t="s">
        <v>14</v>
      </c>
      <c r="C504" s="46" t="s">
        <v>6131</v>
      </c>
      <c r="D504" s="49">
        <v>0</v>
      </c>
    </row>
    <row r="505" spans="1:4" x14ac:dyDescent="0.25">
      <c r="A505" s="46" t="s">
        <v>6631</v>
      </c>
      <c r="B505" s="46" t="s">
        <v>14</v>
      </c>
      <c r="C505" s="46" t="s">
        <v>6131</v>
      </c>
      <c r="D505" s="49">
        <v>0</v>
      </c>
    </row>
    <row r="506" spans="1:4" x14ac:dyDescent="0.25">
      <c r="A506" s="46" t="s">
        <v>6632</v>
      </c>
      <c r="B506" s="46" t="s">
        <v>14</v>
      </c>
      <c r="C506" s="46" t="s">
        <v>6131</v>
      </c>
      <c r="D506" s="49">
        <v>0</v>
      </c>
    </row>
    <row r="507" spans="1:4" x14ac:dyDescent="0.25">
      <c r="A507" s="46" t="s">
        <v>6633</v>
      </c>
      <c r="B507" s="46" t="s">
        <v>14</v>
      </c>
      <c r="C507" s="46" t="s">
        <v>6131</v>
      </c>
      <c r="D507" s="49">
        <v>0</v>
      </c>
    </row>
    <row r="508" spans="1:4" x14ac:dyDescent="0.25">
      <c r="A508" s="46" t="s">
        <v>6634</v>
      </c>
      <c r="B508" s="46" t="s">
        <v>14</v>
      </c>
      <c r="C508" s="46" t="s">
        <v>6131</v>
      </c>
      <c r="D508" s="49">
        <v>0</v>
      </c>
    </row>
    <row r="509" spans="1:4" x14ac:dyDescent="0.25">
      <c r="A509" s="46" t="s">
        <v>6635</v>
      </c>
      <c r="B509" s="46" t="s">
        <v>14</v>
      </c>
      <c r="C509" s="46" t="s">
        <v>6131</v>
      </c>
      <c r="D509" s="49">
        <v>0</v>
      </c>
    </row>
    <row r="510" spans="1:4" x14ac:dyDescent="0.25">
      <c r="A510" s="46" t="s">
        <v>6636</v>
      </c>
      <c r="B510" s="46" t="s">
        <v>14</v>
      </c>
      <c r="C510" s="46" t="s">
        <v>6131</v>
      </c>
      <c r="D510" s="49">
        <v>0</v>
      </c>
    </row>
    <row r="511" spans="1:4" x14ac:dyDescent="0.25">
      <c r="A511" s="46" t="s">
        <v>6637</v>
      </c>
      <c r="B511" s="46" t="s">
        <v>14</v>
      </c>
      <c r="C511" s="46" t="s">
        <v>6131</v>
      </c>
      <c r="D511" s="49">
        <v>0</v>
      </c>
    </row>
    <row r="512" spans="1:4" x14ac:dyDescent="0.25">
      <c r="A512" s="46" t="s">
        <v>6638</v>
      </c>
      <c r="B512" s="46" t="s">
        <v>14</v>
      </c>
      <c r="C512" s="46" t="s">
        <v>6131</v>
      </c>
      <c r="D512" s="49">
        <v>0</v>
      </c>
    </row>
    <row r="513" spans="1:4" x14ac:dyDescent="0.25">
      <c r="A513" s="46" t="s">
        <v>6639</v>
      </c>
      <c r="B513" s="46" t="s">
        <v>14</v>
      </c>
      <c r="C513" s="46" t="s">
        <v>6131</v>
      </c>
      <c r="D513" s="49">
        <v>0</v>
      </c>
    </row>
    <row r="514" spans="1:4" x14ac:dyDescent="0.25">
      <c r="A514" s="46" t="s">
        <v>6640</v>
      </c>
      <c r="B514" s="46" t="s">
        <v>14</v>
      </c>
      <c r="C514" s="46" t="s">
        <v>6131</v>
      </c>
      <c r="D514" s="49">
        <v>0</v>
      </c>
    </row>
    <row r="515" spans="1:4" x14ac:dyDescent="0.25">
      <c r="A515" s="46" t="s">
        <v>6641</v>
      </c>
      <c r="B515" s="46" t="s">
        <v>14</v>
      </c>
      <c r="C515" s="46" t="s">
        <v>6131</v>
      </c>
      <c r="D515" s="49">
        <v>0</v>
      </c>
    </row>
    <row r="516" spans="1:4" x14ac:dyDescent="0.25">
      <c r="A516" s="46" t="s">
        <v>6642</v>
      </c>
      <c r="B516" s="46" t="s">
        <v>14</v>
      </c>
      <c r="C516" s="46" t="s">
        <v>6131</v>
      </c>
      <c r="D516" s="49">
        <v>0</v>
      </c>
    </row>
    <row r="517" spans="1:4" x14ac:dyDescent="0.25">
      <c r="A517" s="46" t="s">
        <v>6643</v>
      </c>
      <c r="B517" s="46" t="s">
        <v>14</v>
      </c>
      <c r="C517" s="46" t="s">
        <v>6131</v>
      </c>
      <c r="D517" s="49">
        <v>0</v>
      </c>
    </row>
    <row r="518" spans="1:4" x14ac:dyDescent="0.25">
      <c r="A518" s="46" t="s">
        <v>6644</v>
      </c>
      <c r="B518" s="46" t="s">
        <v>14</v>
      </c>
      <c r="C518" s="46" t="s">
        <v>6131</v>
      </c>
      <c r="D518" s="49">
        <v>0</v>
      </c>
    </row>
    <row r="519" spans="1:4" x14ac:dyDescent="0.25">
      <c r="A519" s="46" t="s">
        <v>6645</v>
      </c>
      <c r="B519" s="46" t="s">
        <v>14</v>
      </c>
      <c r="C519" s="46" t="s">
        <v>6131</v>
      </c>
      <c r="D519" s="49">
        <v>0</v>
      </c>
    </row>
    <row r="520" spans="1:4" x14ac:dyDescent="0.25">
      <c r="A520" s="46" t="s">
        <v>6646</v>
      </c>
      <c r="B520" s="46" t="s">
        <v>14</v>
      </c>
      <c r="C520" s="46" t="s">
        <v>6131</v>
      </c>
      <c r="D520" s="49">
        <v>0</v>
      </c>
    </row>
    <row r="521" spans="1:4" x14ac:dyDescent="0.25">
      <c r="A521" s="46" t="s">
        <v>6647</v>
      </c>
      <c r="B521" s="46" t="s">
        <v>14</v>
      </c>
      <c r="C521" s="46" t="s">
        <v>6131</v>
      </c>
      <c r="D521" s="49">
        <v>0</v>
      </c>
    </row>
    <row r="522" spans="1:4" x14ac:dyDescent="0.25">
      <c r="A522" s="46" t="s">
        <v>6648</v>
      </c>
      <c r="B522" s="46" t="s">
        <v>14</v>
      </c>
      <c r="C522" s="46" t="s">
        <v>6131</v>
      </c>
      <c r="D522" s="49">
        <v>0</v>
      </c>
    </row>
    <row r="523" spans="1:4" x14ac:dyDescent="0.25">
      <c r="A523" s="46" t="s">
        <v>6649</v>
      </c>
      <c r="B523" s="46" t="s">
        <v>14</v>
      </c>
      <c r="C523" s="46" t="s">
        <v>6131</v>
      </c>
      <c r="D523" s="49">
        <v>0</v>
      </c>
    </row>
    <row r="524" spans="1:4" x14ac:dyDescent="0.25">
      <c r="A524" s="46" t="s">
        <v>6650</v>
      </c>
      <c r="B524" s="46" t="s">
        <v>14</v>
      </c>
      <c r="C524" s="46" t="s">
        <v>6131</v>
      </c>
      <c r="D524" s="49">
        <v>0</v>
      </c>
    </row>
    <row r="525" spans="1:4" x14ac:dyDescent="0.25">
      <c r="A525" s="46" t="s">
        <v>6651</v>
      </c>
      <c r="B525" s="46" t="s">
        <v>14</v>
      </c>
      <c r="C525" s="46" t="s">
        <v>6131</v>
      </c>
      <c r="D525" s="49">
        <v>0</v>
      </c>
    </row>
    <row r="526" spans="1:4" x14ac:dyDescent="0.25">
      <c r="A526" s="46" t="s">
        <v>6652</v>
      </c>
      <c r="B526" s="46" t="s">
        <v>14</v>
      </c>
      <c r="C526" s="46" t="s">
        <v>6131</v>
      </c>
      <c r="D526" s="49">
        <v>0</v>
      </c>
    </row>
    <row r="527" spans="1:4" x14ac:dyDescent="0.25">
      <c r="A527" s="46" t="s">
        <v>6653</v>
      </c>
      <c r="B527" s="46" t="s">
        <v>14</v>
      </c>
      <c r="C527" s="46" t="s">
        <v>6131</v>
      </c>
      <c r="D527" s="49">
        <v>0</v>
      </c>
    </row>
    <row r="528" spans="1:4" x14ac:dyDescent="0.25">
      <c r="A528" s="46" t="s">
        <v>6654</v>
      </c>
      <c r="B528" s="46" t="s">
        <v>14</v>
      </c>
      <c r="C528" s="46" t="s">
        <v>6131</v>
      </c>
      <c r="D528" s="49">
        <v>0</v>
      </c>
    </row>
    <row r="529" spans="1:4" x14ac:dyDescent="0.25">
      <c r="A529" s="46" t="s">
        <v>6655</v>
      </c>
      <c r="B529" s="46" t="s">
        <v>14</v>
      </c>
      <c r="C529" s="46" t="s">
        <v>6131</v>
      </c>
      <c r="D529" s="49">
        <v>0</v>
      </c>
    </row>
    <row r="530" spans="1:4" x14ac:dyDescent="0.25">
      <c r="A530" s="46" t="s">
        <v>6656</v>
      </c>
      <c r="B530" s="46" t="s">
        <v>14</v>
      </c>
      <c r="C530" s="46" t="s">
        <v>6131</v>
      </c>
      <c r="D530" s="49">
        <v>0</v>
      </c>
    </row>
    <row r="531" spans="1:4" x14ac:dyDescent="0.25">
      <c r="A531" s="46" t="s">
        <v>6657</v>
      </c>
      <c r="B531" s="46" t="s">
        <v>14</v>
      </c>
      <c r="C531" s="46" t="s">
        <v>6131</v>
      </c>
      <c r="D531" s="49">
        <v>0</v>
      </c>
    </row>
    <row r="532" spans="1:4" x14ac:dyDescent="0.25">
      <c r="A532" s="46" t="s">
        <v>6658</v>
      </c>
      <c r="B532" s="46" t="s">
        <v>14</v>
      </c>
      <c r="C532" s="46" t="s">
        <v>6131</v>
      </c>
      <c r="D532" s="49">
        <v>0</v>
      </c>
    </row>
    <row r="533" spans="1:4" x14ac:dyDescent="0.25">
      <c r="A533" s="46" t="s">
        <v>6659</v>
      </c>
      <c r="B533" s="46" t="s">
        <v>14</v>
      </c>
      <c r="C533" s="46" t="s">
        <v>6131</v>
      </c>
      <c r="D533" s="49">
        <v>0</v>
      </c>
    </row>
    <row r="534" spans="1:4" x14ac:dyDescent="0.25">
      <c r="A534" s="46" t="s">
        <v>6660</v>
      </c>
      <c r="B534" s="46" t="s">
        <v>14</v>
      </c>
      <c r="C534" s="46" t="s">
        <v>6131</v>
      </c>
      <c r="D534" s="49">
        <v>0</v>
      </c>
    </row>
    <row r="535" spans="1:4" x14ac:dyDescent="0.25">
      <c r="A535" s="46" t="s">
        <v>6661</v>
      </c>
      <c r="B535" s="46" t="s">
        <v>14</v>
      </c>
      <c r="C535" s="46" t="s">
        <v>6131</v>
      </c>
      <c r="D535" s="49">
        <v>0</v>
      </c>
    </row>
    <row r="536" spans="1:4" x14ac:dyDescent="0.25">
      <c r="A536" s="46" t="s">
        <v>6662</v>
      </c>
      <c r="B536" s="46" t="s">
        <v>14</v>
      </c>
      <c r="C536" s="46" t="s">
        <v>6131</v>
      </c>
      <c r="D536" s="49">
        <v>0</v>
      </c>
    </row>
    <row r="537" spans="1:4" x14ac:dyDescent="0.25">
      <c r="A537" s="46" t="s">
        <v>6663</v>
      </c>
      <c r="B537" s="46" t="s">
        <v>14</v>
      </c>
      <c r="C537" s="46" t="s">
        <v>6131</v>
      </c>
      <c r="D537" s="49">
        <v>0</v>
      </c>
    </row>
    <row r="538" spans="1:4" x14ac:dyDescent="0.25">
      <c r="A538" s="46" t="s">
        <v>6664</v>
      </c>
      <c r="B538" s="46" t="s">
        <v>14</v>
      </c>
      <c r="C538" s="46" t="s">
        <v>6131</v>
      </c>
      <c r="D538" s="49">
        <v>0</v>
      </c>
    </row>
    <row r="539" spans="1:4" x14ac:dyDescent="0.25">
      <c r="A539" s="46" t="s">
        <v>6665</v>
      </c>
      <c r="B539" s="46" t="s">
        <v>14</v>
      </c>
      <c r="C539" s="46" t="s">
        <v>6131</v>
      </c>
      <c r="D539" s="49">
        <v>0</v>
      </c>
    </row>
    <row r="540" spans="1:4" x14ac:dyDescent="0.25">
      <c r="A540" s="46" t="s">
        <v>6666</v>
      </c>
      <c r="B540" s="46" t="s">
        <v>14</v>
      </c>
      <c r="C540" s="46" t="s">
        <v>6131</v>
      </c>
      <c r="D540" s="49">
        <v>0</v>
      </c>
    </row>
    <row r="541" spans="1:4" x14ac:dyDescent="0.25">
      <c r="A541" s="46" t="s">
        <v>6667</v>
      </c>
      <c r="B541" s="46" t="s">
        <v>14</v>
      </c>
      <c r="C541" s="46" t="s">
        <v>6131</v>
      </c>
      <c r="D541" s="49">
        <v>0</v>
      </c>
    </row>
    <row r="542" spans="1:4" x14ac:dyDescent="0.25">
      <c r="A542" s="46" t="s">
        <v>6668</v>
      </c>
      <c r="B542" s="46" t="s">
        <v>14</v>
      </c>
      <c r="C542" s="46" t="s">
        <v>6131</v>
      </c>
      <c r="D542" s="49">
        <v>0</v>
      </c>
    </row>
    <row r="543" spans="1:4" x14ac:dyDescent="0.25">
      <c r="A543" s="46" t="s">
        <v>6669</v>
      </c>
      <c r="B543" s="46" t="s">
        <v>14</v>
      </c>
      <c r="C543" s="46" t="s">
        <v>6131</v>
      </c>
      <c r="D543" s="49">
        <v>0</v>
      </c>
    </row>
    <row r="544" spans="1:4" x14ac:dyDescent="0.25">
      <c r="A544" s="46" t="s">
        <v>6670</v>
      </c>
      <c r="B544" s="46" t="s">
        <v>14</v>
      </c>
      <c r="C544" s="46" t="s">
        <v>6131</v>
      </c>
      <c r="D544" s="49">
        <v>0</v>
      </c>
    </row>
    <row r="545" spans="1:4" x14ac:dyDescent="0.25">
      <c r="A545" s="46" t="s">
        <v>6671</v>
      </c>
      <c r="B545" s="46" t="s">
        <v>14</v>
      </c>
      <c r="C545" s="46" t="s">
        <v>6131</v>
      </c>
      <c r="D545" s="49">
        <v>0</v>
      </c>
    </row>
    <row r="546" spans="1:4" x14ac:dyDescent="0.25">
      <c r="A546" s="46" t="s">
        <v>6672</v>
      </c>
      <c r="B546" s="46" t="s">
        <v>14</v>
      </c>
      <c r="C546" s="46" t="s">
        <v>6131</v>
      </c>
      <c r="D546" s="49">
        <v>0</v>
      </c>
    </row>
    <row r="547" spans="1:4" x14ac:dyDescent="0.25">
      <c r="A547" s="46" t="s">
        <v>6673</v>
      </c>
      <c r="B547" s="46" t="s">
        <v>14</v>
      </c>
      <c r="C547" s="46" t="s">
        <v>6131</v>
      </c>
      <c r="D547" s="49">
        <v>0</v>
      </c>
    </row>
    <row r="548" spans="1:4" x14ac:dyDescent="0.25">
      <c r="A548" s="46" t="s">
        <v>6674</v>
      </c>
      <c r="B548" s="46" t="s">
        <v>14</v>
      </c>
      <c r="C548" s="46" t="s">
        <v>6131</v>
      </c>
      <c r="D548" s="49">
        <v>0</v>
      </c>
    </row>
    <row r="549" spans="1:4" x14ac:dyDescent="0.25">
      <c r="A549" s="46" t="s">
        <v>6675</v>
      </c>
      <c r="B549" s="46" t="s">
        <v>14</v>
      </c>
      <c r="C549" s="46" t="s">
        <v>6131</v>
      </c>
      <c r="D549" s="49">
        <v>0</v>
      </c>
    </row>
    <row r="550" spans="1:4" x14ac:dyDescent="0.25">
      <c r="A550" s="46" t="s">
        <v>6676</v>
      </c>
      <c r="B550" s="46" t="s">
        <v>14</v>
      </c>
      <c r="C550" s="46" t="s">
        <v>6131</v>
      </c>
      <c r="D550" s="49">
        <v>0</v>
      </c>
    </row>
    <row r="551" spans="1:4" x14ac:dyDescent="0.25">
      <c r="A551" s="46" t="s">
        <v>6677</v>
      </c>
      <c r="B551" s="46" t="s">
        <v>14</v>
      </c>
      <c r="C551" s="46" t="s">
        <v>6131</v>
      </c>
      <c r="D551" s="49">
        <v>0</v>
      </c>
    </row>
    <row r="552" spans="1:4" x14ac:dyDescent="0.25">
      <c r="A552" s="46" t="s">
        <v>6678</v>
      </c>
      <c r="B552" s="46" t="s">
        <v>14</v>
      </c>
      <c r="C552" s="46" t="s">
        <v>6131</v>
      </c>
      <c r="D552" s="49">
        <v>0</v>
      </c>
    </row>
    <row r="553" spans="1:4" x14ac:dyDescent="0.25">
      <c r="A553" s="46" t="s">
        <v>6679</v>
      </c>
      <c r="B553" s="46" t="s">
        <v>14</v>
      </c>
      <c r="C553" s="46" t="s">
        <v>6131</v>
      </c>
      <c r="D553" s="49">
        <v>0</v>
      </c>
    </row>
    <row r="554" spans="1:4" x14ac:dyDescent="0.25">
      <c r="A554" s="46" t="s">
        <v>6680</v>
      </c>
      <c r="B554" s="46" t="s">
        <v>14</v>
      </c>
      <c r="C554" s="46" t="s">
        <v>6131</v>
      </c>
      <c r="D554" s="49">
        <v>0</v>
      </c>
    </row>
    <row r="555" spans="1:4" x14ac:dyDescent="0.25">
      <c r="A555" s="46" t="s">
        <v>6681</v>
      </c>
      <c r="B555" s="46" t="s">
        <v>14</v>
      </c>
      <c r="C555" s="46" t="s">
        <v>6131</v>
      </c>
      <c r="D555" s="49">
        <v>0</v>
      </c>
    </row>
    <row r="556" spans="1:4" x14ac:dyDescent="0.25">
      <c r="A556" s="46" t="s">
        <v>6682</v>
      </c>
      <c r="B556" s="46" t="s">
        <v>14</v>
      </c>
      <c r="C556" s="46" t="s">
        <v>6131</v>
      </c>
      <c r="D556" s="49">
        <v>0</v>
      </c>
    </row>
    <row r="557" spans="1:4" x14ac:dyDescent="0.25">
      <c r="A557" s="46" t="s">
        <v>6683</v>
      </c>
      <c r="B557" s="46" t="s">
        <v>14</v>
      </c>
      <c r="C557" s="46" t="s">
        <v>6131</v>
      </c>
      <c r="D557" s="49">
        <v>0</v>
      </c>
    </row>
    <row r="558" spans="1:4" x14ac:dyDescent="0.25">
      <c r="A558" s="46" t="s">
        <v>6684</v>
      </c>
      <c r="B558" s="46" t="s">
        <v>14</v>
      </c>
      <c r="C558" s="46" t="s">
        <v>6131</v>
      </c>
      <c r="D558" s="49">
        <v>0</v>
      </c>
    </row>
    <row r="559" spans="1:4" x14ac:dyDescent="0.25">
      <c r="A559" s="46" t="s">
        <v>6685</v>
      </c>
      <c r="B559" s="46" t="s">
        <v>14</v>
      </c>
      <c r="C559" s="46" t="s">
        <v>6131</v>
      </c>
      <c r="D559" s="49">
        <v>0</v>
      </c>
    </row>
    <row r="560" spans="1:4" x14ac:dyDescent="0.25">
      <c r="A560" s="46" t="s">
        <v>6686</v>
      </c>
      <c r="B560" s="46" t="s">
        <v>14</v>
      </c>
      <c r="C560" s="46" t="s">
        <v>6131</v>
      </c>
      <c r="D560" s="49">
        <v>0</v>
      </c>
    </row>
    <row r="561" spans="1:4" x14ac:dyDescent="0.25">
      <c r="A561" s="46" t="s">
        <v>6687</v>
      </c>
      <c r="B561" s="46" t="s">
        <v>14</v>
      </c>
      <c r="C561" s="46" t="s">
        <v>6131</v>
      </c>
      <c r="D561" s="49">
        <v>0</v>
      </c>
    </row>
    <row r="562" spans="1:4" x14ac:dyDescent="0.25">
      <c r="A562" s="46" t="s">
        <v>6688</v>
      </c>
      <c r="B562" s="46" t="s">
        <v>14</v>
      </c>
      <c r="C562" s="46" t="s">
        <v>6131</v>
      </c>
      <c r="D562" s="49">
        <v>0</v>
      </c>
    </row>
    <row r="563" spans="1:4" x14ac:dyDescent="0.25">
      <c r="A563" s="46" t="s">
        <v>6689</v>
      </c>
      <c r="B563" s="46" t="s">
        <v>14</v>
      </c>
      <c r="C563" s="46" t="s">
        <v>6131</v>
      </c>
      <c r="D563" s="49">
        <v>0</v>
      </c>
    </row>
    <row r="564" spans="1:4" x14ac:dyDescent="0.25">
      <c r="A564" s="46" t="s">
        <v>6690</v>
      </c>
      <c r="B564" s="46" t="s">
        <v>14</v>
      </c>
      <c r="C564" s="46" t="s">
        <v>6131</v>
      </c>
      <c r="D564" s="49">
        <v>0</v>
      </c>
    </row>
    <row r="565" spans="1:4" x14ac:dyDescent="0.25">
      <c r="A565" s="46" t="s">
        <v>6691</v>
      </c>
      <c r="B565" s="46" t="s">
        <v>14</v>
      </c>
      <c r="C565" s="46" t="s">
        <v>6131</v>
      </c>
      <c r="D565" s="49">
        <v>0</v>
      </c>
    </row>
    <row r="566" spans="1:4" x14ac:dyDescent="0.25">
      <c r="A566" s="46" t="s">
        <v>6692</v>
      </c>
      <c r="B566" s="46" t="s">
        <v>14</v>
      </c>
      <c r="C566" s="46" t="s">
        <v>6131</v>
      </c>
      <c r="D566" s="49">
        <v>0</v>
      </c>
    </row>
    <row r="567" spans="1:4" x14ac:dyDescent="0.25">
      <c r="A567" s="46" t="s">
        <v>6693</v>
      </c>
      <c r="B567" s="46" t="s">
        <v>14</v>
      </c>
      <c r="C567" s="46" t="s">
        <v>6131</v>
      </c>
      <c r="D567" s="49">
        <v>0</v>
      </c>
    </row>
    <row r="568" spans="1:4" x14ac:dyDescent="0.25">
      <c r="A568" s="46" t="s">
        <v>6694</v>
      </c>
      <c r="B568" s="46" t="s">
        <v>14</v>
      </c>
      <c r="C568" s="46" t="s">
        <v>6131</v>
      </c>
      <c r="D568" s="49">
        <v>0</v>
      </c>
    </row>
    <row r="569" spans="1:4" x14ac:dyDescent="0.25">
      <c r="A569" s="46" t="s">
        <v>6695</v>
      </c>
      <c r="B569" s="46" t="s">
        <v>14</v>
      </c>
      <c r="C569" s="46" t="s">
        <v>6131</v>
      </c>
      <c r="D569" s="49">
        <v>0</v>
      </c>
    </row>
    <row r="570" spans="1:4" x14ac:dyDescent="0.25">
      <c r="A570" s="46" t="s">
        <v>6696</v>
      </c>
      <c r="B570" s="46" t="s">
        <v>14</v>
      </c>
      <c r="C570" s="46" t="s">
        <v>6131</v>
      </c>
      <c r="D570" s="49">
        <v>0</v>
      </c>
    </row>
    <row r="571" spans="1:4" x14ac:dyDescent="0.25">
      <c r="A571" s="46" t="s">
        <v>6697</v>
      </c>
      <c r="B571" s="46" t="s">
        <v>14</v>
      </c>
      <c r="C571" s="46" t="s">
        <v>6131</v>
      </c>
      <c r="D571" s="49">
        <v>0</v>
      </c>
    </row>
    <row r="572" spans="1:4" x14ac:dyDescent="0.25">
      <c r="A572" s="46" t="s">
        <v>6698</v>
      </c>
      <c r="B572" s="46" t="s">
        <v>14</v>
      </c>
      <c r="C572" s="46" t="s">
        <v>6131</v>
      </c>
      <c r="D572" s="49">
        <v>0</v>
      </c>
    </row>
    <row r="573" spans="1:4" x14ac:dyDescent="0.25">
      <c r="A573" s="46" t="s">
        <v>6699</v>
      </c>
      <c r="B573" s="46" t="s">
        <v>14</v>
      </c>
      <c r="C573" s="46" t="s">
        <v>6131</v>
      </c>
      <c r="D573" s="49">
        <v>0</v>
      </c>
    </row>
    <row r="574" spans="1:4" x14ac:dyDescent="0.25">
      <c r="A574" s="46" t="s">
        <v>6700</v>
      </c>
      <c r="B574" s="46" t="s">
        <v>14</v>
      </c>
      <c r="C574" s="46" t="s">
        <v>6131</v>
      </c>
      <c r="D574" s="49">
        <v>0</v>
      </c>
    </row>
    <row r="575" spans="1:4" x14ac:dyDescent="0.25">
      <c r="A575" s="46" t="s">
        <v>6701</v>
      </c>
      <c r="B575" s="46" t="s">
        <v>14</v>
      </c>
      <c r="C575" s="46" t="s">
        <v>6131</v>
      </c>
      <c r="D575" s="49">
        <v>0</v>
      </c>
    </row>
    <row r="576" spans="1:4" x14ac:dyDescent="0.25">
      <c r="A576" s="46" t="s">
        <v>6702</v>
      </c>
      <c r="B576" s="46" t="s">
        <v>14</v>
      </c>
      <c r="C576" s="46" t="s">
        <v>6131</v>
      </c>
      <c r="D576" s="49">
        <v>0</v>
      </c>
    </row>
    <row r="577" spans="1:4" x14ac:dyDescent="0.25">
      <c r="A577" s="46" t="s">
        <v>6703</v>
      </c>
      <c r="B577" s="46" t="s">
        <v>14</v>
      </c>
      <c r="C577" s="46" t="s">
        <v>6131</v>
      </c>
      <c r="D577" s="49">
        <v>0</v>
      </c>
    </row>
    <row r="578" spans="1:4" x14ac:dyDescent="0.25">
      <c r="A578" s="46" t="s">
        <v>6704</v>
      </c>
      <c r="B578" s="46" t="s">
        <v>14</v>
      </c>
      <c r="C578" s="46" t="s">
        <v>6131</v>
      </c>
      <c r="D578" s="49">
        <v>0</v>
      </c>
    </row>
    <row r="579" spans="1:4" x14ac:dyDescent="0.25">
      <c r="A579" s="46" t="s">
        <v>6705</v>
      </c>
      <c r="B579" s="46" t="s">
        <v>14</v>
      </c>
      <c r="C579" s="46" t="s">
        <v>6131</v>
      </c>
      <c r="D579" s="49">
        <v>0</v>
      </c>
    </row>
    <row r="580" spans="1:4" x14ac:dyDescent="0.25">
      <c r="A580" s="46" t="s">
        <v>6706</v>
      </c>
      <c r="B580" s="46" t="s">
        <v>14</v>
      </c>
      <c r="C580" s="46" t="s">
        <v>6131</v>
      </c>
      <c r="D580" s="49">
        <v>0</v>
      </c>
    </row>
    <row r="581" spans="1:4" x14ac:dyDescent="0.25">
      <c r="A581" s="46" t="s">
        <v>6707</v>
      </c>
      <c r="B581" s="46" t="s">
        <v>14</v>
      </c>
      <c r="C581" s="46" t="s">
        <v>6131</v>
      </c>
      <c r="D581" s="49">
        <v>0</v>
      </c>
    </row>
    <row r="582" spans="1:4" x14ac:dyDescent="0.25">
      <c r="A582" s="46" t="s">
        <v>6708</v>
      </c>
      <c r="B582" s="46" t="s">
        <v>14</v>
      </c>
      <c r="C582" s="46" t="s">
        <v>6131</v>
      </c>
      <c r="D582" s="49">
        <v>0</v>
      </c>
    </row>
    <row r="583" spans="1:4" x14ac:dyDescent="0.25">
      <c r="A583" s="46" t="s">
        <v>6709</v>
      </c>
      <c r="B583" s="46" t="s">
        <v>14</v>
      </c>
      <c r="C583" s="46" t="s">
        <v>6131</v>
      </c>
      <c r="D583" s="49">
        <v>0</v>
      </c>
    </row>
    <row r="584" spans="1:4" x14ac:dyDescent="0.25">
      <c r="A584" s="46" t="s">
        <v>6710</v>
      </c>
      <c r="B584" s="46" t="s">
        <v>14</v>
      </c>
      <c r="C584" s="46" t="s">
        <v>6131</v>
      </c>
      <c r="D584" s="49">
        <v>0</v>
      </c>
    </row>
    <row r="585" spans="1:4" x14ac:dyDescent="0.25">
      <c r="A585" s="46" t="s">
        <v>6711</v>
      </c>
      <c r="B585" s="46" t="s">
        <v>14</v>
      </c>
      <c r="C585" s="46" t="s">
        <v>6131</v>
      </c>
      <c r="D585" s="49">
        <v>0</v>
      </c>
    </row>
    <row r="586" spans="1:4" x14ac:dyDescent="0.25">
      <c r="A586" s="46" t="s">
        <v>6712</v>
      </c>
      <c r="B586" s="46" t="s">
        <v>14</v>
      </c>
      <c r="C586" s="46" t="s">
        <v>6131</v>
      </c>
      <c r="D586" s="49">
        <v>0</v>
      </c>
    </row>
    <row r="587" spans="1:4" x14ac:dyDescent="0.25">
      <c r="A587" s="46" t="s">
        <v>6713</v>
      </c>
      <c r="B587" s="46" t="s">
        <v>14</v>
      </c>
      <c r="C587" s="46" t="s">
        <v>6131</v>
      </c>
      <c r="D587" s="49">
        <v>0</v>
      </c>
    </row>
    <row r="588" spans="1:4" x14ac:dyDescent="0.25">
      <c r="A588" s="46" t="s">
        <v>6714</v>
      </c>
      <c r="B588" s="46" t="s">
        <v>14</v>
      </c>
      <c r="C588" s="46" t="s">
        <v>6131</v>
      </c>
      <c r="D588" s="49">
        <v>0</v>
      </c>
    </row>
    <row r="589" spans="1:4" x14ac:dyDescent="0.25">
      <c r="A589" s="46" t="s">
        <v>6715</v>
      </c>
      <c r="B589" s="46" t="s">
        <v>14</v>
      </c>
      <c r="C589" s="46" t="s">
        <v>6131</v>
      </c>
      <c r="D589" s="49">
        <v>0</v>
      </c>
    </row>
    <row r="590" spans="1:4" x14ac:dyDescent="0.25">
      <c r="A590" s="46" t="s">
        <v>6716</v>
      </c>
      <c r="B590" s="46" t="s">
        <v>14</v>
      </c>
      <c r="C590" s="46" t="s">
        <v>6131</v>
      </c>
      <c r="D590" s="49">
        <v>0</v>
      </c>
    </row>
    <row r="591" spans="1:4" x14ac:dyDescent="0.25">
      <c r="A591" s="46" t="s">
        <v>6717</v>
      </c>
      <c r="B591" s="46" t="s">
        <v>14</v>
      </c>
      <c r="C591" s="46" t="s">
        <v>6131</v>
      </c>
      <c r="D591" s="49">
        <v>0</v>
      </c>
    </row>
    <row r="592" spans="1:4" x14ac:dyDescent="0.25">
      <c r="A592" s="46" t="s">
        <v>6718</v>
      </c>
      <c r="B592" s="46" t="s">
        <v>14</v>
      </c>
      <c r="C592" s="46" t="s">
        <v>6131</v>
      </c>
      <c r="D592" s="49">
        <v>0</v>
      </c>
    </row>
    <row r="593" spans="1:4" x14ac:dyDescent="0.25">
      <c r="A593" s="46" t="s">
        <v>6719</v>
      </c>
      <c r="B593" s="46" t="s">
        <v>14</v>
      </c>
      <c r="C593" s="46" t="s">
        <v>6131</v>
      </c>
      <c r="D593" s="49">
        <v>0</v>
      </c>
    </row>
    <row r="594" spans="1:4" x14ac:dyDescent="0.25">
      <c r="A594" s="46" t="s">
        <v>6720</v>
      </c>
      <c r="B594" s="46" t="s">
        <v>14</v>
      </c>
      <c r="C594" s="46" t="s">
        <v>6131</v>
      </c>
      <c r="D594" s="49">
        <v>0</v>
      </c>
    </row>
    <row r="595" spans="1:4" x14ac:dyDescent="0.25">
      <c r="A595" s="46" t="s">
        <v>6721</v>
      </c>
      <c r="B595" s="46" t="s">
        <v>14</v>
      </c>
      <c r="C595" s="46" t="s">
        <v>6131</v>
      </c>
      <c r="D595" s="49">
        <v>0</v>
      </c>
    </row>
    <row r="596" spans="1:4" x14ac:dyDescent="0.25">
      <c r="A596" s="46" t="s">
        <v>6722</v>
      </c>
      <c r="B596" s="46" t="s">
        <v>14</v>
      </c>
      <c r="C596" s="46" t="s">
        <v>6131</v>
      </c>
      <c r="D596" s="49">
        <v>0</v>
      </c>
    </row>
    <row r="597" spans="1:4" x14ac:dyDescent="0.25">
      <c r="A597" s="46" t="s">
        <v>6723</v>
      </c>
      <c r="B597" s="46" t="s">
        <v>14</v>
      </c>
      <c r="C597" s="46" t="s">
        <v>6131</v>
      </c>
      <c r="D597" s="49">
        <v>0</v>
      </c>
    </row>
    <row r="598" spans="1:4" x14ac:dyDescent="0.25">
      <c r="A598" s="46" t="s">
        <v>6724</v>
      </c>
      <c r="B598" s="46" t="s">
        <v>14</v>
      </c>
      <c r="C598" s="46" t="s">
        <v>6131</v>
      </c>
      <c r="D598" s="49">
        <v>0</v>
      </c>
    </row>
    <row r="599" spans="1:4" x14ac:dyDescent="0.25">
      <c r="A599" s="46" t="s">
        <v>6725</v>
      </c>
      <c r="B599" s="46" t="s">
        <v>14</v>
      </c>
      <c r="C599" s="46" t="s">
        <v>6131</v>
      </c>
      <c r="D599" s="49">
        <v>0</v>
      </c>
    </row>
    <row r="600" spans="1:4" x14ac:dyDescent="0.25">
      <c r="A600" s="46" t="s">
        <v>6726</v>
      </c>
      <c r="B600" s="46" t="s">
        <v>14</v>
      </c>
      <c r="C600" s="46" t="s">
        <v>6131</v>
      </c>
      <c r="D600" s="49">
        <v>0</v>
      </c>
    </row>
    <row r="601" spans="1:4" x14ac:dyDescent="0.25">
      <c r="A601" s="46" t="s">
        <v>6727</v>
      </c>
      <c r="B601" s="46" t="s">
        <v>14</v>
      </c>
      <c r="C601" s="46" t="s">
        <v>6131</v>
      </c>
      <c r="D601" s="49">
        <v>0</v>
      </c>
    </row>
    <row r="602" spans="1:4" x14ac:dyDescent="0.25">
      <c r="A602" s="46" t="s">
        <v>6728</v>
      </c>
      <c r="B602" s="46" t="s">
        <v>14</v>
      </c>
      <c r="C602" s="46" t="s">
        <v>6131</v>
      </c>
      <c r="D602" s="49">
        <v>0</v>
      </c>
    </row>
    <row r="603" spans="1:4" x14ac:dyDescent="0.25">
      <c r="A603" s="46" t="s">
        <v>6729</v>
      </c>
      <c r="B603" s="46" t="s">
        <v>14</v>
      </c>
      <c r="C603" s="46" t="s">
        <v>6131</v>
      </c>
      <c r="D603" s="49">
        <v>0</v>
      </c>
    </row>
    <row r="604" spans="1:4" x14ac:dyDescent="0.25">
      <c r="A604" s="46" t="s">
        <v>6730</v>
      </c>
      <c r="B604" s="46" t="s">
        <v>14</v>
      </c>
      <c r="C604" s="46" t="s">
        <v>6131</v>
      </c>
      <c r="D604" s="49">
        <v>0</v>
      </c>
    </row>
    <row r="605" spans="1:4" x14ac:dyDescent="0.25">
      <c r="A605" s="46" t="s">
        <v>6731</v>
      </c>
      <c r="B605" s="46" t="s">
        <v>14</v>
      </c>
      <c r="C605" s="46" t="s">
        <v>6131</v>
      </c>
      <c r="D605" s="49">
        <v>0</v>
      </c>
    </row>
    <row r="606" spans="1:4" x14ac:dyDescent="0.25">
      <c r="A606" s="46" t="s">
        <v>6732</v>
      </c>
      <c r="B606" s="46" t="s">
        <v>14</v>
      </c>
      <c r="C606" s="46" t="s">
        <v>6131</v>
      </c>
      <c r="D606" s="49">
        <v>0</v>
      </c>
    </row>
    <row r="607" spans="1:4" x14ac:dyDescent="0.25">
      <c r="A607" s="46" t="s">
        <v>6733</v>
      </c>
      <c r="B607" s="46" t="s">
        <v>14</v>
      </c>
      <c r="C607" s="46" t="s">
        <v>6131</v>
      </c>
      <c r="D607" s="49">
        <v>0</v>
      </c>
    </row>
    <row r="608" spans="1:4" x14ac:dyDescent="0.25">
      <c r="A608" s="46" t="s">
        <v>6734</v>
      </c>
      <c r="B608" s="46" t="s">
        <v>14</v>
      </c>
      <c r="C608" s="46" t="s">
        <v>6131</v>
      </c>
      <c r="D608" s="49">
        <v>0</v>
      </c>
    </row>
    <row r="609" spans="1:4" x14ac:dyDescent="0.25">
      <c r="A609" s="46" t="s">
        <v>6735</v>
      </c>
      <c r="B609" s="46" t="s">
        <v>14</v>
      </c>
      <c r="C609" s="46" t="s">
        <v>6131</v>
      </c>
      <c r="D609" s="49">
        <v>0</v>
      </c>
    </row>
    <row r="610" spans="1:4" x14ac:dyDescent="0.25">
      <c r="A610" s="46" t="s">
        <v>6736</v>
      </c>
      <c r="B610" s="46" t="s">
        <v>14</v>
      </c>
      <c r="C610" s="46" t="s">
        <v>6131</v>
      </c>
      <c r="D610" s="49">
        <v>0</v>
      </c>
    </row>
    <row r="611" spans="1:4" x14ac:dyDescent="0.25">
      <c r="A611" s="46" t="s">
        <v>6737</v>
      </c>
      <c r="B611" s="46" t="s">
        <v>14</v>
      </c>
      <c r="C611" s="46" t="s">
        <v>6131</v>
      </c>
      <c r="D611" s="49">
        <v>0</v>
      </c>
    </row>
    <row r="612" spans="1:4" x14ac:dyDescent="0.25">
      <c r="A612" s="46" t="s">
        <v>6738</v>
      </c>
      <c r="B612" s="46" t="s">
        <v>14</v>
      </c>
      <c r="C612" s="46" t="s">
        <v>6131</v>
      </c>
      <c r="D612" s="49">
        <v>0</v>
      </c>
    </row>
    <row r="613" spans="1:4" x14ac:dyDescent="0.25">
      <c r="A613" s="46" t="s">
        <v>6739</v>
      </c>
      <c r="B613" s="46" t="s">
        <v>14</v>
      </c>
      <c r="C613" s="46" t="s">
        <v>6131</v>
      </c>
      <c r="D613" s="49">
        <v>0</v>
      </c>
    </row>
    <row r="614" spans="1:4" x14ac:dyDescent="0.25">
      <c r="A614" s="46" t="s">
        <v>6740</v>
      </c>
      <c r="B614" s="46" t="s">
        <v>14</v>
      </c>
      <c r="C614" s="46" t="s">
        <v>6131</v>
      </c>
      <c r="D614" s="49">
        <v>0</v>
      </c>
    </row>
    <row r="615" spans="1:4" x14ac:dyDescent="0.25">
      <c r="A615" s="46" t="s">
        <v>6741</v>
      </c>
      <c r="B615" s="46" t="s">
        <v>14</v>
      </c>
      <c r="C615" s="46" t="s">
        <v>6131</v>
      </c>
      <c r="D615" s="49">
        <v>0</v>
      </c>
    </row>
    <row r="616" spans="1:4" x14ac:dyDescent="0.25">
      <c r="A616" s="46" t="s">
        <v>6742</v>
      </c>
      <c r="B616" s="46" t="s">
        <v>14</v>
      </c>
      <c r="C616" s="46" t="s">
        <v>6131</v>
      </c>
      <c r="D616" s="49">
        <v>0</v>
      </c>
    </row>
    <row r="617" spans="1:4" x14ac:dyDescent="0.25">
      <c r="A617" s="46" t="s">
        <v>6743</v>
      </c>
      <c r="B617" s="46" t="s">
        <v>14</v>
      </c>
      <c r="C617" s="46" t="s">
        <v>6131</v>
      </c>
      <c r="D617" s="49">
        <v>0</v>
      </c>
    </row>
    <row r="618" spans="1:4" x14ac:dyDescent="0.25">
      <c r="A618" s="46" t="s">
        <v>6744</v>
      </c>
      <c r="B618" s="46" t="s">
        <v>14</v>
      </c>
      <c r="C618" s="46" t="s">
        <v>6131</v>
      </c>
      <c r="D618" s="49">
        <v>0</v>
      </c>
    </row>
    <row r="619" spans="1:4" x14ac:dyDescent="0.25">
      <c r="A619" s="46" t="s">
        <v>6745</v>
      </c>
      <c r="B619" s="46" t="s">
        <v>14</v>
      </c>
      <c r="C619" s="46" t="s">
        <v>6131</v>
      </c>
      <c r="D619" s="49">
        <v>0</v>
      </c>
    </row>
    <row r="620" spans="1:4" x14ac:dyDescent="0.25">
      <c r="A620" s="46" t="s">
        <v>6746</v>
      </c>
      <c r="B620" s="46" t="s">
        <v>14</v>
      </c>
      <c r="C620" s="46" t="s">
        <v>6131</v>
      </c>
      <c r="D620" s="49">
        <v>0</v>
      </c>
    </row>
    <row r="621" spans="1:4" x14ac:dyDescent="0.25">
      <c r="A621" s="46" t="s">
        <v>6747</v>
      </c>
      <c r="B621" s="46" t="s">
        <v>14</v>
      </c>
      <c r="C621" s="46" t="s">
        <v>6131</v>
      </c>
      <c r="D621" s="49">
        <v>0</v>
      </c>
    </row>
    <row r="622" spans="1:4" x14ac:dyDescent="0.25">
      <c r="A622" s="46" t="s">
        <v>6748</v>
      </c>
      <c r="B622" s="46" t="s">
        <v>14</v>
      </c>
      <c r="C622" s="46" t="s">
        <v>6131</v>
      </c>
      <c r="D622" s="49">
        <v>0</v>
      </c>
    </row>
    <row r="623" spans="1:4" x14ac:dyDescent="0.25">
      <c r="A623" s="46" t="s">
        <v>6749</v>
      </c>
      <c r="B623" s="46" t="s">
        <v>14</v>
      </c>
      <c r="C623" s="46" t="s">
        <v>6131</v>
      </c>
      <c r="D623" s="49">
        <v>0</v>
      </c>
    </row>
    <row r="624" spans="1:4" x14ac:dyDescent="0.25">
      <c r="A624" s="46" t="s">
        <v>6750</v>
      </c>
      <c r="B624" s="46" t="s">
        <v>14</v>
      </c>
      <c r="C624" s="46" t="s">
        <v>6131</v>
      </c>
      <c r="D624" s="49">
        <v>0</v>
      </c>
    </row>
    <row r="625" spans="1:4" x14ac:dyDescent="0.25">
      <c r="A625" s="46" t="s">
        <v>6751</v>
      </c>
      <c r="B625" s="46" t="s">
        <v>14</v>
      </c>
      <c r="C625" s="46" t="s">
        <v>6131</v>
      </c>
      <c r="D625" s="49">
        <v>0</v>
      </c>
    </row>
    <row r="626" spans="1:4" x14ac:dyDescent="0.25">
      <c r="A626" s="46" t="s">
        <v>6752</v>
      </c>
      <c r="B626" s="46" t="s">
        <v>14</v>
      </c>
      <c r="C626" s="46" t="s">
        <v>6131</v>
      </c>
      <c r="D626" s="49">
        <v>0</v>
      </c>
    </row>
    <row r="627" spans="1:4" x14ac:dyDescent="0.25">
      <c r="A627" s="46" t="s">
        <v>6753</v>
      </c>
      <c r="B627" s="46" t="s">
        <v>14</v>
      </c>
      <c r="C627" s="46" t="s">
        <v>6131</v>
      </c>
      <c r="D627" s="49">
        <v>0</v>
      </c>
    </row>
    <row r="628" spans="1:4" x14ac:dyDescent="0.25">
      <c r="A628" s="46" t="s">
        <v>6754</v>
      </c>
      <c r="B628" s="46" t="s">
        <v>14</v>
      </c>
      <c r="C628" s="46" t="s">
        <v>6131</v>
      </c>
      <c r="D628" s="49">
        <v>0</v>
      </c>
    </row>
    <row r="629" spans="1:4" x14ac:dyDescent="0.25">
      <c r="A629" s="46" t="s">
        <v>6755</v>
      </c>
      <c r="B629" s="46" t="s">
        <v>14</v>
      </c>
      <c r="C629" s="46" t="s">
        <v>6131</v>
      </c>
      <c r="D629" s="49">
        <v>0</v>
      </c>
    </row>
    <row r="630" spans="1:4" x14ac:dyDescent="0.25">
      <c r="A630" s="46" t="s">
        <v>6756</v>
      </c>
      <c r="B630" s="46" t="s">
        <v>14</v>
      </c>
      <c r="C630" s="46" t="s">
        <v>6131</v>
      </c>
      <c r="D630" s="49">
        <v>0</v>
      </c>
    </row>
    <row r="631" spans="1:4" x14ac:dyDescent="0.25">
      <c r="A631" s="46" t="s">
        <v>6757</v>
      </c>
      <c r="B631" s="46" t="s">
        <v>14</v>
      </c>
      <c r="C631" s="46" t="s">
        <v>6131</v>
      </c>
      <c r="D631" s="49">
        <v>0</v>
      </c>
    </row>
    <row r="632" spans="1:4" x14ac:dyDescent="0.25">
      <c r="A632" s="46" t="s">
        <v>6758</v>
      </c>
      <c r="B632" s="46" t="s">
        <v>14</v>
      </c>
      <c r="C632" s="46" t="s">
        <v>6131</v>
      </c>
      <c r="D632" s="49">
        <v>0</v>
      </c>
    </row>
    <row r="633" spans="1:4" x14ac:dyDescent="0.25">
      <c r="A633" s="46" t="s">
        <v>6759</v>
      </c>
      <c r="B633" s="46" t="s">
        <v>14</v>
      </c>
      <c r="C633" s="46" t="s">
        <v>6131</v>
      </c>
      <c r="D633" s="49">
        <v>0</v>
      </c>
    </row>
    <row r="634" spans="1:4" x14ac:dyDescent="0.25">
      <c r="A634" s="46" t="s">
        <v>6760</v>
      </c>
      <c r="B634" s="46" t="s">
        <v>14</v>
      </c>
      <c r="C634" s="46" t="s">
        <v>6131</v>
      </c>
      <c r="D634" s="49">
        <v>0</v>
      </c>
    </row>
    <row r="635" spans="1:4" x14ac:dyDescent="0.25">
      <c r="A635" s="46" t="s">
        <v>6761</v>
      </c>
      <c r="B635" s="46" t="s">
        <v>14</v>
      </c>
      <c r="C635" s="46" t="s">
        <v>6131</v>
      </c>
      <c r="D635" s="49">
        <v>0</v>
      </c>
    </row>
    <row r="636" spans="1:4" x14ac:dyDescent="0.25">
      <c r="A636" s="46" t="s">
        <v>6762</v>
      </c>
      <c r="B636" s="46" t="s">
        <v>14</v>
      </c>
      <c r="C636" s="46" t="s">
        <v>6131</v>
      </c>
      <c r="D636" s="49">
        <v>0</v>
      </c>
    </row>
    <row r="637" spans="1:4" x14ac:dyDescent="0.25">
      <c r="A637" s="46" t="s">
        <v>6763</v>
      </c>
      <c r="B637" s="46" t="s">
        <v>14</v>
      </c>
      <c r="C637" s="46" t="s">
        <v>6131</v>
      </c>
      <c r="D637" s="49">
        <v>0</v>
      </c>
    </row>
    <row r="638" spans="1:4" x14ac:dyDescent="0.25">
      <c r="A638" s="46" t="s">
        <v>6764</v>
      </c>
      <c r="B638" s="46" t="s">
        <v>14</v>
      </c>
      <c r="C638" s="46" t="s">
        <v>6131</v>
      </c>
      <c r="D638" s="49">
        <v>0</v>
      </c>
    </row>
    <row r="639" spans="1:4" x14ac:dyDescent="0.25">
      <c r="A639" s="46" t="s">
        <v>6765</v>
      </c>
      <c r="B639" s="46" t="s">
        <v>14</v>
      </c>
      <c r="C639" s="46" t="s">
        <v>6131</v>
      </c>
      <c r="D639" s="49">
        <v>0</v>
      </c>
    </row>
    <row r="640" spans="1:4" x14ac:dyDescent="0.25">
      <c r="A640" s="46" t="s">
        <v>6766</v>
      </c>
      <c r="B640" s="46" t="s">
        <v>14</v>
      </c>
      <c r="C640" s="46" t="s">
        <v>6131</v>
      </c>
      <c r="D640" s="49">
        <v>0</v>
      </c>
    </row>
    <row r="641" spans="1:4" x14ac:dyDescent="0.25">
      <c r="A641" s="46" t="s">
        <v>6767</v>
      </c>
      <c r="B641" s="46" t="s">
        <v>14</v>
      </c>
      <c r="C641" s="46" t="s">
        <v>6131</v>
      </c>
      <c r="D641" s="49">
        <v>0</v>
      </c>
    </row>
    <row r="642" spans="1:4" x14ac:dyDescent="0.25">
      <c r="A642" s="46" t="s">
        <v>6768</v>
      </c>
      <c r="B642" s="46" t="s">
        <v>15</v>
      </c>
      <c r="C642" s="46" t="s">
        <v>21</v>
      </c>
      <c r="D642" s="49">
        <v>5</v>
      </c>
    </row>
    <row r="643" spans="1:4" x14ac:dyDescent="0.25">
      <c r="A643" s="46" t="s">
        <v>6769</v>
      </c>
      <c r="B643" s="46" t="s">
        <v>15</v>
      </c>
      <c r="C643" s="46" t="s">
        <v>21</v>
      </c>
      <c r="D643" s="49">
        <v>1</v>
      </c>
    </row>
    <row r="644" spans="1:4" x14ac:dyDescent="0.25">
      <c r="A644" s="46" t="s">
        <v>6770</v>
      </c>
      <c r="B644" s="46" t="s">
        <v>15</v>
      </c>
      <c r="C644" s="46" t="s">
        <v>21</v>
      </c>
      <c r="D644" s="49">
        <v>12</v>
      </c>
    </row>
    <row r="645" spans="1:4" x14ac:dyDescent="0.25">
      <c r="A645" s="46" t="s">
        <v>6771</v>
      </c>
      <c r="B645" s="46" t="s">
        <v>15</v>
      </c>
      <c r="C645" s="46" t="s">
        <v>21</v>
      </c>
      <c r="D645" s="49">
        <v>523</v>
      </c>
    </row>
    <row r="646" spans="1:4" x14ac:dyDescent="0.25">
      <c r="A646" s="46" t="s">
        <v>6772</v>
      </c>
      <c r="B646" s="46" t="s">
        <v>15</v>
      </c>
      <c r="C646" s="46" t="s">
        <v>21</v>
      </c>
      <c r="D646" s="49">
        <v>0</v>
      </c>
    </row>
    <row r="647" spans="1:4" x14ac:dyDescent="0.25">
      <c r="A647" s="46" t="s">
        <v>6773</v>
      </c>
      <c r="B647" s="46" t="s">
        <v>15</v>
      </c>
      <c r="C647" s="46" t="s">
        <v>21</v>
      </c>
      <c r="D647" s="49">
        <v>6</v>
      </c>
    </row>
    <row r="648" spans="1:4" x14ac:dyDescent="0.25">
      <c r="A648" s="46" t="s">
        <v>6774</v>
      </c>
      <c r="B648" s="46" t="s">
        <v>15</v>
      </c>
      <c r="C648" s="46" t="s">
        <v>21</v>
      </c>
      <c r="D648" s="49">
        <v>5</v>
      </c>
    </row>
    <row r="649" spans="1:4" x14ac:dyDescent="0.25">
      <c r="A649" s="46" t="s">
        <v>6775</v>
      </c>
      <c r="B649" s="46" t="s">
        <v>15</v>
      </c>
      <c r="C649" s="46" t="s">
        <v>21</v>
      </c>
      <c r="D649" s="49">
        <v>11</v>
      </c>
    </row>
    <row r="650" spans="1:4" x14ac:dyDescent="0.25">
      <c r="A650" s="46" t="s">
        <v>6776</v>
      </c>
      <c r="B650" s="46" t="s">
        <v>15</v>
      </c>
      <c r="C650" s="46" t="s">
        <v>21</v>
      </c>
      <c r="D650" s="49">
        <v>0</v>
      </c>
    </row>
    <row r="651" spans="1:4" x14ac:dyDescent="0.25">
      <c r="A651" s="46" t="s">
        <v>6777</v>
      </c>
      <c r="B651" s="46" t="s">
        <v>15</v>
      </c>
      <c r="C651" s="46" t="s">
        <v>21</v>
      </c>
      <c r="D651" s="49">
        <v>25</v>
      </c>
    </row>
    <row r="652" spans="1:4" x14ac:dyDescent="0.25">
      <c r="A652" s="46" t="s">
        <v>6778</v>
      </c>
      <c r="B652" s="46" t="s">
        <v>15</v>
      </c>
      <c r="C652" s="46" t="s">
        <v>21</v>
      </c>
      <c r="D652" s="49">
        <v>26</v>
      </c>
    </row>
    <row r="653" spans="1:4" x14ac:dyDescent="0.25">
      <c r="A653" s="46" t="s">
        <v>6779</v>
      </c>
      <c r="B653" s="46" t="s">
        <v>15</v>
      </c>
      <c r="C653" s="46" t="s">
        <v>21</v>
      </c>
      <c r="D653" s="49">
        <v>0</v>
      </c>
    </row>
    <row r="654" spans="1:4" x14ac:dyDescent="0.25">
      <c r="A654" s="46" t="s">
        <v>6780</v>
      </c>
      <c r="B654" s="46" t="s">
        <v>15</v>
      </c>
      <c r="C654" s="46" t="s">
        <v>21</v>
      </c>
      <c r="D654" s="49">
        <v>20</v>
      </c>
    </row>
    <row r="655" spans="1:4" x14ac:dyDescent="0.25">
      <c r="A655" s="46" t="s">
        <v>6781</v>
      </c>
      <c r="B655" s="46" t="s">
        <v>15</v>
      </c>
      <c r="C655" s="46" t="s">
        <v>21</v>
      </c>
      <c r="D655" s="49">
        <v>20</v>
      </c>
    </row>
    <row r="656" spans="1:4" x14ac:dyDescent="0.25">
      <c r="A656" s="46" t="s">
        <v>6782</v>
      </c>
      <c r="B656" s="46" t="s">
        <v>15</v>
      </c>
      <c r="C656" s="46" t="s">
        <v>21</v>
      </c>
      <c r="D656" s="49">
        <v>20</v>
      </c>
    </row>
    <row r="657" spans="1:4" x14ac:dyDescent="0.25">
      <c r="A657" s="46" t="s">
        <v>6783</v>
      </c>
      <c r="B657" s="46" t="s">
        <v>15</v>
      </c>
      <c r="C657" s="46" t="s">
        <v>21</v>
      </c>
      <c r="D657" s="49">
        <v>20</v>
      </c>
    </row>
    <row r="658" spans="1:4" x14ac:dyDescent="0.25">
      <c r="A658" s="46" t="s">
        <v>6784</v>
      </c>
      <c r="B658" s="46" t="s">
        <v>15</v>
      </c>
      <c r="C658" s="46" t="s">
        <v>21</v>
      </c>
      <c r="D658" s="49">
        <v>0</v>
      </c>
    </row>
    <row r="659" spans="1:4" x14ac:dyDescent="0.25">
      <c r="A659" s="46" t="s">
        <v>6785</v>
      </c>
      <c r="B659" s="46" t="s">
        <v>15</v>
      </c>
      <c r="C659" s="46" t="s">
        <v>21</v>
      </c>
      <c r="D659" s="49">
        <v>21</v>
      </c>
    </row>
    <row r="660" spans="1:4" x14ac:dyDescent="0.25">
      <c r="A660" s="46" t="s">
        <v>6786</v>
      </c>
      <c r="B660" s="46" t="s">
        <v>15</v>
      </c>
      <c r="C660" s="46" t="s">
        <v>21</v>
      </c>
      <c r="D660" s="49">
        <v>0</v>
      </c>
    </row>
    <row r="661" spans="1:4" x14ac:dyDescent="0.25">
      <c r="A661" s="46" t="s">
        <v>6787</v>
      </c>
      <c r="B661" s="46" t="s">
        <v>15</v>
      </c>
      <c r="C661" s="46" t="s">
        <v>21</v>
      </c>
      <c r="D661" s="49">
        <v>578</v>
      </c>
    </row>
    <row r="662" spans="1:4" x14ac:dyDescent="0.25">
      <c r="A662" s="46" t="s">
        <v>6788</v>
      </c>
      <c r="B662" s="46" t="s">
        <v>15</v>
      </c>
      <c r="C662" s="46" t="s">
        <v>21</v>
      </c>
      <c r="D662" s="49">
        <v>74</v>
      </c>
    </row>
    <row r="663" spans="1:4" x14ac:dyDescent="0.25">
      <c r="A663" s="46" t="s">
        <v>6789</v>
      </c>
      <c r="B663" s="46" t="s">
        <v>15</v>
      </c>
      <c r="C663" s="46" t="s">
        <v>21</v>
      </c>
      <c r="D663" s="49">
        <v>98</v>
      </c>
    </row>
    <row r="664" spans="1:4" x14ac:dyDescent="0.25">
      <c r="A664" s="46" t="s">
        <v>6790</v>
      </c>
      <c r="B664" s="46" t="s">
        <v>15</v>
      </c>
      <c r="C664" s="46" t="s">
        <v>21</v>
      </c>
      <c r="D664" s="49">
        <v>25</v>
      </c>
    </row>
    <row r="665" spans="1:4" x14ac:dyDescent="0.25">
      <c r="A665" s="46" t="s">
        <v>6791</v>
      </c>
      <c r="B665" s="46" t="s">
        <v>15</v>
      </c>
      <c r="C665" s="46" t="s">
        <v>21</v>
      </c>
      <c r="D665" s="49">
        <v>23</v>
      </c>
    </row>
    <row r="666" spans="1:4" x14ac:dyDescent="0.25">
      <c r="A666" s="46" t="s">
        <v>6792</v>
      </c>
      <c r="B666" s="46" t="s">
        <v>15</v>
      </c>
      <c r="C666" s="46" t="s">
        <v>21</v>
      </c>
      <c r="D666" s="49">
        <v>5</v>
      </c>
    </row>
    <row r="667" spans="1:4" x14ac:dyDescent="0.25">
      <c r="A667" s="46" t="s">
        <v>6793</v>
      </c>
      <c r="B667" s="46" t="s">
        <v>15</v>
      </c>
      <c r="C667" s="46" t="s">
        <v>21</v>
      </c>
      <c r="D667" s="49">
        <v>0</v>
      </c>
    </row>
    <row r="668" spans="1:4" x14ac:dyDescent="0.25">
      <c r="A668" s="46" t="s">
        <v>6794</v>
      </c>
      <c r="B668" s="46" t="s">
        <v>15</v>
      </c>
      <c r="C668" s="46" t="s">
        <v>21</v>
      </c>
      <c r="D668" s="49">
        <v>2</v>
      </c>
    </row>
    <row r="669" spans="1:4" x14ac:dyDescent="0.25">
      <c r="A669" s="46" t="s">
        <v>6795</v>
      </c>
      <c r="B669" s="46" t="s">
        <v>15</v>
      </c>
      <c r="C669" s="46" t="s">
        <v>21</v>
      </c>
      <c r="D669" s="49">
        <v>1</v>
      </c>
    </row>
    <row r="670" spans="1:4" x14ac:dyDescent="0.25">
      <c r="A670" s="46" t="s">
        <v>6796</v>
      </c>
      <c r="B670" s="46" t="s">
        <v>15</v>
      </c>
      <c r="C670" s="46" t="s">
        <v>20</v>
      </c>
      <c r="D670" s="49">
        <v>64</v>
      </c>
    </row>
    <row r="671" spans="1:4" x14ac:dyDescent="0.25">
      <c r="A671" s="46" t="s">
        <v>6797</v>
      </c>
      <c r="B671" s="46" t="s">
        <v>15</v>
      </c>
      <c r="C671" s="46" t="s">
        <v>20</v>
      </c>
      <c r="D671" s="49">
        <v>76</v>
      </c>
    </row>
    <row r="672" spans="1:4" x14ac:dyDescent="0.25">
      <c r="A672" s="46" t="s">
        <v>6798</v>
      </c>
      <c r="B672" s="46" t="s">
        <v>15</v>
      </c>
      <c r="C672" s="46" t="s">
        <v>20</v>
      </c>
      <c r="D672" s="49">
        <v>66</v>
      </c>
    </row>
    <row r="673" spans="1:4" x14ac:dyDescent="0.25">
      <c r="A673" s="46" t="s">
        <v>6799</v>
      </c>
      <c r="B673" s="46" t="s">
        <v>15</v>
      </c>
      <c r="C673" s="46" t="s">
        <v>20</v>
      </c>
      <c r="D673" s="49">
        <v>43</v>
      </c>
    </row>
    <row r="674" spans="1:4" x14ac:dyDescent="0.25">
      <c r="A674" s="46" t="s">
        <v>6800</v>
      </c>
      <c r="B674" s="46" t="s">
        <v>15</v>
      </c>
      <c r="C674" s="46" t="s">
        <v>20</v>
      </c>
      <c r="D674" s="49">
        <v>65</v>
      </c>
    </row>
    <row r="675" spans="1:4" x14ac:dyDescent="0.25">
      <c r="A675" s="46" t="s">
        <v>6801</v>
      </c>
      <c r="B675" s="46" t="s">
        <v>15</v>
      </c>
      <c r="C675" s="46" t="s">
        <v>20</v>
      </c>
      <c r="D675" s="49">
        <v>23</v>
      </c>
    </row>
    <row r="676" spans="1:4" x14ac:dyDescent="0.25">
      <c r="A676" s="46" t="s">
        <v>6802</v>
      </c>
      <c r="B676" s="46" t="s">
        <v>15</v>
      </c>
      <c r="C676" s="46" t="s">
        <v>20</v>
      </c>
      <c r="D676" s="49">
        <v>23</v>
      </c>
    </row>
    <row r="677" spans="1:4" x14ac:dyDescent="0.25">
      <c r="A677" s="46" t="s">
        <v>6803</v>
      </c>
      <c r="B677" s="46" t="s">
        <v>15</v>
      </c>
      <c r="C677" s="46" t="s">
        <v>20</v>
      </c>
      <c r="D677" s="49">
        <v>21</v>
      </c>
    </row>
    <row r="678" spans="1:4" x14ac:dyDescent="0.25">
      <c r="A678" s="46" t="s">
        <v>6804</v>
      </c>
      <c r="B678" s="46" t="s">
        <v>15</v>
      </c>
      <c r="C678" s="46" t="s">
        <v>20</v>
      </c>
      <c r="D678" s="49">
        <v>0</v>
      </c>
    </row>
    <row r="679" spans="1:4" x14ac:dyDescent="0.25">
      <c r="A679" s="46" t="s">
        <v>6805</v>
      </c>
      <c r="B679" s="46" t="s">
        <v>15</v>
      </c>
      <c r="C679" s="46" t="s">
        <v>20</v>
      </c>
      <c r="D679" s="49">
        <v>0</v>
      </c>
    </row>
    <row r="680" spans="1:4" x14ac:dyDescent="0.25">
      <c r="A680" s="46" t="s">
        <v>6806</v>
      </c>
      <c r="B680" s="46" t="s">
        <v>15</v>
      </c>
      <c r="C680" s="46" t="s">
        <v>20</v>
      </c>
      <c r="D680" s="49">
        <v>0</v>
      </c>
    </row>
    <row r="681" spans="1:4" x14ac:dyDescent="0.25">
      <c r="A681" s="46" t="s">
        <v>6807</v>
      </c>
      <c r="B681" s="46" t="s">
        <v>15</v>
      </c>
      <c r="C681" s="46" t="s">
        <v>20</v>
      </c>
      <c r="D681" s="49">
        <v>62</v>
      </c>
    </row>
    <row r="682" spans="1:4" x14ac:dyDescent="0.25">
      <c r="A682" s="46" t="s">
        <v>6808</v>
      </c>
      <c r="B682" s="46" t="s">
        <v>15</v>
      </c>
      <c r="C682" s="46" t="s">
        <v>20</v>
      </c>
      <c r="D682" s="49">
        <v>50</v>
      </c>
    </row>
    <row r="683" spans="1:4" x14ac:dyDescent="0.25">
      <c r="A683" s="46" t="s">
        <v>6809</v>
      </c>
      <c r="B683" s="46" t="s">
        <v>15</v>
      </c>
      <c r="C683" s="46" t="s">
        <v>20</v>
      </c>
      <c r="D683" s="49">
        <v>16</v>
      </c>
    </row>
    <row r="684" spans="1:4" x14ac:dyDescent="0.25">
      <c r="A684" s="46" t="s">
        <v>6810</v>
      </c>
      <c r="B684" s="46" t="s">
        <v>15</v>
      </c>
      <c r="C684" s="46" t="s">
        <v>20</v>
      </c>
      <c r="D684" s="49">
        <v>23</v>
      </c>
    </row>
    <row r="685" spans="1:4" x14ac:dyDescent="0.25">
      <c r="A685" s="46" t="s">
        <v>6811</v>
      </c>
      <c r="B685" s="46" t="s">
        <v>15</v>
      </c>
      <c r="C685" s="46" t="s">
        <v>20</v>
      </c>
      <c r="D685" s="49">
        <v>74</v>
      </c>
    </row>
    <row r="686" spans="1:4" x14ac:dyDescent="0.25">
      <c r="A686" s="46" t="s">
        <v>6812</v>
      </c>
      <c r="B686" s="46" t="s">
        <v>15</v>
      </c>
      <c r="C686" s="46" t="s">
        <v>20</v>
      </c>
      <c r="D686" s="49">
        <v>43</v>
      </c>
    </row>
    <row r="687" spans="1:4" x14ac:dyDescent="0.25">
      <c r="A687" s="46" t="s">
        <v>6813</v>
      </c>
      <c r="B687" s="46" t="s">
        <v>15</v>
      </c>
      <c r="C687" s="46" t="s">
        <v>20</v>
      </c>
      <c r="D687" s="49">
        <v>74</v>
      </c>
    </row>
    <row r="688" spans="1:4" x14ac:dyDescent="0.25">
      <c r="A688" s="46" t="s">
        <v>6814</v>
      </c>
      <c r="B688" s="46" t="s">
        <v>15</v>
      </c>
      <c r="C688" s="46" t="s">
        <v>20</v>
      </c>
      <c r="D688" s="49">
        <v>171</v>
      </c>
    </row>
    <row r="689" spans="1:4" x14ac:dyDescent="0.25">
      <c r="A689" s="46" t="s">
        <v>6815</v>
      </c>
      <c r="B689" s="46" t="s">
        <v>15</v>
      </c>
      <c r="C689" s="46" t="s">
        <v>20</v>
      </c>
      <c r="D689" s="49">
        <v>3</v>
      </c>
    </row>
    <row r="690" spans="1:4" x14ac:dyDescent="0.25">
      <c r="A690" s="46" t="s">
        <v>6816</v>
      </c>
      <c r="B690" s="46" t="s">
        <v>15</v>
      </c>
      <c r="C690" s="46" t="s">
        <v>20</v>
      </c>
      <c r="D690" s="49">
        <v>0</v>
      </c>
    </row>
    <row r="691" spans="1:4" x14ac:dyDescent="0.25">
      <c r="A691" s="46" t="s">
        <v>6817</v>
      </c>
      <c r="B691" s="46" t="s">
        <v>15</v>
      </c>
      <c r="C691" s="46" t="s">
        <v>20</v>
      </c>
      <c r="D691" s="49">
        <v>0</v>
      </c>
    </row>
    <row r="692" spans="1:4" x14ac:dyDescent="0.25">
      <c r="A692" s="46" t="s">
        <v>6818</v>
      </c>
      <c r="B692" s="46" t="s">
        <v>15</v>
      </c>
      <c r="C692" s="46" t="s">
        <v>20</v>
      </c>
      <c r="D692" s="49">
        <v>0</v>
      </c>
    </row>
    <row r="693" spans="1:4" x14ac:dyDescent="0.25">
      <c r="A693" s="46" t="s">
        <v>6819</v>
      </c>
      <c r="B693" s="46" t="s">
        <v>15</v>
      </c>
      <c r="C693" s="46" t="s">
        <v>20</v>
      </c>
      <c r="D693" s="49">
        <v>88</v>
      </c>
    </row>
    <row r="694" spans="1:4" x14ac:dyDescent="0.25">
      <c r="A694" s="46" t="s">
        <v>6820</v>
      </c>
      <c r="B694" s="46" t="s">
        <v>15</v>
      </c>
      <c r="C694" s="46" t="s">
        <v>20</v>
      </c>
      <c r="D694" s="49">
        <v>0</v>
      </c>
    </row>
    <row r="695" spans="1:4" x14ac:dyDescent="0.25">
      <c r="A695" s="46" t="s">
        <v>6821</v>
      </c>
      <c r="B695" s="46" t="s">
        <v>15</v>
      </c>
      <c r="C695" s="46" t="s">
        <v>20</v>
      </c>
      <c r="D695" s="49">
        <v>0</v>
      </c>
    </row>
    <row r="696" spans="1:4" x14ac:dyDescent="0.25">
      <c r="A696" s="46" t="s">
        <v>6822</v>
      </c>
      <c r="B696" s="46" t="s">
        <v>15</v>
      </c>
      <c r="C696" s="46" t="s">
        <v>20</v>
      </c>
      <c r="D696" s="49">
        <v>87</v>
      </c>
    </row>
    <row r="697" spans="1:4" x14ac:dyDescent="0.25">
      <c r="A697" s="46" t="s">
        <v>6823</v>
      </c>
      <c r="B697" s="46" t="s">
        <v>15</v>
      </c>
      <c r="C697" s="46" t="s">
        <v>20</v>
      </c>
      <c r="D697" s="49">
        <v>0</v>
      </c>
    </row>
    <row r="698" spans="1:4" x14ac:dyDescent="0.25">
      <c r="A698" s="46" t="s">
        <v>6824</v>
      </c>
      <c r="B698" s="46" t="s">
        <v>15</v>
      </c>
      <c r="C698" s="46" t="s">
        <v>20</v>
      </c>
      <c r="D698" s="49">
        <v>0</v>
      </c>
    </row>
    <row r="699" spans="1:4" x14ac:dyDescent="0.25">
      <c r="A699" s="46" t="s">
        <v>6825</v>
      </c>
      <c r="B699" s="46" t="s">
        <v>15</v>
      </c>
      <c r="C699" s="46" t="s">
        <v>20</v>
      </c>
      <c r="D699" s="49">
        <v>21</v>
      </c>
    </row>
    <row r="700" spans="1:4" x14ac:dyDescent="0.25">
      <c r="A700" s="46" t="s">
        <v>6826</v>
      </c>
      <c r="B700" s="46" t="s">
        <v>15</v>
      </c>
      <c r="C700" s="46" t="s">
        <v>20</v>
      </c>
      <c r="D700" s="49">
        <v>120</v>
      </c>
    </row>
    <row r="701" spans="1:4" x14ac:dyDescent="0.25">
      <c r="A701" s="46" t="s">
        <v>6827</v>
      </c>
      <c r="B701" s="46" t="s">
        <v>15</v>
      </c>
      <c r="C701" s="46" t="s">
        <v>20</v>
      </c>
      <c r="D701" s="49">
        <v>78</v>
      </c>
    </row>
    <row r="702" spans="1:4" x14ac:dyDescent="0.25">
      <c r="A702" s="46" t="s">
        <v>6828</v>
      </c>
      <c r="B702" s="46" t="s">
        <v>15</v>
      </c>
      <c r="C702" s="46" t="s">
        <v>20</v>
      </c>
      <c r="D702" s="49">
        <v>0</v>
      </c>
    </row>
    <row r="703" spans="1:4" x14ac:dyDescent="0.25">
      <c r="A703" s="46" t="s">
        <v>6829</v>
      </c>
      <c r="B703" s="46" t="s">
        <v>15</v>
      </c>
      <c r="C703" s="46" t="s">
        <v>20</v>
      </c>
      <c r="D703" s="49">
        <v>22</v>
      </c>
    </row>
    <row r="704" spans="1:4" x14ac:dyDescent="0.25">
      <c r="A704" s="46" t="s">
        <v>6830</v>
      </c>
      <c r="B704" s="46" t="s">
        <v>15</v>
      </c>
      <c r="C704" s="46" t="s">
        <v>20</v>
      </c>
      <c r="D704" s="49">
        <v>6</v>
      </c>
    </row>
    <row r="705" spans="1:4" x14ac:dyDescent="0.25">
      <c r="A705" s="46" t="s">
        <v>6831</v>
      </c>
      <c r="B705" s="46" t="s">
        <v>15</v>
      </c>
      <c r="C705" s="46" t="s">
        <v>20</v>
      </c>
      <c r="D705" s="49">
        <v>3</v>
      </c>
    </row>
    <row r="706" spans="1:4" x14ac:dyDescent="0.25">
      <c r="A706" s="46" t="s">
        <v>6832</v>
      </c>
      <c r="B706" s="46" t="s">
        <v>15</v>
      </c>
      <c r="C706" s="46" t="s">
        <v>20</v>
      </c>
      <c r="D706" s="49">
        <v>27</v>
      </c>
    </row>
    <row r="707" spans="1:4" x14ac:dyDescent="0.25">
      <c r="A707" s="46" t="s">
        <v>6833</v>
      </c>
      <c r="B707" s="46" t="s">
        <v>15</v>
      </c>
      <c r="C707" s="46" t="s">
        <v>20</v>
      </c>
      <c r="D707" s="49">
        <v>0</v>
      </c>
    </row>
    <row r="708" spans="1:4" x14ac:dyDescent="0.25">
      <c r="A708" s="46" t="s">
        <v>6834</v>
      </c>
      <c r="B708" s="46" t="s">
        <v>15</v>
      </c>
      <c r="C708" s="46" t="s">
        <v>20</v>
      </c>
      <c r="D708" s="49">
        <v>1</v>
      </c>
    </row>
    <row r="709" spans="1:4" x14ac:dyDescent="0.25">
      <c r="A709" s="46" t="s">
        <v>6835</v>
      </c>
      <c r="B709" s="46" t="s">
        <v>15</v>
      </c>
      <c r="C709" s="46" t="s">
        <v>20</v>
      </c>
      <c r="D709" s="49">
        <v>42</v>
      </c>
    </row>
    <row r="710" spans="1:4" x14ac:dyDescent="0.25">
      <c r="A710" s="46" t="s">
        <v>6836</v>
      </c>
      <c r="B710" s="46" t="s">
        <v>15</v>
      </c>
      <c r="C710" s="46" t="s">
        <v>19</v>
      </c>
      <c r="D710" s="49">
        <v>0</v>
      </c>
    </row>
    <row r="711" spans="1:4" x14ac:dyDescent="0.25">
      <c r="A711" s="46" t="s">
        <v>6837</v>
      </c>
      <c r="B711" s="46" t="s">
        <v>15</v>
      </c>
      <c r="C711" s="46" t="s">
        <v>19</v>
      </c>
      <c r="D711" s="49">
        <v>252</v>
      </c>
    </row>
    <row r="712" spans="1:4" x14ac:dyDescent="0.25">
      <c r="A712" s="46" t="s">
        <v>6838</v>
      </c>
      <c r="B712" s="46" t="s">
        <v>15</v>
      </c>
      <c r="C712" s="46" t="s">
        <v>19</v>
      </c>
      <c r="D712" s="49">
        <v>0</v>
      </c>
    </row>
    <row r="713" spans="1:4" x14ac:dyDescent="0.25">
      <c r="A713" s="46" t="s">
        <v>6839</v>
      </c>
      <c r="B713" s="46" t="s">
        <v>15</v>
      </c>
      <c r="C713" s="46" t="s">
        <v>19</v>
      </c>
      <c r="D713" s="49">
        <v>0</v>
      </c>
    </row>
    <row r="714" spans="1:4" x14ac:dyDescent="0.25">
      <c r="A714" s="46" t="s">
        <v>6840</v>
      </c>
      <c r="B714" s="46" t="s">
        <v>15</v>
      </c>
      <c r="C714" s="46" t="s">
        <v>19</v>
      </c>
      <c r="D714" s="49">
        <v>0</v>
      </c>
    </row>
    <row r="715" spans="1:4" x14ac:dyDescent="0.25">
      <c r="A715" s="46" t="s">
        <v>6841</v>
      </c>
      <c r="B715" s="46" t="s">
        <v>15</v>
      </c>
      <c r="C715" s="46" t="s">
        <v>19</v>
      </c>
      <c r="D715" s="49">
        <v>14</v>
      </c>
    </row>
    <row r="716" spans="1:4" x14ac:dyDescent="0.25">
      <c r="A716" s="46" t="s">
        <v>6842</v>
      </c>
      <c r="B716" s="46" t="s">
        <v>15</v>
      </c>
      <c r="C716" s="46" t="s">
        <v>19</v>
      </c>
      <c r="D716" s="49">
        <v>0</v>
      </c>
    </row>
    <row r="717" spans="1:4" x14ac:dyDescent="0.25">
      <c r="A717" s="46" t="s">
        <v>6843</v>
      </c>
      <c r="B717" s="46" t="s">
        <v>15</v>
      </c>
      <c r="C717" s="46" t="s">
        <v>19</v>
      </c>
      <c r="D717" s="49">
        <v>16</v>
      </c>
    </row>
    <row r="718" spans="1:4" x14ac:dyDescent="0.25">
      <c r="A718" s="46" t="s">
        <v>6844</v>
      </c>
      <c r="B718" s="46" t="s">
        <v>15</v>
      </c>
      <c r="C718" s="46" t="s">
        <v>19</v>
      </c>
      <c r="D718" s="49">
        <v>6</v>
      </c>
    </row>
    <row r="719" spans="1:4" x14ac:dyDescent="0.25">
      <c r="A719" s="46" t="s">
        <v>6845</v>
      </c>
      <c r="B719" s="46" t="s">
        <v>15</v>
      </c>
      <c r="C719" s="46" t="s">
        <v>19</v>
      </c>
      <c r="D719" s="49">
        <v>6</v>
      </c>
    </row>
    <row r="720" spans="1:4" x14ac:dyDescent="0.25">
      <c r="A720" s="46" t="s">
        <v>6846</v>
      </c>
      <c r="B720" s="46" t="s">
        <v>15</v>
      </c>
      <c r="C720" s="46" t="s">
        <v>19</v>
      </c>
      <c r="D720" s="49">
        <v>4</v>
      </c>
    </row>
    <row r="721" spans="1:4" x14ac:dyDescent="0.25">
      <c r="A721" s="46" t="s">
        <v>6847</v>
      </c>
      <c r="B721" s="46" t="s">
        <v>15</v>
      </c>
      <c r="C721" s="46" t="s">
        <v>19</v>
      </c>
      <c r="D721" s="49">
        <v>0</v>
      </c>
    </row>
    <row r="722" spans="1:4" x14ac:dyDescent="0.25">
      <c r="A722" s="46" t="s">
        <v>6848</v>
      </c>
      <c r="B722" s="46" t="s">
        <v>15</v>
      </c>
      <c r="C722" s="46" t="s">
        <v>19</v>
      </c>
      <c r="D722" s="49">
        <v>41</v>
      </c>
    </row>
    <row r="723" spans="1:4" x14ac:dyDescent="0.25">
      <c r="A723" s="46" t="s">
        <v>6849</v>
      </c>
      <c r="B723" s="46" t="s">
        <v>15</v>
      </c>
      <c r="C723" s="46" t="s">
        <v>19</v>
      </c>
      <c r="D723" s="49">
        <v>11</v>
      </c>
    </row>
    <row r="724" spans="1:4" x14ac:dyDescent="0.25">
      <c r="A724" s="46" t="s">
        <v>6850</v>
      </c>
      <c r="B724" s="46" t="s">
        <v>15</v>
      </c>
      <c r="C724" s="46" t="s">
        <v>19</v>
      </c>
      <c r="D724" s="49">
        <v>56</v>
      </c>
    </row>
    <row r="725" spans="1:4" x14ac:dyDescent="0.25">
      <c r="A725" s="46" t="s">
        <v>6851</v>
      </c>
      <c r="B725" s="46" t="s">
        <v>15</v>
      </c>
      <c r="C725" s="46" t="s">
        <v>19</v>
      </c>
      <c r="D725" s="49">
        <v>0</v>
      </c>
    </row>
    <row r="726" spans="1:4" x14ac:dyDescent="0.25">
      <c r="A726" s="46" t="s">
        <v>6852</v>
      </c>
      <c r="B726" s="46" t="s">
        <v>15</v>
      </c>
      <c r="C726" s="46" t="s">
        <v>19</v>
      </c>
      <c r="D726" s="49">
        <v>0</v>
      </c>
    </row>
    <row r="727" spans="1:4" x14ac:dyDescent="0.25">
      <c r="A727" s="46" t="s">
        <v>6853</v>
      </c>
      <c r="B727" s="46" t="s">
        <v>15</v>
      </c>
      <c r="C727" s="46" t="s">
        <v>19</v>
      </c>
      <c r="D727" s="49">
        <v>0</v>
      </c>
    </row>
    <row r="728" spans="1:4" x14ac:dyDescent="0.25">
      <c r="A728" s="46" t="s">
        <v>6854</v>
      </c>
      <c r="B728" s="46" t="s">
        <v>15</v>
      </c>
      <c r="C728" s="46" t="s">
        <v>19</v>
      </c>
      <c r="D728" s="49">
        <v>0</v>
      </c>
    </row>
    <row r="729" spans="1:4" x14ac:dyDescent="0.25">
      <c r="A729" s="46" t="s">
        <v>6855</v>
      </c>
      <c r="B729" s="46" t="s">
        <v>15</v>
      </c>
      <c r="C729" s="46" t="s">
        <v>19</v>
      </c>
      <c r="D729" s="49">
        <v>0</v>
      </c>
    </row>
    <row r="730" spans="1:4" x14ac:dyDescent="0.25">
      <c r="A730" s="46" t="s">
        <v>6856</v>
      </c>
      <c r="B730" s="46" t="s">
        <v>15</v>
      </c>
      <c r="C730" s="46" t="s">
        <v>19</v>
      </c>
      <c r="D730" s="49">
        <v>0</v>
      </c>
    </row>
    <row r="731" spans="1:4" x14ac:dyDescent="0.25">
      <c r="A731" s="46" t="s">
        <v>6857</v>
      </c>
      <c r="B731" s="46" t="s">
        <v>15</v>
      </c>
      <c r="C731" s="46" t="s">
        <v>19</v>
      </c>
      <c r="D731" s="49">
        <v>0</v>
      </c>
    </row>
    <row r="732" spans="1:4" x14ac:dyDescent="0.25">
      <c r="A732" s="46" t="s">
        <v>6858</v>
      </c>
      <c r="B732" s="46" t="s">
        <v>15</v>
      </c>
      <c r="C732" s="46" t="s">
        <v>19</v>
      </c>
      <c r="D732" s="49">
        <v>0</v>
      </c>
    </row>
    <row r="733" spans="1:4" x14ac:dyDescent="0.25">
      <c r="A733" s="46" t="s">
        <v>6859</v>
      </c>
      <c r="B733" s="46" t="s">
        <v>15</v>
      </c>
      <c r="C733" s="46" t="s">
        <v>19</v>
      </c>
      <c r="D733" s="49">
        <v>0</v>
      </c>
    </row>
    <row r="734" spans="1:4" x14ac:dyDescent="0.25">
      <c r="A734" s="46" t="s">
        <v>6860</v>
      </c>
      <c r="B734" s="46" t="s">
        <v>15</v>
      </c>
      <c r="C734" s="46" t="s">
        <v>19</v>
      </c>
      <c r="D734" s="49">
        <v>8</v>
      </c>
    </row>
    <row r="735" spans="1:4" x14ac:dyDescent="0.25">
      <c r="A735" s="46" t="s">
        <v>6861</v>
      </c>
      <c r="B735" s="46" t="s">
        <v>15</v>
      </c>
      <c r="C735" s="46" t="s">
        <v>19</v>
      </c>
      <c r="D735" s="49">
        <v>0</v>
      </c>
    </row>
    <row r="736" spans="1:4" x14ac:dyDescent="0.25">
      <c r="A736" s="46" t="s">
        <v>6862</v>
      </c>
      <c r="B736" s="46" t="s">
        <v>15</v>
      </c>
      <c r="C736" s="46" t="s">
        <v>19</v>
      </c>
      <c r="D736" s="49">
        <v>0</v>
      </c>
    </row>
    <row r="737" spans="1:4" x14ac:dyDescent="0.25">
      <c r="A737" s="46" t="s">
        <v>6863</v>
      </c>
      <c r="B737" s="46" t="s">
        <v>15</v>
      </c>
      <c r="C737" s="46" t="s">
        <v>19</v>
      </c>
      <c r="D737" s="49">
        <v>0</v>
      </c>
    </row>
    <row r="738" spans="1:4" x14ac:dyDescent="0.25">
      <c r="A738" s="46" t="s">
        <v>6864</v>
      </c>
      <c r="B738" s="46" t="s">
        <v>15</v>
      </c>
      <c r="C738" s="46" t="s">
        <v>19</v>
      </c>
      <c r="D738" s="49">
        <v>0</v>
      </c>
    </row>
    <row r="739" spans="1:4" x14ac:dyDescent="0.25">
      <c r="A739" s="46" t="s">
        <v>6865</v>
      </c>
      <c r="B739" s="46" t="s">
        <v>15</v>
      </c>
      <c r="C739" s="46" t="s">
        <v>19</v>
      </c>
      <c r="D739" s="49">
        <v>0</v>
      </c>
    </row>
    <row r="740" spans="1:4" x14ac:dyDescent="0.25">
      <c r="A740" s="46" t="s">
        <v>6866</v>
      </c>
      <c r="B740" s="46" t="s">
        <v>15</v>
      </c>
      <c r="C740" s="46" t="s">
        <v>19</v>
      </c>
      <c r="D740" s="49">
        <v>713</v>
      </c>
    </row>
    <row r="741" spans="1:4" x14ac:dyDescent="0.25">
      <c r="A741" s="46" t="s">
        <v>6867</v>
      </c>
      <c r="B741" s="46" t="s">
        <v>15</v>
      </c>
      <c r="C741" s="46" t="s">
        <v>19</v>
      </c>
      <c r="D741" s="49">
        <v>58</v>
      </c>
    </row>
    <row r="742" spans="1:4" x14ac:dyDescent="0.25">
      <c r="A742" s="46" t="s">
        <v>6868</v>
      </c>
      <c r="B742" s="46" t="s">
        <v>15</v>
      </c>
      <c r="C742" s="46" t="s">
        <v>19</v>
      </c>
      <c r="D742" s="49">
        <v>25</v>
      </c>
    </row>
    <row r="743" spans="1:4" x14ac:dyDescent="0.25">
      <c r="A743" s="46" t="s">
        <v>6869</v>
      </c>
      <c r="B743" s="46" t="s">
        <v>15</v>
      </c>
      <c r="C743" s="46" t="s">
        <v>19</v>
      </c>
      <c r="D743" s="49">
        <v>0</v>
      </c>
    </row>
    <row r="744" spans="1:4" x14ac:dyDescent="0.25">
      <c r="A744" s="46" t="s">
        <v>6870</v>
      </c>
      <c r="B744" s="46" t="s">
        <v>15</v>
      </c>
      <c r="C744" s="46" t="s">
        <v>19</v>
      </c>
      <c r="D744" s="49">
        <v>0</v>
      </c>
    </row>
    <row r="745" spans="1:4" x14ac:dyDescent="0.25">
      <c r="A745" s="46" t="s">
        <v>6871</v>
      </c>
      <c r="B745" s="46" t="s">
        <v>15</v>
      </c>
      <c r="C745" s="46" t="s">
        <v>19</v>
      </c>
      <c r="D745" s="49">
        <v>0</v>
      </c>
    </row>
    <row r="746" spans="1:4" x14ac:dyDescent="0.25">
      <c r="A746" s="46" t="s">
        <v>6872</v>
      </c>
      <c r="B746" s="46" t="s">
        <v>15</v>
      </c>
      <c r="C746" s="46" t="s">
        <v>19</v>
      </c>
      <c r="D746" s="49">
        <v>16</v>
      </c>
    </row>
    <row r="747" spans="1:4" x14ac:dyDescent="0.25">
      <c r="A747" s="46" t="s">
        <v>6873</v>
      </c>
      <c r="B747" s="46" t="s">
        <v>15</v>
      </c>
      <c r="C747" s="46" t="s">
        <v>19</v>
      </c>
      <c r="D747" s="49">
        <v>0</v>
      </c>
    </row>
    <row r="748" spans="1:4" x14ac:dyDescent="0.25">
      <c r="A748" s="46" t="s">
        <v>6874</v>
      </c>
      <c r="B748" s="46" t="s">
        <v>15</v>
      </c>
      <c r="C748" s="46" t="s">
        <v>19</v>
      </c>
      <c r="D748" s="49">
        <v>0</v>
      </c>
    </row>
    <row r="749" spans="1:4" x14ac:dyDescent="0.25">
      <c r="A749" s="46" t="s">
        <v>6875</v>
      </c>
      <c r="B749" s="46" t="s">
        <v>15</v>
      </c>
      <c r="C749" s="46" t="s">
        <v>19</v>
      </c>
      <c r="D749" s="49">
        <v>0</v>
      </c>
    </row>
    <row r="750" spans="1:4" x14ac:dyDescent="0.25">
      <c r="A750" s="46" t="s">
        <v>6876</v>
      </c>
      <c r="B750" s="46" t="s">
        <v>15</v>
      </c>
      <c r="C750" s="46" t="s">
        <v>19</v>
      </c>
      <c r="D750" s="49">
        <v>0</v>
      </c>
    </row>
    <row r="751" spans="1:4" x14ac:dyDescent="0.25">
      <c r="A751" s="46" t="s">
        <v>6877</v>
      </c>
      <c r="B751" s="46" t="s">
        <v>15</v>
      </c>
      <c r="C751" s="46" t="s">
        <v>19</v>
      </c>
      <c r="D751" s="49">
        <v>0</v>
      </c>
    </row>
    <row r="752" spans="1:4" x14ac:dyDescent="0.25">
      <c r="A752" s="46" t="s">
        <v>6878</v>
      </c>
      <c r="B752" s="46" t="s">
        <v>15</v>
      </c>
      <c r="C752" s="46" t="s">
        <v>19</v>
      </c>
      <c r="D752" s="49">
        <v>0</v>
      </c>
    </row>
    <row r="753" spans="1:4" x14ac:dyDescent="0.25">
      <c r="A753" s="46" t="s">
        <v>6879</v>
      </c>
      <c r="B753" s="46" t="s">
        <v>15</v>
      </c>
      <c r="C753" s="46" t="s">
        <v>19</v>
      </c>
      <c r="D753" s="49">
        <v>0</v>
      </c>
    </row>
    <row r="754" spans="1:4" x14ac:dyDescent="0.25">
      <c r="A754" s="46" t="s">
        <v>6880</v>
      </c>
      <c r="B754" s="46" t="s">
        <v>15</v>
      </c>
      <c r="C754" s="46" t="s">
        <v>19</v>
      </c>
      <c r="D754" s="49">
        <v>0</v>
      </c>
    </row>
    <row r="755" spans="1:4" x14ac:dyDescent="0.25">
      <c r="A755" s="46" t="s">
        <v>6881</v>
      </c>
      <c r="B755" s="46" t="s">
        <v>15</v>
      </c>
      <c r="C755" s="46" t="s">
        <v>19</v>
      </c>
      <c r="D755" s="49">
        <v>0</v>
      </c>
    </row>
    <row r="756" spans="1:4" x14ac:dyDescent="0.25">
      <c r="A756" s="46" t="s">
        <v>6882</v>
      </c>
      <c r="B756" s="46" t="s">
        <v>15</v>
      </c>
      <c r="C756" s="46" t="s">
        <v>19</v>
      </c>
      <c r="D756" s="49">
        <v>0</v>
      </c>
    </row>
    <row r="757" spans="1:4" x14ac:dyDescent="0.25">
      <c r="A757" s="46" t="s">
        <v>6883</v>
      </c>
      <c r="B757" s="46" t="s">
        <v>15</v>
      </c>
      <c r="C757" s="46" t="s">
        <v>19</v>
      </c>
      <c r="D757" s="49">
        <v>0</v>
      </c>
    </row>
    <row r="758" spans="1:4" x14ac:dyDescent="0.25">
      <c r="A758" s="46" t="s">
        <v>6884</v>
      </c>
      <c r="B758" s="46" t="s">
        <v>15</v>
      </c>
      <c r="C758" s="46" t="s">
        <v>19</v>
      </c>
      <c r="D758" s="49">
        <v>0</v>
      </c>
    </row>
    <row r="759" spans="1:4" x14ac:dyDescent="0.25">
      <c r="A759" s="46" t="s">
        <v>6885</v>
      </c>
      <c r="B759" s="46" t="s">
        <v>15</v>
      </c>
      <c r="C759" s="46" t="s">
        <v>19</v>
      </c>
      <c r="D759" s="49">
        <v>0</v>
      </c>
    </row>
    <row r="760" spans="1:4" x14ac:dyDescent="0.25">
      <c r="A760" s="46" t="s">
        <v>6886</v>
      </c>
      <c r="B760" s="46" t="s">
        <v>15</v>
      </c>
      <c r="C760" s="46" t="s">
        <v>19</v>
      </c>
      <c r="D760" s="49">
        <v>10</v>
      </c>
    </row>
    <row r="761" spans="1:4" x14ac:dyDescent="0.25">
      <c r="A761" s="46" t="s">
        <v>6887</v>
      </c>
      <c r="B761" s="46" t="s">
        <v>15</v>
      </c>
      <c r="C761" s="46" t="s">
        <v>19</v>
      </c>
      <c r="D761" s="49">
        <v>3</v>
      </c>
    </row>
    <row r="762" spans="1:4" x14ac:dyDescent="0.25">
      <c r="A762" s="46" t="s">
        <v>6888</v>
      </c>
      <c r="B762" s="46" t="s">
        <v>15</v>
      </c>
      <c r="C762" s="46" t="s">
        <v>19</v>
      </c>
      <c r="D762" s="49">
        <v>0</v>
      </c>
    </row>
    <row r="763" spans="1:4" x14ac:dyDescent="0.25">
      <c r="A763" s="46" t="s">
        <v>6889</v>
      </c>
      <c r="B763" s="46" t="s">
        <v>15</v>
      </c>
      <c r="C763" s="46" t="s">
        <v>19</v>
      </c>
      <c r="D763" s="49">
        <v>0</v>
      </c>
    </row>
    <row r="764" spans="1:4" x14ac:dyDescent="0.25">
      <c r="A764" s="46" t="s">
        <v>6890</v>
      </c>
      <c r="B764" s="46" t="s">
        <v>15</v>
      </c>
      <c r="C764" s="46" t="s">
        <v>19</v>
      </c>
      <c r="D764" s="49">
        <v>0</v>
      </c>
    </row>
    <row r="765" spans="1:4" x14ac:dyDescent="0.25">
      <c r="A765" s="46" t="s">
        <v>6891</v>
      </c>
      <c r="B765" s="46" t="s">
        <v>15</v>
      </c>
      <c r="C765" s="46" t="s">
        <v>19</v>
      </c>
      <c r="D765" s="49">
        <v>0</v>
      </c>
    </row>
    <row r="766" spans="1:4" x14ac:dyDescent="0.25">
      <c r="A766" s="46" t="s">
        <v>6892</v>
      </c>
      <c r="B766" s="46" t="s">
        <v>15</v>
      </c>
      <c r="C766" s="46" t="s">
        <v>19</v>
      </c>
      <c r="D766" s="49">
        <v>0</v>
      </c>
    </row>
    <row r="767" spans="1:4" x14ac:dyDescent="0.25">
      <c r="A767" s="46" t="s">
        <v>6893</v>
      </c>
      <c r="B767" s="46" t="s">
        <v>15</v>
      </c>
      <c r="C767" s="46" t="s">
        <v>19</v>
      </c>
      <c r="D767" s="49">
        <v>16</v>
      </c>
    </row>
    <row r="768" spans="1:4" x14ac:dyDescent="0.25">
      <c r="A768" s="46" t="s">
        <v>6894</v>
      </c>
      <c r="B768" s="46" t="s">
        <v>15</v>
      </c>
      <c r="C768" s="46" t="s">
        <v>19</v>
      </c>
      <c r="D768" s="49">
        <v>39</v>
      </c>
    </row>
    <row r="769" spans="1:4" x14ac:dyDescent="0.25">
      <c r="A769" s="46" t="s">
        <v>6895</v>
      </c>
      <c r="B769" s="46" t="s">
        <v>15</v>
      </c>
      <c r="C769" s="46" t="s">
        <v>19</v>
      </c>
      <c r="D769" s="49">
        <v>67</v>
      </c>
    </row>
    <row r="770" spans="1:4" x14ac:dyDescent="0.25">
      <c r="A770" s="46" t="s">
        <v>6896</v>
      </c>
      <c r="B770" s="46" t="s">
        <v>15</v>
      </c>
      <c r="C770" s="46" t="s">
        <v>19</v>
      </c>
      <c r="D770" s="49">
        <v>67</v>
      </c>
    </row>
    <row r="771" spans="1:4" x14ac:dyDescent="0.25">
      <c r="A771" s="46" t="s">
        <v>6897</v>
      </c>
      <c r="B771" s="46" t="s">
        <v>15</v>
      </c>
      <c r="C771" s="46" t="s">
        <v>19</v>
      </c>
      <c r="D771" s="49">
        <v>40</v>
      </c>
    </row>
    <row r="772" spans="1:4" x14ac:dyDescent="0.25">
      <c r="A772" s="46" t="s">
        <v>6898</v>
      </c>
      <c r="B772" s="46" t="s">
        <v>15</v>
      </c>
      <c r="C772" s="46" t="s">
        <v>19</v>
      </c>
      <c r="D772" s="49">
        <v>68</v>
      </c>
    </row>
    <row r="773" spans="1:4" x14ac:dyDescent="0.25">
      <c r="A773" s="46" t="s">
        <v>6899</v>
      </c>
      <c r="B773" s="46" t="s">
        <v>15</v>
      </c>
      <c r="C773" s="46" t="s">
        <v>19</v>
      </c>
      <c r="D773" s="49">
        <v>46</v>
      </c>
    </row>
    <row r="774" spans="1:4" x14ac:dyDescent="0.25">
      <c r="A774" s="46" t="s">
        <v>6900</v>
      </c>
      <c r="B774" s="46" t="s">
        <v>15</v>
      </c>
      <c r="C774" s="46" t="s">
        <v>19</v>
      </c>
      <c r="D774" s="49">
        <v>69</v>
      </c>
    </row>
    <row r="775" spans="1:4" x14ac:dyDescent="0.25">
      <c r="A775" s="46" t="s">
        <v>6901</v>
      </c>
      <c r="B775" s="46" t="s">
        <v>15</v>
      </c>
      <c r="C775" s="46" t="s">
        <v>19</v>
      </c>
      <c r="D775" s="49">
        <v>1</v>
      </c>
    </row>
    <row r="776" spans="1:4" x14ac:dyDescent="0.25">
      <c r="A776" s="46" t="s">
        <v>6902</v>
      </c>
      <c r="B776" s="46" t="s">
        <v>15</v>
      </c>
      <c r="C776" s="46" t="s">
        <v>19</v>
      </c>
      <c r="D776" s="49">
        <v>17</v>
      </c>
    </row>
    <row r="777" spans="1:4" x14ac:dyDescent="0.25">
      <c r="A777" s="46" t="s">
        <v>6903</v>
      </c>
      <c r="B777" s="46" t="s">
        <v>15</v>
      </c>
      <c r="C777" s="46" t="s">
        <v>19</v>
      </c>
      <c r="D777" s="49">
        <v>73</v>
      </c>
    </row>
    <row r="778" spans="1:4" x14ac:dyDescent="0.25">
      <c r="A778" s="46" t="s">
        <v>6904</v>
      </c>
      <c r="B778" s="46" t="s">
        <v>15</v>
      </c>
      <c r="C778" s="46" t="s">
        <v>19</v>
      </c>
      <c r="D778" s="49">
        <v>28</v>
      </c>
    </row>
    <row r="779" spans="1:4" x14ac:dyDescent="0.25">
      <c r="A779" s="46" t="s">
        <v>6905</v>
      </c>
      <c r="B779" s="46" t="s">
        <v>15</v>
      </c>
      <c r="C779" s="46" t="s">
        <v>19</v>
      </c>
      <c r="D779" s="49">
        <v>279</v>
      </c>
    </row>
    <row r="780" spans="1:4" x14ac:dyDescent="0.25">
      <c r="A780" s="46" t="s">
        <v>6906</v>
      </c>
      <c r="B780" s="46" t="s">
        <v>15</v>
      </c>
      <c r="C780" s="46" t="s">
        <v>19</v>
      </c>
      <c r="D780" s="49">
        <v>280</v>
      </c>
    </row>
    <row r="781" spans="1:4" x14ac:dyDescent="0.25">
      <c r="A781" s="46" t="s">
        <v>6907</v>
      </c>
      <c r="B781" s="46" t="s">
        <v>15</v>
      </c>
      <c r="C781" s="46" t="s">
        <v>19</v>
      </c>
      <c r="D781" s="49">
        <v>0</v>
      </c>
    </row>
    <row r="782" spans="1:4" x14ac:dyDescent="0.25">
      <c r="A782" s="46" t="s">
        <v>6908</v>
      </c>
      <c r="B782" s="46" t="s">
        <v>15</v>
      </c>
      <c r="C782" s="46" t="s">
        <v>19</v>
      </c>
      <c r="D782" s="49">
        <v>0</v>
      </c>
    </row>
    <row r="783" spans="1:4" x14ac:dyDescent="0.25">
      <c r="A783" s="46" t="s">
        <v>6909</v>
      </c>
      <c r="B783" s="46" t="s">
        <v>15</v>
      </c>
      <c r="C783" s="46" t="s">
        <v>19</v>
      </c>
      <c r="D783" s="49">
        <v>24</v>
      </c>
    </row>
    <row r="784" spans="1:4" x14ac:dyDescent="0.25">
      <c r="A784" s="46" t="s">
        <v>6910</v>
      </c>
      <c r="B784" s="46" t="s">
        <v>15</v>
      </c>
      <c r="C784" s="46" t="s">
        <v>19</v>
      </c>
      <c r="D784" s="49">
        <v>24</v>
      </c>
    </row>
    <row r="785" spans="1:4" x14ac:dyDescent="0.25">
      <c r="A785" s="46" t="s">
        <v>6911</v>
      </c>
      <c r="B785" s="46" t="s">
        <v>15</v>
      </c>
      <c r="C785" s="46" t="s">
        <v>19</v>
      </c>
      <c r="D785" s="49">
        <v>0</v>
      </c>
    </row>
    <row r="786" spans="1:4" x14ac:dyDescent="0.25">
      <c r="A786" s="46" t="s">
        <v>6912</v>
      </c>
      <c r="B786" s="46" t="s">
        <v>15</v>
      </c>
      <c r="C786" s="46" t="s">
        <v>19</v>
      </c>
      <c r="D786" s="49">
        <v>20</v>
      </c>
    </row>
    <row r="787" spans="1:4" x14ac:dyDescent="0.25">
      <c r="A787" s="46" t="s">
        <v>6913</v>
      </c>
      <c r="B787" s="46" t="s">
        <v>15</v>
      </c>
      <c r="C787" s="46" t="s">
        <v>19</v>
      </c>
      <c r="D787" s="49">
        <v>0</v>
      </c>
    </row>
    <row r="788" spans="1:4" x14ac:dyDescent="0.25">
      <c r="A788" s="46" t="s">
        <v>6914</v>
      </c>
      <c r="B788" s="46" t="s">
        <v>15</v>
      </c>
      <c r="C788" s="46" t="s">
        <v>19</v>
      </c>
      <c r="D788" s="49">
        <v>10</v>
      </c>
    </row>
  </sheetData>
  <autoFilter ref="A4:D788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9A99"/>
  </sheetPr>
  <dimension ref="A1:D39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34" customWidth="1"/>
    <col min="4" max="4" width="12" customWidth="1"/>
  </cols>
  <sheetData>
    <row r="1" ht="24" customHeight="1" spans="1:4" x14ac:dyDescent="0.25">
      <c r="A1" s="1" t="s">
        <v>6915</v>
      </c>
      <c r="B1" s="1"/>
      <c r="C1" s="1"/>
      <c r="D1" s="1"/>
    </row>
    <row r="2" spans="1:4" x14ac:dyDescent="0.25">
      <c r="A2" s="2" t="s">
        <v>6916</v>
      </c>
      <c r="B2" s="2"/>
      <c r="C2" s="2"/>
      <c r="D2" s="2"/>
    </row>
    <row r="4" ht="32" customHeight="1" spans="1:4" x14ac:dyDescent="0.25">
      <c r="A4" s="50" t="s">
        <v>1169</v>
      </c>
      <c r="B4" s="50" t="s">
        <v>6917</v>
      </c>
      <c r="C4" s="50" t="s">
        <v>6918</v>
      </c>
      <c r="D4" s="50" t="s">
        <v>46</v>
      </c>
    </row>
    <row r="5" spans="1:4" x14ac:dyDescent="0.25">
      <c r="A5" s="46">
        <v>217</v>
      </c>
      <c r="B5" s="46" t="s">
        <v>132</v>
      </c>
      <c r="C5" s="46" t="s">
        <v>6919</v>
      </c>
      <c r="D5" s="49">
        <v>8</v>
      </c>
    </row>
    <row r="6" spans="1:4" x14ac:dyDescent="0.25">
      <c r="A6" s="46">
        <v>73534</v>
      </c>
      <c r="B6" s="46" t="s">
        <v>311</v>
      </c>
      <c r="C6" s="46" t="s">
        <v>6920</v>
      </c>
      <c r="D6" s="49">
        <v>11</v>
      </c>
    </row>
    <row r="7" spans="1:4" x14ac:dyDescent="0.25">
      <c r="A7" s="46">
        <v>73540</v>
      </c>
      <c r="B7" s="46" t="s">
        <v>163</v>
      </c>
      <c r="C7" s="46" t="s">
        <v>6921</v>
      </c>
      <c r="D7" s="49">
        <v>50</v>
      </c>
    </row>
    <row r="8" spans="1:4" x14ac:dyDescent="0.25">
      <c r="A8" s="46">
        <v>87626</v>
      </c>
      <c r="B8" s="46" t="s">
        <v>135</v>
      </c>
      <c r="C8" s="46" t="s">
        <v>6922</v>
      </c>
      <c r="D8" s="49">
        <v>9</v>
      </c>
    </row>
    <row r="9" spans="1:4" x14ac:dyDescent="0.25">
      <c r="A9" s="46">
        <v>73547</v>
      </c>
      <c r="B9" s="46" t="s">
        <v>202</v>
      </c>
      <c r="C9" s="46" t="s">
        <v>6923</v>
      </c>
      <c r="D9" s="49">
        <v>12</v>
      </c>
    </row>
    <row r="10" spans="1:4" x14ac:dyDescent="0.25">
      <c r="A10" s="46">
        <v>85366</v>
      </c>
      <c r="B10" s="46" t="s">
        <v>364</v>
      </c>
      <c r="C10" s="46" t="s">
        <v>6919</v>
      </c>
      <c r="D10" s="49">
        <v>8</v>
      </c>
    </row>
    <row r="11" spans="1:4" x14ac:dyDescent="0.25">
      <c r="A11" s="46">
        <v>2161</v>
      </c>
      <c r="B11" s="46" t="s">
        <v>81</v>
      </c>
      <c r="C11" s="46" t="s">
        <v>6924</v>
      </c>
      <c r="D11" s="49">
        <v>48</v>
      </c>
    </row>
    <row r="12" spans="1:4" x14ac:dyDescent="0.25">
      <c r="A12" s="46">
        <v>73141</v>
      </c>
      <c r="B12" s="46" t="s">
        <v>610</v>
      </c>
      <c r="C12" s="46" t="s">
        <v>6925</v>
      </c>
      <c r="D12" s="49">
        <v>63</v>
      </c>
    </row>
    <row r="13" spans="1:4" x14ac:dyDescent="0.25">
      <c r="A13" s="46">
        <v>74551</v>
      </c>
      <c r="B13" s="46" t="s">
        <v>495</v>
      </c>
      <c r="C13" s="46" t="s">
        <v>6926</v>
      </c>
      <c r="D13" s="49">
        <v>24</v>
      </c>
    </row>
    <row r="14" spans="1:4" x14ac:dyDescent="0.25">
      <c r="A14" s="46">
        <v>84938</v>
      </c>
      <c r="B14" s="46" t="s">
        <v>654</v>
      </c>
      <c r="C14" s="46" t="s">
        <v>6927</v>
      </c>
      <c r="D14" s="49">
        <v>30</v>
      </c>
    </row>
    <row r="15" spans="1:4" x14ac:dyDescent="0.25">
      <c r="A15" s="46">
        <v>84980</v>
      </c>
      <c r="B15" s="46" t="s">
        <v>6928</v>
      </c>
      <c r="C15" s="46" t="s">
        <v>6929</v>
      </c>
      <c r="D15" s="49">
        <v>0</v>
      </c>
    </row>
    <row r="16" spans="1:4" x14ac:dyDescent="0.25">
      <c r="A16" s="46">
        <v>85651</v>
      </c>
      <c r="B16" s="46" t="s">
        <v>1124</v>
      </c>
      <c r="C16" s="46" t="s">
        <v>6930</v>
      </c>
      <c r="D16" s="49">
        <v>33</v>
      </c>
    </row>
    <row r="17" spans="1:4" x14ac:dyDescent="0.25">
      <c r="A17" s="46">
        <v>72866</v>
      </c>
      <c r="B17" s="46" t="s">
        <v>258</v>
      </c>
      <c r="C17" s="46" t="s">
        <v>6931</v>
      </c>
      <c r="D17" s="49">
        <v>0</v>
      </c>
    </row>
    <row r="18" spans="1:4" x14ac:dyDescent="0.25">
      <c r="A18" s="46">
        <v>84901</v>
      </c>
      <c r="B18" s="46" t="s">
        <v>52</v>
      </c>
      <c r="C18" s="46" t="s">
        <v>6927</v>
      </c>
      <c r="D18" s="49">
        <v>30</v>
      </c>
    </row>
    <row r="19" spans="1:4" x14ac:dyDescent="0.25">
      <c r="A19" s="46">
        <v>84991</v>
      </c>
      <c r="B19" s="46" t="s">
        <v>6932</v>
      </c>
      <c r="C19" s="46" t="s">
        <v>6931</v>
      </c>
      <c r="D19" s="49">
        <v>0</v>
      </c>
    </row>
    <row r="20" spans="1:4" x14ac:dyDescent="0.25">
      <c r="A20" s="46">
        <v>73988</v>
      </c>
      <c r="B20" s="46" t="s">
        <v>6933</v>
      </c>
      <c r="C20" s="46" t="s">
        <v>6934</v>
      </c>
      <c r="D20" s="49">
        <v>0</v>
      </c>
    </row>
    <row r="21" spans="1:4" x14ac:dyDescent="0.25">
      <c r="A21" s="46">
        <v>72829</v>
      </c>
      <c r="B21" s="46" t="s">
        <v>422</v>
      </c>
      <c r="C21" s="46" t="s">
        <v>6935</v>
      </c>
      <c r="D21" s="49">
        <v>0</v>
      </c>
    </row>
    <row r="22" spans="1:4" x14ac:dyDescent="0.25">
      <c r="A22" s="46">
        <v>84921</v>
      </c>
      <c r="B22" s="46" t="s">
        <v>99</v>
      </c>
      <c r="C22" s="46" t="s">
        <v>6936</v>
      </c>
      <c r="D22" s="49">
        <v>30</v>
      </c>
    </row>
    <row r="23" spans="1:4" x14ac:dyDescent="0.25">
      <c r="A23" s="46">
        <v>84999</v>
      </c>
      <c r="B23" s="46" t="s">
        <v>6937</v>
      </c>
      <c r="C23" s="46" t="s">
        <v>6935</v>
      </c>
      <c r="D23" s="49">
        <v>0</v>
      </c>
    </row>
    <row r="24" spans="1:4" x14ac:dyDescent="0.25">
      <c r="A24" s="46">
        <v>74111</v>
      </c>
      <c r="B24" s="46" t="s">
        <v>6938</v>
      </c>
      <c r="C24" s="46" t="s">
        <v>6939</v>
      </c>
      <c r="D24" s="49">
        <v>0</v>
      </c>
    </row>
    <row r="25" spans="1:4" x14ac:dyDescent="0.25">
      <c r="A25" s="46">
        <v>87025</v>
      </c>
      <c r="B25" s="46" t="s">
        <v>137</v>
      </c>
      <c r="C25" s="46" t="s">
        <v>6927</v>
      </c>
      <c r="D25" s="49">
        <v>30</v>
      </c>
    </row>
    <row r="26" spans="1:4" x14ac:dyDescent="0.25">
      <c r="A26" s="46">
        <v>74565</v>
      </c>
      <c r="B26" s="46" t="s">
        <v>6940</v>
      </c>
      <c r="C26" s="46" t="s">
        <v>6934</v>
      </c>
      <c r="D26" s="49">
        <v>0</v>
      </c>
    </row>
    <row r="27" spans="1:4" x14ac:dyDescent="0.25">
      <c r="A27" s="46">
        <v>74629</v>
      </c>
      <c r="B27" s="46" t="s">
        <v>256</v>
      </c>
      <c r="C27" s="46" t="s">
        <v>6941</v>
      </c>
      <c r="D27" s="49">
        <v>0</v>
      </c>
    </row>
    <row r="28" spans="1:4" x14ac:dyDescent="0.25">
      <c r="A28" s="46">
        <v>74106</v>
      </c>
      <c r="B28" s="46" t="s">
        <v>6942</v>
      </c>
      <c r="C28" s="46" t="s">
        <v>6943</v>
      </c>
      <c r="D28" s="49">
        <v>0</v>
      </c>
    </row>
    <row r="29" spans="1:4" x14ac:dyDescent="0.25">
      <c r="A29" s="46">
        <v>74501</v>
      </c>
      <c r="B29" s="46" t="s">
        <v>922</v>
      </c>
      <c r="C29" s="46" t="s">
        <v>6944</v>
      </c>
      <c r="D29" s="49">
        <v>52</v>
      </c>
    </row>
    <row r="30" spans="1:4" x14ac:dyDescent="0.25">
      <c r="A30" s="46">
        <v>73163</v>
      </c>
      <c r="B30" s="46" t="s">
        <v>1011</v>
      </c>
      <c r="C30" s="46" t="s">
        <v>6945</v>
      </c>
      <c r="D30" s="49">
        <v>0</v>
      </c>
    </row>
    <row r="31" spans="1:4" x14ac:dyDescent="0.25">
      <c r="A31" s="46">
        <v>73311</v>
      </c>
      <c r="B31" s="46" t="s">
        <v>6946</v>
      </c>
      <c r="C31" s="46" t="s">
        <v>6931</v>
      </c>
      <c r="D31" s="49">
        <v>0</v>
      </c>
    </row>
    <row r="32" spans="1:4" x14ac:dyDescent="0.25">
      <c r="A32" s="46">
        <v>73292</v>
      </c>
      <c r="B32" s="46" t="s">
        <v>6947</v>
      </c>
      <c r="C32" s="46" t="s">
        <v>6931</v>
      </c>
      <c r="D32" s="49">
        <v>0</v>
      </c>
    </row>
    <row r="33" spans="1:4" x14ac:dyDescent="0.25">
      <c r="A33" s="46">
        <v>73077</v>
      </c>
      <c r="B33" s="46" t="s">
        <v>79</v>
      </c>
      <c r="C33" s="46" t="s">
        <v>6948</v>
      </c>
      <c r="D33" s="49">
        <v>42</v>
      </c>
    </row>
    <row r="34" spans="1:4" x14ac:dyDescent="0.25">
      <c r="A34" s="46">
        <v>73174</v>
      </c>
      <c r="B34" s="46" t="s">
        <v>767</v>
      </c>
      <c r="C34" s="46" t="s">
        <v>6949</v>
      </c>
      <c r="D34" s="49">
        <v>66</v>
      </c>
    </row>
    <row r="35" spans="1:4" x14ac:dyDescent="0.25">
      <c r="A35" s="46">
        <v>85124</v>
      </c>
      <c r="B35" s="46" t="s">
        <v>645</v>
      </c>
      <c r="C35" s="46" t="s">
        <v>6950</v>
      </c>
      <c r="D35" s="49">
        <v>28</v>
      </c>
    </row>
    <row r="36" spans="1:4" x14ac:dyDescent="0.25">
      <c r="A36" s="46">
        <v>85648</v>
      </c>
      <c r="B36" s="46" t="s">
        <v>289</v>
      </c>
      <c r="C36" s="46" t="s">
        <v>6951</v>
      </c>
      <c r="D36" s="49">
        <v>4</v>
      </c>
    </row>
    <row r="37" spans="1:4" x14ac:dyDescent="0.25">
      <c r="A37" s="46">
        <v>74128</v>
      </c>
      <c r="B37" s="46" t="s">
        <v>6952</v>
      </c>
      <c r="C37" s="46" t="s">
        <v>6953</v>
      </c>
      <c r="D37" s="49">
        <v>0</v>
      </c>
    </row>
    <row r="38" spans="1:4" x14ac:dyDescent="0.25">
      <c r="A38" s="46">
        <v>86392</v>
      </c>
      <c r="B38" s="46" t="s">
        <v>410</v>
      </c>
      <c r="C38" s="46" t="s">
        <v>6954</v>
      </c>
      <c r="D38" s="49">
        <v>26</v>
      </c>
    </row>
    <row r="39" spans="1:4" x14ac:dyDescent="0.25">
      <c r="A39" s="46">
        <v>85168</v>
      </c>
      <c r="B39" s="46" t="s">
        <v>101</v>
      </c>
      <c r="C39" s="46" t="s">
        <v>6955</v>
      </c>
      <c r="D39" s="49">
        <v>0</v>
      </c>
    </row>
    <row r="40" spans="1:4" x14ac:dyDescent="0.25">
      <c r="A40" s="46">
        <v>86071</v>
      </c>
      <c r="B40" s="46" t="s">
        <v>247</v>
      </c>
      <c r="C40" s="46" t="s">
        <v>6951</v>
      </c>
      <c r="D40" s="49">
        <v>4</v>
      </c>
    </row>
    <row r="41" spans="1:4" x14ac:dyDescent="0.25">
      <c r="A41" s="46">
        <v>73364</v>
      </c>
      <c r="B41" s="46" t="s">
        <v>612</v>
      </c>
      <c r="C41" s="46" t="s">
        <v>6956</v>
      </c>
      <c r="D41" s="49">
        <v>30</v>
      </c>
    </row>
    <row r="42" spans="1:4" x14ac:dyDescent="0.25">
      <c r="A42" s="46">
        <v>73366</v>
      </c>
      <c r="B42" s="46" t="s">
        <v>466</v>
      </c>
      <c r="C42" s="46" t="s">
        <v>6956</v>
      </c>
      <c r="D42" s="49">
        <v>30</v>
      </c>
    </row>
    <row r="43" spans="1:4" x14ac:dyDescent="0.25">
      <c r="A43" s="46">
        <v>73371</v>
      </c>
      <c r="B43" s="46" t="s">
        <v>317</v>
      </c>
      <c r="C43" s="46" t="s">
        <v>6956</v>
      </c>
      <c r="D43" s="49">
        <v>30</v>
      </c>
    </row>
    <row r="44" spans="1:4" x14ac:dyDescent="0.25">
      <c r="A44" s="46">
        <v>73378</v>
      </c>
      <c r="B44" s="46" t="s">
        <v>315</v>
      </c>
      <c r="C44" s="46" t="s">
        <v>6957</v>
      </c>
      <c r="D44" s="49">
        <v>30</v>
      </c>
    </row>
    <row r="45" spans="1:4" x14ac:dyDescent="0.25">
      <c r="A45" s="46">
        <v>73385</v>
      </c>
      <c r="B45" s="46" t="s">
        <v>475</v>
      </c>
      <c r="C45" s="46" t="s">
        <v>6950</v>
      </c>
      <c r="D45" s="49">
        <v>28</v>
      </c>
    </row>
    <row r="46" spans="1:4" x14ac:dyDescent="0.25">
      <c r="A46" s="46">
        <v>73388</v>
      </c>
      <c r="B46" s="46" t="s">
        <v>108</v>
      </c>
      <c r="C46" s="46" t="s">
        <v>6958</v>
      </c>
      <c r="D46" s="49">
        <v>26</v>
      </c>
    </row>
    <row r="47" spans="1:4" x14ac:dyDescent="0.25">
      <c r="A47" s="46">
        <v>84588</v>
      </c>
      <c r="B47" s="46" t="s">
        <v>690</v>
      </c>
      <c r="C47" s="46" t="s">
        <v>6959</v>
      </c>
      <c r="D47" s="49">
        <v>0</v>
      </c>
    </row>
    <row r="48" spans="1:4" x14ac:dyDescent="0.25">
      <c r="A48" s="46">
        <v>84586</v>
      </c>
      <c r="B48" s="46" t="s">
        <v>405</v>
      </c>
      <c r="C48" s="46" t="s">
        <v>6960</v>
      </c>
      <c r="D48" s="49">
        <v>0</v>
      </c>
    </row>
    <row r="49" spans="1:4" x14ac:dyDescent="0.25">
      <c r="A49" s="46">
        <v>84562</v>
      </c>
      <c r="B49" s="46" t="s">
        <v>730</v>
      </c>
      <c r="C49" s="46" t="s">
        <v>6961</v>
      </c>
      <c r="D49" s="49">
        <v>0</v>
      </c>
    </row>
    <row r="50" spans="1:4" x14ac:dyDescent="0.25">
      <c r="A50" s="46">
        <v>85019</v>
      </c>
      <c r="B50" s="46" t="s">
        <v>6962</v>
      </c>
      <c r="C50" s="46" t="s">
        <v>6963</v>
      </c>
      <c r="D50" s="49">
        <v>0</v>
      </c>
    </row>
    <row r="51" spans="1:4" x14ac:dyDescent="0.25">
      <c r="A51" s="46">
        <v>85866</v>
      </c>
      <c r="B51" s="46" t="s">
        <v>6964</v>
      </c>
      <c r="C51" s="46" t="s">
        <v>6965</v>
      </c>
      <c r="D51" s="49">
        <v>0</v>
      </c>
    </row>
    <row r="52" spans="1:4" x14ac:dyDescent="0.25">
      <c r="A52" s="46">
        <v>85012</v>
      </c>
      <c r="B52" s="46" t="s">
        <v>6966</v>
      </c>
      <c r="C52" s="46" t="s">
        <v>6967</v>
      </c>
      <c r="D52" s="49">
        <v>0</v>
      </c>
    </row>
    <row r="53" spans="1:4" x14ac:dyDescent="0.25">
      <c r="A53" s="46">
        <v>87566</v>
      </c>
      <c r="B53" s="46" t="s">
        <v>597</v>
      </c>
      <c r="C53" s="46" t="s">
        <v>6920</v>
      </c>
      <c r="D53" s="49">
        <v>11</v>
      </c>
    </row>
    <row r="54" spans="1:4" x14ac:dyDescent="0.25">
      <c r="A54" s="46">
        <v>84785</v>
      </c>
      <c r="B54" s="46" t="s">
        <v>530</v>
      </c>
      <c r="C54" s="46" t="s">
        <v>6920</v>
      </c>
      <c r="D54" s="49">
        <v>11</v>
      </c>
    </row>
    <row r="55" spans="1:4" x14ac:dyDescent="0.25">
      <c r="A55" s="46">
        <v>84721</v>
      </c>
      <c r="B55" s="46" t="s">
        <v>286</v>
      </c>
      <c r="C55" s="46" t="s">
        <v>6968</v>
      </c>
      <c r="D55" s="49">
        <v>0</v>
      </c>
    </row>
    <row r="56" spans="1:4" x14ac:dyDescent="0.25">
      <c r="A56" s="46">
        <v>74552</v>
      </c>
      <c r="B56" s="46" t="s">
        <v>341</v>
      </c>
      <c r="C56" s="46" t="s">
        <v>6969</v>
      </c>
      <c r="D56" s="49">
        <v>19</v>
      </c>
    </row>
    <row r="57" spans="1:4" x14ac:dyDescent="0.25">
      <c r="A57" s="46">
        <v>73126</v>
      </c>
      <c r="B57" s="46" t="s">
        <v>352</v>
      </c>
      <c r="C57" s="46" t="s">
        <v>6970</v>
      </c>
      <c r="D57" s="49">
        <v>20</v>
      </c>
    </row>
    <row r="58" spans="1:4" x14ac:dyDescent="0.25">
      <c r="A58" s="46">
        <v>85654</v>
      </c>
      <c r="B58" s="46" t="s">
        <v>1119</v>
      </c>
      <c r="C58" s="46" t="s">
        <v>6971</v>
      </c>
      <c r="D58" s="49">
        <v>26</v>
      </c>
    </row>
    <row r="59" spans="1:4" x14ac:dyDescent="0.25">
      <c r="A59" s="46">
        <v>74516</v>
      </c>
      <c r="B59" s="46" t="s">
        <v>560</v>
      </c>
      <c r="C59" s="46" t="s">
        <v>6972</v>
      </c>
      <c r="D59" s="49">
        <v>0</v>
      </c>
    </row>
    <row r="60" spans="1:4" x14ac:dyDescent="0.25">
      <c r="A60" s="46">
        <v>73136</v>
      </c>
      <c r="B60" s="46" t="s">
        <v>6973</v>
      </c>
      <c r="C60" s="46" t="s">
        <v>6974</v>
      </c>
      <c r="D60" s="49">
        <v>0</v>
      </c>
    </row>
    <row r="61" spans="1:4" x14ac:dyDescent="0.25">
      <c r="A61" s="46">
        <v>85670</v>
      </c>
      <c r="B61" s="46" t="s">
        <v>128</v>
      </c>
      <c r="C61" s="46" t="s">
        <v>6971</v>
      </c>
      <c r="D61" s="49">
        <v>26</v>
      </c>
    </row>
    <row r="62" spans="1:4" x14ac:dyDescent="0.25">
      <c r="A62" s="46">
        <v>73122</v>
      </c>
      <c r="B62" s="46" t="s">
        <v>179</v>
      </c>
      <c r="C62" s="46" t="s">
        <v>6975</v>
      </c>
      <c r="D62" s="49">
        <v>16</v>
      </c>
    </row>
    <row r="63" spans="1:4" x14ac:dyDescent="0.25">
      <c r="A63" s="46">
        <v>73123</v>
      </c>
      <c r="B63" s="46" t="s">
        <v>182</v>
      </c>
      <c r="C63" s="46" t="s">
        <v>6975</v>
      </c>
      <c r="D63" s="49">
        <v>16</v>
      </c>
    </row>
    <row r="64" spans="1:4" x14ac:dyDescent="0.25">
      <c r="A64" s="46">
        <v>73152</v>
      </c>
      <c r="B64" s="46" t="s">
        <v>673</v>
      </c>
      <c r="C64" s="46" t="s">
        <v>6976</v>
      </c>
      <c r="D64" s="49">
        <v>46</v>
      </c>
    </row>
    <row r="65" spans="1:4" x14ac:dyDescent="0.25">
      <c r="A65" s="46">
        <v>2162</v>
      </c>
      <c r="B65" s="46" t="s">
        <v>391</v>
      </c>
      <c r="C65" s="46" t="s">
        <v>6977</v>
      </c>
      <c r="D65" s="49">
        <v>64</v>
      </c>
    </row>
    <row r="66" spans="1:4" x14ac:dyDescent="0.25">
      <c r="A66" s="46">
        <v>85284</v>
      </c>
      <c r="B66" s="46" t="s">
        <v>1126</v>
      </c>
      <c r="C66" s="46" t="s">
        <v>6978</v>
      </c>
      <c r="D66" s="49">
        <v>36</v>
      </c>
    </row>
    <row r="67" spans="1:4" x14ac:dyDescent="0.25">
      <c r="A67" s="46">
        <v>85462</v>
      </c>
      <c r="B67" s="46" t="s">
        <v>665</v>
      </c>
      <c r="C67" s="46" t="s">
        <v>6979</v>
      </c>
      <c r="D67" s="49">
        <v>28</v>
      </c>
    </row>
    <row r="68" spans="1:4" x14ac:dyDescent="0.25">
      <c r="A68" s="46">
        <v>85543</v>
      </c>
      <c r="B68" s="46" t="s">
        <v>291</v>
      </c>
      <c r="C68" s="46" t="s">
        <v>6980</v>
      </c>
      <c r="D68" s="49">
        <v>18</v>
      </c>
    </row>
    <row r="69" spans="1:4" x14ac:dyDescent="0.25">
      <c r="A69" s="46">
        <v>85553</v>
      </c>
      <c r="B69" s="46" t="s">
        <v>590</v>
      </c>
      <c r="C69" s="46" t="s">
        <v>6981</v>
      </c>
      <c r="D69" s="49">
        <v>12</v>
      </c>
    </row>
    <row r="70" spans="1:4" x14ac:dyDescent="0.25">
      <c r="A70" s="46">
        <v>85594</v>
      </c>
      <c r="B70" s="46" t="s">
        <v>592</v>
      </c>
      <c r="C70" s="46" t="s">
        <v>6923</v>
      </c>
      <c r="D70" s="49">
        <v>12</v>
      </c>
    </row>
    <row r="71" spans="1:4" x14ac:dyDescent="0.25">
      <c r="A71" s="46">
        <v>87646</v>
      </c>
      <c r="B71" s="46" t="s">
        <v>860</v>
      </c>
      <c r="C71" s="46" t="s">
        <v>6982</v>
      </c>
      <c r="D71" s="49">
        <v>64</v>
      </c>
    </row>
    <row r="72" spans="1:4" x14ac:dyDescent="0.25">
      <c r="A72" s="46">
        <v>95029</v>
      </c>
      <c r="B72" s="46" t="s">
        <v>509</v>
      </c>
      <c r="C72" s="46" t="s">
        <v>6983</v>
      </c>
      <c r="D72" s="49">
        <v>0</v>
      </c>
    </row>
    <row r="73" spans="1:4" x14ac:dyDescent="0.25">
      <c r="A73" s="46">
        <v>95040</v>
      </c>
      <c r="B73" s="46" t="s">
        <v>87</v>
      </c>
      <c r="C73" s="46" t="s">
        <v>6984</v>
      </c>
      <c r="D73" s="49">
        <v>0</v>
      </c>
    </row>
    <row r="74" spans="1:4" x14ac:dyDescent="0.25">
      <c r="A74" s="46">
        <v>85344</v>
      </c>
      <c r="B74" s="46" t="s">
        <v>662</v>
      </c>
      <c r="C74" s="46" t="s">
        <v>6978</v>
      </c>
      <c r="D74" s="49">
        <v>36</v>
      </c>
    </row>
    <row r="75" spans="1:4" x14ac:dyDescent="0.25">
      <c r="A75" s="46">
        <v>85436</v>
      </c>
      <c r="B75" s="46" t="s">
        <v>225</v>
      </c>
      <c r="C75" s="46" t="s">
        <v>6985</v>
      </c>
      <c r="D75" s="49">
        <v>32</v>
      </c>
    </row>
    <row r="76" spans="1:4" x14ac:dyDescent="0.25">
      <c r="A76" s="46">
        <v>85640</v>
      </c>
      <c r="B76" s="46" t="s">
        <v>892</v>
      </c>
      <c r="C76" s="46" t="s">
        <v>6986</v>
      </c>
      <c r="D76" s="49">
        <v>42</v>
      </c>
    </row>
    <row r="77" spans="1:4" x14ac:dyDescent="0.25">
      <c r="A77" s="46">
        <v>85644</v>
      </c>
      <c r="B77" s="46" t="s">
        <v>295</v>
      </c>
      <c r="C77" s="46" t="s">
        <v>6987</v>
      </c>
      <c r="D77" s="49">
        <v>24</v>
      </c>
    </row>
    <row r="78" spans="1:4" x14ac:dyDescent="0.25">
      <c r="A78" s="46">
        <v>73157</v>
      </c>
      <c r="B78" s="46" t="s">
        <v>542</v>
      </c>
      <c r="C78" s="46" t="s">
        <v>6988</v>
      </c>
      <c r="D78" s="49">
        <v>36</v>
      </c>
    </row>
    <row r="79" spans="1:4" x14ac:dyDescent="0.25">
      <c r="A79" s="46">
        <v>84998</v>
      </c>
      <c r="B79" s="46" t="s">
        <v>6989</v>
      </c>
      <c r="C79" s="46" t="s">
        <v>6990</v>
      </c>
      <c r="D79" s="49">
        <v>0</v>
      </c>
    </row>
    <row r="80" spans="1:4" x14ac:dyDescent="0.25">
      <c r="A80" s="46">
        <v>73166</v>
      </c>
      <c r="B80" s="46" t="s">
        <v>499</v>
      </c>
      <c r="C80" s="46" t="s">
        <v>6948</v>
      </c>
      <c r="D80" s="49">
        <v>42</v>
      </c>
    </row>
    <row r="81" spans="1:4" x14ac:dyDescent="0.25">
      <c r="A81" s="46">
        <v>74201</v>
      </c>
      <c r="B81" s="46" t="s">
        <v>287</v>
      </c>
      <c r="C81" s="46" t="s">
        <v>6991</v>
      </c>
      <c r="D81" s="49">
        <v>14</v>
      </c>
    </row>
    <row r="82" spans="1:4" x14ac:dyDescent="0.25">
      <c r="A82" s="46">
        <v>79208</v>
      </c>
      <c r="B82" s="46" t="s">
        <v>512</v>
      </c>
      <c r="C82" s="46" t="s">
        <v>6992</v>
      </c>
      <c r="D82" s="49">
        <v>15</v>
      </c>
    </row>
    <row r="83" spans="1:4" x14ac:dyDescent="0.25">
      <c r="A83" s="46">
        <v>73259</v>
      </c>
      <c r="B83" s="46" t="s">
        <v>303</v>
      </c>
      <c r="C83" s="46" t="s">
        <v>6993</v>
      </c>
      <c r="D83" s="49">
        <v>12</v>
      </c>
    </row>
    <row r="84" spans="1:4" x14ac:dyDescent="0.25">
      <c r="A84" s="46">
        <v>221</v>
      </c>
      <c r="B84" s="46" t="s">
        <v>6994</v>
      </c>
      <c r="C84" s="46" t="s">
        <v>6995</v>
      </c>
      <c r="D84" s="49">
        <v>0</v>
      </c>
    </row>
    <row r="85" spans="1:4" x14ac:dyDescent="0.25">
      <c r="A85" s="46">
        <v>73267</v>
      </c>
      <c r="B85" s="46" t="s">
        <v>6996</v>
      </c>
      <c r="C85" s="46" t="s">
        <v>6997</v>
      </c>
      <c r="D85" s="49">
        <v>0</v>
      </c>
    </row>
    <row r="86" spans="1:4" x14ac:dyDescent="0.25">
      <c r="A86" s="46">
        <v>85002</v>
      </c>
      <c r="B86" s="46" t="s">
        <v>6998</v>
      </c>
      <c r="C86" s="46" t="s">
        <v>6997</v>
      </c>
      <c r="D86" s="49">
        <v>0</v>
      </c>
    </row>
    <row r="87" spans="1:4" x14ac:dyDescent="0.25">
      <c r="A87" s="46">
        <v>81942</v>
      </c>
      <c r="B87" s="46" t="s">
        <v>433</v>
      </c>
      <c r="C87" s="46" t="s">
        <v>6999</v>
      </c>
      <c r="D87" s="49">
        <v>0</v>
      </c>
    </row>
    <row r="88" spans="1:4" x14ac:dyDescent="0.25">
      <c r="A88" s="46">
        <v>81941</v>
      </c>
      <c r="B88" s="46" t="s">
        <v>271</v>
      </c>
      <c r="C88" s="46" t="s">
        <v>7000</v>
      </c>
      <c r="D88" s="49">
        <v>0</v>
      </c>
    </row>
    <row r="89" spans="1:4" x14ac:dyDescent="0.25">
      <c r="A89" s="46">
        <v>82581</v>
      </c>
      <c r="B89" s="46" t="s">
        <v>7001</v>
      </c>
      <c r="C89" s="46" t="s">
        <v>6995</v>
      </c>
      <c r="D89" s="49">
        <v>0</v>
      </c>
    </row>
    <row r="90" spans="1:4" x14ac:dyDescent="0.25">
      <c r="A90" s="46">
        <v>85001</v>
      </c>
      <c r="B90" s="46" t="s">
        <v>7002</v>
      </c>
      <c r="C90" s="46" t="s">
        <v>6995</v>
      </c>
      <c r="D90" s="49">
        <v>0</v>
      </c>
    </row>
    <row r="91" spans="1:4" x14ac:dyDescent="0.25">
      <c r="A91" s="46">
        <v>81938</v>
      </c>
      <c r="B91" s="46" t="s">
        <v>362</v>
      </c>
      <c r="C91" s="46" t="s">
        <v>7003</v>
      </c>
      <c r="D91" s="49">
        <v>11</v>
      </c>
    </row>
    <row r="92" spans="1:4" x14ac:dyDescent="0.25">
      <c r="A92" s="46">
        <v>81935</v>
      </c>
      <c r="B92" s="46" t="s">
        <v>219</v>
      </c>
      <c r="C92" s="46" t="s">
        <v>7004</v>
      </c>
      <c r="D92" s="49">
        <v>25</v>
      </c>
    </row>
    <row r="93" spans="1:4" x14ac:dyDescent="0.25">
      <c r="A93" s="46">
        <v>87168</v>
      </c>
      <c r="B93" s="46" t="s">
        <v>462</v>
      </c>
      <c r="C93" s="46" t="s">
        <v>7005</v>
      </c>
      <c r="D93" s="49">
        <v>16</v>
      </c>
    </row>
    <row r="94" spans="1:4" x14ac:dyDescent="0.25">
      <c r="A94" s="46">
        <v>87128</v>
      </c>
      <c r="B94" s="46" t="s">
        <v>747</v>
      </c>
      <c r="C94" s="46" t="s">
        <v>7006</v>
      </c>
      <c r="D94" s="49">
        <v>144</v>
      </c>
    </row>
    <row r="95" spans="1:4" x14ac:dyDescent="0.25">
      <c r="A95" s="46">
        <v>84847</v>
      </c>
      <c r="B95" s="46" t="s">
        <v>651</v>
      </c>
      <c r="C95" s="46" t="s">
        <v>7007</v>
      </c>
      <c r="D95" s="49">
        <v>24</v>
      </c>
    </row>
    <row r="96" spans="1:4" x14ac:dyDescent="0.25">
      <c r="A96" s="46">
        <v>84866</v>
      </c>
      <c r="B96" s="46" t="s">
        <v>940</v>
      </c>
      <c r="C96" s="46" t="s">
        <v>7008</v>
      </c>
      <c r="D96" s="49">
        <v>26</v>
      </c>
    </row>
    <row r="97" spans="1:4" x14ac:dyDescent="0.25">
      <c r="A97" s="46">
        <v>84885</v>
      </c>
      <c r="B97" s="46" t="s">
        <v>284</v>
      </c>
      <c r="C97" s="46" t="s">
        <v>6960</v>
      </c>
      <c r="D97" s="49">
        <v>0</v>
      </c>
    </row>
    <row r="98" spans="1:4" x14ac:dyDescent="0.25">
      <c r="A98" s="46">
        <v>85005</v>
      </c>
      <c r="B98" s="46" t="s">
        <v>7009</v>
      </c>
      <c r="C98" s="46" t="s">
        <v>6960</v>
      </c>
      <c r="D98" s="49">
        <v>0</v>
      </c>
    </row>
    <row r="99" spans="1:4" x14ac:dyDescent="0.25">
      <c r="A99" s="46">
        <v>84809</v>
      </c>
      <c r="B99" s="46" t="s">
        <v>532</v>
      </c>
      <c r="C99" s="46" t="s">
        <v>7010</v>
      </c>
      <c r="D99" s="49">
        <v>16</v>
      </c>
    </row>
    <row r="100" spans="1:4" x14ac:dyDescent="0.25">
      <c r="A100" s="46">
        <v>84755</v>
      </c>
      <c r="B100" s="46" t="s">
        <v>527</v>
      </c>
      <c r="C100" s="46" t="s">
        <v>7007</v>
      </c>
      <c r="D100" s="49">
        <v>24</v>
      </c>
    </row>
    <row r="101" spans="1:4" x14ac:dyDescent="0.25">
      <c r="A101" s="46">
        <v>87143</v>
      </c>
      <c r="B101" s="46" t="s">
        <v>1132</v>
      </c>
      <c r="C101" s="46" t="s">
        <v>7011</v>
      </c>
      <c r="D101" s="49">
        <v>28</v>
      </c>
    </row>
    <row r="102" spans="1:4" x14ac:dyDescent="0.25">
      <c r="A102" s="46">
        <v>2096</v>
      </c>
      <c r="B102" s="46" t="s">
        <v>555</v>
      </c>
      <c r="C102" s="46" t="s">
        <v>7012</v>
      </c>
      <c r="D102" s="49">
        <v>0</v>
      </c>
    </row>
    <row r="103" spans="1:4" x14ac:dyDescent="0.25">
      <c r="A103" s="46">
        <v>74428</v>
      </c>
      <c r="B103" s="46" t="s">
        <v>7013</v>
      </c>
      <c r="C103" s="46" t="s">
        <v>7014</v>
      </c>
      <c r="D103" s="49">
        <v>0</v>
      </c>
    </row>
    <row r="104" spans="1:4" x14ac:dyDescent="0.25">
      <c r="A104" s="46">
        <v>73778</v>
      </c>
      <c r="B104" s="46" t="s">
        <v>92</v>
      </c>
      <c r="C104" s="46" t="s">
        <v>7015</v>
      </c>
      <c r="D104" s="49">
        <v>0</v>
      </c>
    </row>
    <row r="105" spans="1:4" x14ac:dyDescent="0.25">
      <c r="A105" s="46">
        <v>74795</v>
      </c>
      <c r="B105" s="46" t="s">
        <v>7016</v>
      </c>
      <c r="C105" s="46" t="s">
        <v>7017</v>
      </c>
      <c r="D105" s="49">
        <v>0</v>
      </c>
    </row>
    <row r="106" spans="1:4" x14ac:dyDescent="0.25">
      <c r="A106" s="46">
        <v>74625</v>
      </c>
      <c r="B106" s="46" t="s">
        <v>7018</v>
      </c>
      <c r="C106" s="46" t="s">
        <v>7019</v>
      </c>
      <c r="D106" s="49">
        <v>0</v>
      </c>
    </row>
    <row r="107" spans="1:4" x14ac:dyDescent="0.25">
      <c r="A107" s="46">
        <v>72564</v>
      </c>
      <c r="B107" s="46" t="s">
        <v>7020</v>
      </c>
      <c r="C107" s="46" t="s">
        <v>7021</v>
      </c>
      <c r="D107" s="49">
        <v>0</v>
      </c>
    </row>
    <row r="108" spans="1:4" x14ac:dyDescent="0.25">
      <c r="A108" s="46">
        <v>74292</v>
      </c>
      <c r="B108" s="46" t="s">
        <v>7022</v>
      </c>
      <c r="C108" s="46" t="s">
        <v>7019</v>
      </c>
      <c r="D108" s="49">
        <v>0</v>
      </c>
    </row>
    <row r="109" spans="1:4" x14ac:dyDescent="0.25">
      <c r="A109" s="46">
        <v>2321</v>
      </c>
      <c r="B109" s="46" t="s">
        <v>988</v>
      </c>
      <c r="C109" s="46" t="s">
        <v>7023</v>
      </c>
      <c r="D109" s="49">
        <v>36</v>
      </c>
    </row>
    <row r="110" spans="1:4" x14ac:dyDescent="0.25">
      <c r="A110" s="46">
        <v>74213</v>
      </c>
      <c r="B110" s="46" t="s">
        <v>7024</v>
      </c>
      <c r="C110" s="46" t="s">
        <v>7021</v>
      </c>
      <c r="D110" s="49">
        <v>0</v>
      </c>
    </row>
    <row r="111" spans="1:4" x14ac:dyDescent="0.25">
      <c r="A111" s="46">
        <v>73226</v>
      </c>
      <c r="B111" s="46" t="s">
        <v>1163</v>
      </c>
      <c r="C111" s="46" t="s">
        <v>7025</v>
      </c>
      <c r="D111" s="49">
        <v>86</v>
      </c>
    </row>
    <row r="112" spans="1:4" x14ac:dyDescent="0.25">
      <c r="A112" s="46">
        <v>74649</v>
      </c>
      <c r="B112" s="46" t="s">
        <v>7026</v>
      </c>
      <c r="C112" s="46" t="s">
        <v>7019</v>
      </c>
      <c r="D112" s="49">
        <v>0</v>
      </c>
    </row>
    <row r="113" spans="1:4" x14ac:dyDescent="0.25">
      <c r="A113" s="46">
        <v>2186</v>
      </c>
      <c r="B113" s="46" t="s">
        <v>380</v>
      </c>
      <c r="C113" s="46" t="s">
        <v>7027</v>
      </c>
      <c r="D113" s="49">
        <v>368</v>
      </c>
    </row>
    <row r="114" spans="1:4" x14ac:dyDescent="0.25">
      <c r="A114" s="46">
        <v>2188</v>
      </c>
      <c r="B114" s="46" t="s">
        <v>565</v>
      </c>
      <c r="C114" s="46" t="s">
        <v>7028</v>
      </c>
      <c r="D114" s="49">
        <v>46</v>
      </c>
    </row>
    <row r="115" spans="1:4" x14ac:dyDescent="0.25">
      <c r="A115" s="46">
        <v>74554</v>
      </c>
      <c r="B115" s="46" t="s">
        <v>7029</v>
      </c>
      <c r="C115" s="46" t="s">
        <v>7030</v>
      </c>
      <c r="D115" s="49">
        <v>0</v>
      </c>
    </row>
    <row r="116" spans="1:4" x14ac:dyDescent="0.25">
      <c r="A116" s="46">
        <v>74078</v>
      </c>
      <c r="B116" s="46" t="s">
        <v>7031</v>
      </c>
      <c r="C116" s="46" t="s">
        <v>7032</v>
      </c>
      <c r="D116" s="49">
        <v>0</v>
      </c>
    </row>
    <row r="117" spans="1:4" x14ac:dyDescent="0.25">
      <c r="A117" s="46">
        <v>73800</v>
      </c>
      <c r="B117" s="46" t="s">
        <v>7033</v>
      </c>
      <c r="C117" s="46" t="s">
        <v>7034</v>
      </c>
      <c r="D117" s="49">
        <v>0</v>
      </c>
    </row>
    <row r="118" spans="1:4" x14ac:dyDescent="0.25">
      <c r="A118" s="46">
        <v>2240</v>
      </c>
      <c r="B118" s="46" t="s">
        <v>919</v>
      </c>
      <c r="C118" s="46" t="s">
        <v>7035</v>
      </c>
      <c r="D118" s="49">
        <v>132</v>
      </c>
    </row>
    <row r="119" spans="1:4" x14ac:dyDescent="0.25">
      <c r="A119" s="46">
        <v>74325</v>
      </c>
      <c r="B119" s="46" t="s">
        <v>7036</v>
      </c>
      <c r="C119" s="46" t="s">
        <v>7037</v>
      </c>
      <c r="D119" s="49">
        <v>0</v>
      </c>
    </row>
    <row r="120" spans="1:4" x14ac:dyDescent="0.25">
      <c r="A120" s="46">
        <v>72994</v>
      </c>
      <c r="B120" s="46" t="s">
        <v>7038</v>
      </c>
      <c r="C120" s="46" t="s">
        <v>7039</v>
      </c>
      <c r="D120" s="49">
        <v>0</v>
      </c>
    </row>
    <row r="121" spans="1:4" x14ac:dyDescent="0.25">
      <c r="A121" s="46">
        <v>2415</v>
      </c>
      <c r="B121" s="46" t="s">
        <v>701</v>
      </c>
      <c r="C121" s="46" t="s">
        <v>7040</v>
      </c>
      <c r="D121" s="49">
        <v>0</v>
      </c>
    </row>
    <row r="122" spans="1:4" x14ac:dyDescent="0.25">
      <c r="A122" s="46">
        <v>74327</v>
      </c>
      <c r="B122" s="46" t="s">
        <v>7041</v>
      </c>
      <c r="C122" s="46" t="s">
        <v>7042</v>
      </c>
      <c r="D122" s="49">
        <v>0</v>
      </c>
    </row>
    <row r="123" spans="1:4" x14ac:dyDescent="0.25">
      <c r="A123" s="46">
        <v>73952</v>
      </c>
      <c r="B123" s="46" t="s">
        <v>7043</v>
      </c>
      <c r="C123" s="46" t="s">
        <v>7044</v>
      </c>
      <c r="D123" s="49">
        <v>0</v>
      </c>
    </row>
    <row r="124" spans="1:4" x14ac:dyDescent="0.25">
      <c r="A124" s="46">
        <v>72892</v>
      </c>
      <c r="B124" s="46" t="s">
        <v>7045</v>
      </c>
      <c r="C124" s="46" t="s">
        <v>7046</v>
      </c>
      <c r="D124" s="49">
        <v>0</v>
      </c>
    </row>
    <row r="125" spans="1:4" x14ac:dyDescent="0.25">
      <c r="A125" s="46">
        <v>153</v>
      </c>
      <c r="B125" s="46" t="s">
        <v>474</v>
      </c>
      <c r="C125" s="46" t="s">
        <v>7047</v>
      </c>
      <c r="D125" s="49">
        <v>124</v>
      </c>
    </row>
    <row r="126" spans="1:4" x14ac:dyDescent="0.25">
      <c r="A126" s="46">
        <v>73001</v>
      </c>
      <c r="B126" s="46" t="s">
        <v>7048</v>
      </c>
      <c r="C126" s="46" t="s">
        <v>7049</v>
      </c>
      <c r="D126" s="49">
        <v>0</v>
      </c>
    </row>
    <row r="127" spans="1:4" x14ac:dyDescent="0.25">
      <c r="A127" s="46">
        <v>73595</v>
      </c>
      <c r="B127" s="46" t="s">
        <v>7050</v>
      </c>
      <c r="C127" s="46" t="s">
        <v>7051</v>
      </c>
      <c r="D127" s="49">
        <v>0</v>
      </c>
    </row>
    <row r="128" spans="1:4" x14ac:dyDescent="0.25">
      <c r="A128" s="46">
        <v>73615</v>
      </c>
      <c r="B128" s="46" t="s">
        <v>7052</v>
      </c>
      <c r="C128" s="46" t="s">
        <v>7053</v>
      </c>
      <c r="D128" s="49">
        <v>0</v>
      </c>
    </row>
    <row r="129" spans="1:4" x14ac:dyDescent="0.25">
      <c r="A129" s="46">
        <v>72623</v>
      </c>
      <c r="B129" s="46" t="s">
        <v>804</v>
      </c>
      <c r="C129" s="46" t="s">
        <v>7054</v>
      </c>
      <c r="D129" s="49">
        <v>111</v>
      </c>
    </row>
    <row r="130" spans="1:4" x14ac:dyDescent="0.25">
      <c r="A130" s="46">
        <v>73946</v>
      </c>
      <c r="B130" s="46" t="s">
        <v>7055</v>
      </c>
      <c r="C130" s="46" t="s">
        <v>7056</v>
      </c>
      <c r="D130" s="49">
        <v>0</v>
      </c>
    </row>
    <row r="131" spans="1:4" x14ac:dyDescent="0.25">
      <c r="A131" s="46">
        <v>72779</v>
      </c>
      <c r="B131" s="46" t="s">
        <v>1053</v>
      </c>
      <c r="C131" s="46" t="s">
        <v>7057</v>
      </c>
      <c r="D131" s="49">
        <v>6</v>
      </c>
    </row>
    <row r="132" spans="1:4" x14ac:dyDescent="0.25">
      <c r="A132" s="46">
        <v>189</v>
      </c>
      <c r="B132" s="46" t="s">
        <v>7058</v>
      </c>
      <c r="C132" s="46" t="s">
        <v>7059</v>
      </c>
      <c r="D132" s="49">
        <v>0</v>
      </c>
    </row>
    <row r="133" spans="1:4" x14ac:dyDescent="0.25">
      <c r="A133" s="46">
        <v>73592</v>
      </c>
      <c r="B133" s="46" t="s">
        <v>7060</v>
      </c>
      <c r="C133" s="46" t="s">
        <v>7061</v>
      </c>
      <c r="D133" s="49">
        <v>0</v>
      </c>
    </row>
    <row r="134" spans="1:4" x14ac:dyDescent="0.25">
      <c r="A134" s="46">
        <v>72906</v>
      </c>
      <c r="B134" s="46" t="s">
        <v>7062</v>
      </c>
      <c r="C134" s="46" t="s">
        <v>7063</v>
      </c>
      <c r="D134" s="49">
        <v>0</v>
      </c>
    </row>
    <row r="135" spans="1:4" x14ac:dyDescent="0.25">
      <c r="A135" s="46">
        <v>72596</v>
      </c>
      <c r="B135" s="46" t="s">
        <v>472</v>
      </c>
      <c r="C135" s="46" t="s">
        <v>7064</v>
      </c>
      <c r="D135" s="49">
        <v>108</v>
      </c>
    </row>
    <row r="136" spans="1:4" x14ac:dyDescent="0.25">
      <c r="A136" s="46">
        <v>308</v>
      </c>
      <c r="B136" s="46" t="s">
        <v>868</v>
      </c>
      <c r="C136" s="46" t="s">
        <v>7065</v>
      </c>
      <c r="D136" s="49">
        <v>105</v>
      </c>
    </row>
    <row r="137" spans="1:4" x14ac:dyDescent="0.25">
      <c r="A137" s="46">
        <v>73019</v>
      </c>
      <c r="B137" s="46" t="s">
        <v>7066</v>
      </c>
      <c r="C137" s="46" t="s">
        <v>7067</v>
      </c>
      <c r="D137" s="49">
        <v>0</v>
      </c>
    </row>
    <row r="138" spans="1:4" x14ac:dyDescent="0.25">
      <c r="A138" s="46">
        <v>73024</v>
      </c>
      <c r="B138" s="46" t="s">
        <v>7068</v>
      </c>
      <c r="C138" s="46" t="s">
        <v>7069</v>
      </c>
      <c r="D138" s="49">
        <v>0</v>
      </c>
    </row>
    <row r="139" spans="1:4" x14ac:dyDescent="0.25">
      <c r="A139" s="46">
        <v>73736</v>
      </c>
      <c r="B139" s="46" t="s">
        <v>7070</v>
      </c>
      <c r="C139" s="46" t="s">
        <v>7071</v>
      </c>
      <c r="D139" s="49">
        <v>0</v>
      </c>
    </row>
    <row r="140" spans="1:4" x14ac:dyDescent="0.25">
      <c r="A140" s="46">
        <v>2111</v>
      </c>
      <c r="B140" s="46" t="s">
        <v>539</v>
      </c>
      <c r="C140" s="46" t="s">
        <v>7072</v>
      </c>
      <c r="D140" s="49">
        <v>84</v>
      </c>
    </row>
    <row r="141" spans="1:4" x14ac:dyDescent="0.25">
      <c r="A141" s="46">
        <v>73377</v>
      </c>
      <c r="B141" s="46" t="s">
        <v>7073</v>
      </c>
      <c r="C141" s="46" t="s">
        <v>7074</v>
      </c>
      <c r="D141" s="49">
        <v>0</v>
      </c>
    </row>
    <row r="142" spans="1:4" x14ac:dyDescent="0.25">
      <c r="A142" s="46">
        <v>2410</v>
      </c>
      <c r="B142" s="46" t="s">
        <v>833</v>
      </c>
      <c r="C142" s="46" t="s">
        <v>7075</v>
      </c>
      <c r="D142" s="49">
        <v>45</v>
      </c>
    </row>
    <row r="143" spans="1:4" x14ac:dyDescent="0.25">
      <c r="A143" s="46">
        <v>81841</v>
      </c>
      <c r="B143" s="46" t="s">
        <v>7076</v>
      </c>
      <c r="C143" s="46" t="s">
        <v>7077</v>
      </c>
      <c r="D143" s="49">
        <v>0</v>
      </c>
    </row>
    <row r="144" spans="1:4" x14ac:dyDescent="0.25">
      <c r="A144" s="46">
        <v>81856</v>
      </c>
      <c r="B144" s="46" t="s">
        <v>7078</v>
      </c>
      <c r="C144" s="46" t="s">
        <v>7079</v>
      </c>
      <c r="D144" s="49">
        <v>0</v>
      </c>
    </row>
    <row r="145" spans="1:4" x14ac:dyDescent="0.25">
      <c r="A145" s="46">
        <v>81847</v>
      </c>
      <c r="B145" s="46" t="s">
        <v>7080</v>
      </c>
      <c r="C145" s="46" t="s">
        <v>7081</v>
      </c>
      <c r="D145" s="49">
        <v>0</v>
      </c>
    </row>
    <row r="146" spans="1:4" x14ac:dyDescent="0.25">
      <c r="A146" s="46">
        <v>81844</v>
      </c>
      <c r="B146" s="46" t="s">
        <v>454</v>
      </c>
      <c r="C146" s="46" t="s">
        <v>7082</v>
      </c>
      <c r="D146" s="49">
        <v>0</v>
      </c>
    </row>
    <row r="147" spans="1:4" x14ac:dyDescent="0.25">
      <c r="A147" s="46">
        <v>87140</v>
      </c>
      <c r="B147" s="46" t="s">
        <v>143</v>
      </c>
      <c r="C147" s="46" t="s">
        <v>7083</v>
      </c>
      <c r="D147" s="49">
        <v>20</v>
      </c>
    </row>
    <row r="148" spans="1:4" x14ac:dyDescent="0.25">
      <c r="A148" s="46">
        <v>87139</v>
      </c>
      <c r="B148" s="46" t="s">
        <v>505</v>
      </c>
      <c r="C148" s="46" t="s">
        <v>7084</v>
      </c>
      <c r="D148" s="49">
        <v>28</v>
      </c>
    </row>
    <row r="149" spans="1:4" x14ac:dyDescent="0.25">
      <c r="A149" s="46">
        <v>81890</v>
      </c>
      <c r="B149" s="46" t="s">
        <v>7085</v>
      </c>
      <c r="C149" s="46" t="s">
        <v>7086</v>
      </c>
      <c r="D149" s="49">
        <v>0</v>
      </c>
    </row>
    <row r="150" spans="1:4" x14ac:dyDescent="0.25">
      <c r="A150" s="46">
        <v>81887</v>
      </c>
      <c r="B150" s="46" t="s">
        <v>7087</v>
      </c>
      <c r="C150" s="46" t="s">
        <v>7079</v>
      </c>
      <c r="D150" s="49">
        <v>0</v>
      </c>
    </row>
    <row r="151" spans="1:4" x14ac:dyDescent="0.25">
      <c r="A151" s="46">
        <v>74393</v>
      </c>
      <c r="B151" s="46" t="s">
        <v>7088</v>
      </c>
      <c r="C151" s="46" t="s">
        <v>7086</v>
      </c>
      <c r="D151" s="49">
        <v>0</v>
      </c>
    </row>
    <row r="152" spans="1:4" x14ac:dyDescent="0.25">
      <c r="A152" s="46">
        <v>74392</v>
      </c>
      <c r="B152" s="46" t="s">
        <v>7089</v>
      </c>
      <c r="C152" s="46" t="s">
        <v>7090</v>
      </c>
      <c r="D152" s="49">
        <v>0</v>
      </c>
    </row>
    <row r="153" spans="1:4" x14ac:dyDescent="0.25">
      <c r="A153" s="46">
        <v>100261</v>
      </c>
      <c r="B153" s="46" t="s">
        <v>7091</v>
      </c>
      <c r="C153" s="46" t="s">
        <v>7092</v>
      </c>
      <c r="D153" s="49">
        <v>0</v>
      </c>
    </row>
    <row r="154" spans="1:4" x14ac:dyDescent="0.25">
      <c r="A154" s="46">
        <v>100264</v>
      </c>
      <c r="B154" s="46" t="s">
        <v>7093</v>
      </c>
      <c r="C154" s="46" t="s">
        <v>7094</v>
      </c>
      <c r="D154" s="49">
        <v>0</v>
      </c>
    </row>
    <row r="155" spans="1:4" x14ac:dyDescent="0.25">
      <c r="A155" s="46">
        <v>2408</v>
      </c>
      <c r="B155" s="46" t="s">
        <v>242</v>
      </c>
      <c r="C155" s="46" t="s">
        <v>7095</v>
      </c>
      <c r="D155" s="49">
        <v>16</v>
      </c>
    </row>
    <row r="156" spans="1:4" x14ac:dyDescent="0.25">
      <c r="A156" s="46">
        <v>2407</v>
      </c>
      <c r="B156" s="46" t="s">
        <v>400</v>
      </c>
      <c r="C156" s="46" t="s">
        <v>7096</v>
      </c>
      <c r="D156" s="49">
        <v>20</v>
      </c>
    </row>
    <row r="157" spans="1:4" x14ac:dyDescent="0.25">
      <c r="A157" s="46">
        <v>2409</v>
      </c>
      <c r="B157" s="46" t="s">
        <v>848</v>
      </c>
      <c r="C157" s="46" t="s">
        <v>7097</v>
      </c>
      <c r="D157" s="49">
        <v>10</v>
      </c>
    </row>
    <row r="158" spans="1:4" x14ac:dyDescent="0.25">
      <c r="A158" s="46">
        <v>2406</v>
      </c>
      <c r="B158" s="46" t="s">
        <v>678</v>
      </c>
      <c r="C158" s="46" t="s">
        <v>7098</v>
      </c>
      <c r="D158" s="49">
        <v>24</v>
      </c>
    </row>
    <row r="159" spans="1:4" x14ac:dyDescent="0.25">
      <c r="A159" s="46">
        <v>72569</v>
      </c>
      <c r="B159" s="46" t="s">
        <v>501</v>
      </c>
      <c r="C159" s="46" t="s">
        <v>7099</v>
      </c>
      <c r="D159" s="49">
        <v>24</v>
      </c>
    </row>
    <row r="160" spans="1:4" x14ac:dyDescent="0.25">
      <c r="A160" s="46">
        <v>72572</v>
      </c>
      <c r="B160" s="46" t="s">
        <v>503</v>
      </c>
      <c r="C160" s="46" t="s">
        <v>7100</v>
      </c>
      <c r="D160" s="49">
        <v>18</v>
      </c>
    </row>
    <row r="161" spans="1:4" x14ac:dyDescent="0.25">
      <c r="A161" s="46">
        <v>72567</v>
      </c>
      <c r="B161" s="46" t="s">
        <v>205</v>
      </c>
      <c r="C161" s="46" t="s">
        <v>7101</v>
      </c>
      <c r="D161" s="49">
        <v>32</v>
      </c>
    </row>
    <row r="162" spans="1:4" x14ac:dyDescent="0.25">
      <c r="A162" s="46">
        <v>72568</v>
      </c>
      <c r="B162" s="46" t="s">
        <v>797</v>
      </c>
      <c r="C162" s="46" t="s">
        <v>7102</v>
      </c>
      <c r="D162" s="49">
        <v>20</v>
      </c>
    </row>
    <row r="163" spans="1:4" x14ac:dyDescent="0.25">
      <c r="A163" s="46">
        <v>72566</v>
      </c>
      <c r="B163" s="46" t="s">
        <v>629</v>
      </c>
      <c r="C163" s="46" t="s">
        <v>7103</v>
      </c>
      <c r="D163" s="49">
        <v>20</v>
      </c>
    </row>
    <row r="164" spans="1:4" x14ac:dyDescent="0.25">
      <c r="A164" s="46">
        <v>74396</v>
      </c>
      <c r="B164" s="46" t="s">
        <v>7104</v>
      </c>
      <c r="C164" s="46" t="s">
        <v>7105</v>
      </c>
      <c r="D164" s="49">
        <v>0</v>
      </c>
    </row>
    <row r="165" spans="1:4" x14ac:dyDescent="0.25">
      <c r="A165" s="46">
        <v>86327</v>
      </c>
      <c r="B165" s="46" t="s">
        <v>897</v>
      </c>
      <c r="C165" s="46" t="s">
        <v>7106</v>
      </c>
      <c r="D165" s="49">
        <v>32</v>
      </c>
    </row>
    <row r="166" spans="1:4" x14ac:dyDescent="0.25">
      <c r="A166" s="46">
        <v>86318</v>
      </c>
      <c r="B166" s="46" t="s">
        <v>456</v>
      </c>
      <c r="C166" s="46" t="s">
        <v>7107</v>
      </c>
      <c r="D166" s="49">
        <v>24</v>
      </c>
    </row>
    <row r="167" spans="1:4" x14ac:dyDescent="0.25">
      <c r="A167" s="46">
        <v>86324</v>
      </c>
      <c r="B167" s="46" t="s">
        <v>56</v>
      </c>
      <c r="C167" s="46" t="s">
        <v>7099</v>
      </c>
      <c r="D167" s="49">
        <v>24</v>
      </c>
    </row>
    <row r="168" spans="1:4" x14ac:dyDescent="0.25">
      <c r="A168" s="46">
        <v>86265</v>
      </c>
      <c r="B168" s="46" t="s">
        <v>374</v>
      </c>
      <c r="C168" s="46" t="s">
        <v>7108</v>
      </c>
      <c r="D168" s="49">
        <v>24</v>
      </c>
    </row>
    <row r="169" spans="1:4" x14ac:dyDescent="0.25">
      <c r="A169" s="46">
        <v>86204</v>
      </c>
      <c r="B169" s="46" t="s">
        <v>90</v>
      </c>
      <c r="C169" s="46" t="s">
        <v>7109</v>
      </c>
      <c r="D169" s="49">
        <v>20</v>
      </c>
    </row>
    <row r="170" spans="1:4" x14ac:dyDescent="0.25">
      <c r="A170" s="46">
        <v>72662</v>
      </c>
      <c r="B170" s="46" t="s">
        <v>1056</v>
      </c>
      <c r="C170" s="46" t="s">
        <v>7110</v>
      </c>
      <c r="D170" s="49">
        <v>23</v>
      </c>
    </row>
    <row r="171" spans="1:4" x14ac:dyDescent="0.25">
      <c r="A171" s="46">
        <v>72661</v>
      </c>
      <c r="B171" s="46" t="s">
        <v>794</v>
      </c>
      <c r="C171" s="46" t="s">
        <v>7111</v>
      </c>
      <c r="D171" s="49">
        <v>18</v>
      </c>
    </row>
    <row r="172" spans="1:4" x14ac:dyDescent="0.25">
      <c r="A172" s="46">
        <v>72663</v>
      </c>
      <c r="B172" s="46" t="s">
        <v>200</v>
      </c>
      <c r="C172" s="46" t="s">
        <v>7102</v>
      </c>
      <c r="D172" s="49">
        <v>20</v>
      </c>
    </row>
    <row r="173" spans="1:4" x14ac:dyDescent="0.25">
      <c r="A173" s="46">
        <v>2319</v>
      </c>
      <c r="B173" s="46" t="s">
        <v>478</v>
      </c>
      <c r="C173" s="46" t="s">
        <v>7112</v>
      </c>
      <c r="D173" s="49">
        <v>24</v>
      </c>
    </row>
    <row r="174" spans="1:4" x14ac:dyDescent="0.25">
      <c r="A174" s="46">
        <v>2318</v>
      </c>
      <c r="B174" s="46" t="s">
        <v>771</v>
      </c>
      <c r="C174" s="46" t="s">
        <v>7113</v>
      </c>
      <c r="D174" s="49">
        <v>32</v>
      </c>
    </row>
    <row r="175" spans="1:4" x14ac:dyDescent="0.25">
      <c r="A175" s="46">
        <v>2320</v>
      </c>
      <c r="B175" s="46" t="s">
        <v>325</v>
      </c>
      <c r="C175" s="46" t="s">
        <v>7114</v>
      </c>
      <c r="D175" s="49">
        <v>22</v>
      </c>
    </row>
    <row r="176" spans="1:4" x14ac:dyDescent="0.25">
      <c r="A176" s="46">
        <v>2317</v>
      </c>
      <c r="B176" s="46" t="s">
        <v>769</v>
      </c>
      <c r="C176" s="46" t="s">
        <v>7115</v>
      </c>
      <c r="D176" s="49">
        <v>24</v>
      </c>
    </row>
    <row r="177" spans="1:4" x14ac:dyDescent="0.25">
      <c r="A177" s="46">
        <v>72765</v>
      </c>
      <c r="B177" s="46" t="s">
        <v>574</v>
      </c>
      <c r="C177" s="46" t="s">
        <v>7116</v>
      </c>
      <c r="D177" s="49">
        <v>0</v>
      </c>
    </row>
    <row r="178" spans="1:4" x14ac:dyDescent="0.25">
      <c r="A178" s="46">
        <v>77143</v>
      </c>
      <c r="B178" s="46" t="s">
        <v>516</v>
      </c>
      <c r="C178" s="46" t="s">
        <v>7117</v>
      </c>
      <c r="D178" s="49">
        <v>26</v>
      </c>
    </row>
    <row r="179" spans="1:4" x14ac:dyDescent="0.25">
      <c r="A179" s="46">
        <v>77126</v>
      </c>
      <c r="B179" s="46" t="s">
        <v>7118</v>
      </c>
      <c r="C179" s="46" t="s">
        <v>7119</v>
      </c>
      <c r="D179" s="49">
        <v>0</v>
      </c>
    </row>
    <row r="180" spans="1:4" x14ac:dyDescent="0.25">
      <c r="A180" s="46">
        <v>72764</v>
      </c>
      <c r="B180" s="46" t="s">
        <v>435</v>
      </c>
      <c r="C180" s="46" t="s">
        <v>7120</v>
      </c>
      <c r="D180" s="49">
        <v>0</v>
      </c>
    </row>
    <row r="181" spans="1:4" x14ac:dyDescent="0.25">
      <c r="A181" s="46">
        <v>77137</v>
      </c>
      <c r="B181" s="46" t="s">
        <v>7121</v>
      </c>
      <c r="C181" s="46" t="s">
        <v>6961</v>
      </c>
      <c r="D181" s="49">
        <v>0</v>
      </c>
    </row>
    <row r="182" spans="1:4" x14ac:dyDescent="0.25">
      <c r="A182" s="46">
        <v>72645</v>
      </c>
      <c r="B182" s="46" t="s">
        <v>273</v>
      </c>
      <c r="C182" s="46" t="s">
        <v>7086</v>
      </c>
      <c r="D182" s="49">
        <v>0</v>
      </c>
    </row>
    <row r="183" spans="1:4" x14ac:dyDescent="0.25">
      <c r="A183" s="46">
        <v>2344</v>
      </c>
      <c r="B183" s="46" t="s">
        <v>623</v>
      </c>
      <c r="C183" s="46" t="s">
        <v>7112</v>
      </c>
      <c r="D183" s="49">
        <v>24</v>
      </c>
    </row>
    <row r="184" spans="1:4" x14ac:dyDescent="0.25">
      <c r="A184" s="46">
        <v>2348</v>
      </c>
      <c r="B184" s="46" t="s">
        <v>493</v>
      </c>
      <c r="C184" s="46" t="s">
        <v>7122</v>
      </c>
      <c r="D184" s="49">
        <v>28</v>
      </c>
    </row>
    <row r="185" spans="1:4" x14ac:dyDescent="0.25">
      <c r="A185" s="46">
        <v>2350</v>
      </c>
      <c r="B185" s="46" t="s">
        <v>192</v>
      </c>
      <c r="C185" s="46" t="s">
        <v>7100</v>
      </c>
      <c r="D185" s="49">
        <v>18</v>
      </c>
    </row>
    <row r="186" spans="1:4" x14ac:dyDescent="0.25">
      <c r="A186" s="46">
        <v>2346</v>
      </c>
      <c r="B186" s="46" t="s">
        <v>124</v>
      </c>
      <c r="C186" s="46" t="s">
        <v>7123</v>
      </c>
      <c r="D186" s="49">
        <v>16</v>
      </c>
    </row>
    <row r="187" spans="1:4" x14ac:dyDescent="0.25">
      <c r="A187" s="46">
        <v>74422</v>
      </c>
      <c r="B187" s="46" t="s">
        <v>7124</v>
      </c>
      <c r="C187" s="46" t="s">
        <v>6960</v>
      </c>
      <c r="D187" s="49">
        <v>0</v>
      </c>
    </row>
    <row r="188" spans="1:4" x14ac:dyDescent="0.25">
      <c r="A188" s="46">
        <v>74420</v>
      </c>
      <c r="B188" s="46" t="s">
        <v>1116</v>
      </c>
      <c r="C188" s="46" t="s">
        <v>7081</v>
      </c>
      <c r="D188" s="49">
        <v>0</v>
      </c>
    </row>
    <row r="189" spans="1:4" x14ac:dyDescent="0.25">
      <c r="A189" s="46">
        <v>2345</v>
      </c>
      <c r="B189" s="46" t="s">
        <v>165</v>
      </c>
      <c r="C189" s="46" t="s">
        <v>7125</v>
      </c>
      <c r="D189" s="49">
        <v>20</v>
      </c>
    </row>
    <row r="190" spans="1:4" x14ac:dyDescent="0.25">
      <c r="A190" s="46">
        <v>2401</v>
      </c>
      <c r="B190" s="46" t="s">
        <v>874</v>
      </c>
      <c r="C190" s="46" t="s">
        <v>7116</v>
      </c>
      <c r="D190" s="49">
        <v>0</v>
      </c>
    </row>
    <row r="191" spans="1:4" x14ac:dyDescent="0.25">
      <c r="A191" s="46">
        <v>2404</v>
      </c>
      <c r="B191" s="46" t="s">
        <v>545</v>
      </c>
      <c r="C191" s="46" t="s">
        <v>7126</v>
      </c>
      <c r="D191" s="49">
        <v>16</v>
      </c>
    </row>
    <row r="192" spans="1:4" x14ac:dyDescent="0.25">
      <c r="A192" s="46">
        <v>2403</v>
      </c>
      <c r="B192" s="46" t="s">
        <v>397</v>
      </c>
      <c r="C192" s="46" t="s">
        <v>7126</v>
      </c>
      <c r="D192" s="49">
        <v>16</v>
      </c>
    </row>
    <row r="193" spans="1:4" x14ac:dyDescent="0.25">
      <c r="A193" s="46">
        <v>2396</v>
      </c>
      <c r="B193" s="46" t="s">
        <v>845</v>
      </c>
      <c r="C193" s="46" t="s">
        <v>7127</v>
      </c>
      <c r="D193" s="49">
        <v>30</v>
      </c>
    </row>
    <row r="194" spans="1:4" x14ac:dyDescent="0.25">
      <c r="A194" s="46">
        <v>2400</v>
      </c>
      <c r="B194" s="46" t="s">
        <v>239</v>
      </c>
      <c r="C194" s="46" t="s">
        <v>7128</v>
      </c>
      <c r="D194" s="49">
        <v>16</v>
      </c>
    </row>
    <row r="195" spans="1:4" x14ac:dyDescent="0.25">
      <c r="A195" s="46">
        <v>2399</v>
      </c>
      <c r="B195" s="46" t="s">
        <v>237</v>
      </c>
      <c r="C195" s="46" t="s">
        <v>7129</v>
      </c>
      <c r="D195" s="49">
        <v>24</v>
      </c>
    </row>
    <row r="196" spans="1:4" x14ac:dyDescent="0.25">
      <c r="A196" s="46">
        <v>2391</v>
      </c>
      <c r="B196" s="46" t="s">
        <v>843</v>
      </c>
      <c r="C196" s="46" t="s">
        <v>7098</v>
      </c>
      <c r="D196" s="49">
        <v>24</v>
      </c>
    </row>
    <row r="197" spans="1:4" x14ac:dyDescent="0.25">
      <c r="A197" s="46">
        <v>72761</v>
      </c>
      <c r="B197" s="46" t="s">
        <v>693</v>
      </c>
      <c r="C197" s="46" t="s">
        <v>7130</v>
      </c>
      <c r="D197" s="49">
        <v>20</v>
      </c>
    </row>
    <row r="198" spans="1:4" x14ac:dyDescent="0.25">
      <c r="A198" s="46">
        <v>86930</v>
      </c>
      <c r="B198" s="46" t="s">
        <v>7131</v>
      </c>
      <c r="C198" s="46" t="s">
        <v>7132</v>
      </c>
      <c r="D198" s="49">
        <v>0</v>
      </c>
    </row>
    <row r="199" spans="1:4" x14ac:dyDescent="0.25">
      <c r="A199" s="46">
        <v>86946</v>
      </c>
      <c r="B199" s="46" t="s">
        <v>7133</v>
      </c>
      <c r="C199" s="46" t="s">
        <v>7134</v>
      </c>
      <c r="D199" s="49">
        <v>0</v>
      </c>
    </row>
    <row r="200" spans="1:4" x14ac:dyDescent="0.25">
      <c r="A200" s="46">
        <v>86922</v>
      </c>
      <c r="B200" s="46" t="s">
        <v>7135</v>
      </c>
      <c r="C200" s="46" t="s">
        <v>7136</v>
      </c>
      <c r="D200" s="49">
        <v>0</v>
      </c>
    </row>
    <row r="201" spans="1:4" x14ac:dyDescent="0.25">
      <c r="A201" s="46">
        <v>86940</v>
      </c>
      <c r="B201" s="46" t="s">
        <v>7137</v>
      </c>
      <c r="C201" s="46" t="s">
        <v>7138</v>
      </c>
      <c r="D201" s="49">
        <v>0</v>
      </c>
    </row>
    <row r="202" spans="1:4" x14ac:dyDescent="0.25">
      <c r="A202" s="46">
        <v>86383</v>
      </c>
      <c r="B202" s="46" t="s">
        <v>458</v>
      </c>
      <c r="C202" s="46" t="s">
        <v>7111</v>
      </c>
      <c r="D202" s="49">
        <v>18</v>
      </c>
    </row>
    <row r="203" spans="1:4" x14ac:dyDescent="0.25">
      <c r="A203" s="46">
        <v>86373</v>
      </c>
      <c r="B203" s="46" t="s">
        <v>890</v>
      </c>
      <c r="C203" s="46" t="s">
        <v>7139</v>
      </c>
      <c r="D203" s="49">
        <v>20</v>
      </c>
    </row>
    <row r="204" spans="1:4" x14ac:dyDescent="0.25">
      <c r="A204" s="46">
        <v>86332</v>
      </c>
      <c r="B204" s="46" t="s">
        <v>888</v>
      </c>
      <c r="C204" s="46" t="s">
        <v>7112</v>
      </c>
      <c r="D204" s="49">
        <v>24</v>
      </c>
    </row>
    <row r="205" spans="1:4" x14ac:dyDescent="0.25">
      <c r="A205" s="46">
        <v>2086</v>
      </c>
      <c r="B205" s="46" t="s">
        <v>307</v>
      </c>
      <c r="C205" s="46" t="s">
        <v>7140</v>
      </c>
      <c r="D205" s="49">
        <v>36</v>
      </c>
    </row>
    <row r="206" spans="1:4" x14ac:dyDescent="0.25">
      <c r="A206" s="46">
        <v>2084</v>
      </c>
      <c r="B206" s="46" t="s">
        <v>905</v>
      </c>
      <c r="C206" s="46" t="s">
        <v>7141</v>
      </c>
      <c r="D206" s="49">
        <v>24</v>
      </c>
    </row>
    <row r="207" spans="1:4" x14ac:dyDescent="0.25">
      <c r="A207" s="46">
        <v>2085</v>
      </c>
      <c r="B207" s="46" t="s">
        <v>244</v>
      </c>
      <c r="C207" s="46" t="s">
        <v>6927</v>
      </c>
      <c r="D207" s="49">
        <v>30</v>
      </c>
    </row>
    <row r="208" spans="1:4" x14ac:dyDescent="0.25">
      <c r="A208" s="46">
        <v>74269</v>
      </c>
      <c r="B208" s="46" t="s">
        <v>412</v>
      </c>
      <c r="C208" s="46" t="s">
        <v>7142</v>
      </c>
      <c r="D208" s="49">
        <v>27</v>
      </c>
    </row>
    <row r="209" spans="1:4" x14ac:dyDescent="0.25">
      <c r="A209" s="46">
        <v>184</v>
      </c>
      <c r="B209" s="46" t="s">
        <v>469</v>
      </c>
      <c r="C209" s="46" t="s">
        <v>7112</v>
      </c>
      <c r="D209" s="49">
        <v>24</v>
      </c>
    </row>
    <row r="210" spans="1:4" x14ac:dyDescent="0.25">
      <c r="A210" s="46">
        <v>73994</v>
      </c>
      <c r="B210" s="46" t="s">
        <v>264</v>
      </c>
      <c r="C210" s="46" t="s">
        <v>7143</v>
      </c>
      <c r="D210" s="49">
        <v>32</v>
      </c>
    </row>
    <row r="211" spans="1:4" x14ac:dyDescent="0.25">
      <c r="A211" s="46">
        <v>185</v>
      </c>
      <c r="B211" s="46" t="s">
        <v>386</v>
      </c>
      <c r="C211" s="46" t="s">
        <v>7144</v>
      </c>
      <c r="D211" s="49">
        <v>32</v>
      </c>
    </row>
    <row r="212" spans="1:4" x14ac:dyDescent="0.25">
      <c r="A212" s="46">
        <v>274</v>
      </c>
      <c r="B212" s="46" t="s">
        <v>158</v>
      </c>
      <c r="C212" s="46" t="s">
        <v>7112</v>
      </c>
      <c r="D212" s="49">
        <v>24</v>
      </c>
    </row>
    <row r="213" spans="1:4" x14ac:dyDescent="0.25">
      <c r="A213" s="46">
        <v>275</v>
      </c>
      <c r="B213" s="46" t="s">
        <v>384</v>
      </c>
      <c r="C213" s="46" t="s">
        <v>7145</v>
      </c>
      <c r="D213" s="49">
        <v>20</v>
      </c>
    </row>
    <row r="214" spans="1:4" x14ac:dyDescent="0.25">
      <c r="A214" s="46">
        <v>276</v>
      </c>
      <c r="B214" s="46" t="s">
        <v>1033</v>
      </c>
      <c r="C214" s="46" t="s">
        <v>6926</v>
      </c>
      <c r="D214" s="49">
        <v>24</v>
      </c>
    </row>
    <row r="215" spans="1:4" x14ac:dyDescent="0.25">
      <c r="A215" s="46">
        <v>2104</v>
      </c>
      <c r="B215" s="46" t="s">
        <v>1030</v>
      </c>
      <c r="C215" s="46" t="s">
        <v>6975</v>
      </c>
      <c r="D215" s="49">
        <v>16</v>
      </c>
    </row>
    <row r="216" spans="1:4" x14ac:dyDescent="0.25">
      <c r="A216" s="46">
        <v>2103</v>
      </c>
      <c r="B216" s="46" t="s">
        <v>1028</v>
      </c>
      <c r="C216" s="46" t="s">
        <v>7146</v>
      </c>
      <c r="D216" s="49">
        <v>40</v>
      </c>
    </row>
    <row r="217" spans="1:4" x14ac:dyDescent="0.25">
      <c r="A217" s="46">
        <v>2102</v>
      </c>
      <c r="B217" s="46" t="s">
        <v>155</v>
      </c>
      <c r="C217" s="46" t="s">
        <v>7147</v>
      </c>
      <c r="D217" s="49">
        <v>28</v>
      </c>
    </row>
    <row r="218" spans="1:4" x14ac:dyDescent="0.25">
      <c r="A218" s="46">
        <v>2105</v>
      </c>
      <c r="B218" s="46" t="s">
        <v>261</v>
      </c>
      <c r="C218" s="46" t="s">
        <v>6926</v>
      </c>
      <c r="D218" s="49">
        <v>24</v>
      </c>
    </row>
    <row r="219" spans="1:4" x14ac:dyDescent="0.25">
      <c r="A219" s="46">
        <v>2109</v>
      </c>
      <c r="B219" s="46" t="s">
        <v>160</v>
      </c>
      <c r="C219" s="46" t="s">
        <v>7148</v>
      </c>
      <c r="D219" s="49">
        <v>28</v>
      </c>
    </row>
    <row r="220" spans="1:4" x14ac:dyDescent="0.25">
      <c r="A220" s="46">
        <v>2108</v>
      </c>
      <c r="B220" s="46" t="s">
        <v>321</v>
      </c>
      <c r="C220" s="46" t="s">
        <v>7112</v>
      </c>
      <c r="D220" s="49">
        <v>24</v>
      </c>
    </row>
    <row r="221" spans="1:4" x14ac:dyDescent="0.25">
      <c r="A221" s="46">
        <v>2110</v>
      </c>
      <c r="B221" s="46" t="s">
        <v>323</v>
      </c>
      <c r="C221" s="46" t="s">
        <v>7139</v>
      </c>
      <c r="D221" s="49">
        <v>20</v>
      </c>
    </row>
    <row r="222" spans="1:4" x14ac:dyDescent="0.25">
      <c r="A222" s="46">
        <v>2107</v>
      </c>
      <c r="B222" s="46" t="s">
        <v>913</v>
      </c>
      <c r="C222" s="46" t="s">
        <v>7147</v>
      </c>
      <c r="D222" s="49">
        <v>28</v>
      </c>
    </row>
    <row r="223" spans="1:4" x14ac:dyDescent="0.25">
      <c r="A223" s="46">
        <v>2183</v>
      </c>
      <c r="B223" s="46" t="s">
        <v>190</v>
      </c>
      <c r="C223" s="46" t="s">
        <v>7149</v>
      </c>
      <c r="D223" s="49">
        <v>12</v>
      </c>
    </row>
    <row r="224" spans="1:4" x14ac:dyDescent="0.25">
      <c r="A224" s="46">
        <v>2190</v>
      </c>
      <c r="B224" s="46" t="s">
        <v>497</v>
      </c>
      <c r="C224" s="46" t="s">
        <v>7150</v>
      </c>
      <c r="D224" s="49">
        <v>40</v>
      </c>
    </row>
    <row r="225" spans="1:4" x14ac:dyDescent="0.25">
      <c r="A225" s="46">
        <v>2181</v>
      </c>
      <c r="B225" s="46" t="s">
        <v>186</v>
      </c>
      <c r="C225" s="46" t="s">
        <v>7151</v>
      </c>
      <c r="D225" s="49">
        <v>28</v>
      </c>
    </row>
    <row r="226" spans="1:4" x14ac:dyDescent="0.25">
      <c r="A226" s="46">
        <v>2185</v>
      </c>
      <c r="B226" s="46" t="s">
        <v>188</v>
      </c>
      <c r="C226" s="46" t="s">
        <v>7139</v>
      </c>
      <c r="D226" s="49">
        <v>20</v>
      </c>
    </row>
    <row r="227" spans="1:4" x14ac:dyDescent="0.25">
      <c r="A227" s="46">
        <v>2176</v>
      </c>
      <c r="B227" s="46" t="s">
        <v>339</v>
      </c>
      <c r="C227" s="46" t="s">
        <v>7152</v>
      </c>
      <c r="D227" s="49">
        <v>24</v>
      </c>
    </row>
    <row r="228" spans="1:4" x14ac:dyDescent="0.25">
      <c r="A228" s="46">
        <v>2179</v>
      </c>
      <c r="B228" s="46" t="s">
        <v>184</v>
      </c>
      <c r="C228" s="46" t="s">
        <v>7102</v>
      </c>
      <c r="D228" s="49">
        <v>20</v>
      </c>
    </row>
    <row r="229" spans="1:4" x14ac:dyDescent="0.25">
      <c r="A229" s="46">
        <v>74083</v>
      </c>
      <c r="B229" s="46" t="s">
        <v>7153</v>
      </c>
      <c r="C229" s="46" t="s">
        <v>6960</v>
      </c>
      <c r="D229" s="49">
        <v>0</v>
      </c>
    </row>
    <row r="230" spans="1:4" x14ac:dyDescent="0.25">
      <c r="A230" s="46">
        <v>74080</v>
      </c>
      <c r="B230" s="46" t="s">
        <v>7154</v>
      </c>
      <c r="C230" s="46" t="s">
        <v>7081</v>
      </c>
      <c r="D230" s="49">
        <v>0</v>
      </c>
    </row>
    <row r="231" spans="1:4" x14ac:dyDescent="0.25">
      <c r="A231" s="46">
        <v>74086</v>
      </c>
      <c r="B231" s="46" t="s">
        <v>7155</v>
      </c>
      <c r="C231" s="46" t="s">
        <v>7156</v>
      </c>
      <c r="D231" s="49">
        <v>0</v>
      </c>
    </row>
    <row r="232" spans="1:4" x14ac:dyDescent="0.25">
      <c r="A232" s="46">
        <v>74079</v>
      </c>
      <c r="B232" s="46" t="s">
        <v>7157</v>
      </c>
      <c r="C232" s="46" t="s">
        <v>7090</v>
      </c>
      <c r="D232" s="49">
        <v>0</v>
      </c>
    </row>
    <row r="233" spans="1:4" x14ac:dyDescent="0.25">
      <c r="A233" s="46">
        <v>74085</v>
      </c>
      <c r="B233" s="46" t="s">
        <v>7158</v>
      </c>
      <c r="C233" s="46" t="s">
        <v>7159</v>
      </c>
      <c r="D233" s="49">
        <v>0</v>
      </c>
    </row>
    <row r="234" spans="1:4" x14ac:dyDescent="0.25">
      <c r="A234" s="46">
        <v>2192</v>
      </c>
      <c r="B234" s="46" t="s">
        <v>110</v>
      </c>
      <c r="C234" s="46" t="s">
        <v>7160</v>
      </c>
      <c r="D234" s="49">
        <v>36</v>
      </c>
    </row>
    <row r="235" spans="1:4" x14ac:dyDescent="0.25">
      <c r="A235" s="46">
        <v>2238</v>
      </c>
      <c r="B235" s="46" t="s">
        <v>330</v>
      </c>
      <c r="C235" s="46" t="s">
        <v>7161</v>
      </c>
      <c r="D235" s="49">
        <v>28</v>
      </c>
    </row>
    <row r="236" spans="1:4" x14ac:dyDescent="0.25">
      <c r="A236" s="46">
        <v>2239</v>
      </c>
      <c r="B236" s="46" t="s">
        <v>167</v>
      </c>
      <c r="C236" s="46" t="s">
        <v>6936</v>
      </c>
      <c r="D236" s="49">
        <v>30</v>
      </c>
    </row>
    <row r="237" spans="1:4" x14ac:dyDescent="0.25">
      <c r="A237" s="46">
        <v>2237</v>
      </c>
      <c r="B237" s="46" t="s">
        <v>483</v>
      </c>
      <c r="C237" s="46" t="s">
        <v>7162</v>
      </c>
      <c r="D237" s="49">
        <v>24</v>
      </c>
    </row>
    <row r="238" spans="1:4" x14ac:dyDescent="0.25">
      <c r="A238" s="46">
        <v>2244</v>
      </c>
      <c r="B238" s="46" t="s">
        <v>7163</v>
      </c>
      <c r="C238" s="46" t="s">
        <v>6960</v>
      </c>
      <c r="D238" s="49">
        <v>0</v>
      </c>
    </row>
    <row r="239" spans="1:4" x14ac:dyDescent="0.25">
      <c r="A239" s="46">
        <v>2243</v>
      </c>
      <c r="B239" s="46" t="s">
        <v>7164</v>
      </c>
      <c r="C239" s="46" t="s">
        <v>7081</v>
      </c>
      <c r="D239" s="49">
        <v>0</v>
      </c>
    </row>
    <row r="240" spans="1:4" x14ac:dyDescent="0.25">
      <c r="A240" s="46">
        <v>2245</v>
      </c>
      <c r="B240" s="46" t="s">
        <v>7165</v>
      </c>
      <c r="C240" s="46" t="s">
        <v>7166</v>
      </c>
      <c r="D240" s="49">
        <v>0</v>
      </c>
    </row>
    <row r="241" spans="1:4" x14ac:dyDescent="0.25">
      <c r="A241" s="46">
        <v>2242</v>
      </c>
      <c r="B241" s="46" t="s">
        <v>7167</v>
      </c>
      <c r="C241" s="46" t="s">
        <v>7168</v>
      </c>
      <c r="D241" s="49">
        <v>0</v>
      </c>
    </row>
    <row r="242" spans="1:4" x14ac:dyDescent="0.25">
      <c r="A242" s="46">
        <v>75871</v>
      </c>
      <c r="B242" s="46" t="s">
        <v>95</v>
      </c>
      <c r="C242" s="46" t="s">
        <v>7169</v>
      </c>
      <c r="D242" s="49">
        <v>74</v>
      </c>
    </row>
    <row r="243" spans="1:4" x14ac:dyDescent="0.25">
      <c r="A243" s="46">
        <v>76348</v>
      </c>
      <c r="B243" s="46" t="s">
        <v>563</v>
      </c>
      <c r="C243" s="46" t="s">
        <v>7081</v>
      </c>
      <c r="D243" s="49">
        <v>0</v>
      </c>
    </row>
    <row r="244" spans="1:4" x14ac:dyDescent="0.25">
      <c r="A244" s="46">
        <v>75868</v>
      </c>
      <c r="B244" s="46" t="s">
        <v>357</v>
      </c>
      <c r="C244" s="46" t="s">
        <v>7170</v>
      </c>
      <c r="D244" s="49">
        <v>18</v>
      </c>
    </row>
    <row r="245" spans="1:4" x14ac:dyDescent="0.25">
      <c r="A245" s="46">
        <v>75841</v>
      </c>
      <c r="B245" s="46" t="s">
        <v>428</v>
      </c>
      <c r="C245" s="46" t="s">
        <v>7077</v>
      </c>
      <c r="D245" s="49">
        <v>0</v>
      </c>
    </row>
    <row r="246" spans="1:4" x14ac:dyDescent="0.25">
      <c r="A246" s="46">
        <v>2284</v>
      </c>
      <c r="B246" s="46" t="s">
        <v>981</v>
      </c>
      <c r="C246" s="46" t="s">
        <v>7171</v>
      </c>
      <c r="D246" s="49">
        <v>0</v>
      </c>
    </row>
    <row r="247" spans="1:4" x14ac:dyDescent="0.25">
      <c r="A247" s="46">
        <v>2275</v>
      </c>
      <c r="B247" s="46" t="s">
        <v>866</v>
      </c>
      <c r="C247" s="46" t="s">
        <v>6960</v>
      </c>
      <c r="D247" s="49">
        <v>0</v>
      </c>
    </row>
    <row r="248" spans="1:4" x14ac:dyDescent="0.25">
      <c r="A248" s="46">
        <v>2262</v>
      </c>
      <c r="B248" s="46" t="s">
        <v>424</v>
      </c>
      <c r="C248" s="46" t="s">
        <v>7081</v>
      </c>
      <c r="D248" s="49">
        <v>0</v>
      </c>
    </row>
    <row r="249" spans="1:4" x14ac:dyDescent="0.25">
      <c r="A249" s="46">
        <v>2280</v>
      </c>
      <c r="B249" s="46" t="s">
        <v>103</v>
      </c>
      <c r="C249" s="46" t="s">
        <v>7166</v>
      </c>
      <c r="D249" s="49">
        <v>0</v>
      </c>
    </row>
    <row r="250" spans="1:4" x14ac:dyDescent="0.25">
      <c r="A250" s="46">
        <v>2253</v>
      </c>
      <c r="B250" s="46" t="s">
        <v>426</v>
      </c>
      <c r="C250" s="46" t="s">
        <v>7077</v>
      </c>
      <c r="D250" s="49">
        <v>0</v>
      </c>
    </row>
    <row r="251" spans="1:4" x14ac:dyDescent="0.25">
      <c r="A251" s="46">
        <v>72778</v>
      </c>
      <c r="B251" s="46" t="s">
        <v>7172</v>
      </c>
      <c r="C251" s="46" t="s">
        <v>6990</v>
      </c>
      <c r="D251" s="49">
        <v>0</v>
      </c>
    </row>
    <row r="252" spans="1:4" x14ac:dyDescent="0.25">
      <c r="A252" s="46">
        <v>77197</v>
      </c>
      <c r="B252" s="46" t="s">
        <v>217</v>
      </c>
      <c r="C252" s="46" t="s">
        <v>7173</v>
      </c>
      <c r="D252" s="49">
        <v>40</v>
      </c>
    </row>
    <row r="253" spans="1:4" x14ac:dyDescent="0.25">
      <c r="A253" s="46">
        <v>77194</v>
      </c>
      <c r="B253" s="46" t="s">
        <v>7174</v>
      </c>
      <c r="C253" s="46" t="s">
        <v>7175</v>
      </c>
      <c r="D253" s="49">
        <v>0</v>
      </c>
    </row>
    <row r="254" spans="1:4" x14ac:dyDescent="0.25">
      <c r="A254" s="46">
        <v>77185</v>
      </c>
      <c r="B254" s="46" t="s">
        <v>7176</v>
      </c>
      <c r="C254" s="46" t="s">
        <v>7177</v>
      </c>
      <c r="D254" s="49">
        <v>0</v>
      </c>
    </row>
    <row r="255" spans="1:4" x14ac:dyDescent="0.25">
      <c r="A255" s="46">
        <v>72777</v>
      </c>
      <c r="B255" s="46" t="s">
        <v>198</v>
      </c>
      <c r="C255" s="46" t="s">
        <v>7178</v>
      </c>
      <c r="D255" s="49">
        <v>32</v>
      </c>
    </row>
    <row r="256" spans="1:4" x14ac:dyDescent="0.25">
      <c r="A256" s="46">
        <v>72775</v>
      </c>
      <c r="B256" s="46" t="s">
        <v>7179</v>
      </c>
      <c r="C256" s="46" t="s">
        <v>7180</v>
      </c>
      <c r="D256" s="49">
        <v>0</v>
      </c>
    </row>
    <row r="257" spans="1:4" x14ac:dyDescent="0.25">
      <c r="A257" s="46">
        <v>74258</v>
      </c>
      <c r="B257" s="46" t="s">
        <v>7181</v>
      </c>
      <c r="C257" s="46" t="s">
        <v>6961</v>
      </c>
      <c r="D257" s="49">
        <v>0</v>
      </c>
    </row>
    <row r="258" spans="1:4" x14ac:dyDescent="0.25">
      <c r="A258" s="46">
        <v>74650</v>
      </c>
      <c r="B258" s="46" t="s">
        <v>7182</v>
      </c>
      <c r="C258" s="46" t="s">
        <v>7183</v>
      </c>
      <c r="D258" s="49">
        <v>0</v>
      </c>
    </row>
    <row r="259" spans="1:4" x14ac:dyDescent="0.25">
      <c r="A259" s="46">
        <v>74652</v>
      </c>
      <c r="B259" s="46" t="s">
        <v>7184</v>
      </c>
      <c r="C259" s="46" t="s">
        <v>7090</v>
      </c>
      <c r="D259" s="49">
        <v>0</v>
      </c>
    </row>
    <row r="260" spans="1:4" x14ac:dyDescent="0.25">
      <c r="A260" s="46">
        <v>74090</v>
      </c>
      <c r="B260" s="46" t="s">
        <v>7185</v>
      </c>
      <c r="C260" s="46" t="s">
        <v>7081</v>
      </c>
      <c r="D260" s="49">
        <v>0</v>
      </c>
    </row>
    <row r="261" spans="1:4" x14ac:dyDescent="0.25">
      <c r="A261" s="46">
        <v>74089</v>
      </c>
      <c r="B261" s="46" t="s">
        <v>7186</v>
      </c>
      <c r="C261" s="46" t="s">
        <v>7090</v>
      </c>
      <c r="D261" s="49">
        <v>0</v>
      </c>
    </row>
    <row r="262" spans="1:4" x14ac:dyDescent="0.25">
      <c r="A262" s="46">
        <v>74091</v>
      </c>
      <c r="B262" s="46" t="s">
        <v>7187</v>
      </c>
      <c r="C262" s="46" t="s">
        <v>7077</v>
      </c>
      <c r="D262" s="49">
        <v>0</v>
      </c>
    </row>
    <row r="263" spans="1:4" x14ac:dyDescent="0.25">
      <c r="A263" s="46">
        <v>74088</v>
      </c>
      <c r="B263" s="46" t="s">
        <v>7188</v>
      </c>
      <c r="C263" s="46" t="s">
        <v>7189</v>
      </c>
      <c r="D263" s="49">
        <v>0</v>
      </c>
    </row>
    <row r="264" spans="1:4" x14ac:dyDescent="0.25">
      <c r="A264" s="46">
        <v>74260</v>
      </c>
      <c r="B264" s="46" t="s">
        <v>7190</v>
      </c>
      <c r="C264" s="46" t="s">
        <v>7156</v>
      </c>
      <c r="D264" s="49">
        <v>0</v>
      </c>
    </row>
    <row r="265" spans="1:4" x14ac:dyDescent="0.25">
      <c r="A265" s="46">
        <v>2368</v>
      </c>
      <c r="B265" s="46" t="s">
        <v>7191</v>
      </c>
      <c r="C265" s="46" t="s">
        <v>7192</v>
      </c>
      <c r="D265" s="49">
        <v>0</v>
      </c>
    </row>
    <row r="266" spans="1:4" x14ac:dyDescent="0.25">
      <c r="A266" s="46">
        <v>2372</v>
      </c>
      <c r="B266" s="46" t="s">
        <v>120</v>
      </c>
      <c r="C266" s="46" t="s">
        <v>7193</v>
      </c>
      <c r="D266" s="49">
        <v>0</v>
      </c>
    </row>
    <row r="267" spans="1:4" x14ac:dyDescent="0.25">
      <c r="A267" s="46">
        <v>2356</v>
      </c>
      <c r="B267" s="46" t="s">
        <v>7194</v>
      </c>
      <c r="C267" s="46" t="s">
        <v>7116</v>
      </c>
      <c r="D267" s="49">
        <v>0</v>
      </c>
    </row>
    <row r="268" spans="1:4" x14ac:dyDescent="0.25">
      <c r="A268" s="46">
        <v>2355</v>
      </c>
      <c r="B268" s="46" t="s">
        <v>118</v>
      </c>
      <c r="C268" s="46" t="s">
        <v>6961</v>
      </c>
      <c r="D268" s="49">
        <v>0</v>
      </c>
    </row>
    <row r="269" spans="1:4" x14ac:dyDescent="0.25">
      <c r="A269" s="46">
        <v>2354</v>
      </c>
      <c r="B269" s="46" t="s">
        <v>869</v>
      </c>
      <c r="C269" s="46" t="s">
        <v>6961</v>
      </c>
      <c r="D269" s="49">
        <v>0</v>
      </c>
    </row>
    <row r="270" spans="1:4" x14ac:dyDescent="0.25">
      <c r="A270" s="46">
        <v>2353</v>
      </c>
      <c r="B270" s="46" t="s">
        <v>268</v>
      </c>
      <c r="C270" s="46" t="s">
        <v>7079</v>
      </c>
      <c r="D270" s="49">
        <v>0</v>
      </c>
    </row>
    <row r="271" spans="1:4" x14ac:dyDescent="0.25">
      <c r="A271" s="46">
        <v>74272</v>
      </c>
      <c r="B271" s="46" t="s">
        <v>309</v>
      </c>
      <c r="C271" s="46" t="s">
        <v>7195</v>
      </c>
      <c r="D271" s="49">
        <v>28</v>
      </c>
    </row>
    <row r="272" spans="1:4" x14ac:dyDescent="0.25">
      <c r="A272" s="46">
        <v>101</v>
      </c>
      <c r="B272" s="46" t="s">
        <v>305</v>
      </c>
      <c r="C272" s="46" t="s">
        <v>7196</v>
      </c>
      <c r="D272" s="49">
        <v>18</v>
      </c>
    </row>
    <row r="273" spans="1:4" x14ac:dyDescent="0.25">
      <c r="A273" s="46">
        <v>73996</v>
      </c>
      <c r="B273" s="46" t="s">
        <v>1111</v>
      </c>
      <c r="C273" s="46" t="s">
        <v>7197</v>
      </c>
      <c r="D273" s="49">
        <v>28</v>
      </c>
    </row>
    <row r="274" spans="1:4" x14ac:dyDescent="0.25">
      <c r="A274" s="46">
        <v>102</v>
      </c>
      <c r="B274" s="46" t="s">
        <v>58</v>
      </c>
      <c r="C274" s="46" t="s">
        <v>6975</v>
      </c>
      <c r="D274" s="49">
        <v>16</v>
      </c>
    </row>
    <row r="275" spans="1:4" x14ac:dyDescent="0.25">
      <c r="A275" s="46">
        <v>84495</v>
      </c>
      <c r="B275" s="46" t="s">
        <v>249</v>
      </c>
      <c r="C275" s="46" t="s">
        <v>7112</v>
      </c>
      <c r="D275" s="49">
        <v>24</v>
      </c>
    </row>
    <row r="276" spans="1:4" x14ac:dyDescent="0.25">
      <c r="A276" s="46">
        <v>84488</v>
      </c>
      <c r="B276" s="46" t="s">
        <v>1066</v>
      </c>
      <c r="C276" s="46" t="s">
        <v>7112</v>
      </c>
      <c r="D276" s="49">
        <v>24</v>
      </c>
    </row>
    <row r="277" spans="1:4" x14ac:dyDescent="0.25">
      <c r="A277" s="46">
        <v>87564</v>
      </c>
      <c r="B277" s="46" t="s">
        <v>800</v>
      </c>
      <c r="C277" s="46" t="s">
        <v>7198</v>
      </c>
      <c r="D277" s="49">
        <v>36</v>
      </c>
    </row>
    <row r="278" spans="1:4" x14ac:dyDescent="0.25">
      <c r="A278" s="46">
        <v>87560</v>
      </c>
      <c r="B278" s="46" t="s">
        <v>976</v>
      </c>
      <c r="C278" s="46" t="s">
        <v>7199</v>
      </c>
      <c r="D278" s="49">
        <v>24</v>
      </c>
    </row>
    <row r="279" spans="1:4" x14ac:dyDescent="0.25">
      <c r="A279" s="46">
        <v>87559</v>
      </c>
      <c r="B279" s="46" t="s">
        <v>755</v>
      </c>
      <c r="C279" s="46" t="s">
        <v>7200</v>
      </c>
      <c r="D279" s="49">
        <v>28</v>
      </c>
    </row>
    <row r="280" spans="1:4" x14ac:dyDescent="0.25">
      <c r="A280" s="46">
        <v>87562</v>
      </c>
      <c r="B280" s="46" t="s">
        <v>209</v>
      </c>
      <c r="C280" s="46" t="s">
        <v>7201</v>
      </c>
      <c r="D280" s="49">
        <v>20</v>
      </c>
    </row>
    <row r="281" spans="1:4" x14ac:dyDescent="0.25">
      <c r="A281" s="46">
        <v>87553</v>
      </c>
      <c r="B281" s="46" t="s">
        <v>1018</v>
      </c>
      <c r="C281" s="46" t="s">
        <v>7202</v>
      </c>
      <c r="D281" s="49">
        <v>32</v>
      </c>
    </row>
    <row r="282" spans="1:4" x14ac:dyDescent="0.25">
      <c r="A282" s="46">
        <v>72595</v>
      </c>
      <c r="B282" s="46" t="s">
        <v>194</v>
      </c>
      <c r="C282" s="46" t="s">
        <v>7203</v>
      </c>
      <c r="D282" s="49">
        <v>16</v>
      </c>
    </row>
    <row r="283" spans="1:4" x14ac:dyDescent="0.25">
      <c r="A283" s="46">
        <v>72594</v>
      </c>
      <c r="B283" s="46" t="s">
        <v>790</v>
      </c>
      <c r="C283" s="46" t="s">
        <v>7204</v>
      </c>
      <c r="D283" s="49">
        <v>24</v>
      </c>
    </row>
    <row r="284" spans="1:4" x14ac:dyDescent="0.25">
      <c r="A284" s="46">
        <v>87462</v>
      </c>
      <c r="B284" s="46" t="s">
        <v>293</v>
      </c>
      <c r="C284" s="46" t="s">
        <v>7205</v>
      </c>
      <c r="D284" s="49">
        <v>24</v>
      </c>
    </row>
    <row r="285" spans="1:4" x14ac:dyDescent="0.25">
      <c r="A285" s="46">
        <v>87469</v>
      </c>
      <c r="B285" s="46" t="s">
        <v>146</v>
      </c>
      <c r="C285" s="46" t="s">
        <v>7206</v>
      </c>
      <c r="D285" s="49">
        <v>20</v>
      </c>
    </row>
    <row r="286" spans="1:4" x14ac:dyDescent="0.25">
      <c r="A286" s="46">
        <v>87460</v>
      </c>
      <c r="B286" s="46" t="s">
        <v>736</v>
      </c>
      <c r="C286" s="46" t="s">
        <v>7207</v>
      </c>
      <c r="D286" s="49">
        <v>24</v>
      </c>
    </row>
    <row r="287" spans="1:4" x14ac:dyDescent="0.25">
      <c r="A287" s="46">
        <v>2246</v>
      </c>
      <c r="B287" s="46" t="s">
        <v>196</v>
      </c>
      <c r="C287" s="46" t="s">
        <v>7208</v>
      </c>
      <c r="D287" s="49">
        <v>72</v>
      </c>
    </row>
    <row r="288" spans="1:4" x14ac:dyDescent="0.25">
      <c r="A288" s="46">
        <v>97189</v>
      </c>
      <c r="B288" s="46" t="s">
        <v>634</v>
      </c>
      <c r="C288" s="46" t="s">
        <v>7209</v>
      </c>
      <c r="D288" s="49">
        <v>80</v>
      </c>
    </row>
    <row r="289" spans="1:4" x14ac:dyDescent="0.25">
      <c r="A289" s="46">
        <v>85025</v>
      </c>
      <c r="B289" s="46" t="s">
        <v>355</v>
      </c>
      <c r="C289" s="46" t="s">
        <v>7210</v>
      </c>
      <c r="D289" s="49">
        <v>525</v>
      </c>
    </row>
    <row r="290" spans="1:4" x14ac:dyDescent="0.25">
      <c r="A290" s="46">
        <v>85024</v>
      </c>
      <c r="B290" s="46" t="s">
        <v>348</v>
      </c>
      <c r="C290" s="46" t="s">
        <v>7210</v>
      </c>
      <c r="D290" s="49">
        <v>525</v>
      </c>
    </row>
    <row r="291" spans="1:4" x14ac:dyDescent="0.25">
      <c r="A291" s="46">
        <v>87130</v>
      </c>
      <c r="B291" s="46" t="s">
        <v>141</v>
      </c>
      <c r="C291" s="46" t="s">
        <v>7210</v>
      </c>
      <c r="D291" s="49">
        <v>525</v>
      </c>
    </row>
    <row r="292" spans="1:4" x14ac:dyDescent="0.25">
      <c r="A292" s="46">
        <v>87563</v>
      </c>
      <c r="B292" s="46" t="s">
        <v>553</v>
      </c>
      <c r="C292" s="46" t="s">
        <v>7211</v>
      </c>
      <c r="D292" s="49">
        <v>140</v>
      </c>
    </row>
    <row r="293" spans="1:4" x14ac:dyDescent="0.25">
      <c r="A293" s="46">
        <v>87565</v>
      </c>
      <c r="B293" s="46" t="s">
        <v>93</v>
      </c>
      <c r="C293" s="46" t="s">
        <v>7211</v>
      </c>
      <c r="D293" s="49">
        <v>140</v>
      </c>
    </row>
    <row r="294" spans="1:4" x14ac:dyDescent="0.25">
      <c r="A294" s="46">
        <v>87470</v>
      </c>
      <c r="B294" s="46" t="s">
        <v>858</v>
      </c>
      <c r="C294" s="46" t="s">
        <v>7212</v>
      </c>
      <c r="D294" s="49">
        <v>416</v>
      </c>
    </row>
    <row r="295" spans="1:4" x14ac:dyDescent="0.25">
      <c r="A295" s="46">
        <v>84836</v>
      </c>
      <c r="B295" s="46" t="s">
        <v>649</v>
      </c>
      <c r="C295" s="46" t="s">
        <v>7007</v>
      </c>
      <c r="D295" s="49">
        <v>24</v>
      </c>
    </row>
    <row r="296" spans="1:4" x14ac:dyDescent="0.25">
      <c r="A296" s="46">
        <v>84800</v>
      </c>
      <c r="B296" s="46" t="s">
        <v>370</v>
      </c>
      <c r="C296" s="46" t="s">
        <v>7139</v>
      </c>
      <c r="D296" s="49">
        <v>20</v>
      </c>
    </row>
    <row r="297" spans="1:4" x14ac:dyDescent="0.25">
      <c r="A297" s="46">
        <v>87123</v>
      </c>
      <c r="B297" s="46" t="s">
        <v>148</v>
      </c>
      <c r="C297" s="46" t="s">
        <v>7213</v>
      </c>
      <c r="D297" s="49">
        <v>20</v>
      </c>
    </row>
    <row r="298" spans="1:4" x14ac:dyDescent="0.25">
      <c r="A298" s="46">
        <v>84966</v>
      </c>
      <c r="B298" s="46" t="s">
        <v>54</v>
      </c>
      <c r="C298" s="46" t="s">
        <v>7214</v>
      </c>
      <c r="D298" s="49">
        <v>0</v>
      </c>
    </row>
    <row r="299" spans="1:4" x14ac:dyDescent="0.25">
      <c r="A299" s="46">
        <v>73286</v>
      </c>
      <c r="B299" s="46" t="s">
        <v>173</v>
      </c>
      <c r="C299" s="46" t="s">
        <v>7215</v>
      </c>
      <c r="D299" s="49">
        <v>18</v>
      </c>
    </row>
    <row r="300" spans="1:4" x14ac:dyDescent="0.25">
      <c r="A300" s="46">
        <v>73283</v>
      </c>
      <c r="B300" s="46" t="s">
        <v>70</v>
      </c>
      <c r="C300" s="46" t="s">
        <v>7005</v>
      </c>
      <c r="D300" s="49">
        <v>16</v>
      </c>
    </row>
    <row r="301" spans="1:4" x14ac:dyDescent="0.25">
      <c r="A301" s="46">
        <v>84745</v>
      </c>
      <c r="B301" s="46" t="s">
        <v>656</v>
      </c>
      <c r="C301" s="46" t="s">
        <v>7216</v>
      </c>
      <c r="D301" s="49">
        <v>18</v>
      </c>
    </row>
    <row r="302" spans="1:4" x14ac:dyDescent="0.25">
      <c r="A302" s="46">
        <v>73507</v>
      </c>
      <c r="B302" s="46" t="s">
        <v>958</v>
      </c>
      <c r="C302" s="46" t="s">
        <v>6954</v>
      </c>
      <c r="D302" s="49">
        <v>26</v>
      </c>
    </row>
    <row r="303" spans="1:4" x14ac:dyDescent="0.25">
      <c r="A303" s="46">
        <v>73277</v>
      </c>
      <c r="B303" s="46" t="s">
        <v>394</v>
      </c>
      <c r="C303" s="46" t="s">
        <v>6981</v>
      </c>
      <c r="D303" s="49">
        <v>12</v>
      </c>
    </row>
    <row r="304" spans="1:4" x14ac:dyDescent="0.25">
      <c r="A304" s="46">
        <v>85038</v>
      </c>
      <c r="B304" s="46" t="s">
        <v>442</v>
      </c>
      <c r="C304" s="46" t="s">
        <v>7217</v>
      </c>
      <c r="D304" s="49">
        <v>28</v>
      </c>
    </row>
    <row r="305" spans="1:4" x14ac:dyDescent="0.25">
      <c r="A305" s="46">
        <v>85027</v>
      </c>
      <c r="B305" s="46" t="s">
        <v>820</v>
      </c>
      <c r="C305" s="46" t="s">
        <v>7218</v>
      </c>
      <c r="D305" s="49">
        <v>13</v>
      </c>
    </row>
    <row r="306" spans="1:4" x14ac:dyDescent="0.25">
      <c r="A306" s="46">
        <v>264</v>
      </c>
      <c r="B306" s="46" t="s">
        <v>548</v>
      </c>
      <c r="C306" s="46" t="s">
        <v>7219</v>
      </c>
      <c r="D306" s="49">
        <v>34</v>
      </c>
    </row>
    <row r="307" spans="1:4" x14ac:dyDescent="0.25">
      <c r="A307" s="46">
        <v>161</v>
      </c>
      <c r="B307" s="46" t="s">
        <v>169</v>
      </c>
      <c r="C307" s="46" t="s">
        <v>7220</v>
      </c>
      <c r="D307" s="49">
        <v>18</v>
      </c>
    </row>
    <row r="308" spans="1:4" x14ac:dyDescent="0.25">
      <c r="A308" s="46">
        <v>84310</v>
      </c>
      <c r="B308" s="46" t="s">
        <v>815</v>
      </c>
      <c r="C308" s="46" t="s">
        <v>7221</v>
      </c>
      <c r="D308" s="49">
        <v>36</v>
      </c>
    </row>
    <row r="309" spans="1:4" x14ac:dyDescent="0.25">
      <c r="A309" s="46">
        <v>81713</v>
      </c>
      <c r="B309" s="46" t="s">
        <v>810</v>
      </c>
      <c r="C309" s="46" t="s">
        <v>7222</v>
      </c>
      <c r="D309" s="49">
        <v>22</v>
      </c>
    </row>
    <row r="310" spans="1:4" x14ac:dyDescent="0.25">
      <c r="A310" s="46">
        <v>156</v>
      </c>
      <c r="B310" s="46" t="s">
        <v>65</v>
      </c>
      <c r="C310" s="46" t="s">
        <v>7223</v>
      </c>
      <c r="D310" s="49">
        <v>21</v>
      </c>
    </row>
    <row r="311" spans="1:4" x14ac:dyDescent="0.25">
      <c r="A311" s="46">
        <v>74198</v>
      </c>
      <c r="B311" s="46" t="s">
        <v>566</v>
      </c>
      <c r="C311" s="46" t="s">
        <v>7224</v>
      </c>
      <c r="D311" s="49">
        <v>36</v>
      </c>
    </row>
    <row r="312" spans="1:4" x14ac:dyDescent="0.25">
      <c r="A312" s="46">
        <v>85008</v>
      </c>
      <c r="B312" s="46" t="s">
        <v>7225</v>
      </c>
      <c r="C312" s="46" t="s">
        <v>7226</v>
      </c>
      <c r="D312" s="49">
        <v>0</v>
      </c>
    </row>
    <row r="313" spans="1:4" x14ac:dyDescent="0.25">
      <c r="A313" s="46">
        <v>83251</v>
      </c>
      <c r="B313" s="46" t="s">
        <v>359</v>
      </c>
      <c r="C313" s="46" t="s">
        <v>7227</v>
      </c>
      <c r="D313" s="49">
        <v>30</v>
      </c>
    </row>
    <row r="314" spans="1:4" x14ac:dyDescent="0.25">
      <c r="A314" s="46">
        <v>85009</v>
      </c>
      <c r="B314" s="46" t="s">
        <v>733</v>
      </c>
      <c r="C314" s="46" t="s">
        <v>7228</v>
      </c>
      <c r="D314" s="49">
        <v>0</v>
      </c>
    </row>
    <row r="315" spans="1:4" x14ac:dyDescent="0.25">
      <c r="A315" s="46">
        <v>87472</v>
      </c>
      <c r="B315" s="46" t="s">
        <v>507</v>
      </c>
      <c r="C315" s="46" t="s">
        <v>7229</v>
      </c>
      <c r="D315" s="49">
        <v>0</v>
      </c>
    </row>
    <row r="316" spans="1:4" x14ac:dyDescent="0.25">
      <c r="A316" s="46">
        <v>87164</v>
      </c>
      <c r="B316" s="46" t="s">
        <v>752</v>
      </c>
      <c r="C316" s="46" t="s">
        <v>7230</v>
      </c>
      <c r="D316" s="49">
        <v>0</v>
      </c>
    </row>
    <row r="317" spans="1:4" x14ac:dyDescent="0.25">
      <c r="A317" s="46">
        <v>84941</v>
      </c>
      <c r="B317" s="46" t="s">
        <v>824</v>
      </c>
      <c r="C317" s="46" t="s">
        <v>7231</v>
      </c>
      <c r="D317" s="49">
        <v>11</v>
      </c>
    </row>
    <row r="318" spans="1:4" x14ac:dyDescent="0.25">
      <c r="A318" s="46">
        <v>84981</v>
      </c>
      <c r="B318" s="46" t="s">
        <v>7232</v>
      </c>
      <c r="C318" s="46" t="s">
        <v>7233</v>
      </c>
      <c r="D318" s="49">
        <v>0</v>
      </c>
    </row>
    <row r="319" spans="1:4" x14ac:dyDescent="0.25">
      <c r="A319" s="46">
        <v>72870</v>
      </c>
      <c r="B319" s="46" t="s">
        <v>7234</v>
      </c>
      <c r="C319" s="46" t="s">
        <v>6995</v>
      </c>
      <c r="D319" s="49">
        <v>0</v>
      </c>
    </row>
    <row r="320" spans="1:4" x14ac:dyDescent="0.25">
      <c r="A320" s="46">
        <v>84929</v>
      </c>
      <c r="B320" s="46" t="s">
        <v>403</v>
      </c>
      <c r="C320" s="46" t="s">
        <v>6995</v>
      </c>
      <c r="D320" s="49">
        <v>0</v>
      </c>
    </row>
    <row r="321" spans="1:4" x14ac:dyDescent="0.25">
      <c r="A321" s="46">
        <v>72874</v>
      </c>
      <c r="B321" s="46" t="s">
        <v>854</v>
      </c>
      <c r="C321" s="46" t="s">
        <v>6995</v>
      </c>
      <c r="D321" s="49">
        <v>0</v>
      </c>
    </row>
    <row r="322" spans="1:4" x14ac:dyDescent="0.25">
      <c r="A322" s="46">
        <v>84911</v>
      </c>
      <c r="B322" s="46" t="s">
        <v>49</v>
      </c>
      <c r="C322" s="46" t="s">
        <v>7235</v>
      </c>
      <c r="D322" s="49">
        <v>11</v>
      </c>
    </row>
    <row r="323" spans="1:4" x14ac:dyDescent="0.25">
      <c r="A323" s="46">
        <v>84992</v>
      </c>
      <c r="B323" s="46" t="s">
        <v>7236</v>
      </c>
      <c r="C323" s="46" t="s">
        <v>6995</v>
      </c>
      <c r="D323" s="49">
        <v>0</v>
      </c>
    </row>
    <row r="324" spans="1:4" x14ac:dyDescent="0.25">
      <c r="A324" s="46">
        <v>72836</v>
      </c>
      <c r="B324" s="46" t="s">
        <v>7237</v>
      </c>
      <c r="C324" s="46" t="s">
        <v>7238</v>
      </c>
      <c r="D324" s="49">
        <v>0</v>
      </c>
    </row>
    <row r="325" spans="1:4" x14ac:dyDescent="0.25">
      <c r="A325" s="46">
        <v>84931</v>
      </c>
      <c r="B325" s="46" t="s">
        <v>1100</v>
      </c>
      <c r="C325" s="46" t="s">
        <v>7238</v>
      </c>
      <c r="D325" s="49">
        <v>0</v>
      </c>
    </row>
    <row r="326" spans="1:4" x14ac:dyDescent="0.25">
      <c r="A326" s="46">
        <v>72879</v>
      </c>
      <c r="B326" s="46" t="s">
        <v>407</v>
      </c>
      <c r="C326" s="46" t="s">
        <v>7238</v>
      </c>
      <c r="D326" s="49">
        <v>0</v>
      </c>
    </row>
    <row r="327" spans="1:4" x14ac:dyDescent="0.25">
      <c r="A327" s="46">
        <v>84924</v>
      </c>
      <c r="B327" s="46" t="s">
        <v>580</v>
      </c>
      <c r="C327" s="46" t="s">
        <v>7239</v>
      </c>
      <c r="D327" s="49">
        <v>11</v>
      </c>
    </row>
    <row r="328" spans="1:4" x14ac:dyDescent="0.25">
      <c r="A328" s="46">
        <v>85000</v>
      </c>
      <c r="B328" s="46" t="s">
        <v>7240</v>
      </c>
      <c r="C328" s="46" t="s">
        <v>7238</v>
      </c>
      <c r="D328" s="49">
        <v>0</v>
      </c>
    </row>
    <row r="329" spans="1:4" x14ac:dyDescent="0.25">
      <c r="A329" s="46">
        <v>87023</v>
      </c>
      <c r="B329" s="46" t="s">
        <v>594</v>
      </c>
      <c r="C329" s="46" t="s">
        <v>7241</v>
      </c>
      <c r="D329" s="49">
        <v>12</v>
      </c>
    </row>
    <row r="330" spans="1:4" x14ac:dyDescent="0.25">
      <c r="A330" s="46">
        <v>74339</v>
      </c>
      <c r="B330" s="46" t="s">
        <v>7242</v>
      </c>
      <c r="C330" s="46" t="s">
        <v>7243</v>
      </c>
      <c r="D330" s="49">
        <v>0</v>
      </c>
    </row>
    <row r="331" spans="1:4" x14ac:dyDescent="0.25">
      <c r="A331" s="46">
        <v>74493</v>
      </c>
      <c r="B331" s="46" t="s">
        <v>336</v>
      </c>
      <c r="C331" s="46" t="s">
        <v>7244</v>
      </c>
      <c r="D331" s="49">
        <v>100</v>
      </c>
    </row>
    <row r="332" spans="1:4" x14ac:dyDescent="0.25">
      <c r="A332" s="46">
        <v>73293</v>
      </c>
      <c r="B332" s="46" t="s">
        <v>7245</v>
      </c>
      <c r="C332" s="46" t="s">
        <v>6995</v>
      </c>
      <c r="D332" s="49">
        <v>0</v>
      </c>
    </row>
    <row r="333" spans="1:4" x14ac:dyDescent="0.25">
      <c r="A333" s="46">
        <v>73164</v>
      </c>
      <c r="B333" s="46" t="s">
        <v>699</v>
      </c>
      <c r="C333" s="46" t="s">
        <v>7233</v>
      </c>
      <c r="D333" s="49">
        <v>0</v>
      </c>
    </row>
    <row r="334" spans="1:4" x14ac:dyDescent="0.25">
      <c r="A334" s="46">
        <v>73313</v>
      </c>
      <c r="B334" s="46" t="s">
        <v>7246</v>
      </c>
      <c r="C334" s="46" t="s">
        <v>7233</v>
      </c>
      <c r="D334" s="49">
        <v>0</v>
      </c>
    </row>
    <row r="335" spans="1:4" x14ac:dyDescent="0.25">
      <c r="A335" s="46">
        <v>73083</v>
      </c>
      <c r="B335" s="46" t="s">
        <v>388</v>
      </c>
      <c r="C335" s="46" t="s">
        <v>7247</v>
      </c>
      <c r="D335" s="49">
        <v>52</v>
      </c>
    </row>
    <row r="336" spans="1:4" x14ac:dyDescent="0.25">
      <c r="A336" s="46">
        <v>73176</v>
      </c>
      <c r="B336" s="46" t="s">
        <v>230</v>
      </c>
      <c r="C336" s="46" t="s">
        <v>7248</v>
      </c>
      <c r="D336" s="49">
        <v>52</v>
      </c>
    </row>
    <row r="337" spans="1:4" x14ac:dyDescent="0.25">
      <c r="A337" s="46">
        <v>72816</v>
      </c>
      <c r="B337" s="46" t="s">
        <v>883</v>
      </c>
      <c r="C337" s="46" t="s">
        <v>6974</v>
      </c>
      <c r="D337" s="49">
        <v>0</v>
      </c>
    </row>
    <row r="338" spans="1:4" x14ac:dyDescent="0.25">
      <c r="A338" s="46">
        <v>87142</v>
      </c>
      <c r="B338" s="46" t="s">
        <v>587</v>
      </c>
      <c r="C338" s="46" t="s">
        <v>7249</v>
      </c>
      <c r="D338" s="49">
        <v>0</v>
      </c>
    </row>
    <row r="339" spans="1:4" x14ac:dyDescent="0.25">
      <c r="A339" s="46">
        <v>73081</v>
      </c>
      <c r="B339" s="46" t="s">
        <v>228</v>
      </c>
      <c r="C339" s="46" t="s">
        <v>7250</v>
      </c>
      <c r="D339" s="49">
        <v>45</v>
      </c>
    </row>
    <row r="340" spans="1:4" x14ac:dyDescent="0.25">
      <c r="A340" s="46">
        <v>2163</v>
      </c>
      <c r="B340" s="46" t="s">
        <v>61</v>
      </c>
      <c r="C340" s="46" t="s">
        <v>7251</v>
      </c>
      <c r="D340" s="49">
        <v>49</v>
      </c>
    </row>
    <row r="341" spans="1:4" x14ac:dyDescent="0.25">
      <c r="A341" s="46">
        <v>73145</v>
      </c>
      <c r="B341" s="46" t="s">
        <v>63</v>
      </c>
      <c r="C341" s="46" t="s">
        <v>7252</v>
      </c>
      <c r="D341" s="49">
        <v>56</v>
      </c>
    </row>
    <row r="342" spans="1:4" x14ac:dyDescent="0.25">
      <c r="A342" s="46">
        <v>74494</v>
      </c>
      <c r="B342" s="46" t="s">
        <v>177</v>
      </c>
      <c r="C342" s="46" t="s">
        <v>7253</v>
      </c>
      <c r="D342" s="49">
        <v>40</v>
      </c>
    </row>
    <row r="343" spans="1:4" x14ac:dyDescent="0.25">
      <c r="A343" s="46">
        <v>73175</v>
      </c>
      <c r="B343" s="46" t="s">
        <v>232</v>
      </c>
      <c r="C343" s="46" t="s">
        <v>7252</v>
      </c>
      <c r="D343" s="49">
        <v>56</v>
      </c>
    </row>
    <row r="344" spans="1:4" x14ac:dyDescent="0.25">
      <c r="A344" s="46">
        <v>73280</v>
      </c>
      <c r="B344" s="46" t="s">
        <v>152</v>
      </c>
      <c r="C344" s="46" t="s">
        <v>7254</v>
      </c>
      <c r="D344" s="49">
        <v>20</v>
      </c>
    </row>
    <row r="345" spans="1:4" x14ac:dyDescent="0.25">
      <c r="A345" s="46">
        <v>84779</v>
      </c>
      <c r="B345" s="46" t="s">
        <v>683</v>
      </c>
      <c r="C345" s="46" t="s">
        <v>7255</v>
      </c>
      <c r="D345" s="49">
        <v>18</v>
      </c>
    </row>
    <row r="346" spans="1:4" x14ac:dyDescent="0.25">
      <c r="A346" s="46">
        <v>87126</v>
      </c>
      <c r="B346" s="46" t="s">
        <v>757</v>
      </c>
      <c r="C346" s="46" t="s">
        <v>7256</v>
      </c>
      <c r="D346" s="49">
        <v>24</v>
      </c>
    </row>
    <row r="347" spans="1:4" x14ac:dyDescent="0.25">
      <c r="A347" s="46">
        <v>84773</v>
      </c>
      <c r="B347" s="46" t="s">
        <v>223</v>
      </c>
      <c r="C347" s="46" t="s">
        <v>7257</v>
      </c>
      <c r="D347" s="49">
        <v>12</v>
      </c>
    </row>
    <row r="348" spans="1:4" x14ac:dyDescent="0.25">
      <c r="A348" s="46">
        <v>86514</v>
      </c>
      <c r="B348" s="46" t="s">
        <v>744</v>
      </c>
      <c r="C348" s="46" t="s">
        <v>7258</v>
      </c>
      <c r="D348" s="49">
        <v>14</v>
      </c>
    </row>
    <row r="349" spans="1:4" x14ac:dyDescent="0.25">
      <c r="A349" s="46">
        <v>85259</v>
      </c>
      <c r="B349" s="46" t="s">
        <v>944</v>
      </c>
      <c r="C349" s="46" t="s">
        <v>7259</v>
      </c>
      <c r="D349" s="49">
        <v>27</v>
      </c>
    </row>
    <row r="350" spans="1:4" x14ac:dyDescent="0.25">
      <c r="A350" s="46">
        <v>74584</v>
      </c>
      <c r="B350" s="46" t="s">
        <v>7260</v>
      </c>
      <c r="C350" s="46" t="s">
        <v>7261</v>
      </c>
      <c r="D350" s="49">
        <v>0</v>
      </c>
    </row>
    <row r="351" spans="1:4" x14ac:dyDescent="0.25">
      <c r="A351" s="46">
        <v>73189</v>
      </c>
      <c r="B351" s="46" t="s">
        <v>215</v>
      </c>
      <c r="C351" s="46" t="s">
        <v>7262</v>
      </c>
      <c r="D351" s="49">
        <v>29</v>
      </c>
    </row>
    <row r="352" spans="1:4" x14ac:dyDescent="0.25">
      <c r="A352" s="46">
        <v>73285</v>
      </c>
      <c r="B352" s="46" t="s">
        <v>171</v>
      </c>
      <c r="C352" s="46" t="s">
        <v>7263</v>
      </c>
      <c r="D352" s="49">
        <v>21</v>
      </c>
    </row>
    <row r="353" spans="1:4" x14ac:dyDescent="0.25">
      <c r="A353" s="46">
        <v>73279</v>
      </c>
      <c r="B353" s="46" t="s">
        <v>381</v>
      </c>
      <c r="C353" s="46" t="s">
        <v>7264</v>
      </c>
      <c r="D353" s="49">
        <v>36</v>
      </c>
    </row>
    <row r="354" spans="1:4" x14ac:dyDescent="0.25">
      <c r="A354" s="46">
        <v>73282</v>
      </c>
      <c r="B354" s="46" t="s">
        <v>68</v>
      </c>
      <c r="C354" s="46" t="s">
        <v>7265</v>
      </c>
      <c r="D354" s="49">
        <v>24</v>
      </c>
    </row>
    <row r="355" spans="1:4" x14ac:dyDescent="0.25">
      <c r="A355" s="46">
        <v>86513</v>
      </c>
      <c r="B355" s="46" t="s">
        <v>894</v>
      </c>
      <c r="C355" s="46" t="s">
        <v>7266</v>
      </c>
      <c r="D355" s="49">
        <v>35</v>
      </c>
    </row>
    <row r="356" spans="1:4" x14ac:dyDescent="0.25">
      <c r="A356" s="46">
        <v>84498</v>
      </c>
      <c r="B356" s="46" t="s">
        <v>715</v>
      </c>
      <c r="C356" s="46" t="s">
        <v>7267</v>
      </c>
      <c r="D356" s="49">
        <v>0</v>
      </c>
    </row>
    <row r="357" spans="1:4" x14ac:dyDescent="0.25">
      <c r="A357" s="46">
        <v>84822</v>
      </c>
      <c r="B357" s="46" t="s">
        <v>366</v>
      </c>
      <c r="C357" s="46" t="s">
        <v>7115</v>
      </c>
      <c r="D357" s="49">
        <v>24</v>
      </c>
    </row>
    <row r="358" spans="1:4" x14ac:dyDescent="0.25">
      <c r="A358" s="46">
        <v>87121</v>
      </c>
      <c r="B358" s="46" t="s">
        <v>139</v>
      </c>
      <c r="C358" s="46" t="s">
        <v>7268</v>
      </c>
      <c r="D358" s="49">
        <v>20</v>
      </c>
    </row>
    <row r="359" spans="1:4" x14ac:dyDescent="0.25">
      <c r="A359" s="46">
        <v>84635</v>
      </c>
      <c r="B359" s="46" t="s">
        <v>122</v>
      </c>
      <c r="C359" s="46" t="s">
        <v>6960</v>
      </c>
      <c r="D359" s="49">
        <v>0</v>
      </c>
    </row>
    <row r="360" spans="1:4" x14ac:dyDescent="0.25">
      <c r="A360" s="46">
        <v>84875</v>
      </c>
      <c r="B360" s="46" t="s">
        <v>431</v>
      </c>
      <c r="C360" s="46" t="s">
        <v>7168</v>
      </c>
      <c r="D360" s="49">
        <v>0</v>
      </c>
    </row>
    <row r="361" spans="1:4" x14ac:dyDescent="0.25">
      <c r="A361" s="46">
        <v>85003</v>
      </c>
      <c r="B361" s="46" t="s">
        <v>7269</v>
      </c>
      <c r="C361" s="46" t="s">
        <v>7168</v>
      </c>
      <c r="D361" s="49">
        <v>0</v>
      </c>
    </row>
    <row r="362" spans="1:4" x14ac:dyDescent="0.25">
      <c r="A362" s="46">
        <v>84795</v>
      </c>
      <c r="B362" s="46" t="s">
        <v>368</v>
      </c>
      <c r="C362" s="46" t="s">
        <v>7115</v>
      </c>
      <c r="D362" s="49">
        <v>24</v>
      </c>
    </row>
    <row r="363" spans="1:4" x14ac:dyDescent="0.25">
      <c r="A363" s="46">
        <v>84860</v>
      </c>
      <c r="B363" s="46" t="s">
        <v>534</v>
      </c>
      <c r="C363" s="46" t="s">
        <v>7098</v>
      </c>
      <c r="D363" s="49">
        <v>24</v>
      </c>
    </row>
    <row r="364" spans="1:4" x14ac:dyDescent="0.25">
      <c r="A364" s="46">
        <v>84724</v>
      </c>
      <c r="B364" s="46" t="s">
        <v>826</v>
      </c>
      <c r="C364" s="46" t="s">
        <v>7270</v>
      </c>
      <c r="D364" s="49">
        <v>24</v>
      </c>
    </row>
    <row r="365" spans="1:4" x14ac:dyDescent="0.25">
      <c r="A365" s="46">
        <v>73344</v>
      </c>
      <c r="B365" s="46" t="s">
        <v>1046</v>
      </c>
      <c r="C365" s="46" t="s">
        <v>7271</v>
      </c>
      <c r="D365" s="49">
        <v>17</v>
      </c>
    </row>
    <row r="366" spans="1:4" x14ac:dyDescent="0.25">
      <c r="A366" s="46">
        <v>73343</v>
      </c>
      <c r="B366" s="46" t="s">
        <v>252</v>
      </c>
      <c r="C366" s="46" t="s">
        <v>7271</v>
      </c>
      <c r="D366" s="49">
        <v>17</v>
      </c>
    </row>
    <row r="367" spans="1:4" x14ac:dyDescent="0.25">
      <c r="A367" s="46">
        <v>73832</v>
      </c>
      <c r="B367" s="46" t="s">
        <v>7272</v>
      </c>
      <c r="C367" s="46" t="s">
        <v>7273</v>
      </c>
      <c r="D367" s="49">
        <v>0</v>
      </c>
    </row>
    <row r="368" spans="1:4" x14ac:dyDescent="0.25">
      <c r="A368" s="46">
        <v>73345</v>
      </c>
      <c r="B368" s="46" t="s">
        <v>688</v>
      </c>
      <c r="C368" s="46" t="s">
        <v>7274</v>
      </c>
      <c r="D368" s="49">
        <v>0</v>
      </c>
    </row>
    <row r="369" spans="1:4" x14ac:dyDescent="0.25">
      <c r="A369" s="46">
        <v>73346</v>
      </c>
      <c r="B369" s="46" t="s">
        <v>920</v>
      </c>
      <c r="C369" s="46" t="s">
        <v>7275</v>
      </c>
      <c r="D369" s="49">
        <v>18</v>
      </c>
    </row>
    <row r="370" spans="1:4" x14ac:dyDescent="0.25">
      <c r="A370" s="46">
        <v>73348</v>
      </c>
      <c r="B370" s="46" t="s">
        <v>779</v>
      </c>
      <c r="C370" s="46" t="s">
        <v>7276</v>
      </c>
      <c r="D370" s="49">
        <v>34</v>
      </c>
    </row>
    <row r="371" spans="1:4" x14ac:dyDescent="0.25">
      <c r="A371" s="46">
        <v>73347</v>
      </c>
      <c r="B371" s="46" t="s">
        <v>910</v>
      </c>
      <c r="C371" s="46" t="s">
        <v>7276</v>
      </c>
      <c r="D371" s="49">
        <v>34</v>
      </c>
    </row>
    <row r="372" spans="1:4" x14ac:dyDescent="0.25">
      <c r="A372" s="46">
        <v>73355</v>
      </c>
      <c r="B372" s="46" t="s">
        <v>72</v>
      </c>
      <c r="C372" s="46" t="s">
        <v>6971</v>
      </c>
      <c r="D372" s="49">
        <v>26</v>
      </c>
    </row>
    <row r="373" spans="1:4" x14ac:dyDescent="0.25">
      <c r="A373" s="46">
        <v>73350</v>
      </c>
      <c r="B373" s="46" t="s">
        <v>618</v>
      </c>
      <c r="C373" s="46" t="s">
        <v>7277</v>
      </c>
      <c r="D373" s="49">
        <v>17</v>
      </c>
    </row>
    <row r="374" spans="1:4" x14ac:dyDescent="0.25">
      <c r="A374" s="46">
        <v>73349</v>
      </c>
      <c r="B374" s="46" t="s">
        <v>994</v>
      </c>
      <c r="C374" s="46" t="s">
        <v>7277</v>
      </c>
      <c r="D374" s="49">
        <v>17</v>
      </c>
    </row>
    <row r="375" spans="1:4" x14ac:dyDescent="0.25">
      <c r="A375" s="46">
        <v>73351</v>
      </c>
      <c r="B375" s="46" t="s">
        <v>319</v>
      </c>
      <c r="C375" s="46" t="s">
        <v>7278</v>
      </c>
      <c r="D375" s="49">
        <v>17</v>
      </c>
    </row>
    <row r="376" spans="1:4" x14ac:dyDescent="0.25">
      <c r="A376" s="46">
        <v>73352</v>
      </c>
      <c r="B376" s="46" t="s">
        <v>175</v>
      </c>
      <c r="C376" s="46" t="s">
        <v>7277</v>
      </c>
      <c r="D376" s="49">
        <v>17</v>
      </c>
    </row>
    <row r="377" spans="1:4" x14ac:dyDescent="0.25">
      <c r="A377" s="46">
        <v>84958</v>
      </c>
      <c r="B377" s="46" t="s">
        <v>660</v>
      </c>
      <c r="C377" s="46" t="s">
        <v>7279</v>
      </c>
      <c r="D377" s="49">
        <v>26</v>
      </c>
    </row>
    <row r="378" spans="1:4" x14ac:dyDescent="0.25">
      <c r="A378" s="46">
        <v>73276</v>
      </c>
      <c r="B378" s="46" t="s">
        <v>235</v>
      </c>
      <c r="C378" s="46" t="s">
        <v>7144</v>
      </c>
      <c r="D378" s="49">
        <v>32</v>
      </c>
    </row>
    <row r="379" spans="1:4" x14ac:dyDescent="0.25">
      <c r="A379" s="46">
        <v>73356</v>
      </c>
      <c r="B379" s="46" t="s">
        <v>547</v>
      </c>
      <c r="C379" s="46" t="s">
        <v>7280</v>
      </c>
      <c r="D379" s="49">
        <v>28</v>
      </c>
    </row>
    <row r="380" spans="1:4" x14ac:dyDescent="0.25">
      <c r="A380" s="46">
        <v>87100</v>
      </c>
      <c r="B380" s="46" t="s">
        <v>486</v>
      </c>
      <c r="C380" s="46" t="s">
        <v>7281</v>
      </c>
      <c r="D380" s="49">
        <v>15</v>
      </c>
    </row>
    <row r="381" spans="1:4" x14ac:dyDescent="0.25">
      <c r="A381" s="46">
        <v>87103</v>
      </c>
      <c r="B381" s="46" t="s">
        <v>416</v>
      </c>
      <c r="C381" s="46" t="s">
        <v>7263</v>
      </c>
      <c r="D381" s="49">
        <v>21</v>
      </c>
    </row>
    <row r="382" spans="1:4" x14ac:dyDescent="0.25">
      <c r="A382" s="46">
        <v>87105</v>
      </c>
      <c r="B382" s="46" t="s">
        <v>489</v>
      </c>
      <c r="C382" s="46" t="s">
        <v>7282</v>
      </c>
      <c r="D382" s="49">
        <v>20</v>
      </c>
    </row>
    <row r="383" spans="1:4" x14ac:dyDescent="0.25">
      <c r="A383" s="46">
        <v>87107</v>
      </c>
      <c r="B383" s="46" t="s">
        <v>598</v>
      </c>
      <c r="C383" s="46" t="s">
        <v>7283</v>
      </c>
      <c r="D383" s="49">
        <v>30</v>
      </c>
    </row>
    <row r="384" spans="1:4" x14ac:dyDescent="0.25">
      <c r="A384" s="46">
        <v>87110</v>
      </c>
      <c r="B384" s="46" t="s">
        <v>464</v>
      </c>
      <c r="C384" s="46" t="s">
        <v>7284</v>
      </c>
      <c r="D384" s="49">
        <v>30</v>
      </c>
    </row>
    <row r="385" spans="1:4" x14ac:dyDescent="0.25">
      <c r="A385" s="46">
        <v>87112</v>
      </c>
      <c r="B385" s="46" t="s">
        <v>460</v>
      </c>
      <c r="C385" s="46" t="s">
        <v>7285</v>
      </c>
      <c r="D385" s="49">
        <v>36</v>
      </c>
    </row>
    <row r="386" spans="1:4" x14ac:dyDescent="0.25">
      <c r="A386" s="46">
        <v>100260</v>
      </c>
      <c r="B386" s="46" t="s">
        <v>7286</v>
      </c>
      <c r="C386" s="46" t="s">
        <v>7287</v>
      </c>
      <c r="D386" s="49">
        <v>0</v>
      </c>
    </row>
    <row r="387" spans="1:4" x14ac:dyDescent="0.25">
      <c r="A387" s="46">
        <v>94924</v>
      </c>
      <c r="B387" s="46" t="s">
        <v>970</v>
      </c>
      <c r="C387" s="46" t="s">
        <v>7288</v>
      </c>
      <c r="D387" s="49">
        <v>120</v>
      </c>
    </row>
    <row r="388" spans="1:4" x14ac:dyDescent="0.25">
      <c r="A388" s="46">
        <v>2194</v>
      </c>
      <c r="B388" s="46" t="s">
        <v>378</v>
      </c>
      <c r="C388" s="46" t="s">
        <v>7289</v>
      </c>
      <c r="D388" s="49">
        <v>178</v>
      </c>
    </row>
    <row r="389" spans="1:4" x14ac:dyDescent="0.25">
      <c r="A389" s="46">
        <v>73026</v>
      </c>
      <c r="B389" s="46" t="s">
        <v>948</v>
      </c>
      <c r="C389" s="46" t="s">
        <v>7290</v>
      </c>
      <c r="D389" s="49">
        <v>866</v>
      </c>
    </row>
    <row r="390" spans="1:4" x14ac:dyDescent="0.25">
      <c r="A390" s="46">
        <v>187</v>
      </c>
      <c r="B390" s="46" t="s">
        <v>376</v>
      </c>
      <c r="C390" s="46" t="s">
        <v>7291</v>
      </c>
      <c r="D390" s="49">
        <v>615</v>
      </c>
    </row>
    <row r="391" spans="1:4" x14ac:dyDescent="0.25">
      <c r="A391" s="46">
        <v>2308</v>
      </c>
      <c r="B391" s="46" t="s">
        <v>207</v>
      </c>
      <c r="C391" s="46" t="s">
        <v>7210</v>
      </c>
      <c r="D391" s="49">
        <v>525</v>
      </c>
    </row>
    <row r="392" spans="1:4" x14ac:dyDescent="0.25">
      <c r="A392" s="46">
        <v>154</v>
      </c>
      <c r="B392" s="46" t="s">
        <v>670</v>
      </c>
      <c r="C392" s="46" t="s">
        <v>7210</v>
      </c>
      <c r="D392" s="49">
        <v>525</v>
      </c>
    </row>
    <row r="393" spans="1:4" x14ac:dyDescent="0.25">
      <c r="A393" s="46">
        <v>84877</v>
      </c>
      <c r="B393" s="46" t="s">
        <v>418</v>
      </c>
      <c r="C393" s="46" t="s">
        <v>7292</v>
      </c>
      <c r="D393" s="49">
        <v>0</v>
      </c>
    </row>
  </sheetData>
  <autoFilter ref="A4:D393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Estoque</vt:lpstr>
      <vt:lpstr>Reservas</vt:lpstr>
      <vt:lpstr>Linha</vt:lpstr>
      <vt:lpstr>Paletes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Gerador de Estoque</dc:creator>
  <dc:title/>
  <dc:subject/>
  <dc:description/>
  <cp:keywords/>
  <cp:category/>
  <cp:lastModifiedBy>Unknown</cp:lastModifiedBy>
  <dcterms:created xsi:type="dcterms:W3CDTF">2026-10-02T16:56:55Z</dcterms:created>
  <dcterms:modified xsi:type="dcterms:W3CDTF">2026-10-02T16:56:55Z</dcterms:modified>
</cp:coreProperties>
</file>