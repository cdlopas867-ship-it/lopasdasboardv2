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9414C68-C6A7-479D-AA3A-16B2B982DDD8}" xr6:coauthVersionLast="47" xr6:coauthVersionMax="47" xr10:uidLastSave="{00000000-0000-0000-0000-000000000000}"/>
  <bookViews>
    <workbookView xWindow="-120" yWindow="-120" windowWidth="20730" windowHeight="11040" xr2:uid="{5687EB64-8C1B-41D2-B8B5-480ABF167D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8" i="1" l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<sst xmlns="http://schemas.openxmlformats.org/spreadsheetml/2006/main" count="112" uniqueCount="13">
  <si>
    <t>Carregado</t>
  </si>
  <si>
    <t>Data</t>
  </si>
  <si>
    <t>Mês</t>
  </si>
  <si>
    <t>Peso</t>
  </si>
  <si>
    <t>Toneladas</t>
  </si>
  <si>
    <t>Qtd de Cargas</t>
  </si>
  <si>
    <t>Tempo Total</t>
  </si>
  <si>
    <t>Tempo Médio</t>
  </si>
  <si>
    <t>MAIO</t>
  </si>
  <si>
    <t>JUNHO</t>
  </si>
  <si>
    <t>JULHO</t>
  </si>
  <si>
    <t>AGOSTO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</si>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</sst>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6" fontId="0" fillId="0" borderId="5" xfId="0" applyNumberFormat="1" applyBorder="1" applyAlignment="1">
      <alignment horizontal="center"/>
    </xf>
    <xf numFmtId="20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6" fontId="0" fillId="0" borderId="8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4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numFmt numFmtId="25" formatCode="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1" formatCode="[h]:mm:ss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1A3A19-2422-4D43-88A9-D81C876423A2}" name="Tabela99" displayName="Tabela99" ref="A4:G108" totalsRowShown="0" headerRowDxfId="11" dataDxfId="9" headerRowBorderDxfId="10" tableBorderDxfId="8" totalsRowBorderDxfId="7">
  <autoFilter ref="A4:G108" xr:uid="{2A1A3A19-2422-4D43-88A9-D81C876423A2}"/>
  <tableColumns count="7">
    <tableColumn id="1" xr3:uid="{90B1719B-8791-47A8-899B-2271F7F2F5BB}" name="Data" dataDxfId="6"/>
    <tableColumn id="7" xr3:uid="{8BE75AD2-65BF-47AC-87EC-AA5ABEFAC9A4}" name="Mês" dataDxfId="5"/>
    <tableColumn id="2" xr3:uid="{F0A0CAE9-4A24-4DC6-B1C1-0B61C582EB48}" name="Peso" dataDxfId="4"/>
    <tableColumn id="6" xr3:uid="{F82CDC58-9B14-4C9D-BC32-9A634D8AFDE5}" name="Toneladas" dataDxfId="3">
      <calculatedColumnFormula>Tabela99[[#This Row],[Peso]]/1000</calculatedColumnFormula>
    </tableColumn>
    <tableColumn id="3" xr3:uid="{5C3A2B79-C3C5-4574-8058-6F66A41B3B3A}" name="Qtd de Cargas" dataDxfId="2"/>
    <tableColumn id="4" xr3:uid="{22C21E23-AD6E-4525-A359-FB3C62FFA8E1}" name="Tempo Total" dataDxfId="1"/>
    <tableColumn id="5" xr3:uid="{81CA5F51-033C-4581-9018-D2FB326A7F33}" name="Tempo Médi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EED6-FC93-48F1-839F-C31BB752D27F}">
  <dimension ref="A1:G108"/>
  <sheetViews>
    <sheetView tabSelected="1" workbookViewId="0">
      <selection activeCell="I9" sqref="I9"/>
    </sheetView>
  </sheetViews>
  <sheetFormatPr defaultRowHeight="15" x14ac:dyDescent="0.25"/>
  <sheetData>
    <row r="1" spans="1:7" ht="36" x14ac:dyDescent="0.55000000000000004">
      <c r="A1" s="18" t="s">
        <v>0</v>
      </c>
      <c r="B1" s="18"/>
      <c r="C1" s="18"/>
      <c r="D1" s="18"/>
      <c r="E1" s="18"/>
      <c r="F1" s="18"/>
      <c r="G1" s="18"/>
    </row>
    <row r="4" spans="1:7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 t="s">
        <v>7</v>
      </c>
    </row>
    <row r="5" spans="1:7" x14ac:dyDescent="0.25">
      <c r="A5" s="4">
        <v>46146</v>
      </c>
      <c r="B5" s="5" t="s">
        <v>8</v>
      </c>
      <c r="C5" s="6">
        <v>293658.01</v>
      </c>
      <c r="D5" s="6">
        <f>Tabela99[[#This Row],[Peso]]/1000</f>
        <v>293.65800999999999</v>
      </c>
      <c r="E5" s="7">
        <v>29</v>
      </c>
      <c r="F5" s="8">
        <v>3.3951388888888889</v>
      </c>
      <c r="G5" s="9">
        <v>0.1173611111111111</v>
      </c>
    </row>
    <row r="6" spans="1:7" x14ac:dyDescent="0.25">
      <c r="A6" s="4">
        <v>46147</v>
      </c>
      <c r="B6" s="5" t="s">
        <v>8</v>
      </c>
      <c r="C6" s="6">
        <v>336442.45</v>
      </c>
      <c r="D6" s="6">
        <f>Tabela99[[#This Row],[Peso]]/1000</f>
        <v>336.44245000000001</v>
      </c>
      <c r="E6" s="7">
        <v>32</v>
      </c>
      <c r="F6" s="8">
        <v>2.7104166666666667</v>
      </c>
      <c r="G6" s="9">
        <v>8.4722222222222213E-2</v>
      </c>
    </row>
    <row r="7" spans="1:7" x14ac:dyDescent="0.25">
      <c r="A7" s="4">
        <v>46148</v>
      </c>
      <c r="B7" s="5" t="s">
        <v>8</v>
      </c>
      <c r="C7" s="6">
        <v>343018.23999999999</v>
      </c>
      <c r="D7" s="6">
        <f>Tabela99[[#This Row],[Peso]]/1000</f>
        <v>343.01823999999999</v>
      </c>
      <c r="E7" s="7">
        <v>30</v>
      </c>
      <c r="F7" s="8">
        <v>2.8416666666666668</v>
      </c>
      <c r="G7" s="9">
        <v>9.4444444444444442E-2</v>
      </c>
    </row>
    <row r="8" spans="1:7" x14ac:dyDescent="0.25">
      <c r="A8" s="4">
        <v>46149</v>
      </c>
      <c r="B8" s="5" t="s">
        <v>8</v>
      </c>
      <c r="C8" s="6">
        <v>352472.82</v>
      </c>
      <c r="D8" s="6">
        <f>Tabela99[[#This Row],[Peso]]/1000</f>
        <v>352.47282000000001</v>
      </c>
      <c r="E8" s="7">
        <v>36</v>
      </c>
      <c r="F8" s="8">
        <v>3.21875</v>
      </c>
      <c r="G8" s="9">
        <v>8.9583333333333334E-2</v>
      </c>
    </row>
    <row r="9" spans="1:7" x14ac:dyDescent="0.25">
      <c r="A9" s="4">
        <v>46150</v>
      </c>
      <c r="B9" s="5" t="s">
        <v>8</v>
      </c>
      <c r="C9" s="6">
        <v>305216.05</v>
      </c>
      <c r="D9" s="6">
        <f>Tabela99[[#This Row],[Peso]]/1000</f>
        <v>305.21605</v>
      </c>
      <c r="E9" s="7">
        <v>22</v>
      </c>
      <c r="F9" s="8">
        <v>2.4548611111111112</v>
      </c>
      <c r="G9" s="9">
        <v>0.11180555555555556</v>
      </c>
    </row>
    <row r="10" spans="1:7" x14ac:dyDescent="0.25">
      <c r="A10" s="4">
        <v>46153</v>
      </c>
      <c r="B10" s="5" t="s">
        <v>8</v>
      </c>
      <c r="C10" s="6">
        <v>336813.09</v>
      </c>
      <c r="D10" s="6">
        <f>Tabela99[[#This Row],[Peso]]/1000</f>
        <v>336.81309000000005</v>
      </c>
      <c r="E10" s="7">
        <v>39</v>
      </c>
      <c r="F10" s="8">
        <v>3.7520833333333332</v>
      </c>
      <c r="G10" s="9">
        <v>9.6527777777777768E-2</v>
      </c>
    </row>
    <row r="11" spans="1:7" x14ac:dyDescent="0.25">
      <c r="A11" s="4">
        <v>46154</v>
      </c>
      <c r="B11" s="5" t="s">
        <v>8</v>
      </c>
      <c r="C11" s="6">
        <v>340684.83</v>
      </c>
      <c r="D11" s="6">
        <f>Tabela99[[#This Row],[Peso]]/1000</f>
        <v>340.68483000000003</v>
      </c>
      <c r="E11" s="7">
        <v>37</v>
      </c>
      <c r="F11" s="8">
        <v>3.411111111111111</v>
      </c>
      <c r="G11" s="9">
        <v>9.2361111111111116E-2</v>
      </c>
    </row>
    <row r="12" spans="1:7" x14ac:dyDescent="0.25">
      <c r="A12" s="4">
        <v>46155</v>
      </c>
      <c r="B12" s="5" t="s">
        <v>8</v>
      </c>
      <c r="C12" s="6">
        <v>377010.1</v>
      </c>
      <c r="D12" s="6">
        <f>Tabela99[[#This Row],[Peso]]/1000</f>
        <v>377.01009999999997</v>
      </c>
      <c r="E12" s="7">
        <v>42</v>
      </c>
      <c r="F12" s="8">
        <v>3.4388888888888887</v>
      </c>
      <c r="G12" s="9">
        <v>8.1944444444444445E-2</v>
      </c>
    </row>
    <row r="13" spans="1:7" x14ac:dyDescent="0.25">
      <c r="A13" s="4">
        <v>46156</v>
      </c>
      <c r="B13" s="5" t="s">
        <v>8</v>
      </c>
      <c r="C13" s="6">
        <v>355037.83</v>
      </c>
      <c r="D13" s="6">
        <f>Tabela99[[#This Row],[Peso]]/1000</f>
        <v>355.03783000000004</v>
      </c>
      <c r="E13" s="7">
        <v>44</v>
      </c>
      <c r="F13" s="8">
        <v>4.228472222222222</v>
      </c>
      <c r="G13" s="9">
        <v>9.5833333333333326E-2</v>
      </c>
    </row>
    <row r="14" spans="1:7" x14ac:dyDescent="0.25">
      <c r="A14" s="4">
        <v>46157</v>
      </c>
      <c r="B14" s="5" t="s">
        <v>8</v>
      </c>
      <c r="C14" s="6">
        <v>367816.74</v>
      </c>
      <c r="D14" s="6">
        <f>Tabela99[[#This Row],[Peso]]/1000</f>
        <v>367.81673999999998</v>
      </c>
      <c r="E14" s="7">
        <v>37</v>
      </c>
      <c r="F14" s="8">
        <v>3.3145833333333332</v>
      </c>
      <c r="G14" s="9">
        <v>8.9583333333333334E-2</v>
      </c>
    </row>
    <row r="15" spans="1:7" x14ac:dyDescent="0.25">
      <c r="A15" s="4">
        <v>46160</v>
      </c>
      <c r="B15" s="5" t="s">
        <v>8</v>
      </c>
      <c r="C15" s="6">
        <v>413669</v>
      </c>
      <c r="D15" s="6">
        <f>Tabela99[[#This Row],[Peso]]/1000</f>
        <v>413.66899999999998</v>
      </c>
      <c r="E15" s="7">
        <v>48</v>
      </c>
      <c r="F15" s="8">
        <v>3.3222222222222224</v>
      </c>
      <c r="G15" s="9">
        <v>7.0833333333333331E-2</v>
      </c>
    </row>
    <row r="16" spans="1:7" x14ac:dyDescent="0.25">
      <c r="A16" s="4">
        <v>46161</v>
      </c>
      <c r="B16" s="5" t="s">
        <v>8</v>
      </c>
      <c r="C16" s="6">
        <v>320633.21999999997</v>
      </c>
      <c r="D16" s="6">
        <f>Tabela99[[#This Row],[Peso]]/1000</f>
        <v>320.63321999999999</v>
      </c>
      <c r="E16" s="7">
        <v>40</v>
      </c>
      <c r="F16" s="8">
        <v>2.8048611111111108</v>
      </c>
      <c r="G16" s="9">
        <v>7.013888888888889E-2</v>
      </c>
    </row>
    <row r="17" spans="1:7" x14ac:dyDescent="0.25">
      <c r="A17" s="4">
        <v>46162</v>
      </c>
      <c r="B17" s="5" t="s">
        <v>8</v>
      </c>
      <c r="C17" s="6">
        <v>362784.12</v>
      </c>
      <c r="D17" s="6">
        <f>Tabela99[[#This Row],[Peso]]/1000</f>
        <v>362.78411999999997</v>
      </c>
      <c r="E17" s="7">
        <v>40</v>
      </c>
      <c r="F17" s="8">
        <v>3.5208333333333335</v>
      </c>
      <c r="G17" s="9">
        <v>8.4027777777777771E-2</v>
      </c>
    </row>
    <row r="18" spans="1:7" x14ac:dyDescent="0.25">
      <c r="A18" s="4">
        <v>46163</v>
      </c>
      <c r="B18" s="5" t="s">
        <v>8</v>
      </c>
      <c r="C18" s="6">
        <v>329968.06</v>
      </c>
      <c r="D18" s="6">
        <f>Tabela99[[#This Row],[Peso]]/1000</f>
        <v>329.96805999999998</v>
      </c>
      <c r="E18" s="7">
        <v>37</v>
      </c>
      <c r="F18" s="8">
        <v>4.1923611111111105</v>
      </c>
      <c r="G18" s="9">
        <v>0.10902777777777778</v>
      </c>
    </row>
    <row r="19" spans="1:7" x14ac:dyDescent="0.25">
      <c r="A19" s="4">
        <v>46164</v>
      </c>
      <c r="B19" s="5" t="s">
        <v>8</v>
      </c>
      <c r="C19" s="6">
        <v>402340.57</v>
      </c>
      <c r="D19" s="6">
        <f>Tabela99[[#This Row],[Peso]]/1000</f>
        <v>402.34057000000001</v>
      </c>
      <c r="E19" s="7">
        <v>49</v>
      </c>
      <c r="F19" s="8">
        <v>4.9930555555555554</v>
      </c>
      <c r="G19" s="9">
        <v>0.10208333333333335</v>
      </c>
    </row>
    <row r="20" spans="1:7" x14ac:dyDescent="0.25">
      <c r="A20" s="4">
        <v>46167</v>
      </c>
      <c r="B20" s="5" t="s">
        <v>8</v>
      </c>
      <c r="C20" s="6">
        <v>413669.38</v>
      </c>
      <c r="D20" s="6">
        <f>Tabela99[[#This Row],[Peso]]/1000</f>
        <v>413.66937999999999</v>
      </c>
      <c r="E20" s="7">
        <v>48</v>
      </c>
      <c r="F20" s="8">
        <v>5.5347222222222223</v>
      </c>
      <c r="G20" s="9">
        <v>0.11527777777777777</v>
      </c>
    </row>
    <row r="21" spans="1:7" x14ac:dyDescent="0.25">
      <c r="A21" s="4">
        <v>46168</v>
      </c>
      <c r="B21" s="5" t="s">
        <v>8</v>
      </c>
      <c r="C21" s="6">
        <v>397836.98</v>
      </c>
      <c r="D21" s="6">
        <f>Tabela99[[#This Row],[Peso]]/1000</f>
        <v>397.83697999999998</v>
      </c>
      <c r="E21" s="7">
        <v>41</v>
      </c>
      <c r="F21" s="8">
        <v>3.1965277777777779</v>
      </c>
      <c r="G21" s="9">
        <v>8.1944444444444445E-2</v>
      </c>
    </row>
    <row r="22" spans="1:7" x14ac:dyDescent="0.25">
      <c r="A22" s="4">
        <v>46169</v>
      </c>
      <c r="B22" s="5" t="s">
        <v>8</v>
      </c>
      <c r="C22" s="6">
        <v>361662.52</v>
      </c>
      <c r="D22" s="6">
        <f>Tabela99[[#This Row],[Peso]]/1000</f>
        <v>361.66252000000003</v>
      </c>
      <c r="E22" s="7">
        <v>47</v>
      </c>
      <c r="F22" s="8">
        <v>5.2930555555555552</v>
      </c>
      <c r="G22" s="9">
        <v>0.1173611111111111</v>
      </c>
    </row>
    <row r="23" spans="1:7" x14ac:dyDescent="0.25">
      <c r="A23" s="4">
        <v>46170</v>
      </c>
      <c r="B23" s="5" t="s">
        <v>8</v>
      </c>
      <c r="C23" s="6">
        <v>361801.16</v>
      </c>
      <c r="D23" s="6">
        <f>Tabela99[[#This Row],[Peso]]/1000</f>
        <v>361.80115999999998</v>
      </c>
      <c r="E23" s="7">
        <v>41</v>
      </c>
      <c r="F23" s="8">
        <v>6.207638888888888</v>
      </c>
      <c r="G23" s="9">
        <v>0.15138888888888888</v>
      </c>
    </row>
    <row r="24" spans="1:7" x14ac:dyDescent="0.25">
      <c r="A24" s="4">
        <v>46171</v>
      </c>
      <c r="B24" s="5" t="s">
        <v>8</v>
      </c>
      <c r="C24" s="6">
        <v>410325.99</v>
      </c>
      <c r="D24" s="6">
        <f>Tabela99[[#This Row],[Peso]]/1000</f>
        <v>410.32598999999999</v>
      </c>
      <c r="E24" s="7">
        <v>58</v>
      </c>
      <c r="F24" s="8">
        <v>6.2770833333333336</v>
      </c>
      <c r="G24" s="9">
        <v>0.10833333333333334</v>
      </c>
    </row>
    <row r="25" spans="1:7" x14ac:dyDescent="0.25">
      <c r="A25" s="10">
        <v>46172</v>
      </c>
      <c r="B25" s="11" t="s">
        <v>8</v>
      </c>
      <c r="C25" s="12">
        <v>100755.4</v>
      </c>
      <c r="D25" s="12">
        <f>Tabela99[[#This Row],[Peso]]/1000</f>
        <v>100.75539999999999</v>
      </c>
      <c r="E25" s="13">
        <v>4</v>
      </c>
      <c r="F25" s="14">
        <v>0.85416666666666663</v>
      </c>
      <c r="G25" s="15">
        <v>0.21597222222222223</v>
      </c>
    </row>
    <row r="26" spans="1:7" x14ac:dyDescent="0.25">
      <c r="A26" s="5">
        <v>46174</v>
      </c>
      <c r="B26" s="5" t="s">
        <v>9</v>
      </c>
      <c r="C26" s="6">
        <v>367173.68</v>
      </c>
      <c r="D26" s="6">
        <f>Tabela99[[#This Row],[Peso]]/1000</f>
        <v>367.17367999999999</v>
      </c>
      <c r="E26" s="7">
        <v>41</v>
      </c>
      <c r="F26" s="8">
        <v>3.2631944444444443</v>
      </c>
      <c r="G26" s="16">
        <v>8.1250000000000003E-2</v>
      </c>
    </row>
    <row r="27" spans="1:7" x14ac:dyDescent="0.25">
      <c r="A27" s="5">
        <v>46175</v>
      </c>
      <c r="B27" s="5" t="s">
        <v>9</v>
      </c>
      <c r="C27" s="6">
        <v>337182.56</v>
      </c>
      <c r="D27" s="6">
        <f>Tabela99[[#This Row],[Peso]]/1000</f>
        <v>337.18256000000002</v>
      </c>
      <c r="E27" s="7">
        <v>47</v>
      </c>
      <c r="F27" s="8">
        <v>4.6923611111111114</v>
      </c>
      <c r="G27" s="16">
        <v>0.1</v>
      </c>
    </row>
    <row r="28" spans="1:7" x14ac:dyDescent="0.25">
      <c r="A28" s="5">
        <v>46176</v>
      </c>
      <c r="B28" s="5" t="s">
        <v>9</v>
      </c>
      <c r="C28" s="6">
        <v>328874.94</v>
      </c>
      <c r="D28" s="6">
        <f>Tabela99[[#This Row],[Peso]]/1000</f>
        <v>328.87493999999998</v>
      </c>
      <c r="E28" s="7">
        <v>59</v>
      </c>
      <c r="F28" s="8">
        <v>4.978472222222222</v>
      </c>
      <c r="G28" s="16">
        <v>8.4722222222222213E-2</v>
      </c>
    </row>
    <row r="29" spans="1:7" x14ac:dyDescent="0.25">
      <c r="A29" s="5">
        <v>46178</v>
      </c>
      <c r="B29" s="5" t="s">
        <v>9</v>
      </c>
      <c r="C29" s="6">
        <v>361835.03</v>
      </c>
      <c r="D29" s="6">
        <f>Tabela99[[#This Row],[Peso]]/1000</f>
        <v>361.83503000000002</v>
      </c>
      <c r="E29" s="7">
        <v>52</v>
      </c>
      <c r="F29" s="8">
        <v>6.8173611111111114</v>
      </c>
      <c r="G29" s="16">
        <v>0.13125000000000001</v>
      </c>
    </row>
    <row r="30" spans="1:7" x14ac:dyDescent="0.25">
      <c r="A30" s="5">
        <v>46181</v>
      </c>
      <c r="B30" s="5" t="s">
        <v>9</v>
      </c>
      <c r="C30" s="6">
        <v>353951.78</v>
      </c>
      <c r="D30" s="6">
        <f>Tabela99[[#This Row],[Peso]]/1000</f>
        <v>353.95178000000004</v>
      </c>
      <c r="E30" s="7">
        <v>41</v>
      </c>
      <c r="F30" s="8">
        <v>5.0243055555555554</v>
      </c>
      <c r="G30" s="16">
        <v>0.12222222222222223</v>
      </c>
    </row>
    <row r="31" spans="1:7" x14ac:dyDescent="0.25">
      <c r="A31" s="10">
        <v>46182</v>
      </c>
      <c r="B31" s="11" t="s">
        <v>9</v>
      </c>
      <c r="C31" s="6">
        <v>330982.55</v>
      </c>
      <c r="D31" s="12">
        <f>Tabela99[[#This Row],[Peso]]/1000</f>
        <v>330.98255</v>
      </c>
      <c r="E31" s="13">
        <v>37</v>
      </c>
      <c r="F31" s="8">
        <v>4.0854166666666663</v>
      </c>
      <c r="G31" s="15">
        <v>0.11041666666666666</v>
      </c>
    </row>
    <row r="32" spans="1:7" x14ac:dyDescent="0.25">
      <c r="A32" s="10">
        <v>46183</v>
      </c>
      <c r="B32" s="11" t="s">
        <v>9</v>
      </c>
      <c r="C32" s="6">
        <v>350271.72</v>
      </c>
      <c r="D32" s="12">
        <f>Tabela99[[#This Row],[Peso]]/1000</f>
        <v>350.27171999999996</v>
      </c>
      <c r="E32" s="13">
        <v>51</v>
      </c>
      <c r="F32" s="17">
        <v>4.4527777777777775</v>
      </c>
      <c r="G32" s="16">
        <v>8.7500000000000008E-2</v>
      </c>
    </row>
    <row r="33" spans="1:7" x14ac:dyDescent="0.25">
      <c r="A33" s="10">
        <v>46184</v>
      </c>
      <c r="B33" s="11" t="s">
        <v>9</v>
      </c>
      <c r="C33" s="12">
        <v>347301.72</v>
      </c>
      <c r="D33" s="12">
        <f>Tabela99[[#This Row],[Peso]]/1000</f>
        <v>347.30171999999999</v>
      </c>
      <c r="E33" s="13">
        <v>47</v>
      </c>
      <c r="F33" s="14"/>
      <c r="G33" s="15">
        <v>7.4305555555555555E-2</v>
      </c>
    </row>
    <row r="34" spans="1:7" x14ac:dyDescent="0.25">
      <c r="A34" s="10">
        <v>46185</v>
      </c>
      <c r="B34" s="11" t="s">
        <v>9</v>
      </c>
      <c r="C34" s="12">
        <v>350430.65</v>
      </c>
      <c r="D34" s="12">
        <f>Tabela99[[#This Row],[Peso]]/1000</f>
        <v>350.43065000000001</v>
      </c>
      <c r="E34" s="13">
        <v>36</v>
      </c>
      <c r="F34" s="14">
        <v>3.1138888888888889</v>
      </c>
      <c r="G34" s="15">
        <v>8.6805555555555566E-2</v>
      </c>
    </row>
    <row r="35" spans="1:7" x14ac:dyDescent="0.25">
      <c r="A35" s="10">
        <v>46188</v>
      </c>
      <c r="B35" s="11" t="s">
        <v>9</v>
      </c>
      <c r="C35" s="12">
        <v>350418.85</v>
      </c>
      <c r="D35" s="12">
        <f>Tabela99[[#This Row],[Peso]]/1000</f>
        <v>350.41884999999996</v>
      </c>
      <c r="E35" s="13">
        <v>38</v>
      </c>
      <c r="F35" s="14">
        <v>4.3916666666666666</v>
      </c>
      <c r="G35" s="15">
        <v>0.11527777777777777</v>
      </c>
    </row>
    <row r="36" spans="1:7" x14ac:dyDescent="0.25">
      <c r="A36" s="10">
        <v>46189</v>
      </c>
      <c r="B36" s="11" t="s">
        <v>9</v>
      </c>
      <c r="C36" s="12">
        <v>348680.2</v>
      </c>
      <c r="D36" s="12">
        <f>Tabela99[[#This Row],[Peso]]/1000</f>
        <v>348.68020000000001</v>
      </c>
      <c r="E36" s="13">
        <v>45</v>
      </c>
      <c r="F36" s="14">
        <v>4.4048611111111109</v>
      </c>
      <c r="G36" s="15">
        <v>9.7916666666666666E-2</v>
      </c>
    </row>
    <row r="37" spans="1:7" x14ac:dyDescent="0.25">
      <c r="A37" s="10">
        <v>46190</v>
      </c>
      <c r="B37" s="11" t="s">
        <v>9</v>
      </c>
      <c r="C37" s="12">
        <v>321479.40000000002</v>
      </c>
      <c r="D37" s="12">
        <f>Tabela99[[#This Row],[Peso]]/1000</f>
        <v>321.4794</v>
      </c>
      <c r="E37" s="13">
        <v>49</v>
      </c>
      <c r="F37" s="14">
        <v>3.6083333333333329</v>
      </c>
      <c r="G37" s="15">
        <v>7.3611111111111113E-2</v>
      </c>
    </row>
    <row r="38" spans="1:7" x14ac:dyDescent="0.25">
      <c r="A38" s="10">
        <v>46191</v>
      </c>
      <c r="B38" s="11" t="s">
        <v>9</v>
      </c>
      <c r="C38" s="12">
        <v>348906.58</v>
      </c>
      <c r="D38" s="12">
        <f>Tabela99[[#This Row],[Peso]]/1000</f>
        <v>348.90658000000002</v>
      </c>
      <c r="E38" s="13">
        <v>34</v>
      </c>
      <c r="F38" s="14">
        <v>3.1541666666666668</v>
      </c>
      <c r="G38" s="15">
        <v>0.10208333333333335</v>
      </c>
    </row>
    <row r="39" spans="1:7" x14ac:dyDescent="0.25">
      <c r="A39" s="10">
        <v>46192</v>
      </c>
      <c r="B39" s="11" t="s">
        <v>9</v>
      </c>
      <c r="C39" s="12">
        <v>390937.67</v>
      </c>
      <c r="D39" s="12">
        <f>Tabela99[[#This Row],[Peso]]/1000</f>
        <v>390.93766999999997</v>
      </c>
      <c r="E39" s="13">
        <v>47</v>
      </c>
      <c r="F39" s="14">
        <v>3.7840277777777778</v>
      </c>
      <c r="G39" s="15">
        <v>8.0555555555555561E-2</v>
      </c>
    </row>
    <row r="40" spans="1:7" x14ac:dyDescent="0.25">
      <c r="A40" s="10">
        <v>46195</v>
      </c>
      <c r="B40" s="11" t="s">
        <v>9</v>
      </c>
      <c r="C40" s="12">
        <v>343302.84</v>
      </c>
      <c r="D40" s="12">
        <f>Tabela99[[#This Row],[Peso]]/1000</f>
        <v>343.30284</v>
      </c>
      <c r="E40" s="13">
        <v>27</v>
      </c>
      <c r="F40" s="14">
        <v>2.5993055555555555</v>
      </c>
      <c r="G40" s="15">
        <v>9.6527777777777768E-2</v>
      </c>
    </row>
    <row r="41" spans="1:7" x14ac:dyDescent="0.25">
      <c r="A41" s="10">
        <v>46196</v>
      </c>
      <c r="B41" s="11" t="s">
        <v>9</v>
      </c>
      <c r="C41" s="12">
        <v>355177.46</v>
      </c>
      <c r="D41" s="12">
        <f>Tabela99[[#This Row],[Peso]]/1000</f>
        <v>355.17746</v>
      </c>
      <c r="E41" s="13">
        <v>54</v>
      </c>
      <c r="F41" s="14">
        <v>5.6312500000000005</v>
      </c>
      <c r="G41" s="15">
        <v>0.10416666666666667</v>
      </c>
    </row>
    <row r="42" spans="1:7" x14ac:dyDescent="0.25">
      <c r="A42" s="10">
        <v>46197</v>
      </c>
      <c r="B42" s="11" t="s">
        <v>9</v>
      </c>
      <c r="C42" s="12">
        <v>321260.98</v>
      </c>
      <c r="D42" s="12">
        <f>Tabela99[[#This Row],[Peso]]/1000</f>
        <v>321.26097999999996</v>
      </c>
      <c r="E42" s="13">
        <v>50</v>
      </c>
      <c r="F42" s="14">
        <v>4.854166666666667</v>
      </c>
      <c r="G42" s="15">
        <v>9.7222222222222224E-2</v>
      </c>
    </row>
    <row r="43" spans="1:7" x14ac:dyDescent="0.25">
      <c r="A43" s="10">
        <v>46198</v>
      </c>
      <c r="B43" s="11" t="s">
        <v>9</v>
      </c>
      <c r="C43" s="12">
        <v>341015.29</v>
      </c>
      <c r="D43" s="12">
        <f>Tabela99[[#This Row],[Peso]]/1000</f>
        <v>341.01528999999999</v>
      </c>
      <c r="E43" s="13">
        <v>57</v>
      </c>
      <c r="F43" s="14">
        <v>4.2569444444444446</v>
      </c>
      <c r="G43" s="15">
        <v>7.4999999999999997E-2</v>
      </c>
    </row>
    <row r="44" spans="1:7" x14ac:dyDescent="0.25">
      <c r="A44" s="10">
        <v>46199</v>
      </c>
      <c r="B44" s="11" t="s">
        <v>9</v>
      </c>
      <c r="C44" s="12">
        <v>392522.84</v>
      </c>
      <c r="D44" s="12">
        <f>Tabela99[[#This Row],[Peso]]/1000</f>
        <v>392.52284000000003</v>
      </c>
      <c r="E44" s="13">
        <v>39</v>
      </c>
      <c r="F44" s="14">
        <v>4.7194444444444441</v>
      </c>
      <c r="G44" s="15">
        <v>0.12083333333333333</v>
      </c>
    </row>
    <row r="45" spans="1:7" x14ac:dyDescent="0.25">
      <c r="A45" s="10">
        <v>46202</v>
      </c>
      <c r="B45" s="11" t="s">
        <v>9</v>
      </c>
      <c r="C45" s="12">
        <v>289334.75</v>
      </c>
      <c r="D45" s="12">
        <f>Tabela99[[#This Row],[Peso]]/1000</f>
        <v>289.33474999999999</v>
      </c>
      <c r="E45" s="13">
        <v>26</v>
      </c>
      <c r="F45" s="14">
        <v>3.1479166666666667</v>
      </c>
      <c r="G45" s="15">
        <v>0.12083333333333333</v>
      </c>
    </row>
    <row r="46" spans="1:7" x14ac:dyDescent="0.25">
      <c r="A46" s="10">
        <v>46203</v>
      </c>
      <c r="B46" s="11" t="s">
        <v>9</v>
      </c>
      <c r="C46" s="12"/>
      <c r="D46" s="12">
        <v>365.77</v>
      </c>
      <c r="E46" s="13"/>
      <c r="F46" s="14"/>
      <c r="G46" s="15"/>
    </row>
    <row r="47" spans="1:7" x14ac:dyDescent="0.25">
      <c r="A47" s="10">
        <v>46204</v>
      </c>
      <c r="B47" s="11" t="s">
        <v>10</v>
      </c>
      <c r="C47" s="12"/>
      <c r="D47" s="12">
        <v>334.64</v>
      </c>
      <c r="E47" s="13">
        <v>53</v>
      </c>
      <c r="F47" s="14"/>
      <c r="G47" s="15"/>
    </row>
    <row r="48" spans="1:7" x14ac:dyDescent="0.25">
      <c r="A48" s="10">
        <v>46205</v>
      </c>
      <c r="B48" s="11" t="s">
        <v>10</v>
      </c>
      <c r="C48" s="12">
        <v>281902.46000000002</v>
      </c>
      <c r="D48" s="12">
        <f>Tabela99[[#This Row],[Peso]]/1000</f>
        <v>281.90246000000002</v>
      </c>
      <c r="E48" s="13">
        <v>50</v>
      </c>
      <c r="F48" s="14">
        <v>3.5173611111111112</v>
      </c>
      <c r="G48" s="15">
        <v>7.013888888888889E-2</v>
      </c>
    </row>
    <row r="49" spans="1:7" x14ac:dyDescent="0.25">
      <c r="A49" s="10">
        <v>46206</v>
      </c>
      <c r="B49" s="11" t="s">
        <v>10</v>
      </c>
      <c r="C49" s="12">
        <v>325080.09000000003</v>
      </c>
      <c r="D49" s="12">
        <f>Tabela99[[#This Row],[Peso]]/1000</f>
        <v>325.08009000000004</v>
      </c>
      <c r="E49" s="13">
        <v>31</v>
      </c>
      <c r="F49" s="14">
        <v>3.40625</v>
      </c>
      <c r="G49" s="15">
        <v>0.10972222222222222</v>
      </c>
    </row>
    <row r="50" spans="1:7" x14ac:dyDescent="0.25">
      <c r="A50" s="10">
        <v>46209</v>
      </c>
      <c r="B50" s="11" t="s">
        <v>10</v>
      </c>
      <c r="C50" s="12">
        <v>369447.14</v>
      </c>
      <c r="D50" s="12">
        <f>Tabela99[[#This Row],[Peso]]/1000</f>
        <v>369.44713999999999</v>
      </c>
      <c r="E50" s="13">
        <v>58</v>
      </c>
      <c r="F50" s="14">
        <v>6.6118055555555557</v>
      </c>
      <c r="G50" s="15">
        <v>0.11388888888888889</v>
      </c>
    </row>
    <row r="51" spans="1:7" x14ac:dyDescent="0.25">
      <c r="A51" s="10">
        <v>46210</v>
      </c>
      <c r="B51" s="11" t="s">
        <v>10</v>
      </c>
      <c r="C51" s="12">
        <v>308680.21000000002</v>
      </c>
      <c r="D51" s="12">
        <f>Tabela99[[#This Row],[Peso]]/1000</f>
        <v>308.68021000000005</v>
      </c>
      <c r="E51" s="13">
        <v>49</v>
      </c>
      <c r="F51" s="14">
        <v>4.4416666666666664</v>
      </c>
      <c r="G51" s="15">
        <v>9.0972222222222218E-2</v>
      </c>
    </row>
    <row r="52" spans="1:7" x14ac:dyDescent="0.25">
      <c r="A52" s="10">
        <v>46211</v>
      </c>
      <c r="B52" s="11" t="s">
        <v>10</v>
      </c>
      <c r="C52" s="12">
        <v>330825.87</v>
      </c>
      <c r="D52" s="12">
        <f>Tabela99[[#This Row],[Peso]]/1000</f>
        <v>330.82587000000001</v>
      </c>
      <c r="E52" s="13">
        <v>41</v>
      </c>
      <c r="F52" s="14">
        <v>3.6125000000000003</v>
      </c>
      <c r="G52" s="15">
        <v>8.819444444444445E-2</v>
      </c>
    </row>
    <row r="53" spans="1:7" x14ac:dyDescent="0.25">
      <c r="A53" s="10">
        <v>46212</v>
      </c>
      <c r="B53" s="11" t="s">
        <v>10</v>
      </c>
      <c r="C53" s="12">
        <v>354887.87</v>
      </c>
      <c r="D53" s="12">
        <f>Tabela99[[#This Row],[Peso]]/1000</f>
        <v>354.88787000000002</v>
      </c>
      <c r="E53" s="13">
        <v>45</v>
      </c>
      <c r="F53" s="14">
        <v>4.259722222222222</v>
      </c>
      <c r="G53" s="15">
        <v>9.6527777777777768E-2</v>
      </c>
    </row>
    <row r="54" spans="1:7" x14ac:dyDescent="0.25">
      <c r="A54" s="10">
        <v>46213</v>
      </c>
      <c r="B54" s="11" t="s">
        <v>10</v>
      </c>
      <c r="C54" s="12">
        <v>343385.63</v>
      </c>
      <c r="D54" s="12">
        <f>Tabela99[[#This Row],[Peso]]/1000</f>
        <v>343.38562999999999</v>
      </c>
      <c r="E54" s="13">
        <v>48</v>
      </c>
      <c r="F54" s="14">
        <v>4.4909722222222221</v>
      </c>
      <c r="G54" s="15">
        <v>9.375E-2</v>
      </c>
    </row>
    <row r="55" spans="1:7" x14ac:dyDescent="0.25">
      <c r="A55" s="10">
        <v>46216</v>
      </c>
      <c r="B55" s="11" t="s">
        <v>10</v>
      </c>
      <c r="C55" s="12">
        <v>371930</v>
      </c>
      <c r="D55" s="12">
        <f>Tabela99[[#This Row],[Peso]]/1000</f>
        <v>371.93</v>
      </c>
      <c r="E55" s="13">
        <v>49</v>
      </c>
      <c r="F55" s="14"/>
      <c r="G55" s="15"/>
    </row>
    <row r="56" spans="1:7" x14ac:dyDescent="0.25">
      <c r="A56" s="10">
        <v>46217</v>
      </c>
      <c r="B56" s="11" t="s">
        <v>10</v>
      </c>
      <c r="C56" s="12">
        <v>275970</v>
      </c>
      <c r="D56" s="12">
        <f>Tabela99[[#This Row],[Peso]]/1000</f>
        <v>275.97000000000003</v>
      </c>
      <c r="E56" s="13">
        <v>44</v>
      </c>
      <c r="F56" s="14"/>
      <c r="G56" s="15"/>
    </row>
    <row r="57" spans="1:7" x14ac:dyDescent="0.25">
      <c r="A57" s="10">
        <v>46218</v>
      </c>
      <c r="B57" s="11" t="s">
        <v>10</v>
      </c>
      <c r="C57" s="12">
        <v>394968.91</v>
      </c>
      <c r="D57" s="12">
        <f>Tabela99[[#This Row],[Peso]]/1000</f>
        <v>394.96890999999999</v>
      </c>
      <c r="E57" s="13">
        <v>43</v>
      </c>
      <c r="F57" s="14">
        <v>5.0909722222222227</v>
      </c>
      <c r="G57" s="15">
        <v>0.11805555555555557</v>
      </c>
    </row>
    <row r="58" spans="1:7" x14ac:dyDescent="0.25">
      <c r="A58" s="10">
        <v>46219</v>
      </c>
      <c r="B58" s="11" t="s">
        <v>10</v>
      </c>
      <c r="C58" s="12">
        <v>332950</v>
      </c>
      <c r="D58" s="12">
        <f>Tabela99[[#This Row],[Peso]]/1000</f>
        <v>332.95</v>
      </c>
      <c r="E58" s="13">
        <v>46</v>
      </c>
      <c r="F58" s="14"/>
      <c r="G58" s="15"/>
    </row>
    <row r="59" spans="1:7" x14ac:dyDescent="0.25">
      <c r="A59" s="10">
        <v>46220</v>
      </c>
      <c r="B59" s="11" t="s">
        <v>10</v>
      </c>
      <c r="C59" s="12">
        <v>406260</v>
      </c>
      <c r="D59" s="12">
        <f>Tabela99[[#This Row],[Peso]]/1000</f>
        <v>406.26</v>
      </c>
      <c r="E59" s="13">
        <v>51</v>
      </c>
      <c r="F59" s="14"/>
      <c r="G59" s="15"/>
    </row>
    <row r="60" spans="1:7" x14ac:dyDescent="0.25">
      <c r="A60" s="10">
        <v>46223</v>
      </c>
      <c r="B60" s="11" t="s">
        <v>10</v>
      </c>
      <c r="C60" s="12">
        <v>335520</v>
      </c>
      <c r="D60" s="12">
        <f>Tabela99[[#This Row],[Peso]]/1000</f>
        <v>335.52</v>
      </c>
      <c r="E60" s="13">
        <v>42</v>
      </c>
      <c r="F60" s="14"/>
      <c r="G60" s="15"/>
    </row>
    <row r="61" spans="1:7" x14ac:dyDescent="0.25">
      <c r="A61" s="10">
        <v>46224</v>
      </c>
      <c r="B61" s="11" t="s">
        <v>10</v>
      </c>
      <c r="C61" s="12">
        <v>312990</v>
      </c>
      <c r="D61" s="12">
        <f>Tabela99[[#This Row],[Peso]]/1000</f>
        <v>312.99</v>
      </c>
      <c r="E61" s="13">
        <v>37</v>
      </c>
      <c r="F61" s="14"/>
      <c r="G61" s="15"/>
    </row>
    <row r="62" spans="1:7" x14ac:dyDescent="0.25">
      <c r="A62" s="10">
        <v>46225</v>
      </c>
      <c r="B62" s="11" t="s">
        <v>10</v>
      </c>
      <c r="C62" s="12">
        <v>292210</v>
      </c>
      <c r="D62" s="12">
        <f>Tabela99[[#This Row],[Peso]]/1000</f>
        <v>292.20999999999998</v>
      </c>
      <c r="E62" s="13">
        <v>40</v>
      </c>
      <c r="F62" s="14"/>
      <c r="G62" s="15"/>
    </row>
    <row r="63" spans="1:7" x14ac:dyDescent="0.25">
      <c r="A63" s="10">
        <v>46226</v>
      </c>
      <c r="B63" s="11" t="s">
        <v>10</v>
      </c>
      <c r="C63" s="12">
        <v>309140</v>
      </c>
      <c r="D63" s="12">
        <f>Tabela99[[#This Row],[Peso]]/1000</f>
        <v>309.14</v>
      </c>
      <c r="E63" s="13">
        <v>45</v>
      </c>
      <c r="F63" s="14"/>
      <c r="G63" s="15"/>
    </row>
    <row r="64" spans="1:7" x14ac:dyDescent="0.25">
      <c r="A64" s="10">
        <v>46227</v>
      </c>
      <c r="B64" s="11" t="s">
        <v>10</v>
      </c>
      <c r="C64" s="12">
        <v>342110</v>
      </c>
      <c r="D64" s="12">
        <f>Tabela99[[#This Row],[Peso]]/1000</f>
        <v>342.11</v>
      </c>
      <c r="E64" s="13">
        <v>41</v>
      </c>
      <c r="F64" s="14"/>
      <c r="G64" s="15"/>
    </row>
    <row r="65" spans="1:7" x14ac:dyDescent="0.25">
      <c r="A65" s="10">
        <v>46230</v>
      </c>
      <c r="B65" s="11" t="s">
        <v>10</v>
      </c>
      <c r="C65" s="12">
        <v>286830</v>
      </c>
      <c r="D65" s="12">
        <f>Tabela99[[#This Row],[Peso]]/1000</f>
        <v>286.83</v>
      </c>
      <c r="E65" s="13">
        <v>39</v>
      </c>
      <c r="F65" s="14"/>
      <c r="G65" s="15"/>
    </row>
    <row r="66" spans="1:7" x14ac:dyDescent="0.25">
      <c r="A66" s="10">
        <v>46231</v>
      </c>
      <c r="B66" s="11" t="s">
        <v>10</v>
      </c>
      <c r="C66" s="12">
        <v>328660</v>
      </c>
      <c r="D66" s="12">
        <f>Tabela99[[#This Row],[Peso]]/1000</f>
        <v>328.66</v>
      </c>
      <c r="E66" s="13">
        <v>59</v>
      </c>
      <c r="F66" s="14"/>
      <c r="G66" s="15"/>
    </row>
    <row r="67" spans="1:7" x14ac:dyDescent="0.25">
      <c r="A67" s="10">
        <v>46232</v>
      </c>
      <c r="B67" s="11" t="s">
        <v>10</v>
      </c>
      <c r="C67" s="12">
        <v>293290</v>
      </c>
      <c r="D67" s="12">
        <f>Tabela99[[#This Row],[Peso]]/1000</f>
        <v>293.29000000000002</v>
      </c>
      <c r="E67" s="13">
        <v>55</v>
      </c>
      <c r="F67" s="14"/>
      <c r="G67" s="15"/>
    </row>
    <row r="68" spans="1:7" x14ac:dyDescent="0.25">
      <c r="A68" s="10">
        <v>46233</v>
      </c>
      <c r="B68" s="11" t="s">
        <v>10</v>
      </c>
      <c r="C68" s="12">
        <v>433440</v>
      </c>
      <c r="D68" s="12">
        <f>Tabela99[[#This Row],[Peso]]/1000</f>
        <v>433.44</v>
      </c>
      <c r="E68" s="13">
        <v>56</v>
      </c>
      <c r="F68" s="14"/>
      <c r="G68" s="15"/>
    </row>
    <row r="69" spans="1:7" x14ac:dyDescent="0.25">
      <c r="A69" s="10">
        <v>46234</v>
      </c>
      <c r="B69" s="11" t="s">
        <v>10</v>
      </c>
      <c r="C69" s="12">
        <v>400000</v>
      </c>
      <c r="D69" s="12">
        <f>Tabela99[[#This Row],[Peso]]/1000</f>
        <v>400</v>
      </c>
      <c r="E69" s="13">
        <v>65</v>
      </c>
      <c r="F69" s="14"/>
      <c r="G69" s="15"/>
    </row>
    <row r="70" spans="1:7" x14ac:dyDescent="0.25">
      <c r="A70" s="10">
        <v>46237</v>
      </c>
      <c r="B70" s="11" t="s">
        <v>11</v>
      </c>
      <c r="C70" s="12">
        <v>287080</v>
      </c>
      <c r="D70" s="12">
        <f>Tabela99[[#This Row],[Peso]]/1000</f>
        <v>287.08</v>
      </c>
      <c r="E70" s="13">
        <v>39</v>
      </c>
      <c r="F70" s="14"/>
      <c r="G70" s="15"/>
    </row>
    <row r="71" spans="1:7" x14ac:dyDescent="0.25">
      <c r="A71" s="10">
        <v>46238</v>
      </c>
      <c r="B71" s="11" t="s">
        <v>11</v>
      </c>
      <c r="C71" s="12">
        <v>331930</v>
      </c>
      <c r="D71" s="12">
        <f>Tabela99[[#This Row],[Peso]]/1000</f>
        <v>331.93</v>
      </c>
      <c r="E71" s="13">
        <v>44</v>
      </c>
      <c r="F71" s="14"/>
      <c r="G71" s="15"/>
    </row>
    <row r="72" spans="1:7" x14ac:dyDescent="0.25">
      <c r="A72" s="10">
        <v>46239</v>
      </c>
      <c r="B72" s="11" t="s">
        <v>11</v>
      </c>
      <c r="C72" s="12">
        <v>263200</v>
      </c>
      <c r="D72" s="12">
        <f>Tabela99[[#This Row],[Peso]]/1000</f>
        <v>263.2</v>
      </c>
      <c r="E72" s="13">
        <v>47</v>
      </c>
      <c r="F72" s="14"/>
      <c r="G72" s="15"/>
    </row>
    <row r="73" spans="1:7" x14ac:dyDescent="0.25">
      <c r="A73" s="10">
        <v>46240</v>
      </c>
      <c r="B73" s="11" t="s">
        <v>11</v>
      </c>
      <c r="C73" s="12">
        <v>316050</v>
      </c>
      <c r="D73" s="12">
        <f>Tabela99[[#This Row],[Peso]]/1000</f>
        <v>316.05</v>
      </c>
      <c r="E73" s="13">
        <v>46</v>
      </c>
      <c r="F73" s="14"/>
      <c r="G73" s="15"/>
    </row>
    <row r="74" spans="1:7" x14ac:dyDescent="0.25">
      <c r="A74" s="10">
        <v>46241</v>
      </c>
      <c r="B74" s="11" t="s">
        <v>11</v>
      </c>
      <c r="C74" s="12">
        <v>329710</v>
      </c>
      <c r="D74" s="12">
        <f>Tabela99[[#This Row],[Peso]]/1000</f>
        <v>329.71</v>
      </c>
      <c r="E74" s="13">
        <v>61</v>
      </c>
      <c r="F74" s="14"/>
      <c r="G74" s="15"/>
    </row>
    <row r="75" spans="1:7" x14ac:dyDescent="0.25">
      <c r="A75" s="10">
        <v>46244</v>
      </c>
      <c r="B75" s="11" t="s">
        <v>11</v>
      </c>
      <c r="C75" s="12">
        <v>354230</v>
      </c>
      <c r="D75" s="12">
        <f>Tabela99[[#This Row],[Peso]]/1000</f>
        <v>354.23</v>
      </c>
      <c r="E75" s="13">
        <v>53</v>
      </c>
      <c r="F75" s="14"/>
      <c r="G75" s="15"/>
    </row>
    <row r="76" spans="1:7" x14ac:dyDescent="0.25">
      <c r="A76" s="10">
        <v>46245</v>
      </c>
      <c r="B76" s="11" t="s">
        <v>11</v>
      </c>
      <c r="C76" s="12">
        <v>295470</v>
      </c>
      <c r="D76" s="12">
        <f>Tabela99[[#This Row],[Peso]]/1000</f>
        <v>295.47000000000003</v>
      </c>
      <c r="E76" s="13">
        <v>52</v>
      </c>
      <c r="F76" s="14"/>
      <c r="G76" s="15"/>
    </row>
    <row r="77" spans="1:7" x14ac:dyDescent="0.25">
      <c r="A77" s="10">
        <v>46246</v>
      </c>
      <c r="B77" s="11" t="s">
        <v>11</v>
      </c>
      <c r="C77" s="12">
        <v>299200</v>
      </c>
      <c r="D77" s="12">
        <f>Tabela99[[#This Row],[Peso]]/1000</f>
        <v>299.2</v>
      </c>
      <c r="E77" s="13">
        <v>33</v>
      </c>
      <c r="F77" s="14"/>
      <c r="G77" s="15"/>
    </row>
    <row r="78" spans="1:7" x14ac:dyDescent="0.25">
      <c r="A78" s="10">
        <v>46247</v>
      </c>
      <c r="B78" s="11" t="s">
        <v>11</v>
      </c>
      <c r="C78" s="12">
        <v>352860</v>
      </c>
      <c r="D78" s="12">
        <f>Tabela99[[#This Row],[Peso]]/1000</f>
        <v>352.86</v>
      </c>
      <c r="E78" s="13">
        <v>57</v>
      </c>
      <c r="F78" s="14"/>
      <c r="G78" s="15"/>
    </row>
    <row r="79" spans="1:7" x14ac:dyDescent="0.25">
      <c r="A79" s="10">
        <v>46248</v>
      </c>
      <c r="B79" s="11" t="s">
        <v>11</v>
      </c>
      <c r="C79" s="12">
        <v>327580</v>
      </c>
      <c r="D79" s="12">
        <f>Tabela99[[#This Row],[Peso]]/1000</f>
        <v>327.58</v>
      </c>
      <c r="E79" s="13">
        <v>40</v>
      </c>
      <c r="F79" s="14"/>
      <c r="G79" s="15"/>
    </row>
    <row r="80" spans="1:7" x14ac:dyDescent="0.25">
      <c r="A80" s="10">
        <v>46251</v>
      </c>
      <c r="B80" s="11" t="s">
        <v>11</v>
      </c>
      <c r="C80" s="12">
        <v>352770</v>
      </c>
      <c r="D80" s="12">
        <f>Tabela99[[#This Row],[Peso]]/1000</f>
        <v>352.77</v>
      </c>
      <c r="E80" s="13">
        <v>50</v>
      </c>
      <c r="F80" s="14"/>
      <c r="G80" s="15"/>
    </row>
    <row r="81" spans="1:7" x14ac:dyDescent="0.25">
      <c r="A81" s="10">
        <v>46252</v>
      </c>
      <c r="B81" s="11" t="s">
        <v>11</v>
      </c>
      <c r="C81" s="12">
        <v>340870</v>
      </c>
      <c r="D81" s="12">
        <f>Tabela99[[#This Row],[Peso]]/1000</f>
        <v>340.87</v>
      </c>
      <c r="E81" s="13">
        <v>34</v>
      </c>
      <c r="F81" s="14"/>
      <c r="G81" s="15"/>
    </row>
    <row r="82" spans="1:7" x14ac:dyDescent="0.25">
      <c r="A82" s="10">
        <v>46253</v>
      </c>
      <c r="B82" s="11" t="s">
        <v>11</v>
      </c>
      <c r="C82" s="12">
        <v>344480</v>
      </c>
      <c r="D82" s="12">
        <f>Tabela99[[#This Row],[Peso]]/1000</f>
        <v>344.48</v>
      </c>
      <c r="E82" s="13">
        <v>45</v>
      </c>
      <c r="F82" s="14"/>
      <c r="G82" s="15"/>
    </row>
    <row r="83" spans="1:7" x14ac:dyDescent="0.25">
      <c r="A83" s="10">
        <v>46254</v>
      </c>
      <c r="B83" s="11" t="s">
        <v>11</v>
      </c>
      <c r="C83" s="12">
        <v>339180</v>
      </c>
      <c r="D83" s="12">
        <f>Tabela99[[#This Row],[Peso]]/1000</f>
        <v>339.18</v>
      </c>
      <c r="E83" s="13">
        <v>52</v>
      </c>
      <c r="F83" s="14"/>
      <c r="G83" s="15"/>
    </row>
    <row r="84" spans="1:7" x14ac:dyDescent="0.25">
      <c r="A84" s="10">
        <v>46255</v>
      </c>
      <c r="B84" s="11" t="s">
        <v>11</v>
      </c>
      <c r="C84" s="12">
        <v>350080</v>
      </c>
      <c r="D84" s="12">
        <f>Tabela99[[#This Row],[Peso]]/1000</f>
        <v>350.08</v>
      </c>
      <c r="E84" s="13">
        <v>50</v>
      </c>
      <c r="F84" s="14"/>
      <c r="G84" s="15"/>
    </row>
    <row r="85" spans="1:7" x14ac:dyDescent="0.25">
      <c r="A85" s="10">
        <v>46258</v>
      </c>
      <c r="B85" s="11" t="s">
        <v>11</v>
      </c>
      <c r="C85" s="12">
        <v>343800</v>
      </c>
      <c r="D85" s="12">
        <f>Tabela99[[#This Row],[Peso]]/1000</f>
        <v>343.8</v>
      </c>
      <c r="E85" s="13">
        <v>39</v>
      </c>
      <c r="F85" s="14"/>
      <c r="G85" s="15"/>
    </row>
    <row r="86" spans="1:7" x14ac:dyDescent="0.25">
      <c r="A86" s="10">
        <v>46259</v>
      </c>
      <c r="B86" s="11" t="s">
        <v>11</v>
      </c>
      <c r="C86" s="12">
        <v>344070</v>
      </c>
      <c r="D86" s="12">
        <f>Tabela99[[#This Row],[Peso]]/1000</f>
        <v>344.07</v>
      </c>
      <c r="E86" s="13">
        <v>44</v>
      </c>
      <c r="F86" s="14"/>
      <c r="G86" s="15"/>
    </row>
    <row r="87" spans="1:7" x14ac:dyDescent="0.25">
      <c r="A87" s="10">
        <v>46260</v>
      </c>
      <c r="B87" s="11" t="s">
        <v>11</v>
      </c>
      <c r="C87" s="12">
        <v>235300</v>
      </c>
      <c r="D87" s="12">
        <f>Tabela99[[#This Row],[Peso]]/1000</f>
        <v>235.3</v>
      </c>
      <c r="E87" s="13">
        <v>44</v>
      </c>
      <c r="F87" s="14"/>
      <c r="G87" s="15"/>
    </row>
    <row r="88" spans="1:7" x14ac:dyDescent="0.25">
      <c r="A88" s="10">
        <v>46261</v>
      </c>
      <c r="B88" s="11" t="s">
        <v>11</v>
      </c>
      <c r="C88" s="12">
        <v>343540</v>
      </c>
      <c r="D88" s="12">
        <f>Tabela99[[#This Row],[Peso]]/1000</f>
        <v>343.54</v>
      </c>
      <c r="E88" s="13">
        <v>49</v>
      </c>
      <c r="F88" s="14"/>
      <c r="G88" s="15"/>
    </row>
    <row r="89" spans="1:7" x14ac:dyDescent="0.25">
      <c r="A89" s="10">
        <v>46262</v>
      </c>
      <c r="B89" s="11" t="s">
        <v>11</v>
      </c>
      <c r="C89" s="12">
        <v>402710</v>
      </c>
      <c r="D89" s="12">
        <f>Tabela99[[#This Row],[Peso]]/1000</f>
        <v>402.71</v>
      </c>
      <c r="E89" s="13">
        <v>51</v>
      </c>
      <c r="F89" s="14"/>
      <c r="G89" s="15"/>
    </row>
    <row r="90" spans="1:7" x14ac:dyDescent="0.25">
      <c r="A90" s="10">
        <v>46265</v>
      </c>
      <c r="B90" s="11" t="s">
        <v>11</v>
      </c>
      <c r="C90" s="12">
        <v>396720</v>
      </c>
      <c r="D90" s="12">
        <f>Tabela99[[#This Row],[Peso]]/1000</f>
        <v>396.72</v>
      </c>
      <c r="E90" s="13">
        <v>47</v>
      </c>
      <c r="F90" s="14"/>
      <c r="G90" s="15"/>
    </row>
    <row r="91" spans="1:7" x14ac:dyDescent="0.25">
      <c r="A91" s="10">
        <v>46266</v>
      </c>
      <c r="B91" s="11" t="s">
        <v>12</v>
      </c>
      <c r="C91" s="12">
        <v>323100</v>
      </c>
      <c r="D91" s="12">
        <f>Tabela99[[#This Row],[Peso]]/1000</f>
        <v>323.10000000000002</v>
      </c>
      <c r="E91" s="13">
        <v>41</v>
      </c>
      <c r="F91" s="14"/>
      <c r="G91" s="15"/>
    </row>
    <row r="92" spans="1:7" x14ac:dyDescent="0.25">
      <c r="A92" s="10">
        <v>46267</v>
      </c>
      <c r="B92" s="11" t="s">
        <v>12</v>
      </c>
      <c r="C92" s="12">
        <v>311100</v>
      </c>
      <c r="D92" s="12">
        <f>Tabela99[[#This Row],[Peso]]/1000</f>
        <v>311.10000000000002</v>
      </c>
      <c r="E92" s="13">
        <v>50</v>
      </c>
      <c r="F92" s="14"/>
      <c r="G92" s="15"/>
    </row>
    <row r="93" spans="1:7" x14ac:dyDescent="0.25">
      <c r="A93" s="10">
        <v>46268</v>
      </c>
      <c r="B93" s="11" t="s">
        <v>12</v>
      </c>
      <c r="C93" s="12">
        <v>340730</v>
      </c>
      <c r="D93" s="12">
        <f>Tabela99[[#This Row],[Peso]]/1000</f>
        <v>340.73</v>
      </c>
      <c r="E93" s="13">
        <v>48</v>
      </c>
      <c r="F93" s="14"/>
      <c r="G93" s="15"/>
    </row>
    <row r="94" spans="1:7" x14ac:dyDescent="0.25">
      <c r="A94" s="10">
        <v>46269</v>
      </c>
      <c r="B94" s="11" t="s">
        <v>12</v>
      </c>
      <c r="C94" s="12">
        <v>343010</v>
      </c>
      <c r="D94" s="12">
        <f>Tabela99[[#This Row],[Peso]]/1000</f>
        <v>343.01</v>
      </c>
      <c r="E94" s="13">
        <v>59</v>
      </c>
      <c r="F94" s="14"/>
      <c r="G94" s="15"/>
    </row>
    <row r="95" spans="1:7" x14ac:dyDescent="0.25">
      <c r="A95" s="10">
        <v>46273</v>
      </c>
      <c r="B95" s="11" t="s">
        <v>12</v>
      </c>
      <c r="C95" s="12">
        <v>288490</v>
      </c>
      <c r="D95" s="12">
        <f>Tabela99[[#This Row],[Peso]]/1000</f>
        <v>288.49</v>
      </c>
      <c r="E95" s="13">
        <v>46</v>
      </c>
      <c r="F95" s="14"/>
      <c r="G95" s="15"/>
    </row>
    <row r="96" spans="1:7" x14ac:dyDescent="0.25">
      <c r="A96" s="10">
        <v>46274</v>
      </c>
      <c r="B96" s="11" t="s">
        <v>12</v>
      </c>
      <c r="C96" s="12">
        <v>354880</v>
      </c>
      <c r="D96" s="12">
        <f>Tabela99[[#This Row],[Peso]]/1000</f>
        <v>354.88</v>
      </c>
      <c r="E96" s="13">
        <v>37</v>
      </c>
      <c r="F96" s="14"/>
      <c r="G96" s="15"/>
    </row>
    <row r="97" spans="1:7" x14ac:dyDescent="0.25">
      <c r="A97" s="10">
        <v>46275</v>
      </c>
      <c r="B97" s="11" t="s">
        <v>12</v>
      </c>
      <c r="C97" s="12">
        <v>397140</v>
      </c>
      <c r="D97" s="12">
        <f>Tabela99[[#This Row],[Peso]]/1000</f>
        <v>397.14</v>
      </c>
      <c r="E97" s="13">
        <v>64</v>
      </c>
      <c r="F97" s="14"/>
      <c r="G97" s="15"/>
    </row>
    <row r="98" spans="1:7" x14ac:dyDescent="0.25">
      <c r="A98" s="10">
        <v>46276</v>
      </c>
      <c r="B98" s="11" t="s">
        <v>12</v>
      </c>
      <c r="C98" s="12">
        <v>476270</v>
      </c>
      <c r="D98" s="12">
        <f>Tabela99[[#This Row],[Peso]]/1000</f>
        <v>476.27</v>
      </c>
      <c r="E98" s="13">
        <v>41</v>
      </c>
      <c r="F98" s="14"/>
      <c r="G98" s="15"/>
    </row>
    <row r="99" spans="1:7" x14ac:dyDescent="0.25">
      <c r="A99" s="10">
        <v>46279</v>
      </c>
      <c r="B99" s="11" t="s">
        <v>12</v>
      </c>
      <c r="C99" s="12">
        <v>324580</v>
      </c>
      <c r="D99" s="12">
        <f>Tabela99[[#This Row],[Peso]]/1000</f>
        <v>324.58</v>
      </c>
      <c r="E99" s="13">
        <v>41</v>
      </c>
      <c r="F99" s="14"/>
      <c r="G99" s="15"/>
    </row>
    <row r="100" spans="1:7" x14ac:dyDescent="0.25">
      <c r="A100" s="10">
        <v>46280</v>
      </c>
      <c r="B100" s="11" t="s">
        <v>12</v>
      </c>
      <c r="C100" s="12">
        <v>330380</v>
      </c>
      <c r="D100" s="12">
        <f>Tabela99[[#This Row],[Peso]]/1000</f>
        <v>330.38</v>
      </c>
      <c r="E100" s="13">
        <v>34</v>
      </c>
      <c r="F100" s="14"/>
      <c r="G100" s="15"/>
    </row>
    <row r="101" spans="1:7" x14ac:dyDescent="0.25">
      <c r="A101" s="10">
        <v>46281</v>
      </c>
      <c r="B101" s="11" t="s">
        <v>12</v>
      </c>
      <c r="C101" s="12">
        <v>319610</v>
      </c>
      <c r="D101" s="12">
        <f>Tabela99[[#This Row],[Peso]]/1000</f>
        <v>319.61</v>
      </c>
      <c r="E101" s="13">
        <v>51</v>
      </c>
      <c r="F101" s="14"/>
      <c r="G101" s="15"/>
    </row>
    <row r="102" spans="1:7" x14ac:dyDescent="0.25">
      <c r="A102" s="10">
        <v>46282</v>
      </c>
      <c r="B102" s="11" t="s">
        <v>12</v>
      </c>
      <c r="C102" s="12">
        <v>330540</v>
      </c>
      <c r="D102" s="12">
        <f>Tabela99[[#This Row],[Peso]]/1000</f>
        <v>330.54</v>
      </c>
      <c r="E102" s="13">
        <v>44</v>
      </c>
      <c r="F102" s="14"/>
      <c r="G102" s="15"/>
    </row>
    <row r="103" spans="1:7" x14ac:dyDescent="0.25">
      <c r="A103" s="10">
        <v>46283</v>
      </c>
      <c r="B103" s="11" t="s">
        <v>12</v>
      </c>
      <c r="C103" s="12">
        <v>312180</v>
      </c>
      <c r="D103" s="12">
        <f>Tabela99[[#This Row],[Peso]]/1000</f>
        <v>312.18</v>
      </c>
      <c r="E103" s="13">
        <v>55</v>
      </c>
      <c r="F103" s="14"/>
      <c r="G103" s="15"/>
    </row>
    <row r="104" spans="1:7" x14ac:dyDescent="0.25">
      <c r="A104" s="10">
        <v>46286</v>
      </c>
      <c r="B104" s="11" t="s">
        <v>12</v>
      </c>
      <c r="C104" s="12">
        <v>348070</v>
      </c>
      <c r="D104" s="12">
        <f>Tabela99[[#This Row],[Peso]]/1000</f>
        <v>348.07</v>
      </c>
      <c r="E104" s="13">
        <v>40</v>
      </c>
      <c r="F104" s="14"/>
      <c r="G104" s="15"/>
    </row>
    <row r="105" spans="1:7" x14ac:dyDescent="0.25">
      <c r="A105" s="10">
        <v>46287</v>
      </c>
      <c r="B105" s="11" t="s">
        <v>12</v>
      </c>
      <c r="C105" s="12">
        <v>343220</v>
      </c>
      <c r="D105" s="12">
        <f>Tabela99[[#This Row],[Peso]]/1000</f>
        <v>343.22</v>
      </c>
      <c r="E105" s="13">
        <v>52</v>
      </c>
      <c r="F105" s="14"/>
      <c r="G105" s="15"/>
    </row>
    <row r="106" spans="1:7" x14ac:dyDescent="0.25">
      <c r="A106" s="10">
        <v>46288</v>
      </c>
      <c r="B106" s="11" t="s">
        <v>12</v>
      </c>
      <c r="C106" s="12">
        <v>315260</v>
      </c>
      <c r="D106" s="12">
        <f>Tabela99[[#This Row],[Peso]]/1000</f>
        <v>315.26</v>
      </c>
      <c r="E106" s="13">
        <v>52</v>
      </c>
      <c r="F106" s="14"/>
      <c r="G106" s="15"/>
    </row>
    <row r="107" spans="1:7" x14ac:dyDescent="0.25">
      <c r="A107" s="10">
        <v>46289</v>
      </c>
      <c r="B107" s="11" t="s">
        <v>12</v>
      </c>
      <c r="C107" s="12">
        <v>359770</v>
      </c>
      <c r="D107" s="12">
        <f>Tabela99[[#This Row],[Peso]]/1000</f>
        <v>359.77</v>
      </c>
      <c r="E107" s="13">
        <v>49</v>
      </c>
      <c r="F107" s="14"/>
      <c r="G107" s="15"/>
    </row>
    <row r="108" spans="1:7" x14ac:dyDescent="0.25">
      <c r="A108" s="10">
        <v>46290</v>
      </c>
      <c r="B108" s="11" t="s">
        <v>12</v>
      </c>
      <c r="C108" s="12">
        <v>330090</v>
      </c>
      <c r="D108" s="12">
        <f>Tabela99[[#This Row],[Peso]]/1000</f>
        <v>330.09</v>
      </c>
      <c r="E108" s="13">
        <v>56</v>
      </c>
      <c r="F108" s="14"/>
      <c r="G108" s="15"/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Quirino</dc:creator>
  <cp:lastModifiedBy>Natália Felipe Quirino</cp:lastModifiedBy>
  <dcterms:created xsi:type="dcterms:W3CDTF">2026-09-28T13:16:02Z</dcterms:created>
  <dcterms:modified xsi:type="dcterms:W3CDTF">2026-09-28T13:17:15Z</dcterms:modified>
</cp:coreProperties>
</file>