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2842A5BA-1F19-4B50-9FFD-3922DFF5965C}" xr6:coauthVersionLast="47" xr6:coauthVersionMax="47" xr10:uidLastSave="{00000000-0000-0000-0000-000000000000}"/>
  <bookViews>
    <workbookView xWindow="-120" yWindow="-120" windowWidth="20730" windowHeight="11040" tabRatio="500" firstSheet="1" activeTab="5" xr2:uid="{00000000-000D-0000-FFFF-FFFF00000000}"/>
  </bookViews>
  <sheets>
    <sheet name="Resumo" sheetId="1" r:id="rId1"/>
    <sheet name="Base Completa" sheetId="2" r:id="rId2"/>
    <sheet name="Fora de Linha" sheetId="3" r:id="rId3"/>
    <sheet name="Em Linha" sheetId="4" r:id="rId4"/>
    <sheet name="Gerson" sheetId="5" r:id="rId5"/>
    <sheet name="Eliane" sheetId="6" r:id="rId6"/>
  </sheets>
  <definedNames>
    <definedName name="_xlnm._FilterDatabase" localSheetId="1" hidden="1">'Base Completa'!$A$1:$S$785</definedName>
    <definedName name="_xlnm._FilterDatabase" localSheetId="5" hidden="1">Eliane!$A$3:$N$71</definedName>
    <definedName name="_xlnm._FilterDatabase" localSheetId="3" hidden="1">'Em Linha'!$A$3:$N$640</definedName>
    <definedName name="_xlnm._FilterDatabase" localSheetId="2" hidden="1">'Fora de Linha'!$A$3:$N$150</definedName>
    <definedName name="_xlnm._FilterDatabase" localSheetId="4" hidden="1">Gerson!$A$3:$N$110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72" i="6" l="1"/>
  <c r="M72" i="6"/>
  <c r="L72" i="6"/>
  <c r="K72" i="6"/>
  <c r="J72" i="6"/>
  <c r="I72" i="6"/>
  <c r="H72" i="6"/>
  <c r="G72" i="6"/>
  <c r="N111" i="5"/>
  <c r="M111" i="5"/>
  <c r="L111" i="5"/>
  <c r="K111" i="5"/>
  <c r="J111" i="5"/>
  <c r="I111" i="5"/>
  <c r="H111" i="5"/>
  <c r="G111" i="5"/>
  <c r="N641" i="4"/>
  <c r="M641" i="4"/>
  <c r="L641" i="4"/>
  <c r="K641" i="4"/>
  <c r="J641" i="4"/>
  <c r="I641" i="4"/>
  <c r="H641" i="4"/>
  <c r="G641" i="4"/>
  <c r="N151" i="3"/>
  <c r="M151" i="3"/>
  <c r="L151" i="3"/>
  <c r="K151" i="3"/>
  <c r="J151" i="3"/>
  <c r="I151" i="3"/>
  <c r="H151" i="3"/>
  <c r="G151" i="3"/>
  <c r="S785" i="2"/>
  <c r="R785" i="2"/>
  <c r="Q785" i="2"/>
  <c r="O785" i="2"/>
  <c r="N785" i="2"/>
  <c r="L785" i="2"/>
  <c r="S784" i="2"/>
  <c r="R784" i="2"/>
  <c r="Q784" i="2"/>
  <c r="O784" i="2"/>
  <c r="N784" i="2"/>
  <c r="L784" i="2"/>
  <c r="S783" i="2"/>
  <c r="R783" i="2"/>
  <c r="Q783" i="2"/>
  <c r="O783" i="2"/>
  <c r="N783" i="2"/>
  <c r="L783" i="2"/>
  <c r="S782" i="2"/>
  <c r="R782" i="2"/>
  <c r="Q782" i="2"/>
  <c r="O782" i="2"/>
  <c r="N782" i="2"/>
  <c r="L782" i="2"/>
  <c r="S781" i="2"/>
  <c r="R781" i="2"/>
  <c r="Q781" i="2"/>
  <c r="O781" i="2"/>
  <c r="N781" i="2"/>
  <c r="L781" i="2"/>
  <c r="S780" i="2"/>
  <c r="R780" i="2"/>
  <c r="Q780" i="2"/>
  <c r="O780" i="2"/>
  <c r="N780" i="2"/>
  <c r="L780" i="2"/>
  <c r="S779" i="2"/>
  <c r="R779" i="2"/>
  <c r="Q779" i="2"/>
  <c r="O779" i="2"/>
  <c r="N779" i="2"/>
  <c r="L779" i="2"/>
  <c r="S778" i="2"/>
  <c r="R778" i="2"/>
  <c r="Q778" i="2"/>
  <c r="O778" i="2"/>
  <c r="N778" i="2"/>
  <c r="L778" i="2"/>
  <c r="S777" i="2"/>
  <c r="R777" i="2"/>
  <c r="Q777" i="2"/>
  <c r="O777" i="2"/>
  <c r="N777" i="2"/>
  <c r="L777" i="2"/>
  <c r="S776" i="2"/>
  <c r="R776" i="2"/>
  <c r="Q776" i="2"/>
  <c r="O776" i="2"/>
  <c r="N776" i="2"/>
  <c r="L776" i="2"/>
  <c r="S775" i="2"/>
  <c r="R775" i="2"/>
  <c r="Q775" i="2"/>
  <c r="O775" i="2"/>
  <c r="N775" i="2"/>
  <c r="L775" i="2"/>
  <c r="S774" i="2"/>
  <c r="R774" i="2"/>
  <c r="Q774" i="2"/>
  <c r="O774" i="2"/>
  <c r="N774" i="2"/>
  <c r="L774" i="2"/>
  <c r="S773" i="2"/>
  <c r="R773" i="2"/>
  <c r="Q773" i="2"/>
  <c r="O773" i="2"/>
  <c r="N773" i="2"/>
  <c r="L773" i="2"/>
  <c r="S772" i="2"/>
  <c r="R772" i="2"/>
  <c r="Q772" i="2"/>
  <c r="O772" i="2"/>
  <c r="N772" i="2"/>
  <c r="L772" i="2"/>
  <c r="S771" i="2"/>
  <c r="R771" i="2"/>
  <c r="Q771" i="2"/>
  <c r="O771" i="2"/>
  <c r="N771" i="2"/>
  <c r="L771" i="2"/>
  <c r="S770" i="2"/>
  <c r="R770" i="2"/>
  <c r="Q770" i="2"/>
  <c r="O770" i="2"/>
  <c r="N770" i="2"/>
  <c r="L770" i="2"/>
  <c r="S769" i="2"/>
  <c r="R769" i="2"/>
  <c r="Q769" i="2"/>
  <c r="O769" i="2"/>
  <c r="N769" i="2"/>
  <c r="L769" i="2"/>
  <c r="S768" i="2"/>
  <c r="R768" i="2"/>
  <c r="Q768" i="2"/>
  <c r="O768" i="2"/>
  <c r="N768" i="2"/>
  <c r="L768" i="2"/>
  <c r="S767" i="2"/>
  <c r="R767" i="2"/>
  <c r="Q767" i="2"/>
  <c r="O767" i="2"/>
  <c r="N767" i="2"/>
  <c r="L767" i="2"/>
  <c r="S766" i="2"/>
  <c r="R766" i="2"/>
  <c r="Q766" i="2"/>
  <c r="O766" i="2"/>
  <c r="N766" i="2"/>
  <c r="L766" i="2"/>
  <c r="S765" i="2"/>
  <c r="R765" i="2"/>
  <c r="Q765" i="2"/>
  <c r="O765" i="2"/>
  <c r="N765" i="2"/>
  <c r="L765" i="2"/>
  <c r="S764" i="2"/>
  <c r="R764" i="2"/>
  <c r="Q764" i="2"/>
  <c r="O764" i="2"/>
  <c r="N764" i="2"/>
  <c r="L764" i="2"/>
  <c r="S763" i="2"/>
  <c r="R763" i="2"/>
  <c r="Q763" i="2"/>
  <c r="O763" i="2"/>
  <c r="N763" i="2"/>
  <c r="L763" i="2"/>
  <c r="S762" i="2"/>
  <c r="R762" i="2"/>
  <c r="Q762" i="2"/>
  <c r="O762" i="2"/>
  <c r="N762" i="2"/>
  <c r="L762" i="2"/>
  <c r="S761" i="2"/>
  <c r="R761" i="2"/>
  <c r="Q761" i="2"/>
  <c r="O761" i="2"/>
  <c r="N761" i="2"/>
  <c r="L761" i="2"/>
  <c r="S760" i="2"/>
  <c r="R760" i="2"/>
  <c r="Q760" i="2"/>
  <c r="O760" i="2"/>
  <c r="N760" i="2"/>
  <c r="L760" i="2"/>
  <c r="S759" i="2"/>
  <c r="R759" i="2"/>
  <c r="Q759" i="2"/>
  <c r="O759" i="2"/>
  <c r="N759" i="2"/>
  <c r="L759" i="2"/>
  <c r="S758" i="2"/>
  <c r="R758" i="2"/>
  <c r="Q758" i="2"/>
  <c r="O758" i="2"/>
  <c r="N758" i="2"/>
  <c r="L758" i="2"/>
  <c r="S757" i="2"/>
  <c r="R757" i="2"/>
  <c r="Q757" i="2"/>
  <c r="O757" i="2"/>
  <c r="N757" i="2"/>
  <c r="L757" i="2"/>
  <c r="S756" i="2"/>
  <c r="R756" i="2"/>
  <c r="Q756" i="2"/>
  <c r="O756" i="2"/>
  <c r="N756" i="2"/>
  <c r="L756" i="2"/>
  <c r="S755" i="2"/>
  <c r="R755" i="2"/>
  <c r="Q755" i="2"/>
  <c r="O755" i="2"/>
  <c r="N755" i="2"/>
  <c r="L755" i="2"/>
  <c r="S754" i="2"/>
  <c r="R754" i="2"/>
  <c r="Q754" i="2"/>
  <c r="O754" i="2"/>
  <c r="N754" i="2"/>
  <c r="L754" i="2"/>
  <c r="S753" i="2"/>
  <c r="R753" i="2"/>
  <c r="Q753" i="2"/>
  <c r="O753" i="2"/>
  <c r="N753" i="2"/>
  <c r="L753" i="2"/>
  <c r="S752" i="2"/>
  <c r="R752" i="2"/>
  <c r="Q752" i="2"/>
  <c r="O752" i="2"/>
  <c r="N752" i="2"/>
  <c r="L752" i="2"/>
  <c r="S751" i="2"/>
  <c r="R751" i="2"/>
  <c r="Q751" i="2"/>
  <c r="O751" i="2"/>
  <c r="N751" i="2"/>
  <c r="L751" i="2"/>
  <c r="S750" i="2"/>
  <c r="R750" i="2"/>
  <c r="Q750" i="2"/>
  <c r="O750" i="2"/>
  <c r="N750" i="2"/>
  <c r="L750" i="2"/>
  <c r="S749" i="2"/>
  <c r="R749" i="2"/>
  <c r="Q749" i="2"/>
  <c r="O749" i="2"/>
  <c r="N749" i="2"/>
  <c r="L749" i="2"/>
  <c r="S748" i="2"/>
  <c r="R748" i="2"/>
  <c r="Q748" i="2"/>
  <c r="O748" i="2"/>
  <c r="N748" i="2"/>
  <c r="L748" i="2"/>
  <c r="S747" i="2"/>
  <c r="R747" i="2"/>
  <c r="Q747" i="2"/>
  <c r="O747" i="2"/>
  <c r="N747" i="2"/>
  <c r="L747" i="2"/>
  <c r="S746" i="2"/>
  <c r="R746" i="2"/>
  <c r="Q746" i="2"/>
  <c r="O746" i="2"/>
  <c r="N746" i="2"/>
  <c r="L746" i="2"/>
  <c r="S745" i="2"/>
  <c r="R745" i="2"/>
  <c r="Q745" i="2"/>
  <c r="O745" i="2"/>
  <c r="N745" i="2"/>
  <c r="L745" i="2"/>
  <c r="S744" i="2"/>
  <c r="R744" i="2"/>
  <c r="Q744" i="2"/>
  <c r="O744" i="2"/>
  <c r="N744" i="2"/>
  <c r="L744" i="2"/>
  <c r="S743" i="2"/>
  <c r="R743" i="2"/>
  <c r="Q743" i="2"/>
  <c r="O743" i="2"/>
  <c r="N743" i="2"/>
  <c r="L743" i="2"/>
  <c r="S742" i="2"/>
  <c r="R742" i="2"/>
  <c r="Q742" i="2"/>
  <c r="O742" i="2"/>
  <c r="N742" i="2"/>
  <c r="L742" i="2"/>
  <c r="S741" i="2"/>
  <c r="R741" i="2"/>
  <c r="Q741" i="2"/>
  <c r="O741" i="2"/>
  <c r="N741" i="2"/>
  <c r="L741" i="2"/>
  <c r="S740" i="2"/>
  <c r="R740" i="2"/>
  <c r="Q740" i="2"/>
  <c r="O740" i="2"/>
  <c r="N740" i="2"/>
  <c r="L740" i="2"/>
  <c r="S739" i="2"/>
  <c r="R739" i="2"/>
  <c r="Q739" i="2"/>
  <c r="O739" i="2"/>
  <c r="N739" i="2"/>
  <c r="L739" i="2"/>
  <c r="S738" i="2"/>
  <c r="R738" i="2"/>
  <c r="Q738" i="2"/>
  <c r="O738" i="2"/>
  <c r="N738" i="2"/>
  <c r="L738" i="2"/>
  <c r="S737" i="2"/>
  <c r="R737" i="2"/>
  <c r="Q737" i="2"/>
  <c r="O737" i="2"/>
  <c r="N737" i="2"/>
  <c r="L737" i="2"/>
  <c r="S736" i="2"/>
  <c r="R736" i="2"/>
  <c r="Q736" i="2"/>
  <c r="O736" i="2"/>
  <c r="N736" i="2"/>
  <c r="L736" i="2"/>
  <c r="S735" i="2"/>
  <c r="R735" i="2"/>
  <c r="Q735" i="2"/>
  <c r="O735" i="2"/>
  <c r="N735" i="2"/>
  <c r="L735" i="2"/>
  <c r="S734" i="2"/>
  <c r="R734" i="2"/>
  <c r="Q734" i="2"/>
  <c r="O734" i="2"/>
  <c r="N734" i="2"/>
  <c r="L734" i="2"/>
  <c r="S733" i="2"/>
  <c r="R733" i="2"/>
  <c r="Q733" i="2"/>
  <c r="O733" i="2"/>
  <c r="N733" i="2"/>
  <c r="L733" i="2"/>
  <c r="S732" i="2"/>
  <c r="R732" i="2"/>
  <c r="Q732" i="2"/>
  <c r="O732" i="2"/>
  <c r="N732" i="2"/>
  <c r="L732" i="2"/>
  <c r="S731" i="2"/>
  <c r="R731" i="2"/>
  <c r="Q731" i="2"/>
  <c r="O731" i="2"/>
  <c r="N731" i="2"/>
  <c r="L731" i="2"/>
  <c r="S730" i="2"/>
  <c r="R730" i="2"/>
  <c r="Q730" i="2"/>
  <c r="O730" i="2"/>
  <c r="N730" i="2"/>
  <c r="L730" i="2"/>
  <c r="S729" i="2"/>
  <c r="R729" i="2"/>
  <c r="Q729" i="2"/>
  <c r="O729" i="2"/>
  <c r="N729" i="2"/>
  <c r="L729" i="2"/>
  <c r="S728" i="2"/>
  <c r="R728" i="2"/>
  <c r="Q728" i="2"/>
  <c r="O728" i="2"/>
  <c r="N728" i="2"/>
  <c r="L728" i="2"/>
  <c r="S727" i="2"/>
  <c r="R727" i="2"/>
  <c r="Q727" i="2"/>
  <c r="O727" i="2"/>
  <c r="N727" i="2"/>
  <c r="L727" i="2"/>
  <c r="S726" i="2"/>
  <c r="R726" i="2"/>
  <c r="Q726" i="2"/>
  <c r="O726" i="2"/>
  <c r="N726" i="2"/>
  <c r="L726" i="2"/>
  <c r="S725" i="2"/>
  <c r="R725" i="2"/>
  <c r="Q725" i="2"/>
  <c r="O725" i="2"/>
  <c r="N725" i="2"/>
  <c r="L725" i="2"/>
  <c r="S724" i="2"/>
  <c r="R724" i="2"/>
  <c r="Q724" i="2"/>
  <c r="O724" i="2"/>
  <c r="N724" i="2"/>
  <c r="L724" i="2"/>
  <c r="S723" i="2"/>
  <c r="R723" i="2"/>
  <c r="Q723" i="2"/>
  <c r="O723" i="2"/>
  <c r="N723" i="2"/>
  <c r="L723" i="2"/>
  <c r="S722" i="2"/>
  <c r="R722" i="2"/>
  <c r="Q722" i="2"/>
  <c r="O722" i="2"/>
  <c r="N722" i="2"/>
  <c r="L722" i="2"/>
  <c r="S721" i="2"/>
  <c r="R721" i="2"/>
  <c r="Q721" i="2"/>
  <c r="O721" i="2"/>
  <c r="N721" i="2"/>
  <c r="L721" i="2"/>
  <c r="S720" i="2"/>
  <c r="R720" i="2"/>
  <c r="Q720" i="2"/>
  <c r="O720" i="2"/>
  <c r="N720" i="2"/>
  <c r="L720" i="2"/>
  <c r="S719" i="2"/>
  <c r="R719" i="2"/>
  <c r="Q719" i="2"/>
  <c r="O719" i="2"/>
  <c r="N719" i="2"/>
  <c r="L719" i="2"/>
  <c r="S718" i="2"/>
  <c r="R718" i="2"/>
  <c r="Q718" i="2"/>
  <c r="O718" i="2"/>
  <c r="N718" i="2"/>
  <c r="L718" i="2"/>
  <c r="S717" i="2"/>
  <c r="R717" i="2"/>
  <c r="Q717" i="2"/>
  <c r="O717" i="2"/>
  <c r="N717" i="2"/>
  <c r="L717" i="2"/>
  <c r="S716" i="2"/>
  <c r="R716" i="2"/>
  <c r="Q716" i="2"/>
  <c r="O716" i="2"/>
  <c r="N716" i="2"/>
  <c r="L716" i="2"/>
  <c r="S715" i="2"/>
  <c r="R715" i="2"/>
  <c r="Q715" i="2"/>
  <c r="O715" i="2"/>
  <c r="N715" i="2"/>
  <c r="L715" i="2"/>
  <c r="S714" i="2"/>
  <c r="R714" i="2"/>
  <c r="Q714" i="2"/>
  <c r="O714" i="2"/>
  <c r="N714" i="2"/>
  <c r="L714" i="2"/>
  <c r="S713" i="2"/>
  <c r="R713" i="2"/>
  <c r="Q713" i="2"/>
  <c r="O713" i="2"/>
  <c r="N713" i="2"/>
  <c r="L713" i="2"/>
  <c r="S712" i="2"/>
  <c r="R712" i="2"/>
  <c r="Q712" i="2"/>
  <c r="O712" i="2"/>
  <c r="N712" i="2"/>
  <c r="L712" i="2"/>
  <c r="S711" i="2"/>
  <c r="R711" i="2"/>
  <c r="Q711" i="2"/>
  <c r="O711" i="2"/>
  <c r="N711" i="2"/>
  <c r="L711" i="2"/>
  <c r="S710" i="2"/>
  <c r="R710" i="2"/>
  <c r="Q710" i="2"/>
  <c r="O710" i="2"/>
  <c r="N710" i="2"/>
  <c r="L710" i="2"/>
  <c r="S709" i="2"/>
  <c r="R709" i="2"/>
  <c r="Q709" i="2"/>
  <c r="O709" i="2"/>
  <c r="N709" i="2"/>
  <c r="L709" i="2"/>
  <c r="S708" i="2"/>
  <c r="R708" i="2"/>
  <c r="Q708" i="2"/>
  <c r="O708" i="2"/>
  <c r="N708" i="2"/>
  <c r="L708" i="2"/>
  <c r="S707" i="2"/>
  <c r="R707" i="2"/>
  <c r="Q707" i="2"/>
  <c r="O707" i="2"/>
  <c r="N707" i="2"/>
  <c r="L707" i="2"/>
  <c r="S706" i="2"/>
  <c r="R706" i="2"/>
  <c r="Q706" i="2"/>
  <c r="O706" i="2"/>
  <c r="N706" i="2"/>
  <c r="L706" i="2"/>
  <c r="S705" i="2"/>
  <c r="R705" i="2"/>
  <c r="Q705" i="2"/>
  <c r="O705" i="2"/>
  <c r="N705" i="2"/>
  <c r="L705" i="2"/>
  <c r="S704" i="2"/>
  <c r="R704" i="2"/>
  <c r="Q704" i="2"/>
  <c r="O704" i="2"/>
  <c r="N704" i="2"/>
  <c r="L704" i="2"/>
  <c r="S703" i="2"/>
  <c r="R703" i="2"/>
  <c r="Q703" i="2"/>
  <c r="O703" i="2"/>
  <c r="N703" i="2"/>
  <c r="L703" i="2"/>
  <c r="S702" i="2"/>
  <c r="R702" i="2"/>
  <c r="Q702" i="2"/>
  <c r="O702" i="2"/>
  <c r="N702" i="2"/>
  <c r="L702" i="2"/>
  <c r="S701" i="2"/>
  <c r="R701" i="2"/>
  <c r="Q701" i="2"/>
  <c r="O701" i="2"/>
  <c r="N701" i="2"/>
  <c r="L701" i="2"/>
  <c r="S700" i="2"/>
  <c r="R700" i="2"/>
  <c r="Q700" i="2"/>
  <c r="O700" i="2"/>
  <c r="N700" i="2"/>
  <c r="L700" i="2"/>
  <c r="S699" i="2"/>
  <c r="R699" i="2"/>
  <c r="Q699" i="2"/>
  <c r="O699" i="2"/>
  <c r="N699" i="2"/>
  <c r="L699" i="2"/>
  <c r="S698" i="2"/>
  <c r="R698" i="2"/>
  <c r="Q698" i="2"/>
  <c r="O698" i="2"/>
  <c r="N698" i="2"/>
  <c r="L698" i="2"/>
  <c r="S697" i="2"/>
  <c r="R697" i="2"/>
  <c r="Q697" i="2"/>
  <c r="O697" i="2"/>
  <c r="N697" i="2"/>
  <c r="L697" i="2"/>
  <c r="S696" i="2"/>
  <c r="R696" i="2"/>
  <c r="Q696" i="2"/>
  <c r="O696" i="2"/>
  <c r="N696" i="2"/>
  <c r="L696" i="2"/>
  <c r="S695" i="2"/>
  <c r="R695" i="2"/>
  <c r="Q695" i="2"/>
  <c r="O695" i="2"/>
  <c r="N695" i="2"/>
  <c r="L695" i="2"/>
  <c r="S694" i="2"/>
  <c r="R694" i="2"/>
  <c r="Q694" i="2"/>
  <c r="O694" i="2"/>
  <c r="N694" i="2"/>
  <c r="L694" i="2"/>
  <c r="S693" i="2"/>
  <c r="R693" i="2"/>
  <c r="Q693" i="2"/>
  <c r="O693" i="2"/>
  <c r="N693" i="2"/>
  <c r="L693" i="2"/>
  <c r="S692" i="2"/>
  <c r="R692" i="2"/>
  <c r="Q692" i="2"/>
  <c r="O692" i="2"/>
  <c r="N692" i="2"/>
  <c r="L692" i="2"/>
  <c r="S691" i="2"/>
  <c r="R691" i="2"/>
  <c r="Q691" i="2"/>
  <c r="O691" i="2"/>
  <c r="N691" i="2"/>
  <c r="L691" i="2"/>
  <c r="S690" i="2"/>
  <c r="R690" i="2"/>
  <c r="Q690" i="2"/>
  <c r="O690" i="2"/>
  <c r="N690" i="2"/>
  <c r="L690" i="2"/>
  <c r="S689" i="2"/>
  <c r="R689" i="2"/>
  <c r="Q689" i="2"/>
  <c r="O689" i="2"/>
  <c r="N689" i="2"/>
  <c r="L689" i="2"/>
  <c r="S688" i="2"/>
  <c r="R688" i="2"/>
  <c r="Q688" i="2"/>
  <c r="O688" i="2"/>
  <c r="N688" i="2"/>
  <c r="L688" i="2"/>
  <c r="S687" i="2"/>
  <c r="R687" i="2"/>
  <c r="Q687" i="2"/>
  <c r="O687" i="2"/>
  <c r="N687" i="2"/>
  <c r="L687" i="2"/>
  <c r="S686" i="2"/>
  <c r="R686" i="2"/>
  <c r="Q686" i="2"/>
  <c r="O686" i="2"/>
  <c r="N686" i="2"/>
  <c r="L686" i="2"/>
  <c r="S685" i="2"/>
  <c r="R685" i="2"/>
  <c r="Q685" i="2"/>
  <c r="O685" i="2"/>
  <c r="N685" i="2"/>
  <c r="L685" i="2"/>
  <c r="S684" i="2"/>
  <c r="R684" i="2"/>
  <c r="Q684" i="2"/>
  <c r="O684" i="2"/>
  <c r="N684" i="2"/>
  <c r="L684" i="2"/>
  <c r="S683" i="2"/>
  <c r="R683" i="2"/>
  <c r="Q683" i="2"/>
  <c r="O683" i="2"/>
  <c r="N683" i="2"/>
  <c r="L683" i="2"/>
  <c r="S682" i="2"/>
  <c r="R682" i="2"/>
  <c r="Q682" i="2"/>
  <c r="O682" i="2"/>
  <c r="N682" i="2"/>
  <c r="L682" i="2"/>
  <c r="S681" i="2"/>
  <c r="R681" i="2"/>
  <c r="Q681" i="2"/>
  <c r="O681" i="2"/>
  <c r="N681" i="2"/>
  <c r="L681" i="2"/>
  <c r="S680" i="2"/>
  <c r="R680" i="2"/>
  <c r="Q680" i="2"/>
  <c r="O680" i="2"/>
  <c r="N680" i="2"/>
  <c r="L680" i="2"/>
  <c r="S679" i="2"/>
  <c r="R679" i="2"/>
  <c r="Q679" i="2"/>
  <c r="O679" i="2"/>
  <c r="N679" i="2"/>
  <c r="L679" i="2"/>
  <c r="S678" i="2"/>
  <c r="R678" i="2"/>
  <c r="Q678" i="2"/>
  <c r="O678" i="2"/>
  <c r="N678" i="2"/>
  <c r="L678" i="2"/>
  <c r="S677" i="2"/>
  <c r="R677" i="2"/>
  <c r="Q677" i="2"/>
  <c r="O677" i="2"/>
  <c r="N677" i="2"/>
  <c r="L677" i="2"/>
  <c r="S676" i="2"/>
  <c r="R676" i="2"/>
  <c r="Q676" i="2"/>
  <c r="O676" i="2"/>
  <c r="N676" i="2"/>
  <c r="L676" i="2"/>
  <c r="S675" i="2"/>
  <c r="R675" i="2"/>
  <c r="Q675" i="2"/>
  <c r="O675" i="2"/>
  <c r="N675" i="2"/>
  <c r="L675" i="2"/>
  <c r="S674" i="2"/>
  <c r="R674" i="2"/>
  <c r="Q674" i="2"/>
  <c r="O674" i="2"/>
  <c r="N674" i="2"/>
  <c r="L674" i="2"/>
  <c r="S673" i="2"/>
  <c r="R673" i="2"/>
  <c r="Q673" i="2"/>
  <c r="O673" i="2"/>
  <c r="N673" i="2"/>
  <c r="L673" i="2"/>
  <c r="S672" i="2"/>
  <c r="R672" i="2"/>
  <c r="Q672" i="2"/>
  <c r="O672" i="2"/>
  <c r="N672" i="2"/>
  <c r="L672" i="2"/>
  <c r="S671" i="2"/>
  <c r="R671" i="2"/>
  <c r="Q671" i="2"/>
  <c r="O671" i="2"/>
  <c r="N671" i="2"/>
  <c r="L671" i="2"/>
  <c r="S670" i="2"/>
  <c r="R670" i="2"/>
  <c r="Q670" i="2"/>
  <c r="O670" i="2"/>
  <c r="N670" i="2"/>
  <c r="L670" i="2"/>
  <c r="S669" i="2"/>
  <c r="R669" i="2"/>
  <c r="Q669" i="2"/>
  <c r="O669" i="2"/>
  <c r="N669" i="2"/>
  <c r="L669" i="2"/>
  <c r="S668" i="2"/>
  <c r="R668" i="2"/>
  <c r="Q668" i="2"/>
  <c r="O668" i="2"/>
  <c r="N668" i="2"/>
  <c r="L668" i="2"/>
  <c r="S667" i="2"/>
  <c r="R667" i="2"/>
  <c r="J14" i="1" s="1"/>
  <c r="Q667" i="2"/>
  <c r="I14" i="1" s="1"/>
  <c r="O667" i="2"/>
  <c r="H14" i="1" s="1"/>
  <c r="N667" i="2"/>
  <c r="G14" i="1" s="1"/>
  <c r="L667" i="2"/>
  <c r="F14" i="1" s="1"/>
  <c r="S666" i="2"/>
  <c r="R666" i="2"/>
  <c r="Q666" i="2"/>
  <c r="O666" i="2"/>
  <c r="N666" i="2"/>
  <c r="L666" i="2"/>
  <c r="S665" i="2"/>
  <c r="R665" i="2"/>
  <c r="Q665" i="2"/>
  <c r="O665" i="2"/>
  <c r="N665" i="2"/>
  <c r="L665" i="2"/>
  <c r="S664" i="2"/>
  <c r="R664" i="2"/>
  <c r="Q664" i="2"/>
  <c r="O664" i="2"/>
  <c r="N664" i="2"/>
  <c r="L664" i="2"/>
  <c r="S663" i="2"/>
  <c r="R663" i="2"/>
  <c r="Q663" i="2"/>
  <c r="O663" i="2"/>
  <c r="N663" i="2"/>
  <c r="L663" i="2"/>
  <c r="S662" i="2"/>
  <c r="R662" i="2"/>
  <c r="Q662" i="2"/>
  <c r="O662" i="2"/>
  <c r="N662" i="2"/>
  <c r="L662" i="2"/>
  <c r="S661" i="2"/>
  <c r="R661" i="2"/>
  <c r="Q661" i="2"/>
  <c r="O661" i="2"/>
  <c r="N661" i="2"/>
  <c r="L661" i="2"/>
  <c r="S660" i="2"/>
  <c r="R660" i="2"/>
  <c r="Q660" i="2"/>
  <c r="O660" i="2"/>
  <c r="N660" i="2"/>
  <c r="L660" i="2"/>
  <c r="S659" i="2"/>
  <c r="R659" i="2"/>
  <c r="Q659" i="2"/>
  <c r="O659" i="2"/>
  <c r="N659" i="2"/>
  <c r="L659" i="2"/>
  <c r="S658" i="2"/>
  <c r="R658" i="2"/>
  <c r="Q658" i="2"/>
  <c r="O658" i="2"/>
  <c r="N658" i="2"/>
  <c r="L658" i="2"/>
  <c r="S657" i="2"/>
  <c r="R657" i="2"/>
  <c r="Q657" i="2"/>
  <c r="O657" i="2"/>
  <c r="N657" i="2"/>
  <c r="L657" i="2"/>
  <c r="S656" i="2"/>
  <c r="R656" i="2"/>
  <c r="Q656" i="2"/>
  <c r="O656" i="2"/>
  <c r="N656" i="2"/>
  <c r="L656" i="2"/>
  <c r="S655" i="2"/>
  <c r="R655" i="2"/>
  <c r="Q655" i="2"/>
  <c r="O655" i="2"/>
  <c r="N655" i="2"/>
  <c r="L655" i="2"/>
  <c r="S654" i="2"/>
  <c r="R654" i="2"/>
  <c r="Q654" i="2"/>
  <c r="O654" i="2"/>
  <c r="N654" i="2"/>
  <c r="L654" i="2"/>
  <c r="S653" i="2"/>
  <c r="R653" i="2"/>
  <c r="Q653" i="2"/>
  <c r="O653" i="2"/>
  <c r="N653" i="2"/>
  <c r="L653" i="2"/>
  <c r="S652" i="2"/>
  <c r="R652" i="2"/>
  <c r="Q652" i="2"/>
  <c r="O652" i="2"/>
  <c r="N652" i="2"/>
  <c r="L652" i="2"/>
  <c r="S651" i="2"/>
  <c r="R651" i="2"/>
  <c r="Q651" i="2"/>
  <c r="O651" i="2"/>
  <c r="N651" i="2"/>
  <c r="L651" i="2"/>
  <c r="S650" i="2"/>
  <c r="R650" i="2"/>
  <c r="Q650" i="2"/>
  <c r="O650" i="2"/>
  <c r="N650" i="2"/>
  <c r="L650" i="2"/>
  <c r="S649" i="2"/>
  <c r="R649" i="2"/>
  <c r="Q649" i="2"/>
  <c r="O649" i="2"/>
  <c r="N649" i="2"/>
  <c r="L649" i="2"/>
  <c r="S648" i="2"/>
  <c r="R648" i="2"/>
  <c r="Q648" i="2"/>
  <c r="O648" i="2"/>
  <c r="N648" i="2"/>
  <c r="L648" i="2"/>
  <c r="S647" i="2"/>
  <c r="R647" i="2"/>
  <c r="Q647" i="2"/>
  <c r="O647" i="2"/>
  <c r="N647" i="2"/>
  <c r="L647" i="2"/>
  <c r="S646" i="2"/>
  <c r="R646" i="2"/>
  <c r="Q646" i="2"/>
  <c r="O646" i="2"/>
  <c r="N646" i="2"/>
  <c r="L646" i="2"/>
  <c r="S645" i="2"/>
  <c r="R645" i="2"/>
  <c r="Q645" i="2"/>
  <c r="O645" i="2"/>
  <c r="N645" i="2"/>
  <c r="L645" i="2"/>
  <c r="S644" i="2"/>
  <c r="R644" i="2"/>
  <c r="Q644" i="2"/>
  <c r="O644" i="2"/>
  <c r="N644" i="2"/>
  <c r="L644" i="2"/>
  <c r="S643" i="2"/>
  <c r="R643" i="2"/>
  <c r="Q643" i="2"/>
  <c r="O643" i="2"/>
  <c r="N643" i="2"/>
  <c r="L643" i="2"/>
  <c r="S642" i="2"/>
  <c r="R642" i="2"/>
  <c r="Q642" i="2"/>
  <c r="O642" i="2"/>
  <c r="N642" i="2"/>
  <c r="L642" i="2"/>
  <c r="S641" i="2"/>
  <c r="R641" i="2"/>
  <c r="Q641" i="2"/>
  <c r="O641" i="2"/>
  <c r="N641" i="2"/>
  <c r="L641" i="2"/>
  <c r="S640" i="2"/>
  <c r="R640" i="2"/>
  <c r="Q640" i="2"/>
  <c r="O640" i="2"/>
  <c r="N640" i="2"/>
  <c r="L640" i="2"/>
  <c r="S639" i="2"/>
  <c r="R639" i="2"/>
  <c r="Q639" i="2"/>
  <c r="O639" i="2"/>
  <c r="N639" i="2"/>
  <c r="L639" i="2"/>
  <c r="S638" i="2"/>
  <c r="R638" i="2"/>
  <c r="Q638" i="2"/>
  <c r="O638" i="2"/>
  <c r="N638" i="2"/>
  <c r="L638" i="2"/>
  <c r="S637" i="2"/>
  <c r="R637" i="2"/>
  <c r="Q637" i="2"/>
  <c r="O637" i="2"/>
  <c r="N637" i="2"/>
  <c r="L637" i="2"/>
  <c r="S636" i="2"/>
  <c r="R636" i="2"/>
  <c r="Q636" i="2"/>
  <c r="O636" i="2"/>
  <c r="N636" i="2"/>
  <c r="L636" i="2"/>
  <c r="S635" i="2"/>
  <c r="R635" i="2"/>
  <c r="Q635" i="2"/>
  <c r="O635" i="2"/>
  <c r="N635" i="2"/>
  <c r="L635" i="2"/>
  <c r="S634" i="2"/>
  <c r="R634" i="2"/>
  <c r="Q634" i="2"/>
  <c r="O634" i="2"/>
  <c r="N634" i="2"/>
  <c r="L634" i="2"/>
  <c r="S633" i="2"/>
  <c r="R633" i="2"/>
  <c r="Q633" i="2"/>
  <c r="O633" i="2"/>
  <c r="N633" i="2"/>
  <c r="L633" i="2"/>
  <c r="S632" i="2"/>
  <c r="R632" i="2"/>
  <c r="Q632" i="2"/>
  <c r="O632" i="2"/>
  <c r="N632" i="2"/>
  <c r="L632" i="2"/>
  <c r="S631" i="2"/>
  <c r="R631" i="2"/>
  <c r="Q631" i="2"/>
  <c r="O631" i="2"/>
  <c r="N631" i="2"/>
  <c r="L631" i="2"/>
  <c r="S630" i="2"/>
  <c r="R630" i="2"/>
  <c r="Q630" i="2"/>
  <c r="O630" i="2"/>
  <c r="N630" i="2"/>
  <c r="L630" i="2"/>
  <c r="S629" i="2"/>
  <c r="R629" i="2"/>
  <c r="Q629" i="2"/>
  <c r="O629" i="2"/>
  <c r="N629" i="2"/>
  <c r="L629" i="2"/>
  <c r="S628" i="2"/>
  <c r="R628" i="2"/>
  <c r="Q628" i="2"/>
  <c r="O628" i="2"/>
  <c r="N628" i="2"/>
  <c r="L628" i="2"/>
  <c r="S627" i="2"/>
  <c r="R627" i="2"/>
  <c r="Q627" i="2"/>
  <c r="O627" i="2"/>
  <c r="N627" i="2"/>
  <c r="L627" i="2"/>
  <c r="S626" i="2"/>
  <c r="R626" i="2"/>
  <c r="Q626" i="2"/>
  <c r="O626" i="2"/>
  <c r="N626" i="2"/>
  <c r="L626" i="2"/>
  <c r="S625" i="2"/>
  <c r="R625" i="2"/>
  <c r="Q625" i="2"/>
  <c r="O625" i="2"/>
  <c r="N625" i="2"/>
  <c r="L625" i="2"/>
  <c r="S624" i="2"/>
  <c r="R624" i="2"/>
  <c r="Q624" i="2"/>
  <c r="O624" i="2"/>
  <c r="N624" i="2"/>
  <c r="L624" i="2"/>
  <c r="S623" i="2"/>
  <c r="R623" i="2"/>
  <c r="Q623" i="2"/>
  <c r="O623" i="2"/>
  <c r="N623" i="2"/>
  <c r="L623" i="2"/>
  <c r="S622" i="2"/>
  <c r="R622" i="2"/>
  <c r="Q622" i="2"/>
  <c r="O622" i="2"/>
  <c r="N622" i="2"/>
  <c r="L622" i="2"/>
  <c r="S621" i="2"/>
  <c r="R621" i="2"/>
  <c r="Q621" i="2"/>
  <c r="O621" i="2"/>
  <c r="N621" i="2"/>
  <c r="L621" i="2"/>
  <c r="S620" i="2"/>
  <c r="R620" i="2"/>
  <c r="Q620" i="2"/>
  <c r="O620" i="2"/>
  <c r="N620" i="2"/>
  <c r="L620" i="2"/>
  <c r="S619" i="2"/>
  <c r="R619" i="2"/>
  <c r="Q619" i="2"/>
  <c r="O619" i="2"/>
  <c r="N619" i="2"/>
  <c r="L619" i="2"/>
  <c r="S618" i="2"/>
  <c r="R618" i="2"/>
  <c r="Q618" i="2"/>
  <c r="O618" i="2"/>
  <c r="N618" i="2"/>
  <c r="L618" i="2"/>
  <c r="S617" i="2"/>
  <c r="R617" i="2"/>
  <c r="Q617" i="2"/>
  <c r="O617" i="2"/>
  <c r="N617" i="2"/>
  <c r="L617" i="2"/>
  <c r="S616" i="2"/>
  <c r="R616" i="2"/>
  <c r="Q616" i="2"/>
  <c r="O616" i="2"/>
  <c r="N616" i="2"/>
  <c r="L616" i="2"/>
  <c r="S615" i="2"/>
  <c r="R615" i="2"/>
  <c r="Q615" i="2"/>
  <c r="O615" i="2"/>
  <c r="N615" i="2"/>
  <c r="L615" i="2"/>
  <c r="S614" i="2"/>
  <c r="R614" i="2"/>
  <c r="Q614" i="2"/>
  <c r="O614" i="2"/>
  <c r="N614" i="2"/>
  <c r="L614" i="2"/>
  <c r="S613" i="2"/>
  <c r="R613" i="2"/>
  <c r="Q613" i="2"/>
  <c r="O613" i="2"/>
  <c r="N613" i="2"/>
  <c r="L613" i="2"/>
  <c r="S612" i="2"/>
  <c r="R612" i="2"/>
  <c r="Q612" i="2"/>
  <c r="O612" i="2"/>
  <c r="N612" i="2"/>
  <c r="L612" i="2"/>
  <c r="S611" i="2"/>
  <c r="R611" i="2"/>
  <c r="Q611" i="2"/>
  <c r="O611" i="2"/>
  <c r="N611" i="2"/>
  <c r="L611" i="2"/>
  <c r="S610" i="2"/>
  <c r="R610" i="2"/>
  <c r="Q610" i="2"/>
  <c r="O610" i="2"/>
  <c r="N610" i="2"/>
  <c r="L610" i="2"/>
  <c r="S609" i="2"/>
  <c r="R609" i="2"/>
  <c r="Q609" i="2"/>
  <c r="O609" i="2"/>
  <c r="N609" i="2"/>
  <c r="L609" i="2"/>
  <c r="S608" i="2"/>
  <c r="R608" i="2"/>
  <c r="Q608" i="2"/>
  <c r="O608" i="2"/>
  <c r="N608" i="2"/>
  <c r="L608" i="2"/>
  <c r="S607" i="2"/>
  <c r="R607" i="2"/>
  <c r="Q607" i="2"/>
  <c r="O607" i="2"/>
  <c r="N607" i="2"/>
  <c r="L607" i="2"/>
  <c r="S606" i="2"/>
  <c r="R606" i="2"/>
  <c r="Q606" i="2"/>
  <c r="O606" i="2"/>
  <c r="N606" i="2"/>
  <c r="L606" i="2"/>
  <c r="S605" i="2"/>
  <c r="R605" i="2"/>
  <c r="Q605" i="2"/>
  <c r="O605" i="2"/>
  <c r="N605" i="2"/>
  <c r="L605" i="2"/>
  <c r="S604" i="2"/>
  <c r="R604" i="2"/>
  <c r="Q604" i="2"/>
  <c r="O604" i="2"/>
  <c r="N604" i="2"/>
  <c r="L604" i="2"/>
  <c r="S603" i="2"/>
  <c r="R603" i="2"/>
  <c r="Q603" i="2"/>
  <c r="O603" i="2"/>
  <c r="N603" i="2"/>
  <c r="L603" i="2"/>
  <c r="S602" i="2"/>
  <c r="R602" i="2"/>
  <c r="Q602" i="2"/>
  <c r="O602" i="2"/>
  <c r="N602" i="2"/>
  <c r="L602" i="2"/>
  <c r="S601" i="2"/>
  <c r="R601" i="2"/>
  <c r="Q601" i="2"/>
  <c r="O601" i="2"/>
  <c r="N601" i="2"/>
  <c r="L601" i="2"/>
  <c r="S600" i="2"/>
  <c r="R600" i="2"/>
  <c r="Q600" i="2"/>
  <c r="O600" i="2"/>
  <c r="N600" i="2"/>
  <c r="L600" i="2"/>
  <c r="S599" i="2"/>
  <c r="R599" i="2"/>
  <c r="Q599" i="2"/>
  <c r="O599" i="2"/>
  <c r="N599" i="2"/>
  <c r="L599" i="2"/>
  <c r="S598" i="2"/>
  <c r="R598" i="2"/>
  <c r="Q598" i="2"/>
  <c r="O598" i="2"/>
  <c r="N598" i="2"/>
  <c r="L598" i="2"/>
  <c r="S597" i="2"/>
  <c r="R597" i="2"/>
  <c r="Q597" i="2"/>
  <c r="O597" i="2"/>
  <c r="N597" i="2"/>
  <c r="L597" i="2"/>
  <c r="S596" i="2"/>
  <c r="R596" i="2"/>
  <c r="Q596" i="2"/>
  <c r="O596" i="2"/>
  <c r="N596" i="2"/>
  <c r="L596" i="2"/>
  <c r="S595" i="2"/>
  <c r="R595" i="2"/>
  <c r="Q595" i="2"/>
  <c r="O595" i="2"/>
  <c r="N595" i="2"/>
  <c r="L595" i="2"/>
  <c r="S594" i="2"/>
  <c r="R594" i="2"/>
  <c r="Q594" i="2"/>
  <c r="O594" i="2"/>
  <c r="N594" i="2"/>
  <c r="L594" i="2"/>
  <c r="S593" i="2"/>
  <c r="R593" i="2"/>
  <c r="Q593" i="2"/>
  <c r="O593" i="2"/>
  <c r="N593" i="2"/>
  <c r="L593" i="2"/>
  <c r="S592" i="2"/>
  <c r="R592" i="2"/>
  <c r="Q592" i="2"/>
  <c r="O592" i="2"/>
  <c r="N592" i="2"/>
  <c r="L592" i="2"/>
  <c r="S591" i="2"/>
  <c r="R591" i="2"/>
  <c r="Q591" i="2"/>
  <c r="O591" i="2"/>
  <c r="N591" i="2"/>
  <c r="L591" i="2"/>
  <c r="S590" i="2"/>
  <c r="R590" i="2"/>
  <c r="Q590" i="2"/>
  <c r="O590" i="2"/>
  <c r="N590" i="2"/>
  <c r="L590" i="2"/>
  <c r="S589" i="2"/>
  <c r="R589" i="2"/>
  <c r="Q589" i="2"/>
  <c r="O589" i="2"/>
  <c r="N589" i="2"/>
  <c r="L589" i="2"/>
  <c r="S588" i="2"/>
  <c r="R588" i="2"/>
  <c r="Q588" i="2"/>
  <c r="O588" i="2"/>
  <c r="N588" i="2"/>
  <c r="L588" i="2"/>
  <c r="S587" i="2"/>
  <c r="R587" i="2"/>
  <c r="Q587" i="2"/>
  <c r="O587" i="2"/>
  <c r="N587" i="2"/>
  <c r="L587" i="2"/>
  <c r="S586" i="2"/>
  <c r="R586" i="2"/>
  <c r="Q586" i="2"/>
  <c r="O586" i="2"/>
  <c r="N586" i="2"/>
  <c r="L586" i="2"/>
  <c r="S585" i="2"/>
  <c r="R585" i="2"/>
  <c r="Q585" i="2"/>
  <c r="O585" i="2"/>
  <c r="N585" i="2"/>
  <c r="L585" i="2"/>
  <c r="S584" i="2"/>
  <c r="R584" i="2"/>
  <c r="Q584" i="2"/>
  <c r="O584" i="2"/>
  <c r="N584" i="2"/>
  <c r="L584" i="2"/>
  <c r="S583" i="2"/>
  <c r="R583" i="2"/>
  <c r="Q583" i="2"/>
  <c r="O583" i="2"/>
  <c r="N583" i="2"/>
  <c r="L583" i="2"/>
  <c r="S582" i="2"/>
  <c r="R582" i="2"/>
  <c r="Q582" i="2"/>
  <c r="O582" i="2"/>
  <c r="N582" i="2"/>
  <c r="L582" i="2"/>
  <c r="S581" i="2"/>
  <c r="R581" i="2"/>
  <c r="Q581" i="2"/>
  <c r="O581" i="2"/>
  <c r="N581" i="2"/>
  <c r="L581" i="2"/>
  <c r="S580" i="2"/>
  <c r="R580" i="2"/>
  <c r="Q580" i="2"/>
  <c r="O580" i="2"/>
  <c r="N580" i="2"/>
  <c r="L580" i="2"/>
  <c r="S579" i="2"/>
  <c r="R579" i="2"/>
  <c r="Q579" i="2"/>
  <c r="O579" i="2"/>
  <c r="N579" i="2"/>
  <c r="L579" i="2"/>
  <c r="S578" i="2"/>
  <c r="R578" i="2"/>
  <c r="Q578" i="2"/>
  <c r="O578" i="2"/>
  <c r="N578" i="2"/>
  <c r="L578" i="2"/>
  <c r="S577" i="2"/>
  <c r="R577" i="2"/>
  <c r="Q577" i="2"/>
  <c r="O577" i="2"/>
  <c r="N577" i="2"/>
  <c r="L577" i="2"/>
  <c r="S576" i="2"/>
  <c r="R576" i="2"/>
  <c r="Q576" i="2"/>
  <c r="O576" i="2"/>
  <c r="N576" i="2"/>
  <c r="L576" i="2"/>
  <c r="S575" i="2"/>
  <c r="R575" i="2"/>
  <c r="Q575" i="2"/>
  <c r="O575" i="2"/>
  <c r="N575" i="2"/>
  <c r="L575" i="2"/>
  <c r="S574" i="2"/>
  <c r="R574" i="2"/>
  <c r="Q574" i="2"/>
  <c r="O574" i="2"/>
  <c r="N574" i="2"/>
  <c r="L574" i="2"/>
  <c r="S573" i="2"/>
  <c r="R573" i="2"/>
  <c r="Q573" i="2"/>
  <c r="O573" i="2"/>
  <c r="N573" i="2"/>
  <c r="L573" i="2"/>
  <c r="S572" i="2"/>
  <c r="R572" i="2"/>
  <c r="Q572" i="2"/>
  <c r="O572" i="2"/>
  <c r="N572" i="2"/>
  <c r="L572" i="2"/>
  <c r="S571" i="2"/>
  <c r="R571" i="2"/>
  <c r="Q571" i="2"/>
  <c r="O571" i="2"/>
  <c r="N571" i="2"/>
  <c r="L571" i="2"/>
  <c r="S570" i="2"/>
  <c r="R570" i="2"/>
  <c r="Q570" i="2"/>
  <c r="O570" i="2"/>
  <c r="N570" i="2"/>
  <c r="L570" i="2"/>
  <c r="S569" i="2"/>
  <c r="R569" i="2"/>
  <c r="Q569" i="2"/>
  <c r="O569" i="2"/>
  <c r="N569" i="2"/>
  <c r="L569" i="2"/>
  <c r="S568" i="2"/>
  <c r="R568" i="2"/>
  <c r="Q568" i="2"/>
  <c r="O568" i="2"/>
  <c r="N568" i="2"/>
  <c r="L568" i="2"/>
  <c r="S567" i="2"/>
  <c r="R567" i="2"/>
  <c r="Q567" i="2"/>
  <c r="O567" i="2"/>
  <c r="N567" i="2"/>
  <c r="L567" i="2"/>
  <c r="S566" i="2"/>
  <c r="R566" i="2"/>
  <c r="Q566" i="2"/>
  <c r="O566" i="2"/>
  <c r="N566" i="2"/>
  <c r="L566" i="2"/>
  <c r="S565" i="2"/>
  <c r="R565" i="2"/>
  <c r="Q565" i="2"/>
  <c r="O565" i="2"/>
  <c r="N565" i="2"/>
  <c r="L565" i="2"/>
  <c r="S564" i="2"/>
  <c r="R564" i="2"/>
  <c r="Q564" i="2"/>
  <c r="O564" i="2"/>
  <c r="N564" i="2"/>
  <c r="L564" i="2"/>
  <c r="S563" i="2"/>
  <c r="R563" i="2"/>
  <c r="Q563" i="2"/>
  <c r="O563" i="2"/>
  <c r="N563" i="2"/>
  <c r="L563" i="2"/>
  <c r="S562" i="2"/>
  <c r="R562" i="2"/>
  <c r="Q562" i="2"/>
  <c r="O562" i="2"/>
  <c r="N562" i="2"/>
  <c r="L562" i="2"/>
  <c r="S561" i="2"/>
  <c r="R561" i="2"/>
  <c r="Q561" i="2"/>
  <c r="O561" i="2"/>
  <c r="N561" i="2"/>
  <c r="L561" i="2"/>
  <c r="S560" i="2"/>
  <c r="R560" i="2"/>
  <c r="Q560" i="2"/>
  <c r="O560" i="2"/>
  <c r="N560" i="2"/>
  <c r="L560" i="2"/>
  <c r="S559" i="2"/>
  <c r="R559" i="2"/>
  <c r="Q559" i="2"/>
  <c r="O559" i="2"/>
  <c r="N559" i="2"/>
  <c r="L559" i="2"/>
  <c r="S558" i="2"/>
  <c r="R558" i="2"/>
  <c r="Q558" i="2"/>
  <c r="O558" i="2"/>
  <c r="N558" i="2"/>
  <c r="L558" i="2"/>
  <c r="S557" i="2"/>
  <c r="R557" i="2"/>
  <c r="Q557" i="2"/>
  <c r="O557" i="2"/>
  <c r="N557" i="2"/>
  <c r="L557" i="2"/>
  <c r="S556" i="2"/>
  <c r="R556" i="2"/>
  <c r="Q556" i="2"/>
  <c r="O556" i="2"/>
  <c r="N556" i="2"/>
  <c r="L556" i="2"/>
  <c r="S555" i="2"/>
  <c r="R555" i="2"/>
  <c r="Q555" i="2"/>
  <c r="O555" i="2"/>
  <c r="N555" i="2"/>
  <c r="L555" i="2"/>
  <c r="S554" i="2"/>
  <c r="R554" i="2"/>
  <c r="Q554" i="2"/>
  <c r="O554" i="2"/>
  <c r="N554" i="2"/>
  <c r="L554" i="2"/>
  <c r="S553" i="2"/>
  <c r="R553" i="2"/>
  <c r="Q553" i="2"/>
  <c r="O553" i="2"/>
  <c r="N553" i="2"/>
  <c r="L553" i="2"/>
  <c r="S552" i="2"/>
  <c r="R552" i="2"/>
  <c r="Q552" i="2"/>
  <c r="O552" i="2"/>
  <c r="N552" i="2"/>
  <c r="L552" i="2"/>
  <c r="S551" i="2"/>
  <c r="R551" i="2"/>
  <c r="Q551" i="2"/>
  <c r="O551" i="2"/>
  <c r="N551" i="2"/>
  <c r="L551" i="2"/>
  <c r="S550" i="2"/>
  <c r="R550" i="2"/>
  <c r="Q550" i="2"/>
  <c r="O550" i="2"/>
  <c r="N550" i="2"/>
  <c r="L550" i="2"/>
  <c r="S549" i="2"/>
  <c r="R549" i="2"/>
  <c r="Q549" i="2"/>
  <c r="O549" i="2"/>
  <c r="N549" i="2"/>
  <c r="L549" i="2"/>
  <c r="S548" i="2"/>
  <c r="R548" i="2"/>
  <c r="Q548" i="2"/>
  <c r="O548" i="2"/>
  <c r="N548" i="2"/>
  <c r="L548" i="2"/>
  <c r="S547" i="2"/>
  <c r="R547" i="2"/>
  <c r="Q547" i="2"/>
  <c r="O547" i="2"/>
  <c r="N547" i="2"/>
  <c r="L547" i="2"/>
  <c r="S546" i="2"/>
  <c r="R546" i="2"/>
  <c r="Q546" i="2"/>
  <c r="O546" i="2"/>
  <c r="N546" i="2"/>
  <c r="L546" i="2"/>
  <c r="S545" i="2"/>
  <c r="R545" i="2"/>
  <c r="Q545" i="2"/>
  <c r="O545" i="2"/>
  <c r="N545" i="2"/>
  <c r="L545" i="2"/>
  <c r="S544" i="2"/>
  <c r="R544" i="2"/>
  <c r="Q544" i="2"/>
  <c r="O544" i="2"/>
  <c r="N544" i="2"/>
  <c r="L544" i="2"/>
  <c r="S543" i="2"/>
  <c r="R543" i="2"/>
  <c r="Q543" i="2"/>
  <c r="O543" i="2"/>
  <c r="N543" i="2"/>
  <c r="L543" i="2"/>
  <c r="S542" i="2"/>
  <c r="R542" i="2"/>
  <c r="Q542" i="2"/>
  <c r="O542" i="2"/>
  <c r="N542" i="2"/>
  <c r="L542" i="2"/>
  <c r="S541" i="2"/>
  <c r="R541" i="2"/>
  <c r="Q541" i="2"/>
  <c r="O541" i="2"/>
  <c r="N541" i="2"/>
  <c r="L541" i="2"/>
  <c r="S540" i="2"/>
  <c r="R540" i="2"/>
  <c r="Q540" i="2"/>
  <c r="O540" i="2"/>
  <c r="N540" i="2"/>
  <c r="L540" i="2"/>
  <c r="S539" i="2"/>
  <c r="R539" i="2"/>
  <c r="Q539" i="2"/>
  <c r="O539" i="2"/>
  <c r="N539" i="2"/>
  <c r="L539" i="2"/>
  <c r="S538" i="2"/>
  <c r="R538" i="2"/>
  <c r="Q538" i="2"/>
  <c r="O538" i="2"/>
  <c r="N538" i="2"/>
  <c r="L538" i="2"/>
  <c r="S537" i="2"/>
  <c r="R537" i="2"/>
  <c r="Q537" i="2"/>
  <c r="O537" i="2"/>
  <c r="N537" i="2"/>
  <c r="L537" i="2"/>
  <c r="S536" i="2"/>
  <c r="R536" i="2"/>
  <c r="Q536" i="2"/>
  <c r="O536" i="2"/>
  <c r="N536" i="2"/>
  <c r="L536" i="2"/>
  <c r="S535" i="2"/>
  <c r="R535" i="2"/>
  <c r="Q535" i="2"/>
  <c r="O535" i="2"/>
  <c r="N535" i="2"/>
  <c r="L535" i="2"/>
  <c r="S534" i="2"/>
  <c r="R534" i="2"/>
  <c r="Q534" i="2"/>
  <c r="O534" i="2"/>
  <c r="N534" i="2"/>
  <c r="L534" i="2"/>
  <c r="S533" i="2"/>
  <c r="R533" i="2"/>
  <c r="Q533" i="2"/>
  <c r="O533" i="2"/>
  <c r="N533" i="2"/>
  <c r="L533" i="2"/>
  <c r="S532" i="2"/>
  <c r="R532" i="2"/>
  <c r="Q532" i="2"/>
  <c r="O532" i="2"/>
  <c r="N532" i="2"/>
  <c r="L532" i="2"/>
  <c r="S531" i="2"/>
  <c r="R531" i="2"/>
  <c r="Q531" i="2"/>
  <c r="O531" i="2"/>
  <c r="N531" i="2"/>
  <c r="L531" i="2"/>
  <c r="S530" i="2"/>
  <c r="R530" i="2"/>
  <c r="Q530" i="2"/>
  <c r="O530" i="2"/>
  <c r="N530" i="2"/>
  <c r="L530" i="2"/>
  <c r="S529" i="2"/>
  <c r="R529" i="2"/>
  <c r="Q529" i="2"/>
  <c r="O529" i="2"/>
  <c r="N529" i="2"/>
  <c r="L529" i="2"/>
  <c r="S528" i="2"/>
  <c r="R528" i="2"/>
  <c r="Q528" i="2"/>
  <c r="O528" i="2"/>
  <c r="N528" i="2"/>
  <c r="L528" i="2"/>
  <c r="S527" i="2"/>
  <c r="R527" i="2"/>
  <c r="Q527" i="2"/>
  <c r="O527" i="2"/>
  <c r="N527" i="2"/>
  <c r="L527" i="2"/>
  <c r="S526" i="2"/>
  <c r="R526" i="2"/>
  <c r="Q526" i="2"/>
  <c r="O526" i="2"/>
  <c r="N526" i="2"/>
  <c r="L526" i="2"/>
  <c r="S525" i="2"/>
  <c r="R525" i="2"/>
  <c r="Q525" i="2"/>
  <c r="O525" i="2"/>
  <c r="N525" i="2"/>
  <c r="L525" i="2"/>
  <c r="S524" i="2"/>
  <c r="R524" i="2"/>
  <c r="Q524" i="2"/>
  <c r="O524" i="2"/>
  <c r="N524" i="2"/>
  <c r="L524" i="2"/>
  <c r="S523" i="2"/>
  <c r="R523" i="2"/>
  <c r="Q523" i="2"/>
  <c r="O523" i="2"/>
  <c r="N523" i="2"/>
  <c r="L523" i="2"/>
  <c r="S522" i="2"/>
  <c r="R522" i="2"/>
  <c r="Q522" i="2"/>
  <c r="O522" i="2"/>
  <c r="N522" i="2"/>
  <c r="L522" i="2"/>
  <c r="S521" i="2"/>
  <c r="R521" i="2"/>
  <c r="Q521" i="2"/>
  <c r="O521" i="2"/>
  <c r="N521" i="2"/>
  <c r="L521" i="2"/>
  <c r="S520" i="2"/>
  <c r="R520" i="2"/>
  <c r="Q520" i="2"/>
  <c r="O520" i="2"/>
  <c r="N520" i="2"/>
  <c r="L520" i="2"/>
  <c r="S519" i="2"/>
  <c r="R519" i="2"/>
  <c r="Q519" i="2"/>
  <c r="O519" i="2"/>
  <c r="N519" i="2"/>
  <c r="L519" i="2"/>
  <c r="S518" i="2"/>
  <c r="R518" i="2"/>
  <c r="Q518" i="2"/>
  <c r="O518" i="2"/>
  <c r="N518" i="2"/>
  <c r="L518" i="2"/>
  <c r="S517" i="2"/>
  <c r="R517" i="2"/>
  <c r="Q517" i="2"/>
  <c r="O517" i="2"/>
  <c r="N517" i="2"/>
  <c r="L517" i="2"/>
  <c r="S516" i="2"/>
  <c r="R516" i="2"/>
  <c r="Q516" i="2"/>
  <c r="O516" i="2"/>
  <c r="N516" i="2"/>
  <c r="L516" i="2"/>
  <c r="S515" i="2"/>
  <c r="R515" i="2"/>
  <c r="Q515" i="2"/>
  <c r="O515" i="2"/>
  <c r="N515" i="2"/>
  <c r="L515" i="2"/>
  <c r="S514" i="2"/>
  <c r="R514" i="2"/>
  <c r="Q514" i="2"/>
  <c r="O514" i="2"/>
  <c r="N514" i="2"/>
  <c r="L514" i="2"/>
  <c r="S513" i="2"/>
  <c r="R513" i="2"/>
  <c r="Q513" i="2"/>
  <c r="O513" i="2"/>
  <c r="N513" i="2"/>
  <c r="L513" i="2"/>
  <c r="S512" i="2"/>
  <c r="R512" i="2"/>
  <c r="Q512" i="2"/>
  <c r="O512" i="2"/>
  <c r="N512" i="2"/>
  <c r="L512" i="2"/>
  <c r="S511" i="2"/>
  <c r="R511" i="2"/>
  <c r="Q511" i="2"/>
  <c r="O511" i="2"/>
  <c r="N511" i="2"/>
  <c r="L511" i="2"/>
  <c r="S510" i="2"/>
  <c r="R510" i="2"/>
  <c r="Q510" i="2"/>
  <c r="O510" i="2"/>
  <c r="N510" i="2"/>
  <c r="L510" i="2"/>
  <c r="S509" i="2"/>
  <c r="R509" i="2"/>
  <c r="Q509" i="2"/>
  <c r="O509" i="2"/>
  <c r="N509" i="2"/>
  <c r="L509" i="2"/>
  <c r="S508" i="2"/>
  <c r="R508" i="2"/>
  <c r="Q508" i="2"/>
  <c r="O508" i="2"/>
  <c r="N508" i="2"/>
  <c r="L508" i="2"/>
  <c r="S507" i="2"/>
  <c r="R507" i="2"/>
  <c r="Q507" i="2"/>
  <c r="O507" i="2"/>
  <c r="N507" i="2"/>
  <c r="L507" i="2"/>
  <c r="S506" i="2"/>
  <c r="R506" i="2"/>
  <c r="Q506" i="2"/>
  <c r="O506" i="2"/>
  <c r="N506" i="2"/>
  <c r="L506" i="2"/>
  <c r="S505" i="2"/>
  <c r="R505" i="2"/>
  <c r="Q505" i="2"/>
  <c r="O505" i="2"/>
  <c r="N505" i="2"/>
  <c r="L505" i="2"/>
  <c r="S504" i="2"/>
  <c r="R504" i="2"/>
  <c r="Q504" i="2"/>
  <c r="O504" i="2"/>
  <c r="N504" i="2"/>
  <c r="L504" i="2"/>
  <c r="S503" i="2"/>
  <c r="R503" i="2"/>
  <c r="Q503" i="2"/>
  <c r="O503" i="2"/>
  <c r="N503" i="2"/>
  <c r="L503" i="2"/>
  <c r="S502" i="2"/>
  <c r="R502" i="2"/>
  <c r="Q502" i="2"/>
  <c r="O502" i="2"/>
  <c r="N502" i="2"/>
  <c r="L502" i="2"/>
  <c r="S501" i="2"/>
  <c r="R501" i="2"/>
  <c r="Q501" i="2"/>
  <c r="O501" i="2"/>
  <c r="N501" i="2"/>
  <c r="L501" i="2"/>
  <c r="S500" i="2"/>
  <c r="R500" i="2"/>
  <c r="Q500" i="2"/>
  <c r="O500" i="2"/>
  <c r="N500" i="2"/>
  <c r="L500" i="2"/>
  <c r="S499" i="2"/>
  <c r="R499" i="2"/>
  <c r="Q499" i="2"/>
  <c r="O499" i="2"/>
  <c r="N499" i="2"/>
  <c r="L499" i="2"/>
  <c r="S498" i="2"/>
  <c r="R498" i="2"/>
  <c r="Q498" i="2"/>
  <c r="O498" i="2"/>
  <c r="N498" i="2"/>
  <c r="L498" i="2"/>
  <c r="S497" i="2"/>
  <c r="R497" i="2"/>
  <c r="Q497" i="2"/>
  <c r="O497" i="2"/>
  <c r="N497" i="2"/>
  <c r="L497" i="2"/>
  <c r="S496" i="2"/>
  <c r="R496" i="2"/>
  <c r="Q496" i="2"/>
  <c r="O496" i="2"/>
  <c r="N496" i="2"/>
  <c r="L496" i="2"/>
  <c r="S495" i="2"/>
  <c r="R495" i="2"/>
  <c r="Q495" i="2"/>
  <c r="O495" i="2"/>
  <c r="N495" i="2"/>
  <c r="L495" i="2"/>
  <c r="S494" i="2"/>
  <c r="R494" i="2"/>
  <c r="Q494" i="2"/>
  <c r="O494" i="2"/>
  <c r="N494" i="2"/>
  <c r="L494" i="2"/>
  <c r="S493" i="2"/>
  <c r="R493" i="2"/>
  <c r="Q493" i="2"/>
  <c r="O493" i="2"/>
  <c r="N493" i="2"/>
  <c r="L493" i="2"/>
  <c r="S492" i="2"/>
  <c r="R492" i="2"/>
  <c r="Q492" i="2"/>
  <c r="O492" i="2"/>
  <c r="N492" i="2"/>
  <c r="L492" i="2"/>
  <c r="S491" i="2"/>
  <c r="R491" i="2"/>
  <c r="Q491" i="2"/>
  <c r="O491" i="2"/>
  <c r="N491" i="2"/>
  <c r="L491" i="2"/>
  <c r="S490" i="2"/>
  <c r="R490" i="2"/>
  <c r="Q490" i="2"/>
  <c r="O490" i="2"/>
  <c r="N490" i="2"/>
  <c r="L490" i="2"/>
  <c r="S489" i="2"/>
  <c r="R489" i="2"/>
  <c r="Q489" i="2"/>
  <c r="O489" i="2"/>
  <c r="N489" i="2"/>
  <c r="L489" i="2"/>
  <c r="S488" i="2"/>
  <c r="R488" i="2"/>
  <c r="Q488" i="2"/>
  <c r="O488" i="2"/>
  <c r="N488" i="2"/>
  <c r="L488" i="2"/>
  <c r="S487" i="2"/>
  <c r="R487" i="2"/>
  <c r="Q487" i="2"/>
  <c r="O487" i="2"/>
  <c r="N487" i="2"/>
  <c r="L487" i="2"/>
  <c r="S486" i="2"/>
  <c r="R486" i="2"/>
  <c r="Q486" i="2"/>
  <c r="O486" i="2"/>
  <c r="N486" i="2"/>
  <c r="L486" i="2"/>
  <c r="S485" i="2"/>
  <c r="R485" i="2"/>
  <c r="Q485" i="2"/>
  <c r="O485" i="2"/>
  <c r="N485" i="2"/>
  <c r="L485" i="2"/>
  <c r="S484" i="2"/>
  <c r="R484" i="2"/>
  <c r="Q484" i="2"/>
  <c r="O484" i="2"/>
  <c r="N484" i="2"/>
  <c r="L484" i="2"/>
  <c r="S483" i="2"/>
  <c r="R483" i="2"/>
  <c r="Q483" i="2"/>
  <c r="O483" i="2"/>
  <c r="N483" i="2"/>
  <c r="L483" i="2"/>
  <c r="S482" i="2"/>
  <c r="R482" i="2"/>
  <c r="Q482" i="2"/>
  <c r="O482" i="2"/>
  <c r="N482" i="2"/>
  <c r="L482" i="2"/>
  <c r="S481" i="2"/>
  <c r="R481" i="2"/>
  <c r="Q481" i="2"/>
  <c r="O481" i="2"/>
  <c r="N481" i="2"/>
  <c r="L481" i="2"/>
  <c r="S480" i="2"/>
  <c r="R480" i="2"/>
  <c r="Q480" i="2"/>
  <c r="O480" i="2"/>
  <c r="N480" i="2"/>
  <c r="L480" i="2"/>
  <c r="S479" i="2"/>
  <c r="R479" i="2"/>
  <c r="Q479" i="2"/>
  <c r="O479" i="2"/>
  <c r="N479" i="2"/>
  <c r="L479" i="2"/>
  <c r="S478" i="2"/>
  <c r="R478" i="2"/>
  <c r="Q478" i="2"/>
  <c r="O478" i="2"/>
  <c r="N478" i="2"/>
  <c r="L478" i="2"/>
  <c r="S477" i="2"/>
  <c r="R477" i="2"/>
  <c r="Q477" i="2"/>
  <c r="O477" i="2"/>
  <c r="N477" i="2"/>
  <c r="L477" i="2"/>
  <c r="S476" i="2"/>
  <c r="R476" i="2"/>
  <c r="Q476" i="2"/>
  <c r="O476" i="2"/>
  <c r="N476" i="2"/>
  <c r="L476" i="2"/>
  <c r="S475" i="2"/>
  <c r="R475" i="2"/>
  <c r="Q475" i="2"/>
  <c r="O475" i="2"/>
  <c r="N475" i="2"/>
  <c r="L475" i="2"/>
  <c r="S474" i="2"/>
  <c r="R474" i="2"/>
  <c r="Q474" i="2"/>
  <c r="O474" i="2"/>
  <c r="N474" i="2"/>
  <c r="L474" i="2"/>
  <c r="S473" i="2"/>
  <c r="R473" i="2"/>
  <c r="Q473" i="2"/>
  <c r="O473" i="2"/>
  <c r="N473" i="2"/>
  <c r="L473" i="2"/>
  <c r="S472" i="2"/>
  <c r="R472" i="2"/>
  <c r="Q472" i="2"/>
  <c r="O472" i="2"/>
  <c r="N472" i="2"/>
  <c r="L472" i="2"/>
  <c r="S471" i="2"/>
  <c r="R471" i="2"/>
  <c r="Q471" i="2"/>
  <c r="O471" i="2"/>
  <c r="N471" i="2"/>
  <c r="L471" i="2"/>
  <c r="S470" i="2"/>
  <c r="R470" i="2"/>
  <c r="Q470" i="2"/>
  <c r="O470" i="2"/>
  <c r="N470" i="2"/>
  <c r="L470" i="2"/>
  <c r="S469" i="2"/>
  <c r="R469" i="2"/>
  <c r="Q469" i="2"/>
  <c r="O469" i="2"/>
  <c r="N469" i="2"/>
  <c r="L469" i="2"/>
  <c r="S468" i="2"/>
  <c r="R468" i="2"/>
  <c r="Q468" i="2"/>
  <c r="O468" i="2"/>
  <c r="N468" i="2"/>
  <c r="L468" i="2"/>
  <c r="S467" i="2"/>
  <c r="R467" i="2"/>
  <c r="Q467" i="2"/>
  <c r="O467" i="2"/>
  <c r="N467" i="2"/>
  <c r="L467" i="2"/>
  <c r="S466" i="2"/>
  <c r="R466" i="2"/>
  <c r="Q466" i="2"/>
  <c r="O466" i="2"/>
  <c r="N466" i="2"/>
  <c r="L466" i="2"/>
  <c r="S465" i="2"/>
  <c r="R465" i="2"/>
  <c r="Q465" i="2"/>
  <c r="O465" i="2"/>
  <c r="N465" i="2"/>
  <c r="L465" i="2"/>
  <c r="S464" i="2"/>
  <c r="R464" i="2"/>
  <c r="Q464" i="2"/>
  <c r="O464" i="2"/>
  <c r="N464" i="2"/>
  <c r="L464" i="2"/>
  <c r="S463" i="2"/>
  <c r="R463" i="2"/>
  <c r="Q463" i="2"/>
  <c r="O463" i="2"/>
  <c r="N463" i="2"/>
  <c r="L463" i="2"/>
  <c r="S462" i="2"/>
  <c r="R462" i="2"/>
  <c r="Q462" i="2"/>
  <c r="O462" i="2"/>
  <c r="N462" i="2"/>
  <c r="L462" i="2"/>
  <c r="S461" i="2"/>
  <c r="R461" i="2"/>
  <c r="Q461" i="2"/>
  <c r="O461" i="2"/>
  <c r="N461" i="2"/>
  <c r="L461" i="2"/>
  <c r="S460" i="2"/>
  <c r="R460" i="2"/>
  <c r="Q460" i="2"/>
  <c r="O460" i="2"/>
  <c r="N460" i="2"/>
  <c r="L460" i="2"/>
  <c r="S459" i="2"/>
  <c r="R459" i="2"/>
  <c r="Q459" i="2"/>
  <c r="O459" i="2"/>
  <c r="N459" i="2"/>
  <c r="L459" i="2"/>
  <c r="S458" i="2"/>
  <c r="R458" i="2"/>
  <c r="Q458" i="2"/>
  <c r="O458" i="2"/>
  <c r="N458" i="2"/>
  <c r="L458" i="2"/>
  <c r="S457" i="2"/>
  <c r="R457" i="2"/>
  <c r="Q457" i="2"/>
  <c r="O457" i="2"/>
  <c r="N457" i="2"/>
  <c r="L457" i="2"/>
  <c r="S456" i="2"/>
  <c r="R456" i="2"/>
  <c r="Q456" i="2"/>
  <c r="O456" i="2"/>
  <c r="N456" i="2"/>
  <c r="L456" i="2"/>
  <c r="S455" i="2"/>
  <c r="R455" i="2"/>
  <c r="Q455" i="2"/>
  <c r="O455" i="2"/>
  <c r="N455" i="2"/>
  <c r="L455" i="2"/>
  <c r="S454" i="2"/>
  <c r="R454" i="2"/>
  <c r="Q454" i="2"/>
  <c r="O454" i="2"/>
  <c r="N454" i="2"/>
  <c r="L454" i="2"/>
  <c r="S453" i="2"/>
  <c r="R453" i="2"/>
  <c r="Q453" i="2"/>
  <c r="O453" i="2"/>
  <c r="N453" i="2"/>
  <c r="L453" i="2"/>
  <c r="S452" i="2"/>
  <c r="R452" i="2"/>
  <c r="Q452" i="2"/>
  <c r="O452" i="2"/>
  <c r="N452" i="2"/>
  <c r="L452" i="2"/>
  <c r="S451" i="2"/>
  <c r="R451" i="2"/>
  <c r="Q451" i="2"/>
  <c r="O451" i="2"/>
  <c r="N451" i="2"/>
  <c r="L451" i="2"/>
  <c r="S450" i="2"/>
  <c r="R450" i="2"/>
  <c r="Q450" i="2"/>
  <c r="O450" i="2"/>
  <c r="N450" i="2"/>
  <c r="L450" i="2"/>
  <c r="S449" i="2"/>
  <c r="R449" i="2"/>
  <c r="Q449" i="2"/>
  <c r="O449" i="2"/>
  <c r="N449" i="2"/>
  <c r="L449" i="2"/>
  <c r="S448" i="2"/>
  <c r="R448" i="2"/>
  <c r="Q448" i="2"/>
  <c r="O448" i="2"/>
  <c r="N448" i="2"/>
  <c r="L448" i="2"/>
  <c r="S447" i="2"/>
  <c r="R447" i="2"/>
  <c r="Q447" i="2"/>
  <c r="O447" i="2"/>
  <c r="N447" i="2"/>
  <c r="L447" i="2"/>
  <c r="S446" i="2"/>
  <c r="R446" i="2"/>
  <c r="Q446" i="2"/>
  <c r="O446" i="2"/>
  <c r="N446" i="2"/>
  <c r="L446" i="2"/>
  <c r="S445" i="2"/>
  <c r="R445" i="2"/>
  <c r="Q445" i="2"/>
  <c r="O445" i="2"/>
  <c r="N445" i="2"/>
  <c r="L445" i="2"/>
  <c r="S444" i="2"/>
  <c r="R444" i="2"/>
  <c r="Q444" i="2"/>
  <c r="O444" i="2"/>
  <c r="N444" i="2"/>
  <c r="L444" i="2"/>
  <c r="S443" i="2"/>
  <c r="R443" i="2"/>
  <c r="Q443" i="2"/>
  <c r="O443" i="2"/>
  <c r="N443" i="2"/>
  <c r="L443" i="2"/>
  <c r="S442" i="2"/>
  <c r="R442" i="2"/>
  <c r="Q442" i="2"/>
  <c r="O442" i="2"/>
  <c r="N442" i="2"/>
  <c r="L442" i="2"/>
  <c r="S441" i="2"/>
  <c r="R441" i="2"/>
  <c r="Q441" i="2"/>
  <c r="O441" i="2"/>
  <c r="N441" i="2"/>
  <c r="L441" i="2"/>
  <c r="S440" i="2"/>
  <c r="R440" i="2"/>
  <c r="Q440" i="2"/>
  <c r="O440" i="2"/>
  <c r="N440" i="2"/>
  <c r="L440" i="2"/>
  <c r="S439" i="2"/>
  <c r="R439" i="2"/>
  <c r="Q439" i="2"/>
  <c r="O439" i="2"/>
  <c r="N439" i="2"/>
  <c r="L439" i="2"/>
  <c r="S438" i="2"/>
  <c r="R438" i="2"/>
  <c r="Q438" i="2"/>
  <c r="O438" i="2"/>
  <c r="N438" i="2"/>
  <c r="L438" i="2"/>
  <c r="S437" i="2"/>
  <c r="R437" i="2"/>
  <c r="Q437" i="2"/>
  <c r="O437" i="2"/>
  <c r="N437" i="2"/>
  <c r="L437" i="2"/>
  <c r="S436" i="2"/>
  <c r="R436" i="2"/>
  <c r="Q436" i="2"/>
  <c r="O436" i="2"/>
  <c r="N436" i="2"/>
  <c r="L436" i="2"/>
  <c r="S435" i="2"/>
  <c r="R435" i="2"/>
  <c r="Q435" i="2"/>
  <c r="O435" i="2"/>
  <c r="N435" i="2"/>
  <c r="L435" i="2"/>
  <c r="S434" i="2"/>
  <c r="R434" i="2"/>
  <c r="Q434" i="2"/>
  <c r="O434" i="2"/>
  <c r="N434" i="2"/>
  <c r="L434" i="2"/>
  <c r="S433" i="2"/>
  <c r="R433" i="2"/>
  <c r="Q433" i="2"/>
  <c r="O433" i="2"/>
  <c r="N433" i="2"/>
  <c r="L433" i="2"/>
  <c r="S432" i="2"/>
  <c r="R432" i="2"/>
  <c r="Q432" i="2"/>
  <c r="O432" i="2"/>
  <c r="N432" i="2"/>
  <c r="L432" i="2"/>
  <c r="S431" i="2"/>
  <c r="R431" i="2"/>
  <c r="Q431" i="2"/>
  <c r="O431" i="2"/>
  <c r="N431" i="2"/>
  <c r="L431" i="2"/>
  <c r="S430" i="2"/>
  <c r="R430" i="2"/>
  <c r="Q430" i="2"/>
  <c r="O430" i="2"/>
  <c r="N430" i="2"/>
  <c r="L430" i="2"/>
  <c r="S429" i="2"/>
  <c r="R429" i="2"/>
  <c r="Q429" i="2"/>
  <c r="O429" i="2"/>
  <c r="N429" i="2"/>
  <c r="L429" i="2"/>
  <c r="S428" i="2"/>
  <c r="R428" i="2"/>
  <c r="Q428" i="2"/>
  <c r="O428" i="2"/>
  <c r="N428" i="2"/>
  <c r="L428" i="2"/>
  <c r="S427" i="2"/>
  <c r="R427" i="2"/>
  <c r="Q427" i="2"/>
  <c r="O427" i="2"/>
  <c r="N427" i="2"/>
  <c r="L427" i="2"/>
  <c r="S426" i="2"/>
  <c r="R426" i="2"/>
  <c r="Q426" i="2"/>
  <c r="O426" i="2"/>
  <c r="N426" i="2"/>
  <c r="L426" i="2"/>
  <c r="S425" i="2"/>
  <c r="R425" i="2"/>
  <c r="Q425" i="2"/>
  <c r="O425" i="2"/>
  <c r="N425" i="2"/>
  <c r="L425" i="2"/>
  <c r="S424" i="2"/>
  <c r="R424" i="2"/>
  <c r="Q424" i="2"/>
  <c r="O424" i="2"/>
  <c r="N424" i="2"/>
  <c r="L424" i="2"/>
  <c r="S423" i="2"/>
  <c r="R423" i="2"/>
  <c r="Q423" i="2"/>
  <c r="O423" i="2"/>
  <c r="N423" i="2"/>
  <c r="L423" i="2"/>
  <c r="S422" i="2"/>
  <c r="R422" i="2"/>
  <c r="Q422" i="2"/>
  <c r="O422" i="2"/>
  <c r="N422" i="2"/>
  <c r="L422" i="2"/>
  <c r="S421" i="2"/>
  <c r="R421" i="2"/>
  <c r="Q421" i="2"/>
  <c r="O421" i="2"/>
  <c r="N421" i="2"/>
  <c r="L421" i="2"/>
  <c r="S420" i="2"/>
  <c r="R420" i="2"/>
  <c r="Q420" i="2"/>
  <c r="O420" i="2"/>
  <c r="N420" i="2"/>
  <c r="L420" i="2"/>
  <c r="S419" i="2"/>
  <c r="R419" i="2"/>
  <c r="Q419" i="2"/>
  <c r="O419" i="2"/>
  <c r="N419" i="2"/>
  <c r="L419" i="2"/>
  <c r="S418" i="2"/>
  <c r="R418" i="2"/>
  <c r="Q418" i="2"/>
  <c r="O418" i="2"/>
  <c r="N418" i="2"/>
  <c r="L418" i="2"/>
  <c r="S417" i="2"/>
  <c r="R417" i="2"/>
  <c r="Q417" i="2"/>
  <c r="O417" i="2"/>
  <c r="N417" i="2"/>
  <c r="L417" i="2"/>
  <c r="S416" i="2"/>
  <c r="R416" i="2"/>
  <c r="Q416" i="2"/>
  <c r="O416" i="2"/>
  <c r="N416" i="2"/>
  <c r="L416" i="2"/>
  <c r="S415" i="2"/>
  <c r="R415" i="2"/>
  <c r="Q415" i="2"/>
  <c r="O415" i="2"/>
  <c r="N415" i="2"/>
  <c r="L415" i="2"/>
  <c r="S414" i="2"/>
  <c r="R414" i="2"/>
  <c r="Q414" i="2"/>
  <c r="O414" i="2"/>
  <c r="N414" i="2"/>
  <c r="L414" i="2"/>
  <c r="S413" i="2"/>
  <c r="R413" i="2"/>
  <c r="Q413" i="2"/>
  <c r="O413" i="2"/>
  <c r="N413" i="2"/>
  <c r="L413" i="2"/>
  <c r="S412" i="2"/>
  <c r="R412" i="2"/>
  <c r="Q412" i="2"/>
  <c r="O412" i="2"/>
  <c r="N412" i="2"/>
  <c r="L412" i="2"/>
  <c r="S411" i="2"/>
  <c r="R411" i="2"/>
  <c r="Q411" i="2"/>
  <c r="O411" i="2"/>
  <c r="N411" i="2"/>
  <c r="L411" i="2"/>
  <c r="S410" i="2"/>
  <c r="R410" i="2"/>
  <c r="Q410" i="2"/>
  <c r="O410" i="2"/>
  <c r="N410" i="2"/>
  <c r="L410" i="2"/>
  <c r="S409" i="2"/>
  <c r="R409" i="2"/>
  <c r="Q409" i="2"/>
  <c r="O409" i="2"/>
  <c r="N409" i="2"/>
  <c r="L409" i="2"/>
  <c r="S408" i="2"/>
  <c r="R408" i="2"/>
  <c r="Q408" i="2"/>
  <c r="O408" i="2"/>
  <c r="N408" i="2"/>
  <c r="L408" i="2"/>
  <c r="S407" i="2"/>
  <c r="R407" i="2"/>
  <c r="Q407" i="2"/>
  <c r="O407" i="2"/>
  <c r="N407" i="2"/>
  <c r="L407" i="2"/>
  <c r="S406" i="2"/>
  <c r="R406" i="2"/>
  <c r="Q406" i="2"/>
  <c r="O406" i="2"/>
  <c r="N406" i="2"/>
  <c r="L406" i="2"/>
  <c r="S405" i="2"/>
  <c r="R405" i="2"/>
  <c r="Q405" i="2"/>
  <c r="O405" i="2"/>
  <c r="N405" i="2"/>
  <c r="L405" i="2"/>
  <c r="S404" i="2"/>
  <c r="R404" i="2"/>
  <c r="Q404" i="2"/>
  <c r="O404" i="2"/>
  <c r="N404" i="2"/>
  <c r="L404" i="2"/>
  <c r="S403" i="2"/>
  <c r="R403" i="2"/>
  <c r="Q403" i="2"/>
  <c r="O403" i="2"/>
  <c r="N403" i="2"/>
  <c r="L403" i="2"/>
  <c r="S402" i="2"/>
  <c r="R402" i="2"/>
  <c r="Q402" i="2"/>
  <c r="O402" i="2"/>
  <c r="N402" i="2"/>
  <c r="L402" i="2"/>
  <c r="S401" i="2"/>
  <c r="R401" i="2"/>
  <c r="Q401" i="2"/>
  <c r="O401" i="2"/>
  <c r="N401" i="2"/>
  <c r="L401" i="2"/>
  <c r="S400" i="2"/>
  <c r="R400" i="2"/>
  <c r="Q400" i="2"/>
  <c r="O400" i="2"/>
  <c r="N400" i="2"/>
  <c r="L400" i="2"/>
  <c r="S399" i="2"/>
  <c r="R399" i="2"/>
  <c r="Q399" i="2"/>
  <c r="O399" i="2"/>
  <c r="N399" i="2"/>
  <c r="L399" i="2"/>
  <c r="S398" i="2"/>
  <c r="R398" i="2"/>
  <c r="Q398" i="2"/>
  <c r="O398" i="2"/>
  <c r="N398" i="2"/>
  <c r="L398" i="2"/>
  <c r="S397" i="2"/>
  <c r="R397" i="2"/>
  <c r="Q397" i="2"/>
  <c r="O397" i="2"/>
  <c r="N397" i="2"/>
  <c r="L397" i="2"/>
  <c r="S396" i="2"/>
  <c r="R396" i="2"/>
  <c r="Q396" i="2"/>
  <c r="O396" i="2"/>
  <c r="N396" i="2"/>
  <c r="L396" i="2"/>
  <c r="S395" i="2"/>
  <c r="R395" i="2"/>
  <c r="Q395" i="2"/>
  <c r="O395" i="2"/>
  <c r="N395" i="2"/>
  <c r="L395" i="2"/>
  <c r="S394" i="2"/>
  <c r="R394" i="2"/>
  <c r="Q394" i="2"/>
  <c r="O394" i="2"/>
  <c r="N394" i="2"/>
  <c r="L394" i="2"/>
  <c r="S393" i="2"/>
  <c r="R393" i="2"/>
  <c r="Q393" i="2"/>
  <c r="O393" i="2"/>
  <c r="N393" i="2"/>
  <c r="L393" i="2"/>
  <c r="S392" i="2"/>
  <c r="R392" i="2"/>
  <c r="Q392" i="2"/>
  <c r="O392" i="2"/>
  <c r="N392" i="2"/>
  <c r="L392" i="2"/>
  <c r="S391" i="2"/>
  <c r="R391" i="2"/>
  <c r="Q391" i="2"/>
  <c r="O391" i="2"/>
  <c r="N391" i="2"/>
  <c r="L391" i="2"/>
  <c r="S390" i="2"/>
  <c r="R390" i="2"/>
  <c r="Q390" i="2"/>
  <c r="O390" i="2"/>
  <c r="N390" i="2"/>
  <c r="L390" i="2"/>
  <c r="S389" i="2"/>
  <c r="R389" i="2"/>
  <c r="Q389" i="2"/>
  <c r="O389" i="2"/>
  <c r="N389" i="2"/>
  <c r="L389" i="2"/>
  <c r="S388" i="2"/>
  <c r="R388" i="2"/>
  <c r="Q388" i="2"/>
  <c r="O388" i="2"/>
  <c r="N388" i="2"/>
  <c r="L388" i="2"/>
  <c r="S387" i="2"/>
  <c r="R387" i="2"/>
  <c r="Q387" i="2"/>
  <c r="O387" i="2"/>
  <c r="N387" i="2"/>
  <c r="L387" i="2"/>
  <c r="S386" i="2"/>
  <c r="R386" i="2"/>
  <c r="Q386" i="2"/>
  <c r="O386" i="2"/>
  <c r="N386" i="2"/>
  <c r="L386" i="2"/>
  <c r="S385" i="2"/>
  <c r="R385" i="2"/>
  <c r="Q385" i="2"/>
  <c r="O385" i="2"/>
  <c r="N385" i="2"/>
  <c r="L385" i="2"/>
  <c r="S384" i="2"/>
  <c r="R384" i="2"/>
  <c r="Q384" i="2"/>
  <c r="O384" i="2"/>
  <c r="N384" i="2"/>
  <c r="L384" i="2"/>
  <c r="S383" i="2"/>
  <c r="R383" i="2"/>
  <c r="Q383" i="2"/>
  <c r="O383" i="2"/>
  <c r="N383" i="2"/>
  <c r="L383" i="2"/>
  <c r="S382" i="2"/>
  <c r="R382" i="2"/>
  <c r="Q382" i="2"/>
  <c r="O382" i="2"/>
  <c r="N382" i="2"/>
  <c r="L382" i="2"/>
  <c r="S381" i="2"/>
  <c r="R381" i="2"/>
  <c r="Q381" i="2"/>
  <c r="O381" i="2"/>
  <c r="N381" i="2"/>
  <c r="L381" i="2"/>
  <c r="S380" i="2"/>
  <c r="R380" i="2"/>
  <c r="Q380" i="2"/>
  <c r="O380" i="2"/>
  <c r="N380" i="2"/>
  <c r="L380" i="2"/>
  <c r="S379" i="2"/>
  <c r="R379" i="2"/>
  <c r="Q379" i="2"/>
  <c r="O379" i="2"/>
  <c r="N379" i="2"/>
  <c r="L379" i="2"/>
  <c r="S378" i="2"/>
  <c r="R378" i="2"/>
  <c r="Q378" i="2"/>
  <c r="O378" i="2"/>
  <c r="N378" i="2"/>
  <c r="L378" i="2"/>
  <c r="S377" i="2"/>
  <c r="R377" i="2"/>
  <c r="Q377" i="2"/>
  <c r="O377" i="2"/>
  <c r="N377" i="2"/>
  <c r="L377" i="2"/>
  <c r="S376" i="2"/>
  <c r="R376" i="2"/>
  <c r="Q376" i="2"/>
  <c r="O376" i="2"/>
  <c r="N376" i="2"/>
  <c r="L376" i="2"/>
  <c r="S375" i="2"/>
  <c r="R375" i="2"/>
  <c r="Q375" i="2"/>
  <c r="O375" i="2"/>
  <c r="N375" i="2"/>
  <c r="L375" i="2"/>
  <c r="S374" i="2"/>
  <c r="R374" i="2"/>
  <c r="Q374" i="2"/>
  <c r="O374" i="2"/>
  <c r="N374" i="2"/>
  <c r="L374" i="2"/>
  <c r="S373" i="2"/>
  <c r="R373" i="2"/>
  <c r="Q373" i="2"/>
  <c r="O373" i="2"/>
  <c r="N373" i="2"/>
  <c r="L373" i="2"/>
  <c r="S372" i="2"/>
  <c r="R372" i="2"/>
  <c r="Q372" i="2"/>
  <c r="O372" i="2"/>
  <c r="N372" i="2"/>
  <c r="L372" i="2"/>
  <c r="S371" i="2"/>
  <c r="R371" i="2"/>
  <c r="Q371" i="2"/>
  <c r="O371" i="2"/>
  <c r="N371" i="2"/>
  <c r="L371" i="2"/>
  <c r="S370" i="2"/>
  <c r="R370" i="2"/>
  <c r="Q370" i="2"/>
  <c r="O370" i="2"/>
  <c r="N370" i="2"/>
  <c r="L370" i="2"/>
  <c r="S369" i="2"/>
  <c r="R369" i="2"/>
  <c r="Q369" i="2"/>
  <c r="O369" i="2"/>
  <c r="N369" i="2"/>
  <c r="L369" i="2"/>
  <c r="S368" i="2"/>
  <c r="R368" i="2"/>
  <c r="Q368" i="2"/>
  <c r="O368" i="2"/>
  <c r="N368" i="2"/>
  <c r="L368" i="2"/>
  <c r="S367" i="2"/>
  <c r="R367" i="2"/>
  <c r="Q367" i="2"/>
  <c r="O367" i="2"/>
  <c r="N367" i="2"/>
  <c r="L367" i="2"/>
  <c r="S366" i="2"/>
  <c r="R366" i="2"/>
  <c r="Q366" i="2"/>
  <c r="O366" i="2"/>
  <c r="N366" i="2"/>
  <c r="L366" i="2"/>
  <c r="S365" i="2"/>
  <c r="R365" i="2"/>
  <c r="Q365" i="2"/>
  <c r="O365" i="2"/>
  <c r="N365" i="2"/>
  <c r="L365" i="2"/>
  <c r="S364" i="2"/>
  <c r="R364" i="2"/>
  <c r="Q364" i="2"/>
  <c r="O364" i="2"/>
  <c r="N364" i="2"/>
  <c r="L364" i="2"/>
  <c r="S363" i="2"/>
  <c r="R363" i="2"/>
  <c r="Q363" i="2"/>
  <c r="O363" i="2"/>
  <c r="N363" i="2"/>
  <c r="L363" i="2"/>
  <c r="S362" i="2"/>
  <c r="R362" i="2"/>
  <c r="Q362" i="2"/>
  <c r="O362" i="2"/>
  <c r="N362" i="2"/>
  <c r="L362" i="2"/>
  <c r="S361" i="2"/>
  <c r="R361" i="2"/>
  <c r="Q361" i="2"/>
  <c r="O361" i="2"/>
  <c r="N361" i="2"/>
  <c r="L361" i="2"/>
  <c r="S360" i="2"/>
  <c r="R360" i="2"/>
  <c r="Q360" i="2"/>
  <c r="O360" i="2"/>
  <c r="N360" i="2"/>
  <c r="L360" i="2"/>
  <c r="S359" i="2"/>
  <c r="R359" i="2"/>
  <c r="Q359" i="2"/>
  <c r="O359" i="2"/>
  <c r="N359" i="2"/>
  <c r="L359" i="2"/>
  <c r="S358" i="2"/>
  <c r="R358" i="2"/>
  <c r="Q358" i="2"/>
  <c r="O358" i="2"/>
  <c r="N358" i="2"/>
  <c r="L358" i="2"/>
  <c r="S357" i="2"/>
  <c r="R357" i="2"/>
  <c r="Q357" i="2"/>
  <c r="O357" i="2"/>
  <c r="N357" i="2"/>
  <c r="L357" i="2"/>
  <c r="S356" i="2"/>
  <c r="R356" i="2"/>
  <c r="Q356" i="2"/>
  <c r="O356" i="2"/>
  <c r="N356" i="2"/>
  <c r="L356" i="2"/>
  <c r="S355" i="2"/>
  <c r="R355" i="2"/>
  <c r="Q355" i="2"/>
  <c r="O355" i="2"/>
  <c r="N355" i="2"/>
  <c r="L355" i="2"/>
  <c r="S354" i="2"/>
  <c r="R354" i="2"/>
  <c r="Q354" i="2"/>
  <c r="O354" i="2"/>
  <c r="N354" i="2"/>
  <c r="L354" i="2"/>
  <c r="S353" i="2"/>
  <c r="R353" i="2"/>
  <c r="Q353" i="2"/>
  <c r="O353" i="2"/>
  <c r="N353" i="2"/>
  <c r="L353" i="2"/>
  <c r="S352" i="2"/>
  <c r="R352" i="2"/>
  <c r="Q352" i="2"/>
  <c r="O352" i="2"/>
  <c r="N352" i="2"/>
  <c r="L352" i="2"/>
  <c r="S351" i="2"/>
  <c r="R351" i="2"/>
  <c r="Q351" i="2"/>
  <c r="O351" i="2"/>
  <c r="N351" i="2"/>
  <c r="L351" i="2"/>
  <c r="S350" i="2"/>
  <c r="R350" i="2"/>
  <c r="Q350" i="2"/>
  <c r="O350" i="2"/>
  <c r="N350" i="2"/>
  <c r="L350" i="2"/>
  <c r="S349" i="2"/>
  <c r="R349" i="2"/>
  <c r="Q349" i="2"/>
  <c r="O349" i="2"/>
  <c r="N349" i="2"/>
  <c r="L349" i="2"/>
  <c r="S348" i="2"/>
  <c r="R348" i="2"/>
  <c r="Q348" i="2"/>
  <c r="O348" i="2"/>
  <c r="N348" i="2"/>
  <c r="L348" i="2"/>
  <c r="S347" i="2"/>
  <c r="R347" i="2"/>
  <c r="Q347" i="2"/>
  <c r="O347" i="2"/>
  <c r="N347" i="2"/>
  <c r="L347" i="2"/>
  <c r="S346" i="2"/>
  <c r="R346" i="2"/>
  <c r="Q346" i="2"/>
  <c r="O346" i="2"/>
  <c r="N346" i="2"/>
  <c r="L346" i="2"/>
  <c r="S345" i="2"/>
  <c r="R345" i="2"/>
  <c r="Q345" i="2"/>
  <c r="O345" i="2"/>
  <c r="N345" i="2"/>
  <c r="L345" i="2"/>
  <c r="S344" i="2"/>
  <c r="R344" i="2"/>
  <c r="Q344" i="2"/>
  <c r="O344" i="2"/>
  <c r="N344" i="2"/>
  <c r="L344" i="2"/>
  <c r="S343" i="2"/>
  <c r="R343" i="2"/>
  <c r="Q343" i="2"/>
  <c r="O343" i="2"/>
  <c r="N343" i="2"/>
  <c r="L343" i="2"/>
  <c r="S342" i="2"/>
  <c r="R342" i="2"/>
  <c r="Q342" i="2"/>
  <c r="O342" i="2"/>
  <c r="N342" i="2"/>
  <c r="L342" i="2"/>
  <c r="S341" i="2"/>
  <c r="R341" i="2"/>
  <c r="Q341" i="2"/>
  <c r="O341" i="2"/>
  <c r="N341" i="2"/>
  <c r="L341" i="2"/>
  <c r="S340" i="2"/>
  <c r="R340" i="2"/>
  <c r="Q340" i="2"/>
  <c r="O340" i="2"/>
  <c r="N340" i="2"/>
  <c r="L340" i="2"/>
  <c r="S339" i="2"/>
  <c r="R339" i="2"/>
  <c r="Q339" i="2"/>
  <c r="O339" i="2"/>
  <c r="N339" i="2"/>
  <c r="L339" i="2"/>
  <c r="S338" i="2"/>
  <c r="R338" i="2"/>
  <c r="Q338" i="2"/>
  <c r="O338" i="2"/>
  <c r="N338" i="2"/>
  <c r="L338" i="2"/>
  <c r="S337" i="2"/>
  <c r="R337" i="2"/>
  <c r="Q337" i="2"/>
  <c r="O337" i="2"/>
  <c r="N337" i="2"/>
  <c r="L337" i="2"/>
  <c r="S336" i="2"/>
  <c r="R336" i="2"/>
  <c r="Q336" i="2"/>
  <c r="O336" i="2"/>
  <c r="N336" i="2"/>
  <c r="L336" i="2"/>
  <c r="S335" i="2"/>
  <c r="R335" i="2"/>
  <c r="Q335" i="2"/>
  <c r="O335" i="2"/>
  <c r="N335" i="2"/>
  <c r="L335" i="2"/>
  <c r="S334" i="2"/>
  <c r="R334" i="2"/>
  <c r="Q334" i="2"/>
  <c r="O334" i="2"/>
  <c r="N334" i="2"/>
  <c r="L334" i="2"/>
  <c r="S333" i="2"/>
  <c r="R333" i="2"/>
  <c r="Q333" i="2"/>
  <c r="O333" i="2"/>
  <c r="N333" i="2"/>
  <c r="L333" i="2"/>
  <c r="S332" i="2"/>
  <c r="R332" i="2"/>
  <c r="Q332" i="2"/>
  <c r="O332" i="2"/>
  <c r="N332" i="2"/>
  <c r="L332" i="2"/>
  <c r="S331" i="2"/>
  <c r="R331" i="2"/>
  <c r="Q331" i="2"/>
  <c r="O331" i="2"/>
  <c r="N331" i="2"/>
  <c r="L331" i="2"/>
  <c r="S330" i="2"/>
  <c r="R330" i="2"/>
  <c r="Q330" i="2"/>
  <c r="O330" i="2"/>
  <c r="N330" i="2"/>
  <c r="L330" i="2"/>
  <c r="S329" i="2"/>
  <c r="R329" i="2"/>
  <c r="Q329" i="2"/>
  <c r="O329" i="2"/>
  <c r="N329" i="2"/>
  <c r="L329" i="2"/>
  <c r="S328" i="2"/>
  <c r="R328" i="2"/>
  <c r="Q328" i="2"/>
  <c r="O328" i="2"/>
  <c r="N328" i="2"/>
  <c r="L328" i="2"/>
  <c r="S327" i="2"/>
  <c r="R327" i="2"/>
  <c r="Q327" i="2"/>
  <c r="O327" i="2"/>
  <c r="N327" i="2"/>
  <c r="L327" i="2"/>
  <c r="S326" i="2"/>
  <c r="R326" i="2"/>
  <c r="Q326" i="2"/>
  <c r="O326" i="2"/>
  <c r="N326" i="2"/>
  <c r="L326" i="2"/>
  <c r="S325" i="2"/>
  <c r="R325" i="2"/>
  <c r="Q325" i="2"/>
  <c r="O325" i="2"/>
  <c r="N325" i="2"/>
  <c r="L325" i="2"/>
  <c r="S324" i="2"/>
  <c r="R324" i="2"/>
  <c r="Q324" i="2"/>
  <c r="O324" i="2"/>
  <c r="N324" i="2"/>
  <c r="L324" i="2"/>
  <c r="S323" i="2"/>
  <c r="R323" i="2"/>
  <c r="Q323" i="2"/>
  <c r="O323" i="2"/>
  <c r="N323" i="2"/>
  <c r="L323" i="2"/>
  <c r="S322" i="2"/>
  <c r="R322" i="2"/>
  <c r="Q322" i="2"/>
  <c r="O322" i="2"/>
  <c r="N322" i="2"/>
  <c r="L322" i="2"/>
  <c r="S321" i="2"/>
  <c r="R321" i="2"/>
  <c r="Q321" i="2"/>
  <c r="O321" i="2"/>
  <c r="N321" i="2"/>
  <c r="L321" i="2"/>
  <c r="S320" i="2"/>
  <c r="R320" i="2"/>
  <c r="Q320" i="2"/>
  <c r="O320" i="2"/>
  <c r="N320" i="2"/>
  <c r="L320" i="2"/>
  <c r="S319" i="2"/>
  <c r="R319" i="2"/>
  <c r="Q319" i="2"/>
  <c r="O319" i="2"/>
  <c r="N319" i="2"/>
  <c r="L319" i="2"/>
  <c r="S318" i="2"/>
  <c r="R318" i="2"/>
  <c r="Q318" i="2"/>
  <c r="O318" i="2"/>
  <c r="N318" i="2"/>
  <c r="L318" i="2"/>
  <c r="S317" i="2"/>
  <c r="R317" i="2"/>
  <c r="Q317" i="2"/>
  <c r="O317" i="2"/>
  <c r="N317" i="2"/>
  <c r="L317" i="2"/>
  <c r="S316" i="2"/>
  <c r="R316" i="2"/>
  <c r="Q316" i="2"/>
  <c r="O316" i="2"/>
  <c r="N316" i="2"/>
  <c r="L316" i="2"/>
  <c r="S315" i="2"/>
  <c r="R315" i="2"/>
  <c r="Q315" i="2"/>
  <c r="O315" i="2"/>
  <c r="N315" i="2"/>
  <c r="L315" i="2"/>
  <c r="S314" i="2"/>
  <c r="R314" i="2"/>
  <c r="Q314" i="2"/>
  <c r="O314" i="2"/>
  <c r="N314" i="2"/>
  <c r="L314" i="2"/>
  <c r="S313" i="2"/>
  <c r="R313" i="2"/>
  <c r="Q313" i="2"/>
  <c r="O313" i="2"/>
  <c r="N313" i="2"/>
  <c r="L313" i="2"/>
  <c r="S312" i="2"/>
  <c r="R312" i="2"/>
  <c r="Q312" i="2"/>
  <c r="O312" i="2"/>
  <c r="N312" i="2"/>
  <c r="L312" i="2"/>
  <c r="S311" i="2"/>
  <c r="R311" i="2"/>
  <c r="Q311" i="2"/>
  <c r="O311" i="2"/>
  <c r="N311" i="2"/>
  <c r="L311" i="2"/>
  <c r="S310" i="2"/>
  <c r="R310" i="2"/>
  <c r="Q310" i="2"/>
  <c r="O310" i="2"/>
  <c r="N310" i="2"/>
  <c r="L310" i="2"/>
  <c r="S309" i="2"/>
  <c r="R309" i="2"/>
  <c r="Q309" i="2"/>
  <c r="O309" i="2"/>
  <c r="N309" i="2"/>
  <c r="L309" i="2"/>
  <c r="S308" i="2"/>
  <c r="R308" i="2"/>
  <c r="Q308" i="2"/>
  <c r="O308" i="2"/>
  <c r="N308" i="2"/>
  <c r="L308" i="2"/>
  <c r="S307" i="2"/>
  <c r="R307" i="2"/>
  <c r="Q307" i="2"/>
  <c r="O307" i="2"/>
  <c r="N307" i="2"/>
  <c r="L307" i="2"/>
  <c r="S306" i="2"/>
  <c r="R306" i="2"/>
  <c r="Q306" i="2"/>
  <c r="O306" i="2"/>
  <c r="N306" i="2"/>
  <c r="L306" i="2"/>
  <c r="S305" i="2"/>
  <c r="R305" i="2"/>
  <c r="Q305" i="2"/>
  <c r="O305" i="2"/>
  <c r="N305" i="2"/>
  <c r="L305" i="2"/>
  <c r="S304" i="2"/>
  <c r="R304" i="2"/>
  <c r="Q304" i="2"/>
  <c r="O304" i="2"/>
  <c r="N304" i="2"/>
  <c r="L304" i="2"/>
  <c r="S303" i="2"/>
  <c r="R303" i="2"/>
  <c r="Q303" i="2"/>
  <c r="O303" i="2"/>
  <c r="N303" i="2"/>
  <c r="L303" i="2"/>
  <c r="S302" i="2"/>
  <c r="R302" i="2"/>
  <c r="Q302" i="2"/>
  <c r="O302" i="2"/>
  <c r="N302" i="2"/>
  <c r="L302" i="2"/>
  <c r="S301" i="2"/>
  <c r="R301" i="2"/>
  <c r="Q301" i="2"/>
  <c r="O301" i="2"/>
  <c r="N301" i="2"/>
  <c r="L301" i="2"/>
  <c r="S300" i="2"/>
  <c r="R300" i="2"/>
  <c r="Q300" i="2"/>
  <c r="O300" i="2"/>
  <c r="N300" i="2"/>
  <c r="L300" i="2"/>
  <c r="S299" i="2"/>
  <c r="R299" i="2"/>
  <c r="Q299" i="2"/>
  <c r="O299" i="2"/>
  <c r="N299" i="2"/>
  <c r="L299" i="2"/>
  <c r="S298" i="2"/>
  <c r="R298" i="2"/>
  <c r="Q298" i="2"/>
  <c r="O298" i="2"/>
  <c r="N298" i="2"/>
  <c r="L298" i="2"/>
  <c r="S297" i="2"/>
  <c r="R297" i="2"/>
  <c r="Q297" i="2"/>
  <c r="O297" i="2"/>
  <c r="N297" i="2"/>
  <c r="L297" i="2"/>
  <c r="S296" i="2"/>
  <c r="R296" i="2"/>
  <c r="Q296" i="2"/>
  <c r="O296" i="2"/>
  <c r="N296" i="2"/>
  <c r="L296" i="2"/>
  <c r="S295" i="2"/>
  <c r="R295" i="2"/>
  <c r="Q295" i="2"/>
  <c r="O295" i="2"/>
  <c r="N295" i="2"/>
  <c r="L295" i="2"/>
  <c r="S294" i="2"/>
  <c r="R294" i="2"/>
  <c r="Q294" i="2"/>
  <c r="O294" i="2"/>
  <c r="N294" i="2"/>
  <c r="L294" i="2"/>
  <c r="S293" i="2"/>
  <c r="R293" i="2"/>
  <c r="Q293" i="2"/>
  <c r="O293" i="2"/>
  <c r="N293" i="2"/>
  <c r="L293" i="2"/>
  <c r="S292" i="2"/>
  <c r="R292" i="2"/>
  <c r="Q292" i="2"/>
  <c r="O292" i="2"/>
  <c r="N292" i="2"/>
  <c r="L292" i="2"/>
  <c r="S291" i="2"/>
  <c r="R291" i="2"/>
  <c r="Q291" i="2"/>
  <c r="O291" i="2"/>
  <c r="N291" i="2"/>
  <c r="L291" i="2"/>
  <c r="S290" i="2"/>
  <c r="R290" i="2"/>
  <c r="Q290" i="2"/>
  <c r="O290" i="2"/>
  <c r="N290" i="2"/>
  <c r="L290" i="2"/>
  <c r="S289" i="2"/>
  <c r="R289" i="2"/>
  <c r="Q289" i="2"/>
  <c r="O289" i="2"/>
  <c r="N289" i="2"/>
  <c r="L289" i="2"/>
  <c r="S288" i="2"/>
  <c r="R288" i="2"/>
  <c r="Q288" i="2"/>
  <c r="O288" i="2"/>
  <c r="N288" i="2"/>
  <c r="L288" i="2"/>
  <c r="S287" i="2"/>
  <c r="R287" i="2"/>
  <c r="Q287" i="2"/>
  <c r="O287" i="2"/>
  <c r="N287" i="2"/>
  <c r="L287" i="2"/>
  <c r="S286" i="2"/>
  <c r="R286" i="2"/>
  <c r="Q286" i="2"/>
  <c r="O286" i="2"/>
  <c r="N286" i="2"/>
  <c r="L286" i="2"/>
  <c r="S285" i="2"/>
  <c r="R285" i="2"/>
  <c r="Q285" i="2"/>
  <c r="O285" i="2"/>
  <c r="N285" i="2"/>
  <c r="L285" i="2"/>
  <c r="S284" i="2"/>
  <c r="R284" i="2"/>
  <c r="Q284" i="2"/>
  <c r="O284" i="2"/>
  <c r="N284" i="2"/>
  <c r="L284" i="2"/>
  <c r="S283" i="2"/>
  <c r="R283" i="2"/>
  <c r="Q283" i="2"/>
  <c r="O283" i="2"/>
  <c r="N283" i="2"/>
  <c r="L283" i="2"/>
  <c r="S282" i="2"/>
  <c r="R282" i="2"/>
  <c r="Q282" i="2"/>
  <c r="O282" i="2"/>
  <c r="N282" i="2"/>
  <c r="L282" i="2"/>
  <c r="S281" i="2"/>
  <c r="R281" i="2"/>
  <c r="Q281" i="2"/>
  <c r="O281" i="2"/>
  <c r="N281" i="2"/>
  <c r="L281" i="2"/>
  <c r="S280" i="2"/>
  <c r="R280" i="2"/>
  <c r="Q280" i="2"/>
  <c r="O280" i="2"/>
  <c r="N280" i="2"/>
  <c r="L280" i="2"/>
  <c r="S279" i="2"/>
  <c r="R279" i="2"/>
  <c r="Q279" i="2"/>
  <c r="O279" i="2"/>
  <c r="N279" i="2"/>
  <c r="L279" i="2"/>
  <c r="S278" i="2"/>
  <c r="R278" i="2"/>
  <c r="Q278" i="2"/>
  <c r="O278" i="2"/>
  <c r="N278" i="2"/>
  <c r="L278" i="2"/>
  <c r="S277" i="2"/>
  <c r="R277" i="2"/>
  <c r="Q277" i="2"/>
  <c r="O277" i="2"/>
  <c r="N277" i="2"/>
  <c r="L277" i="2"/>
  <c r="S276" i="2"/>
  <c r="R276" i="2"/>
  <c r="Q276" i="2"/>
  <c r="O276" i="2"/>
  <c r="N276" i="2"/>
  <c r="L276" i="2"/>
  <c r="S275" i="2"/>
  <c r="R275" i="2"/>
  <c r="Q275" i="2"/>
  <c r="O275" i="2"/>
  <c r="N275" i="2"/>
  <c r="L275" i="2"/>
  <c r="S274" i="2"/>
  <c r="R274" i="2"/>
  <c r="Q274" i="2"/>
  <c r="O274" i="2"/>
  <c r="N274" i="2"/>
  <c r="L274" i="2"/>
  <c r="S273" i="2"/>
  <c r="R273" i="2"/>
  <c r="Q273" i="2"/>
  <c r="O273" i="2"/>
  <c r="N273" i="2"/>
  <c r="L273" i="2"/>
  <c r="S272" i="2"/>
  <c r="R272" i="2"/>
  <c r="Q272" i="2"/>
  <c r="O272" i="2"/>
  <c r="N272" i="2"/>
  <c r="L272" i="2"/>
  <c r="S271" i="2"/>
  <c r="R271" i="2"/>
  <c r="Q271" i="2"/>
  <c r="O271" i="2"/>
  <c r="N271" i="2"/>
  <c r="L271" i="2"/>
  <c r="S270" i="2"/>
  <c r="R270" i="2"/>
  <c r="Q270" i="2"/>
  <c r="O270" i="2"/>
  <c r="N270" i="2"/>
  <c r="L270" i="2"/>
  <c r="S269" i="2"/>
  <c r="R269" i="2"/>
  <c r="Q269" i="2"/>
  <c r="O269" i="2"/>
  <c r="N269" i="2"/>
  <c r="L269" i="2"/>
  <c r="S268" i="2"/>
  <c r="R268" i="2"/>
  <c r="Q268" i="2"/>
  <c r="O268" i="2"/>
  <c r="N268" i="2"/>
  <c r="L268" i="2"/>
  <c r="S267" i="2"/>
  <c r="R267" i="2"/>
  <c r="Q267" i="2"/>
  <c r="O267" i="2"/>
  <c r="N267" i="2"/>
  <c r="L267" i="2"/>
  <c r="S266" i="2"/>
  <c r="R266" i="2"/>
  <c r="Q266" i="2"/>
  <c r="O266" i="2"/>
  <c r="N266" i="2"/>
  <c r="L266" i="2"/>
  <c r="S265" i="2"/>
  <c r="R265" i="2"/>
  <c r="Q265" i="2"/>
  <c r="O265" i="2"/>
  <c r="N265" i="2"/>
  <c r="L265" i="2"/>
  <c r="S264" i="2"/>
  <c r="R264" i="2"/>
  <c r="Q264" i="2"/>
  <c r="O264" i="2"/>
  <c r="N264" i="2"/>
  <c r="L264" i="2"/>
  <c r="S263" i="2"/>
  <c r="R263" i="2"/>
  <c r="Q263" i="2"/>
  <c r="O263" i="2"/>
  <c r="N263" i="2"/>
  <c r="L263" i="2"/>
  <c r="S262" i="2"/>
  <c r="R262" i="2"/>
  <c r="Q262" i="2"/>
  <c r="O262" i="2"/>
  <c r="N262" i="2"/>
  <c r="L262" i="2"/>
  <c r="S261" i="2"/>
  <c r="R261" i="2"/>
  <c r="Q261" i="2"/>
  <c r="O261" i="2"/>
  <c r="N261" i="2"/>
  <c r="L261" i="2"/>
  <c r="S260" i="2"/>
  <c r="R260" i="2"/>
  <c r="Q260" i="2"/>
  <c r="O260" i="2"/>
  <c r="N260" i="2"/>
  <c r="L260" i="2"/>
  <c r="S259" i="2"/>
  <c r="R259" i="2"/>
  <c r="Q259" i="2"/>
  <c r="O259" i="2"/>
  <c r="N259" i="2"/>
  <c r="L259" i="2"/>
  <c r="S258" i="2"/>
  <c r="R258" i="2"/>
  <c r="Q258" i="2"/>
  <c r="O258" i="2"/>
  <c r="N258" i="2"/>
  <c r="L258" i="2"/>
  <c r="S257" i="2"/>
  <c r="R257" i="2"/>
  <c r="Q257" i="2"/>
  <c r="O257" i="2"/>
  <c r="N257" i="2"/>
  <c r="L257" i="2"/>
  <c r="S256" i="2"/>
  <c r="R256" i="2"/>
  <c r="Q256" i="2"/>
  <c r="O256" i="2"/>
  <c r="N256" i="2"/>
  <c r="L256" i="2"/>
  <c r="S255" i="2"/>
  <c r="R255" i="2"/>
  <c r="Q255" i="2"/>
  <c r="O255" i="2"/>
  <c r="N255" i="2"/>
  <c r="L255" i="2"/>
  <c r="S254" i="2"/>
  <c r="R254" i="2"/>
  <c r="Q254" i="2"/>
  <c r="O254" i="2"/>
  <c r="N254" i="2"/>
  <c r="L254" i="2"/>
  <c r="S253" i="2"/>
  <c r="R253" i="2"/>
  <c r="Q253" i="2"/>
  <c r="O253" i="2"/>
  <c r="N253" i="2"/>
  <c r="L253" i="2"/>
  <c r="S252" i="2"/>
  <c r="R252" i="2"/>
  <c r="Q252" i="2"/>
  <c r="O252" i="2"/>
  <c r="N252" i="2"/>
  <c r="L252" i="2"/>
  <c r="S251" i="2"/>
  <c r="R251" i="2"/>
  <c r="Q251" i="2"/>
  <c r="O251" i="2"/>
  <c r="N251" i="2"/>
  <c r="L251" i="2"/>
  <c r="S250" i="2"/>
  <c r="R250" i="2"/>
  <c r="Q250" i="2"/>
  <c r="O250" i="2"/>
  <c r="N250" i="2"/>
  <c r="L250" i="2"/>
  <c r="S249" i="2"/>
  <c r="R249" i="2"/>
  <c r="Q249" i="2"/>
  <c r="O249" i="2"/>
  <c r="N249" i="2"/>
  <c r="L249" i="2"/>
  <c r="S248" i="2"/>
  <c r="R248" i="2"/>
  <c r="Q248" i="2"/>
  <c r="O248" i="2"/>
  <c r="N248" i="2"/>
  <c r="L248" i="2"/>
  <c r="S247" i="2"/>
  <c r="R247" i="2"/>
  <c r="Q247" i="2"/>
  <c r="O247" i="2"/>
  <c r="N247" i="2"/>
  <c r="L247" i="2"/>
  <c r="S246" i="2"/>
  <c r="R246" i="2"/>
  <c r="Q246" i="2"/>
  <c r="O246" i="2"/>
  <c r="N246" i="2"/>
  <c r="L246" i="2"/>
  <c r="S245" i="2"/>
  <c r="R245" i="2"/>
  <c r="Q245" i="2"/>
  <c r="O245" i="2"/>
  <c r="N245" i="2"/>
  <c r="L245" i="2"/>
  <c r="S244" i="2"/>
  <c r="R244" i="2"/>
  <c r="Q244" i="2"/>
  <c r="O244" i="2"/>
  <c r="N244" i="2"/>
  <c r="L244" i="2"/>
  <c r="S243" i="2"/>
  <c r="R243" i="2"/>
  <c r="Q243" i="2"/>
  <c r="O243" i="2"/>
  <c r="N243" i="2"/>
  <c r="L243" i="2"/>
  <c r="S242" i="2"/>
  <c r="R242" i="2"/>
  <c r="Q242" i="2"/>
  <c r="O242" i="2"/>
  <c r="N242" i="2"/>
  <c r="L242" i="2"/>
  <c r="S241" i="2"/>
  <c r="R241" i="2"/>
  <c r="Q241" i="2"/>
  <c r="O241" i="2"/>
  <c r="N241" i="2"/>
  <c r="L241" i="2"/>
  <c r="S240" i="2"/>
  <c r="R240" i="2"/>
  <c r="Q240" i="2"/>
  <c r="O240" i="2"/>
  <c r="N240" i="2"/>
  <c r="L240" i="2"/>
  <c r="S239" i="2"/>
  <c r="R239" i="2"/>
  <c r="Q239" i="2"/>
  <c r="O239" i="2"/>
  <c r="N239" i="2"/>
  <c r="L239" i="2"/>
  <c r="S238" i="2"/>
  <c r="R238" i="2"/>
  <c r="Q238" i="2"/>
  <c r="O238" i="2"/>
  <c r="N238" i="2"/>
  <c r="L238" i="2"/>
  <c r="S237" i="2"/>
  <c r="R237" i="2"/>
  <c r="Q237" i="2"/>
  <c r="O237" i="2"/>
  <c r="N237" i="2"/>
  <c r="L237" i="2"/>
  <c r="S236" i="2"/>
  <c r="R236" i="2"/>
  <c r="Q236" i="2"/>
  <c r="O236" i="2"/>
  <c r="N236" i="2"/>
  <c r="L236" i="2"/>
  <c r="S235" i="2"/>
  <c r="R235" i="2"/>
  <c r="Q235" i="2"/>
  <c r="O235" i="2"/>
  <c r="N235" i="2"/>
  <c r="L235" i="2"/>
  <c r="S234" i="2"/>
  <c r="R234" i="2"/>
  <c r="Q234" i="2"/>
  <c r="O234" i="2"/>
  <c r="N234" i="2"/>
  <c r="L234" i="2"/>
  <c r="S233" i="2"/>
  <c r="R233" i="2"/>
  <c r="Q233" i="2"/>
  <c r="O233" i="2"/>
  <c r="N233" i="2"/>
  <c r="L233" i="2"/>
  <c r="S232" i="2"/>
  <c r="R232" i="2"/>
  <c r="Q232" i="2"/>
  <c r="O232" i="2"/>
  <c r="N232" i="2"/>
  <c r="L232" i="2"/>
  <c r="S231" i="2"/>
  <c r="R231" i="2"/>
  <c r="Q231" i="2"/>
  <c r="O231" i="2"/>
  <c r="N231" i="2"/>
  <c r="L231" i="2"/>
  <c r="S230" i="2"/>
  <c r="R230" i="2"/>
  <c r="Q230" i="2"/>
  <c r="O230" i="2"/>
  <c r="N230" i="2"/>
  <c r="L230" i="2"/>
  <c r="S229" i="2"/>
  <c r="R229" i="2"/>
  <c r="Q229" i="2"/>
  <c r="O229" i="2"/>
  <c r="N229" i="2"/>
  <c r="L229" i="2"/>
  <c r="S228" i="2"/>
  <c r="R228" i="2"/>
  <c r="Q228" i="2"/>
  <c r="O228" i="2"/>
  <c r="N228" i="2"/>
  <c r="L228" i="2"/>
  <c r="S227" i="2"/>
  <c r="R227" i="2"/>
  <c r="Q227" i="2"/>
  <c r="O227" i="2"/>
  <c r="N227" i="2"/>
  <c r="L227" i="2"/>
  <c r="S226" i="2"/>
  <c r="R226" i="2"/>
  <c r="Q226" i="2"/>
  <c r="O226" i="2"/>
  <c r="N226" i="2"/>
  <c r="L226" i="2"/>
  <c r="S225" i="2"/>
  <c r="R225" i="2"/>
  <c r="Q225" i="2"/>
  <c r="O225" i="2"/>
  <c r="N225" i="2"/>
  <c r="L225" i="2"/>
  <c r="S224" i="2"/>
  <c r="R224" i="2"/>
  <c r="Q224" i="2"/>
  <c r="O224" i="2"/>
  <c r="N224" i="2"/>
  <c r="L224" i="2"/>
  <c r="S223" i="2"/>
  <c r="R223" i="2"/>
  <c r="Q223" i="2"/>
  <c r="O223" i="2"/>
  <c r="N223" i="2"/>
  <c r="L223" i="2"/>
  <c r="S222" i="2"/>
  <c r="R222" i="2"/>
  <c r="Q222" i="2"/>
  <c r="O222" i="2"/>
  <c r="N222" i="2"/>
  <c r="L222" i="2"/>
  <c r="S221" i="2"/>
  <c r="R221" i="2"/>
  <c r="Q221" i="2"/>
  <c r="O221" i="2"/>
  <c r="N221" i="2"/>
  <c r="L221" i="2"/>
  <c r="S220" i="2"/>
  <c r="R220" i="2"/>
  <c r="Q220" i="2"/>
  <c r="O220" i="2"/>
  <c r="N220" i="2"/>
  <c r="L220" i="2"/>
  <c r="S219" i="2"/>
  <c r="R219" i="2"/>
  <c r="Q219" i="2"/>
  <c r="O219" i="2"/>
  <c r="N219" i="2"/>
  <c r="L219" i="2"/>
  <c r="S218" i="2"/>
  <c r="R218" i="2"/>
  <c r="Q218" i="2"/>
  <c r="O218" i="2"/>
  <c r="N218" i="2"/>
  <c r="L218" i="2"/>
  <c r="S217" i="2"/>
  <c r="R217" i="2"/>
  <c r="Q217" i="2"/>
  <c r="O217" i="2"/>
  <c r="N217" i="2"/>
  <c r="L217" i="2"/>
  <c r="S216" i="2"/>
  <c r="R216" i="2"/>
  <c r="Q216" i="2"/>
  <c r="O216" i="2"/>
  <c r="N216" i="2"/>
  <c r="L216" i="2"/>
  <c r="S215" i="2"/>
  <c r="R215" i="2"/>
  <c r="Q215" i="2"/>
  <c r="O215" i="2"/>
  <c r="N215" i="2"/>
  <c r="L215" i="2"/>
  <c r="S214" i="2"/>
  <c r="R214" i="2"/>
  <c r="Q214" i="2"/>
  <c r="O214" i="2"/>
  <c r="N214" i="2"/>
  <c r="L214" i="2"/>
  <c r="S213" i="2"/>
  <c r="R213" i="2"/>
  <c r="Q213" i="2"/>
  <c r="O213" i="2"/>
  <c r="N213" i="2"/>
  <c r="L213" i="2"/>
  <c r="S212" i="2"/>
  <c r="R212" i="2"/>
  <c r="Q212" i="2"/>
  <c r="O212" i="2"/>
  <c r="N212" i="2"/>
  <c r="L212" i="2"/>
  <c r="S211" i="2"/>
  <c r="R211" i="2"/>
  <c r="Q211" i="2"/>
  <c r="O211" i="2"/>
  <c r="N211" i="2"/>
  <c r="L211" i="2"/>
  <c r="S210" i="2"/>
  <c r="R210" i="2"/>
  <c r="Q210" i="2"/>
  <c r="O210" i="2"/>
  <c r="N210" i="2"/>
  <c r="L210" i="2"/>
  <c r="S209" i="2"/>
  <c r="R209" i="2"/>
  <c r="Q209" i="2"/>
  <c r="O209" i="2"/>
  <c r="N209" i="2"/>
  <c r="L209" i="2"/>
  <c r="S208" i="2"/>
  <c r="R208" i="2"/>
  <c r="Q208" i="2"/>
  <c r="O208" i="2"/>
  <c r="N208" i="2"/>
  <c r="L208" i="2"/>
  <c r="S207" i="2"/>
  <c r="R207" i="2"/>
  <c r="Q207" i="2"/>
  <c r="O207" i="2"/>
  <c r="N207" i="2"/>
  <c r="L207" i="2"/>
  <c r="S206" i="2"/>
  <c r="R206" i="2"/>
  <c r="Q206" i="2"/>
  <c r="O206" i="2"/>
  <c r="N206" i="2"/>
  <c r="L206" i="2"/>
  <c r="S205" i="2"/>
  <c r="R205" i="2"/>
  <c r="Q205" i="2"/>
  <c r="O205" i="2"/>
  <c r="N205" i="2"/>
  <c r="L205" i="2"/>
  <c r="S204" i="2"/>
  <c r="R204" i="2"/>
  <c r="Q204" i="2"/>
  <c r="O204" i="2"/>
  <c r="N204" i="2"/>
  <c r="L204" i="2"/>
  <c r="S203" i="2"/>
  <c r="R203" i="2"/>
  <c r="Q203" i="2"/>
  <c r="O203" i="2"/>
  <c r="N203" i="2"/>
  <c r="L203" i="2"/>
  <c r="S202" i="2"/>
  <c r="R202" i="2"/>
  <c r="Q202" i="2"/>
  <c r="O202" i="2"/>
  <c r="N202" i="2"/>
  <c r="L202" i="2"/>
  <c r="S201" i="2"/>
  <c r="R201" i="2"/>
  <c r="Q201" i="2"/>
  <c r="O201" i="2"/>
  <c r="N201" i="2"/>
  <c r="L201" i="2"/>
  <c r="S200" i="2"/>
  <c r="R200" i="2"/>
  <c r="Q200" i="2"/>
  <c r="O200" i="2"/>
  <c r="N200" i="2"/>
  <c r="L200" i="2"/>
  <c r="S199" i="2"/>
  <c r="R199" i="2"/>
  <c r="Q199" i="2"/>
  <c r="O199" i="2"/>
  <c r="N199" i="2"/>
  <c r="L199" i="2"/>
  <c r="S198" i="2"/>
  <c r="R198" i="2"/>
  <c r="Q198" i="2"/>
  <c r="O198" i="2"/>
  <c r="N198" i="2"/>
  <c r="L198" i="2"/>
  <c r="S197" i="2"/>
  <c r="R197" i="2"/>
  <c r="Q197" i="2"/>
  <c r="O197" i="2"/>
  <c r="N197" i="2"/>
  <c r="L197" i="2"/>
  <c r="S196" i="2"/>
  <c r="R196" i="2"/>
  <c r="Q196" i="2"/>
  <c r="O196" i="2"/>
  <c r="N196" i="2"/>
  <c r="L196" i="2"/>
  <c r="S195" i="2"/>
  <c r="R195" i="2"/>
  <c r="Q195" i="2"/>
  <c r="O195" i="2"/>
  <c r="N195" i="2"/>
  <c r="L195" i="2"/>
  <c r="S194" i="2"/>
  <c r="R194" i="2"/>
  <c r="Q194" i="2"/>
  <c r="O194" i="2"/>
  <c r="N194" i="2"/>
  <c r="L194" i="2"/>
  <c r="S193" i="2"/>
  <c r="R193" i="2"/>
  <c r="Q193" i="2"/>
  <c r="O193" i="2"/>
  <c r="N193" i="2"/>
  <c r="L193" i="2"/>
  <c r="S192" i="2"/>
  <c r="R192" i="2"/>
  <c r="Q192" i="2"/>
  <c r="O192" i="2"/>
  <c r="N192" i="2"/>
  <c r="L192" i="2"/>
  <c r="S191" i="2"/>
  <c r="R191" i="2"/>
  <c r="Q191" i="2"/>
  <c r="O191" i="2"/>
  <c r="N191" i="2"/>
  <c r="L191" i="2"/>
  <c r="S190" i="2"/>
  <c r="R190" i="2"/>
  <c r="Q190" i="2"/>
  <c r="O190" i="2"/>
  <c r="N190" i="2"/>
  <c r="L190" i="2"/>
  <c r="S189" i="2"/>
  <c r="R189" i="2"/>
  <c r="Q189" i="2"/>
  <c r="O189" i="2"/>
  <c r="N189" i="2"/>
  <c r="L189" i="2"/>
  <c r="S188" i="2"/>
  <c r="R188" i="2"/>
  <c r="Q188" i="2"/>
  <c r="O188" i="2"/>
  <c r="N188" i="2"/>
  <c r="L188" i="2"/>
  <c r="S187" i="2"/>
  <c r="R187" i="2"/>
  <c r="Q187" i="2"/>
  <c r="O187" i="2"/>
  <c r="N187" i="2"/>
  <c r="L187" i="2"/>
  <c r="S186" i="2"/>
  <c r="R186" i="2"/>
  <c r="Q186" i="2"/>
  <c r="O186" i="2"/>
  <c r="N186" i="2"/>
  <c r="L186" i="2"/>
  <c r="S185" i="2"/>
  <c r="R185" i="2"/>
  <c r="Q185" i="2"/>
  <c r="O185" i="2"/>
  <c r="N185" i="2"/>
  <c r="L185" i="2"/>
  <c r="S184" i="2"/>
  <c r="R184" i="2"/>
  <c r="Q184" i="2"/>
  <c r="O184" i="2"/>
  <c r="N184" i="2"/>
  <c r="L184" i="2"/>
  <c r="S183" i="2"/>
  <c r="R183" i="2"/>
  <c r="Q183" i="2"/>
  <c r="O183" i="2"/>
  <c r="N183" i="2"/>
  <c r="L183" i="2"/>
  <c r="S182" i="2"/>
  <c r="R182" i="2"/>
  <c r="Q182" i="2"/>
  <c r="O182" i="2"/>
  <c r="N182" i="2"/>
  <c r="L182" i="2"/>
  <c r="S181" i="2"/>
  <c r="R181" i="2"/>
  <c r="Q181" i="2"/>
  <c r="O181" i="2"/>
  <c r="N181" i="2"/>
  <c r="L181" i="2"/>
  <c r="S180" i="2"/>
  <c r="R180" i="2"/>
  <c r="Q180" i="2"/>
  <c r="O180" i="2"/>
  <c r="N180" i="2"/>
  <c r="L180" i="2"/>
  <c r="S179" i="2"/>
  <c r="R179" i="2"/>
  <c r="Q179" i="2"/>
  <c r="O179" i="2"/>
  <c r="N179" i="2"/>
  <c r="L179" i="2"/>
  <c r="S178" i="2"/>
  <c r="R178" i="2"/>
  <c r="Q178" i="2"/>
  <c r="O178" i="2"/>
  <c r="N178" i="2"/>
  <c r="L178" i="2"/>
  <c r="S177" i="2"/>
  <c r="R177" i="2"/>
  <c r="Q177" i="2"/>
  <c r="O177" i="2"/>
  <c r="N177" i="2"/>
  <c r="L177" i="2"/>
  <c r="S176" i="2"/>
  <c r="R176" i="2"/>
  <c r="Q176" i="2"/>
  <c r="O176" i="2"/>
  <c r="N176" i="2"/>
  <c r="L176" i="2"/>
  <c r="S175" i="2"/>
  <c r="R175" i="2"/>
  <c r="Q175" i="2"/>
  <c r="O175" i="2"/>
  <c r="N175" i="2"/>
  <c r="L175" i="2"/>
  <c r="S174" i="2"/>
  <c r="R174" i="2"/>
  <c r="Q174" i="2"/>
  <c r="O174" i="2"/>
  <c r="N174" i="2"/>
  <c r="L174" i="2"/>
  <c r="S173" i="2"/>
  <c r="R173" i="2"/>
  <c r="Q173" i="2"/>
  <c r="O173" i="2"/>
  <c r="N173" i="2"/>
  <c r="L173" i="2"/>
  <c r="S172" i="2"/>
  <c r="R172" i="2"/>
  <c r="Q172" i="2"/>
  <c r="O172" i="2"/>
  <c r="N172" i="2"/>
  <c r="L172" i="2"/>
  <c r="S171" i="2"/>
  <c r="R171" i="2"/>
  <c r="Q171" i="2"/>
  <c r="O171" i="2"/>
  <c r="N171" i="2"/>
  <c r="L171" i="2"/>
  <c r="S170" i="2"/>
  <c r="R170" i="2"/>
  <c r="Q170" i="2"/>
  <c r="O170" i="2"/>
  <c r="N170" i="2"/>
  <c r="L170" i="2"/>
  <c r="S169" i="2"/>
  <c r="R169" i="2"/>
  <c r="Q169" i="2"/>
  <c r="O169" i="2"/>
  <c r="N169" i="2"/>
  <c r="L169" i="2"/>
  <c r="S168" i="2"/>
  <c r="R168" i="2"/>
  <c r="Q168" i="2"/>
  <c r="O168" i="2"/>
  <c r="N168" i="2"/>
  <c r="L168" i="2"/>
  <c r="S167" i="2"/>
  <c r="R167" i="2"/>
  <c r="Q167" i="2"/>
  <c r="O167" i="2"/>
  <c r="N167" i="2"/>
  <c r="L167" i="2"/>
  <c r="S166" i="2"/>
  <c r="R166" i="2"/>
  <c r="Q166" i="2"/>
  <c r="O166" i="2"/>
  <c r="N166" i="2"/>
  <c r="L166" i="2"/>
  <c r="S165" i="2"/>
  <c r="R165" i="2"/>
  <c r="Q165" i="2"/>
  <c r="O165" i="2"/>
  <c r="N165" i="2"/>
  <c r="L165" i="2"/>
  <c r="S164" i="2"/>
  <c r="R164" i="2"/>
  <c r="Q164" i="2"/>
  <c r="O164" i="2"/>
  <c r="N164" i="2"/>
  <c r="L164" i="2"/>
  <c r="S163" i="2"/>
  <c r="R163" i="2"/>
  <c r="J24" i="1" s="1"/>
  <c r="Q163" i="2"/>
  <c r="I24" i="1" s="1"/>
  <c r="O163" i="2"/>
  <c r="H24" i="1" s="1"/>
  <c r="N163" i="2"/>
  <c r="G24" i="1" s="1"/>
  <c r="L163" i="2"/>
  <c r="F24" i="1" s="1"/>
  <c r="S162" i="2"/>
  <c r="R162" i="2"/>
  <c r="Q162" i="2"/>
  <c r="O162" i="2"/>
  <c r="N162" i="2"/>
  <c r="L162" i="2"/>
  <c r="S161" i="2"/>
  <c r="R161" i="2"/>
  <c r="Q161" i="2"/>
  <c r="O161" i="2"/>
  <c r="N161" i="2"/>
  <c r="L161" i="2"/>
  <c r="S160" i="2"/>
  <c r="R160" i="2"/>
  <c r="Q160" i="2"/>
  <c r="O160" i="2"/>
  <c r="N160" i="2"/>
  <c r="L160" i="2"/>
  <c r="S159" i="2"/>
  <c r="R159" i="2"/>
  <c r="Q159" i="2"/>
  <c r="O159" i="2"/>
  <c r="N159" i="2"/>
  <c r="L159" i="2"/>
  <c r="S158" i="2"/>
  <c r="R158" i="2"/>
  <c r="Q158" i="2"/>
  <c r="O158" i="2"/>
  <c r="N158" i="2"/>
  <c r="L158" i="2"/>
  <c r="S157" i="2"/>
  <c r="R157" i="2"/>
  <c r="Q157" i="2"/>
  <c r="O157" i="2"/>
  <c r="N157" i="2"/>
  <c r="L157" i="2"/>
  <c r="S156" i="2"/>
  <c r="R156" i="2"/>
  <c r="Q156" i="2"/>
  <c r="O156" i="2"/>
  <c r="N156" i="2"/>
  <c r="L156" i="2"/>
  <c r="S155" i="2"/>
  <c r="R155" i="2"/>
  <c r="Q155" i="2"/>
  <c r="O155" i="2"/>
  <c r="N155" i="2"/>
  <c r="L155" i="2"/>
  <c r="S154" i="2"/>
  <c r="R154" i="2"/>
  <c r="Q154" i="2"/>
  <c r="O154" i="2"/>
  <c r="N154" i="2"/>
  <c r="L154" i="2"/>
  <c r="S153" i="2"/>
  <c r="R153" i="2"/>
  <c r="Q153" i="2"/>
  <c r="O153" i="2"/>
  <c r="N153" i="2"/>
  <c r="L153" i="2"/>
  <c r="S152" i="2"/>
  <c r="R152" i="2"/>
  <c r="Q152" i="2"/>
  <c r="O152" i="2"/>
  <c r="N152" i="2"/>
  <c r="L152" i="2"/>
  <c r="S151" i="2"/>
  <c r="R151" i="2"/>
  <c r="Q151" i="2"/>
  <c r="O151" i="2"/>
  <c r="N151" i="2"/>
  <c r="L151" i="2"/>
  <c r="S150" i="2"/>
  <c r="R150" i="2"/>
  <c r="Q150" i="2"/>
  <c r="O150" i="2"/>
  <c r="N150" i="2"/>
  <c r="L150" i="2"/>
  <c r="S149" i="2"/>
  <c r="R149" i="2"/>
  <c r="Q149" i="2"/>
  <c r="O149" i="2"/>
  <c r="N149" i="2"/>
  <c r="L149" i="2"/>
  <c r="S148" i="2"/>
  <c r="R148" i="2"/>
  <c r="Q148" i="2"/>
  <c r="O148" i="2"/>
  <c r="N148" i="2"/>
  <c r="L148" i="2"/>
  <c r="S147" i="2"/>
  <c r="R147" i="2"/>
  <c r="Q147" i="2"/>
  <c r="O147" i="2"/>
  <c r="N147" i="2"/>
  <c r="L147" i="2"/>
  <c r="S146" i="2"/>
  <c r="R146" i="2"/>
  <c r="Q146" i="2"/>
  <c r="O146" i="2"/>
  <c r="N146" i="2"/>
  <c r="L146" i="2"/>
  <c r="S145" i="2"/>
  <c r="R145" i="2"/>
  <c r="Q145" i="2"/>
  <c r="O145" i="2"/>
  <c r="N145" i="2"/>
  <c r="L145" i="2"/>
  <c r="S144" i="2"/>
  <c r="R144" i="2"/>
  <c r="Q144" i="2"/>
  <c r="O144" i="2"/>
  <c r="N144" i="2"/>
  <c r="L144" i="2"/>
  <c r="S143" i="2"/>
  <c r="R143" i="2"/>
  <c r="Q143" i="2"/>
  <c r="O143" i="2"/>
  <c r="N143" i="2"/>
  <c r="L143" i="2"/>
  <c r="S142" i="2"/>
  <c r="R142" i="2"/>
  <c r="Q142" i="2"/>
  <c r="O142" i="2"/>
  <c r="N142" i="2"/>
  <c r="L142" i="2"/>
  <c r="S141" i="2"/>
  <c r="R141" i="2"/>
  <c r="Q141" i="2"/>
  <c r="O141" i="2"/>
  <c r="N141" i="2"/>
  <c r="L141" i="2"/>
  <c r="S140" i="2"/>
  <c r="R140" i="2"/>
  <c r="Q140" i="2"/>
  <c r="O140" i="2"/>
  <c r="N140" i="2"/>
  <c r="L140" i="2"/>
  <c r="S139" i="2"/>
  <c r="R139" i="2"/>
  <c r="Q139" i="2"/>
  <c r="O139" i="2"/>
  <c r="N139" i="2"/>
  <c r="L139" i="2"/>
  <c r="S138" i="2"/>
  <c r="R138" i="2"/>
  <c r="Q138" i="2"/>
  <c r="O138" i="2"/>
  <c r="N138" i="2"/>
  <c r="L138" i="2"/>
  <c r="S137" i="2"/>
  <c r="R137" i="2"/>
  <c r="Q137" i="2"/>
  <c r="O137" i="2"/>
  <c r="N137" i="2"/>
  <c r="L137" i="2"/>
  <c r="S136" i="2"/>
  <c r="R136" i="2"/>
  <c r="Q136" i="2"/>
  <c r="O136" i="2"/>
  <c r="N136" i="2"/>
  <c r="L136" i="2"/>
  <c r="S135" i="2"/>
  <c r="R135" i="2"/>
  <c r="Q135" i="2"/>
  <c r="O135" i="2"/>
  <c r="N135" i="2"/>
  <c r="L135" i="2"/>
  <c r="S134" i="2"/>
  <c r="R134" i="2"/>
  <c r="Q134" i="2"/>
  <c r="O134" i="2"/>
  <c r="N134" i="2"/>
  <c r="L134" i="2"/>
  <c r="S133" i="2"/>
  <c r="R133" i="2"/>
  <c r="Q133" i="2"/>
  <c r="O133" i="2"/>
  <c r="N133" i="2"/>
  <c r="L133" i="2"/>
  <c r="S132" i="2"/>
  <c r="R132" i="2"/>
  <c r="Q132" i="2"/>
  <c r="O132" i="2"/>
  <c r="N132" i="2"/>
  <c r="L132" i="2"/>
  <c r="S131" i="2"/>
  <c r="R131" i="2"/>
  <c r="Q131" i="2"/>
  <c r="I21" i="1" s="1"/>
  <c r="O131" i="2"/>
  <c r="H21" i="1" s="1"/>
  <c r="N131" i="2"/>
  <c r="G21" i="1" s="1"/>
  <c r="L131" i="2"/>
  <c r="F21" i="1" s="1"/>
  <c r="S130" i="2"/>
  <c r="R130" i="2"/>
  <c r="J22" i="1" s="1"/>
  <c r="Q130" i="2"/>
  <c r="I22" i="1" s="1"/>
  <c r="O130" i="2"/>
  <c r="H22" i="1" s="1"/>
  <c r="N130" i="2"/>
  <c r="G22" i="1" s="1"/>
  <c r="L130" i="2"/>
  <c r="F22" i="1" s="1"/>
  <c r="S129" i="2"/>
  <c r="R129" i="2"/>
  <c r="Q129" i="2"/>
  <c r="O129" i="2"/>
  <c r="N129" i="2"/>
  <c r="L129" i="2"/>
  <c r="S128" i="2"/>
  <c r="R128" i="2"/>
  <c r="Q128" i="2"/>
  <c r="O128" i="2"/>
  <c r="N128" i="2"/>
  <c r="L128" i="2"/>
  <c r="S127" i="2"/>
  <c r="R127" i="2"/>
  <c r="Q127" i="2"/>
  <c r="O127" i="2"/>
  <c r="N127" i="2"/>
  <c r="L127" i="2"/>
  <c r="S126" i="2"/>
  <c r="R126" i="2"/>
  <c r="Q126" i="2"/>
  <c r="O126" i="2"/>
  <c r="N126" i="2"/>
  <c r="L126" i="2"/>
  <c r="S125" i="2"/>
  <c r="R125" i="2"/>
  <c r="Q125" i="2"/>
  <c r="O125" i="2"/>
  <c r="N125" i="2"/>
  <c r="L125" i="2"/>
  <c r="S124" i="2"/>
  <c r="R124" i="2"/>
  <c r="Q124" i="2"/>
  <c r="O124" i="2"/>
  <c r="N124" i="2"/>
  <c r="L124" i="2"/>
  <c r="S123" i="2"/>
  <c r="R123" i="2"/>
  <c r="Q123" i="2"/>
  <c r="O123" i="2"/>
  <c r="N123" i="2"/>
  <c r="L123" i="2"/>
  <c r="S122" i="2"/>
  <c r="R122" i="2"/>
  <c r="Q122" i="2"/>
  <c r="O122" i="2"/>
  <c r="N122" i="2"/>
  <c r="L122" i="2"/>
  <c r="S121" i="2"/>
  <c r="R121" i="2"/>
  <c r="Q121" i="2"/>
  <c r="O121" i="2"/>
  <c r="N121" i="2"/>
  <c r="L121" i="2"/>
  <c r="S120" i="2"/>
  <c r="R120" i="2"/>
  <c r="Q120" i="2"/>
  <c r="O120" i="2"/>
  <c r="N120" i="2"/>
  <c r="L120" i="2"/>
  <c r="S119" i="2"/>
  <c r="R119" i="2"/>
  <c r="Q119" i="2"/>
  <c r="O119" i="2"/>
  <c r="N119" i="2"/>
  <c r="L119" i="2"/>
  <c r="S118" i="2"/>
  <c r="R118" i="2"/>
  <c r="Q118" i="2"/>
  <c r="O118" i="2"/>
  <c r="N118" i="2"/>
  <c r="L118" i="2"/>
  <c r="S117" i="2"/>
  <c r="R117" i="2"/>
  <c r="Q117" i="2"/>
  <c r="O117" i="2"/>
  <c r="N117" i="2"/>
  <c r="L117" i="2"/>
  <c r="S116" i="2"/>
  <c r="R116" i="2"/>
  <c r="Q116" i="2"/>
  <c r="O116" i="2"/>
  <c r="N116" i="2"/>
  <c r="L116" i="2"/>
  <c r="S115" i="2"/>
  <c r="R115" i="2"/>
  <c r="Q115" i="2"/>
  <c r="O115" i="2"/>
  <c r="N115" i="2"/>
  <c r="L115" i="2"/>
  <c r="S114" i="2"/>
  <c r="R114" i="2"/>
  <c r="Q114" i="2"/>
  <c r="O114" i="2"/>
  <c r="N114" i="2"/>
  <c r="L114" i="2"/>
  <c r="S113" i="2"/>
  <c r="R113" i="2"/>
  <c r="Q113" i="2"/>
  <c r="O113" i="2"/>
  <c r="N113" i="2"/>
  <c r="L113" i="2"/>
  <c r="S112" i="2"/>
  <c r="R112" i="2"/>
  <c r="Q112" i="2"/>
  <c r="O112" i="2"/>
  <c r="N112" i="2"/>
  <c r="L112" i="2"/>
  <c r="S111" i="2"/>
  <c r="R111" i="2"/>
  <c r="Q111" i="2"/>
  <c r="O111" i="2"/>
  <c r="N111" i="2"/>
  <c r="L111" i="2"/>
  <c r="S110" i="2"/>
  <c r="R110" i="2"/>
  <c r="Q110" i="2"/>
  <c r="O110" i="2"/>
  <c r="N110" i="2"/>
  <c r="L110" i="2"/>
  <c r="S109" i="2"/>
  <c r="R109" i="2"/>
  <c r="Q109" i="2"/>
  <c r="O109" i="2"/>
  <c r="N109" i="2"/>
  <c r="L109" i="2"/>
  <c r="S108" i="2"/>
  <c r="R108" i="2"/>
  <c r="Q108" i="2"/>
  <c r="O108" i="2"/>
  <c r="N108" i="2"/>
  <c r="L108" i="2"/>
  <c r="S107" i="2"/>
  <c r="R107" i="2"/>
  <c r="Q107" i="2"/>
  <c r="O107" i="2"/>
  <c r="N107" i="2"/>
  <c r="L107" i="2"/>
  <c r="S106" i="2"/>
  <c r="R106" i="2"/>
  <c r="Q106" i="2"/>
  <c r="O106" i="2"/>
  <c r="N106" i="2"/>
  <c r="L106" i="2"/>
  <c r="S105" i="2"/>
  <c r="R105" i="2"/>
  <c r="Q105" i="2"/>
  <c r="O105" i="2"/>
  <c r="N105" i="2"/>
  <c r="L105" i="2"/>
  <c r="S104" i="2"/>
  <c r="R104" i="2"/>
  <c r="Q104" i="2"/>
  <c r="O104" i="2"/>
  <c r="N104" i="2"/>
  <c r="L104" i="2"/>
  <c r="S103" i="2"/>
  <c r="R103" i="2"/>
  <c r="Q103" i="2"/>
  <c r="O103" i="2"/>
  <c r="N103" i="2"/>
  <c r="L103" i="2"/>
  <c r="S102" i="2"/>
  <c r="R102" i="2"/>
  <c r="Q102" i="2"/>
  <c r="O102" i="2"/>
  <c r="N102" i="2"/>
  <c r="L102" i="2"/>
  <c r="S101" i="2"/>
  <c r="R101" i="2"/>
  <c r="Q101" i="2"/>
  <c r="O101" i="2"/>
  <c r="N101" i="2"/>
  <c r="L101" i="2"/>
  <c r="S100" i="2"/>
  <c r="R100" i="2"/>
  <c r="Q100" i="2"/>
  <c r="O100" i="2"/>
  <c r="N100" i="2"/>
  <c r="L100" i="2"/>
  <c r="S99" i="2"/>
  <c r="R99" i="2"/>
  <c r="Q99" i="2"/>
  <c r="O99" i="2"/>
  <c r="N99" i="2"/>
  <c r="L99" i="2"/>
  <c r="S98" i="2"/>
  <c r="R98" i="2"/>
  <c r="Q98" i="2"/>
  <c r="O98" i="2"/>
  <c r="N98" i="2"/>
  <c r="L98" i="2"/>
  <c r="S97" i="2"/>
  <c r="R97" i="2"/>
  <c r="Q97" i="2"/>
  <c r="O97" i="2"/>
  <c r="N97" i="2"/>
  <c r="L97" i="2"/>
  <c r="S96" i="2"/>
  <c r="R96" i="2"/>
  <c r="J20" i="1" s="1"/>
  <c r="Q96" i="2"/>
  <c r="I20" i="1" s="1"/>
  <c r="O96" i="2"/>
  <c r="H20" i="1" s="1"/>
  <c r="N96" i="2"/>
  <c r="L96" i="2"/>
  <c r="S95" i="2"/>
  <c r="R95" i="2"/>
  <c r="Q95" i="2"/>
  <c r="O95" i="2"/>
  <c r="N95" i="2"/>
  <c r="L95" i="2"/>
  <c r="S94" i="2"/>
  <c r="R94" i="2"/>
  <c r="Q94" i="2"/>
  <c r="O94" i="2"/>
  <c r="N94" i="2"/>
  <c r="L94" i="2"/>
  <c r="S93" i="2"/>
  <c r="R93" i="2"/>
  <c r="Q93" i="2"/>
  <c r="O93" i="2"/>
  <c r="N93" i="2"/>
  <c r="L93" i="2"/>
  <c r="S92" i="2"/>
  <c r="R92" i="2"/>
  <c r="Q92" i="2"/>
  <c r="O92" i="2"/>
  <c r="N92" i="2"/>
  <c r="L92" i="2"/>
  <c r="S91" i="2"/>
  <c r="R91" i="2"/>
  <c r="Q91" i="2"/>
  <c r="O91" i="2"/>
  <c r="N91" i="2"/>
  <c r="L91" i="2"/>
  <c r="S90" i="2"/>
  <c r="R90" i="2"/>
  <c r="Q90" i="2"/>
  <c r="O90" i="2"/>
  <c r="N90" i="2"/>
  <c r="L90" i="2"/>
  <c r="S89" i="2"/>
  <c r="R89" i="2"/>
  <c r="Q89" i="2"/>
  <c r="O89" i="2"/>
  <c r="N89" i="2"/>
  <c r="L89" i="2"/>
  <c r="S88" i="2"/>
  <c r="R88" i="2"/>
  <c r="Q88" i="2"/>
  <c r="O88" i="2"/>
  <c r="N88" i="2"/>
  <c r="L88" i="2"/>
  <c r="S87" i="2"/>
  <c r="R87" i="2"/>
  <c r="Q87" i="2"/>
  <c r="O87" i="2"/>
  <c r="N87" i="2"/>
  <c r="L87" i="2"/>
  <c r="S86" i="2"/>
  <c r="R86" i="2"/>
  <c r="Q86" i="2"/>
  <c r="O86" i="2"/>
  <c r="N86" i="2"/>
  <c r="L86" i="2"/>
  <c r="S85" i="2"/>
  <c r="R85" i="2"/>
  <c r="Q85" i="2"/>
  <c r="O85" i="2"/>
  <c r="N85" i="2"/>
  <c r="L85" i="2"/>
  <c r="S84" i="2"/>
  <c r="R84" i="2"/>
  <c r="Q84" i="2"/>
  <c r="O84" i="2"/>
  <c r="N84" i="2"/>
  <c r="L84" i="2"/>
  <c r="S83" i="2"/>
  <c r="R83" i="2"/>
  <c r="Q83" i="2"/>
  <c r="O83" i="2"/>
  <c r="N83" i="2"/>
  <c r="L83" i="2"/>
  <c r="S82" i="2"/>
  <c r="R82" i="2"/>
  <c r="Q82" i="2"/>
  <c r="O82" i="2"/>
  <c r="N82" i="2"/>
  <c r="L82" i="2"/>
  <c r="S81" i="2"/>
  <c r="R81" i="2"/>
  <c r="Q81" i="2"/>
  <c r="O81" i="2"/>
  <c r="N81" i="2"/>
  <c r="L81" i="2"/>
  <c r="S80" i="2"/>
  <c r="R80" i="2"/>
  <c r="Q80" i="2"/>
  <c r="O80" i="2"/>
  <c r="N80" i="2"/>
  <c r="L80" i="2"/>
  <c r="S79" i="2"/>
  <c r="R79" i="2"/>
  <c r="Q79" i="2"/>
  <c r="O79" i="2"/>
  <c r="N79" i="2"/>
  <c r="L79" i="2"/>
  <c r="S78" i="2"/>
  <c r="R78" i="2"/>
  <c r="Q78" i="2"/>
  <c r="O78" i="2"/>
  <c r="N78" i="2"/>
  <c r="L78" i="2"/>
  <c r="S77" i="2"/>
  <c r="R77" i="2"/>
  <c r="Q77" i="2"/>
  <c r="O77" i="2"/>
  <c r="N77" i="2"/>
  <c r="L77" i="2"/>
  <c r="S76" i="2"/>
  <c r="R76" i="2"/>
  <c r="Q76" i="2"/>
  <c r="O76" i="2"/>
  <c r="N76" i="2"/>
  <c r="L76" i="2"/>
  <c r="S75" i="2"/>
  <c r="R75" i="2"/>
  <c r="Q75" i="2"/>
  <c r="O75" i="2"/>
  <c r="N75" i="2"/>
  <c r="L75" i="2"/>
  <c r="S74" i="2"/>
  <c r="R74" i="2"/>
  <c r="Q74" i="2"/>
  <c r="O74" i="2"/>
  <c r="N74" i="2"/>
  <c r="L74" i="2"/>
  <c r="S73" i="2"/>
  <c r="R73" i="2"/>
  <c r="Q73" i="2"/>
  <c r="O73" i="2"/>
  <c r="N73" i="2"/>
  <c r="L73" i="2"/>
  <c r="S72" i="2"/>
  <c r="R72" i="2"/>
  <c r="Q72" i="2"/>
  <c r="O72" i="2"/>
  <c r="N72" i="2"/>
  <c r="L72" i="2"/>
  <c r="S71" i="2"/>
  <c r="R71" i="2"/>
  <c r="Q71" i="2"/>
  <c r="O71" i="2"/>
  <c r="N71" i="2"/>
  <c r="L71" i="2"/>
  <c r="S70" i="2"/>
  <c r="R70" i="2"/>
  <c r="Q70" i="2"/>
  <c r="O70" i="2"/>
  <c r="N70" i="2"/>
  <c r="L70" i="2"/>
  <c r="S69" i="2"/>
  <c r="R69" i="2"/>
  <c r="Q69" i="2"/>
  <c r="O69" i="2"/>
  <c r="N69" i="2"/>
  <c r="L69" i="2"/>
  <c r="S68" i="2"/>
  <c r="R68" i="2"/>
  <c r="Q68" i="2"/>
  <c r="O68" i="2"/>
  <c r="N68" i="2"/>
  <c r="L68" i="2"/>
  <c r="S67" i="2"/>
  <c r="R67" i="2"/>
  <c r="Q67" i="2"/>
  <c r="O67" i="2"/>
  <c r="N67" i="2"/>
  <c r="L67" i="2"/>
  <c r="S66" i="2"/>
  <c r="R66" i="2"/>
  <c r="Q66" i="2"/>
  <c r="O66" i="2"/>
  <c r="N66" i="2"/>
  <c r="L66" i="2"/>
  <c r="S65" i="2"/>
  <c r="R65" i="2"/>
  <c r="Q65" i="2"/>
  <c r="O65" i="2"/>
  <c r="N65" i="2"/>
  <c r="L65" i="2"/>
  <c r="S64" i="2"/>
  <c r="R64" i="2"/>
  <c r="Q64" i="2"/>
  <c r="O64" i="2"/>
  <c r="N64" i="2"/>
  <c r="L64" i="2"/>
  <c r="S63" i="2"/>
  <c r="R63" i="2"/>
  <c r="Q63" i="2"/>
  <c r="O63" i="2"/>
  <c r="N63" i="2"/>
  <c r="L63" i="2"/>
  <c r="S62" i="2"/>
  <c r="R62" i="2"/>
  <c r="Q62" i="2"/>
  <c r="O62" i="2"/>
  <c r="N62" i="2"/>
  <c r="L62" i="2"/>
  <c r="S61" i="2"/>
  <c r="R61" i="2"/>
  <c r="Q61" i="2"/>
  <c r="O61" i="2"/>
  <c r="N61" i="2"/>
  <c r="L61" i="2"/>
  <c r="S60" i="2"/>
  <c r="R60" i="2"/>
  <c r="Q60" i="2"/>
  <c r="O60" i="2"/>
  <c r="N60" i="2"/>
  <c r="L60" i="2"/>
  <c r="S59" i="2"/>
  <c r="R59" i="2"/>
  <c r="Q59" i="2"/>
  <c r="O59" i="2"/>
  <c r="N59" i="2"/>
  <c r="L59" i="2"/>
  <c r="S58" i="2"/>
  <c r="R58" i="2"/>
  <c r="Q58" i="2"/>
  <c r="O58" i="2"/>
  <c r="N58" i="2"/>
  <c r="L58" i="2"/>
  <c r="S57" i="2"/>
  <c r="R57" i="2"/>
  <c r="Q57" i="2"/>
  <c r="O57" i="2"/>
  <c r="N57" i="2"/>
  <c r="L57" i="2"/>
  <c r="S56" i="2"/>
  <c r="R56" i="2"/>
  <c r="Q56" i="2"/>
  <c r="O56" i="2"/>
  <c r="N56" i="2"/>
  <c r="L56" i="2"/>
  <c r="S55" i="2"/>
  <c r="R55" i="2"/>
  <c r="Q55" i="2"/>
  <c r="O55" i="2"/>
  <c r="N55" i="2"/>
  <c r="L55" i="2"/>
  <c r="S54" i="2"/>
  <c r="R54" i="2"/>
  <c r="Q54" i="2"/>
  <c r="O54" i="2"/>
  <c r="N54" i="2"/>
  <c r="L54" i="2"/>
  <c r="S53" i="2"/>
  <c r="R53" i="2"/>
  <c r="Q53" i="2"/>
  <c r="O53" i="2"/>
  <c r="N53" i="2"/>
  <c r="L53" i="2"/>
  <c r="S52" i="2"/>
  <c r="R52" i="2"/>
  <c r="Q52" i="2"/>
  <c r="O52" i="2"/>
  <c r="N52" i="2"/>
  <c r="L52" i="2"/>
  <c r="S51" i="2"/>
  <c r="R51" i="2"/>
  <c r="Q51" i="2"/>
  <c r="O51" i="2"/>
  <c r="N51" i="2"/>
  <c r="L51" i="2"/>
  <c r="S50" i="2"/>
  <c r="R50" i="2"/>
  <c r="Q50" i="2"/>
  <c r="O50" i="2"/>
  <c r="N50" i="2"/>
  <c r="L50" i="2"/>
  <c r="S49" i="2"/>
  <c r="R49" i="2"/>
  <c r="Q49" i="2"/>
  <c r="O49" i="2"/>
  <c r="N49" i="2"/>
  <c r="L49" i="2"/>
  <c r="S48" i="2"/>
  <c r="R48" i="2"/>
  <c r="Q48" i="2"/>
  <c r="O48" i="2"/>
  <c r="N48" i="2"/>
  <c r="L48" i="2"/>
  <c r="S47" i="2"/>
  <c r="R47" i="2"/>
  <c r="Q47" i="2"/>
  <c r="O47" i="2"/>
  <c r="N47" i="2"/>
  <c r="L47" i="2"/>
  <c r="S46" i="2"/>
  <c r="R46" i="2"/>
  <c r="Q46" i="2"/>
  <c r="O46" i="2"/>
  <c r="N46" i="2"/>
  <c r="L46" i="2"/>
  <c r="S45" i="2"/>
  <c r="R45" i="2"/>
  <c r="Q45" i="2"/>
  <c r="O45" i="2"/>
  <c r="N45" i="2"/>
  <c r="L45" i="2"/>
  <c r="S44" i="2"/>
  <c r="R44" i="2"/>
  <c r="Q44" i="2"/>
  <c r="O44" i="2"/>
  <c r="N44" i="2"/>
  <c r="L44" i="2"/>
  <c r="S43" i="2"/>
  <c r="R43" i="2"/>
  <c r="Q43" i="2"/>
  <c r="O43" i="2"/>
  <c r="N43" i="2"/>
  <c r="L43" i="2"/>
  <c r="S42" i="2"/>
  <c r="R42" i="2"/>
  <c r="Q42" i="2"/>
  <c r="O42" i="2"/>
  <c r="N42" i="2"/>
  <c r="L42" i="2"/>
  <c r="S41" i="2"/>
  <c r="R41" i="2"/>
  <c r="Q41" i="2"/>
  <c r="O41" i="2"/>
  <c r="N41" i="2"/>
  <c r="L41" i="2"/>
  <c r="S40" i="2"/>
  <c r="R40" i="2"/>
  <c r="Q40" i="2"/>
  <c r="O40" i="2"/>
  <c r="N40" i="2"/>
  <c r="L40" i="2"/>
  <c r="S39" i="2"/>
  <c r="R39" i="2"/>
  <c r="Q39" i="2"/>
  <c r="O39" i="2"/>
  <c r="N39" i="2"/>
  <c r="L39" i="2"/>
  <c r="S38" i="2"/>
  <c r="R38" i="2"/>
  <c r="Q38" i="2"/>
  <c r="O38" i="2"/>
  <c r="N38" i="2"/>
  <c r="L38" i="2"/>
  <c r="S37" i="2"/>
  <c r="R37" i="2"/>
  <c r="Q37" i="2"/>
  <c r="O37" i="2"/>
  <c r="N37" i="2"/>
  <c r="L37" i="2"/>
  <c r="S36" i="2"/>
  <c r="R36" i="2"/>
  <c r="Q36" i="2"/>
  <c r="O36" i="2"/>
  <c r="N36" i="2"/>
  <c r="L36" i="2"/>
  <c r="S35" i="2"/>
  <c r="R35" i="2"/>
  <c r="Q35" i="2"/>
  <c r="O35" i="2"/>
  <c r="N35" i="2"/>
  <c r="L35" i="2"/>
  <c r="S34" i="2"/>
  <c r="R34" i="2"/>
  <c r="Q34" i="2"/>
  <c r="O34" i="2"/>
  <c r="N34" i="2"/>
  <c r="L34" i="2"/>
  <c r="S33" i="2"/>
  <c r="R33" i="2"/>
  <c r="Q33" i="2"/>
  <c r="O33" i="2"/>
  <c r="N33" i="2"/>
  <c r="L33" i="2"/>
  <c r="S32" i="2"/>
  <c r="R32" i="2"/>
  <c r="Q32" i="2"/>
  <c r="O32" i="2"/>
  <c r="N32" i="2"/>
  <c r="L32" i="2"/>
  <c r="S31" i="2"/>
  <c r="R31" i="2"/>
  <c r="Q31" i="2"/>
  <c r="O31" i="2"/>
  <c r="N31" i="2"/>
  <c r="L31" i="2"/>
  <c r="S30" i="2"/>
  <c r="R30" i="2"/>
  <c r="Q30" i="2"/>
  <c r="O30" i="2"/>
  <c r="N30" i="2"/>
  <c r="L30" i="2"/>
  <c r="S29" i="2"/>
  <c r="R29" i="2"/>
  <c r="Q29" i="2"/>
  <c r="O29" i="2"/>
  <c r="N29" i="2"/>
  <c r="L29" i="2"/>
  <c r="S28" i="2"/>
  <c r="R28" i="2"/>
  <c r="Q28" i="2"/>
  <c r="O28" i="2"/>
  <c r="N28" i="2"/>
  <c r="L28" i="2"/>
  <c r="S27" i="2"/>
  <c r="R27" i="2"/>
  <c r="Q27" i="2"/>
  <c r="O27" i="2"/>
  <c r="N27" i="2"/>
  <c r="L27" i="2"/>
  <c r="S26" i="2"/>
  <c r="R26" i="2"/>
  <c r="Q26" i="2"/>
  <c r="O26" i="2"/>
  <c r="N26" i="2"/>
  <c r="L26" i="2"/>
  <c r="S25" i="2"/>
  <c r="R25" i="2"/>
  <c r="Q25" i="2"/>
  <c r="O25" i="2"/>
  <c r="N25" i="2"/>
  <c r="L25" i="2"/>
  <c r="S24" i="2"/>
  <c r="R24" i="2"/>
  <c r="Q24" i="2"/>
  <c r="O24" i="2"/>
  <c r="N24" i="2"/>
  <c r="L24" i="2"/>
  <c r="S23" i="2"/>
  <c r="R23" i="2"/>
  <c r="Q23" i="2"/>
  <c r="O23" i="2"/>
  <c r="N23" i="2"/>
  <c r="L23" i="2"/>
  <c r="S22" i="2"/>
  <c r="R22" i="2"/>
  <c r="Q22" i="2"/>
  <c r="O22" i="2"/>
  <c r="N22" i="2"/>
  <c r="L22" i="2"/>
  <c r="S21" i="2"/>
  <c r="R21" i="2"/>
  <c r="Q21" i="2"/>
  <c r="O21" i="2"/>
  <c r="N21" i="2"/>
  <c r="L21" i="2"/>
  <c r="S20" i="2"/>
  <c r="R20" i="2"/>
  <c r="Q20" i="2"/>
  <c r="O20" i="2"/>
  <c r="N20" i="2"/>
  <c r="L20" i="2"/>
  <c r="S19" i="2"/>
  <c r="R19" i="2"/>
  <c r="Q19" i="2"/>
  <c r="O19" i="2"/>
  <c r="N19" i="2"/>
  <c r="L19" i="2"/>
  <c r="S18" i="2"/>
  <c r="R18" i="2"/>
  <c r="Q18" i="2"/>
  <c r="O18" i="2"/>
  <c r="N18" i="2"/>
  <c r="L18" i="2"/>
  <c r="S17" i="2"/>
  <c r="R17" i="2"/>
  <c r="Q17" i="2"/>
  <c r="O17" i="2"/>
  <c r="N17" i="2"/>
  <c r="L17" i="2"/>
  <c r="S16" i="2"/>
  <c r="R16" i="2"/>
  <c r="Q16" i="2"/>
  <c r="O16" i="2"/>
  <c r="N16" i="2"/>
  <c r="L16" i="2"/>
  <c r="S15" i="2"/>
  <c r="R15" i="2"/>
  <c r="Q15" i="2"/>
  <c r="O15" i="2"/>
  <c r="N15" i="2"/>
  <c r="L15" i="2"/>
  <c r="S14" i="2"/>
  <c r="R14" i="2"/>
  <c r="Q14" i="2"/>
  <c r="O14" i="2"/>
  <c r="N14" i="2"/>
  <c r="L14" i="2"/>
  <c r="S13" i="2"/>
  <c r="R13" i="2"/>
  <c r="Q13" i="2"/>
  <c r="O13" i="2"/>
  <c r="N13" i="2"/>
  <c r="L13" i="2"/>
  <c r="S12" i="2"/>
  <c r="R12" i="2"/>
  <c r="Q12" i="2"/>
  <c r="O12" i="2"/>
  <c r="N12" i="2"/>
  <c r="L12" i="2"/>
  <c r="S11" i="2"/>
  <c r="R11" i="2"/>
  <c r="Q11" i="2"/>
  <c r="O11" i="2"/>
  <c r="N11" i="2"/>
  <c r="L11" i="2"/>
  <c r="S10" i="2"/>
  <c r="R10" i="2"/>
  <c r="Q10" i="2"/>
  <c r="O10" i="2"/>
  <c r="N10" i="2"/>
  <c r="L10" i="2"/>
  <c r="S9" i="2"/>
  <c r="R9" i="2"/>
  <c r="Q9" i="2"/>
  <c r="O9" i="2"/>
  <c r="N9" i="2"/>
  <c r="L9" i="2"/>
  <c r="S8" i="2"/>
  <c r="R8" i="2"/>
  <c r="Q8" i="2"/>
  <c r="O8" i="2"/>
  <c r="N8" i="2"/>
  <c r="L8" i="2"/>
  <c r="S7" i="2"/>
  <c r="R7" i="2"/>
  <c r="Q7" i="2"/>
  <c r="O7" i="2"/>
  <c r="N7" i="2"/>
  <c r="L7" i="2"/>
  <c r="S6" i="2"/>
  <c r="R6" i="2"/>
  <c r="Q6" i="2"/>
  <c r="O6" i="2"/>
  <c r="N6" i="2"/>
  <c r="L6" i="2"/>
  <c r="S5" i="2"/>
  <c r="R5" i="2"/>
  <c r="Q5" i="2"/>
  <c r="O5" i="2"/>
  <c r="N5" i="2"/>
  <c r="L5" i="2"/>
  <c r="S4" i="2"/>
  <c r="R4" i="2"/>
  <c r="Q4" i="2"/>
  <c r="O4" i="2"/>
  <c r="N4" i="2"/>
  <c r="L4" i="2"/>
  <c r="S3" i="2"/>
  <c r="R3" i="2"/>
  <c r="Q3" i="2"/>
  <c r="O3" i="2"/>
  <c r="N3" i="2"/>
  <c r="L3" i="2"/>
  <c r="S2" i="2"/>
  <c r="R2" i="2"/>
  <c r="Q2" i="2"/>
  <c r="O2" i="2"/>
  <c r="N2" i="2"/>
  <c r="L2" i="2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5" i="1"/>
  <c r="D15" i="1"/>
  <c r="C15" i="1"/>
  <c r="B15" i="1"/>
  <c r="E14" i="1"/>
  <c r="D14" i="1"/>
  <c r="C14" i="1"/>
  <c r="B14" i="1"/>
  <c r="J13" i="1"/>
  <c r="I13" i="1"/>
  <c r="H13" i="1"/>
  <c r="G13" i="1"/>
  <c r="F13" i="1"/>
  <c r="E13" i="1"/>
  <c r="D13" i="1"/>
  <c r="C13" i="1"/>
  <c r="B13" i="1"/>
  <c r="E8" i="1"/>
  <c r="D8" i="1"/>
  <c r="C8" i="1"/>
  <c r="B8" i="1"/>
  <c r="E7" i="1"/>
  <c r="D7" i="1"/>
  <c r="C7" i="1"/>
  <c r="B7" i="1"/>
  <c r="E6" i="1"/>
  <c r="D6" i="1"/>
  <c r="C6" i="1"/>
  <c r="B6" i="1"/>
  <c r="G20" i="1" l="1"/>
  <c r="J21" i="1"/>
  <c r="J15" i="1"/>
  <c r="J7" i="1"/>
  <c r="I15" i="1"/>
  <c r="I7" i="1"/>
  <c r="H15" i="1"/>
  <c r="H7" i="1"/>
  <c r="G15" i="1"/>
  <c r="G7" i="1"/>
  <c r="F15" i="1"/>
  <c r="F7" i="1"/>
  <c r="F20" i="1"/>
  <c r="F8" i="1"/>
  <c r="F6" i="1"/>
  <c r="J8" i="1"/>
  <c r="J6" i="1"/>
  <c r="I8" i="1"/>
  <c r="I6" i="1"/>
  <c r="H8" i="1"/>
  <c r="H6" i="1"/>
  <c r="G8" i="1"/>
  <c r="G6" i="1"/>
  <c r="G23" i="1"/>
  <c r="F23" i="1"/>
  <c r="I23" i="1"/>
  <c r="H23" i="1"/>
  <c r="J23" i="1"/>
</calcChain>
</file>

<file path=xl/sharedStrings.xml><?xml version="1.0" encoding="utf-8"?>
<sst xmlns="http://schemas.openxmlformats.org/spreadsheetml/2006/main" count="9579" uniqueCount="1942">
  <si>
    <t>POSIÇÃO DE ESTOQUE — EM LINHA x FORA DE LINHA</t>
  </si>
  <si>
    <t>1. VISÃO GERAL</t>
  </si>
  <si>
    <t>GRUPO</t>
  </si>
  <si>
    <t>ITENS</t>
  </si>
  <si>
    <t>SALDO FOCCO</t>
  </si>
  <si>
    <t>SALDO FULL</t>
  </si>
  <si>
    <t>RESERVAS</t>
  </si>
  <si>
    <t>DISPONÍVEL</t>
  </si>
  <si>
    <t>PESO TOTAL (t)</t>
  </si>
  <si>
    <t>PESO RESERVADO (t)</t>
  </si>
  <si>
    <t>VALOR ESTOQUE</t>
  </si>
  <si>
    <t>VALOR RESERVADO</t>
  </si>
  <si>
    <t>EM LINHA</t>
  </si>
  <si>
    <t>FORA DE LINHA</t>
  </si>
  <si>
    <t>TOTAL GERAL</t>
  </si>
  <si>
    <t>2. ITENS FORA DE LINHA POR ORIGEM (GERSON x ELIANE)</t>
  </si>
  <si>
    <t>SO GERSON</t>
  </si>
  <si>
    <t>SO ELIANE</t>
  </si>
  <si>
    <t>EM AMBAS</t>
  </si>
  <si>
    <t>3. POR CATEGORIA (TODO O ESTOQUE)</t>
  </si>
  <si>
    <t>EMBALAGEM JOGO DE PES</t>
  </si>
  <si>
    <t>UNIDADE DE COMPLEMENTOS</t>
  </si>
  <si>
    <t>UNIDADE DE SALAS</t>
  </si>
  <si>
    <t>UNIDADE GUARDA ROUPAS</t>
  </si>
  <si>
    <t>VIDRO/ESPELHO</t>
  </si>
  <si>
    <t>CHAVE</t>
  </si>
  <si>
    <t>ITEM</t>
  </si>
  <si>
    <t>REF. TEK</t>
  </si>
  <si>
    <t>DESCRIÇÃO</t>
  </si>
  <si>
    <t>MÁSCARA (COR)</t>
  </si>
  <si>
    <t>CATEGORIA</t>
  </si>
  <si>
    <t>SITUAÇÃO</t>
  </si>
  <si>
    <t>ORIGEM</t>
  </si>
  <si>
    <t>PESO UN. (kg)</t>
  </si>
  <si>
    <t>PESO TOTAL (kg)</t>
  </si>
  <si>
    <t>PESO RESERVADO (kg)</t>
  </si>
  <si>
    <t>CUSTO MÉDIO</t>
  </si>
  <si>
    <t>% RESERVADO</t>
  </si>
  <si>
    <t>101.10338</t>
  </si>
  <si>
    <t>VOL CX GR 6 PTS ZEUS 2021 LAT/TAMPO 2,122X0,460X0,125</t>
  </si>
  <si>
    <t>(10338)BRANCO</t>
  </si>
  <si>
    <t>NAO INFORMADO</t>
  </si>
  <si>
    <t>101.4514</t>
  </si>
  <si>
    <t>(4514)AMENDOA CLEAN</t>
  </si>
  <si>
    <t>102.12218</t>
  </si>
  <si>
    <t>VOL CX GR 6 PTS ZEUS PLUS PTS/COSTAS 1,950X0,600X0,067</t>
  </si>
  <si>
    <t>(12218)AMENDOA CLEAN</t>
  </si>
  <si>
    <t>102.12220</t>
  </si>
  <si>
    <t>(12220)BRANCO</t>
  </si>
  <si>
    <t>102.12222</t>
  </si>
  <si>
    <t>(12222)AMENDOA CLEAN/OFF WH</t>
  </si>
  <si>
    <t>102.64910</t>
  </si>
  <si>
    <t>(64910)IMBUIA CLEAN</t>
  </si>
  <si>
    <t>153.</t>
  </si>
  <si>
    <t>VOL CX ESPELHO C/2 ESP 900X235X3 C/4 SUP CROMADO 0,960X0,295X0,040</t>
  </si>
  <si>
    <t>154.16634</t>
  </si>
  <si>
    <t>VOL KIT PES C/8 PES LOPAS PVC 0,338X0,140X0,069</t>
  </si>
  <si>
    <t>(16634)AMENDOA CLEAN</t>
  </si>
  <si>
    <t>154.16635</t>
  </si>
  <si>
    <t>(16635)BRANCO</t>
  </si>
  <si>
    <t>156.15496</t>
  </si>
  <si>
    <t>VOL CX MESA DE CABECEIRA C/03 GAV MAGGIORE NEW 0,700X0,390X0,171</t>
  </si>
  <si>
    <t>(15496)AMENDOA CLEAN</t>
  </si>
  <si>
    <t>156.15497</t>
  </si>
  <si>
    <t>(15497)AMENDOA CLEAN/OFF WH</t>
  </si>
  <si>
    <t>156.15498</t>
  </si>
  <si>
    <t>(15498)BRANCO</t>
  </si>
  <si>
    <t>156.15499</t>
  </si>
  <si>
    <t>(15499)FRASSINO</t>
  </si>
  <si>
    <t>156.15500</t>
  </si>
  <si>
    <t>(15500)FRASSINO/OFF WHITE</t>
  </si>
  <si>
    <t>161.15503</t>
  </si>
  <si>
    <t>VOL CX MESA 1,80 ATHENAS BR 1,875X0,910X0,072</t>
  </si>
  <si>
    <t>(15503)AMENDOA CLEAN</t>
  </si>
  <si>
    <t>184.12654</t>
  </si>
  <si>
    <t>VOL CX GR 4 PTS ZEUS 2021 LAT/TAMPO 2,122X0,460X0,097</t>
  </si>
  <si>
    <t>(12654)BRANCO</t>
  </si>
  <si>
    <t>184.12658</t>
  </si>
  <si>
    <t>(12658)AMENDOA CLEAN</t>
  </si>
  <si>
    <t>185.12418</t>
  </si>
  <si>
    <t>VOL CX GR 4 PTS ZEUS PLUS PORTAS/COSTAS 1,95X0,600X0,052</t>
  </si>
  <si>
    <t>(12418)BRANCO</t>
  </si>
  <si>
    <t>185.12420</t>
  </si>
  <si>
    <t>(12420)FRASSINO/OFF WHITE</t>
  </si>
  <si>
    <t>185.12424</t>
  </si>
  <si>
    <t>(12424)AMENDOA CLEAN/OFF WH</t>
  </si>
  <si>
    <t>185.12426</t>
  </si>
  <si>
    <t>(12426)AMENDOA CLEAN</t>
  </si>
  <si>
    <t>187.15487</t>
  </si>
  <si>
    <t>VOL KIT PES C/6 PES LOPAS PVC 0,282X0,140X0,069</t>
  </si>
  <si>
    <t>(15487)AMENDOA CLEAN</t>
  </si>
  <si>
    <t>187.15488</t>
  </si>
  <si>
    <t>(15488)BRANCO</t>
  </si>
  <si>
    <t>187.15490</t>
  </si>
  <si>
    <t>(15490)FRASSINO</t>
  </si>
  <si>
    <t>216.16128</t>
  </si>
  <si>
    <t>VOL CX CADEIRA APOGEU/CAMINI/LOTUS/RAYLA C/2</t>
  </si>
  <si>
    <t>(16128)AMENDOA CLEAN</t>
  </si>
  <si>
    <t>216.16129</t>
  </si>
  <si>
    <t>(16129)FRASSINO</t>
  </si>
  <si>
    <t>217.16135</t>
  </si>
  <si>
    <t>VOL CX ASSENTO/ENCOSTO CAD APOGEU/TESSERA C/20,585X0,370X0,430</t>
  </si>
  <si>
    <t>(16135)BOUCLE BEGE</t>
  </si>
  <si>
    <t>217.16137</t>
  </si>
  <si>
    <t>(16137)LIN RINZAI</t>
  </si>
  <si>
    <t>217.16140</t>
  </si>
  <si>
    <t>(16140)LINHO RINZAI BEGE</t>
  </si>
  <si>
    <t>217.16142</t>
  </si>
  <si>
    <t>(16142)SUEDE ANIMALE BEGE</t>
  </si>
  <si>
    <t>217.16143</t>
  </si>
  <si>
    <t>(16143)VELUDO LISO CAPUCCINO</t>
  </si>
  <si>
    <t>217.16144</t>
  </si>
  <si>
    <t>(16144)VELUDO LISO MARROM</t>
  </si>
  <si>
    <t>217.16145</t>
  </si>
  <si>
    <t>(16145)VELUDO NATURALE CREME</t>
  </si>
  <si>
    <t>217.55179</t>
  </si>
  <si>
    <t>(55179)COURO MORANO AVELA</t>
  </si>
  <si>
    <t>217.55267</t>
  </si>
  <si>
    <t>(55267)LINHO MOSAICO</t>
  </si>
  <si>
    <t>264.16049</t>
  </si>
  <si>
    <t>VOL CX MESA 1,20 ATHENAS BR 1,275X0,810X0,072</t>
  </si>
  <si>
    <t>(16049)AMENDOA CLEAN</t>
  </si>
  <si>
    <t>274.12236</t>
  </si>
  <si>
    <t>VOL CX GR 6 PTS ALONZO 2021 T/F 2,310X0,461X0,101</t>
  </si>
  <si>
    <t>(12236)AMENDOA CLEAN</t>
  </si>
  <si>
    <t>274.12238</t>
  </si>
  <si>
    <t>(12238)BRANCO</t>
  </si>
  <si>
    <t>275.12672</t>
  </si>
  <si>
    <t>VOL CX GR 6 PTS ALONZO NEW LAT/DIV 2,310X0,461X0,101</t>
  </si>
  <si>
    <t>(12672)AMENDOA CLEAN</t>
  </si>
  <si>
    <t>275.12674</t>
  </si>
  <si>
    <t>(12674)BRANCO</t>
  </si>
  <si>
    <t>276.13098</t>
  </si>
  <si>
    <t>VOL CX GR 6 PTS ALONZO/LIKE PORTAS 2,172X0,390X0,101</t>
  </si>
  <si>
    <t>(13098)AMENDOA CLEAN</t>
  </si>
  <si>
    <t>276.13128</t>
  </si>
  <si>
    <t>(13128)OFF WHITE</t>
  </si>
  <si>
    <t>276.13158</t>
  </si>
  <si>
    <t>(13158)BRANCO</t>
  </si>
  <si>
    <t>308.</t>
  </si>
  <si>
    <t>VOL CX ESPELHO C/4 ESP 900X300X3 C/8 SUP CROMADO 0,960X0,360X0,036</t>
  </si>
  <si>
    <t>2084.12865</t>
  </si>
  <si>
    <t>VOL CX GR 4 PTS ALONZO 2021 T/F 1,345X0,460X0,110</t>
  </si>
  <si>
    <t>(12865)AMENDOA CLEAN</t>
  </si>
  <si>
    <t>2084.12968</t>
  </si>
  <si>
    <t>(12968)BRANCO</t>
  </si>
  <si>
    <t>2085.12720</t>
  </si>
  <si>
    <t>VOL CX GR 4 PTS ALONZO LAT/DIV 2,315X0,460X0,075</t>
  </si>
  <si>
    <t>(12720)AMENDOA CLEAN</t>
  </si>
  <si>
    <t>2085.12724</t>
  </si>
  <si>
    <t>(12724)BRANCO</t>
  </si>
  <si>
    <t>2086.12871</t>
  </si>
  <si>
    <t>VOL CX GR 4 PTS ALONZO 2021 PORTAS 2,175X0,385X0,072</t>
  </si>
  <si>
    <t>(12871)AMENDOA CLEAN</t>
  </si>
  <si>
    <t>2086.12908</t>
  </si>
  <si>
    <t>(12908)BRANCO/AMENDOA CLEAN</t>
  </si>
  <si>
    <t>2086.12940</t>
  </si>
  <si>
    <t>(12940)AMENDOA CLEAN/OFF WH</t>
  </si>
  <si>
    <t>2086.12970</t>
  </si>
  <si>
    <t>(12970)BRANCO</t>
  </si>
  <si>
    <t>2096.</t>
  </si>
  <si>
    <t>VOL CX ESPELHO C/1 ESP 1000X500X3 C/2 SUP CROMADO 1,032X0,536X0,030</t>
  </si>
  <si>
    <t>2102.12834</t>
  </si>
  <si>
    <t>VOL CX GR 6 PTS ARIES 2021 TAMPO 2,470X0,510X0,087</t>
  </si>
  <si>
    <t>(12834)AMENDOA CLEAN</t>
  </si>
  <si>
    <t>2103.13945</t>
  </si>
  <si>
    <t>VOL CX GR 6 PTS ARIES 2021 LAT 2,440X0,510X0,055</t>
  </si>
  <si>
    <t>(13945)AMENDOA CLEAN</t>
  </si>
  <si>
    <t>2104.13957</t>
  </si>
  <si>
    <t>VOL CX GR 6 PTS ARIES 2021 DIV 1,800X0,510X0,100</t>
  </si>
  <si>
    <t>(13957)AMENDOA CLEAN</t>
  </si>
  <si>
    <t>2105.13138</t>
  </si>
  <si>
    <t>VOL CX GR 6 PTS ARIES PORTAS 2,230X0,404X0,101</t>
  </si>
  <si>
    <t>(13138)AMENDOA CLEAN</t>
  </si>
  <si>
    <t>2105.13140</t>
  </si>
  <si>
    <t>(13140)BRANCO</t>
  </si>
  <si>
    <t>2105.13150</t>
  </si>
  <si>
    <t>(13150)OFF WHITE</t>
  </si>
  <si>
    <t>2107.12376</t>
  </si>
  <si>
    <t>VOL CX GR 6 PTS BERTHA T/F 2,775X0,510X0,068</t>
  </si>
  <si>
    <t>(12376)AMENDOA CLEAN</t>
  </si>
  <si>
    <t>2108.13402</t>
  </si>
  <si>
    <t>VOL CX GR 6 PTS BERTHA LAT/PRAT 2,375X0,510X0,087</t>
  </si>
  <si>
    <t>(13402)AMENDOA CLEAN</t>
  </si>
  <si>
    <t>2109.13733</t>
  </si>
  <si>
    <t>VOL CX GR 6 PTS BERTHA DIV/GAV 2,155X0,510X0,087</t>
  </si>
  <si>
    <t>(13733)AMENDOA CLEAN</t>
  </si>
  <si>
    <t>2109.13737</t>
  </si>
  <si>
    <t>(13737)IMBUIA CLEAN</t>
  </si>
  <si>
    <t>2110.12846</t>
  </si>
  <si>
    <t>VOL CX GR 6 PTS BERTHA PORTAS 2,175X0,455X0,102</t>
  </si>
  <si>
    <t>(12846)AMENDOA CLEAN</t>
  </si>
  <si>
    <t>2110.12848</t>
  </si>
  <si>
    <t>(12848)OFF WHITE</t>
  </si>
  <si>
    <t>2110.12850</t>
  </si>
  <si>
    <t>(12850)FRASSINO</t>
  </si>
  <si>
    <t>2111.</t>
  </si>
  <si>
    <t>VOL CX ESPELHO C/6 ESP 695X300X3 C/12 SUP CROMADO 0,750X0,365X0,045</t>
  </si>
  <si>
    <t>2161.16424</t>
  </si>
  <si>
    <t>VOL CX BARRA ATHENAS  CASAL 2022 1,975X0,340X0,080</t>
  </si>
  <si>
    <t>(16424)AMENDOA CLEAN</t>
  </si>
  <si>
    <t>2161.16426</t>
  </si>
  <si>
    <t>(16426)BRANCO</t>
  </si>
  <si>
    <t>2161.16428</t>
  </si>
  <si>
    <t>(16428)FRASSINO</t>
  </si>
  <si>
    <t>2162.16161</t>
  </si>
  <si>
    <t>VOL CX CAB/PES CAMA CASAL ATHENAS PLUS 1,290X0,460X0,057</t>
  </si>
  <si>
    <t>(16161)AMENDOA CLEAN/OFF WH</t>
  </si>
  <si>
    <t>2162.16163</t>
  </si>
  <si>
    <t>(16163)BRANCO</t>
  </si>
  <si>
    <t>2162.16164</t>
  </si>
  <si>
    <t>(16164)FRASSINO/OFF WHITE</t>
  </si>
  <si>
    <t>2163.15691</t>
  </si>
  <si>
    <t>VOL CX PES  ATHENAS  CASAL PLUS 1,625X0,200X0,100</t>
  </si>
  <si>
    <t>(15691)AMENDOA CLEAN</t>
  </si>
  <si>
    <t>2163.15693</t>
  </si>
  <si>
    <t>(15693)BRANCO</t>
  </si>
  <si>
    <t>2163.15695</t>
  </si>
  <si>
    <t>(15695)FRASSINO</t>
  </si>
  <si>
    <t>2176.12382</t>
  </si>
  <si>
    <t>VOL CX GR 6 PTS IMPERATORE 2023 TAMPO/MOLD 2,780X0,630X0,070</t>
  </si>
  <si>
    <t>(12382)AMENDOA CLEAN</t>
  </si>
  <si>
    <t>2176.12384</t>
  </si>
  <si>
    <t>(12384)BRANCO</t>
  </si>
  <si>
    <t>2179.12570</t>
  </si>
  <si>
    <t>VOL CX GR 6 PTS IMPERATORE 23 TAMPO CENT/COSTA MAIOR 2,345X0,890X0,055</t>
  </si>
  <si>
    <t>(12570)AMENDOA CLEAN</t>
  </si>
  <si>
    <t>2179.12572</t>
  </si>
  <si>
    <t>(12572)BRANCO</t>
  </si>
  <si>
    <t>2181.12946</t>
  </si>
  <si>
    <t>VOL CX GR 6 PTS IMPERATORE 2023 LAT/DIV 2,475X0,665X0,073</t>
  </si>
  <si>
    <t>(12946)AMENDOA CLEAN</t>
  </si>
  <si>
    <t>2181.12948</t>
  </si>
  <si>
    <t>(12948)BRANCO</t>
  </si>
  <si>
    <t>2181.12950</t>
  </si>
  <si>
    <t>(12950)FRASSINO</t>
  </si>
  <si>
    <t>2183.13599</t>
  </si>
  <si>
    <t>VOL CX GR 6 PTS IMPERATORE 2023 DIV/PRAT 2,250X0,640X0,102</t>
  </si>
  <si>
    <t>(13599)AMENDOA CLEAN</t>
  </si>
  <si>
    <t>2183.13601</t>
  </si>
  <si>
    <t>(13601)BRANCO</t>
  </si>
  <si>
    <t>2185.13739</t>
  </si>
  <si>
    <t>VOL CX GR 6 PTS IMPERATORE 2023 PORTAS 2,365X0,450X0,105</t>
  </si>
  <si>
    <t>(13739)AMENDOA CLEAN</t>
  </si>
  <si>
    <t>2185.13741</t>
  </si>
  <si>
    <t>(13741)BRANCO</t>
  </si>
  <si>
    <t>2185.13747</t>
  </si>
  <si>
    <t>(13747)OFF WHITE</t>
  </si>
  <si>
    <t>2186.</t>
  </si>
  <si>
    <t>VOL CX ESPELHO C/1 ESP 695X300X3 0,798X0,347X0,026</t>
  </si>
  <si>
    <t>2188.</t>
  </si>
  <si>
    <t>VOL CX ESPELHO C/2 ESP 1049X416X3 C/2 ESP 1235X430X3 ESP C/8 SUP CROMA</t>
  </si>
  <si>
    <t>2190.13808</t>
  </si>
  <si>
    <t>VOL CX GR 6 PTS IMPERATORE 2023 KIT 2GAV 0,875X0,410X0,063</t>
  </si>
  <si>
    <t>(13808)AMENDOA CLEAN</t>
  </si>
  <si>
    <t>2190.13810</t>
  </si>
  <si>
    <t>(13810)BRANCO</t>
  </si>
  <si>
    <t>2192.13152</t>
  </si>
  <si>
    <t>VOL CX GR 6 PTS IMPERATORE/REALI/STIL KIT SAPAT 0,830X0,560X0,065</t>
  </si>
  <si>
    <t>(13152)AMENDOA CLEAN</t>
  </si>
  <si>
    <t>2192.13154</t>
  </si>
  <si>
    <t>(13154)BRANCO</t>
  </si>
  <si>
    <t>2194.16652</t>
  </si>
  <si>
    <t>VOL KIT PES C/10 PES LOPAS PVC 0,420X0,160X0,140</t>
  </si>
  <si>
    <t>(16652)AMENDOA CLEAN</t>
  </si>
  <si>
    <t>2194.16653</t>
  </si>
  <si>
    <t>(16653)BRANCO</t>
  </si>
  <si>
    <t>2237.13657</t>
  </si>
  <si>
    <t>VOL CX GR 6 PTS JAZZ 2023 TAMPO 2,015X0,460X0,100</t>
  </si>
  <si>
    <t>(13657)AMENDOA CLEAN</t>
  </si>
  <si>
    <t>2237.13659</t>
  </si>
  <si>
    <t>(13659)BRANCO</t>
  </si>
  <si>
    <t>2238.12340</t>
  </si>
  <si>
    <t>VOL CX GR 6 PTS JAZZ 2023 LAT 2,195X0,460X0,093</t>
  </si>
  <si>
    <t>(12340)AMENDOA CLEAN</t>
  </si>
  <si>
    <t>2238.12342</t>
  </si>
  <si>
    <t>(12342)BRANCO</t>
  </si>
  <si>
    <t>2239.13884</t>
  </si>
  <si>
    <t>VOL CX GR 6 PTS JAZZ 2023 PORTAS 2,030X0,338X0,103</t>
  </si>
  <si>
    <t>(13884)AMENDOA CLEAN</t>
  </si>
  <si>
    <t>2239.13886</t>
  </si>
  <si>
    <t>(13886)OFF WHITE</t>
  </si>
  <si>
    <t>2239.13888</t>
  </si>
  <si>
    <t>(13888)BRANCO</t>
  </si>
  <si>
    <t>2240.</t>
  </si>
  <si>
    <t>VOL CX ESPELHO C/2 ESP 1500X270X3 C/4 SUP CROMADO 1,565X0,345X0,038</t>
  </si>
  <si>
    <t>2246.12520</t>
  </si>
  <si>
    <t>VOL CX GR LEDER/VINCE/OLLIE/CALEB COSTAS 2,245X0,910X0,018</t>
  </si>
  <si>
    <t>(12520)FRASSINO</t>
  </si>
  <si>
    <t>2253.15566</t>
  </si>
  <si>
    <t>VOL CX GR 6 PTS LOOP TAMPO 2,735X0,515X0,083</t>
  </si>
  <si>
    <t>(15566)AMENDOA CLEAN/OFF WH</t>
  </si>
  <si>
    <t>2262.31357</t>
  </si>
  <si>
    <t>VOL CX GR 6 PTS LOOP LAT 2,335X0,550X0,083</t>
  </si>
  <si>
    <t>(31357)AMENDOA CLEAN</t>
  </si>
  <si>
    <t>2280.31361</t>
  </si>
  <si>
    <t>VOL CX GR 6 PTS LOOP PORTAS 2,400X0,436X0,103</t>
  </si>
  <si>
    <t>(31361)OFF WHITE</t>
  </si>
  <si>
    <t>2284.15523</t>
  </si>
  <si>
    <t>VOL CX GR 6 PTS LOOP COSTAS 2,270X0,925X0,010</t>
  </si>
  <si>
    <t>(15523)AMENDOA CLEAN</t>
  </si>
  <si>
    <t>2308.15699</t>
  </si>
  <si>
    <t>VOL KIT PES C/8 PES LOPAS LOOP 0,338X0,140X0,069</t>
  </si>
  <si>
    <t>(15699)AMENDOA CLEAN</t>
  </si>
  <si>
    <t>2308.15700</t>
  </si>
  <si>
    <t>(15700)FRASSINO</t>
  </si>
  <si>
    <t>2308.52050</t>
  </si>
  <si>
    <t>(52050)BRANCO</t>
  </si>
  <si>
    <t>2317.12306</t>
  </si>
  <si>
    <t>VOL CX GR 3 PTS NICE TAMPO 2,775X0,580X0,092</t>
  </si>
  <si>
    <t>(12306)AMENDOA CLEAN</t>
  </si>
  <si>
    <t>2317.12310</t>
  </si>
  <si>
    <t>(12310)FRASSINO</t>
  </si>
  <si>
    <t>2318.12314</t>
  </si>
  <si>
    <t>VOL CX GR 3 PTS NICE LAT 2,375X0,580X0,057</t>
  </si>
  <si>
    <t>(12314)AMENDOA CLEAN</t>
  </si>
  <si>
    <t>2319.12522</t>
  </si>
  <si>
    <t>VOL CX GR 3 PTS NICE DIV/PRAT 2,155X0,430X0,107</t>
  </si>
  <si>
    <t>(12522)AMENDOA CLEAN</t>
  </si>
  <si>
    <t>2320.13072</t>
  </si>
  <si>
    <t>VOL CX GR 3 PTS NICE PORTAS 2,150X0,940X0,055</t>
  </si>
  <si>
    <t>(13072)AMENDOA CLEAN/OFF WH</t>
  </si>
  <si>
    <t>2321.</t>
  </si>
  <si>
    <t>VOL CX ESPELHO C/1 ESP 1668X874X3 C/4 SUP CROMADO 1,710X0,982X0,047</t>
  </si>
  <si>
    <t>2344.13517</t>
  </si>
  <si>
    <t>VOL CX GR 3 PTS SAION PLUS TAMPO 2,075X0,530X0,087</t>
  </si>
  <si>
    <t>(13517)AMENDOA CLEAN</t>
  </si>
  <si>
    <t>2344.13519</t>
  </si>
  <si>
    <t>(13519)BRANCO</t>
  </si>
  <si>
    <t>2345.13525</t>
  </si>
  <si>
    <t>VOL CX GR 3 PTS SAION/ZION LAT 2,255X0,530X0,097</t>
  </si>
  <si>
    <t>(13525)AMENDOA CLEAN</t>
  </si>
  <si>
    <t>2345.13527</t>
  </si>
  <si>
    <t>(13527)BRANCO</t>
  </si>
  <si>
    <t>2346.12738</t>
  </si>
  <si>
    <t>VOL CX GR 3 PTS SAION PLUS/ZION C/3PTS MDF 2,050X0,698X0,082</t>
  </si>
  <si>
    <t>(12738)BRANCO</t>
  </si>
  <si>
    <t>2348.12322</t>
  </si>
  <si>
    <t>VOL CX GR 3 PTS SAION PLUS/ZION C/1 PT GLASS 2,040X0,750X0,045</t>
  </si>
  <si>
    <t>(12322)AMENDOA CLEAN</t>
  </si>
  <si>
    <t>2348.12324</t>
  </si>
  <si>
    <t>(12324)BRANCO</t>
  </si>
  <si>
    <t>2350.12744</t>
  </si>
  <si>
    <t>VOL CX GR 3 PTS SAION PLUS/ZION C/2PTS MDF 2,045X0,683X0,067</t>
  </si>
  <si>
    <t>(12744)AMENDOA CL/OFF WHI/A</t>
  </si>
  <si>
    <t>2350.12746</t>
  </si>
  <si>
    <t>(12746)BRANCO</t>
  </si>
  <si>
    <t>2354.13080</t>
  </si>
  <si>
    <t>VOL CX GR 6 PTS SOLARIS LAT 2,375X0,580X0,105</t>
  </si>
  <si>
    <t>(13080)AMENDOA CLEAN</t>
  </si>
  <si>
    <t>2372.16535</t>
  </si>
  <si>
    <t>VOL CX GR 6 PTS SOLARIS 3 PORTAS VIDRO 2,305X0,460X0,072</t>
  </si>
  <si>
    <t>(16535)AMENDOA CLEAN</t>
  </si>
  <si>
    <t>2379.16432</t>
  </si>
  <si>
    <t>VOL CX BARRA CAMA CASAL 1,60 FREETOWN</t>
  </si>
  <si>
    <t>(16432)BRANCO</t>
  </si>
  <si>
    <t>2391.13178</t>
  </si>
  <si>
    <t>VOL CX GR 3 PTS SPAZIO 2,70 T/F 2,665X0,610X0,075</t>
  </si>
  <si>
    <t>(13178)BRANCO</t>
  </si>
  <si>
    <t>2396.13194</t>
  </si>
  <si>
    <t>VOL CX GR 3 PTS SPAZIO 2,70 DIV 2,290X0,460X0,070</t>
  </si>
  <si>
    <t>(13194)BRANCO</t>
  </si>
  <si>
    <t>2399.13410</t>
  </si>
  <si>
    <t>VOL CX GR 3 PTS SPAZIO 2,70 LAT 2,390X0,610X0,070</t>
  </si>
  <si>
    <t>(13410)BRANCO</t>
  </si>
  <si>
    <t>2400.13759</t>
  </si>
  <si>
    <t>VOL CX GR 3 PTS SPAZIO 2,70 GAV 0,875X0,460X0,175</t>
  </si>
  <si>
    <t>(13759)BRANCO</t>
  </si>
  <si>
    <t>2401.</t>
  </si>
  <si>
    <t>VOL CX GR 3 PTS SPAZIO 2,70 - (1 PORTA GLASS) - 2,320X1,040X0,067</t>
  </si>
  <si>
    <t>2403.12964</t>
  </si>
  <si>
    <t>VOL CX GR 3 PTS SPAZIO 2,70 - (3 PORTAS MDF) - 2,290X0,895X0,080</t>
  </si>
  <si>
    <t>(12964)BRANCO</t>
  </si>
  <si>
    <t>2404.12396</t>
  </si>
  <si>
    <t>VOL CX GR 3 PTS SPAZIO 2,70 - (2 PORTAS MDF) - 2,290X0,895X0,067</t>
  </si>
  <si>
    <t>(12396)BRANCO</t>
  </si>
  <si>
    <t>2406.12364</t>
  </si>
  <si>
    <t>VOL CX GR 2 PTS TORONTO PLUS T/F 2,655X0,580X0,108</t>
  </si>
  <si>
    <t>(12364)BRANCO</t>
  </si>
  <si>
    <t>2407.12546</t>
  </si>
  <si>
    <t>VOL CX GR 2 PTS TORONTO PLUS L/D 2,315X0,580X0,072</t>
  </si>
  <si>
    <t>(12546)BRANCO</t>
  </si>
  <si>
    <t>2408.13094</t>
  </si>
  <si>
    <t>VOL CX GR 2 PTS TORONTO PLUS DIV/GAV 1,735X0,460X0,130</t>
  </si>
  <si>
    <t>(13094)BRANCO</t>
  </si>
  <si>
    <t>2409.13900</t>
  </si>
  <si>
    <t>VOL CX GR 2 PTS TORONTO PLUS PORTAS 1,305X0,720X0,102</t>
  </si>
  <si>
    <t>(13900)AMENDOA CLEAN/OFF WH</t>
  </si>
  <si>
    <t>2409.13902</t>
  </si>
  <si>
    <t>(13902)BRANCO</t>
  </si>
  <si>
    <t>2410.</t>
  </si>
  <si>
    <t>VOL CX ESPELHO C/8 ESP 750X350X3 C/16 SUP CROMADO 0,810X0,420X0,050</t>
  </si>
  <si>
    <t>2414.13008</t>
  </si>
  <si>
    <t>VOL CX GR 2 PTS VELARIS PORTAS/COSTAS 2,230X1,015X0,045</t>
  </si>
  <si>
    <t>(13008)AMENDOA CL/OFF WHI/A</t>
  </si>
  <si>
    <t>2415.</t>
  </si>
  <si>
    <t>VOL CX ESPELHO C/2 ESP 658X238X3 C/4 SUP CROMADO 0,719X0,298X0,055</t>
  </si>
  <si>
    <t>72566.13848</t>
  </si>
  <si>
    <t>VOL CX GR 2 PTS ZEINE 2024 TAMPO 1,845X0,520X0,092</t>
  </si>
  <si>
    <t>(13848)AMENDOA CLEAN</t>
  </si>
  <si>
    <t>72566.13850</t>
  </si>
  <si>
    <t>(13850)BRANCO</t>
  </si>
  <si>
    <t>72567.13292</t>
  </si>
  <si>
    <t>VOL CX GR 2 PTS ZEINE 2024 LAT 2,155X0,520X0,078</t>
  </si>
  <si>
    <t>(13292)AMENDOA CLEAN</t>
  </si>
  <si>
    <t>72567.13294</t>
  </si>
  <si>
    <t>(13294)BRANCO</t>
  </si>
  <si>
    <t>72568.12530</t>
  </si>
  <si>
    <t>VOL CX GR 2 PTS ZEINE 2024 PORTAS/COSTAS 1,980X0,910X0,065</t>
  </si>
  <si>
    <t>(12530)AMENDOA CLEAN/OFF WH</t>
  </si>
  <si>
    <t>72568.14035</t>
  </si>
  <si>
    <t>(14035)BRANCO</t>
  </si>
  <si>
    <t>72569.13645</t>
  </si>
  <si>
    <t>VOL CX GR 2 PTS ZEINE 2024 1 PORTA MDP/COSTAS 1,985X0,905X0,055</t>
  </si>
  <si>
    <t>(13645)AMENDOA CLEAN/OFF WH</t>
  </si>
  <si>
    <t>72569.13647</t>
  </si>
  <si>
    <t>(13647)BRANCO</t>
  </si>
  <si>
    <t>72572.13651</t>
  </si>
  <si>
    <t>VOL CX GR 2 PTS ZEINE 2024 1PT GLASS 1,975X0,965X0,070</t>
  </si>
  <si>
    <t>(13651)AMENDOA CLEAN</t>
  </si>
  <si>
    <t>72572.13653</t>
  </si>
  <si>
    <t>(13653)BRANCO</t>
  </si>
  <si>
    <t>72594.12814</t>
  </si>
  <si>
    <t>VOL CX GR 8 PTS EASY SLIM/ANDARA TAMPO/LATERAL 2,430X0,460X0,128</t>
  </si>
  <si>
    <t>(12814)AMENDOA CLEAN</t>
  </si>
  <si>
    <t>72594.12816</t>
  </si>
  <si>
    <t>(12816)BRANCO</t>
  </si>
  <si>
    <t>72595.12820</t>
  </si>
  <si>
    <t>VOL CX GR 8 PTS EASY SLIM/ANDARA SOFT PORTAS/COSTAS 1,950X0,600X0,096</t>
  </si>
  <si>
    <t>(12820)AMENDOA CLEAN/OFF WH</t>
  </si>
  <si>
    <t>72595.12822</t>
  </si>
  <si>
    <t>(12822)AMENDOA CLEAN</t>
  </si>
  <si>
    <t>72595.12824</t>
  </si>
  <si>
    <t>(12824)BRANCO</t>
  </si>
  <si>
    <t>72596.</t>
  </si>
  <si>
    <t>VOL CX ESPELHO C/4 ESP 900X235X3 C/8 SUP CROMADO 0,960X0,295X0,046</t>
  </si>
  <si>
    <t>72623.</t>
  </si>
  <si>
    <t>VOL CX ESPELHO C/3 ESP 575X390X3 C/6 SUP CROMADO 0,635X0,450X0,045</t>
  </si>
  <si>
    <t>72643.16351</t>
  </si>
  <si>
    <t>VOL CX GR 3/6 PTS OLLIE/CALEB/VINCE TAMPO/PRAT 2,745X0,550X0,103</t>
  </si>
  <si>
    <t>(16351)AMENDOA CLEAN</t>
  </si>
  <si>
    <t>72645.15779</t>
  </si>
  <si>
    <t>VOL CX GR 3 PTS OLLIE/CALEB LAT/DIV 2,375X0,550X0,073</t>
  </si>
  <si>
    <t>(15779)AMENDOA CLEAN</t>
  </si>
  <si>
    <t>72645.15781</t>
  </si>
  <si>
    <t>(15781)BRANCO</t>
  </si>
  <si>
    <t>72659.16289</t>
  </si>
  <si>
    <t>VOL CX GR 3/4/6 PTS OLLIE/CALEB/VINCE KIT 2GAV 0,850X0,362X0,063</t>
  </si>
  <si>
    <t>(16289)AMENDOA CLEAN</t>
  </si>
  <si>
    <t>72661.13084</t>
  </si>
  <si>
    <t>VOL CX GR 3 PTS CALEB/OLLIE 1 PORTA LAT GLASS 2,240X0,965X0,070</t>
  </si>
  <si>
    <t>(13084)AMENDOA CLEAN</t>
  </si>
  <si>
    <t>72662.12334</t>
  </si>
  <si>
    <t>VOL CX GR 3 PTS CALEB 1 PORTA CENTRAL GLASS 2,260X0,980X0,045</t>
  </si>
  <si>
    <t>(12334)AMENDOA CLEAN</t>
  </si>
  <si>
    <t>72663.13533</t>
  </si>
  <si>
    <t>VOL CX GR 3 PTS CALEB/OLLIE 2 PORTAS LAT MDF 2,250X0,845X0,062</t>
  </si>
  <si>
    <t>(13533)AMENDOA CLEAN/OFF WH</t>
  </si>
  <si>
    <t>72728.31885</t>
  </si>
  <si>
    <t>VOL CX GR 3 PTS CALEB 2,40 TAMPO/PRAT 2,445X0,550X0,103</t>
  </si>
  <si>
    <t>(31885)AMENDOA CLEAN</t>
  </si>
  <si>
    <t>72734.15722</t>
  </si>
  <si>
    <t>VOL CX GR 3 PTS CALEB 2,40 MOLD 2,535X0,190X0,070</t>
  </si>
  <si>
    <t>(15722)AMENDOA CLEAN</t>
  </si>
  <si>
    <t>72737.15527</t>
  </si>
  <si>
    <t>VOL CX GR 3 PTS CALEB 2,40 COSTAS 2,245X0,806X0,015</t>
  </si>
  <si>
    <t>(15527)AMENDOA CLEAN</t>
  </si>
  <si>
    <t>72758.16433</t>
  </si>
  <si>
    <t>VOL CX GR 3 PTS CALEB 2,40 KIT 3 GAV 0,750X0,428X0,080</t>
  </si>
  <si>
    <t>(16433)AMENDOA CLEAN</t>
  </si>
  <si>
    <t>72761.12564</t>
  </si>
  <si>
    <t>VOL CX GR 3/6 PTS NICE/BERTHA KIT 2 GAV 0,880X0,372X0,060</t>
  </si>
  <si>
    <t>(12564)AMENDOA CLEAN</t>
  </si>
  <si>
    <t>72764.25905</t>
  </si>
  <si>
    <t>VOL CX GR 3 PTS OLLIE MOLD 2,775X0,150X0,066</t>
  </si>
  <si>
    <t>(25905)AMENDOA CLEAN</t>
  </si>
  <si>
    <t>72765.16010</t>
  </si>
  <si>
    <t>VOL CX GR 3 PTS OLLIE 1 PORTA RIPADA 2,240X0,915X0,030</t>
  </si>
  <si>
    <t>(16010)AMENDOA CLEAN</t>
  </si>
  <si>
    <t>72777.13609</t>
  </si>
  <si>
    <t>VOL CX GR 6 PTS OLLIE 4 PORTAS LISA 2,295X0,455X0,073</t>
  </si>
  <si>
    <t>(13609)BRANCO</t>
  </si>
  <si>
    <t>72779.</t>
  </si>
  <si>
    <t>VOL CX ESPELHO C/4 ESP 1105X374X3 C/2 FUROS C/8 SUP CROMADO 1,165X0,43</t>
  </si>
  <si>
    <t>72816.15977</t>
  </si>
  <si>
    <t>VOL CX PAINEL S/LED CAMA 1,60 FREETOWN</t>
  </si>
  <si>
    <t>(15977)AMENDOA CLEAN/BRANCO#KOR.BRANCO S/LE</t>
  </si>
  <si>
    <t>72829.16465</t>
  </si>
  <si>
    <t>VOL CX BARRA CAMA CASAL 1,60 LOOP/LEDER</t>
  </si>
  <si>
    <t>(16465)AMENDOA CLEAN</t>
  </si>
  <si>
    <t>72866.16312</t>
  </si>
  <si>
    <t>VOL CX BARRA CAMA CASAL 1,40 LOOP/LEDER</t>
  </si>
  <si>
    <t>(16312)AMENDOA CLEAN</t>
  </si>
  <si>
    <t>72866.16313</t>
  </si>
  <si>
    <t>(16313)BRANCO</t>
  </si>
  <si>
    <t>72866.16314</t>
  </si>
  <si>
    <t>(16314)FRASSINO</t>
  </si>
  <si>
    <t>72874.16223</t>
  </si>
  <si>
    <t>VOL CX PAINEL CAMA CASAL 1,40 LOOP</t>
  </si>
  <si>
    <t>(16223)KORINO BRANCO#BRANCO</t>
  </si>
  <si>
    <t>72879.16178</t>
  </si>
  <si>
    <t>VOL CX PAINEL CAMA CASAL 1,60 LOOP</t>
  </si>
  <si>
    <t>(16178)CORANO BEGE#FRASSINO</t>
  </si>
  <si>
    <t>73026.16485</t>
  </si>
  <si>
    <t>VOL KIT PES C/4 PES LOPAS PVC 0,185X0,140X0,075</t>
  </si>
  <si>
    <t>(16485)AMENDOA CLEAN</t>
  </si>
  <si>
    <t>73026.16486</t>
  </si>
  <si>
    <t>(16486)BRANCO</t>
  </si>
  <si>
    <t>73077.16283</t>
  </si>
  <si>
    <t>VOL CX BARRA REALI/SPECIALE CASAL 1,40 2022 1,980X0,345X0,090</t>
  </si>
  <si>
    <t>(16283)AMENDOA CLEAN</t>
  </si>
  <si>
    <t>73077.16284</t>
  </si>
  <si>
    <t>(16284)BRANCO</t>
  </si>
  <si>
    <t>73077.16285</t>
  </si>
  <si>
    <t>(16285)FRASSINO</t>
  </si>
  <si>
    <t>73081.15965</t>
  </si>
  <si>
    <t>VOL CX PES REALI PLUS/SPECIALE CASAL 1,40 1,435X0,265X0,130</t>
  </si>
  <si>
    <t>(15965)AMENDOA CLEAN</t>
  </si>
  <si>
    <t>73081.15966</t>
  </si>
  <si>
    <t>(15966)BRANCO</t>
  </si>
  <si>
    <t>73081.15967</t>
  </si>
  <si>
    <t>(15967)FRASSINO</t>
  </si>
  <si>
    <t>73083.16417</t>
  </si>
  <si>
    <t>VOL CX PAINEL REALI CASAL 1,40 PLUS 1,380X0,715X0,025</t>
  </si>
  <si>
    <t>(16417)AMENDOA CLEAN</t>
  </si>
  <si>
    <t>73083.16418</t>
  </si>
  <si>
    <t>(16418)BRANCO</t>
  </si>
  <si>
    <t>73083.16419</t>
  </si>
  <si>
    <t>(16419)FRASSINO</t>
  </si>
  <si>
    <t>73122.16493</t>
  </si>
  <si>
    <t>VOL CX CAB/ESTOF C/LED CABECEIRA CALITAN 1,60 2023 1,675X0,693X0,130</t>
  </si>
  <si>
    <t>(16493)AMENDOA CLEAN/PRETO#KORINO PRETO#C/LED</t>
  </si>
  <si>
    <t>73122.16497</t>
  </si>
  <si>
    <t>(16497)FRASSINO/PRETO FOSCO#KORINO PRETO#C/LED</t>
  </si>
  <si>
    <t>73122.49907</t>
  </si>
  <si>
    <t>(49907)AMENDOA CLEAN#CORANO BEGE#C/LED</t>
  </si>
  <si>
    <t>73122.49908</t>
  </si>
  <si>
    <t>(49908)FRASSINO#CORANO BEGE#C/LED</t>
  </si>
  <si>
    <t>73123.15534</t>
  </si>
  <si>
    <t>VOL CX CAB/ESTOF S/LED CABECEIRA CALITAN 1,60 2023 1,680X0,698X0,135</t>
  </si>
  <si>
    <t>(15534)AMENDOA CLEAN/PRETO#KORINO PRETO#S/LED</t>
  </si>
  <si>
    <t>73123.15538</t>
  </si>
  <si>
    <t>(15538)FRASSINO/PRETO FOSCO#KORINO PRETO#S/LED</t>
  </si>
  <si>
    <t>73123.55618</t>
  </si>
  <si>
    <t>(55618)AMENDOA CLEAN#CORANO BEGE#S/LED</t>
  </si>
  <si>
    <t>73123.55619</t>
  </si>
  <si>
    <t>(55619)FRASSINO#CORANO BEGE#S/LED</t>
  </si>
  <si>
    <t>73126.15979</t>
  </si>
  <si>
    <t>VOL CX CAB BOX REGULAVEL 1,40/1,60 LIKE 1,605X0,668X0,090</t>
  </si>
  <si>
    <t>(15979)AMENDOA CLEAN</t>
  </si>
  <si>
    <t>73126.15980</t>
  </si>
  <si>
    <t>(15980)BRANCO</t>
  </si>
  <si>
    <t>73126.15981</t>
  </si>
  <si>
    <t>(15981)FRASSINO</t>
  </si>
  <si>
    <t>73141.15982</t>
  </si>
  <si>
    <t>VOL CX BARRA ATHENAS  SOLT 0,90 2022 1,975X0,395X0,045</t>
  </si>
  <si>
    <t>(15982)AMENDOA CLEAN</t>
  </si>
  <si>
    <t>73141.15983</t>
  </si>
  <si>
    <t>(15983)BRANCO</t>
  </si>
  <si>
    <t>73141.15984</t>
  </si>
  <si>
    <t>(15984)FRASSINO</t>
  </si>
  <si>
    <t>73145.23978</t>
  </si>
  <si>
    <t>VOL CX PES  ATHENAS  SOLT 0,90 PLUS 1,210X0,275X0,100</t>
  </si>
  <si>
    <t>(23978)BRANCO</t>
  </si>
  <si>
    <t>73145.23982</t>
  </si>
  <si>
    <t>(23982)FRASSINO</t>
  </si>
  <si>
    <t>73145.23988</t>
  </si>
  <si>
    <t>(23988)AMENDOA CLEAN</t>
  </si>
  <si>
    <t>73152.15541</t>
  </si>
  <si>
    <t>VOL CX CAB/PES ATHENAS SOLT 0,90 PLUS 0,790X0,470X0,056</t>
  </si>
  <si>
    <t>(15541)AMENDOA CLEAN/OFF WH</t>
  </si>
  <si>
    <t>73152.15542</t>
  </si>
  <si>
    <t>(15542)BRANCO</t>
  </si>
  <si>
    <t>73152.15545</t>
  </si>
  <si>
    <t>(15545)FRASSINO/OFF WHITE</t>
  </si>
  <si>
    <t>73157.16504</t>
  </si>
  <si>
    <t>VOL CX CAMA AUXILIAR ATHENAS SOLT PLUS 1,970X0,549X0,072</t>
  </si>
  <si>
    <t>(16504)AMENDOA CLEAN</t>
  </si>
  <si>
    <t>73157.16505</t>
  </si>
  <si>
    <t>(16505)BRANCO</t>
  </si>
  <si>
    <t>73157.16507</t>
  </si>
  <si>
    <t>(16507)FRASSINO</t>
  </si>
  <si>
    <t>73163.16514</t>
  </si>
  <si>
    <t>VOL CX BARRA LOOP SOLT 0,90</t>
  </si>
  <si>
    <t>(16514)FRASSINO</t>
  </si>
  <si>
    <t>73164.23996</t>
  </si>
  <si>
    <t>VOL CX PAINEL LOOP SOLT 0,90</t>
  </si>
  <si>
    <t>(23996)FRASSINO#CORANO BEGE</t>
  </si>
  <si>
    <t>73166.15994</t>
  </si>
  <si>
    <t>VOL CX CAMA AUXILIAR LOOP SOLT 0,90 2,005X0,357X0,088</t>
  </si>
  <si>
    <t>(15994)AMENDOA CLEAN</t>
  </si>
  <si>
    <t>73166.15995</t>
  </si>
  <si>
    <t>(15995)BRANCO</t>
  </si>
  <si>
    <t>73174.15549</t>
  </si>
  <si>
    <t>VOL CX BARRA REALI/SPECIALE  SOLT 2022 1,975X0,395X0,055</t>
  </si>
  <si>
    <t>(15549)AMENDOA CLEAN</t>
  </si>
  <si>
    <t>73174.15550</t>
  </si>
  <si>
    <t>(15550)BRANCO</t>
  </si>
  <si>
    <t>73174.15551</t>
  </si>
  <si>
    <t>(15551)FRASSINO</t>
  </si>
  <si>
    <t>73175.15746</t>
  </si>
  <si>
    <t>VOL CX PES  REALI PLUS/SPECIALE  SOLT 0,90 1,240X0,260X0,124</t>
  </si>
  <si>
    <t>(15746)AMENDOA CLEAN</t>
  </si>
  <si>
    <t>73175.15747</t>
  </si>
  <si>
    <t>(15747)BRANCO</t>
  </si>
  <si>
    <t>73175.15748</t>
  </si>
  <si>
    <t>(15748)FRASSINO</t>
  </si>
  <si>
    <t>73176.16191</t>
  </si>
  <si>
    <t>VOL CX PAINEL REALI  SOLT 0,90 PLUS 0,895X0,710X0,025</t>
  </si>
  <si>
    <t>(16191)AMENDOA CLEAN</t>
  </si>
  <si>
    <t>73176.16192</t>
  </si>
  <si>
    <t>(16192)BRANCO</t>
  </si>
  <si>
    <t>73176.16193</t>
  </si>
  <si>
    <t>(16193)FRASSINO</t>
  </si>
  <si>
    <t>73189.16641</t>
  </si>
  <si>
    <t>VOL CX SAPATEIRA ESTHELA 2024 1,898X0,625X0,107</t>
  </si>
  <si>
    <t>(16641)AMENDOA CLEAN</t>
  </si>
  <si>
    <t>73189.16642</t>
  </si>
  <si>
    <t>(16642)BRANCO</t>
  </si>
  <si>
    <t>73189.16643</t>
  </si>
  <si>
    <t>(16643)FRASSINO</t>
  </si>
  <si>
    <t>73226.</t>
  </si>
  <si>
    <t>VOL CX ESPELHO C/1 ESP 1795X385X3 SAP.ESTHELA 1,930X0,570X0,060</t>
  </si>
  <si>
    <t>73259.16521</t>
  </si>
  <si>
    <t>VOL CX COMODA 6 GAV 1 PTS DA VINCI 2021 1,165X0,485X0,215</t>
  </si>
  <si>
    <t>(16521)AMENDOA CLEAN</t>
  </si>
  <si>
    <t>73259.16522</t>
  </si>
  <si>
    <t>(16522)BRANCO</t>
  </si>
  <si>
    <t>73276.15752</t>
  </si>
  <si>
    <t>VOL CX TAMPO/PES COMODA HORIZ 6GAV MAGGIORE NEW/MAIA 1,650X0,534X0,060</t>
  </si>
  <si>
    <t>(15752)AMENDOA CLEAN</t>
  </si>
  <si>
    <t>73276.15753</t>
  </si>
  <si>
    <t>(15753)BRANCO</t>
  </si>
  <si>
    <t>73277.16320</t>
  </si>
  <si>
    <t>VOL CX LATERAL/GAVETA COMODA HORIZ 6GAV MAGGIORE NEW 0,850X0,440X0,206</t>
  </si>
  <si>
    <t>(16320)AMENDOA CLEAN</t>
  </si>
  <si>
    <t>73277.16321</t>
  </si>
  <si>
    <t>(16321)AMENDOA CLEAN/OFF WH</t>
  </si>
  <si>
    <t>73277.16322</t>
  </si>
  <si>
    <t>(16322)BRANCO</t>
  </si>
  <si>
    <t>73279.15757</t>
  </si>
  <si>
    <t>VOL CX TAMPO COMODA 8GAV 2PTS TORONTO 2016 1,435X0,480X0,085</t>
  </si>
  <si>
    <t>(15757)AMENDOA CLEAN</t>
  </si>
  <si>
    <t>73279.15758</t>
  </si>
  <si>
    <t>(15758)BRANCO</t>
  </si>
  <si>
    <t>73279.15760</t>
  </si>
  <si>
    <t>(15760)FRASSINO</t>
  </si>
  <si>
    <t>73280.16328</t>
  </si>
  <si>
    <t>VOL CX PORTA/GAVETA COMODA 8GAV 2PTS TORONTO 2021 1,175X0,465X0,170</t>
  </si>
  <si>
    <t>(16328)AMENDOA CLEAN</t>
  </si>
  <si>
    <t>73280.16329</t>
  </si>
  <si>
    <t>(16329)BRANCO</t>
  </si>
  <si>
    <t>73280.16331</t>
  </si>
  <si>
    <t>(16331)FRASSINO</t>
  </si>
  <si>
    <t>73280.78154</t>
  </si>
  <si>
    <t>(78154)AMENDOA CLEAN/OFF WH</t>
  </si>
  <si>
    <t>73280.78155</t>
  </si>
  <si>
    <t>(78155)FRASSINO/OFF WHITE</t>
  </si>
  <si>
    <t>73282.15764</t>
  </si>
  <si>
    <t>VOL CX TAMPO COMODA 8GAV URBAN 2019 1,588X0,495X0,110</t>
  </si>
  <si>
    <t>(15764)AMENDOA CLEAN</t>
  </si>
  <si>
    <t>73282.15765</t>
  </si>
  <si>
    <t>(15765)BRANCO</t>
  </si>
  <si>
    <t>73283.15561</t>
  </si>
  <si>
    <t>VOL CX LATERAL COMODA 8GAV URBAN 2019 1,010X0,470X0,155</t>
  </si>
  <si>
    <t>(15561)AMENDOA CLEAN</t>
  </si>
  <si>
    <t>73283.15562</t>
  </si>
  <si>
    <t>(15562)BRANCO</t>
  </si>
  <si>
    <t>73285.16000</t>
  </si>
  <si>
    <t>VOL CX TAMPO COMODA 7GAV 2PTS VEDRA 1,800X0,465X0,123</t>
  </si>
  <si>
    <t>(16000)AMENDOA CLEAN</t>
  </si>
  <si>
    <t>73285.16001</t>
  </si>
  <si>
    <t>(16001)AMENDOA CLEAN/OFF WH</t>
  </si>
  <si>
    <t>73285.16002</t>
  </si>
  <si>
    <t>(16002)BRANCO</t>
  </si>
  <si>
    <t>73286.16524</t>
  </si>
  <si>
    <t>VOL CX LATERAL COMODA 7GAV 2PTS VEDRA 1,237X0,445X0,160</t>
  </si>
  <si>
    <t>(16524)AMENDOA CLEAN</t>
  </si>
  <si>
    <t>73286.16525</t>
  </si>
  <si>
    <t>(16525)AMENDOA CLEAN/OFF WH</t>
  </si>
  <si>
    <t>73286.16526</t>
  </si>
  <si>
    <t>(16526)BRANCO</t>
  </si>
  <si>
    <t>73343.16019</t>
  </si>
  <si>
    <t>VOL CX TAMPO MESA 0,90 ALYS/CELEBRARE CANTO COPO 0,995X0,995X0,075</t>
  </si>
  <si>
    <t>(16019)OFF WHITE</t>
  </si>
  <si>
    <t>73344.16547</t>
  </si>
  <si>
    <t>VOL CX TAMPO MESA 0,90 ALYS/CEL C/VID SER CANT COPO 0,995X0,995X0,075</t>
  </si>
  <si>
    <t>(16547)OFF WHITE</t>
  </si>
  <si>
    <t>73345.16675</t>
  </si>
  <si>
    <t>VOL CX TAMPO MESA 1,0 RED ALYS/CELEBRARE</t>
  </si>
  <si>
    <t>(16675)OFF WHITE</t>
  </si>
  <si>
    <t>73346.16548</t>
  </si>
  <si>
    <t>VOL CX TAMPO MESA 1,00 RED ALYS/CELEBRARE C/VIDRO SERIG</t>
  </si>
  <si>
    <t>(16548)OFF WHITE</t>
  </si>
  <si>
    <t>73347.15805</t>
  </si>
  <si>
    <t>VOL CX TAMPO MESA 1,20 ALYS/APOGEU/CELEB CANTO COPO 1,283X0,896X0,087</t>
  </si>
  <si>
    <t>(15805)AMENDOA CLEAN</t>
  </si>
  <si>
    <t>73347.15806</t>
  </si>
  <si>
    <t>(15806)FRASSINO</t>
  </si>
  <si>
    <t>73347.15807</t>
  </si>
  <si>
    <t>(15807)OFF WHITE</t>
  </si>
  <si>
    <t>73348.16676</t>
  </si>
  <si>
    <t>VOL CX TAMPO MESA 1,20 AL/APO/CEL C/VID SER CANTO CP 1,300X0,900X0,075</t>
  </si>
  <si>
    <t>(16676)OFF WHITE</t>
  </si>
  <si>
    <t>73349.16549</t>
  </si>
  <si>
    <t>VOL CX TAMPO MESA 1,60 ALYS/APOGEU/ASTRID CANTO COPO 1,695X0,895X0,075</t>
  </si>
  <si>
    <t>(16549)OFF WHITE</t>
  </si>
  <si>
    <t>73351.15616</t>
  </si>
  <si>
    <t>VOL CX TAMPO MESA 1,70 CANT.COPO - SEM VIDRO 1,759X0,995X0,075</t>
  </si>
  <si>
    <t>(15616)AMENDOA CLEAN</t>
  </si>
  <si>
    <t>73351.15617</t>
  </si>
  <si>
    <t>(15617)FRASSINO</t>
  </si>
  <si>
    <t>73351.15618</t>
  </si>
  <si>
    <t>(15618)OFF WHITE</t>
  </si>
  <si>
    <t>73352.16550</t>
  </si>
  <si>
    <t>VOL CX TAMPO MESA 1,70 CANTO COPO - C/VIDRO SERIG. 1,795X0,995X0,075</t>
  </si>
  <si>
    <t>(16550)OFF WHITE</t>
  </si>
  <si>
    <t>73354.16252</t>
  </si>
  <si>
    <t>VOL CX TAMPO MESA 1,80 ALYS/ARIES C/VIDRO SERIG CANTO COPO</t>
  </si>
  <si>
    <t>(16252)OFF WHITE</t>
  </si>
  <si>
    <t>73355.16371</t>
  </si>
  <si>
    <t>VOL CX TAMPO MESA 1,30 NEV PLUS/CELINA/ALYS CANTO COPO 1,405X0,750X0,1</t>
  </si>
  <si>
    <t>(16371)OFF WHITE</t>
  </si>
  <si>
    <t>73356.</t>
  </si>
  <si>
    <t>VOL CX VIDRO 1300X1300 OFF WHITE CANTO COPO 1,405X1,350X0,046</t>
  </si>
  <si>
    <t>73364.16036</t>
  </si>
  <si>
    <t>VOL CX BASE MESA APOGEU 1,20 0,815X0,437X0,122</t>
  </si>
  <si>
    <t>(16036)AMENDOA CLEAN/OFF WH</t>
  </si>
  <si>
    <t>73366.16713</t>
  </si>
  <si>
    <t>VOL CX BASE MESA APOGEU 1,60 0,815X0,437X0,122</t>
  </si>
  <si>
    <t>(16713)AMENDOA CLEAN/OFF WH</t>
  </si>
  <si>
    <t>73371.16253</t>
  </si>
  <si>
    <t>VOL CX BASE MESA APOGEU 1,70 0,810X0,432X0,122</t>
  </si>
  <si>
    <t>(16253)AMENDOA CLEAN/OFF WH</t>
  </si>
  <si>
    <t>73371.16254</t>
  </si>
  <si>
    <t>(16254)FRASSINO/OFF WHITE</t>
  </si>
  <si>
    <t>73371.55615</t>
  </si>
  <si>
    <t>(55615)AMENDOA CLEAN</t>
  </si>
  <si>
    <t>73375.16399</t>
  </si>
  <si>
    <t>VOL CX BASE MESA ARIES 1,80 2020</t>
  </si>
  <si>
    <t>(16399)AMENDOA CLEAN</t>
  </si>
  <si>
    <t>73378.16475</t>
  </si>
  <si>
    <t>VOL CX BASE MESA ASTRID 1,60/1,70 1,275X0,595X0,122</t>
  </si>
  <si>
    <t>(16475)AMENDOA CLEAN/OFF WH</t>
  </si>
  <si>
    <t>73378.20171</t>
  </si>
  <si>
    <t>(20171)AMENDOA CLEAN/PRETO</t>
  </si>
  <si>
    <t>73385.16372</t>
  </si>
  <si>
    <t>VOL CX BASE MESA CELEBRARE 0,90/1,00 0,810X0,510X0,090</t>
  </si>
  <si>
    <t>(16372)AMENDOA CLEAN</t>
  </si>
  <si>
    <t>73385.16373</t>
  </si>
  <si>
    <t>(16373)FRASSINO</t>
  </si>
  <si>
    <t>73388.16470</t>
  </si>
  <si>
    <t>VOL CX BASE MESA CELEBRARE 1,20 0,870X0,510X0,096</t>
  </si>
  <si>
    <t>(16470)AMENDOA CLEAN</t>
  </si>
  <si>
    <t>73507.16462</t>
  </si>
  <si>
    <t>VOL CX LATERAL MESA 1,30 NEVADA PLUS 0,870X0,685X0,100</t>
  </si>
  <si>
    <t>(16462)AMENDOA CLEAN</t>
  </si>
  <si>
    <t>73533.16554</t>
  </si>
  <si>
    <t>VOL CX CADEIRA EXCLUSIVE/ASTRID 2.3 C/2</t>
  </si>
  <si>
    <t>(16554)AMENDOA CLEAN</t>
  </si>
  <si>
    <t>73533.16555</t>
  </si>
  <si>
    <t>(16555)FRASSINO</t>
  </si>
  <si>
    <t>73534.16699</t>
  </si>
  <si>
    <t xml:space="preserve">VOL CX ASSENTO/ENCOSTO CAD ASTRID C/2 </t>
  </si>
  <si>
    <t>(16699)LINHO RUSTICO</t>
  </si>
  <si>
    <t>73534.16700</t>
  </si>
  <si>
    <t>(16700)SUEDE ANIMALE BEGE</t>
  </si>
  <si>
    <t>73534.16702</t>
  </si>
  <si>
    <t>(16702)VELUDO LISO MARROM</t>
  </si>
  <si>
    <t>73534.16703</t>
  </si>
  <si>
    <t>(16703)VELUDO NATURALE CREME</t>
  </si>
  <si>
    <t>73534.20168</t>
  </si>
  <si>
    <t>(20168)CORINO CARAMELO</t>
  </si>
  <si>
    <t>73534.82243</t>
  </si>
  <si>
    <t>(82243)LINHO CINZA</t>
  </si>
  <si>
    <t>73536.16376</t>
  </si>
  <si>
    <t>VOL CX CADEIRA ATLA C/2</t>
  </si>
  <si>
    <t>(16376)FRASSINO</t>
  </si>
  <si>
    <t>73539.16556</t>
  </si>
  <si>
    <t>VOL CX CADEIRA ATHENAS C/2</t>
  </si>
  <si>
    <t>(16556)AMENDOA CLEAN</t>
  </si>
  <si>
    <t>73539.16557</t>
  </si>
  <si>
    <t>(16557)FRASSINO</t>
  </si>
  <si>
    <t>73539.24026</t>
  </si>
  <si>
    <t>(24026)IMBUIA CLEAN</t>
  </si>
  <si>
    <t>73540.16026</t>
  </si>
  <si>
    <t>VOL CX ASSENTO/ENCOSTO CAD ATHENAS C/20,455X0,455X0,125</t>
  </si>
  <si>
    <t>(16026)CORINO CARAMELO</t>
  </si>
  <si>
    <t>73540.16027</t>
  </si>
  <si>
    <t>(16027)BOUCLE BEGE</t>
  </si>
  <si>
    <t>73540.16030</t>
  </si>
  <si>
    <t>(16030)LINHO RINZAI BEGE</t>
  </si>
  <si>
    <t>73540.16031</t>
  </si>
  <si>
    <t>(16031)LINHO RUSTICO</t>
  </si>
  <si>
    <t>73540.16032</t>
  </si>
  <si>
    <t>(16032)SUEDE ANIMALE BEGE</t>
  </si>
  <si>
    <t>73540.16033</t>
  </si>
  <si>
    <t>(16033)VELUDO LISO CAPUCCINO</t>
  </si>
  <si>
    <t>73540.16035</t>
  </si>
  <si>
    <t>(16035)VELUDO NATURALE CREME</t>
  </si>
  <si>
    <t>73540.55584</t>
  </si>
  <si>
    <t>(55584)COURO MORANO AVELA</t>
  </si>
  <si>
    <t>73540.60484</t>
  </si>
  <si>
    <t>(60484)LINHO MOSAICO</t>
  </si>
  <si>
    <t>73542.16388</t>
  </si>
  <si>
    <t>VOL CX CADEIRA CELINA C/2</t>
  </si>
  <si>
    <t>(16388)AMENDOA CLEAN</t>
  </si>
  <si>
    <t>73543.16390</t>
  </si>
  <si>
    <t xml:space="preserve">VOL CX ASSENTO/ENCOSTO CAD CELINA C/2 </t>
  </si>
  <si>
    <t>(16390)CORINO CARAMELO</t>
  </si>
  <si>
    <t>73543.16391</t>
  </si>
  <si>
    <t>(16391)BOUCLE BEGE</t>
  </si>
  <si>
    <t>73543.16392</t>
  </si>
  <si>
    <t>(16392)BOUCLE MARROM</t>
  </si>
  <si>
    <t>73543.16393</t>
  </si>
  <si>
    <t>(16393)LINHO MARRON</t>
  </si>
  <si>
    <t>73543.16394</t>
  </si>
  <si>
    <t>(16394)LINHO RINZAI BEGE</t>
  </si>
  <si>
    <t>73543.16395</t>
  </si>
  <si>
    <t>(16395)SUEDE ANIMALE BEGE</t>
  </si>
  <si>
    <t>73543.16396</t>
  </si>
  <si>
    <t>(16396)VELUDO LISO CAPUCCINO</t>
  </si>
  <si>
    <t>73543.16397</t>
  </si>
  <si>
    <t>(16397)VELUDO LISO MARROM</t>
  </si>
  <si>
    <t>73543.16398</t>
  </si>
  <si>
    <t>(16398)VELUDO NATURALE CREME</t>
  </si>
  <si>
    <t>73543.46268</t>
  </si>
  <si>
    <t>(46268)COURO MORANO AVELA</t>
  </si>
  <si>
    <t>73543.46282</t>
  </si>
  <si>
    <t>(46282)LINHO MOSAICO</t>
  </si>
  <si>
    <t>73545.16382</t>
  </si>
  <si>
    <t xml:space="preserve">VOL CX ASSENTO/ENCOSTO CAD EXCLUSIVE C/2 </t>
  </si>
  <si>
    <t>(16382)LINHO MARRON</t>
  </si>
  <si>
    <t>73545.16383</t>
  </si>
  <si>
    <t>(16383)LINHO RINZAI BEGE</t>
  </si>
  <si>
    <t>73545.16384</t>
  </si>
  <si>
    <t>(16384)SUEDE ANIMALE BEGE</t>
  </si>
  <si>
    <t>73545.16385</t>
  </si>
  <si>
    <t>(16385)VELUDO LISO CAPUCCINO</t>
  </si>
  <si>
    <t>73545.16386</t>
  </si>
  <si>
    <t>(16386)VELUDO LISO MARROM</t>
  </si>
  <si>
    <t>73545.78588</t>
  </si>
  <si>
    <t>(78588)VELVET ROSE</t>
  </si>
  <si>
    <t>73547.15886</t>
  </si>
  <si>
    <t>VOL CX ASSENTO/ENCOSTO CAD RAYLA C/20,590X0,375X0,432</t>
  </si>
  <si>
    <t>(15886)BOUCLE BEGE</t>
  </si>
  <si>
    <t>73547.15889</t>
  </si>
  <si>
    <t>(15889)LINHO RINZAI BEGE</t>
  </si>
  <si>
    <t>73547.15890</t>
  </si>
  <si>
    <t>(15890)SUEDE ANIMALE BEGE</t>
  </si>
  <si>
    <t>73547.15891</t>
  </si>
  <si>
    <t>(15891)VELUDO LISO CAPUCCINO</t>
  </si>
  <si>
    <t>73547.15893</t>
  </si>
  <si>
    <t>(15893)VELUDO NATURALE CREME</t>
  </si>
  <si>
    <t>73547.49157</t>
  </si>
  <si>
    <t>(49157)COURO MORANO AVELA</t>
  </si>
  <si>
    <t>73547.49167</t>
  </si>
  <si>
    <t>(49167)LINHO MOSAICO</t>
  </si>
  <si>
    <t>73547.68373</t>
  </si>
  <si>
    <t>(68373)LINHO MARRON</t>
  </si>
  <si>
    <t>73549.15584</t>
  </si>
  <si>
    <t>VOL CX CADEIRA VENUS 2.3 C/2</t>
  </si>
  <si>
    <t>(15584)AMENDOA CLEAN</t>
  </si>
  <si>
    <t>73549.15585</t>
  </si>
  <si>
    <t>(15585)FRASSINO</t>
  </si>
  <si>
    <t>73550.16660</t>
  </si>
  <si>
    <t xml:space="preserve">VOL CX ASSENTO/ENCOSTO CAD VENUS 2.3 C/2 </t>
  </si>
  <si>
    <t>(16660)CORINO CARAMELO</t>
  </si>
  <si>
    <t>73550.16661</t>
  </si>
  <si>
    <t>(16661)LINHO CINZA CLARO</t>
  </si>
  <si>
    <t>73550.16662</t>
  </si>
  <si>
    <t>(16662)BOUCLE BEGE</t>
  </si>
  <si>
    <t>73550.16664</t>
  </si>
  <si>
    <t>(16664)LINHO CINZA</t>
  </si>
  <si>
    <t>73550.16666</t>
  </si>
  <si>
    <t>(16666)LINHO RINZAI BEGE</t>
  </si>
  <si>
    <t>73550.16668</t>
  </si>
  <si>
    <t>(16668)SUEDE ANIMALE BEGE</t>
  </si>
  <si>
    <t>73550.46395</t>
  </si>
  <si>
    <t>(46395)COURO MORANO AVELA</t>
  </si>
  <si>
    <t>73550.46397</t>
  </si>
  <si>
    <t>(46397)LINHO MOSAICO</t>
  </si>
  <si>
    <t>73778.</t>
  </si>
  <si>
    <t>VOL CX ESPELHO C/1 ESP 1398X448X3 C/2 SUP 1,445X0,555X0,047</t>
  </si>
  <si>
    <t>73994.15619</t>
  </si>
  <si>
    <t>VOL CX GR 4 PTS ZEUS PLUS EXP PORTAS/COSTAS 1,950X0,600X0,052</t>
  </si>
  <si>
    <t>(15619)BRANCO#C/LOGO</t>
  </si>
  <si>
    <t>73994.72173</t>
  </si>
  <si>
    <t>(72173)AMENDOA CLEAN#C/LOGO</t>
  </si>
  <si>
    <t>73996.15811</t>
  </si>
  <si>
    <t>VOL CX GR 6 PTS ZEUS PLUS EXP PORTAS/COSTAS 1,950X0,600X0,067</t>
  </si>
  <si>
    <t>(15811)BRANCO#C/LOGO</t>
  </si>
  <si>
    <t>73996.72176</t>
  </si>
  <si>
    <t>(72176)AMENDOA CLEAN#C/LOGO</t>
  </si>
  <si>
    <t>74125.99905</t>
  </si>
  <si>
    <t>VOL CX CAB/PES CAMA SOLTEIRO ATHENAS PLUS EXP 0,790X0,470X0,056</t>
  </si>
  <si>
    <t>(99905)AMENDOA CLEAN/OFF WH#C/LOGO</t>
  </si>
  <si>
    <t>74127.99890</t>
  </si>
  <si>
    <t>VOL CX PES CAMA SOLTEIRO ATHENAS PLUS EXP 1,210X0,275X0,100</t>
  </si>
  <si>
    <t>(99890)AMENDOA CLEAN#C/LOGO</t>
  </si>
  <si>
    <t>74129.100020</t>
  </si>
  <si>
    <t>VOL CX CAMA AUXILIAR ATHENAS SOLTEIRO PLUS EXP 1,965X0,550X0,070</t>
  </si>
  <si>
    <t>(100020)AMENDOA CLEAN#C/LOGO</t>
  </si>
  <si>
    <t>74198.31905</t>
  </si>
  <si>
    <t>VOL CX MESA DE CABECEIRA C/3 GAV BAIAO 2021 0,665X0,385X0,140</t>
  </si>
  <si>
    <t>(31905)AMENDOA CLEAN</t>
  </si>
  <si>
    <t>74198.31907</t>
  </si>
  <si>
    <t>(31907)BRANCO</t>
  </si>
  <si>
    <t>74198.31909</t>
  </si>
  <si>
    <t>(31909)FRASSINO</t>
  </si>
  <si>
    <t>74198.67790</t>
  </si>
  <si>
    <t>(67790)AMENDOA CLEAN/OFF WH</t>
  </si>
  <si>
    <t>74198.67791</t>
  </si>
  <si>
    <t>(67791)FRASSINO/OFF WHITE</t>
  </si>
  <si>
    <t>74201.31753</t>
  </si>
  <si>
    <t>VOL CX COMODA 4 GAV BAIAO 2021 1,020X0,490X0,170</t>
  </si>
  <si>
    <t>(31753)AMENDOA CLEAN</t>
  </si>
  <si>
    <t>74201.31755</t>
  </si>
  <si>
    <t>(31755)BRANCO</t>
  </si>
  <si>
    <t>74201.31757</t>
  </si>
  <si>
    <t>(31757)FRASSINO</t>
  </si>
  <si>
    <t>74201.67869</t>
  </si>
  <si>
    <t>(67869)AMENDOA CLEAN/OFF WH</t>
  </si>
  <si>
    <t>74201.67871</t>
  </si>
  <si>
    <t>(67871)FRASSINO/OFF WHITE</t>
  </si>
  <si>
    <t>74202.31935</t>
  </si>
  <si>
    <t>VOL CX BARRA CAMA SOLTEIRO 1,05 REALI MUEBLES EL B</t>
  </si>
  <si>
    <t>(31935)FRASSINO</t>
  </si>
  <si>
    <t>74203.31405</t>
  </si>
  <si>
    <t>VOL CX PAINEL CAMA REALI SOLTEIRO 1,05 MUEBLES EL B</t>
  </si>
  <si>
    <t>(31405)FRASSINO</t>
  </si>
  <si>
    <t>74204.31779</t>
  </si>
  <si>
    <t>VOL CX PES CAMA SOLTEIRO 1,05 REALI MUEBLES EL B</t>
  </si>
  <si>
    <t>(31779)FRASSINO</t>
  </si>
  <si>
    <t>74269.72163</t>
  </si>
  <si>
    <t>VOL CX GR 4 PTS ZEUS 2021 EXP LAT/TAMPO 2,125X0,460X0,097</t>
  </si>
  <si>
    <t>(72163)AMENDOA CLEAN#C/LOGO</t>
  </si>
  <si>
    <t>74269.72164</t>
  </si>
  <si>
    <t>(72164)BRANCO#C/LOGO</t>
  </si>
  <si>
    <t>74272.15795</t>
  </si>
  <si>
    <t>VOL CX GR 6 PTS ZEUS 2021 EXP LAT/TAMPO 2,122X0,460X0,125</t>
  </si>
  <si>
    <t>(15795)BRANCO#C/LOGO</t>
  </si>
  <si>
    <t>74272.78658</t>
  </si>
  <si>
    <t>(78658)AMENDOA CLEAN#C/LOGO</t>
  </si>
  <si>
    <t>74400.55274</t>
  </si>
  <si>
    <t>VOL CX GR 3 PTS SPAZIO 2,40 TAMPO 2,480X0,610X0,092</t>
  </si>
  <si>
    <t>(55274)AMENDOA CLEAN</t>
  </si>
  <si>
    <t>74420.32157</t>
  </si>
  <si>
    <t>VOL CX GR 3 PTS SAION TAMPO 2,075X0,530X0,087</t>
  </si>
  <si>
    <t>(32157)AMENDOA CLEAN</t>
  </si>
  <si>
    <t>74493.55291</t>
  </si>
  <si>
    <t>VOL CX PAINEL CAMA  REALI SOLTEIRO EXP 0,895X0,705X0,025</t>
  </si>
  <si>
    <t>(55291)AMENDOA CLEAN#C/LOGO</t>
  </si>
  <si>
    <t>74493.55479</t>
  </si>
  <si>
    <t>(55479)BRANCO#C/LOGO</t>
  </si>
  <si>
    <t>74494.78384</t>
  </si>
  <si>
    <t>VOL CX PES  CAMA  SOLT 0,90 REALI PLUS/SPECIALE EXP 1,240X0,260X0,124</t>
  </si>
  <si>
    <t>(78384)AMENDOA CLEAN#C/LOGO</t>
  </si>
  <si>
    <t>74494.78567</t>
  </si>
  <si>
    <t>(78567)BRANCO#C/LOGO</t>
  </si>
  <si>
    <t>74501.32101</t>
  </si>
  <si>
    <t>VOL CX BARRA CAMA  SOLT REALI/SPECIALE 2022 EXP 1,975X0,395X0,050</t>
  </si>
  <si>
    <t>(32101)AMENDOA CLEAN#C/LOGO</t>
  </si>
  <si>
    <t>74501.32103</t>
  </si>
  <si>
    <t>(32103)BRANCO#C/LOGO</t>
  </si>
  <si>
    <t>74509.31977</t>
  </si>
  <si>
    <t>VOL CX PAINEL CAMA REALI PLUS CASAL 1,40 EXP 1,375X0,710X0,025</t>
  </si>
  <si>
    <t>(31977)BRANCO#C/LOGO</t>
  </si>
  <si>
    <t>74509.99864</t>
  </si>
  <si>
    <t>(99864)AMENDOA CLEAN#C/LOGO</t>
  </si>
  <si>
    <t>74516.32089</t>
  </si>
  <si>
    <t>VOL CX CAB CAMA 1,60 FREETOWN C/LED</t>
  </si>
  <si>
    <t>(32089)AMENDOA CLEAN/BRANCO</t>
  </si>
  <si>
    <t>74551.31307</t>
  </si>
  <si>
    <t>VOL CX BARRA C/LED BELICHE 0,90 OLGA 2,398X0,383X0,125</t>
  </si>
  <si>
    <t>(31307)AMENDOA CLEAN</t>
  </si>
  <si>
    <t>74551.31309</t>
  </si>
  <si>
    <t>(31309)BRANCO</t>
  </si>
  <si>
    <t>74552.31963</t>
  </si>
  <si>
    <t>VOL CX CAB BELICHE SOLTEIRO 0,90 OLGA 1,743X1,013X0,061</t>
  </si>
  <si>
    <t>(31963)AMENDOA CLEAN</t>
  </si>
  <si>
    <t>74552.31965</t>
  </si>
  <si>
    <t>(31965)BRANCO</t>
  </si>
  <si>
    <t>74610.55686</t>
  </si>
  <si>
    <t>VOL CX CLOSET ANELI TAMPO</t>
  </si>
  <si>
    <t>(55686)AMENDOA CLEAN</t>
  </si>
  <si>
    <t>74613.55688</t>
  </si>
  <si>
    <t>VOL CX CLOSET ANELI LATERAL</t>
  </si>
  <si>
    <t>(55688)BRANCO</t>
  </si>
  <si>
    <t>74613.55699</t>
  </si>
  <si>
    <t>(55699)AMENDOA CLEAN</t>
  </si>
  <si>
    <t>74614.55695</t>
  </si>
  <si>
    <t>VOL CX CLOSET ANELI DIV</t>
  </si>
  <si>
    <t>(55695)BRANCO</t>
  </si>
  <si>
    <t>74614.55696</t>
  </si>
  <si>
    <t>(55696)AMENDOA CLEAN</t>
  </si>
  <si>
    <t>74629.31969</t>
  </si>
  <si>
    <t>VOL CX BARRA CAMA CASAL REALI/SPECIALE 2023 EXP 1,935X0,345X0,092</t>
  </si>
  <si>
    <t>(31969)BRANCO#C/LOGO</t>
  </si>
  <si>
    <t>74629.99860</t>
  </si>
  <si>
    <t>(99860)AMENDOA CLEAN#C/LOGO</t>
  </si>
  <si>
    <t>74632.32093</t>
  </si>
  <si>
    <t>VOL CX PES CAMA CASAL 1,40 REALI PLUS/SPECIALE 2023 EXP 1,430X0,260X0,</t>
  </si>
  <si>
    <t>(32093)BRANCO#C/LOGO</t>
  </si>
  <si>
    <t>74632.99862</t>
  </si>
  <si>
    <t>(99862)AMENDOA CLEAN#C/LOGO</t>
  </si>
  <si>
    <t>74670.55653</t>
  </si>
  <si>
    <t>VOL CX CLOSET ELISE TAMPO</t>
  </si>
  <si>
    <t>(55653)BRANCO</t>
  </si>
  <si>
    <t>74670.55681</t>
  </si>
  <si>
    <t>(55681)AMENDOA CLEAN</t>
  </si>
  <si>
    <t>74671.55683</t>
  </si>
  <si>
    <t>VOL CX CLOSET ELISE LATERAL</t>
  </si>
  <si>
    <t>(55683)AMENDOA CLEAN</t>
  </si>
  <si>
    <t>74671.56697</t>
  </si>
  <si>
    <t>(56697)BRANCO</t>
  </si>
  <si>
    <t>75868.13790</t>
  </si>
  <si>
    <t>VOL CX GR 6 PTS LOOP 2024 PORTA 2,400X0,417X0,103</t>
  </si>
  <si>
    <t>(13790)OFF WHITE</t>
  </si>
  <si>
    <t>75868.52047</t>
  </si>
  <si>
    <t>(52047)BRANCO</t>
  </si>
  <si>
    <t>75868.52117</t>
  </si>
  <si>
    <t>(52117)AMENDOA CLEAN</t>
  </si>
  <si>
    <t>75871.13619</t>
  </si>
  <si>
    <t>VOL CX GR 6 PTS LOOP 2024 COSTAS 2,270X0,940X0,010</t>
  </si>
  <si>
    <t>(13619)AMENDOA CLEAN</t>
  </si>
  <si>
    <t>75871.65257</t>
  </si>
  <si>
    <t>(65257)BRANCO</t>
  </si>
  <si>
    <t>76348.13615</t>
  </si>
  <si>
    <t>VOL CX GR 6 PTS LOOP 2024 LATERAL 2,335X0,550X0,083</t>
  </si>
  <si>
    <t>(13615)AMENDOA CLEAN</t>
  </si>
  <si>
    <t>77143.12586</t>
  </si>
  <si>
    <t>VOL CX GR 3 PTS OLLIE 2024 C/1 PORTA RIPADA 2,250X0,860X0,050</t>
  </si>
  <si>
    <t>(12586)AMENDOA CLEAN</t>
  </si>
  <si>
    <t>77143.12590</t>
  </si>
  <si>
    <t>(12590)FRASSINO</t>
  </si>
  <si>
    <t>78326.88802</t>
  </si>
  <si>
    <t>VOL CX GR 6 PTS EASY SLIM TAMPO/LATERAL 2,125X0,460X0,105</t>
  </si>
  <si>
    <t>(88802)AMENDOA CLEAN</t>
  </si>
  <si>
    <t>79208.16632</t>
  </si>
  <si>
    <t>VOL CX COMODA 4 GAV IMPERADOR 1,020X0,490X0,170</t>
  </si>
  <si>
    <t>(16632)AMENDOA CLEAN</t>
  </si>
  <si>
    <t>79208.16633</t>
  </si>
  <si>
    <t>(16633)BRANCO</t>
  </si>
  <si>
    <t>81713.23873</t>
  </si>
  <si>
    <t>VOL CX MESA C/4 CAD EASY LINE 1,435X0,732X0,104</t>
  </si>
  <si>
    <t>(23873)AMENDOA CLEAN#LINHO RINZAI BEGE</t>
  </si>
  <si>
    <t>81844.13794</t>
  </si>
  <si>
    <t>VOL CX GR 03/06 PTS OLLIE/CALEB II LAT 2,3775X0,550X0,078</t>
  </si>
  <si>
    <t>(13794)AMENDOA CLEAN</t>
  </si>
  <si>
    <t>81935.32025</t>
  </si>
  <si>
    <t>VOL CX COMODA LOOP II TAMPO/DIV 1,590X0,492X0,100</t>
  </si>
  <si>
    <t>(32025)AMENDOA CLEAN/OFF WH</t>
  </si>
  <si>
    <t>81935.32027</t>
  </si>
  <si>
    <t>(32027)AMENDOA CLEAN/SALVIA</t>
  </si>
  <si>
    <t>81935.32029</t>
  </si>
  <si>
    <t>(32029)FRASSINO/OFF WHITE</t>
  </si>
  <si>
    <t>81935.32031</t>
  </si>
  <si>
    <t>(32031)FRASSINO/SALVIA</t>
  </si>
  <si>
    <t>81935.66450</t>
  </si>
  <si>
    <t>(66450)AMENDOA CLEAN</t>
  </si>
  <si>
    <t>81935.66455</t>
  </si>
  <si>
    <t>(66455)BRANCO</t>
  </si>
  <si>
    <t>81938.31499</t>
  </si>
  <si>
    <t>VOL CX COMODA LOOP II LAT/GAV 0,900X0,492X0,192</t>
  </si>
  <si>
    <t>(31499)AMENDOA CLEAN/SALVIA</t>
  </si>
  <si>
    <t>81938.31501</t>
  </si>
  <si>
    <t>(31501)AMENDOA CLEAN/OFF WH</t>
  </si>
  <si>
    <t>81938.31503</t>
  </si>
  <si>
    <t>(31503)FRASSINO/OFF WHITE</t>
  </si>
  <si>
    <t>81938.31505</t>
  </si>
  <si>
    <t>(31505)FRASSINO/SALVIA</t>
  </si>
  <si>
    <t>81938.66452</t>
  </si>
  <si>
    <t>(66452)AMENDOA CLEAN</t>
  </si>
  <si>
    <t>81938.66457</t>
  </si>
  <si>
    <t>(66457)BRANCO</t>
  </si>
  <si>
    <t>81941.31365</t>
  </si>
  <si>
    <t>VOL CX COMODA LEDER II TAMPO 1,575X0,525X0,103</t>
  </si>
  <si>
    <t>(31365)AMENDOA CLEAN</t>
  </si>
  <si>
    <t>81942.32033</t>
  </si>
  <si>
    <t>VOL CX COMODA LEDER II LAT/DIV 0,995X0,465X0,125</t>
  </si>
  <si>
    <t>(32033)AMENDOA CLEAN</t>
  </si>
  <si>
    <t>83251.31593</t>
  </si>
  <si>
    <t>VOL CX MESA DE CABECEIRA LOOP 2024 0,720X0,393X0,128</t>
  </si>
  <si>
    <t>(31593)AMENDOA CLEAN/OFF WH</t>
  </si>
  <si>
    <t>83251.31599</t>
  </si>
  <si>
    <t>(31599)AMENDOA CLEAN/SALVIA</t>
  </si>
  <si>
    <t>83251.67186</t>
  </si>
  <si>
    <t>(67186)AMENDOA CLEAN</t>
  </si>
  <si>
    <t>83251.67187</t>
  </si>
  <si>
    <t>(67187)BRANCO</t>
  </si>
  <si>
    <t>84024.56716</t>
  </si>
  <si>
    <t>VOL CX COZINHA 01 EASY</t>
  </si>
  <si>
    <t>(56716)AMENDOA CLEAN/OFF WH</t>
  </si>
  <si>
    <t>84062.56717</t>
  </si>
  <si>
    <t>VOL CX COZINHA 02 EASY</t>
  </si>
  <si>
    <t>(56717)AMENDOA CLEAN/OFF WH</t>
  </si>
  <si>
    <t>84310.39409</t>
  </si>
  <si>
    <t>VOL CX MESA BASE 1,60/1,70 SINTONIA 1,030X0,495X0,072</t>
  </si>
  <si>
    <t>(39409)AMENDOA CLEAN/OFF WH</t>
  </si>
  <si>
    <t>84310.39410</t>
  </si>
  <si>
    <t>(39410)FRASSINO/OFF WHITE</t>
  </si>
  <si>
    <t>84488.26000</t>
  </si>
  <si>
    <t>VOL CX GR 6PTS EASY SLIM 2025 TAMPO/LATERAL 2,125X0,460X0,105</t>
  </si>
  <si>
    <t>(26000)AMENDOA CLEAN</t>
  </si>
  <si>
    <t>84495.101042</t>
  </si>
  <si>
    <t>VOL CX GR 6PTS EASY SLIM 2025 PTS/COSTA 1,96X0,605X0,077</t>
  </si>
  <si>
    <t>(101042)AMENDOA CLEAN</t>
  </si>
  <si>
    <t>84495.55885</t>
  </si>
  <si>
    <t>(55885)AMENDOA CLEAN/OFF WH</t>
  </si>
  <si>
    <t>84498.31391</t>
  </si>
  <si>
    <t>VOL CX TAMPO GR 03 PTS 2,30 FORMA 2,35X0,565X0,087</t>
  </si>
  <si>
    <t>(31391)AMENDOA CLEAN</t>
  </si>
  <si>
    <t>84537.31639</t>
  </si>
  <si>
    <t>VOL CX LATERAL GR 03 PTS 2,30 FORMA 2,375X0,560X0,072</t>
  </si>
  <si>
    <t>(31639)AMENDOA CLEAN</t>
  </si>
  <si>
    <t>84550.31851</t>
  </si>
  <si>
    <t>VOL CX DIVISAO GR 03 PTS 2,30 FORMA 2,275X0,460X0,072</t>
  </si>
  <si>
    <t>(31851)AMENDOA CLEAN</t>
  </si>
  <si>
    <t>84562.31459</t>
  </si>
  <si>
    <t>VOL CX C/03 PORTAS MDF GR 03 PTS 2,30 FORMA 2,31X0,78X0,08</t>
  </si>
  <si>
    <t>(31459)AMENDOA CLEAN/OFF WH</t>
  </si>
  <si>
    <t>84586.31463</t>
  </si>
  <si>
    <t>VOL CX C/02 PORTAS LAT MDF GR 03 PTS 2,30 FORMA 2,305X0,785X0,070</t>
  </si>
  <si>
    <t>(31463)AMENDOA CLEAN/OFF WH</t>
  </si>
  <si>
    <t>84588.31331</t>
  </si>
  <si>
    <t>VOL CX C/01 PORTA CENT GLASS GR 3PTS 2,30 FORMA 2,260X0,855X0,060</t>
  </si>
  <si>
    <t>(31331)AMENDOA CLEAN</t>
  </si>
  <si>
    <t>84721.</t>
  </si>
  <si>
    <t>VOL CX C/4 ESPELHOS 1100X344X3MM 1,150X0,400X0,040</t>
  </si>
  <si>
    <t>84745.30610</t>
  </si>
  <si>
    <t>VOL CX LATERAL GR 08 PTS ERGON 2,480X0,698X0,070</t>
  </si>
  <si>
    <t>(30610)AMENDOA CLEAN</t>
  </si>
  <si>
    <t>84785.</t>
  </si>
  <si>
    <t>VOL CX C/4 ESP EXTERNO 1144X285X3 1,204X0,345X0,046</t>
  </si>
  <si>
    <t>84795.40349</t>
  </si>
  <si>
    <t>VOL CX TAMPO GR 06 PTS LOOP 2025 2,740X0,520X0,083</t>
  </si>
  <si>
    <t>(40349)AMENDOA CLEAN/OFF WH</t>
  </si>
  <si>
    <t>84795.40350</t>
  </si>
  <si>
    <t>(40350)FRASSINO/OFF WHITE</t>
  </si>
  <si>
    <t>84795.52007</t>
  </si>
  <si>
    <t>(52007)BRANCO</t>
  </si>
  <si>
    <t>84795.52112</t>
  </si>
  <si>
    <t>(52112)AMENDOA CLEAN</t>
  </si>
  <si>
    <t>84800.43034</t>
  </si>
  <si>
    <t>VOL CX LAT GR 06 PTS LOOP 2025 2,340X0,555X0,083</t>
  </si>
  <si>
    <t>(43034)AMENDOA CLEAN</t>
  </si>
  <si>
    <t>84800.52020</t>
  </si>
  <si>
    <t>(52020)BRANCO</t>
  </si>
  <si>
    <t>84809.42185</t>
  </si>
  <si>
    <t>VOL CX DIV/PRAT GR 06 PTS LOOP 2025 2,310X0,525X0,103</t>
  </si>
  <si>
    <t>(42185)AMENDOA CLEAN</t>
  </si>
  <si>
    <t>84809.52032</t>
  </si>
  <si>
    <t>(52032)BRANCO</t>
  </si>
  <si>
    <t>84822.30747</t>
  </si>
  <si>
    <t>VOL CX TAMPO GR 03PTS OLLIE II 2025 2,775X0,550X0,092</t>
  </si>
  <si>
    <t>(30747)AMENDOA CLEAN</t>
  </si>
  <si>
    <t>84836.30750</t>
  </si>
  <si>
    <t>VOL CX LAT GR 03/06 PTS OLLIE II 2025 2,375X0,550X0,078</t>
  </si>
  <si>
    <t>(30750)FRASSINO</t>
  </si>
  <si>
    <t>84847.30751</t>
  </si>
  <si>
    <t>VOL CX DIV GR 03 PTS OLLIE II 2025 2,275X0,460X0,098</t>
  </si>
  <si>
    <t>(30751)AMENDOA CLEAN</t>
  </si>
  <si>
    <t>84875.30940</t>
  </si>
  <si>
    <t>VOL CX TAMPO GR 06 PTS LEDER 2025 2,745X0,550X0,068</t>
  </si>
  <si>
    <t>(30940)FRASSINO</t>
  </si>
  <si>
    <t>84891.31009</t>
  </si>
  <si>
    <t>VOL CX GR 4PTS ZEUS 2025 TAMP/LAT/DIV/PTS/GAV 2,130X0,465X0,155</t>
  </si>
  <si>
    <t>(31009)AMENDOA CLEAN</t>
  </si>
  <si>
    <t>84891.31010</t>
  </si>
  <si>
    <t>(31010)BRANCO</t>
  </si>
  <si>
    <t>84891.31011</t>
  </si>
  <si>
    <t>(31011)AMENDOA CLEAN/OFF WH</t>
  </si>
  <si>
    <t>84893.31012</t>
  </si>
  <si>
    <t>VOL CX GR 4PTS ZEUS 2025 COSTAS 1,530X0,590X0,005</t>
  </si>
  <si>
    <t>(31012)AMENDOA CLEAN</t>
  </si>
  <si>
    <t>84901.31283</t>
  </si>
  <si>
    <t>VOL CX BARRA CAMA CASAL 1,40 LOOP/LEDER 2025 2,018X0,357X0,105</t>
  </si>
  <si>
    <t>(31283)AMENDOA CLEAN</t>
  </si>
  <si>
    <t>84901.31284</t>
  </si>
  <si>
    <t>(31284)BRANCO</t>
  </si>
  <si>
    <t>84911.31286</t>
  </si>
  <si>
    <t>VOL CX PAINEL CAMA CASAL 1,40 LOOP 2025 1,535X0,730X0,117</t>
  </si>
  <si>
    <t>(31286)BRANCO#KORINO BRANCO</t>
  </si>
  <si>
    <t>84911.31287</t>
  </si>
  <si>
    <t>(31287)AMENDOA CLEAN#BOUCLE SALVIA</t>
  </si>
  <si>
    <t>84911.31288</t>
  </si>
  <si>
    <t>(31288)AMENDOA CLEAN#CORANO BEGE</t>
  </si>
  <si>
    <t>84911.31290</t>
  </si>
  <si>
    <t>(31290)FRASSINO#CORANO BEGE</t>
  </si>
  <si>
    <t>84921.36176</t>
  </si>
  <si>
    <t>VOL CX BARRA CAMA CASAL 1,60 LOOP/LEDER 2025 2,130X0,357X0,117</t>
  </si>
  <si>
    <t>(36176)AMENDOA CLEAN</t>
  </si>
  <si>
    <t>84921.36180</t>
  </si>
  <si>
    <t>(36180)BRANCO</t>
  </si>
  <si>
    <t>84921.36184</t>
  </si>
  <si>
    <t>(36184)FRASSINO</t>
  </si>
  <si>
    <t>84924.34870</t>
  </si>
  <si>
    <t>VOL CX PAINEL CAMA CASAL 1,60 LOOP 2025 1,735X0,730X0,117</t>
  </si>
  <si>
    <t>(34870)AMENDOA CLEAN#BOUCLE SALVIA</t>
  </si>
  <si>
    <t>84924.34878</t>
  </si>
  <si>
    <t>(34878)AMENDOA CLEAN#CORANO BEGE</t>
  </si>
  <si>
    <t>84924.34883</t>
  </si>
  <si>
    <t>(34883)BRANCO#KORINO BRANCO</t>
  </si>
  <si>
    <t>84924.34891</t>
  </si>
  <si>
    <t>(34891)FRASSINO#BOUCLE SALVIA</t>
  </si>
  <si>
    <t>84924.34895</t>
  </si>
  <si>
    <t>(34895)FRASSINO#CORANO BEGE</t>
  </si>
  <si>
    <t>84929.37103</t>
  </si>
  <si>
    <t>VOL CX PAINEL CAMA CASAL 1,40 LEDER 2025 1,535X0,590X0,160</t>
  </si>
  <si>
    <t>(37103)AMENDOA CLEAN#L R BEG/C DT M</t>
  </si>
  <si>
    <t>84931.37071</t>
  </si>
  <si>
    <t>VOL CX PAINEL CAMA CASAL 1,60 LEDER 2025 1,735X0,590X0,185</t>
  </si>
  <si>
    <t>(37071)AMENDOA CLEAN#L R BEG/C DT M</t>
  </si>
  <si>
    <t>84938.36958</t>
  </si>
  <si>
    <t>VOL CX BARRA CAMA 0,90 LOOP 2025 2,018X0,357X0,100</t>
  </si>
  <si>
    <t>(36958)AMENDOA CLEAN</t>
  </si>
  <si>
    <t>84938.36959</t>
  </si>
  <si>
    <t>(36959)BRANCO</t>
  </si>
  <si>
    <t>84938.36960</t>
  </si>
  <si>
    <t>(36960)FRASSINO</t>
  </si>
  <si>
    <t>84941.36961</t>
  </si>
  <si>
    <t>VOL CX PAINEL CAMA 0,90 LOOP 2025 1,035X0,730X0,117</t>
  </si>
  <si>
    <t>(36961)AMENDOA CLEAN#BOUCLE SALVIA</t>
  </si>
  <si>
    <t>84941.36962</t>
  </si>
  <si>
    <t>(36962)AMENDOA CLEAN#CORANO BEGE</t>
  </si>
  <si>
    <t>84941.36963</t>
  </si>
  <si>
    <t>(36963)BRANCO#KORINO BRANCO</t>
  </si>
  <si>
    <t>84958.37035</t>
  </si>
  <si>
    <t>VOL CX TAMPO/DIV COMODA LOOP 2025 EXP 1,595X0,497X0,105</t>
  </si>
  <si>
    <t>(37035)BRANCO#C/LOGO</t>
  </si>
  <si>
    <t>84958.89592</t>
  </si>
  <si>
    <t>(89592)AMENDOA CLEAN#C/LOGO</t>
  </si>
  <si>
    <t>84966.36932</t>
  </si>
  <si>
    <t>VOL CX LAT/GAV COMODA LOOP 2025 EXP 0,880X0,495X0,197</t>
  </si>
  <si>
    <t>(36932)BRANCO#C/LOGO</t>
  </si>
  <si>
    <t>84966.89604</t>
  </si>
  <si>
    <t>(89604)AMENDOA CLEAN#C/LOGO</t>
  </si>
  <si>
    <t>85009.94964</t>
  </si>
  <si>
    <t>VOL CX MESA DE CABECEIRA LOOP 2024 EXP 0,720X0,393X0,128</t>
  </si>
  <si>
    <t>(94964)AMENDOA CLEAN#C/LOGO</t>
  </si>
  <si>
    <t>85009.94965</t>
  </si>
  <si>
    <t>(94965)BRANCO#C/LOGO</t>
  </si>
  <si>
    <t>85010.79078</t>
  </si>
  <si>
    <t>VOL CX QUADRO C/ESPELHO LEDER/LOOP EXP 1,285X0,683X0,042</t>
  </si>
  <si>
    <t>(79078)FRASSINO#C/LOGO</t>
  </si>
  <si>
    <t>85015.</t>
  </si>
  <si>
    <t>VOL CX VIDRO 1700X900 OFF WHITE CANTO COPO 1,750X1,050X0,045</t>
  </si>
  <si>
    <t>85024.55767</t>
  </si>
  <si>
    <t>VOL CX JOGO DE PES LOPAS C/06 COMODA LOOP 0,282X0,140X0,069</t>
  </si>
  <si>
    <t>(55767)AMENDOA CLEAN</t>
  </si>
  <si>
    <t>85024.55815</t>
  </si>
  <si>
    <t>(55815)FRASSINO</t>
  </si>
  <si>
    <t>85024.79508</t>
  </si>
  <si>
    <t>(79508)BRANCO</t>
  </si>
  <si>
    <t>85025.55816</t>
  </si>
  <si>
    <t>VOL CX JOGO DE PES LOPAS C/04 MESA DE CABECEIRA LOOP 0,185X0,140X0,075</t>
  </si>
  <si>
    <t>(55816)AMENDOA CLEAN</t>
  </si>
  <si>
    <t>85025.55817</t>
  </si>
  <si>
    <t>(55817)FRASSINO</t>
  </si>
  <si>
    <t>85025.79504</t>
  </si>
  <si>
    <t>(79504)BRANCO</t>
  </si>
  <si>
    <t>85027.45302</t>
  </si>
  <si>
    <t>VOL CX MAXI TAMPO 1,70 C/VIDRO CANT.COPO 1,800X1,000X0,095</t>
  </si>
  <si>
    <t>(45302)OFF WHITE</t>
  </si>
  <si>
    <t>85038.45301</t>
  </si>
  <si>
    <t>VOL CX MAXI TAMPO 1,20 C/VIDRO CANT.COPO 1,295X0,895X0,090</t>
  </si>
  <si>
    <t>(45301)OFF WHITE</t>
  </si>
  <si>
    <t>85124.46118</t>
  </si>
  <si>
    <t>VOL CX BASE MESA 1,20 SINTONIA 0,803X0,495X0,092</t>
  </si>
  <si>
    <t>(46118)AMENDOA CLEAN/OFF WH</t>
  </si>
  <si>
    <t>85124.46119</t>
  </si>
  <si>
    <t>(46119)FRASSINO/OFF WHITE</t>
  </si>
  <si>
    <t>85168.72819</t>
  </si>
  <si>
    <t>VOL CX BASE MESA 1,70 LUAR 0,835X0,605X0,136</t>
  </si>
  <si>
    <t>(72819)AMENDOA CLEAN</t>
  </si>
  <si>
    <t>85168.72886</t>
  </si>
  <si>
    <t>(72886)AMENDOA CLEAN/OFF WH</t>
  </si>
  <si>
    <t>85168.72896</t>
  </si>
  <si>
    <t>(72896)FRASSINO</t>
  </si>
  <si>
    <t>85168.72897</t>
  </si>
  <si>
    <t>(72897)FRASSINO/OFF WHITE</t>
  </si>
  <si>
    <t>85259.46258</t>
  </si>
  <si>
    <t>VOL CX QUADRO C/ESPELHO LEDER/LOOP 2025 EXP 1,290X0,768X0,047</t>
  </si>
  <si>
    <t>(46258)AMENDOA CLEAN#C/LOGO</t>
  </si>
  <si>
    <t>85259.46259</t>
  </si>
  <si>
    <t>(46259)BRANCO#C/LOGO</t>
  </si>
  <si>
    <t>85284.46043</t>
  </si>
  <si>
    <t>VOL CX CADEIRA APOGEU/RAYLA 2025 C/04 0,525X0,425X0,136</t>
  </si>
  <si>
    <t>(46043)AMENDOA CLEAN</t>
  </si>
  <si>
    <t>85297.46171</t>
  </si>
  <si>
    <t>VOL CX CADEIRA CELINA 2025 C/4 0,525X0,400X0,140</t>
  </si>
  <si>
    <t>(46171)AMENDOA CLEAN</t>
  </si>
  <si>
    <t>85315.46265</t>
  </si>
  <si>
    <t>VOL CX CADEIRA ASTRID C/4 0,510X0,400X0,126</t>
  </si>
  <si>
    <t>(46265)FRASSINO</t>
  </si>
  <si>
    <t>85335.46266</t>
  </si>
  <si>
    <t>VOL CX CADEIRA VENUS 2025 C/4 0,525X0,415X0,136</t>
  </si>
  <si>
    <t>(46266)AMENDOA CLEAN</t>
  </si>
  <si>
    <t>85335.46267</t>
  </si>
  <si>
    <t>(46267)FRASSINO</t>
  </si>
  <si>
    <t>85344.46422</t>
  </si>
  <si>
    <t>VOL CX CADEIRA LUAR C/04 0,528X0,398X0,138</t>
  </si>
  <si>
    <t>(46422)AMENDOA CLEAN</t>
  </si>
  <si>
    <t>85344.46423</t>
  </si>
  <si>
    <t>(46423)FRASSINO</t>
  </si>
  <si>
    <t>85366.46059</t>
  </si>
  <si>
    <t>VOL CX ASSENTO/ENCOSTO CADEIRA LUAR C/2 0,615X0,455X0,460</t>
  </si>
  <si>
    <t>(46059)BOUCLE BEGE</t>
  </si>
  <si>
    <t>85366.46060</t>
  </si>
  <si>
    <t>(46060)COURO MORANO AVELA</t>
  </si>
  <si>
    <t>85366.46061</t>
  </si>
  <si>
    <t>(46061)LINHO MOSAICO</t>
  </si>
  <si>
    <t>85366.46062</t>
  </si>
  <si>
    <t>(46062)LINHO RINZAI BEGE</t>
  </si>
  <si>
    <t>85366.46063</t>
  </si>
  <si>
    <t>(46063)SUEDE ANIMALE BEGE</t>
  </si>
  <si>
    <t>85366.46064</t>
  </si>
  <si>
    <t>(46064)VELUDO LISO CAPUCCINO</t>
  </si>
  <si>
    <t>85366.46065</t>
  </si>
  <si>
    <t>(46065)VELUDO NATURALE CREME</t>
  </si>
  <si>
    <t>85436.46143</t>
  </si>
  <si>
    <t>VOL CX CADEIRA LUAR C/06 0,530X0,495X0,160</t>
  </si>
  <si>
    <t>(46143)AMENDOA CLEAN</t>
  </si>
  <si>
    <t>85436.46144</t>
  </si>
  <si>
    <t>(46144)FRASSINO</t>
  </si>
  <si>
    <t>85462.46365</t>
  </si>
  <si>
    <t>VOL CX CADEIRA APOGEU/RAYLA 2025 C/06 0,545X0,435X0,183</t>
  </si>
  <si>
    <t>(46365)AMENDOA CLEAN</t>
  </si>
  <si>
    <t>85462.46366</t>
  </si>
  <si>
    <t>(46366)FRASSINO</t>
  </si>
  <si>
    <t>85474.46145</t>
  </si>
  <si>
    <t>VOL CX CADEIRA CELINA 2025 C/6 0,530X0,500X0,165</t>
  </si>
  <si>
    <t>(46145)AMENDOA CLEAN</t>
  </si>
  <si>
    <t>85507.46194</t>
  </si>
  <si>
    <t>VOL CX CADEIRA VENUS 2025 C/6 0,545X0,435X0,183</t>
  </si>
  <si>
    <t>(46194)AMENDOA CLEAN</t>
  </si>
  <si>
    <t>85507.46195</t>
  </si>
  <si>
    <t>(46195)FRASSINO</t>
  </si>
  <si>
    <t>85524.46104</t>
  </si>
  <si>
    <t>VOL CX CADEIRA ASTRID C/6 0,530X0,420X0,178</t>
  </si>
  <si>
    <t>(46104)FRASSINO</t>
  </si>
  <si>
    <t>85543.46224</t>
  </si>
  <si>
    <t>VOL CX CADEIRA ATHENAS C/4 1,085X0,390X0,140</t>
  </si>
  <si>
    <t>(46224)AMENDOA CLEAN</t>
  </si>
  <si>
    <t>85553.46147</t>
  </si>
  <si>
    <t>VOL CX CADEIRA ATHENAS C/6 1,085X0,390X0,190</t>
  </si>
  <si>
    <t>(46147)AMENDOA CLEAN</t>
  </si>
  <si>
    <t>85553.46148</t>
  </si>
  <si>
    <t>(46148)FRASSINO</t>
  </si>
  <si>
    <t>85594.48661</t>
  </si>
  <si>
    <t>VOL CX CADEIRA BONNA C/2 0,580X0,440X0,365</t>
  </si>
  <si>
    <t>(48661)AMENDOA CLEAN#SUEDE ANIMALE BEGE</t>
  </si>
  <si>
    <t>85594.48662</t>
  </si>
  <si>
    <t>(48662)AMENDOA CLEAN#VELUDO NATURALE CREME</t>
  </si>
  <si>
    <t>85594.67929</t>
  </si>
  <si>
    <t>(67929)AMENDOA CLEAN#LINHO RINZAI BEGE</t>
  </si>
  <si>
    <t>85640.48879</t>
  </si>
  <si>
    <t>VOL CX CADEIRA TESSERA C/4 0,540X0,295X0,170</t>
  </si>
  <si>
    <t>(48879)AMENDOA CLEAN</t>
  </si>
  <si>
    <t>85644.48775</t>
  </si>
  <si>
    <t>VOL CX CADEIRA TESSERA C/6 0,540X0,435X0,197</t>
  </si>
  <si>
    <t>(48775)AMENDOA CLEAN</t>
  </si>
  <si>
    <t>85648.60575</t>
  </si>
  <si>
    <t>VOL CX BASE MESA 1,20 TESSERA 0,740X0,615X0,615</t>
  </si>
  <si>
    <t>(60575)AMENDOA CLEAN</t>
  </si>
  <si>
    <t>85651.49985</t>
  </si>
  <si>
    <t>VOL CX BARRA CAMA 1,60 FREETOWN 2025 2,075X0,345X0,110</t>
  </si>
  <si>
    <t>(49985)BRANCO</t>
  </si>
  <si>
    <t>85654.49955</t>
  </si>
  <si>
    <t>VOL CX CAB C/LED/PAIN ESTOF CAMA 1,60 FREETOWN 2025 1,835X0,698X0,092</t>
  </si>
  <si>
    <t>(49955)AMENDOA CLEAN/BRANCO#KOR.BRANCO C/LED</t>
  </si>
  <si>
    <t>85670.49971</t>
  </si>
  <si>
    <t>VOL CX CAB S/LED/PAIN ESTOF CAMA 1,60 FREETOWN 25 1,835X0,698X0,092</t>
  </si>
  <si>
    <t>(49971)AMENDOA CLEAN/BRANCO#KOR.BRANCO S/LE</t>
  </si>
  <si>
    <t>86071.68015</t>
  </si>
  <si>
    <t>VOL CX BASE MESA 1,70 TESSERA 0,740X0,595X0,515</t>
  </si>
  <si>
    <t>(68015)AMENDOA CLEAN</t>
  </si>
  <si>
    <t>86204.69433</t>
  </si>
  <si>
    <t>VOL CX GR 2PTS QUADRIX/PAMPULHA TAMPO/MOLD 1,590X0,535X0,097</t>
  </si>
  <si>
    <t>(69433)AMENDOA CLEAN/OFF WH</t>
  </si>
  <si>
    <t>86265.69384</t>
  </si>
  <si>
    <t>VOL CX GR 2PTS QUADRIX/PAMPULHA LAT/DIV 2,380X0,535X0,078</t>
  </si>
  <si>
    <t>(69384)AMENDOA CLEAN/OFF WH</t>
  </si>
  <si>
    <t>86318.69507</t>
  </si>
  <si>
    <t>VOL CX GR 2/3PTS QUADRIX/PAMPULHA 2 PORTAS MDF 2,190X0,750X0,055</t>
  </si>
  <si>
    <t>(69507)AMENDOA CLEAN/OFF WH</t>
  </si>
  <si>
    <t>86324.69481</t>
  </si>
  <si>
    <t>VOL CX GR 2PTS QUADRIX/PAMPULHA 1 PORTA MDF 2,190X0,750X0,055</t>
  </si>
  <si>
    <t>(69481)AMENDOA CLEAN/OFF WH</t>
  </si>
  <si>
    <t>86327.</t>
  </si>
  <si>
    <t>VOL CX GR 2/3PTS QUADRIX/PAMPULHA 1PT GLASS 2,185X0,915X0,040</t>
  </si>
  <si>
    <t>86332.70257</t>
  </si>
  <si>
    <t>VOL CX GR 3PTS QUADRIX/PAMPULHA TAMPO/MOLD 2,355X0,535X0,110</t>
  </si>
  <si>
    <t>(70257)AMENDOA CLEAN/OFF WH</t>
  </si>
  <si>
    <t>86373.70255</t>
  </si>
  <si>
    <t>VOL CX GR 3PTS QUADRIX/PAMPULHA LAT/DIV 2,380X0,535X0,108</t>
  </si>
  <si>
    <t>(70255)AMENDOA CLEAN</t>
  </si>
  <si>
    <t>86383.70244</t>
  </si>
  <si>
    <t>VOL CX GR 3PTS QUADRIX/PAMPULHA 3 PORTAS MDF 2,190X0,750X0,069</t>
  </si>
  <si>
    <t>(70244)AMENDOA CLEAN/OFF WH</t>
  </si>
  <si>
    <t>86392.74072</t>
  </si>
  <si>
    <t>VOL CX BASE MESA 1,70 EASY TOWER/1,60 LAINI 0,938X0,437X0,097</t>
  </si>
  <si>
    <t>(74072)AMENDOA CLEAN/OFF WH</t>
  </si>
  <si>
    <t>86513.79214</t>
  </si>
  <si>
    <t>VOL CX TAMPO COMODA 8GAV/2PTS IMPERADOR 1,435X0,480X0,085</t>
  </si>
  <si>
    <t>(79214)AMENDOA CLEAN</t>
  </si>
  <si>
    <t>86513.79215</t>
  </si>
  <si>
    <t>(79215)BRANCO</t>
  </si>
  <si>
    <t>86514.79216</t>
  </si>
  <si>
    <t>VOL CX PTS/GAV COMODA 8GAV/2PTS IMPERADOR 1,175X0,465X0,170</t>
  </si>
  <si>
    <t>(79216)BRANCO</t>
  </si>
  <si>
    <t>86514.79217</t>
  </si>
  <si>
    <t>(79217)AMENDOA CLEAN</t>
  </si>
  <si>
    <t>86837.88834</t>
  </si>
  <si>
    <t>VOL CX BASE 1,20 EASY LOVE 0,830X0,565X0,075</t>
  </si>
  <si>
    <t>(88834)AMENDOA CLEAN</t>
  </si>
  <si>
    <t>87023.90072</t>
  </si>
  <si>
    <t>VOL CX PAINEL CAMA CASAL 1,80 LOOP 2025 1,940X0,593X0,180</t>
  </si>
  <si>
    <t>(90072)AMENDOA CLEAN#CORANO BEGE#C/LOGO</t>
  </si>
  <si>
    <t>87023.90073</t>
  </si>
  <si>
    <t>(90073)BRANCO#KORINO BRANCO#C/LOGO</t>
  </si>
  <si>
    <t>87025.90076</t>
  </si>
  <si>
    <t>VOL CX BARRA CAMA CASAL 1,80 LOOP/LEDER 2025 2,130X0,357X0,117</t>
  </si>
  <si>
    <t>(90076)AMENDOA CLEAN#C/LOGO</t>
  </si>
  <si>
    <t>87025.90077</t>
  </si>
  <si>
    <t>(90077)BRANCO#C/LOGO</t>
  </si>
  <si>
    <t>87100.90670</t>
  </si>
  <si>
    <t>VOL CX VOL 1 COZINHA NINA - PANELEIRO 1,285X0,685X0,140</t>
  </si>
  <si>
    <t>(90670)AMENDOA CLEAN/BRANCO</t>
  </si>
  <si>
    <t>87100.90671</t>
  </si>
  <si>
    <t>(90671)BRANCO</t>
  </si>
  <si>
    <t>87103.90674</t>
  </si>
  <si>
    <t>VOL CX VOL 2 COZINHA NINA - BALCÃO 3 PTS 1,270X0,515X0,135</t>
  </si>
  <si>
    <t>(90674)AMENDOA CLEAN/BRANCO</t>
  </si>
  <si>
    <t>87103.90675</t>
  </si>
  <si>
    <t>(90675)BRANCO</t>
  </si>
  <si>
    <t>87105.90678</t>
  </si>
  <si>
    <t>VOL CX VOL 3 COZINHA NINA - BALCÃO 2 PTS 0,880X0,515X0,120</t>
  </si>
  <si>
    <t>(90678)AMENDOA CLEAN/BRANCO</t>
  </si>
  <si>
    <t>87105.90679</t>
  </si>
  <si>
    <t>(90679)BRANCO</t>
  </si>
  <si>
    <t>87107.90682</t>
  </si>
  <si>
    <t>VOL CX VOL 4 COZINHA NINA - AÉREO 3 PTS 1,415X0,405X0,105</t>
  </si>
  <si>
    <t>(90682)AMENDOA CLEAN/BRANCO</t>
  </si>
  <si>
    <t>87107.90683</t>
  </si>
  <si>
    <t>(90683)BRANCO</t>
  </si>
  <si>
    <t>87110.90686</t>
  </si>
  <si>
    <t>VOL CX VOL 5 COZINHA NINA - AÉREO 2 PTS 0,880X0,405X0,120</t>
  </si>
  <si>
    <t>(90686)AMENDOA CLEAN/BRANCO</t>
  </si>
  <si>
    <t>87110.90687</t>
  </si>
  <si>
    <t>(90687)BRANCO</t>
  </si>
  <si>
    <t>87112.90690</t>
  </si>
  <si>
    <t>VOL CX VOL 6 COZINHA NINA - BASCULANTE 0,880X0,350X0,095</t>
  </si>
  <si>
    <t>(90690)BRANCO</t>
  </si>
  <si>
    <t>87112.90691</t>
  </si>
  <si>
    <t>(90691)AMENDOA CLEAN/BRANCO</t>
  </si>
  <si>
    <t>87121.90710</t>
  </si>
  <si>
    <t>VOL CX TAMPO GR 04 PTS LOOP 1,880X0,520X0,105</t>
  </si>
  <si>
    <t>(90710)AMENDOA CLEAN</t>
  </si>
  <si>
    <t>87121.90711</t>
  </si>
  <si>
    <t>(90711)BRANCO</t>
  </si>
  <si>
    <t>87123.90716</t>
  </si>
  <si>
    <t>VOL CX LAT/DIV GR 04 PTS LOOP 2,420X0,555X0,125</t>
  </si>
  <si>
    <t>(90716)AMENDOA CLEAN</t>
  </si>
  <si>
    <t>87123.90717</t>
  </si>
  <si>
    <t>(90717)AMENDOA CLEAN/OFF WH</t>
  </si>
  <si>
    <t>87123.90719</t>
  </si>
  <si>
    <t>(90719)BRANCO</t>
  </si>
  <si>
    <t>87126.90724</t>
  </si>
  <si>
    <t>VOL CX PORTAS/MOLD GR 04 PTS LOOP 2,405X0,420X0,100</t>
  </si>
  <si>
    <t>(90724)AMENDOA CLEAN</t>
  </si>
  <si>
    <t>87126.90725</t>
  </si>
  <si>
    <t>(90725)AMENDOA CLEAN/OFF WH</t>
  </si>
  <si>
    <t>87126.90727</t>
  </si>
  <si>
    <t>(90727)BRANCO</t>
  </si>
  <si>
    <t>87128.90730</t>
  </si>
  <si>
    <t>VOL CX COSTAS GR 04 PTS LOOP 2,265X0,920X0,006</t>
  </si>
  <si>
    <t>(90730)AMENDOA CLEAN</t>
  </si>
  <si>
    <t>87128.90731</t>
  </si>
  <si>
    <t>(90731)BRANCO</t>
  </si>
  <si>
    <t>87130.90734</t>
  </si>
  <si>
    <t>VOL CX JOGO DE PES LOPAS C/06 GR LOOP 0,282X0,140X0,069</t>
  </si>
  <si>
    <t>(90734)AMENDOA CLEAN</t>
  </si>
  <si>
    <t>87130.90735</t>
  </si>
  <si>
    <t>(90735)BRANCO</t>
  </si>
  <si>
    <t>87139.90809</t>
  </si>
  <si>
    <t>VOL CX GR 03PTS ATLAS TAMPO/FUNDO/LATERAL 2,120X0,515X0,090</t>
  </si>
  <si>
    <t>(90809)AMENDOA CLEAN</t>
  </si>
  <si>
    <t>87139.90810</t>
  </si>
  <si>
    <t>(90810)BRANCO</t>
  </si>
  <si>
    <t>87140.102458</t>
  </si>
  <si>
    <t>VOL CX GR 03PTS ATLAS PORTAS/COSTAS 1,920X0,555X0,095</t>
  </si>
  <si>
    <t>(102458)AMENDOA CLEAN/BRANCO</t>
  </si>
  <si>
    <t>87140.90813</t>
  </si>
  <si>
    <t>(90813)AMENDOA CLEAN/OFF WH</t>
  </si>
  <si>
    <t>87140.90814</t>
  </si>
  <si>
    <t>(90814)BRANCO</t>
  </si>
  <si>
    <t>87142.90821</t>
  </si>
  <si>
    <t>VOL CX PENTEADEIRA LIVIA C/LED - VOL 1 1,260X0,685X0,105</t>
  </si>
  <si>
    <t>(90821)BRANCO</t>
  </si>
  <si>
    <t>87143.</t>
  </si>
  <si>
    <t>VOL CX ESP PENTEADEIRA LIVIA - VOL 2 1,165X0,719X0,045</t>
  </si>
  <si>
    <t>87164.90907</t>
  </si>
  <si>
    <t>VOL CX MULTIFUNCIONAL 2PTS DAVI/BLISS 1,845X0,515X0,081</t>
  </si>
  <si>
    <t>(90907)AMENDOA CLEAN</t>
  </si>
  <si>
    <t>87164.90908</t>
  </si>
  <si>
    <t>(90908)AMENDOA CLEAN/BRANCO</t>
  </si>
  <si>
    <t>87164.93271</t>
  </si>
  <si>
    <t>(93271)BRANCO</t>
  </si>
  <si>
    <t>87168.90917</t>
  </si>
  <si>
    <t>VOL CX COMODA SUAVITA 1,070X0,485X0,151</t>
  </si>
  <si>
    <t>(90917)AMENDOA CLEAN</t>
  </si>
  <si>
    <t>87168.90918</t>
  </si>
  <si>
    <t>(90918)AMENDOA CLEAN/OFF WH</t>
  </si>
  <si>
    <t>87376.91516</t>
  </si>
  <si>
    <t>VOL CX MESA DE CABECEIRA SUAVITA 0,711X0,470X0,112</t>
  </si>
  <si>
    <t>(91516)AMENDOA CLEAN</t>
  </si>
  <si>
    <t>87376.91517</t>
  </si>
  <si>
    <t>(91517)AMENDOA CLEAN/OFF WH</t>
  </si>
  <si>
    <t>87460.91599</t>
  </si>
  <si>
    <t>VOL CX GR 8PTS SERENATA TAMPO/LATERAL 2,425X0,468X0,095</t>
  </si>
  <si>
    <t>(91599)AMENDOA CLEAN</t>
  </si>
  <si>
    <t>87460.91600</t>
  </si>
  <si>
    <t>(91600)BRANCO</t>
  </si>
  <si>
    <t>87462.91603</t>
  </si>
  <si>
    <t>VOL CX GR 8PTS SERENATA DIV/COSTAS 1,970X0,595X0,080</t>
  </si>
  <si>
    <t>(91603)AMENDOA CLEAN</t>
  </si>
  <si>
    <t>87462.91604</t>
  </si>
  <si>
    <t>(91604)BRANCO</t>
  </si>
  <si>
    <t>87469.91611</t>
  </si>
  <si>
    <t>VOL CX GR 8PTS SERENATA PORTAS 1,950X0,305X0,130</t>
  </si>
  <si>
    <t>(91611)AMENDOA CLEAN</t>
  </si>
  <si>
    <t>87469.91612</t>
  </si>
  <si>
    <t>(91612)BRANCO</t>
  </si>
  <si>
    <t>87469.91613</t>
  </si>
  <si>
    <t>(91613)OFF WHITE</t>
  </si>
  <si>
    <t>87470.91617</t>
  </si>
  <si>
    <t>VOL CX KIT C/8 PUXADORES GR SERENATA 0,370X0,140X0,075</t>
  </si>
  <si>
    <t>(91617)AMENDOA CLEAN</t>
  </si>
  <si>
    <t>87470.91618</t>
  </si>
  <si>
    <t>(91618)BRANCO</t>
  </si>
  <si>
    <t>87472.91623</t>
  </si>
  <si>
    <t>VOL CX MESA GUARAPARI C/4 CAD EASY LINE 1,120X0,710X0,135</t>
  </si>
  <si>
    <t>(91623)AMENDOA CLEAN#LINHO RINZAI BEGE</t>
  </si>
  <si>
    <t>87553.93187</t>
  </si>
  <si>
    <t>VOL CX GR 6PTS SUAVITA TAMPO 2,775X0,490X0,077</t>
  </si>
  <si>
    <t>(93187)AMENDOA CLEAN</t>
  </si>
  <si>
    <t>87559.93189</t>
  </si>
  <si>
    <t>VOL CX GR 6PTS SUAVITA LAT/GAV 2,380X0,510X0,080</t>
  </si>
  <si>
    <t>(93189)AMENDOA CLEAN</t>
  </si>
  <si>
    <t>87560.93191</t>
  </si>
  <si>
    <t>VOL CX GR 6PTS SUAVITA DIV/PRAT 2,230X0,490X0,090</t>
  </si>
  <si>
    <t>(93191)AMENDOA CLEAN</t>
  </si>
  <si>
    <t>87562.93213</t>
  </si>
  <si>
    <t>VOL CX GR 6PTS SUAVITA PORTAS MDF 2,260X0,465X0,105</t>
  </si>
  <si>
    <t>(93213)AMENDOA CLEAN</t>
  </si>
  <si>
    <t>87562.93214</t>
  </si>
  <si>
    <t>(93214)OFF WHITE</t>
  </si>
  <si>
    <t>87563.93211</t>
  </si>
  <si>
    <t>VOL CX KIT C/6 PUX P/PORTA MDF GR SUAVITA 0,485X0,172X0,120</t>
  </si>
  <si>
    <t>(93211)AMENDOA CLEAN</t>
  </si>
  <si>
    <t>87563.93212</t>
  </si>
  <si>
    <t>(93212)OFF WHITE</t>
  </si>
  <si>
    <t>87564.93215</t>
  </si>
  <si>
    <t>VOL CX GR 6PTS SUAVITA 3 PORTAS VIDRO 2,260X0,458X0,065</t>
  </si>
  <si>
    <t>(93215)AMENDOA CLEAN</t>
  </si>
  <si>
    <t>87565.93217</t>
  </si>
  <si>
    <t>VOL CX KIT C/6 PUXADORES P/PORTA VIDRO GR SUAVITA 0,485X0,172X0,120</t>
  </si>
  <si>
    <t>(93217)AMENDOA CLEAN</t>
  </si>
  <si>
    <t>87566.</t>
  </si>
  <si>
    <t>VOL CX C/4 ESP EXTERNO 1087X375X3MM C/8 SUP CROMADO 1,115X0,390X0,046</t>
  </si>
  <si>
    <t>87626.93315</t>
  </si>
  <si>
    <t>VOL CX ASSENTO/ENCOSTO CAD LAINI C/2 0,585X0,370X0,430</t>
  </si>
  <si>
    <t>(93315)LINHO RINZAI BEGE</t>
  </si>
  <si>
    <t>87626.93316</t>
  </si>
  <si>
    <t>(93316)VELUDO NATURALE CREME</t>
  </si>
  <si>
    <t>87646.93332</t>
  </si>
  <si>
    <t>VOL CX CADEIRA LAINI C/02 0,515X0,235X0,158</t>
  </si>
  <si>
    <t>(93332)AMENDOA CLEAN</t>
  </si>
  <si>
    <t>87812.94547</t>
  </si>
  <si>
    <t>VOL CADEIRA EASY LINE C/2 0,970X0,385X0,104</t>
  </si>
  <si>
    <t>(94547)AMENDOA CLEAN#LINHO RINZAI BEGE</t>
  </si>
  <si>
    <t>94924.</t>
  </si>
  <si>
    <t>VOL KIT LED P/PORTA VIDRO 3,010X0,160X0,060</t>
  </si>
  <si>
    <t>95029.99250</t>
  </si>
  <si>
    <t>VOL CX CADEIRA LAINI C/04 0,525X0,425X0,136</t>
  </si>
  <si>
    <t>(99250)AMENDOA CLEAN</t>
  </si>
  <si>
    <t>95040.99258</t>
  </si>
  <si>
    <t>VOL CX CADEIRA LAINI C/06 0,545X0,435X0,183</t>
  </si>
  <si>
    <t>(99258)AMENDOA CLEAN</t>
  </si>
  <si>
    <t>97189.99485</t>
  </si>
  <si>
    <t>VOL CX GR SUAVITA 6PTS COSTAS 2,185X0,905X0,010</t>
  </si>
  <si>
    <t>(99485)AMENDOA CLEAN</t>
  </si>
  <si>
    <t>97299.112328</t>
  </si>
  <si>
    <t>VOL CX BARRA CAMA CASAL ATHENAS 2022 EXP 1,975X0,340X0,080</t>
  </si>
  <si>
    <t>(112328)BRANCO#C/LOGO</t>
  </si>
  <si>
    <t>97299.99826</t>
  </si>
  <si>
    <t>(99826)AMENDOA CLEAN#C/LOGO</t>
  </si>
  <si>
    <t>97300.112330</t>
  </si>
  <si>
    <t>VOL CX CAB/PES CAMA CASAL ATHENAS PLUS EXP 1,290X0,460X0,057</t>
  </si>
  <si>
    <t>(112330)BRANCO#C/LOGO</t>
  </si>
  <si>
    <t>97300.99825</t>
  </si>
  <si>
    <t>(99825)AMENDOA CLEAN/OFF WH#C/LOGO</t>
  </si>
  <si>
    <t>97301.112332</t>
  </si>
  <si>
    <t>VOL CX PES CAMA CASAL ATHENAS PLUS EXP 1,625X0,200X0,100</t>
  </si>
  <si>
    <t>(112332)BRANCO#C/LOGO</t>
  </si>
  <si>
    <t>97301.99824</t>
  </si>
  <si>
    <t>(99824)AMENDOA CLEAN#C/LOGO</t>
  </si>
  <si>
    <t>97305.99891</t>
  </si>
  <si>
    <t>VOL CX BARRA CAMA SOLT ATHENAS 2022 EXP 1,975X0,395X0,045</t>
  </si>
  <si>
    <t>(99891)AMENDOA CLEAN#C/LOGO</t>
  </si>
  <si>
    <t>97308.99991</t>
  </si>
  <si>
    <t>VOL CX MESA DE CABECEIRA 3GAV BAIAO 2021 EXP 0,670X0,390X0,140</t>
  </si>
  <si>
    <t>(99991)AMENDOA CLEAN#C/LOGO</t>
  </si>
  <si>
    <t>97308.99992</t>
  </si>
  <si>
    <t>(99992)AMENDOA CLEAN/OFF WH#C/LOGO</t>
  </si>
  <si>
    <t>97308.99993</t>
  </si>
  <si>
    <t>(99993)BRANCO#C/LOGO</t>
  </si>
  <si>
    <t>2102.12836</t>
  </si>
  <si>
    <t>(12836)BRANCO</t>
  </si>
  <si>
    <t>2103.13947</t>
  </si>
  <si>
    <t>(13947)BRANCO</t>
  </si>
  <si>
    <t>2104.13959</t>
  </si>
  <si>
    <t>(13959)BRANCO</t>
  </si>
  <si>
    <t>2246.12516</t>
  </si>
  <si>
    <t>(12516)AMENDOA CLEAN</t>
  </si>
  <si>
    <t>2275.13753</t>
  </si>
  <si>
    <t>VOL CX GR 6 PTS LOOP DIV/PRAT 2,305X0,520X0,103</t>
  </si>
  <si>
    <t>(13753)FRASSINO</t>
  </si>
  <si>
    <t>2318.12318</t>
  </si>
  <si>
    <t>(12318)FRASSINO</t>
  </si>
  <si>
    <t>2319.12526</t>
  </si>
  <si>
    <t>(12526)FRASSINO</t>
  </si>
  <si>
    <t>2320.13076</t>
  </si>
  <si>
    <t>(13076)FRASSINO/OFF WHITE</t>
  </si>
  <si>
    <t>75841.13222</t>
  </si>
  <si>
    <t>VOL CX GR 6 PTS LOOP 2024 TAMPO 2,735X0,515X0,083</t>
  </si>
  <si>
    <t>(13222)FRASSINO/SALVIA</t>
  </si>
  <si>
    <t>75868.13792</t>
  </si>
  <si>
    <t>(13792)SALVIA</t>
  </si>
  <si>
    <t>75871.13621</t>
  </si>
  <si>
    <t>(13621)FRASSINO</t>
  </si>
  <si>
    <t>76348.13617</t>
  </si>
  <si>
    <t>(13617)FRASSINO</t>
  </si>
  <si>
    <t>84635.31549</t>
  </si>
  <si>
    <t>VOL CX TAMPO GR 06 PTS 2,40 STYLE 2,450X0,510X0,092</t>
  </si>
  <si>
    <t>(31549)FRASSINO</t>
  </si>
  <si>
    <t>84688.31337</t>
  </si>
  <si>
    <t>VOL CX LATERAL GR 06 PTS 2,40 STYLE 2,395X0,555X0,073</t>
  </si>
  <si>
    <t>(31337)FRASSINO</t>
  </si>
  <si>
    <t>84701.32131</t>
  </si>
  <si>
    <t>VOL CX DIVISAO GR 06PTS 2,40 STYLE 2,250X0,510X0,073</t>
  </si>
  <si>
    <t>(32131)FRASSINO</t>
  </si>
  <si>
    <t>84712.31797</t>
  </si>
  <si>
    <t>VOL CX COSTAS GR 6PTS 2,40 STYLE 2,207X0,803X0,012</t>
  </si>
  <si>
    <t>(31797)FRASSINO</t>
  </si>
  <si>
    <t>84715.31343</t>
  </si>
  <si>
    <t>VOL CX PORTAS GR 6PTS 2,40 STYLE 2,292X0,410X0,102</t>
  </si>
  <si>
    <t>(31343)OFF WHITE</t>
  </si>
  <si>
    <t>84800.43035</t>
  </si>
  <si>
    <t>(43035)FRASSINO</t>
  </si>
  <si>
    <t>84809.42186</t>
  </si>
  <si>
    <t>(42186)FRASSINO</t>
  </si>
  <si>
    <t>84836.30749</t>
  </si>
  <si>
    <t>(30749)AMENDOA CLEAN</t>
  </si>
  <si>
    <t>84860.30884</t>
  </si>
  <si>
    <t>VOL CX TAMPO GR 06 PTS OLLIE II 2025 2,775X0,550X0,092</t>
  </si>
  <si>
    <t>(30884)AMENDOA CLEAN</t>
  </si>
  <si>
    <t>84866.30886</t>
  </si>
  <si>
    <t>VOL CX DIV GR 06 PTS OLLIE II 2025 2,275X0,550X0,073</t>
  </si>
  <si>
    <t>(30886)AMENDOA CLEAN</t>
  </si>
  <si>
    <t>86204.69459</t>
  </si>
  <si>
    <t>(69459)FRASSINO/OFF WHITE</t>
  </si>
  <si>
    <t>86265.69401</t>
  </si>
  <si>
    <t>(69401)FRASSINO/OFF WHITE</t>
  </si>
  <si>
    <t>86318.69508</t>
  </si>
  <si>
    <t>(69508)FRASSINO/OFF WHITE</t>
  </si>
  <si>
    <t>86324.69485</t>
  </si>
  <si>
    <t>(69485)FRASSINO/OFF WHITE</t>
  </si>
  <si>
    <t>86332.70256</t>
  </si>
  <si>
    <t>(70256)FRASSINO/OFF WHITE</t>
  </si>
  <si>
    <t>86373.70254</t>
  </si>
  <si>
    <t>(70254)FRASSINO</t>
  </si>
  <si>
    <t>2406.12362</t>
  </si>
  <si>
    <t>(12362)AMENDOA CLEAN</t>
  </si>
  <si>
    <t>2407.12544</t>
  </si>
  <si>
    <t>(12544)AMENDOA CLEAN</t>
  </si>
  <si>
    <t>2408.13092</t>
  </si>
  <si>
    <t>(13092)AMENDOA CLEAN</t>
  </si>
  <si>
    <t>72777.13607</t>
  </si>
  <si>
    <t>(13607)AMENDOA CLEAN</t>
  </si>
  <si>
    <t>72777.13613</t>
  </si>
  <si>
    <t>(13613)OFF WHITE</t>
  </si>
  <si>
    <t>72829.16467</t>
  </si>
  <si>
    <t>(16467)FRASSINO</t>
  </si>
  <si>
    <t>72879.16176</t>
  </si>
  <si>
    <t>(16176)BOUCLE SALVIA#FRASSINO</t>
  </si>
  <si>
    <t>73166.15996</t>
  </si>
  <si>
    <t>(15996)FRASSINO</t>
  </si>
  <si>
    <t>73233.15555</t>
  </si>
  <si>
    <t>VOL CX MESA DE CABECEIRA C/2 GAV LEDER 0,625X0,437X0,133</t>
  </si>
  <si>
    <t>(15555)AMENDOA CLEAN</t>
  </si>
  <si>
    <t>73233.15556</t>
  </si>
  <si>
    <t>(15556)FRASSINO</t>
  </si>
  <si>
    <t>73255.15557</t>
  </si>
  <si>
    <t>VOL CX MESA DE CABECEIRA C/2 GAV LOOP 0,720X0,393X0,128</t>
  </si>
  <si>
    <t>(15557)AMENDOA CLEAN/OFF WH</t>
  </si>
  <si>
    <t>73276.15754</t>
  </si>
  <si>
    <t>(15754)FRASSINO</t>
  </si>
  <si>
    <t>73277.16323</t>
  </si>
  <si>
    <t>(16323)FRASSINO</t>
  </si>
  <si>
    <t>73277.16324</t>
  </si>
  <si>
    <t>(16324)FRASSINO/OFF WHITE</t>
  </si>
  <si>
    <t>73285.16003</t>
  </si>
  <si>
    <t>(16003)FRASSINO</t>
  </si>
  <si>
    <t>73285.16004</t>
  </si>
  <si>
    <t>(16004)FRASSINO/OFF WHITE</t>
  </si>
  <si>
    <t>73286.16527</t>
  </si>
  <si>
    <t>(16527)FRASSINO</t>
  </si>
  <si>
    <t>73286.16528</t>
  </si>
  <si>
    <t>(16528)FRASSINO/OFF WHITE</t>
  </si>
  <si>
    <t>73350.16677</t>
  </si>
  <si>
    <t>VOL CX TAMPO MESA 1,60 AL/APOG/AST C/VID SER C. COPO 1,695X0,895X0,075</t>
  </si>
  <si>
    <t>(16677)OFF WHITE</t>
  </si>
  <si>
    <t>73534.16694</t>
  </si>
  <si>
    <t>(16694)BOUCLE BEGE</t>
  </si>
  <si>
    <t>73534.16698</t>
  </si>
  <si>
    <t>(16698)LINHO RINZAI BEGE</t>
  </si>
  <si>
    <t>73534.16701</t>
  </si>
  <si>
    <t>(16701)VELUDO LISO CAPUCCINO</t>
  </si>
  <si>
    <t>73534.46226</t>
  </si>
  <si>
    <t>(46226)COURO MORANO AVELA</t>
  </si>
  <si>
    <t>73534.46235</t>
  </si>
  <si>
    <t>(46235)LINHO MOSAICO</t>
  </si>
  <si>
    <t>74551.31311</t>
  </si>
  <si>
    <t>(31311)FRASSINO</t>
  </si>
  <si>
    <t>74552.31967</t>
  </si>
  <si>
    <t>(31967)FRASSINO</t>
  </si>
  <si>
    <t>77197.13224</t>
  </si>
  <si>
    <t>VOL CX GR 6 PTS OLLIE 2024 C/2 PORTAS RIPADA 2,295X0,455X0,060</t>
  </si>
  <si>
    <t>(13224)AMENDOA CLEAN</t>
  </si>
  <si>
    <t>81941.31367</t>
  </si>
  <si>
    <t>(31367)FRASSINO</t>
  </si>
  <si>
    <t>81942.32035</t>
  </si>
  <si>
    <t>(32035)FRASSINO</t>
  </si>
  <si>
    <t>83251.31595</t>
  </si>
  <si>
    <t>(31595)FRASSINO/SALVIA</t>
  </si>
  <si>
    <t>83251.31597</t>
  </si>
  <si>
    <t>(31597)FRASSINO/OFF WHITE</t>
  </si>
  <si>
    <t>84901.31285</t>
  </si>
  <si>
    <t>(31285)FRASSINO</t>
  </si>
  <si>
    <t>84911.31289</t>
  </si>
  <si>
    <t>(31289)FRASSINO#BOUCLE SALVIA</t>
  </si>
  <si>
    <t>84941.36965</t>
  </si>
  <si>
    <t>(36965)FRASSINO#CORANO BEGE</t>
  </si>
  <si>
    <t>84946.37107</t>
  </si>
  <si>
    <t>VOL CX PAINEL CAB CASAL 1,60 LOOP 2025 1,737X0,590X0,118</t>
  </si>
  <si>
    <t>(37107)AMENDOA CLEAN#BOUCLE SALVIA</t>
  </si>
  <si>
    <t>84946.37108</t>
  </si>
  <si>
    <t>(37108)AMENDOA CLEAN#CORANO BEGE</t>
  </si>
  <si>
    <t>84946.37109</t>
  </si>
  <si>
    <t>(37109)FRASSINO#CORANO BEGE</t>
  </si>
  <si>
    <t>84946.52526</t>
  </si>
  <si>
    <t>(52526)BRANCO#KORINO BRANCO</t>
  </si>
  <si>
    <t>85315.46264</t>
  </si>
  <si>
    <t>(46264)AMENDOA CLEAN</t>
  </si>
  <si>
    <t>85524.46103</t>
  </si>
  <si>
    <t>(46103)AMENDOA CLEAN</t>
  </si>
  <si>
    <t>101.88275</t>
  </si>
  <si>
    <t>(88275)FRASSINO</t>
  </si>
  <si>
    <t>154.16636</t>
  </si>
  <si>
    <t>(16636)FRASSINO</t>
  </si>
  <si>
    <t>185.12422</t>
  </si>
  <si>
    <t>(12422)FRASSINO</t>
  </si>
  <si>
    <t>2104.13963</t>
  </si>
  <si>
    <t>(13963)FRASSINO</t>
  </si>
  <si>
    <t>2105.13144</t>
  </si>
  <si>
    <t>(13144)FRASSINO</t>
  </si>
  <si>
    <t>2107.12378</t>
  </si>
  <si>
    <t>(12378)FRASSINO</t>
  </si>
  <si>
    <t>2108.13404</t>
  </si>
  <si>
    <t>(13404)FRASSINO</t>
  </si>
  <si>
    <t>2109.13735</t>
  </si>
  <si>
    <t>(13735)FRASSINO</t>
  </si>
  <si>
    <t>2176.12386</t>
  </si>
  <si>
    <t>(12386)FRASSINO</t>
  </si>
  <si>
    <t>2179.12574</t>
  </si>
  <si>
    <t>(12574)FRASSINO</t>
  </si>
  <si>
    <t>2183.13603</t>
  </si>
  <si>
    <t>(13603)FRASSINO</t>
  </si>
  <si>
    <t>2185.13743</t>
  </si>
  <si>
    <t>(13743)FRASSINO</t>
  </si>
  <si>
    <t>2190.13806</t>
  </si>
  <si>
    <t>(13806)FRASSINO</t>
  </si>
  <si>
    <t>2192.13156</t>
  </si>
  <si>
    <t>(13156)FRASSINO</t>
  </si>
  <si>
    <t>2194.16655</t>
  </si>
  <si>
    <t>(16655)FRASSINO</t>
  </si>
  <si>
    <t>2246.12518</t>
  </si>
  <si>
    <t>(12518)BRANCO</t>
  </si>
  <si>
    <t>2253.15568</t>
  </si>
  <si>
    <t>(15568)AMENDOA CLEAN/SALVIA</t>
  </si>
  <si>
    <t>2253.15572</t>
  </si>
  <si>
    <t>(15572)FRASSINO/SALVIA</t>
  </si>
  <si>
    <t>2280.31363</t>
  </si>
  <si>
    <t>(31363)SALVIA</t>
  </si>
  <si>
    <t>2284.15525</t>
  </si>
  <si>
    <t>(15525)FRASSINO</t>
  </si>
  <si>
    <t>2344.13521</t>
  </si>
  <si>
    <t>(13521)FRASSINO</t>
  </si>
  <si>
    <t>2345.13529</t>
  </si>
  <si>
    <t>(13529)FRASSINO</t>
  </si>
  <si>
    <t>2350.12748</t>
  </si>
  <si>
    <t>(12748)FRASSINO/OFF WHITE/F</t>
  </si>
  <si>
    <t>2353.13268</t>
  </si>
  <si>
    <t>VOL CX GR 6 PTS SOLARIS TAMPO 2,775X0,580X0,082</t>
  </si>
  <si>
    <t>(13268)AMENDOA CLEAN</t>
  </si>
  <si>
    <t>2355.13272</t>
  </si>
  <si>
    <t>VOL CX GR 6 PTS SOLARIS COSTAS/DIV 2,245X0,907X0,072</t>
  </si>
  <si>
    <t>(13272)AMENDOA CLEAN</t>
  </si>
  <si>
    <t>2403.12966</t>
  </si>
  <si>
    <t>(12966)FRASSINO/OFF WHITE/F</t>
  </si>
  <si>
    <t>2408.13096</t>
  </si>
  <si>
    <t>(13096)FRASSINO</t>
  </si>
  <si>
    <t>2409.13904</t>
  </si>
  <si>
    <t>(13904)FRASSINO/OFF WHITE</t>
  </si>
  <si>
    <t>72567.13288</t>
  </si>
  <si>
    <t>(13288)FRASSINO</t>
  </si>
  <si>
    <t>72645.15783</t>
  </si>
  <si>
    <t>(15783)FRASSINO</t>
  </si>
  <si>
    <t>72661.13088</t>
  </si>
  <si>
    <t>(13088)FRASSINO</t>
  </si>
  <si>
    <t>72663.13537</t>
  </si>
  <si>
    <t>(13537)FRASSINO/OFF WHITE</t>
  </si>
  <si>
    <t>72761.12566</t>
  </si>
  <si>
    <t>(12566)FRASSINO</t>
  </si>
  <si>
    <t>72764.31469</t>
  </si>
  <si>
    <t>(31469)FRASSINO</t>
  </si>
  <si>
    <t>72765.16014</t>
  </si>
  <si>
    <t>(16014)FRASSINO</t>
  </si>
  <si>
    <t>72777.13611</t>
  </si>
  <si>
    <t>(13611)FRASSINO</t>
  </si>
  <si>
    <t>73026.16487</t>
  </si>
  <si>
    <t>(16487)FRASSINO</t>
  </si>
  <si>
    <t>74610.55687</t>
  </si>
  <si>
    <t>(55687)PRETO FOSCO</t>
  </si>
  <si>
    <t>74613.55689</t>
  </si>
  <si>
    <t>(55689)PRETO FOSCO</t>
  </si>
  <si>
    <t>74614.55697</t>
  </si>
  <si>
    <t>(55697)PRETO FOSCO</t>
  </si>
  <si>
    <t>74668.55637</t>
  </si>
  <si>
    <t>VOL CX CLOSET LISSA T/F</t>
  </si>
  <si>
    <t>(55637)PRETO FOSCO</t>
  </si>
  <si>
    <t>74669.55639</t>
  </si>
  <si>
    <t>VOL CX CLOSET LISSA LATERAL</t>
  </si>
  <si>
    <t>(55639)PRETO FOSCO</t>
  </si>
  <si>
    <t>74670.55643</t>
  </si>
  <si>
    <t>(55643)PRETO FOSCO</t>
  </si>
  <si>
    <t>74671.56698</t>
  </si>
  <si>
    <t>(56698)PRETO FOSCO</t>
  </si>
  <si>
    <t>75841.13218</t>
  </si>
  <si>
    <t>(13218)AMENDOA CLEAN/SALVIA</t>
  </si>
  <si>
    <t>77197.13228</t>
  </si>
  <si>
    <t>(13228)FRASSINO</t>
  </si>
  <si>
    <t>81844.13798</t>
  </si>
  <si>
    <t>(13798)FRASSINO</t>
  </si>
  <si>
    <t>84498.31393</t>
  </si>
  <si>
    <t>(31393)FRASSINO</t>
  </si>
  <si>
    <t>84537.31641</t>
  </si>
  <si>
    <t>(31641)FRASSINO</t>
  </si>
  <si>
    <t>84550.31853</t>
  </si>
  <si>
    <t>(31853)FRASSINO</t>
  </si>
  <si>
    <t>84586.31465</t>
  </si>
  <si>
    <t>(31465)FRASSINO/OFF WHITE</t>
  </si>
  <si>
    <t>84588.31333</t>
  </si>
  <si>
    <t>(31333)FRASSINO</t>
  </si>
  <si>
    <t>84635.31547</t>
  </si>
  <si>
    <t>(31547)AMENDOA CLEAN</t>
  </si>
  <si>
    <t>84688.31335</t>
  </si>
  <si>
    <t>(31335)AMENDOA CLEAN</t>
  </si>
  <si>
    <t>84701.32129</t>
  </si>
  <si>
    <t>(32129)AMENDOA CLEAN</t>
  </si>
  <si>
    <t>84712.31795</t>
  </si>
  <si>
    <t>(31795)AMENDOA CLEAN</t>
  </si>
  <si>
    <t>84715.31339</t>
  </si>
  <si>
    <t>(31339)AMENDOA CLEAN</t>
  </si>
  <si>
    <t>84715.31341</t>
  </si>
  <si>
    <t>(31341)FRASSINO</t>
  </si>
  <si>
    <t>84724.30608</t>
  </si>
  <si>
    <t>VOL CX TAMPO GR 08 PTS ERGON 2,785X0,580X0,107</t>
  </si>
  <si>
    <t>(30608)AMENDOA CLEAN</t>
  </si>
  <si>
    <t>84724.30609</t>
  </si>
  <si>
    <t>(30609)FRASSINO</t>
  </si>
  <si>
    <t>84745.30611</t>
  </si>
  <si>
    <t>(30611)FRASSINO</t>
  </si>
  <si>
    <t>84755.30612</t>
  </si>
  <si>
    <t>VOL CX DIVISAO GR 08 PTS ERGON 2,340X0,580X0,072</t>
  </si>
  <si>
    <t>(30612)AMENDOA CLEAN</t>
  </si>
  <si>
    <t>84755.30613</t>
  </si>
  <si>
    <t>(30613)FRASSINO</t>
  </si>
  <si>
    <t>84773.30614</t>
  </si>
  <si>
    <t>VOL CX PRAT GR 08 PTS ERGON 0,745X0,485X0,193</t>
  </si>
  <si>
    <t>(30614)AMENDOA CLEAN</t>
  </si>
  <si>
    <t>84773.30615</t>
  </si>
  <si>
    <t>(30615)FRASSINO</t>
  </si>
  <si>
    <t>84779.30616</t>
  </si>
  <si>
    <t>VOL CX PORTAS GR 08 PTS ERGON 2,380X0,351X0,133</t>
  </si>
  <si>
    <t>(30616)AMENDOA CLEAN</t>
  </si>
  <si>
    <t>84779.30617</t>
  </si>
  <si>
    <t>(30617)FRASSINO</t>
  </si>
  <si>
    <t>84779.30618</t>
  </si>
  <si>
    <t>(30618)OFF WHITE</t>
  </si>
  <si>
    <t>84795.40351</t>
  </si>
  <si>
    <t>(40351)AMENDOA CLEAN/SALVIA</t>
  </si>
  <si>
    <t>84822.30748</t>
  </si>
  <si>
    <t>(30748)FRASSINO</t>
  </si>
  <si>
    <t>84847.30752</t>
  </si>
  <si>
    <t>(30752)FRASSINO</t>
  </si>
  <si>
    <t>84860.30885</t>
  </si>
  <si>
    <t>(30885)FRASSINO</t>
  </si>
  <si>
    <t>84866.30887</t>
  </si>
  <si>
    <t>(30887)FRASSINO</t>
  </si>
  <si>
    <t>84875.30939</t>
  </si>
  <si>
    <t>(30939)AMENDOA CLEAN</t>
  </si>
  <si>
    <t>84877.30941</t>
  </si>
  <si>
    <t>VOL  CX LAT GR 06 PTS LEDER 2025 2,375X0,550X0,078</t>
  </si>
  <si>
    <t>(30941)AMENDOA CLEAN</t>
  </si>
  <si>
    <t>84877.30942</t>
  </si>
  <si>
    <t>(30942)FRASSINO</t>
  </si>
  <si>
    <t>84885.30943</t>
  </si>
  <si>
    <t>VOL CX DIV/PRAT GR 06 PTS LEDER 2025 2,275X0,550X0,103</t>
  </si>
  <si>
    <t>(30943)AMENDOA CLEAN</t>
  </si>
  <si>
    <t>84885.30944</t>
  </si>
  <si>
    <t>(30944)FRASSINO</t>
  </si>
  <si>
    <t>86383.70245</t>
  </si>
  <si>
    <t>(70245)FRASSINO/OFF WHITE</t>
  </si>
  <si>
    <t>ITENS FORA DE LINHA (147 itens)</t>
  </si>
  <si>
    <t>TOTAL</t>
  </si>
  <si>
    <t>ITENS EM LINHA (637 itens)</t>
  </si>
  <si>
    <t>FORA DE LINHA — GERSON (inclui itens em ambas)</t>
  </si>
  <si>
    <t>FORA DE LINHA — ELIANE (inclui itens em ambas)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</si>
</sst>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#,##0.000;\(#,##0.000\);\-"/>
    <numFmt numFmtId="166" formatCode="&quot;R$ &quot;#,##0.00;&quot;(R$ &quot;#,##0.00\);\-"/>
    <numFmt numFmtId="167" formatCode="#,##0.0;\(#,##0.0\);\-"/>
    <numFmt numFmtId="168" formatCode="0.0%;\(0.0%\);\-"/>
  </numFmts>
  <fonts count="9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595959"/>
      <name val="Arial"/>
      <family val="2"/>
    </font>
    <font>
      <sz val="10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6" fontId="6" fillId="0" borderId="1" xfId="0" applyNumberFormat="1" applyFont="1" applyBorder="1"/>
    <xf numFmtId="0" fontId="7" fillId="0" borderId="0" xfId="0" applyFont="1"/>
    <xf numFmtId="0" fontId="6" fillId="0" borderId="1" xfId="0" applyFont="1" applyBorder="1"/>
    <xf numFmtId="164" fontId="8" fillId="0" borderId="1" xfId="0" applyNumberFormat="1" applyFont="1" applyBorder="1"/>
    <xf numFmtId="167" fontId="8" fillId="0" borderId="1" xfId="0" applyNumberFormat="1" applyFont="1" applyBorder="1"/>
    <xf numFmtId="167" fontId="6" fillId="0" borderId="1" xfId="0" applyNumberFormat="1" applyFont="1" applyBorder="1"/>
    <xf numFmtId="166" fontId="8" fillId="0" borderId="1" xfId="0" applyNumberFormat="1" applyFont="1" applyBorder="1"/>
    <xf numFmtId="168" fontId="6" fillId="0" borderId="1" xfId="0" applyNumberFormat="1" applyFont="1" applyBorder="1"/>
    <xf numFmtId="0" fontId="5" fillId="0" borderId="0" xfId="0" applyFont="1"/>
    <xf numFmtId="164" fontId="5" fillId="0" borderId="0" xfId="0" applyNumberFormat="1" applyFont="1"/>
    <xf numFmtId="167" fontId="5" fillId="0" borderId="0" xfId="0" applyNumberFormat="1" applyFont="1"/>
    <xf numFmtId="166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opLeftCell="A13" zoomScaleNormal="100" workbookViewId="0">
      <selection activeCell="K19" sqref="K19"/>
    </sheetView>
  </sheetViews>
  <sheetFormatPr defaultColWidth="8.5703125" defaultRowHeight="15" customHeight="1" x14ac:dyDescent="0.25"/>
  <cols>
    <col min="1" max="1" width="34" customWidth="1"/>
    <col min="2" max="2" width="10" customWidth="1"/>
    <col min="3" max="3" width="14" customWidth="1"/>
    <col min="4" max="4" width="13" customWidth="1"/>
    <col min="5" max="5" width="12" customWidth="1"/>
    <col min="6" max="6" width="13" customWidth="1"/>
    <col min="7" max="7" width="15" customWidth="1"/>
    <col min="8" max="10" width="18" customWidth="1"/>
  </cols>
  <sheetData>
    <row r="1" spans="1:10" ht="18" x14ac:dyDescent="0.25">
      <c r="A1" s="1" t="s">
        <v>0</v>
      </c>
    </row>
    <row r="2" spans="1:10" x14ac:dyDescent="0.25">
      <c r="A2" s="2"/>
    </row>
    <row r="4" spans="1:10" x14ac:dyDescent="0.25">
      <c r="A4" s="3" t="s">
        <v>1</v>
      </c>
    </row>
    <row r="5" spans="1:10" ht="25.5" x14ac:dyDescent="0.25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</row>
    <row r="6" spans="1:10" x14ac:dyDescent="0.25">
      <c r="A6" s="5" t="s">
        <v>12</v>
      </c>
      <c r="B6" s="6">
        <f>COUNTIF('Base Completa'!$G$2:$G$785,"EM LINHA")</f>
        <v>637</v>
      </c>
      <c r="C6" s="6">
        <f>SUMIF('Base Completa'!$G$2:$G$785,"EM LINHA",'Base Completa'!$I$2:$I$785)</f>
        <v>140953</v>
      </c>
      <c r="D6" s="6">
        <f>SUMIF('Base Completa'!$G$2:$G$785,"EM LINHA",'Base Completa'!$J$2:$J$785)</f>
        <v>0</v>
      </c>
      <c r="E6" s="6">
        <f>SUMIF('Base Completa'!$G$2:$G$785,"EM LINHA",'Base Completa'!$K$2:$K$785)</f>
        <v>63876</v>
      </c>
      <c r="F6" s="6">
        <f>SUMIF('Base Completa'!$G$2:$G$785,"EM LINHA",'Base Completa'!$L$2:$L$785)</f>
        <v>77077</v>
      </c>
      <c r="G6" s="7">
        <f>SUMIF('Base Completa'!$G$2:$G$785,"EM LINHA",'Base Completa'!$N$2:$N$785)/1000</f>
        <v>3728.6475570000007</v>
      </c>
      <c r="H6" s="7">
        <f>SUMIF('Base Completa'!$G$2:$G$785,"EM LINHA",'Base Completa'!$O$2:$O$785)/1000</f>
        <v>1929.7299110000006</v>
      </c>
      <c r="I6" s="8">
        <f>SUMIF('Base Completa'!$G$2:$G$785,"EM LINHA",'Base Completa'!$Q$2:$Q$785)</f>
        <v>16311566.978674546</v>
      </c>
      <c r="J6" s="8">
        <f>SUMIF('Base Completa'!$G$2:$G$785,"EM LINHA",'Base Completa'!$R$2:$R$785)</f>
        <v>8453099.9053345714</v>
      </c>
    </row>
    <row r="7" spans="1:10" x14ac:dyDescent="0.25">
      <c r="A7" s="5" t="s">
        <v>13</v>
      </c>
      <c r="B7" s="6">
        <f>COUNTIF('Base Completa'!$G$2:$G$785,"FORA DE LINHA")</f>
        <v>147</v>
      </c>
      <c r="C7" s="6">
        <f>SUMIF('Base Completa'!$G$2:$G$785,"FORA DE LINHA",'Base Completa'!$I$2:$I$785)</f>
        <v>4837</v>
      </c>
      <c r="D7" s="6">
        <f>SUMIF('Base Completa'!$G$2:$G$785,"FORA DE LINHA",'Base Completa'!$J$2:$J$785)</f>
        <v>5320</v>
      </c>
      <c r="E7" s="6">
        <f>SUMIF('Base Completa'!$G$2:$G$785,"FORA DE LINHA",'Base Completa'!$K$2:$K$785)</f>
        <v>2059</v>
      </c>
      <c r="F7" s="6">
        <f>SUMIF('Base Completa'!$G$2:$G$785,"FORA DE LINHA",'Base Completa'!$L$2:$L$785)</f>
        <v>2778</v>
      </c>
      <c r="G7" s="7">
        <f>SUMIF('Base Completa'!$G$2:$G$785,"FORA DE LINHA",'Base Completa'!$N$2:$N$785)/1000</f>
        <v>169.92078999999998</v>
      </c>
      <c r="H7" s="7">
        <f>SUMIF('Base Completa'!$G$2:$G$785,"FORA DE LINHA",'Base Completa'!$O$2:$O$785)/1000</f>
        <v>72.501806000000002</v>
      </c>
      <c r="I7" s="8">
        <f>SUMIF('Base Completa'!$G$2:$G$785,"FORA DE LINHA",'Base Completa'!$Q$2:$Q$785)</f>
        <v>707796.37316622015</v>
      </c>
      <c r="J7" s="8">
        <f>SUMIF('Base Completa'!$G$2:$G$785,"FORA DE LINHA",'Base Completa'!$R$2:$R$785)</f>
        <v>280432.80993956997</v>
      </c>
    </row>
    <row r="8" spans="1:10" x14ac:dyDescent="0.25">
      <c r="A8" s="5" t="s">
        <v>14</v>
      </c>
      <c r="B8" s="6">
        <f>COUNTA('Base Completa'!$A$2:$A$785)</f>
        <v>784</v>
      </c>
      <c r="C8" s="6">
        <f>SUM('Base Completa'!$I$2:$I$785)</f>
        <v>145790</v>
      </c>
      <c r="D8" s="6">
        <f>SUM('Base Completa'!$J$2:$J$785)</f>
        <v>5320</v>
      </c>
      <c r="E8" s="6">
        <f>SUM('Base Completa'!$K$2:$K$785)</f>
        <v>65935</v>
      </c>
      <c r="F8" s="6">
        <f>SUM('Base Completa'!$L$2:$L$785)</f>
        <v>79855</v>
      </c>
      <c r="G8" s="7">
        <f>SUM('Base Completa'!$N$2:$N$785)/1000</f>
        <v>3898.5683470000004</v>
      </c>
      <c r="H8" s="7">
        <f>SUM('Base Completa'!$O$2:$O$785)/1000</f>
        <v>2002.2317170000008</v>
      </c>
      <c r="I8" s="8">
        <f>SUM('Base Completa'!$Q$2:$Q$785)</f>
        <v>17019363.351840764</v>
      </c>
      <c r="J8" s="8">
        <f>SUM('Base Completa'!$R$2:$R$785)</f>
        <v>8733532.7152741328</v>
      </c>
    </row>
    <row r="11" spans="1:10" x14ac:dyDescent="0.25">
      <c r="A11" s="3" t="s">
        <v>15</v>
      </c>
    </row>
    <row r="12" spans="1:10" ht="25.5" x14ac:dyDescent="0.25">
      <c r="A12" s="4" t="s">
        <v>2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7</v>
      </c>
      <c r="G12" s="4" t="s">
        <v>8</v>
      </c>
      <c r="H12" s="4" t="s">
        <v>9</v>
      </c>
      <c r="I12" s="4" t="s">
        <v>10</v>
      </c>
      <c r="J12" s="4" t="s">
        <v>11</v>
      </c>
    </row>
    <row r="13" spans="1:10" x14ac:dyDescent="0.25">
      <c r="A13" s="5" t="s">
        <v>16</v>
      </c>
      <c r="B13" s="6">
        <f>COUNTIF('Base Completa'!$H$2:$H$785,"SO GERSON")</f>
        <v>79</v>
      </c>
      <c r="C13" s="6">
        <f>SUMIF('Base Completa'!$H$2:$H$785,"SO GERSON",'Base Completa'!$I$2:$I$785)</f>
        <v>2274</v>
      </c>
      <c r="D13" s="6">
        <f>SUMIF('Base Completa'!$H$2:$H$785,"SO GERSON",'Base Completa'!$J$2:$J$785)</f>
        <v>2407</v>
      </c>
      <c r="E13" s="6">
        <f>SUMIF('Base Completa'!$H$2:$H$785,"SO GERSON",'Base Completa'!$K$2:$K$785)</f>
        <v>301</v>
      </c>
      <c r="F13" s="6">
        <f>SUMIF('Base Completa'!$H$2:$H$785,"SO GERSON",'Base Completa'!$L$2:$L$785)</f>
        <v>1973</v>
      </c>
      <c r="G13" s="7">
        <f>SUMIF('Base Completa'!$H$2:$H$785,"SO GERSON",'Base Completa'!$N$2:$N$785)/1000</f>
        <v>74.219515999999999</v>
      </c>
      <c r="H13" s="7">
        <f>SUMIF('Base Completa'!$H$2:$H$785,"SO GERSON",'Base Completa'!$O$2:$O$785)/1000</f>
        <v>8.9717839999999995</v>
      </c>
      <c r="I13" s="8">
        <f>SUMIF('Base Completa'!$H$2:$H$785,"SO GERSON",'Base Completa'!$Q$2:$Q$785)</f>
        <v>358436.53292643005</v>
      </c>
      <c r="J13" s="8">
        <f>SUMIF('Base Completa'!$H$2:$H$785,"SO GERSON",'Base Completa'!$R$2:$R$785)</f>
        <v>47052.146173239998</v>
      </c>
    </row>
    <row r="14" spans="1:10" x14ac:dyDescent="0.25">
      <c r="A14" s="5" t="s">
        <v>17</v>
      </c>
      <c r="B14" s="6">
        <f>COUNTIF('Base Completa'!$H$2:$H$785,"SO ELIANE")</f>
        <v>40</v>
      </c>
      <c r="C14" s="6">
        <f>SUMIF('Base Completa'!$H$2:$H$785,"SO ELIANE",'Base Completa'!$I$2:$I$785)</f>
        <v>1193</v>
      </c>
      <c r="D14" s="6">
        <f>SUMIF('Base Completa'!$H$2:$H$785,"SO ELIANE",'Base Completa'!$J$2:$J$785)</f>
        <v>1392</v>
      </c>
      <c r="E14" s="6">
        <f>SUMIF('Base Completa'!$H$2:$H$785,"SO ELIANE",'Base Completa'!$K$2:$K$785)</f>
        <v>771</v>
      </c>
      <c r="F14" s="6">
        <f>SUMIF('Base Completa'!$H$2:$H$785,"SO ELIANE",'Base Completa'!$L$2:$L$785)</f>
        <v>422</v>
      </c>
      <c r="G14" s="7">
        <f>SUMIF('Base Completa'!$H$2:$H$785,"SO ELIANE",'Base Completa'!$N$2:$N$785)/1000</f>
        <v>43.897433000000014</v>
      </c>
      <c r="H14" s="7">
        <f>SUMIF('Base Completa'!$H$2:$H$785,"SO ELIANE",'Base Completa'!$O$2:$O$785)/1000</f>
        <v>29.183197</v>
      </c>
      <c r="I14" s="8">
        <f>SUMIF('Base Completa'!$H$2:$H$785,"SO ELIANE",'Base Completa'!$Q$2:$Q$785)</f>
        <v>181641.23712372006</v>
      </c>
      <c r="J14" s="8">
        <f>SUMIF('Base Completa'!$H$2:$H$785,"SO ELIANE",'Base Completa'!$R$2:$R$785)</f>
        <v>124705.56626662002</v>
      </c>
    </row>
    <row r="15" spans="1:10" x14ac:dyDescent="0.25">
      <c r="A15" s="5" t="s">
        <v>18</v>
      </c>
      <c r="B15" s="6">
        <f>COUNTIF('Base Completa'!$H$2:$H$785,"EM AMBAS")</f>
        <v>28</v>
      </c>
      <c r="C15" s="6">
        <f>SUMIF('Base Completa'!$H$2:$H$785,"EM AMBAS",'Base Completa'!$I$2:$I$785)</f>
        <v>1370</v>
      </c>
      <c r="D15" s="6">
        <f>SUMIF('Base Completa'!$H$2:$H$785,"EM AMBAS",'Base Completa'!$J$2:$J$785)</f>
        <v>1521</v>
      </c>
      <c r="E15" s="6">
        <f>SUMIF('Base Completa'!$H$2:$H$785,"EM AMBAS",'Base Completa'!$K$2:$K$785)</f>
        <v>987</v>
      </c>
      <c r="F15" s="6">
        <f>SUMIF('Base Completa'!$H$2:$H$785,"EM AMBAS",'Base Completa'!$L$2:$L$785)</f>
        <v>383</v>
      </c>
      <c r="G15" s="7">
        <f>SUMIF('Base Completa'!$H$2:$H$785,"EM AMBAS",'Base Completa'!$N$2:$N$785)/1000</f>
        <v>51.803840999999991</v>
      </c>
      <c r="H15" s="7">
        <f>SUMIF('Base Completa'!$H$2:$H$785,"EM AMBAS",'Base Completa'!$O$2:$O$785)/1000</f>
        <v>34.346824999999995</v>
      </c>
      <c r="I15" s="8">
        <f>SUMIF('Base Completa'!$H$2:$H$785,"EM AMBAS",'Base Completa'!$Q$2:$Q$785)</f>
        <v>167718.60311607001</v>
      </c>
      <c r="J15" s="8">
        <f>SUMIF('Base Completa'!$H$2:$H$785,"EM AMBAS",'Base Completa'!$R$2:$R$785)</f>
        <v>108675.09749971</v>
      </c>
    </row>
    <row r="18" spans="1:10" x14ac:dyDescent="0.25">
      <c r="A18" s="3" t="s">
        <v>19</v>
      </c>
    </row>
    <row r="19" spans="1:10" ht="25.5" x14ac:dyDescent="0.25">
      <c r="A19" s="4" t="s">
        <v>2</v>
      </c>
      <c r="B19" s="4" t="s">
        <v>3</v>
      </c>
      <c r="C19" s="4" t="s">
        <v>4</v>
      </c>
      <c r="D19" s="4" t="s">
        <v>5</v>
      </c>
      <c r="E19" s="4" t="s">
        <v>6</v>
      </c>
      <c r="F19" s="4" t="s">
        <v>7</v>
      </c>
      <c r="G19" s="4" t="s">
        <v>8</v>
      </c>
      <c r="H19" s="4" t="s">
        <v>9</v>
      </c>
      <c r="I19" s="4" t="s">
        <v>10</v>
      </c>
      <c r="J19" s="4" t="s">
        <v>11</v>
      </c>
    </row>
    <row r="20" spans="1:10" x14ac:dyDescent="0.25">
      <c r="A20" s="5" t="s">
        <v>20</v>
      </c>
      <c r="B20" s="6">
        <f>COUNTIF('Base Completa'!$F$2:$F$785,"EMBALAGEM JOGO DE PES")</f>
        <v>15</v>
      </c>
      <c r="C20" s="6">
        <f>SUMIF('Base Completa'!$F$2:$F$785,"EMBALAGEM JOGO DE PES",'Base Completa'!$I$2:$I$785)</f>
        <v>15367</v>
      </c>
      <c r="D20" s="6">
        <f>SUMIF('Base Completa'!$F$2:$F$785,"EMBALAGEM JOGO DE PES",'Base Completa'!$J$2:$J$785)</f>
        <v>324</v>
      </c>
      <c r="E20" s="6">
        <f>SUMIF('Base Completa'!$F$2:$F$785,"EMBALAGEM JOGO DE PES",'Base Completa'!$K$2:$K$785)</f>
        <v>4458</v>
      </c>
      <c r="F20" s="6">
        <f>SUMIF('Base Completa'!$F$2:$F$785,"EMBALAGEM JOGO DE PES",'Base Completa'!$L$2:$L$785)</f>
        <v>10909</v>
      </c>
      <c r="G20" s="7">
        <f>SUMIF('Base Completa'!$F$2:$F$785,"EMBALAGEM JOGO DE PES",'Base Completa'!$N$2:$N$785)/1000</f>
        <v>11.706318</v>
      </c>
      <c r="H20" s="7">
        <f>SUMIF('Base Completa'!$F$2:$F$785,"EMBALAGEM JOGO DE PES",'Base Completa'!$O$2:$O$785)/1000</f>
        <v>3.221556000000001</v>
      </c>
      <c r="I20" s="8">
        <f>SUMIF('Base Completa'!$F$2:$F$785,"EMBALAGEM JOGO DE PES",'Base Completa'!$Q$2:$Q$785)</f>
        <v>99663.750854120008</v>
      </c>
      <c r="J20" s="8">
        <f>SUMIF('Base Completa'!$F$2:$F$785,"EMBALAGEM JOGO DE PES",'Base Completa'!$R$2:$R$785)</f>
        <v>26812.678455639998</v>
      </c>
    </row>
    <row r="21" spans="1:10" x14ac:dyDescent="0.25">
      <c r="A21" s="5" t="s">
        <v>21</v>
      </c>
      <c r="B21" s="6">
        <f>COUNTIF('Base Completa'!$F$2:$F$785,"UNIDADE DE COMPLEMENTOS")</f>
        <v>217</v>
      </c>
      <c r="C21" s="6">
        <f>SUMIF('Base Completa'!$F$2:$F$785,"UNIDADE DE COMPLEMENTOS",'Base Completa'!$I$2:$I$785)</f>
        <v>36185</v>
      </c>
      <c r="D21" s="6">
        <f>SUMIF('Base Completa'!$F$2:$F$785,"UNIDADE DE COMPLEMENTOS",'Base Completa'!$J$2:$J$785)</f>
        <v>545</v>
      </c>
      <c r="E21" s="6">
        <f>SUMIF('Base Completa'!$F$2:$F$785,"UNIDADE DE COMPLEMENTOS",'Base Completa'!$K$2:$K$785)</f>
        <v>18000</v>
      </c>
      <c r="F21" s="6">
        <f>SUMIF('Base Completa'!$F$2:$F$785,"UNIDADE DE COMPLEMENTOS",'Base Completa'!$L$2:$L$785)</f>
        <v>18185</v>
      </c>
      <c r="G21" s="7">
        <f>SUMIF('Base Completa'!$F$2:$F$785,"UNIDADE DE COMPLEMENTOS",'Base Completa'!$N$2:$N$785)/1000</f>
        <v>954.72466800000029</v>
      </c>
      <c r="H21" s="7">
        <f>SUMIF('Base Completa'!$F$2:$F$785,"UNIDADE DE COMPLEMENTOS",'Base Completa'!$O$2:$O$785)/1000</f>
        <v>501.99858799999987</v>
      </c>
      <c r="I21" s="8">
        <f>SUMIF('Base Completa'!$F$2:$F$785,"UNIDADE DE COMPLEMENTOS",'Base Completa'!$Q$2:$Q$785)</f>
        <v>4173075.7908177418</v>
      </c>
      <c r="J21" s="8">
        <f>SUMIF('Base Completa'!$F$2:$F$785,"UNIDADE DE COMPLEMENTOS",'Base Completa'!$R$2:$R$785)</f>
        <v>2235493.4600637099</v>
      </c>
    </row>
    <row r="22" spans="1:10" x14ac:dyDescent="0.25">
      <c r="A22" s="5" t="s">
        <v>22</v>
      </c>
      <c r="B22" s="6">
        <f>COUNTIF('Base Completa'!$F$2:$F$785,"UNIDADE DE SALAS")</f>
        <v>188</v>
      </c>
      <c r="C22" s="6">
        <f>SUMIF('Base Completa'!$F$2:$F$785,"UNIDADE DE SALAS",'Base Completa'!$I$2:$I$785)</f>
        <v>33684</v>
      </c>
      <c r="D22" s="6">
        <f>SUMIF('Base Completa'!$F$2:$F$785,"UNIDADE DE SALAS",'Base Completa'!$J$2:$J$785)</f>
        <v>446</v>
      </c>
      <c r="E22" s="6">
        <f>SUMIF('Base Completa'!$F$2:$F$785,"UNIDADE DE SALAS",'Base Completa'!$K$2:$K$785)</f>
        <v>15612</v>
      </c>
      <c r="F22" s="6">
        <f>SUMIF('Base Completa'!$F$2:$F$785,"UNIDADE DE SALAS",'Base Completa'!$L$2:$L$785)</f>
        <v>18072</v>
      </c>
      <c r="G22" s="7">
        <f>SUMIF('Base Completa'!$F$2:$F$785,"UNIDADE DE SALAS",'Base Completa'!$N$2:$N$785)/1000</f>
        <v>610.10844200000008</v>
      </c>
      <c r="H22" s="7">
        <f>SUMIF('Base Completa'!$F$2:$F$785,"UNIDADE DE SALAS",'Base Completa'!$O$2:$O$785)/1000</f>
        <v>294.79367100000007</v>
      </c>
      <c r="I22" s="8">
        <f>SUMIF('Base Completa'!$F$2:$F$785,"UNIDADE DE SALAS",'Base Completa'!$Q$2:$Q$785)</f>
        <v>3810227.2839418398</v>
      </c>
      <c r="J22" s="8">
        <f>SUMIF('Base Completa'!$F$2:$F$785,"UNIDADE DE SALAS",'Base Completa'!$R$2:$R$785)</f>
        <v>1863491.4490689291</v>
      </c>
    </row>
    <row r="23" spans="1:10" x14ac:dyDescent="0.25">
      <c r="A23" s="5" t="s">
        <v>23</v>
      </c>
      <c r="B23" s="6">
        <f>COUNTIF('Base Completa'!$F$2:$F$785,"UNIDADE GUARDA ROUPAS")</f>
        <v>362</v>
      </c>
      <c r="C23" s="6">
        <f>SUMIF('Base Completa'!$F$2:$F$785,"UNIDADE GUARDA ROUPAS",'Base Completa'!$I$2:$I$785)</f>
        <v>60554</v>
      </c>
      <c r="D23" s="6">
        <f>SUMIF('Base Completa'!$F$2:$F$785,"UNIDADE GUARDA ROUPAS",'Base Completa'!$J$2:$J$785)</f>
        <v>4005</v>
      </c>
      <c r="E23" s="6">
        <f>SUMIF('Base Completa'!$F$2:$F$785,"UNIDADE GUARDA ROUPAS",'Base Completa'!$K$2:$K$785)</f>
        <v>27865</v>
      </c>
      <c r="F23" s="6">
        <f>SUMIF('Base Completa'!$F$2:$F$785,"UNIDADE GUARDA ROUPAS",'Base Completa'!$L$2:$L$785)</f>
        <v>32689</v>
      </c>
      <c r="G23" s="7">
        <f>SUMIF('Base Completa'!$F$2:$F$785,"UNIDADE GUARDA ROUPAS",'Base Completa'!$N$2:$N$785)/1000</f>
        <v>2322.0289190000003</v>
      </c>
      <c r="H23" s="7">
        <f>SUMIF('Base Completa'!$F$2:$F$785,"UNIDADE GUARDA ROUPAS",'Base Completa'!$O$2:$O$785)/1000</f>
        <v>1202.2179020000008</v>
      </c>
      <c r="I23" s="8">
        <f>SUMIF('Base Completa'!$F$2:$F$785,"UNIDADE GUARDA ROUPAS",'Base Completa'!$Q$2:$Q$785)</f>
        <v>8936396.5262270588</v>
      </c>
      <c r="J23" s="8">
        <f>SUMIF('Base Completa'!$F$2:$F$785,"UNIDADE GUARDA ROUPAS",'Base Completa'!$R$2:$R$785)</f>
        <v>4607735.1276858607</v>
      </c>
    </row>
    <row r="24" spans="1:10" x14ac:dyDescent="0.25">
      <c r="A24" s="5" t="s">
        <v>24</v>
      </c>
      <c r="B24" s="6">
        <f>COUNTIF('Base Completa'!$F$2:$F$785,"VIDRO/ESPELHO")</f>
        <v>2</v>
      </c>
      <c r="C24" s="6">
        <f>SUMIF('Base Completa'!$F$2:$F$785,"VIDRO/ESPELHO",'Base Completa'!$I$2:$I$785)</f>
        <v>0</v>
      </c>
      <c r="D24" s="6">
        <f>SUMIF('Base Completa'!$F$2:$F$785,"VIDRO/ESPELHO",'Base Completa'!$J$2:$J$785)</f>
        <v>0</v>
      </c>
      <c r="E24" s="6">
        <f>SUMIF('Base Completa'!$F$2:$F$785,"VIDRO/ESPELHO",'Base Completa'!$K$2:$K$785)</f>
        <v>0</v>
      </c>
      <c r="F24" s="6">
        <f>SUMIF('Base Completa'!$F$2:$F$785,"VIDRO/ESPELHO",'Base Completa'!$L$2:$L$785)</f>
        <v>0</v>
      </c>
      <c r="G24" s="7">
        <f>SUMIF('Base Completa'!$F$2:$F$785,"VIDRO/ESPELHO",'Base Completa'!$N$2:$N$785)/1000</f>
        <v>0</v>
      </c>
      <c r="H24" s="7">
        <f>SUMIF('Base Completa'!$F$2:$F$785,"VIDRO/ESPELHO",'Base Completa'!$O$2:$O$785)/1000</f>
        <v>0</v>
      </c>
      <c r="I24" s="8">
        <f>SUMIF('Base Completa'!$F$2:$F$785,"VIDRO/ESPELHO",'Base Completa'!$Q$2:$Q$785)</f>
        <v>0</v>
      </c>
      <c r="J24" s="8">
        <f>SUMIF('Base Completa'!$F$2:$F$785,"VIDRO/ESPELHO",'Base Completa'!$R$2:$R$785)</f>
        <v>0</v>
      </c>
    </row>
    <row r="27" spans="1:10" x14ac:dyDescent="0.25">
      <c r="A27" s="3"/>
    </row>
    <row r="28" spans="1:10" x14ac:dyDescent="0.25">
      <c r="A28" s="9"/>
    </row>
    <row r="29" spans="1:10" x14ac:dyDescent="0.25">
      <c r="A29" s="9"/>
    </row>
    <row r="30" spans="1:10" x14ac:dyDescent="0.25">
      <c r="A30" s="9"/>
    </row>
    <row r="31" spans="1:10" x14ac:dyDescent="0.25">
      <c r="A31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785"/>
  <sheetViews>
    <sheetView zoomScaleNormal="100" workbookViewId="0">
      <pane ySplit="1" topLeftCell="A2" activePane="bottomLeft" state="frozen"/>
      <selection pane="bottomLeft" activeCell="D11" sqref="D11"/>
    </sheetView>
  </sheetViews>
  <sheetFormatPr defaultColWidth="8.5703125" defaultRowHeight="15" customHeight="1" x14ac:dyDescent="0.25"/>
  <cols>
    <col min="1" max="1" width="14" customWidth="1"/>
    <col min="2" max="2" width="10" customWidth="1"/>
    <col min="3" max="3" width="12" customWidth="1"/>
    <col min="4" max="4" width="52" customWidth="1"/>
    <col min="5" max="5" width="26" customWidth="1"/>
    <col min="6" max="6" width="24" customWidth="1"/>
    <col min="7" max="8" width="16" customWidth="1"/>
    <col min="9" max="10" width="12" customWidth="1"/>
    <col min="11" max="11" width="11" customWidth="1"/>
    <col min="12" max="12" width="12" customWidth="1"/>
    <col min="13" max="13" width="13" customWidth="1"/>
    <col min="14" max="14" width="15" customWidth="1"/>
    <col min="15" max="15" width="17" customWidth="1"/>
    <col min="16" max="16" width="14" customWidth="1"/>
    <col min="17" max="18" width="16" customWidth="1"/>
    <col min="19" max="19" width="15.28515625" customWidth="1"/>
  </cols>
  <sheetData>
    <row r="1" spans="1:19" ht="25.5" x14ac:dyDescent="0.25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33</v>
      </c>
      <c r="N1" s="4" t="s">
        <v>34</v>
      </c>
      <c r="O1" s="4" t="s">
        <v>35</v>
      </c>
      <c r="P1" s="4" t="s">
        <v>36</v>
      </c>
      <c r="Q1" s="4" t="s">
        <v>10</v>
      </c>
      <c r="R1" s="4" t="s">
        <v>11</v>
      </c>
      <c r="S1" s="4" t="s">
        <v>37</v>
      </c>
    </row>
    <row r="2" spans="1:19" x14ac:dyDescent="0.25">
      <c r="A2" s="10" t="s">
        <v>38</v>
      </c>
      <c r="B2" s="10">
        <v>101</v>
      </c>
      <c r="C2" s="10">
        <v>59618</v>
      </c>
      <c r="D2" s="10" t="s">
        <v>39</v>
      </c>
      <c r="E2" s="10" t="s">
        <v>40</v>
      </c>
      <c r="F2" s="10" t="s">
        <v>23</v>
      </c>
      <c r="G2" s="10" t="s">
        <v>12</v>
      </c>
      <c r="H2" s="10" t="s">
        <v>41</v>
      </c>
      <c r="I2" s="11">
        <v>52</v>
      </c>
      <c r="J2" s="11"/>
      <c r="K2" s="11">
        <v>24</v>
      </c>
      <c r="L2" s="6">
        <f t="shared" ref="L2:L65" si="0">I2-K2</f>
        <v>28</v>
      </c>
      <c r="M2" s="12">
        <v>66.787000000000006</v>
      </c>
      <c r="N2" s="13">
        <f t="shared" ref="N2:N65" si="1">I2*M2</f>
        <v>3472.9240000000004</v>
      </c>
      <c r="O2" s="13">
        <f t="shared" ref="O2:O65" si="2">K2*M2</f>
        <v>1602.8880000000001</v>
      </c>
      <c r="P2" s="14">
        <v>202.46745519000001</v>
      </c>
      <c r="Q2" s="8">
        <f t="shared" ref="Q2:Q65" si="3">I2*P2</f>
        <v>10528.30766988</v>
      </c>
      <c r="R2" s="8">
        <f t="shared" ref="R2:R65" si="4">K2*P2</f>
        <v>4859.2189245600002</v>
      </c>
      <c r="S2" s="15">
        <f t="shared" ref="S2:S65" si="5">IF(I2=0,0,K2/I2)</f>
        <v>0.46153846153846156</v>
      </c>
    </row>
    <row r="3" spans="1:19" x14ac:dyDescent="0.25">
      <c r="A3" s="10" t="s">
        <v>42</v>
      </c>
      <c r="B3" s="10">
        <v>101</v>
      </c>
      <c r="C3" s="10">
        <v>59618</v>
      </c>
      <c r="D3" s="10" t="s">
        <v>39</v>
      </c>
      <c r="E3" s="10" t="s">
        <v>43</v>
      </c>
      <c r="F3" s="10" t="s">
        <v>23</v>
      </c>
      <c r="G3" s="10" t="s">
        <v>12</v>
      </c>
      <c r="H3" s="10" t="s">
        <v>41</v>
      </c>
      <c r="I3" s="11">
        <v>756</v>
      </c>
      <c r="J3" s="11"/>
      <c r="K3" s="11">
        <v>475</v>
      </c>
      <c r="L3" s="6">
        <f t="shared" si="0"/>
        <v>281</v>
      </c>
      <c r="M3" s="12">
        <v>66.787000000000006</v>
      </c>
      <c r="N3" s="13">
        <f t="shared" si="1"/>
        <v>50490.972000000002</v>
      </c>
      <c r="O3" s="13">
        <f t="shared" si="2"/>
        <v>31723.825000000004</v>
      </c>
      <c r="P3" s="14">
        <v>214.09239793</v>
      </c>
      <c r="Q3" s="8">
        <f t="shared" si="3"/>
        <v>161853.85283508</v>
      </c>
      <c r="R3" s="8">
        <f t="shared" si="4"/>
        <v>101693.88901675001</v>
      </c>
      <c r="S3" s="15">
        <f t="shared" si="5"/>
        <v>0.62830687830687826</v>
      </c>
    </row>
    <row r="4" spans="1:19" x14ac:dyDescent="0.25">
      <c r="A4" s="10" t="s">
        <v>44</v>
      </c>
      <c r="B4" s="10">
        <v>102</v>
      </c>
      <c r="C4" s="10">
        <v>39131</v>
      </c>
      <c r="D4" s="10" t="s">
        <v>45</v>
      </c>
      <c r="E4" s="10" t="s">
        <v>46</v>
      </c>
      <c r="F4" s="10" t="s">
        <v>23</v>
      </c>
      <c r="G4" s="10" t="s">
        <v>12</v>
      </c>
      <c r="H4" s="10" t="s">
        <v>41</v>
      </c>
      <c r="I4" s="11">
        <v>402</v>
      </c>
      <c r="J4" s="11"/>
      <c r="K4" s="11">
        <v>158</v>
      </c>
      <c r="L4" s="6">
        <f t="shared" si="0"/>
        <v>244</v>
      </c>
      <c r="M4" s="12">
        <v>38.61</v>
      </c>
      <c r="N4" s="13">
        <f t="shared" si="1"/>
        <v>15521.22</v>
      </c>
      <c r="O4" s="13">
        <f t="shared" si="2"/>
        <v>6100.38</v>
      </c>
      <c r="P4" s="14">
        <v>143.7407619</v>
      </c>
      <c r="Q4" s="8">
        <f t="shared" si="3"/>
        <v>57783.7862838</v>
      </c>
      <c r="R4" s="8">
        <f t="shared" si="4"/>
        <v>22711.0403802</v>
      </c>
      <c r="S4" s="15">
        <f t="shared" si="5"/>
        <v>0.39303482587064675</v>
      </c>
    </row>
    <row r="5" spans="1:19" x14ac:dyDescent="0.25">
      <c r="A5" s="10" t="s">
        <v>47</v>
      </c>
      <c r="B5" s="10">
        <v>102</v>
      </c>
      <c r="C5" s="10">
        <v>39131</v>
      </c>
      <c r="D5" s="10" t="s">
        <v>45</v>
      </c>
      <c r="E5" s="10" t="s">
        <v>48</v>
      </c>
      <c r="F5" s="10" t="s">
        <v>23</v>
      </c>
      <c r="G5" s="10" t="s">
        <v>12</v>
      </c>
      <c r="H5" s="10" t="s">
        <v>41</v>
      </c>
      <c r="I5" s="11">
        <v>107</v>
      </c>
      <c r="J5" s="11"/>
      <c r="K5" s="11">
        <v>0</v>
      </c>
      <c r="L5" s="6">
        <f t="shared" si="0"/>
        <v>107</v>
      </c>
      <c r="M5" s="12">
        <v>38.61</v>
      </c>
      <c r="N5" s="13">
        <f t="shared" si="1"/>
        <v>4131.2699999999995</v>
      </c>
      <c r="O5" s="13">
        <f t="shared" si="2"/>
        <v>0</v>
      </c>
      <c r="P5" s="14">
        <v>149.62841839000001</v>
      </c>
      <c r="Q5" s="8">
        <f t="shared" si="3"/>
        <v>16010.240767730002</v>
      </c>
      <c r="R5" s="8">
        <f t="shared" si="4"/>
        <v>0</v>
      </c>
      <c r="S5" s="15">
        <f t="shared" si="5"/>
        <v>0</v>
      </c>
    </row>
    <row r="6" spans="1:19" x14ac:dyDescent="0.25">
      <c r="A6" s="10" t="s">
        <v>49</v>
      </c>
      <c r="B6" s="10">
        <v>102</v>
      </c>
      <c r="C6" s="10">
        <v>39131</v>
      </c>
      <c r="D6" s="10" t="s">
        <v>45</v>
      </c>
      <c r="E6" s="10" t="s">
        <v>50</v>
      </c>
      <c r="F6" s="10" t="s">
        <v>23</v>
      </c>
      <c r="G6" s="10" t="s">
        <v>12</v>
      </c>
      <c r="H6" s="10" t="s">
        <v>41</v>
      </c>
      <c r="I6" s="11">
        <v>533</v>
      </c>
      <c r="J6" s="11"/>
      <c r="K6" s="11">
        <v>317</v>
      </c>
      <c r="L6" s="6">
        <f t="shared" si="0"/>
        <v>216</v>
      </c>
      <c r="M6" s="12">
        <v>38.61</v>
      </c>
      <c r="N6" s="13">
        <f t="shared" si="1"/>
        <v>20579.13</v>
      </c>
      <c r="O6" s="13">
        <f t="shared" si="2"/>
        <v>12239.369999999999</v>
      </c>
      <c r="P6" s="14">
        <v>140.90391156000001</v>
      </c>
      <c r="Q6" s="8">
        <f t="shared" si="3"/>
        <v>75101.784861480002</v>
      </c>
      <c r="R6" s="8">
        <f t="shared" si="4"/>
        <v>44666.539964520001</v>
      </c>
      <c r="S6" s="15">
        <f t="shared" si="5"/>
        <v>0.59474671669793622</v>
      </c>
    </row>
    <row r="7" spans="1:19" x14ac:dyDescent="0.25">
      <c r="A7" s="10" t="s">
        <v>51</v>
      </c>
      <c r="B7" s="10">
        <v>102</v>
      </c>
      <c r="C7" s="10">
        <v>39131</v>
      </c>
      <c r="D7" s="10" t="s">
        <v>45</v>
      </c>
      <c r="E7" s="10" t="s">
        <v>52</v>
      </c>
      <c r="F7" s="10" t="s">
        <v>23</v>
      </c>
      <c r="G7" s="10" t="s">
        <v>12</v>
      </c>
      <c r="H7" s="10" t="s">
        <v>41</v>
      </c>
      <c r="I7" s="11">
        <v>1</v>
      </c>
      <c r="J7" s="11"/>
      <c r="K7" s="11">
        <v>0</v>
      </c>
      <c r="L7" s="6">
        <f t="shared" si="0"/>
        <v>1</v>
      </c>
      <c r="M7" s="12">
        <v>38.61</v>
      </c>
      <c r="N7" s="13">
        <f t="shared" si="1"/>
        <v>38.61</v>
      </c>
      <c r="O7" s="13">
        <f t="shared" si="2"/>
        <v>0</v>
      </c>
      <c r="P7" s="14">
        <v>126.24009703</v>
      </c>
      <c r="Q7" s="8">
        <f t="shared" si="3"/>
        <v>126.24009703</v>
      </c>
      <c r="R7" s="8">
        <f t="shared" si="4"/>
        <v>0</v>
      </c>
      <c r="S7" s="15">
        <f t="shared" si="5"/>
        <v>0</v>
      </c>
    </row>
    <row r="8" spans="1:19" x14ac:dyDescent="0.25">
      <c r="A8" s="10" t="s">
        <v>53</v>
      </c>
      <c r="B8" s="10">
        <v>153</v>
      </c>
      <c r="C8" s="10">
        <v>71753</v>
      </c>
      <c r="D8" s="10" t="s">
        <v>54</v>
      </c>
      <c r="E8" s="10"/>
      <c r="F8" s="10" t="s">
        <v>23</v>
      </c>
      <c r="G8" s="10" t="s">
        <v>12</v>
      </c>
      <c r="H8" s="10" t="s">
        <v>41</v>
      </c>
      <c r="I8" s="11">
        <v>893</v>
      </c>
      <c r="J8" s="11"/>
      <c r="K8" s="11">
        <v>0</v>
      </c>
      <c r="L8" s="6">
        <f t="shared" si="0"/>
        <v>893</v>
      </c>
      <c r="M8" s="12">
        <v>3.12</v>
      </c>
      <c r="N8" s="13">
        <f t="shared" si="1"/>
        <v>2786.1600000000003</v>
      </c>
      <c r="O8" s="13">
        <f t="shared" si="2"/>
        <v>0</v>
      </c>
      <c r="P8" s="14">
        <v>26.220623209999999</v>
      </c>
      <c r="Q8" s="8">
        <f t="shared" si="3"/>
        <v>23415.016526529998</v>
      </c>
      <c r="R8" s="8">
        <f t="shared" si="4"/>
        <v>0</v>
      </c>
      <c r="S8" s="15">
        <f t="shared" si="5"/>
        <v>0</v>
      </c>
    </row>
    <row r="9" spans="1:19" x14ac:dyDescent="0.25">
      <c r="A9" s="10" t="s">
        <v>55</v>
      </c>
      <c r="B9" s="10">
        <v>154</v>
      </c>
      <c r="C9" s="10">
        <v>591</v>
      </c>
      <c r="D9" s="10" t="s">
        <v>56</v>
      </c>
      <c r="E9" s="10" t="s">
        <v>57</v>
      </c>
      <c r="F9" s="10" t="s">
        <v>20</v>
      </c>
      <c r="G9" s="10" t="s">
        <v>12</v>
      </c>
      <c r="H9" s="10" t="s">
        <v>41</v>
      </c>
      <c r="I9" s="11">
        <v>5139</v>
      </c>
      <c r="J9" s="11"/>
      <c r="K9" s="11">
        <v>1392</v>
      </c>
      <c r="L9" s="6">
        <f t="shared" si="0"/>
        <v>3747</v>
      </c>
      <c r="M9" s="12">
        <v>0.70199999999999996</v>
      </c>
      <c r="N9" s="13">
        <f t="shared" si="1"/>
        <v>3607.578</v>
      </c>
      <c r="O9" s="13">
        <f t="shared" si="2"/>
        <v>977.18399999999997</v>
      </c>
      <c r="P9" s="14">
        <v>6.3187898000000002</v>
      </c>
      <c r="Q9" s="8">
        <f t="shared" si="3"/>
        <v>32472.260782200003</v>
      </c>
      <c r="R9" s="8">
        <f t="shared" si="4"/>
        <v>8795.7554015999995</v>
      </c>
      <c r="S9" s="15">
        <f t="shared" si="5"/>
        <v>0.27086981903093987</v>
      </c>
    </row>
    <row r="10" spans="1:19" x14ac:dyDescent="0.25">
      <c r="A10" s="10" t="s">
        <v>58</v>
      </c>
      <c r="B10" s="10">
        <v>154</v>
      </c>
      <c r="C10" s="10">
        <v>591</v>
      </c>
      <c r="D10" s="10" t="s">
        <v>56</v>
      </c>
      <c r="E10" s="10" t="s">
        <v>59</v>
      </c>
      <c r="F10" s="10" t="s">
        <v>20</v>
      </c>
      <c r="G10" s="10" t="s">
        <v>12</v>
      </c>
      <c r="H10" s="10" t="s">
        <v>41</v>
      </c>
      <c r="I10" s="11">
        <v>616</v>
      </c>
      <c r="J10" s="11"/>
      <c r="K10" s="11">
        <v>156</v>
      </c>
      <c r="L10" s="6">
        <f t="shared" si="0"/>
        <v>460</v>
      </c>
      <c r="M10" s="12">
        <v>0.70199999999999996</v>
      </c>
      <c r="N10" s="13">
        <f t="shared" si="1"/>
        <v>432.43199999999996</v>
      </c>
      <c r="O10" s="13">
        <f t="shared" si="2"/>
        <v>109.512</v>
      </c>
      <c r="P10" s="14">
        <v>6.3868923799999999</v>
      </c>
      <c r="Q10" s="8">
        <f t="shared" si="3"/>
        <v>3934.3257060800001</v>
      </c>
      <c r="R10" s="8">
        <f t="shared" si="4"/>
        <v>996.35521127999993</v>
      </c>
      <c r="S10" s="15">
        <f t="shared" si="5"/>
        <v>0.25324675324675322</v>
      </c>
    </row>
    <row r="11" spans="1:19" x14ac:dyDescent="0.25">
      <c r="A11" s="10" t="s">
        <v>60</v>
      </c>
      <c r="B11" s="10">
        <v>156</v>
      </c>
      <c r="C11" s="10">
        <v>41606</v>
      </c>
      <c r="D11" s="10" t="s">
        <v>61</v>
      </c>
      <c r="E11" s="10" t="s">
        <v>62</v>
      </c>
      <c r="F11" s="10" t="s">
        <v>21</v>
      </c>
      <c r="G11" s="10" t="s">
        <v>12</v>
      </c>
      <c r="H11" s="10" t="s">
        <v>41</v>
      </c>
      <c r="I11" s="11">
        <v>339</v>
      </c>
      <c r="J11" s="11"/>
      <c r="K11" s="11">
        <v>221</v>
      </c>
      <c r="L11" s="6">
        <f t="shared" si="0"/>
        <v>118</v>
      </c>
      <c r="M11" s="12">
        <v>17.843</v>
      </c>
      <c r="N11" s="13">
        <f t="shared" si="1"/>
        <v>6048.777</v>
      </c>
      <c r="O11" s="13">
        <f t="shared" si="2"/>
        <v>3943.3029999999999</v>
      </c>
      <c r="P11" s="14">
        <v>105.43806467</v>
      </c>
      <c r="Q11" s="8">
        <f t="shared" si="3"/>
        <v>35743.503923130003</v>
      </c>
      <c r="R11" s="8">
        <f t="shared" si="4"/>
        <v>23301.812292070001</v>
      </c>
      <c r="S11" s="15">
        <f t="shared" si="5"/>
        <v>0.65191740412979349</v>
      </c>
    </row>
    <row r="12" spans="1:19" x14ac:dyDescent="0.25">
      <c r="A12" s="10" t="s">
        <v>63</v>
      </c>
      <c r="B12" s="10">
        <v>156</v>
      </c>
      <c r="C12" s="10">
        <v>41606</v>
      </c>
      <c r="D12" s="10" t="s">
        <v>61</v>
      </c>
      <c r="E12" s="10" t="s">
        <v>64</v>
      </c>
      <c r="F12" s="10" t="s">
        <v>21</v>
      </c>
      <c r="G12" s="10" t="s">
        <v>12</v>
      </c>
      <c r="H12" s="10" t="s">
        <v>41</v>
      </c>
      <c r="I12" s="11">
        <v>379</v>
      </c>
      <c r="J12" s="11"/>
      <c r="K12" s="11">
        <v>206</v>
      </c>
      <c r="L12" s="6">
        <f t="shared" si="0"/>
        <v>173</v>
      </c>
      <c r="M12" s="12">
        <v>17.843</v>
      </c>
      <c r="N12" s="13">
        <f t="shared" si="1"/>
        <v>6762.4970000000003</v>
      </c>
      <c r="O12" s="13">
        <f t="shared" si="2"/>
        <v>3675.6579999999999</v>
      </c>
      <c r="P12" s="14">
        <v>105.43217715</v>
      </c>
      <c r="Q12" s="8">
        <f t="shared" si="3"/>
        <v>39958.795139850001</v>
      </c>
      <c r="R12" s="8">
        <f t="shared" si="4"/>
        <v>21719.028492900001</v>
      </c>
      <c r="S12" s="15">
        <f t="shared" si="5"/>
        <v>0.54353562005277045</v>
      </c>
    </row>
    <row r="13" spans="1:19" x14ac:dyDescent="0.25">
      <c r="A13" s="10" t="s">
        <v>65</v>
      </c>
      <c r="B13" s="10">
        <v>156</v>
      </c>
      <c r="C13" s="10">
        <v>41606</v>
      </c>
      <c r="D13" s="10" t="s">
        <v>61</v>
      </c>
      <c r="E13" s="10" t="s">
        <v>66</v>
      </c>
      <c r="F13" s="10" t="s">
        <v>21</v>
      </c>
      <c r="G13" s="10" t="s">
        <v>12</v>
      </c>
      <c r="H13" s="10" t="s">
        <v>41</v>
      </c>
      <c r="I13" s="11">
        <v>313</v>
      </c>
      <c r="J13" s="11"/>
      <c r="K13" s="11">
        <v>122</v>
      </c>
      <c r="L13" s="6">
        <f t="shared" si="0"/>
        <v>191</v>
      </c>
      <c r="M13" s="12">
        <v>17.843</v>
      </c>
      <c r="N13" s="13">
        <f t="shared" si="1"/>
        <v>5584.8590000000004</v>
      </c>
      <c r="O13" s="13">
        <f t="shared" si="2"/>
        <v>2176.846</v>
      </c>
      <c r="P13" s="14">
        <v>103.21909157</v>
      </c>
      <c r="Q13" s="8">
        <f t="shared" si="3"/>
        <v>32307.575661410003</v>
      </c>
      <c r="R13" s="8">
        <f t="shared" si="4"/>
        <v>12592.729171540001</v>
      </c>
      <c r="S13" s="15">
        <f t="shared" si="5"/>
        <v>0.38977635782747605</v>
      </c>
    </row>
    <row r="14" spans="1:19" x14ac:dyDescent="0.25">
      <c r="A14" s="10" t="s">
        <v>67</v>
      </c>
      <c r="B14" s="10">
        <v>156</v>
      </c>
      <c r="C14" s="10">
        <v>41606</v>
      </c>
      <c r="D14" s="10" t="s">
        <v>61</v>
      </c>
      <c r="E14" s="10" t="s">
        <v>68</v>
      </c>
      <c r="F14" s="10" t="s">
        <v>21</v>
      </c>
      <c r="G14" s="10" t="s">
        <v>12</v>
      </c>
      <c r="H14" s="10" t="s">
        <v>41</v>
      </c>
      <c r="I14" s="11">
        <v>19</v>
      </c>
      <c r="J14" s="11"/>
      <c r="K14" s="11">
        <v>0</v>
      </c>
      <c r="L14" s="6">
        <f t="shared" si="0"/>
        <v>19</v>
      </c>
      <c r="M14" s="12">
        <v>17.843</v>
      </c>
      <c r="N14" s="13">
        <f t="shared" si="1"/>
        <v>339.017</v>
      </c>
      <c r="O14" s="13">
        <f t="shared" si="2"/>
        <v>0</v>
      </c>
      <c r="P14" s="14">
        <v>87.141516609999996</v>
      </c>
      <c r="Q14" s="8">
        <f t="shared" si="3"/>
        <v>1655.6888155899999</v>
      </c>
      <c r="R14" s="8">
        <f t="shared" si="4"/>
        <v>0</v>
      </c>
      <c r="S14" s="15">
        <f t="shared" si="5"/>
        <v>0</v>
      </c>
    </row>
    <row r="15" spans="1:19" x14ac:dyDescent="0.25">
      <c r="A15" s="10" t="s">
        <v>69</v>
      </c>
      <c r="B15" s="10">
        <v>156</v>
      </c>
      <c r="C15" s="10">
        <v>41606</v>
      </c>
      <c r="D15" s="10" t="s">
        <v>61</v>
      </c>
      <c r="E15" s="10" t="s">
        <v>70</v>
      </c>
      <c r="F15" s="10" t="s">
        <v>21</v>
      </c>
      <c r="G15" s="10" t="s">
        <v>12</v>
      </c>
      <c r="H15" s="10" t="s">
        <v>41</v>
      </c>
      <c r="I15" s="11">
        <v>29</v>
      </c>
      <c r="J15" s="11"/>
      <c r="K15" s="11">
        <v>0</v>
      </c>
      <c r="L15" s="6">
        <f t="shared" si="0"/>
        <v>29</v>
      </c>
      <c r="M15" s="12">
        <v>17.843</v>
      </c>
      <c r="N15" s="13">
        <f t="shared" si="1"/>
        <v>517.447</v>
      </c>
      <c r="O15" s="13">
        <f t="shared" si="2"/>
        <v>0</v>
      </c>
      <c r="P15" s="14">
        <v>76.317225960000002</v>
      </c>
      <c r="Q15" s="8">
        <f t="shared" si="3"/>
        <v>2213.1995528400003</v>
      </c>
      <c r="R15" s="8">
        <f t="shared" si="4"/>
        <v>0</v>
      </c>
      <c r="S15" s="15">
        <f t="shared" si="5"/>
        <v>0</v>
      </c>
    </row>
    <row r="16" spans="1:19" x14ac:dyDescent="0.25">
      <c r="A16" s="10" t="s">
        <v>71</v>
      </c>
      <c r="B16" s="10">
        <v>161</v>
      </c>
      <c r="C16" s="10">
        <v>74166</v>
      </c>
      <c r="D16" s="10" t="s">
        <v>72</v>
      </c>
      <c r="E16" s="10" t="s">
        <v>73</v>
      </c>
      <c r="F16" s="10" t="s">
        <v>22</v>
      </c>
      <c r="G16" s="10" t="s">
        <v>12</v>
      </c>
      <c r="H16" s="10" t="s">
        <v>41</v>
      </c>
      <c r="I16" s="11">
        <v>110</v>
      </c>
      <c r="J16" s="11"/>
      <c r="K16" s="11">
        <v>45</v>
      </c>
      <c r="L16" s="6">
        <f t="shared" si="0"/>
        <v>65</v>
      </c>
      <c r="M16" s="12">
        <v>43.875</v>
      </c>
      <c r="N16" s="13">
        <f t="shared" si="1"/>
        <v>4826.25</v>
      </c>
      <c r="O16" s="13">
        <f t="shared" si="2"/>
        <v>1974.375</v>
      </c>
      <c r="P16" s="14">
        <v>170.33481398999999</v>
      </c>
      <c r="Q16" s="8">
        <f t="shared" si="3"/>
        <v>18736.829538899998</v>
      </c>
      <c r="R16" s="8">
        <f t="shared" si="4"/>
        <v>7665.0666295499996</v>
      </c>
      <c r="S16" s="15">
        <f t="shared" si="5"/>
        <v>0.40909090909090912</v>
      </c>
    </row>
    <row r="17" spans="1:19" x14ac:dyDescent="0.25">
      <c r="A17" s="10" t="s">
        <v>74</v>
      </c>
      <c r="B17" s="10">
        <v>184</v>
      </c>
      <c r="C17" s="10">
        <v>59607</v>
      </c>
      <c r="D17" s="10" t="s">
        <v>75</v>
      </c>
      <c r="E17" s="10" t="s">
        <v>76</v>
      </c>
      <c r="F17" s="10" t="s">
        <v>23</v>
      </c>
      <c r="G17" s="10" t="s">
        <v>12</v>
      </c>
      <c r="H17" s="10" t="s">
        <v>41</v>
      </c>
      <c r="I17" s="11">
        <v>201</v>
      </c>
      <c r="J17" s="11"/>
      <c r="K17" s="11">
        <v>109</v>
      </c>
      <c r="L17" s="6">
        <f t="shared" si="0"/>
        <v>92</v>
      </c>
      <c r="M17" s="12">
        <v>47.04</v>
      </c>
      <c r="N17" s="13">
        <f t="shared" si="1"/>
        <v>9455.0399999999991</v>
      </c>
      <c r="O17" s="13">
        <f t="shared" si="2"/>
        <v>5127.3599999999997</v>
      </c>
      <c r="P17" s="14">
        <v>146.7069233</v>
      </c>
      <c r="Q17" s="8">
        <f t="shared" si="3"/>
        <v>29488.0915833</v>
      </c>
      <c r="R17" s="8">
        <f t="shared" si="4"/>
        <v>15991.0546397</v>
      </c>
      <c r="S17" s="15">
        <f t="shared" si="5"/>
        <v>0.54228855721393032</v>
      </c>
    </row>
    <row r="18" spans="1:19" x14ac:dyDescent="0.25">
      <c r="A18" s="10" t="s">
        <v>77</v>
      </c>
      <c r="B18" s="10">
        <v>184</v>
      </c>
      <c r="C18" s="10">
        <v>59607</v>
      </c>
      <c r="D18" s="10" t="s">
        <v>75</v>
      </c>
      <c r="E18" s="10" t="s">
        <v>78</v>
      </c>
      <c r="F18" s="10" t="s">
        <v>23</v>
      </c>
      <c r="G18" s="10" t="s">
        <v>12</v>
      </c>
      <c r="H18" s="10" t="s">
        <v>41</v>
      </c>
      <c r="I18" s="11">
        <v>1025</v>
      </c>
      <c r="J18" s="11"/>
      <c r="K18" s="11">
        <v>575</v>
      </c>
      <c r="L18" s="6">
        <f t="shared" si="0"/>
        <v>450</v>
      </c>
      <c r="M18" s="12">
        <v>47.04</v>
      </c>
      <c r="N18" s="13">
        <f t="shared" si="1"/>
        <v>48216</v>
      </c>
      <c r="O18" s="13">
        <f t="shared" si="2"/>
        <v>27048</v>
      </c>
      <c r="P18" s="14">
        <v>148.05368763000001</v>
      </c>
      <c r="Q18" s="8">
        <f t="shared" si="3"/>
        <v>151755.02982075</v>
      </c>
      <c r="R18" s="8">
        <f t="shared" si="4"/>
        <v>85130.870387250005</v>
      </c>
      <c r="S18" s="15">
        <f t="shared" si="5"/>
        <v>0.56097560975609762</v>
      </c>
    </row>
    <row r="19" spans="1:19" x14ac:dyDescent="0.25">
      <c r="A19" s="10" t="s">
        <v>79</v>
      </c>
      <c r="B19" s="10">
        <v>185</v>
      </c>
      <c r="C19" s="10">
        <v>39082</v>
      </c>
      <c r="D19" s="10" t="s">
        <v>80</v>
      </c>
      <c r="E19" s="10" t="s">
        <v>81</v>
      </c>
      <c r="F19" s="10" t="s">
        <v>23</v>
      </c>
      <c r="G19" s="10" t="s">
        <v>12</v>
      </c>
      <c r="H19" s="10" t="s">
        <v>41</v>
      </c>
      <c r="I19" s="11">
        <v>208</v>
      </c>
      <c r="J19" s="11"/>
      <c r="K19" s="11">
        <v>109</v>
      </c>
      <c r="L19" s="6">
        <f t="shared" si="0"/>
        <v>99</v>
      </c>
      <c r="M19" s="12">
        <v>28.08</v>
      </c>
      <c r="N19" s="13">
        <f t="shared" si="1"/>
        <v>5840.6399999999994</v>
      </c>
      <c r="O19" s="13">
        <f t="shared" si="2"/>
        <v>3060.72</v>
      </c>
      <c r="P19" s="14">
        <v>109.39016278</v>
      </c>
      <c r="Q19" s="8">
        <f t="shared" si="3"/>
        <v>22753.153858239999</v>
      </c>
      <c r="R19" s="8">
        <f t="shared" si="4"/>
        <v>11923.52774302</v>
      </c>
      <c r="S19" s="15">
        <f t="shared" si="5"/>
        <v>0.52403846153846156</v>
      </c>
    </row>
    <row r="20" spans="1:19" x14ac:dyDescent="0.25">
      <c r="A20" s="10" t="s">
        <v>82</v>
      </c>
      <c r="B20" s="10">
        <v>185</v>
      </c>
      <c r="C20" s="10">
        <v>39082</v>
      </c>
      <c r="D20" s="10" t="s">
        <v>80</v>
      </c>
      <c r="E20" s="10" t="s">
        <v>83</v>
      </c>
      <c r="F20" s="10" t="s">
        <v>23</v>
      </c>
      <c r="G20" s="10" t="s">
        <v>12</v>
      </c>
      <c r="H20" s="10" t="s">
        <v>41</v>
      </c>
      <c r="I20" s="11">
        <v>0</v>
      </c>
      <c r="J20" s="11"/>
      <c r="K20" s="11">
        <v>0</v>
      </c>
      <c r="L20" s="6">
        <f t="shared" si="0"/>
        <v>0</v>
      </c>
      <c r="M20" s="12">
        <v>28.08</v>
      </c>
      <c r="N20" s="13">
        <f t="shared" si="1"/>
        <v>0</v>
      </c>
      <c r="O20" s="13">
        <f t="shared" si="2"/>
        <v>0</v>
      </c>
      <c r="P20" s="14">
        <v>91.973706930000006</v>
      </c>
      <c r="Q20" s="8">
        <f t="shared" si="3"/>
        <v>0</v>
      </c>
      <c r="R20" s="8">
        <f t="shared" si="4"/>
        <v>0</v>
      </c>
      <c r="S20" s="15">
        <f t="shared" si="5"/>
        <v>0</v>
      </c>
    </row>
    <row r="21" spans="1:19" x14ac:dyDescent="0.25">
      <c r="A21" s="10" t="s">
        <v>84</v>
      </c>
      <c r="B21" s="10">
        <v>185</v>
      </c>
      <c r="C21" s="10">
        <v>39082</v>
      </c>
      <c r="D21" s="10" t="s">
        <v>80</v>
      </c>
      <c r="E21" s="10" t="s">
        <v>85</v>
      </c>
      <c r="F21" s="10" t="s">
        <v>23</v>
      </c>
      <c r="G21" s="10" t="s">
        <v>12</v>
      </c>
      <c r="H21" s="10" t="s">
        <v>41</v>
      </c>
      <c r="I21" s="11">
        <v>597</v>
      </c>
      <c r="J21" s="11"/>
      <c r="K21" s="11">
        <v>310</v>
      </c>
      <c r="L21" s="6">
        <f t="shared" si="0"/>
        <v>287</v>
      </c>
      <c r="M21" s="12">
        <v>28.08</v>
      </c>
      <c r="N21" s="13">
        <f t="shared" si="1"/>
        <v>16763.759999999998</v>
      </c>
      <c r="O21" s="13">
        <f t="shared" si="2"/>
        <v>8704.7999999999993</v>
      </c>
      <c r="P21" s="14">
        <v>105.30388511</v>
      </c>
      <c r="Q21" s="8">
        <f t="shared" si="3"/>
        <v>62866.419410669994</v>
      </c>
      <c r="R21" s="8">
        <f t="shared" si="4"/>
        <v>32644.204384099998</v>
      </c>
      <c r="S21" s="15">
        <f t="shared" si="5"/>
        <v>0.51926298157453932</v>
      </c>
    </row>
    <row r="22" spans="1:19" x14ac:dyDescent="0.25">
      <c r="A22" s="10" t="s">
        <v>86</v>
      </c>
      <c r="B22" s="10">
        <v>185</v>
      </c>
      <c r="C22" s="10">
        <v>39082</v>
      </c>
      <c r="D22" s="10" t="s">
        <v>80</v>
      </c>
      <c r="E22" s="10" t="s">
        <v>87</v>
      </c>
      <c r="F22" s="10" t="s">
        <v>23</v>
      </c>
      <c r="G22" s="10" t="s">
        <v>12</v>
      </c>
      <c r="H22" s="10" t="s">
        <v>41</v>
      </c>
      <c r="I22" s="11">
        <v>465</v>
      </c>
      <c r="J22" s="11"/>
      <c r="K22" s="11">
        <v>265</v>
      </c>
      <c r="L22" s="6">
        <f t="shared" si="0"/>
        <v>200</v>
      </c>
      <c r="M22" s="12">
        <v>28.08</v>
      </c>
      <c r="N22" s="13">
        <f t="shared" si="1"/>
        <v>13057.199999999999</v>
      </c>
      <c r="O22" s="13">
        <f t="shared" si="2"/>
        <v>7441.2</v>
      </c>
      <c r="P22" s="14">
        <v>103.12174168999999</v>
      </c>
      <c r="Q22" s="8">
        <f t="shared" si="3"/>
        <v>47951.609885849997</v>
      </c>
      <c r="R22" s="8">
        <f t="shared" si="4"/>
        <v>27327.261547849997</v>
      </c>
      <c r="S22" s="15">
        <f t="shared" si="5"/>
        <v>0.56989247311827962</v>
      </c>
    </row>
    <row r="23" spans="1:19" x14ac:dyDescent="0.25">
      <c r="A23" s="10" t="s">
        <v>88</v>
      </c>
      <c r="B23" s="10">
        <v>187</v>
      </c>
      <c r="C23" s="10">
        <v>590</v>
      </c>
      <c r="D23" s="10" t="s">
        <v>89</v>
      </c>
      <c r="E23" s="10" t="s">
        <v>90</v>
      </c>
      <c r="F23" s="10" t="s">
        <v>20</v>
      </c>
      <c r="G23" s="10" t="s">
        <v>12</v>
      </c>
      <c r="H23" s="10" t="s">
        <v>41</v>
      </c>
      <c r="I23" s="11">
        <v>2717</v>
      </c>
      <c r="J23" s="11"/>
      <c r="K23" s="11">
        <v>1091</v>
      </c>
      <c r="L23" s="6">
        <f t="shared" si="0"/>
        <v>1626</v>
      </c>
      <c r="M23" s="12">
        <v>0.54600000000000004</v>
      </c>
      <c r="N23" s="13">
        <f t="shared" si="1"/>
        <v>1483.4820000000002</v>
      </c>
      <c r="O23" s="13">
        <f t="shared" si="2"/>
        <v>595.68600000000004</v>
      </c>
      <c r="P23" s="14">
        <v>4.7145688799999999</v>
      </c>
      <c r="Q23" s="8">
        <f t="shared" si="3"/>
        <v>12809.48364696</v>
      </c>
      <c r="R23" s="8">
        <f t="shared" si="4"/>
        <v>5143.5946480799994</v>
      </c>
      <c r="S23" s="15">
        <f t="shared" si="5"/>
        <v>0.40154582259845417</v>
      </c>
    </row>
    <row r="24" spans="1:19" x14ac:dyDescent="0.25">
      <c r="A24" s="10" t="s">
        <v>91</v>
      </c>
      <c r="B24" s="10">
        <v>187</v>
      </c>
      <c r="C24" s="10">
        <v>590</v>
      </c>
      <c r="D24" s="10" t="s">
        <v>89</v>
      </c>
      <c r="E24" s="10" t="s">
        <v>92</v>
      </c>
      <c r="F24" s="10" t="s">
        <v>20</v>
      </c>
      <c r="G24" s="10" t="s">
        <v>12</v>
      </c>
      <c r="H24" s="10" t="s">
        <v>41</v>
      </c>
      <c r="I24" s="11">
        <v>703</v>
      </c>
      <c r="J24" s="11"/>
      <c r="K24" s="11">
        <v>234</v>
      </c>
      <c r="L24" s="6">
        <f t="shared" si="0"/>
        <v>469</v>
      </c>
      <c r="M24" s="12">
        <v>0.54600000000000004</v>
      </c>
      <c r="N24" s="13">
        <f t="shared" si="1"/>
        <v>383.83800000000002</v>
      </c>
      <c r="O24" s="13">
        <f t="shared" si="2"/>
        <v>127.76400000000001</v>
      </c>
      <c r="P24" s="14">
        <v>4.9403419199999998</v>
      </c>
      <c r="Q24" s="8">
        <f t="shared" si="3"/>
        <v>3473.06036976</v>
      </c>
      <c r="R24" s="8">
        <f t="shared" si="4"/>
        <v>1156.04000928</v>
      </c>
      <c r="S24" s="15">
        <f t="shared" si="5"/>
        <v>0.33285917496443812</v>
      </c>
    </row>
    <row r="25" spans="1:19" x14ac:dyDescent="0.25">
      <c r="A25" s="10" t="s">
        <v>93</v>
      </c>
      <c r="B25" s="10">
        <v>187</v>
      </c>
      <c r="C25" s="10">
        <v>590</v>
      </c>
      <c r="D25" s="10" t="s">
        <v>89</v>
      </c>
      <c r="E25" s="10" t="s">
        <v>94</v>
      </c>
      <c r="F25" s="10" t="s">
        <v>20</v>
      </c>
      <c r="G25" s="10" t="s">
        <v>12</v>
      </c>
      <c r="H25" s="10" t="s">
        <v>41</v>
      </c>
      <c r="I25" s="11">
        <v>49</v>
      </c>
      <c r="J25" s="11"/>
      <c r="K25" s="11">
        <v>0</v>
      </c>
      <c r="L25" s="6">
        <f t="shared" si="0"/>
        <v>49</v>
      </c>
      <c r="M25" s="12">
        <v>0.54600000000000004</v>
      </c>
      <c r="N25" s="13">
        <f t="shared" si="1"/>
        <v>26.754000000000001</v>
      </c>
      <c r="O25" s="13">
        <f t="shared" si="2"/>
        <v>0</v>
      </c>
      <c r="P25" s="14">
        <v>5.38507845</v>
      </c>
      <c r="Q25" s="8">
        <f t="shared" si="3"/>
        <v>263.86884405000001</v>
      </c>
      <c r="R25" s="8">
        <f t="shared" si="4"/>
        <v>0</v>
      </c>
      <c r="S25" s="15">
        <f t="shared" si="5"/>
        <v>0</v>
      </c>
    </row>
    <row r="26" spans="1:19" x14ac:dyDescent="0.25">
      <c r="A26" s="10" t="s">
        <v>95</v>
      </c>
      <c r="B26" s="10">
        <v>216</v>
      </c>
      <c r="C26" s="10">
        <v>32316</v>
      </c>
      <c r="D26" s="10" t="s">
        <v>96</v>
      </c>
      <c r="E26" s="10" t="s">
        <v>97</v>
      </c>
      <c r="F26" s="10" t="s">
        <v>22</v>
      </c>
      <c r="G26" s="10" t="s">
        <v>12</v>
      </c>
      <c r="H26" s="10" t="s">
        <v>41</v>
      </c>
      <c r="I26" s="11">
        <v>155</v>
      </c>
      <c r="J26" s="11"/>
      <c r="K26" s="11">
        <v>0</v>
      </c>
      <c r="L26" s="6">
        <f t="shared" si="0"/>
        <v>155</v>
      </c>
      <c r="M26" s="12">
        <v>6.63</v>
      </c>
      <c r="N26" s="13">
        <f t="shared" si="1"/>
        <v>1027.6500000000001</v>
      </c>
      <c r="O26" s="13">
        <f t="shared" si="2"/>
        <v>0</v>
      </c>
      <c r="P26" s="14">
        <v>45.332881700000002</v>
      </c>
      <c r="Q26" s="8">
        <f t="shared" si="3"/>
        <v>7026.5966635000004</v>
      </c>
      <c r="R26" s="8">
        <f t="shared" si="4"/>
        <v>0</v>
      </c>
      <c r="S26" s="15">
        <f t="shared" si="5"/>
        <v>0</v>
      </c>
    </row>
    <row r="27" spans="1:19" x14ac:dyDescent="0.25">
      <c r="A27" s="10" t="s">
        <v>98</v>
      </c>
      <c r="B27" s="10">
        <v>216</v>
      </c>
      <c r="C27" s="10">
        <v>32316</v>
      </c>
      <c r="D27" s="10" t="s">
        <v>96</v>
      </c>
      <c r="E27" s="10" t="s">
        <v>99</v>
      </c>
      <c r="F27" s="10" t="s">
        <v>22</v>
      </c>
      <c r="G27" s="10" t="s">
        <v>12</v>
      </c>
      <c r="H27" s="10" t="s">
        <v>41</v>
      </c>
      <c r="I27" s="11">
        <v>147</v>
      </c>
      <c r="J27" s="11"/>
      <c r="K27" s="11">
        <v>0</v>
      </c>
      <c r="L27" s="6">
        <f t="shared" si="0"/>
        <v>147</v>
      </c>
      <c r="M27" s="12">
        <v>6.63</v>
      </c>
      <c r="N27" s="13">
        <f t="shared" si="1"/>
        <v>974.61</v>
      </c>
      <c r="O27" s="13">
        <f t="shared" si="2"/>
        <v>0</v>
      </c>
      <c r="P27" s="14">
        <v>45.5928817</v>
      </c>
      <c r="Q27" s="8">
        <f t="shared" si="3"/>
        <v>6702.1536098999995</v>
      </c>
      <c r="R27" s="8">
        <f t="shared" si="4"/>
        <v>0</v>
      </c>
      <c r="S27" s="15">
        <f t="shared" si="5"/>
        <v>0</v>
      </c>
    </row>
    <row r="28" spans="1:19" x14ac:dyDescent="0.25">
      <c r="A28" s="10" t="s">
        <v>100</v>
      </c>
      <c r="B28" s="10">
        <v>217</v>
      </c>
      <c r="C28" s="10">
        <v>32317</v>
      </c>
      <c r="D28" s="10" t="s">
        <v>101</v>
      </c>
      <c r="E28" s="10" t="s">
        <v>102</v>
      </c>
      <c r="F28" s="10" t="s">
        <v>22</v>
      </c>
      <c r="G28" s="10" t="s">
        <v>12</v>
      </c>
      <c r="H28" s="10" t="s">
        <v>41</v>
      </c>
      <c r="I28" s="11">
        <v>236</v>
      </c>
      <c r="J28" s="11"/>
      <c r="K28" s="11">
        <v>0</v>
      </c>
      <c r="L28" s="6">
        <f t="shared" si="0"/>
        <v>236</v>
      </c>
      <c r="M28" s="12">
        <v>11.51</v>
      </c>
      <c r="N28" s="13">
        <f t="shared" si="1"/>
        <v>2716.36</v>
      </c>
      <c r="O28" s="13">
        <f t="shared" si="2"/>
        <v>0</v>
      </c>
      <c r="P28" s="14">
        <v>69.026702150000006</v>
      </c>
      <c r="Q28" s="8">
        <f t="shared" si="3"/>
        <v>16290.301707400002</v>
      </c>
      <c r="R28" s="8">
        <f t="shared" si="4"/>
        <v>0</v>
      </c>
      <c r="S28" s="15">
        <f t="shared" si="5"/>
        <v>0</v>
      </c>
    </row>
    <row r="29" spans="1:19" x14ac:dyDescent="0.25">
      <c r="A29" s="10" t="s">
        <v>103</v>
      </c>
      <c r="B29" s="10">
        <v>217</v>
      </c>
      <c r="C29" s="10">
        <v>32317</v>
      </c>
      <c r="D29" s="10" t="s">
        <v>101</v>
      </c>
      <c r="E29" s="10" t="s">
        <v>104</v>
      </c>
      <c r="F29" s="10" t="s">
        <v>22</v>
      </c>
      <c r="G29" s="10" t="s">
        <v>12</v>
      </c>
      <c r="H29" s="10" t="s">
        <v>41</v>
      </c>
      <c r="I29" s="11">
        <v>0</v>
      </c>
      <c r="J29" s="11"/>
      <c r="K29" s="11">
        <v>0</v>
      </c>
      <c r="L29" s="6">
        <f t="shared" si="0"/>
        <v>0</v>
      </c>
      <c r="M29" s="12">
        <v>11.51</v>
      </c>
      <c r="N29" s="13">
        <f t="shared" si="1"/>
        <v>0</v>
      </c>
      <c r="O29" s="13">
        <f t="shared" si="2"/>
        <v>0</v>
      </c>
      <c r="P29" s="14">
        <v>68.417647650000006</v>
      </c>
      <c r="Q29" s="8">
        <f t="shared" si="3"/>
        <v>0</v>
      </c>
      <c r="R29" s="8">
        <f t="shared" si="4"/>
        <v>0</v>
      </c>
      <c r="S29" s="15">
        <f t="shared" si="5"/>
        <v>0</v>
      </c>
    </row>
    <row r="30" spans="1:19" x14ac:dyDescent="0.25">
      <c r="A30" s="10" t="s">
        <v>105</v>
      </c>
      <c r="B30" s="10">
        <v>217</v>
      </c>
      <c r="C30" s="10">
        <v>32317</v>
      </c>
      <c r="D30" s="10" t="s">
        <v>101</v>
      </c>
      <c r="E30" s="10" t="s">
        <v>106</v>
      </c>
      <c r="F30" s="10" t="s">
        <v>22</v>
      </c>
      <c r="G30" s="10" t="s">
        <v>12</v>
      </c>
      <c r="H30" s="10" t="s">
        <v>41</v>
      </c>
      <c r="I30" s="11">
        <v>2479</v>
      </c>
      <c r="J30" s="11"/>
      <c r="K30" s="11">
        <v>0</v>
      </c>
      <c r="L30" s="6">
        <f t="shared" si="0"/>
        <v>2479</v>
      </c>
      <c r="M30" s="12">
        <v>11.51</v>
      </c>
      <c r="N30" s="13">
        <f t="shared" si="1"/>
        <v>28533.29</v>
      </c>
      <c r="O30" s="13">
        <f t="shared" si="2"/>
        <v>0</v>
      </c>
      <c r="P30" s="14">
        <v>62.449567520000002</v>
      </c>
      <c r="Q30" s="8">
        <f t="shared" si="3"/>
        <v>154812.47788208001</v>
      </c>
      <c r="R30" s="8">
        <f t="shared" si="4"/>
        <v>0</v>
      </c>
      <c r="S30" s="15">
        <f t="shared" si="5"/>
        <v>0</v>
      </c>
    </row>
    <row r="31" spans="1:19" x14ac:dyDescent="0.25">
      <c r="A31" s="10" t="s">
        <v>107</v>
      </c>
      <c r="B31" s="10">
        <v>217</v>
      </c>
      <c r="C31" s="10">
        <v>32317</v>
      </c>
      <c r="D31" s="10" t="s">
        <v>101</v>
      </c>
      <c r="E31" s="10" t="s">
        <v>108</v>
      </c>
      <c r="F31" s="10" t="s">
        <v>22</v>
      </c>
      <c r="G31" s="10" t="s">
        <v>12</v>
      </c>
      <c r="H31" s="10" t="s">
        <v>41</v>
      </c>
      <c r="I31" s="11">
        <v>1405</v>
      </c>
      <c r="J31" s="11"/>
      <c r="K31" s="11">
        <v>509</v>
      </c>
      <c r="L31" s="6">
        <f t="shared" si="0"/>
        <v>896</v>
      </c>
      <c r="M31" s="12">
        <v>11.51</v>
      </c>
      <c r="N31" s="13">
        <f t="shared" si="1"/>
        <v>16171.55</v>
      </c>
      <c r="O31" s="13">
        <f t="shared" si="2"/>
        <v>5858.59</v>
      </c>
      <c r="P31" s="14">
        <v>60.695719650000001</v>
      </c>
      <c r="Q31" s="8">
        <f t="shared" si="3"/>
        <v>85277.486108249999</v>
      </c>
      <c r="R31" s="8">
        <f t="shared" si="4"/>
        <v>30894.121301850002</v>
      </c>
      <c r="S31" s="15">
        <f t="shared" si="5"/>
        <v>0.36227758007117439</v>
      </c>
    </row>
    <row r="32" spans="1:19" x14ac:dyDescent="0.25">
      <c r="A32" s="10" t="s">
        <v>109</v>
      </c>
      <c r="B32" s="10">
        <v>217</v>
      </c>
      <c r="C32" s="10">
        <v>32317</v>
      </c>
      <c r="D32" s="10" t="s">
        <v>101</v>
      </c>
      <c r="E32" s="10" t="s">
        <v>110</v>
      </c>
      <c r="F32" s="10" t="s">
        <v>22</v>
      </c>
      <c r="G32" s="10" t="s">
        <v>12</v>
      </c>
      <c r="H32" s="10" t="s">
        <v>41</v>
      </c>
      <c r="I32" s="11">
        <v>2237</v>
      </c>
      <c r="J32" s="11"/>
      <c r="K32" s="11">
        <v>804</v>
      </c>
      <c r="L32" s="6">
        <f t="shared" si="0"/>
        <v>1433</v>
      </c>
      <c r="M32" s="12">
        <v>11.51</v>
      </c>
      <c r="N32" s="13">
        <f t="shared" si="1"/>
        <v>25747.87</v>
      </c>
      <c r="O32" s="13">
        <f t="shared" si="2"/>
        <v>9254.0399999999991</v>
      </c>
      <c r="P32" s="14">
        <v>61.505605580000001</v>
      </c>
      <c r="Q32" s="8">
        <f t="shared" si="3"/>
        <v>137588.03968245999</v>
      </c>
      <c r="R32" s="8">
        <f t="shared" si="4"/>
        <v>49450.506886319999</v>
      </c>
      <c r="S32" s="15">
        <f t="shared" si="5"/>
        <v>0.35940992400536431</v>
      </c>
    </row>
    <row r="33" spans="1:19" x14ac:dyDescent="0.25">
      <c r="A33" s="10" t="s">
        <v>111</v>
      </c>
      <c r="B33" s="10">
        <v>217</v>
      </c>
      <c r="C33" s="10">
        <v>32317</v>
      </c>
      <c r="D33" s="10" t="s">
        <v>101</v>
      </c>
      <c r="E33" s="10" t="s">
        <v>112</v>
      </c>
      <c r="F33" s="10" t="s">
        <v>22</v>
      </c>
      <c r="G33" s="10" t="s">
        <v>12</v>
      </c>
      <c r="H33" s="10" t="s">
        <v>41</v>
      </c>
      <c r="I33" s="11">
        <v>45</v>
      </c>
      <c r="J33" s="11"/>
      <c r="K33" s="11">
        <v>0</v>
      </c>
      <c r="L33" s="6">
        <f t="shared" si="0"/>
        <v>45</v>
      </c>
      <c r="M33" s="12">
        <v>11.51</v>
      </c>
      <c r="N33" s="13">
        <f t="shared" si="1"/>
        <v>517.95000000000005</v>
      </c>
      <c r="O33" s="13">
        <f t="shared" si="2"/>
        <v>0</v>
      </c>
      <c r="P33" s="14">
        <v>64.187647650000002</v>
      </c>
      <c r="Q33" s="8">
        <f t="shared" si="3"/>
        <v>2888.4441442500001</v>
      </c>
      <c r="R33" s="8">
        <f t="shared" si="4"/>
        <v>0</v>
      </c>
      <c r="S33" s="15">
        <f t="shared" si="5"/>
        <v>0</v>
      </c>
    </row>
    <row r="34" spans="1:19" x14ac:dyDescent="0.25">
      <c r="A34" s="10" t="s">
        <v>113</v>
      </c>
      <c r="B34" s="10">
        <v>217</v>
      </c>
      <c r="C34" s="10">
        <v>32317</v>
      </c>
      <c r="D34" s="10" t="s">
        <v>101</v>
      </c>
      <c r="E34" s="10" t="s">
        <v>114</v>
      </c>
      <c r="F34" s="10" t="s">
        <v>22</v>
      </c>
      <c r="G34" s="10" t="s">
        <v>12</v>
      </c>
      <c r="H34" s="10" t="s">
        <v>41</v>
      </c>
      <c r="I34" s="11">
        <v>1312</v>
      </c>
      <c r="J34" s="11"/>
      <c r="K34" s="11">
        <v>545</v>
      </c>
      <c r="L34" s="6">
        <f t="shared" si="0"/>
        <v>767</v>
      </c>
      <c r="M34" s="12">
        <v>11.51</v>
      </c>
      <c r="N34" s="13">
        <f t="shared" si="1"/>
        <v>15101.119999999999</v>
      </c>
      <c r="O34" s="13">
        <f t="shared" si="2"/>
        <v>6272.95</v>
      </c>
      <c r="P34" s="14">
        <v>63.369732509999999</v>
      </c>
      <c r="Q34" s="8">
        <f t="shared" si="3"/>
        <v>83141.089053119998</v>
      </c>
      <c r="R34" s="8">
        <f t="shared" si="4"/>
        <v>34536.504217950001</v>
      </c>
      <c r="S34" s="15">
        <f t="shared" si="5"/>
        <v>0.41539634146341464</v>
      </c>
    </row>
    <row r="35" spans="1:19" x14ac:dyDescent="0.25">
      <c r="A35" s="10" t="s">
        <v>115</v>
      </c>
      <c r="B35" s="10">
        <v>217</v>
      </c>
      <c r="C35" s="10">
        <v>32317</v>
      </c>
      <c r="D35" s="10" t="s">
        <v>101</v>
      </c>
      <c r="E35" s="10" t="s">
        <v>116</v>
      </c>
      <c r="F35" s="10" t="s">
        <v>22</v>
      </c>
      <c r="G35" s="10" t="s">
        <v>12</v>
      </c>
      <c r="H35" s="10" t="s">
        <v>41</v>
      </c>
      <c r="I35" s="11">
        <v>206</v>
      </c>
      <c r="J35" s="11"/>
      <c r="K35" s="11">
        <v>205</v>
      </c>
      <c r="L35" s="6">
        <f t="shared" si="0"/>
        <v>1</v>
      </c>
      <c r="M35" s="12">
        <v>11.51</v>
      </c>
      <c r="N35" s="13">
        <f t="shared" si="1"/>
        <v>2371.06</v>
      </c>
      <c r="O35" s="13">
        <f t="shared" si="2"/>
        <v>2359.5500000000002</v>
      </c>
      <c r="P35" s="14">
        <v>67.578411829999993</v>
      </c>
      <c r="Q35" s="8">
        <f t="shared" si="3"/>
        <v>13921.152836979998</v>
      </c>
      <c r="R35" s="8">
        <f t="shared" si="4"/>
        <v>13853.574425149998</v>
      </c>
      <c r="S35" s="15">
        <f t="shared" si="5"/>
        <v>0.99514563106796117</v>
      </c>
    </row>
    <row r="36" spans="1:19" x14ac:dyDescent="0.25">
      <c r="A36" s="10" t="s">
        <v>117</v>
      </c>
      <c r="B36" s="10">
        <v>217</v>
      </c>
      <c r="C36" s="10">
        <v>32317</v>
      </c>
      <c r="D36" s="10" t="s">
        <v>101</v>
      </c>
      <c r="E36" s="10" t="s">
        <v>118</v>
      </c>
      <c r="F36" s="10" t="s">
        <v>22</v>
      </c>
      <c r="G36" s="10" t="s">
        <v>12</v>
      </c>
      <c r="H36" s="10" t="s">
        <v>41</v>
      </c>
      <c r="I36" s="11">
        <v>460</v>
      </c>
      <c r="J36" s="11"/>
      <c r="K36" s="11">
        <v>200</v>
      </c>
      <c r="L36" s="6">
        <f t="shared" si="0"/>
        <v>260</v>
      </c>
      <c r="M36" s="12">
        <v>11.51</v>
      </c>
      <c r="N36" s="13">
        <f t="shared" si="1"/>
        <v>5294.5999999999995</v>
      </c>
      <c r="O36" s="13">
        <f t="shared" si="2"/>
        <v>2302</v>
      </c>
      <c r="P36" s="14">
        <v>65.373838710000001</v>
      </c>
      <c r="Q36" s="8">
        <f t="shared" si="3"/>
        <v>30071.965806600001</v>
      </c>
      <c r="R36" s="8">
        <f t="shared" si="4"/>
        <v>13074.767742</v>
      </c>
      <c r="S36" s="15">
        <f t="shared" si="5"/>
        <v>0.43478260869565216</v>
      </c>
    </row>
    <row r="37" spans="1:19" x14ac:dyDescent="0.25">
      <c r="A37" s="10" t="s">
        <v>119</v>
      </c>
      <c r="B37" s="10">
        <v>264</v>
      </c>
      <c r="C37" s="10">
        <v>74152</v>
      </c>
      <c r="D37" s="10" t="s">
        <v>120</v>
      </c>
      <c r="E37" s="10" t="s">
        <v>121</v>
      </c>
      <c r="F37" s="10" t="s">
        <v>22</v>
      </c>
      <c r="G37" s="10" t="s">
        <v>12</v>
      </c>
      <c r="H37" s="10" t="s">
        <v>41</v>
      </c>
      <c r="I37" s="11">
        <v>505</v>
      </c>
      <c r="J37" s="11"/>
      <c r="K37" s="11">
        <v>490</v>
      </c>
      <c r="L37" s="6">
        <f t="shared" si="0"/>
        <v>15</v>
      </c>
      <c r="M37" s="12">
        <v>27.981999999999999</v>
      </c>
      <c r="N37" s="13">
        <f t="shared" si="1"/>
        <v>14130.91</v>
      </c>
      <c r="O37" s="13">
        <f t="shared" si="2"/>
        <v>13711.18</v>
      </c>
      <c r="P37" s="14">
        <v>119.41587373</v>
      </c>
      <c r="Q37" s="8">
        <f t="shared" si="3"/>
        <v>60305.01623365</v>
      </c>
      <c r="R37" s="8">
        <f t="shared" si="4"/>
        <v>58513.778127700003</v>
      </c>
      <c r="S37" s="15">
        <f t="shared" si="5"/>
        <v>0.97029702970297027</v>
      </c>
    </row>
    <row r="38" spans="1:19" x14ac:dyDescent="0.25">
      <c r="A38" s="10" t="s">
        <v>122</v>
      </c>
      <c r="B38" s="10">
        <v>274</v>
      </c>
      <c r="C38" s="10">
        <v>59947</v>
      </c>
      <c r="D38" s="10" t="s">
        <v>123</v>
      </c>
      <c r="E38" s="10" t="s">
        <v>124</v>
      </c>
      <c r="F38" s="10" t="s">
        <v>23</v>
      </c>
      <c r="G38" s="10" t="s">
        <v>12</v>
      </c>
      <c r="H38" s="10" t="s">
        <v>41</v>
      </c>
      <c r="I38" s="11">
        <v>922</v>
      </c>
      <c r="J38" s="11"/>
      <c r="K38" s="11">
        <v>475</v>
      </c>
      <c r="L38" s="6">
        <f t="shared" si="0"/>
        <v>447</v>
      </c>
      <c r="M38" s="12">
        <v>49.725000000000001</v>
      </c>
      <c r="N38" s="13">
        <f t="shared" si="1"/>
        <v>45846.450000000004</v>
      </c>
      <c r="O38" s="13">
        <f t="shared" si="2"/>
        <v>23619.375</v>
      </c>
      <c r="P38" s="14">
        <v>213.18474864999999</v>
      </c>
      <c r="Q38" s="8">
        <f t="shared" si="3"/>
        <v>196556.33825529998</v>
      </c>
      <c r="R38" s="8">
        <f t="shared" si="4"/>
        <v>101262.75560875</v>
      </c>
      <c r="S38" s="15">
        <f t="shared" si="5"/>
        <v>0.51518438177874182</v>
      </c>
    </row>
    <row r="39" spans="1:19" x14ac:dyDescent="0.25">
      <c r="A39" s="10" t="s">
        <v>125</v>
      </c>
      <c r="B39" s="10">
        <v>274</v>
      </c>
      <c r="C39" s="10">
        <v>59947</v>
      </c>
      <c r="D39" s="10" t="s">
        <v>123</v>
      </c>
      <c r="E39" s="10" t="s">
        <v>126</v>
      </c>
      <c r="F39" s="10" t="s">
        <v>23</v>
      </c>
      <c r="G39" s="10" t="s">
        <v>12</v>
      </c>
      <c r="H39" s="10" t="s">
        <v>41</v>
      </c>
      <c r="I39" s="11">
        <v>337</v>
      </c>
      <c r="J39" s="11"/>
      <c r="K39" s="11">
        <v>237</v>
      </c>
      <c r="L39" s="6">
        <f t="shared" si="0"/>
        <v>100</v>
      </c>
      <c r="M39" s="12">
        <v>49.725000000000001</v>
      </c>
      <c r="N39" s="13">
        <f t="shared" si="1"/>
        <v>16757.325000000001</v>
      </c>
      <c r="O39" s="13">
        <f t="shared" si="2"/>
        <v>11784.825000000001</v>
      </c>
      <c r="P39" s="14">
        <v>211.49986895000001</v>
      </c>
      <c r="Q39" s="8">
        <f t="shared" si="3"/>
        <v>71275.455836150009</v>
      </c>
      <c r="R39" s="8">
        <f t="shared" si="4"/>
        <v>50125.46894115</v>
      </c>
      <c r="S39" s="15">
        <f t="shared" si="5"/>
        <v>0.70326409495548958</v>
      </c>
    </row>
    <row r="40" spans="1:19" x14ac:dyDescent="0.25">
      <c r="A40" s="10" t="s">
        <v>127</v>
      </c>
      <c r="B40" s="10">
        <v>275</v>
      </c>
      <c r="C40" s="10">
        <v>38643</v>
      </c>
      <c r="D40" s="10" t="s">
        <v>128</v>
      </c>
      <c r="E40" s="10" t="s">
        <v>129</v>
      </c>
      <c r="F40" s="10" t="s">
        <v>23</v>
      </c>
      <c r="G40" s="10" t="s">
        <v>12</v>
      </c>
      <c r="H40" s="10" t="s">
        <v>41</v>
      </c>
      <c r="I40" s="11">
        <v>891</v>
      </c>
      <c r="J40" s="11"/>
      <c r="K40" s="11">
        <v>475</v>
      </c>
      <c r="L40" s="6">
        <f t="shared" si="0"/>
        <v>416</v>
      </c>
      <c r="M40" s="12">
        <v>59.67</v>
      </c>
      <c r="N40" s="13">
        <f t="shared" si="1"/>
        <v>53165.97</v>
      </c>
      <c r="O40" s="13">
        <f t="shared" si="2"/>
        <v>28343.25</v>
      </c>
      <c r="P40" s="14">
        <v>208.04809789999999</v>
      </c>
      <c r="Q40" s="8">
        <f t="shared" si="3"/>
        <v>185370.85522889998</v>
      </c>
      <c r="R40" s="8">
        <f t="shared" si="4"/>
        <v>98822.84650249999</v>
      </c>
      <c r="S40" s="15">
        <f t="shared" si="5"/>
        <v>0.53310886644219979</v>
      </c>
    </row>
    <row r="41" spans="1:19" x14ac:dyDescent="0.25">
      <c r="A41" s="10" t="s">
        <v>130</v>
      </c>
      <c r="B41" s="10">
        <v>275</v>
      </c>
      <c r="C41" s="10">
        <v>38643</v>
      </c>
      <c r="D41" s="10" t="s">
        <v>128</v>
      </c>
      <c r="E41" s="10" t="s">
        <v>131</v>
      </c>
      <c r="F41" s="10" t="s">
        <v>23</v>
      </c>
      <c r="G41" s="10" t="s">
        <v>12</v>
      </c>
      <c r="H41" s="10" t="s">
        <v>41</v>
      </c>
      <c r="I41" s="11">
        <v>322</v>
      </c>
      <c r="J41" s="11"/>
      <c r="K41" s="11">
        <v>237</v>
      </c>
      <c r="L41" s="6">
        <f t="shared" si="0"/>
        <v>85</v>
      </c>
      <c r="M41" s="12">
        <v>59.67</v>
      </c>
      <c r="N41" s="13">
        <f t="shared" si="1"/>
        <v>19213.740000000002</v>
      </c>
      <c r="O41" s="13">
        <f t="shared" si="2"/>
        <v>14141.79</v>
      </c>
      <c r="P41" s="14">
        <v>183.6929658</v>
      </c>
      <c r="Q41" s="8">
        <f t="shared" si="3"/>
        <v>59149.134987600002</v>
      </c>
      <c r="R41" s="8">
        <f t="shared" si="4"/>
        <v>43535.232894599998</v>
      </c>
      <c r="S41" s="15">
        <f t="shared" si="5"/>
        <v>0.7360248447204969</v>
      </c>
    </row>
    <row r="42" spans="1:19" x14ac:dyDescent="0.25">
      <c r="A42" s="10" t="s">
        <v>132</v>
      </c>
      <c r="B42" s="10">
        <v>276</v>
      </c>
      <c r="C42" s="10">
        <v>59948</v>
      </c>
      <c r="D42" s="10" t="s">
        <v>133</v>
      </c>
      <c r="E42" s="10" t="s">
        <v>134</v>
      </c>
      <c r="F42" s="10" t="s">
        <v>23</v>
      </c>
      <c r="G42" s="10" t="s">
        <v>12</v>
      </c>
      <c r="H42" s="10" t="s">
        <v>41</v>
      </c>
      <c r="I42" s="11">
        <v>711</v>
      </c>
      <c r="J42" s="11"/>
      <c r="K42" s="11">
        <v>286</v>
      </c>
      <c r="L42" s="6">
        <f t="shared" si="0"/>
        <v>425</v>
      </c>
      <c r="M42" s="12">
        <v>51.67</v>
      </c>
      <c r="N42" s="13">
        <f t="shared" si="1"/>
        <v>36737.370000000003</v>
      </c>
      <c r="O42" s="13">
        <f t="shared" si="2"/>
        <v>14777.62</v>
      </c>
      <c r="P42" s="14">
        <v>156.98784924</v>
      </c>
      <c r="Q42" s="8">
        <f t="shared" si="3"/>
        <v>111618.36080964</v>
      </c>
      <c r="R42" s="8">
        <f t="shared" si="4"/>
        <v>44898.524882639998</v>
      </c>
      <c r="S42" s="15">
        <f t="shared" si="5"/>
        <v>0.40225035161744022</v>
      </c>
    </row>
    <row r="43" spans="1:19" x14ac:dyDescent="0.25">
      <c r="A43" s="10" t="s">
        <v>135</v>
      </c>
      <c r="B43" s="10">
        <v>276</v>
      </c>
      <c r="C43" s="10">
        <v>59948</v>
      </c>
      <c r="D43" s="10" t="s">
        <v>133</v>
      </c>
      <c r="E43" s="10" t="s">
        <v>136</v>
      </c>
      <c r="F43" s="10" t="s">
        <v>23</v>
      </c>
      <c r="G43" s="10" t="s">
        <v>12</v>
      </c>
      <c r="H43" s="10" t="s">
        <v>41</v>
      </c>
      <c r="I43" s="11">
        <v>189</v>
      </c>
      <c r="J43" s="11"/>
      <c r="K43" s="11">
        <v>189</v>
      </c>
      <c r="L43" s="6">
        <f t="shared" si="0"/>
        <v>0</v>
      </c>
      <c r="M43" s="12">
        <v>51.67</v>
      </c>
      <c r="N43" s="13">
        <f t="shared" si="1"/>
        <v>9765.630000000001</v>
      </c>
      <c r="O43" s="13">
        <f t="shared" si="2"/>
        <v>9765.630000000001</v>
      </c>
      <c r="P43" s="14">
        <v>172.50278840999999</v>
      </c>
      <c r="Q43" s="8">
        <f t="shared" si="3"/>
        <v>32603.027009489997</v>
      </c>
      <c r="R43" s="8">
        <f t="shared" si="4"/>
        <v>32603.027009489997</v>
      </c>
      <c r="S43" s="15">
        <f t="shared" si="5"/>
        <v>1</v>
      </c>
    </row>
    <row r="44" spans="1:19" x14ac:dyDescent="0.25">
      <c r="A44" s="10" t="s">
        <v>137</v>
      </c>
      <c r="B44" s="10">
        <v>276</v>
      </c>
      <c r="C44" s="10">
        <v>59948</v>
      </c>
      <c r="D44" s="10" t="s">
        <v>133</v>
      </c>
      <c r="E44" s="10" t="s">
        <v>138</v>
      </c>
      <c r="F44" s="10" t="s">
        <v>23</v>
      </c>
      <c r="G44" s="10" t="s">
        <v>12</v>
      </c>
      <c r="H44" s="10" t="s">
        <v>41</v>
      </c>
      <c r="I44" s="11">
        <v>348</v>
      </c>
      <c r="J44" s="11"/>
      <c r="K44" s="11">
        <v>237</v>
      </c>
      <c r="L44" s="6">
        <f t="shared" si="0"/>
        <v>111</v>
      </c>
      <c r="M44" s="12">
        <v>51.67</v>
      </c>
      <c r="N44" s="13">
        <f t="shared" si="1"/>
        <v>17981.16</v>
      </c>
      <c r="O44" s="13">
        <f t="shared" si="2"/>
        <v>12245.79</v>
      </c>
      <c r="P44" s="14">
        <v>158.69153524999999</v>
      </c>
      <c r="Q44" s="8">
        <f t="shared" si="3"/>
        <v>55224.654266999998</v>
      </c>
      <c r="R44" s="8">
        <f t="shared" si="4"/>
        <v>37609.893854249996</v>
      </c>
      <c r="S44" s="15">
        <f t="shared" si="5"/>
        <v>0.68103448275862066</v>
      </c>
    </row>
    <row r="45" spans="1:19" x14ac:dyDescent="0.25">
      <c r="A45" s="10" t="s">
        <v>139</v>
      </c>
      <c r="B45" s="10">
        <v>308</v>
      </c>
      <c r="C45" s="10">
        <v>46008</v>
      </c>
      <c r="D45" s="10" t="s">
        <v>140</v>
      </c>
      <c r="E45" s="10"/>
      <c r="F45" s="10" t="s">
        <v>23</v>
      </c>
      <c r="G45" s="10" t="s">
        <v>12</v>
      </c>
      <c r="H45" s="10" t="s">
        <v>41</v>
      </c>
      <c r="I45" s="11">
        <v>872</v>
      </c>
      <c r="J45" s="11"/>
      <c r="K45" s="11">
        <v>0</v>
      </c>
      <c r="L45" s="6">
        <f t="shared" si="0"/>
        <v>872</v>
      </c>
      <c r="M45" s="12">
        <v>7.9950000000000001</v>
      </c>
      <c r="N45" s="13">
        <f t="shared" si="1"/>
        <v>6971.64</v>
      </c>
      <c r="O45" s="13">
        <f t="shared" si="2"/>
        <v>0</v>
      </c>
      <c r="P45" s="14">
        <v>61.256579940000002</v>
      </c>
      <c r="Q45" s="8">
        <f t="shared" si="3"/>
        <v>53415.737707680004</v>
      </c>
      <c r="R45" s="8">
        <f t="shared" si="4"/>
        <v>0</v>
      </c>
      <c r="S45" s="15">
        <f t="shared" si="5"/>
        <v>0</v>
      </c>
    </row>
    <row r="46" spans="1:19" x14ac:dyDescent="0.25">
      <c r="A46" s="10" t="s">
        <v>141</v>
      </c>
      <c r="B46" s="10">
        <v>2084</v>
      </c>
      <c r="C46" s="10">
        <v>59958</v>
      </c>
      <c r="D46" s="10" t="s">
        <v>142</v>
      </c>
      <c r="E46" s="10" t="s">
        <v>143</v>
      </c>
      <c r="F46" s="10" t="s">
        <v>23</v>
      </c>
      <c r="G46" s="10" t="s">
        <v>12</v>
      </c>
      <c r="H46" s="10" t="s">
        <v>41</v>
      </c>
      <c r="I46" s="11">
        <v>752</v>
      </c>
      <c r="J46" s="11"/>
      <c r="K46" s="11">
        <v>686</v>
      </c>
      <c r="L46" s="6">
        <f t="shared" si="0"/>
        <v>66</v>
      </c>
      <c r="M46" s="12">
        <v>34.905000000000001</v>
      </c>
      <c r="N46" s="13">
        <f t="shared" si="1"/>
        <v>26248.560000000001</v>
      </c>
      <c r="O46" s="13">
        <f t="shared" si="2"/>
        <v>23944.83</v>
      </c>
      <c r="P46" s="14">
        <v>153.96070639999999</v>
      </c>
      <c r="Q46" s="8">
        <f t="shared" si="3"/>
        <v>115778.45121279999</v>
      </c>
      <c r="R46" s="8">
        <f t="shared" si="4"/>
        <v>105617.04459039999</v>
      </c>
      <c r="S46" s="15">
        <f t="shared" si="5"/>
        <v>0.91223404255319152</v>
      </c>
    </row>
    <row r="47" spans="1:19" x14ac:dyDescent="0.25">
      <c r="A47" s="10" t="s">
        <v>144</v>
      </c>
      <c r="B47" s="10">
        <v>2084</v>
      </c>
      <c r="C47" s="10">
        <v>59958</v>
      </c>
      <c r="D47" s="10" t="s">
        <v>142</v>
      </c>
      <c r="E47" s="10" t="s">
        <v>145</v>
      </c>
      <c r="F47" s="10" t="s">
        <v>23</v>
      </c>
      <c r="G47" s="10" t="s">
        <v>12</v>
      </c>
      <c r="H47" s="10" t="s">
        <v>41</v>
      </c>
      <c r="I47" s="11">
        <v>143</v>
      </c>
      <c r="J47" s="11"/>
      <c r="K47" s="11">
        <v>122</v>
      </c>
      <c r="L47" s="6">
        <f t="shared" si="0"/>
        <v>21</v>
      </c>
      <c r="M47" s="12">
        <v>34.905000000000001</v>
      </c>
      <c r="N47" s="13">
        <f t="shared" si="1"/>
        <v>4991.415</v>
      </c>
      <c r="O47" s="13">
        <f t="shared" si="2"/>
        <v>4258.41</v>
      </c>
      <c r="P47" s="14">
        <v>154.23249784000001</v>
      </c>
      <c r="Q47" s="8">
        <f t="shared" si="3"/>
        <v>22055.247191120001</v>
      </c>
      <c r="R47" s="8">
        <f t="shared" si="4"/>
        <v>18816.364736480002</v>
      </c>
      <c r="S47" s="15">
        <f t="shared" si="5"/>
        <v>0.85314685314685312</v>
      </c>
    </row>
    <row r="48" spans="1:19" x14ac:dyDescent="0.25">
      <c r="A48" s="10" t="s">
        <v>146</v>
      </c>
      <c r="B48" s="10">
        <v>2085</v>
      </c>
      <c r="C48" s="10">
        <v>46005</v>
      </c>
      <c r="D48" s="10" t="s">
        <v>147</v>
      </c>
      <c r="E48" s="10" t="s">
        <v>148</v>
      </c>
      <c r="F48" s="10" t="s">
        <v>23</v>
      </c>
      <c r="G48" s="10" t="s">
        <v>12</v>
      </c>
      <c r="H48" s="10" t="s">
        <v>41</v>
      </c>
      <c r="I48" s="11">
        <v>686</v>
      </c>
      <c r="J48" s="11"/>
      <c r="K48" s="11">
        <v>0</v>
      </c>
      <c r="L48" s="6">
        <f t="shared" si="0"/>
        <v>686</v>
      </c>
      <c r="M48" s="12">
        <v>39.975000000000001</v>
      </c>
      <c r="N48" s="13">
        <f t="shared" si="1"/>
        <v>27422.850000000002</v>
      </c>
      <c r="O48" s="13">
        <f t="shared" si="2"/>
        <v>0</v>
      </c>
      <c r="P48" s="14">
        <v>163.49065973</v>
      </c>
      <c r="Q48" s="8">
        <f t="shared" si="3"/>
        <v>112154.59257478001</v>
      </c>
      <c r="R48" s="8">
        <f t="shared" si="4"/>
        <v>0</v>
      </c>
      <c r="S48" s="15">
        <f t="shared" si="5"/>
        <v>0</v>
      </c>
    </row>
    <row r="49" spans="1:19" x14ac:dyDescent="0.25">
      <c r="A49" s="10" t="s">
        <v>149</v>
      </c>
      <c r="B49" s="10">
        <v>2085</v>
      </c>
      <c r="C49" s="10">
        <v>46005</v>
      </c>
      <c r="D49" s="10" t="s">
        <v>147</v>
      </c>
      <c r="E49" s="10" t="s">
        <v>150</v>
      </c>
      <c r="F49" s="10" t="s">
        <v>23</v>
      </c>
      <c r="G49" s="10" t="s">
        <v>12</v>
      </c>
      <c r="H49" s="10" t="s">
        <v>41</v>
      </c>
      <c r="I49" s="11">
        <v>122</v>
      </c>
      <c r="J49" s="11"/>
      <c r="K49" s="11">
        <v>122</v>
      </c>
      <c r="L49" s="6">
        <f t="shared" si="0"/>
        <v>0</v>
      </c>
      <c r="M49" s="12">
        <v>39.975000000000001</v>
      </c>
      <c r="N49" s="13">
        <f t="shared" si="1"/>
        <v>4876.95</v>
      </c>
      <c r="O49" s="13">
        <f t="shared" si="2"/>
        <v>4876.95</v>
      </c>
      <c r="P49" s="14">
        <v>139.62622823000001</v>
      </c>
      <c r="Q49" s="8">
        <f t="shared" si="3"/>
        <v>17034.399844060001</v>
      </c>
      <c r="R49" s="8">
        <f t="shared" si="4"/>
        <v>17034.399844060001</v>
      </c>
      <c r="S49" s="15">
        <f t="shared" si="5"/>
        <v>1</v>
      </c>
    </row>
    <row r="50" spans="1:19" x14ac:dyDescent="0.25">
      <c r="A50" s="10" t="s">
        <v>151</v>
      </c>
      <c r="B50" s="10">
        <v>2086</v>
      </c>
      <c r="C50" s="10">
        <v>59959</v>
      </c>
      <c r="D50" s="10" t="s">
        <v>152</v>
      </c>
      <c r="E50" s="10" t="s">
        <v>153</v>
      </c>
      <c r="F50" s="10" t="s">
        <v>23</v>
      </c>
      <c r="G50" s="10" t="s">
        <v>12</v>
      </c>
      <c r="H50" s="10" t="s">
        <v>41</v>
      </c>
      <c r="I50" s="11">
        <v>162</v>
      </c>
      <c r="J50" s="11"/>
      <c r="K50" s="11">
        <v>138</v>
      </c>
      <c r="L50" s="6">
        <f t="shared" si="0"/>
        <v>24</v>
      </c>
      <c r="M50" s="12">
        <v>35.587000000000003</v>
      </c>
      <c r="N50" s="13">
        <f t="shared" si="1"/>
        <v>5765.094000000001</v>
      </c>
      <c r="O50" s="13">
        <f t="shared" si="2"/>
        <v>4911.0060000000003</v>
      </c>
      <c r="P50" s="14">
        <v>115.39708366000001</v>
      </c>
      <c r="Q50" s="8">
        <f t="shared" si="3"/>
        <v>18694.32755292</v>
      </c>
      <c r="R50" s="8">
        <f t="shared" si="4"/>
        <v>15924.79754508</v>
      </c>
      <c r="S50" s="15">
        <f t="shared" si="5"/>
        <v>0.85185185185185186</v>
      </c>
    </row>
    <row r="51" spans="1:19" x14ac:dyDescent="0.25">
      <c r="A51" s="10" t="s">
        <v>154</v>
      </c>
      <c r="B51" s="10">
        <v>2086</v>
      </c>
      <c r="C51" s="10">
        <v>59959</v>
      </c>
      <c r="D51" s="10" t="s">
        <v>152</v>
      </c>
      <c r="E51" s="10" t="s">
        <v>155</v>
      </c>
      <c r="F51" s="10" t="s">
        <v>23</v>
      </c>
      <c r="G51" s="10" t="s">
        <v>12</v>
      </c>
      <c r="H51" s="10" t="s">
        <v>41</v>
      </c>
      <c r="I51" s="11">
        <v>204</v>
      </c>
      <c r="J51" s="11"/>
      <c r="K51" s="11">
        <v>197</v>
      </c>
      <c r="L51" s="6">
        <f t="shared" si="0"/>
        <v>7</v>
      </c>
      <c r="M51" s="12">
        <v>35.587000000000003</v>
      </c>
      <c r="N51" s="13">
        <f t="shared" si="1"/>
        <v>7259.7480000000005</v>
      </c>
      <c r="O51" s="13">
        <f t="shared" si="2"/>
        <v>7010.639000000001</v>
      </c>
      <c r="P51" s="14">
        <v>112.66495768</v>
      </c>
      <c r="Q51" s="8">
        <f t="shared" si="3"/>
        <v>22983.651366720002</v>
      </c>
      <c r="R51" s="8">
        <f t="shared" si="4"/>
        <v>22194.996662959999</v>
      </c>
      <c r="S51" s="15">
        <f t="shared" si="5"/>
        <v>0.96568627450980393</v>
      </c>
    </row>
    <row r="52" spans="1:19" x14ac:dyDescent="0.25">
      <c r="A52" s="10" t="s">
        <v>156</v>
      </c>
      <c r="B52" s="10">
        <v>2086</v>
      </c>
      <c r="C52" s="10">
        <v>59959</v>
      </c>
      <c r="D52" s="10" t="s">
        <v>152</v>
      </c>
      <c r="E52" s="10" t="s">
        <v>157</v>
      </c>
      <c r="F52" s="10" t="s">
        <v>23</v>
      </c>
      <c r="G52" s="10" t="s">
        <v>12</v>
      </c>
      <c r="H52" s="10" t="s">
        <v>41</v>
      </c>
      <c r="I52" s="11">
        <v>351</v>
      </c>
      <c r="J52" s="11"/>
      <c r="K52" s="11">
        <v>0</v>
      </c>
      <c r="L52" s="6">
        <f t="shared" si="0"/>
        <v>351</v>
      </c>
      <c r="M52" s="12">
        <v>35.587000000000003</v>
      </c>
      <c r="N52" s="13">
        <f t="shared" si="1"/>
        <v>12491.037</v>
      </c>
      <c r="O52" s="13">
        <f t="shared" si="2"/>
        <v>0</v>
      </c>
      <c r="P52" s="14">
        <v>124.586589</v>
      </c>
      <c r="Q52" s="8">
        <f t="shared" si="3"/>
        <v>43729.892739000003</v>
      </c>
      <c r="R52" s="8">
        <f t="shared" si="4"/>
        <v>0</v>
      </c>
      <c r="S52" s="15">
        <f t="shared" si="5"/>
        <v>0</v>
      </c>
    </row>
    <row r="53" spans="1:19" x14ac:dyDescent="0.25">
      <c r="A53" s="10" t="s">
        <v>158</v>
      </c>
      <c r="B53" s="10">
        <v>2086</v>
      </c>
      <c r="C53" s="10">
        <v>59959</v>
      </c>
      <c r="D53" s="10" t="s">
        <v>152</v>
      </c>
      <c r="E53" s="10" t="s">
        <v>159</v>
      </c>
      <c r="F53" s="10" t="s">
        <v>23</v>
      </c>
      <c r="G53" s="10" t="s">
        <v>12</v>
      </c>
      <c r="H53" s="10" t="s">
        <v>41</v>
      </c>
      <c r="I53" s="11">
        <v>132</v>
      </c>
      <c r="J53" s="11"/>
      <c r="K53" s="11">
        <v>0</v>
      </c>
      <c r="L53" s="6">
        <f t="shared" si="0"/>
        <v>132</v>
      </c>
      <c r="M53" s="12">
        <v>35.587000000000003</v>
      </c>
      <c r="N53" s="13">
        <f t="shared" si="1"/>
        <v>4697.4840000000004</v>
      </c>
      <c r="O53" s="13">
        <f t="shared" si="2"/>
        <v>0</v>
      </c>
      <c r="P53" s="14">
        <v>111.80682280000001</v>
      </c>
      <c r="Q53" s="8">
        <f t="shared" si="3"/>
        <v>14758.500609600002</v>
      </c>
      <c r="R53" s="8">
        <f t="shared" si="4"/>
        <v>0</v>
      </c>
      <c r="S53" s="15">
        <f t="shared" si="5"/>
        <v>0</v>
      </c>
    </row>
    <row r="54" spans="1:19" x14ac:dyDescent="0.25">
      <c r="A54" s="10" t="s">
        <v>160</v>
      </c>
      <c r="B54" s="10">
        <v>2096</v>
      </c>
      <c r="C54" s="10">
        <v>59967</v>
      </c>
      <c r="D54" s="10" t="s">
        <v>161</v>
      </c>
      <c r="E54" s="10"/>
      <c r="F54" s="10" t="s">
        <v>23</v>
      </c>
      <c r="G54" s="10" t="s">
        <v>12</v>
      </c>
      <c r="H54" s="10" t="s">
        <v>41</v>
      </c>
      <c r="I54" s="11">
        <v>0</v>
      </c>
      <c r="J54" s="11"/>
      <c r="K54" s="11">
        <v>0</v>
      </c>
      <c r="L54" s="6">
        <f t="shared" si="0"/>
        <v>0</v>
      </c>
      <c r="M54" s="12">
        <v>3.8029999999999999</v>
      </c>
      <c r="N54" s="13">
        <f t="shared" si="1"/>
        <v>0</v>
      </c>
      <c r="O54" s="13">
        <f t="shared" si="2"/>
        <v>0</v>
      </c>
      <c r="P54" s="14">
        <v>32.513905260000001</v>
      </c>
      <c r="Q54" s="8">
        <f t="shared" si="3"/>
        <v>0</v>
      </c>
      <c r="R54" s="8">
        <f t="shared" si="4"/>
        <v>0</v>
      </c>
      <c r="S54" s="15">
        <f t="shared" si="5"/>
        <v>0</v>
      </c>
    </row>
    <row r="55" spans="1:19" x14ac:dyDescent="0.25">
      <c r="A55" s="10" t="s">
        <v>162</v>
      </c>
      <c r="B55" s="10">
        <v>2102</v>
      </c>
      <c r="C55" s="10">
        <v>59624</v>
      </c>
      <c r="D55" s="10" t="s">
        <v>163</v>
      </c>
      <c r="E55" s="10" t="s">
        <v>164</v>
      </c>
      <c r="F55" s="10" t="s">
        <v>23</v>
      </c>
      <c r="G55" s="10" t="s">
        <v>12</v>
      </c>
      <c r="H55" s="10" t="s">
        <v>41</v>
      </c>
      <c r="I55" s="11">
        <v>285</v>
      </c>
      <c r="J55" s="11"/>
      <c r="K55" s="11">
        <v>246</v>
      </c>
      <c r="L55" s="6">
        <f t="shared" si="0"/>
        <v>39</v>
      </c>
      <c r="M55" s="12">
        <v>50.018000000000001</v>
      </c>
      <c r="N55" s="13">
        <f t="shared" si="1"/>
        <v>14255.130000000001</v>
      </c>
      <c r="O55" s="13">
        <f t="shared" si="2"/>
        <v>12304.428</v>
      </c>
      <c r="P55" s="14">
        <v>234.52969615000001</v>
      </c>
      <c r="Q55" s="8">
        <f t="shared" si="3"/>
        <v>66840.96340275</v>
      </c>
      <c r="R55" s="8">
        <f t="shared" si="4"/>
        <v>57694.305252900005</v>
      </c>
      <c r="S55" s="15">
        <f t="shared" si="5"/>
        <v>0.86315789473684212</v>
      </c>
    </row>
    <row r="56" spans="1:19" x14ac:dyDescent="0.25">
      <c r="A56" s="10" t="s">
        <v>165</v>
      </c>
      <c r="B56" s="10">
        <v>2103</v>
      </c>
      <c r="C56" s="10">
        <v>59623</v>
      </c>
      <c r="D56" s="10" t="s">
        <v>166</v>
      </c>
      <c r="E56" s="10" t="s">
        <v>167</v>
      </c>
      <c r="F56" s="10" t="s">
        <v>23</v>
      </c>
      <c r="G56" s="10" t="s">
        <v>12</v>
      </c>
      <c r="H56" s="10" t="s">
        <v>41</v>
      </c>
      <c r="I56" s="11">
        <v>302</v>
      </c>
      <c r="J56" s="11"/>
      <c r="K56" s="11">
        <v>245</v>
      </c>
      <c r="L56" s="6">
        <f t="shared" si="0"/>
        <v>57</v>
      </c>
      <c r="M56" s="12">
        <v>34.173999999999999</v>
      </c>
      <c r="N56" s="13">
        <f t="shared" si="1"/>
        <v>10320.548000000001</v>
      </c>
      <c r="O56" s="13">
        <f t="shared" si="2"/>
        <v>8372.6299999999992</v>
      </c>
      <c r="P56" s="14">
        <v>108.03958466</v>
      </c>
      <c r="Q56" s="8">
        <f t="shared" si="3"/>
        <v>32627.954567320001</v>
      </c>
      <c r="R56" s="8">
        <f t="shared" si="4"/>
        <v>26469.6982417</v>
      </c>
      <c r="S56" s="15">
        <f t="shared" si="5"/>
        <v>0.8112582781456954</v>
      </c>
    </row>
    <row r="57" spans="1:19" x14ac:dyDescent="0.25">
      <c r="A57" s="10" t="s">
        <v>168</v>
      </c>
      <c r="B57" s="10">
        <v>2104</v>
      </c>
      <c r="C57" s="10">
        <v>59625</v>
      </c>
      <c r="D57" s="10" t="s">
        <v>169</v>
      </c>
      <c r="E57" s="10" t="s">
        <v>170</v>
      </c>
      <c r="F57" s="10" t="s">
        <v>23</v>
      </c>
      <c r="G57" s="10" t="s">
        <v>12</v>
      </c>
      <c r="H57" s="10" t="s">
        <v>41</v>
      </c>
      <c r="I57" s="11">
        <v>245</v>
      </c>
      <c r="J57" s="11"/>
      <c r="K57" s="11">
        <v>245</v>
      </c>
      <c r="L57" s="6">
        <f t="shared" si="0"/>
        <v>0</v>
      </c>
      <c r="M57" s="12">
        <v>51.674999999999997</v>
      </c>
      <c r="N57" s="13">
        <f t="shared" si="1"/>
        <v>12660.375</v>
      </c>
      <c r="O57" s="13">
        <f t="shared" si="2"/>
        <v>12660.375</v>
      </c>
      <c r="P57" s="14">
        <v>165.69528715000001</v>
      </c>
      <c r="Q57" s="8">
        <f t="shared" si="3"/>
        <v>40595.345351750002</v>
      </c>
      <c r="R57" s="8">
        <f t="shared" si="4"/>
        <v>40595.345351750002</v>
      </c>
      <c r="S57" s="15">
        <f t="shared" si="5"/>
        <v>1</v>
      </c>
    </row>
    <row r="58" spans="1:19" x14ac:dyDescent="0.25">
      <c r="A58" s="10" t="s">
        <v>171</v>
      </c>
      <c r="B58" s="10">
        <v>2105</v>
      </c>
      <c r="C58" s="10">
        <v>51224</v>
      </c>
      <c r="D58" s="10" t="s">
        <v>172</v>
      </c>
      <c r="E58" s="10" t="s">
        <v>173</v>
      </c>
      <c r="F58" s="10" t="s">
        <v>23</v>
      </c>
      <c r="G58" s="10" t="s">
        <v>12</v>
      </c>
      <c r="H58" s="10" t="s">
        <v>41</v>
      </c>
      <c r="I58" s="11">
        <v>267</v>
      </c>
      <c r="J58" s="11"/>
      <c r="K58" s="11">
        <v>222</v>
      </c>
      <c r="L58" s="6">
        <f t="shared" si="0"/>
        <v>45</v>
      </c>
      <c r="M58" s="12">
        <v>49.384</v>
      </c>
      <c r="N58" s="13">
        <f t="shared" si="1"/>
        <v>13185.528</v>
      </c>
      <c r="O58" s="13">
        <f t="shared" si="2"/>
        <v>10963.248</v>
      </c>
      <c r="P58" s="14">
        <v>155.05078879999999</v>
      </c>
      <c r="Q58" s="8">
        <f t="shared" si="3"/>
        <v>41398.560609599997</v>
      </c>
      <c r="R58" s="8">
        <f t="shared" si="4"/>
        <v>34421.275113600001</v>
      </c>
      <c r="S58" s="15">
        <f t="shared" si="5"/>
        <v>0.8314606741573034</v>
      </c>
    </row>
    <row r="59" spans="1:19" x14ac:dyDescent="0.25">
      <c r="A59" s="10" t="s">
        <v>174</v>
      </c>
      <c r="B59" s="10">
        <v>2105</v>
      </c>
      <c r="C59" s="10">
        <v>51224</v>
      </c>
      <c r="D59" s="10" t="s">
        <v>172</v>
      </c>
      <c r="E59" s="10" t="s">
        <v>175</v>
      </c>
      <c r="F59" s="10" t="s">
        <v>23</v>
      </c>
      <c r="G59" s="10" t="s">
        <v>12</v>
      </c>
      <c r="H59" s="10" t="s">
        <v>41</v>
      </c>
      <c r="I59" s="11">
        <v>8</v>
      </c>
      <c r="J59" s="11"/>
      <c r="K59" s="11">
        <v>0</v>
      </c>
      <c r="L59" s="6">
        <f t="shared" si="0"/>
        <v>8</v>
      </c>
      <c r="M59" s="12">
        <v>49.384</v>
      </c>
      <c r="N59" s="13">
        <f t="shared" si="1"/>
        <v>395.072</v>
      </c>
      <c r="O59" s="13">
        <f t="shared" si="2"/>
        <v>0</v>
      </c>
      <c r="P59" s="14">
        <v>151.09602131</v>
      </c>
      <c r="Q59" s="8">
        <f t="shared" si="3"/>
        <v>1208.76817048</v>
      </c>
      <c r="R59" s="8">
        <f t="shared" si="4"/>
        <v>0</v>
      </c>
      <c r="S59" s="15">
        <f t="shared" si="5"/>
        <v>0</v>
      </c>
    </row>
    <row r="60" spans="1:19" x14ac:dyDescent="0.25">
      <c r="A60" s="10" t="s">
        <v>176</v>
      </c>
      <c r="B60" s="10">
        <v>2105</v>
      </c>
      <c r="C60" s="10">
        <v>51224</v>
      </c>
      <c r="D60" s="10" t="s">
        <v>172</v>
      </c>
      <c r="E60" s="10" t="s">
        <v>177</v>
      </c>
      <c r="F60" s="10" t="s">
        <v>23</v>
      </c>
      <c r="G60" s="10" t="s">
        <v>12</v>
      </c>
      <c r="H60" s="10" t="s">
        <v>41</v>
      </c>
      <c r="I60" s="11">
        <v>24</v>
      </c>
      <c r="J60" s="11"/>
      <c r="K60" s="11">
        <v>0</v>
      </c>
      <c r="L60" s="6">
        <f t="shared" si="0"/>
        <v>24</v>
      </c>
      <c r="M60" s="12">
        <v>49.384</v>
      </c>
      <c r="N60" s="13">
        <f t="shared" si="1"/>
        <v>1185.2159999999999</v>
      </c>
      <c r="O60" s="13">
        <f t="shared" si="2"/>
        <v>0</v>
      </c>
      <c r="P60" s="14">
        <v>150.49631309</v>
      </c>
      <c r="Q60" s="8">
        <f t="shared" si="3"/>
        <v>3611.91151416</v>
      </c>
      <c r="R60" s="8">
        <f t="shared" si="4"/>
        <v>0</v>
      </c>
      <c r="S60" s="15">
        <f t="shared" si="5"/>
        <v>0</v>
      </c>
    </row>
    <row r="61" spans="1:19" x14ac:dyDescent="0.25">
      <c r="A61" s="10" t="s">
        <v>178</v>
      </c>
      <c r="B61" s="10">
        <v>2107</v>
      </c>
      <c r="C61" s="10">
        <v>72913</v>
      </c>
      <c r="D61" s="10" t="s">
        <v>179</v>
      </c>
      <c r="E61" s="10" t="s">
        <v>180</v>
      </c>
      <c r="F61" s="10" t="s">
        <v>23</v>
      </c>
      <c r="G61" s="10" t="s">
        <v>12</v>
      </c>
      <c r="H61" s="10" t="s">
        <v>41</v>
      </c>
      <c r="I61" s="11">
        <v>199</v>
      </c>
      <c r="J61" s="11"/>
      <c r="K61" s="11">
        <v>165</v>
      </c>
      <c r="L61" s="6">
        <f t="shared" si="0"/>
        <v>34</v>
      </c>
      <c r="M61" s="12">
        <v>50.991999999999997</v>
      </c>
      <c r="N61" s="13">
        <f t="shared" si="1"/>
        <v>10147.407999999999</v>
      </c>
      <c r="O61" s="13">
        <f t="shared" si="2"/>
        <v>8413.68</v>
      </c>
      <c r="P61" s="14">
        <v>159.95274598</v>
      </c>
      <c r="Q61" s="8">
        <f t="shared" si="3"/>
        <v>31830.596450019999</v>
      </c>
      <c r="R61" s="8">
        <f t="shared" si="4"/>
        <v>26392.203086699999</v>
      </c>
      <c r="S61" s="15">
        <f t="shared" si="5"/>
        <v>0.82914572864321612</v>
      </c>
    </row>
    <row r="62" spans="1:19" x14ac:dyDescent="0.25">
      <c r="A62" s="10" t="s">
        <v>181</v>
      </c>
      <c r="B62" s="10">
        <v>2108</v>
      </c>
      <c r="C62" s="10">
        <v>72914</v>
      </c>
      <c r="D62" s="10" t="s">
        <v>182</v>
      </c>
      <c r="E62" s="10" t="s">
        <v>183</v>
      </c>
      <c r="F62" s="10" t="s">
        <v>23</v>
      </c>
      <c r="G62" s="10" t="s">
        <v>12</v>
      </c>
      <c r="H62" s="10" t="s">
        <v>41</v>
      </c>
      <c r="I62" s="11">
        <v>168</v>
      </c>
      <c r="J62" s="11"/>
      <c r="K62" s="11">
        <v>168</v>
      </c>
      <c r="L62" s="6">
        <f t="shared" si="0"/>
        <v>0</v>
      </c>
      <c r="M62" s="12">
        <v>48.555</v>
      </c>
      <c r="N62" s="13">
        <f t="shared" si="1"/>
        <v>8157.24</v>
      </c>
      <c r="O62" s="13">
        <f t="shared" si="2"/>
        <v>8157.24</v>
      </c>
      <c r="P62" s="14">
        <v>158.27646963000001</v>
      </c>
      <c r="Q62" s="8">
        <f t="shared" si="3"/>
        <v>26590.44689784</v>
      </c>
      <c r="R62" s="8">
        <f t="shared" si="4"/>
        <v>26590.44689784</v>
      </c>
      <c r="S62" s="15">
        <f t="shared" si="5"/>
        <v>1</v>
      </c>
    </row>
    <row r="63" spans="1:19" x14ac:dyDescent="0.25">
      <c r="A63" s="10" t="s">
        <v>184</v>
      </c>
      <c r="B63" s="10">
        <v>2109</v>
      </c>
      <c r="C63" s="10">
        <v>72915</v>
      </c>
      <c r="D63" s="10" t="s">
        <v>185</v>
      </c>
      <c r="E63" s="10" t="s">
        <v>186</v>
      </c>
      <c r="F63" s="10" t="s">
        <v>23</v>
      </c>
      <c r="G63" s="10" t="s">
        <v>12</v>
      </c>
      <c r="H63" s="10" t="s">
        <v>41</v>
      </c>
      <c r="I63" s="11">
        <v>181</v>
      </c>
      <c r="J63" s="11"/>
      <c r="K63" s="11">
        <v>165</v>
      </c>
      <c r="L63" s="6">
        <f t="shared" si="0"/>
        <v>16</v>
      </c>
      <c r="M63" s="12">
        <v>44.167000000000002</v>
      </c>
      <c r="N63" s="13">
        <f t="shared" si="1"/>
        <v>7994.2269999999999</v>
      </c>
      <c r="O63" s="13">
        <f t="shared" si="2"/>
        <v>7287.5550000000003</v>
      </c>
      <c r="P63" s="14">
        <v>177.78043296999999</v>
      </c>
      <c r="Q63" s="8">
        <f t="shared" si="3"/>
        <v>32178.258367569997</v>
      </c>
      <c r="R63" s="8">
        <f t="shared" si="4"/>
        <v>29333.771440049997</v>
      </c>
      <c r="S63" s="15">
        <f t="shared" si="5"/>
        <v>0.91160220994475138</v>
      </c>
    </row>
    <row r="64" spans="1:19" x14ac:dyDescent="0.25">
      <c r="A64" s="10" t="s">
        <v>187</v>
      </c>
      <c r="B64" s="10">
        <v>2109</v>
      </c>
      <c r="C64" s="10">
        <v>72915</v>
      </c>
      <c r="D64" s="10" t="s">
        <v>185</v>
      </c>
      <c r="E64" s="10" t="s">
        <v>188</v>
      </c>
      <c r="F64" s="10" t="s">
        <v>23</v>
      </c>
      <c r="G64" s="10" t="s">
        <v>12</v>
      </c>
      <c r="H64" s="10" t="s">
        <v>41</v>
      </c>
      <c r="I64" s="11">
        <v>1</v>
      </c>
      <c r="J64" s="11"/>
      <c r="K64" s="11">
        <v>0</v>
      </c>
      <c r="L64" s="6">
        <f t="shared" si="0"/>
        <v>1</v>
      </c>
      <c r="M64" s="12">
        <v>44.167000000000002</v>
      </c>
      <c r="N64" s="13">
        <f t="shared" si="1"/>
        <v>44.167000000000002</v>
      </c>
      <c r="O64" s="13">
        <f t="shared" si="2"/>
        <v>0</v>
      </c>
      <c r="P64" s="14">
        <v>160.50374736000001</v>
      </c>
      <c r="Q64" s="8">
        <f t="shared" si="3"/>
        <v>160.50374736000001</v>
      </c>
      <c r="R64" s="8">
        <f t="shared" si="4"/>
        <v>0</v>
      </c>
      <c r="S64" s="15">
        <f t="shared" si="5"/>
        <v>0</v>
      </c>
    </row>
    <row r="65" spans="1:19" x14ac:dyDescent="0.25">
      <c r="A65" s="10" t="s">
        <v>189</v>
      </c>
      <c r="B65" s="10">
        <v>2110</v>
      </c>
      <c r="C65" s="10">
        <v>72916</v>
      </c>
      <c r="D65" s="10" t="s">
        <v>190</v>
      </c>
      <c r="E65" s="10" t="s">
        <v>191</v>
      </c>
      <c r="F65" s="10" t="s">
        <v>23</v>
      </c>
      <c r="G65" s="10" t="s">
        <v>12</v>
      </c>
      <c r="H65" s="10" t="s">
        <v>41</v>
      </c>
      <c r="I65" s="11">
        <v>305</v>
      </c>
      <c r="J65" s="11"/>
      <c r="K65" s="11">
        <v>77</v>
      </c>
      <c r="L65" s="6">
        <f t="shared" si="0"/>
        <v>228</v>
      </c>
      <c r="M65" s="12">
        <v>55.476999999999997</v>
      </c>
      <c r="N65" s="13">
        <f t="shared" si="1"/>
        <v>16920.485000000001</v>
      </c>
      <c r="O65" s="13">
        <f t="shared" si="2"/>
        <v>4271.7289999999994</v>
      </c>
      <c r="P65" s="14">
        <v>157.57604105999999</v>
      </c>
      <c r="Q65" s="8">
        <f t="shared" si="3"/>
        <v>48060.6925233</v>
      </c>
      <c r="R65" s="8">
        <f t="shared" si="4"/>
        <v>12133.35516162</v>
      </c>
      <c r="S65" s="15">
        <f t="shared" si="5"/>
        <v>0.25245901639344265</v>
      </c>
    </row>
    <row r="66" spans="1:19" x14ac:dyDescent="0.25">
      <c r="A66" s="10" t="s">
        <v>192</v>
      </c>
      <c r="B66" s="10">
        <v>2110</v>
      </c>
      <c r="C66" s="10">
        <v>72916</v>
      </c>
      <c r="D66" s="10" t="s">
        <v>190</v>
      </c>
      <c r="E66" s="10" t="s">
        <v>193</v>
      </c>
      <c r="F66" s="10" t="s">
        <v>23</v>
      </c>
      <c r="G66" s="10" t="s">
        <v>12</v>
      </c>
      <c r="H66" s="10" t="s">
        <v>41</v>
      </c>
      <c r="I66" s="11">
        <v>494</v>
      </c>
      <c r="J66" s="11"/>
      <c r="K66" s="11">
        <v>90</v>
      </c>
      <c r="L66" s="6">
        <f t="shared" ref="L66:L129" si="6">I66-K66</f>
        <v>404</v>
      </c>
      <c r="M66" s="12">
        <v>55.476999999999997</v>
      </c>
      <c r="N66" s="13">
        <f t="shared" ref="N66:N129" si="7">I66*M66</f>
        <v>27405.637999999999</v>
      </c>
      <c r="O66" s="13">
        <f t="shared" ref="O66:O129" si="8">K66*M66</f>
        <v>4992.9299999999994</v>
      </c>
      <c r="P66" s="14">
        <v>164.13536629000001</v>
      </c>
      <c r="Q66" s="8">
        <f t="shared" ref="Q66:Q129" si="9">I66*P66</f>
        <v>81082.870947260002</v>
      </c>
      <c r="R66" s="8">
        <f t="shared" ref="R66:R129" si="10">K66*P66</f>
        <v>14772.182966100001</v>
      </c>
      <c r="S66" s="15">
        <f t="shared" ref="S66:S129" si="11">IF(I66=0,0,K66/I66)</f>
        <v>0.18218623481781376</v>
      </c>
    </row>
    <row r="67" spans="1:19" x14ac:dyDescent="0.25">
      <c r="A67" s="10" t="s">
        <v>194</v>
      </c>
      <c r="B67" s="10">
        <v>2110</v>
      </c>
      <c r="C67" s="10">
        <v>72916</v>
      </c>
      <c r="D67" s="10" t="s">
        <v>190</v>
      </c>
      <c r="E67" s="10" t="s">
        <v>195</v>
      </c>
      <c r="F67" s="10" t="s">
        <v>23</v>
      </c>
      <c r="G67" s="10" t="s">
        <v>12</v>
      </c>
      <c r="H67" s="10" t="s">
        <v>41</v>
      </c>
      <c r="I67" s="11">
        <v>0</v>
      </c>
      <c r="J67" s="11"/>
      <c r="K67" s="11">
        <v>0</v>
      </c>
      <c r="L67" s="6">
        <f t="shared" si="6"/>
        <v>0</v>
      </c>
      <c r="M67" s="12">
        <v>55.476999999999997</v>
      </c>
      <c r="N67" s="13">
        <f t="shared" si="7"/>
        <v>0</v>
      </c>
      <c r="O67" s="13">
        <f t="shared" si="8"/>
        <v>0</v>
      </c>
      <c r="P67" s="14">
        <v>168.04135153999999</v>
      </c>
      <c r="Q67" s="8">
        <f t="shared" si="9"/>
        <v>0</v>
      </c>
      <c r="R67" s="8">
        <f t="shared" si="10"/>
        <v>0</v>
      </c>
      <c r="S67" s="15">
        <f t="shared" si="11"/>
        <v>0</v>
      </c>
    </row>
    <row r="68" spans="1:19" x14ac:dyDescent="0.25">
      <c r="A68" s="10" t="s">
        <v>196</v>
      </c>
      <c r="B68" s="10">
        <v>2111</v>
      </c>
      <c r="C68" s="10">
        <v>30558</v>
      </c>
      <c r="D68" s="10" t="s">
        <v>197</v>
      </c>
      <c r="E68" s="10"/>
      <c r="F68" s="10" t="s">
        <v>23</v>
      </c>
      <c r="G68" s="10" t="s">
        <v>12</v>
      </c>
      <c r="H68" s="10" t="s">
        <v>41</v>
      </c>
      <c r="I68" s="11">
        <v>348</v>
      </c>
      <c r="J68" s="11"/>
      <c r="K68" s="11">
        <v>0</v>
      </c>
      <c r="L68" s="6">
        <f t="shared" si="6"/>
        <v>348</v>
      </c>
      <c r="M68" s="12">
        <v>8.9209999999999994</v>
      </c>
      <c r="N68" s="13">
        <f t="shared" si="7"/>
        <v>3104.5079999999998</v>
      </c>
      <c r="O68" s="13">
        <f t="shared" si="8"/>
        <v>0</v>
      </c>
      <c r="P68" s="14">
        <v>67.815401969999996</v>
      </c>
      <c r="Q68" s="8">
        <f t="shared" si="9"/>
        <v>23599.759885559997</v>
      </c>
      <c r="R68" s="8">
        <f t="shared" si="10"/>
        <v>0</v>
      </c>
      <c r="S68" s="15">
        <f t="shared" si="11"/>
        <v>0</v>
      </c>
    </row>
    <row r="69" spans="1:19" x14ac:dyDescent="0.25">
      <c r="A69" s="10" t="s">
        <v>198</v>
      </c>
      <c r="B69" s="10">
        <v>2161</v>
      </c>
      <c r="C69" s="10">
        <v>67929</v>
      </c>
      <c r="D69" s="10" t="s">
        <v>199</v>
      </c>
      <c r="E69" s="10" t="s">
        <v>200</v>
      </c>
      <c r="F69" s="10" t="s">
        <v>21</v>
      </c>
      <c r="G69" s="10" t="s">
        <v>12</v>
      </c>
      <c r="H69" s="10" t="s">
        <v>41</v>
      </c>
      <c r="I69" s="11">
        <v>1072</v>
      </c>
      <c r="J69" s="11"/>
      <c r="K69" s="11">
        <v>398</v>
      </c>
      <c r="L69" s="6">
        <f t="shared" si="6"/>
        <v>674</v>
      </c>
      <c r="M69" s="12">
        <v>25.35</v>
      </c>
      <c r="N69" s="13">
        <f t="shared" si="7"/>
        <v>27175.200000000001</v>
      </c>
      <c r="O69" s="13">
        <f t="shared" si="8"/>
        <v>10089.300000000001</v>
      </c>
      <c r="P69" s="14">
        <v>79.842053210000003</v>
      </c>
      <c r="Q69" s="8">
        <f t="shared" si="9"/>
        <v>85590.681041119999</v>
      </c>
      <c r="R69" s="8">
        <f t="shared" si="10"/>
        <v>31777.13717758</v>
      </c>
      <c r="S69" s="15">
        <f t="shared" si="11"/>
        <v>0.3712686567164179</v>
      </c>
    </row>
    <row r="70" spans="1:19" x14ac:dyDescent="0.25">
      <c r="A70" s="10" t="s">
        <v>201</v>
      </c>
      <c r="B70" s="10">
        <v>2161</v>
      </c>
      <c r="C70" s="10">
        <v>67929</v>
      </c>
      <c r="D70" s="10" t="s">
        <v>199</v>
      </c>
      <c r="E70" s="10" t="s">
        <v>202</v>
      </c>
      <c r="F70" s="10" t="s">
        <v>21</v>
      </c>
      <c r="G70" s="10" t="s">
        <v>12</v>
      </c>
      <c r="H70" s="10" t="s">
        <v>41</v>
      </c>
      <c r="I70" s="11">
        <v>248</v>
      </c>
      <c r="J70" s="11"/>
      <c r="K70" s="11">
        <v>141</v>
      </c>
      <c r="L70" s="6">
        <f t="shared" si="6"/>
        <v>107</v>
      </c>
      <c r="M70" s="12">
        <v>25.35</v>
      </c>
      <c r="N70" s="13">
        <f t="shared" si="7"/>
        <v>6286.8</v>
      </c>
      <c r="O70" s="13">
        <f t="shared" si="8"/>
        <v>3574.3500000000004</v>
      </c>
      <c r="P70" s="14">
        <v>67.408455880000005</v>
      </c>
      <c r="Q70" s="8">
        <f t="shared" si="9"/>
        <v>16717.297058240001</v>
      </c>
      <c r="R70" s="8">
        <f t="shared" si="10"/>
        <v>9504.5922790800014</v>
      </c>
      <c r="S70" s="15">
        <f t="shared" si="11"/>
        <v>0.56854838709677424</v>
      </c>
    </row>
    <row r="71" spans="1:19" x14ac:dyDescent="0.25">
      <c r="A71" s="10" t="s">
        <v>203</v>
      </c>
      <c r="B71" s="10">
        <v>2161</v>
      </c>
      <c r="C71" s="10">
        <v>67929</v>
      </c>
      <c r="D71" s="10" t="s">
        <v>199</v>
      </c>
      <c r="E71" s="10" t="s">
        <v>204</v>
      </c>
      <c r="F71" s="10" t="s">
        <v>21</v>
      </c>
      <c r="G71" s="10" t="s">
        <v>12</v>
      </c>
      <c r="H71" s="10" t="s">
        <v>41</v>
      </c>
      <c r="I71" s="11">
        <v>4</v>
      </c>
      <c r="J71" s="11"/>
      <c r="K71" s="11">
        <v>0</v>
      </c>
      <c r="L71" s="6">
        <f t="shared" si="6"/>
        <v>4</v>
      </c>
      <c r="M71" s="12">
        <v>25.35</v>
      </c>
      <c r="N71" s="13">
        <f t="shared" si="7"/>
        <v>101.4</v>
      </c>
      <c r="O71" s="13">
        <f t="shared" si="8"/>
        <v>0</v>
      </c>
      <c r="P71" s="14">
        <v>74.027230660000001</v>
      </c>
      <c r="Q71" s="8">
        <f t="shared" si="9"/>
        <v>296.10892264</v>
      </c>
      <c r="R71" s="8">
        <f t="shared" si="10"/>
        <v>0</v>
      </c>
      <c r="S71" s="15">
        <f t="shared" si="11"/>
        <v>0</v>
      </c>
    </row>
    <row r="72" spans="1:19" x14ac:dyDescent="0.25">
      <c r="A72" s="10" t="s">
        <v>205</v>
      </c>
      <c r="B72" s="10">
        <v>2162</v>
      </c>
      <c r="C72" s="10">
        <v>40579</v>
      </c>
      <c r="D72" s="10" t="s">
        <v>206</v>
      </c>
      <c r="E72" s="10" t="s">
        <v>207</v>
      </c>
      <c r="F72" s="10" t="s">
        <v>21</v>
      </c>
      <c r="G72" s="10" t="s">
        <v>12</v>
      </c>
      <c r="H72" s="10" t="s">
        <v>41</v>
      </c>
      <c r="I72" s="11">
        <v>1071</v>
      </c>
      <c r="J72" s="11"/>
      <c r="K72" s="11">
        <v>398</v>
      </c>
      <c r="L72" s="6">
        <f t="shared" si="6"/>
        <v>673</v>
      </c>
      <c r="M72" s="12">
        <v>12.96</v>
      </c>
      <c r="N72" s="13">
        <f t="shared" si="7"/>
        <v>13880.160000000002</v>
      </c>
      <c r="O72" s="13">
        <f t="shared" si="8"/>
        <v>5158.08</v>
      </c>
      <c r="P72" s="14">
        <v>47.69518102</v>
      </c>
      <c r="Q72" s="8">
        <f t="shared" si="9"/>
        <v>51081.538872420002</v>
      </c>
      <c r="R72" s="8">
        <f t="shared" si="10"/>
        <v>18982.682045959999</v>
      </c>
      <c r="S72" s="15">
        <f t="shared" si="11"/>
        <v>0.37161531279178339</v>
      </c>
    </row>
    <row r="73" spans="1:19" x14ac:dyDescent="0.25">
      <c r="A73" s="10" t="s">
        <v>208</v>
      </c>
      <c r="B73" s="10">
        <v>2162</v>
      </c>
      <c r="C73" s="10">
        <v>40579</v>
      </c>
      <c r="D73" s="10" t="s">
        <v>206</v>
      </c>
      <c r="E73" s="10" t="s">
        <v>209</v>
      </c>
      <c r="F73" s="10" t="s">
        <v>21</v>
      </c>
      <c r="G73" s="10" t="s">
        <v>12</v>
      </c>
      <c r="H73" s="10" t="s">
        <v>41</v>
      </c>
      <c r="I73" s="11">
        <v>250</v>
      </c>
      <c r="J73" s="11"/>
      <c r="K73" s="11">
        <v>141</v>
      </c>
      <c r="L73" s="6">
        <f t="shared" si="6"/>
        <v>109</v>
      </c>
      <c r="M73" s="12">
        <v>12.96</v>
      </c>
      <c r="N73" s="13">
        <f t="shared" si="7"/>
        <v>3240</v>
      </c>
      <c r="O73" s="13">
        <f t="shared" si="8"/>
        <v>1827.3600000000001</v>
      </c>
      <c r="P73" s="14">
        <v>48.31925365</v>
      </c>
      <c r="Q73" s="8">
        <f t="shared" si="9"/>
        <v>12079.8134125</v>
      </c>
      <c r="R73" s="8">
        <f t="shared" si="10"/>
        <v>6813.01476465</v>
      </c>
      <c r="S73" s="15">
        <f t="shared" si="11"/>
        <v>0.56399999999999995</v>
      </c>
    </row>
    <row r="74" spans="1:19" x14ac:dyDescent="0.25">
      <c r="A74" s="10" t="s">
        <v>210</v>
      </c>
      <c r="B74" s="10">
        <v>2162</v>
      </c>
      <c r="C74" s="10">
        <v>40579</v>
      </c>
      <c r="D74" s="10" t="s">
        <v>206</v>
      </c>
      <c r="E74" s="10" t="s">
        <v>211</v>
      </c>
      <c r="F74" s="10" t="s">
        <v>21</v>
      </c>
      <c r="G74" s="10" t="s">
        <v>12</v>
      </c>
      <c r="H74" s="10" t="s">
        <v>41</v>
      </c>
      <c r="I74" s="11">
        <v>2</v>
      </c>
      <c r="J74" s="11"/>
      <c r="K74" s="11">
        <v>0</v>
      </c>
      <c r="L74" s="6">
        <f t="shared" si="6"/>
        <v>2</v>
      </c>
      <c r="M74" s="12">
        <v>12.96</v>
      </c>
      <c r="N74" s="13">
        <f t="shared" si="7"/>
        <v>25.92</v>
      </c>
      <c r="O74" s="13">
        <f t="shared" si="8"/>
        <v>0</v>
      </c>
      <c r="P74" s="14">
        <v>52.3532394</v>
      </c>
      <c r="Q74" s="8">
        <f t="shared" si="9"/>
        <v>104.7064788</v>
      </c>
      <c r="R74" s="8">
        <f t="shared" si="10"/>
        <v>0</v>
      </c>
      <c r="S74" s="15">
        <f t="shared" si="11"/>
        <v>0</v>
      </c>
    </row>
    <row r="75" spans="1:19" x14ac:dyDescent="0.25">
      <c r="A75" s="10" t="s">
        <v>212</v>
      </c>
      <c r="B75" s="10">
        <v>2163</v>
      </c>
      <c r="C75" s="10">
        <v>40580</v>
      </c>
      <c r="D75" s="10" t="s">
        <v>213</v>
      </c>
      <c r="E75" s="10" t="s">
        <v>214</v>
      </c>
      <c r="F75" s="10" t="s">
        <v>21</v>
      </c>
      <c r="G75" s="10" t="s">
        <v>12</v>
      </c>
      <c r="H75" s="10" t="s">
        <v>41</v>
      </c>
      <c r="I75" s="11">
        <v>1070</v>
      </c>
      <c r="J75" s="11"/>
      <c r="K75" s="11">
        <v>398</v>
      </c>
      <c r="L75" s="6">
        <f t="shared" si="6"/>
        <v>672</v>
      </c>
      <c r="M75" s="12">
        <v>17.940000000000001</v>
      </c>
      <c r="N75" s="13">
        <f t="shared" si="7"/>
        <v>19195.800000000003</v>
      </c>
      <c r="O75" s="13">
        <f t="shared" si="8"/>
        <v>7140.1200000000008</v>
      </c>
      <c r="P75" s="14">
        <v>81.747217829999997</v>
      </c>
      <c r="Q75" s="8">
        <f t="shared" si="9"/>
        <v>87469.523078099999</v>
      </c>
      <c r="R75" s="8">
        <f t="shared" si="10"/>
        <v>32535.392696339997</v>
      </c>
      <c r="S75" s="15">
        <f t="shared" si="11"/>
        <v>0.37196261682242993</v>
      </c>
    </row>
    <row r="76" spans="1:19" x14ac:dyDescent="0.25">
      <c r="A76" s="10" t="s">
        <v>215</v>
      </c>
      <c r="B76" s="10">
        <v>2163</v>
      </c>
      <c r="C76" s="10">
        <v>40580</v>
      </c>
      <c r="D76" s="10" t="s">
        <v>213</v>
      </c>
      <c r="E76" s="10" t="s">
        <v>216</v>
      </c>
      <c r="F76" s="10" t="s">
        <v>21</v>
      </c>
      <c r="G76" s="10" t="s">
        <v>12</v>
      </c>
      <c r="H76" s="10" t="s">
        <v>41</v>
      </c>
      <c r="I76" s="11">
        <v>246</v>
      </c>
      <c r="J76" s="11"/>
      <c r="K76" s="11">
        <v>141</v>
      </c>
      <c r="L76" s="6">
        <f t="shared" si="6"/>
        <v>105</v>
      </c>
      <c r="M76" s="12">
        <v>17.940000000000001</v>
      </c>
      <c r="N76" s="13">
        <f t="shared" si="7"/>
        <v>4413.2400000000007</v>
      </c>
      <c r="O76" s="13">
        <f t="shared" si="8"/>
        <v>2529.54</v>
      </c>
      <c r="P76" s="14">
        <v>83.378396550000005</v>
      </c>
      <c r="Q76" s="8">
        <f t="shared" si="9"/>
        <v>20511.085551300002</v>
      </c>
      <c r="R76" s="8">
        <f t="shared" si="10"/>
        <v>11756.353913550001</v>
      </c>
      <c r="S76" s="15">
        <f t="shared" si="11"/>
        <v>0.57317073170731703</v>
      </c>
    </row>
    <row r="77" spans="1:19" x14ac:dyDescent="0.25">
      <c r="A77" s="10" t="s">
        <v>217</v>
      </c>
      <c r="B77" s="10">
        <v>2163</v>
      </c>
      <c r="C77" s="10">
        <v>40580</v>
      </c>
      <c r="D77" s="10" t="s">
        <v>213</v>
      </c>
      <c r="E77" s="10" t="s">
        <v>218</v>
      </c>
      <c r="F77" s="10" t="s">
        <v>21</v>
      </c>
      <c r="G77" s="10" t="s">
        <v>12</v>
      </c>
      <c r="H77" s="10" t="s">
        <v>41</v>
      </c>
      <c r="I77" s="11">
        <v>6</v>
      </c>
      <c r="J77" s="11"/>
      <c r="K77" s="11">
        <v>0</v>
      </c>
      <c r="L77" s="6">
        <f t="shared" si="6"/>
        <v>6</v>
      </c>
      <c r="M77" s="12">
        <v>17.940000000000001</v>
      </c>
      <c r="N77" s="13">
        <f t="shared" si="7"/>
        <v>107.64000000000001</v>
      </c>
      <c r="O77" s="13">
        <f t="shared" si="8"/>
        <v>0</v>
      </c>
      <c r="P77" s="14">
        <v>85.198413220000006</v>
      </c>
      <c r="Q77" s="8">
        <f t="shared" si="9"/>
        <v>511.19047932000001</v>
      </c>
      <c r="R77" s="8">
        <f t="shared" si="10"/>
        <v>0</v>
      </c>
      <c r="S77" s="15">
        <f t="shared" si="11"/>
        <v>0</v>
      </c>
    </row>
    <row r="78" spans="1:19" x14ac:dyDescent="0.25">
      <c r="A78" s="10" t="s">
        <v>219</v>
      </c>
      <c r="B78" s="10">
        <v>2176</v>
      </c>
      <c r="C78" s="10">
        <v>81670</v>
      </c>
      <c r="D78" s="10" t="s">
        <v>220</v>
      </c>
      <c r="E78" s="10" t="s">
        <v>221</v>
      </c>
      <c r="F78" s="10" t="s">
        <v>23</v>
      </c>
      <c r="G78" s="10" t="s">
        <v>12</v>
      </c>
      <c r="H78" s="10" t="s">
        <v>41</v>
      </c>
      <c r="I78" s="11">
        <v>221</v>
      </c>
      <c r="J78" s="11"/>
      <c r="K78" s="11">
        <v>221</v>
      </c>
      <c r="L78" s="6">
        <f t="shared" si="6"/>
        <v>0</v>
      </c>
      <c r="M78" s="12">
        <v>57.036999999999999</v>
      </c>
      <c r="N78" s="13">
        <f t="shared" si="7"/>
        <v>12605.177</v>
      </c>
      <c r="O78" s="13">
        <f t="shared" si="8"/>
        <v>12605.177</v>
      </c>
      <c r="P78" s="14">
        <v>184.0200567</v>
      </c>
      <c r="Q78" s="8">
        <f t="shared" si="9"/>
        <v>40668.432530699996</v>
      </c>
      <c r="R78" s="8">
        <f t="shared" si="10"/>
        <v>40668.432530699996</v>
      </c>
      <c r="S78" s="15">
        <f t="shared" si="11"/>
        <v>1</v>
      </c>
    </row>
    <row r="79" spans="1:19" x14ac:dyDescent="0.25">
      <c r="A79" s="10" t="s">
        <v>222</v>
      </c>
      <c r="B79" s="10">
        <v>2176</v>
      </c>
      <c r="C79" s="10">
        <v>81670</v>
      </c>
      <c r="D79" s="10" t="s">
        <v>220</v>
      </c>
      <c r="E79" s="10" t="s">
        <v>223</v>
      </c>
      <c r="F79" s="10" t="s">
        <v>23</v>
      </c>
      <c r="G79" s="10" t="s">
        <v>12</v>
      </c>
      <c r="H79" s="10" t="s">
        <v>41</v>
      </c>
      <c r="I79" s="11">
        <v>74</v>
      </c>
      <c r="J79" s="11"/>
      <c r="K79" s="11">
        <v>30</v>
      </c>
      <c r="L79" s="6">
        <f t="shared" si="6"/>
        <v>44</v>
      </c>
      <c r="M79" s="12">
        <v>57.036999999999999</v>
      </c>
      <c r="N79" s="13">
        <f t="shared" si="7"/>
        <v>4220.7380000000003</v>
      </c>
      <c r="O79" s="13">
        <f t="shared" si="8"/>
        <v>1711.11</v>
      </c>
      <c r="P79" s="14">
        <v>170.40121366</v>
      </c>
      <c r="Q79" s="8">
        <f t="shared" si="9"/>
        <v>12609.68981084</v>
      </c>
      <c r="R79" s="8">
        <f t="shared" si="10"/>
        <v>5112.0364098</v>
      </c>
      <c r="S79" s="15">
        <f t="shared" si="11"/>
        <v>0.40540540540540543</v>
      </c>
    </row>
    <row r="80" spans="1:19" x14ac:dyDescent="0.25">
      <c r="A80" s="10" t="s">
        <v>224</v>
      </c>
      <c r="B80" s="10">
        <v>2179</v>
      </c>
      <c r="C80" s="10">
        <v>81671</v>
      </c>
      <c r="D80" s="10" t="s">
        <v>225</v>
      </c>
      <c r="E80" s="10" t="s">
        <v>226</v>
      </c>
      <c r="F80" s="10" t="s">
        <v>23</v>
      </c>
      <c r="G80" s="10" t="s">
        <v>12</v>
      </c>
      <c r="H80" s="10" t="s">
        <v>41</v>
      </c>
      <c r="I80" s="11">
        <v>266</v>
      </c>
      <c r="J80" s="11"/>
      <c r="K80" s="11">
        <v>0</v>
      </c>
      <c r="L80" s="6">
        <f t="shared" si="6"/>
        <v>266</v>
      </c>
      <c r="M80" s="12">
        <v>58.5</v>
      </c>
      <c r="N80" s="13">
        <f t="shared" si="7"/>
        <v>15561</v>
      </c>
      <c r="O80" s="13">
        <f t="shared" si="8"/>
        <v>0</v>
      </c>
      <c r="P80" s="14">
        <v>220.99177184000001</v>
      </c>
      <c r="Q80" s="8">
        <f t="shared" si="9"/>
        <v>58783.811309440003</v>
      </c>
      <c r="R80" s="8">
        <f t="shared" si="10"/>
        <v>0</v>
      </c>
      <c r="S80" s="15">
        <f t="shared" si="11"/>
        <v>0</v>
      </c>
    </row>
    <row r="81" spans="1:19" x14ac:dyDescent="0.25">
      <c r="A81" s="10" t="s">
        <v>227</v>
      </c>
      <c r="B81" s="10">
        <v>2179</v>
      </c>
      <c r="C81" s="10">
        <v>81671</v>
      </c>
      <c r="D81" s="10" t="s">
        <v>225</v>
      </c>
      <c r="E81" s="10" t="s">
        <v>228</v>
      </c>
      <c r="F81" s="10" t="s">
        <v>23</v>
      </c>
      <c r="G81" s="10" t="s">
        <v>12</v>
      </c>
      <c r="H81" s="10" t="s">
        <v>41</v>
      </c>
      <c r="I81" s="11">
        <v>68</v>
      </c>
      <c r="J81" s="11"/>
      <c r="K81" s="11">
        <v>30</v>
      </c>
      <c r="L81" s="6">
        <f t="shared" si="6"/>
        <v>38</v>
      </c>
      <c r="M81" s="12">
        <v>58.5</v>
      </c>
      <c r="N81" s="13">
        <f t="shared" si="7"/>
        <v>3978</v>
      </c>
      <c r="O81" s="13">
        <f t="shared" si="8"/>
        <v>1755</v>
      </c>
      <c r="P81" s="14">
        <v>232.70603699</v>
      </c>
      <c r="Q81" s="8">
        <f t="shared" si="9"/>
        <v>15824.01051532</v>
      </c>
      <c r="R81" s="8">
        <f t="shared" si="10"/>
        <v>6981.1811097</v>
      </c>
      <c r="S81" s="15">
        <f t="shared" si="11"/>
        <v>0.44117647058823528</v>
      </c>
    </row>
    <row r="82" spans="1:19" x14ac:dyDescent="0.25">
      <c r="A82" s="10" t="s">
        <v>229</v>
      </c>
      <c r="B82" s="10">
        <v>2181</v>
      </c>
      <c r="C82" s="10">
        <v>81672</v>
      </c>
      <c r="D82" s="10" t="s">
        <v>230</v>
      </c>
      <c r="E82" s="10" t="s">
        <v>231</v>
      </c>
      <c r="F82" s="10" t="s">
        <v>23</v>
      </c>
      <c r="G82" s="10" t="s">
        <v>12</v>
      </c>
      <c r="H82" s="10" t="s">
        <v>41</v>
      </c>
      <c r="I82" s="11">
        <v>227</v>
      </c>
      <c r="J82" s="11"/>
      <c r="K82" s="11">
        <v>220</v>
      </c>
      <c r="L82" s="6">
        <f t="shared" si="6"/>
        <v>7</v>
      </c>
      <c r="M82" s="12">
        <v>49.387</v>
      </c>
      <c r="N82" s="13">
        <f t="shared" si="7"/>
        <v>11210.849</v>
      </c>
      <c r="O82" s="13">
        <f t="shared" si="8"/>
        <v>10865.14</v>
      </c>
      <c r="P82" s="14">
        <v>166.64711695</v>
      </c>
      <c r="Q82" s="8">
        <f t="shared" si="9"/>
        <v>37828.895547649998</v>
      </c>
      <c r="R82" s="8">
        <f t="shared" si="10"/>
        <v>36662.365728999997</v>
      </c>
      <c r="S82" s="15">
        <f t="shared" si="11"/>
        <v>0.96916299559471364</v>
      </c>
    </row>
    <row r="83" spans="1:19" x14ac:dyDescent="0.25">
      <c r="A83" s="10" t="s">
        <v>232</v>
      </c>
      <c r="B83" s="10">
        <v>2181</v>
      </c>
      <c r="C83" s="10">
        <v>81672</v>
      </c>
      <c r="D83" s="10" t="s">
        <v>230</v>
      </c>
      <c r="E83" s="10" t="s">
        <v>233</v>
      </c>
      <c r="F83" s="10" t="s">
        <v>23</v>
      </c>
      <c r="G83" s="10" t="s">
        <v>12</v>
      </c>
      <c r="H83" s="10" t="s">
        <v>41</v>
      </c>
      <c r="I83" s="11">
        <v>49</v>
      </c>
      <c r="J83" s="11"/>
      <c r="K83" s="11">
        <v>30</v>
      </c>
      <c r="L83" s="6">
        <f t="shared" si="6"/>
        <v>19</v>
      </c>
      <c r="M83" s="12">
        <v>49.387</v>
      </c>
      <c r="N83" s="13">
        <f t="shared" si="7"/>
        <v>2419.9630000000002</v>
      </c>
      <c r="O83" s="13">
        <f t="shared" si="8"/>
        <v>1481.6100000000001</v>
      </c>
      <c r="P83" s="14">
        <v>188.50199219999999</v>
      </c>
      <c r="Q83" s="8">
        <f t="shared" si="9"/>
        <v>9236.5976178000001</v>
      </c>
      <c r="R83" s="8">
        <f t="shared" si="10"/>
        <v>5655.0597659999994</v>
      </c>
      <c r="S83" s="15">
        <f t="shared" si="11"/>
        <v>0.61224489795918369</v>
      </c>
    </row>
    <row r="84" spans="1:19" x14ac:dyDescent="0.25">
      <c r="A84" s="10" t="s">
        <v>234</v>
      </c>
      <c r="B84" s="10">
        <v>2181</v>
      </c>
      <c r="C84" s="10">
        <v>81672</v>
      </c>
      <c r="D84" s="10" t="s">
        <v>230</v>
      </c>
      <c r="E84" s="10" t="s">
        <v>235</v>
      </c>
      <c r="F84" s="10" t="s">
        <v>23</v>
      </c>
      <c r="G84" s="10" t="s">
        <v>12</v>
      </c>
      <c r="H84" s="10" t="s">
        <v>41</v>
      </c>
      <c r="I84" s="11">
        <v>6</v>
      </c>
      <c r="J84" s="11"/>
      <c r="K84" s="11">
        <v>0</v>
      </c>
      <c r="L84" s="6">
        <f t="shared" si="6"/>
        <v>6</v>
      </c>
      <c r="M84" s="12">
        <v>49.387</v>
      </c>
      <c r="N84" s="13">
        <f t="shared" si="7"/>
        <v>296.322</v>
      </c>
      <c r="O84" s="13">
        <f t="shared" si="8"/>
        <v>0</v>
      </c>
      <c r="P84" s="14">
        <v>200.61315658999999</v>
      </c>
      <c r="Q84" s="8">
        <f t="shared" si="9"/>
        <v>1203.6789395399999</v>
      </c>
      <c r="R84" s="8">
        <f t="shared" si="10"/>
        <v>0</v>
      </c>
      <c r="S84" s="15">
        <f t="shared" si="11"/>
        <v>0</v>
      </c>
    </row>
    <row r="85" spans="1:19" x14ac:dyDescent="0.25">
      <c r="A85" s="10" t="s">
        <v>236</v>
      </c>
      <c r="B85" s="10">
        <v>2183</v>
      </c>
      <c r="C85" s="10">
        <v>81873</v>
      </c>
      <c r="D85" s="10" t="s">
        <v>237</v>
      </c>
      <c r="E85" s="10" t="s">
        <v>238</v>
      </c>
      <c r="F85" s="10" t="s">
        <v>23</v>
      </c>
      <c r="G85" s="10" t="s">
        <v>12</v>
      </c>
      <c r="H85" s="10" t="s">
        <v>41</v>
      </c>
      <c r="I85" s="11">
        <v>245</v>
      </c>
      <c r="J85" s="11"/>
      <c r="K85" s="11">
        <v>220</v>
      </c>
      <c r="L85" s="6">
        <f t="shared" si="6"/>
        <v>25</v>
      </c>
      <c r="M85" s="12">
        <v>62.4</v>
      </c>
      <c r="N85" s="13">
        <f t="shared" si="7"/>
        <v>15288</v>
      </c>
      <c r="O85" s="13">
        <f t="shared" si="8"/>
        <v>13728</v>
      </c>
      <c r="P85" s="14">
        <v>283.67168895999998</v>
      </c>
      <c r="Q85" s="8">
        <f t="shared" si="9"/>
        <v>69499.563795199996</v>
      </c>
      <c r="R85" s="8">
        <f t="shared" si="10"/>
        <v>62407.771571199999</v>
      </c>
      <c r="S85" s="15">
        <f t="shared" si="11"/>
        <v>0.89795918367346939</v>
      </c>
    </row>
    <row r="86" spans="1:19" x14ac:dyDescent="0.25">
      <c r="A86" s="10" t="s">
        <v>239</v>
      </c>
      <c r="B86" s="10">
        <v>2183</v>
      </c>
      <c r="C86" s="10">
        <v>81873</v>
      </c>
      <c r="D86" s="10" t="s">
        <v>237</v>
      </c>
      <c r="E86" s="10" t="s">
        <v>240</v>
      </c>
      <c r="F86" s="10" t="s">
        <v>23</v>
      </c>
      <c r="G86" s="10" t="s">
        <v>12</v>
      </c>
      <c r="H86" s="10" t="s">
        <v>41</v>
      </c>
      <c r="I86" s="11">
        <v>30</v>
      </c>
      <c r="J86" s="11"/>
      <c r="K86" s="11">
        <v>30</v>
      </c>
      <c r="L86" s="6">
        <f t="shared" si="6"/>
        <v>0</v>
      </c>
      <c r="M86" s="12">
        <v>62.4</v>
      </c>
      <c r="N86" s="13">
        <f t="shared" si="7"/>
        <v>1872</v>
      </c>
      <c r="O86" s="13">
        <f t="shared" si="8"/>
        <v>1872</v>
      </c>
      <c r="P86" s="14">
        <v>260.01486268999997</v>
      </c>
      <c r="Q86" s="8">
        <f t="shared" si="9"/>
        <v>7800.4458806999992</v>
      </c>
      <c r="R86" s="8">
        <f t="shared" si="10"/>
        <v>7800.4458806999992</v>
      </c>
      <c r="S86" s="15">
        <f t="shared" si="11"/>
        <v>1</v>
      </c>
    </row>
    <row r="87" spans="1:19" x14ac:dyDescent="0.25">
      <c r="A87" s="10" t="s">
        <v>241</v>
      </c>
      <c r="B87" s="10">
        <v>2185</v>
      </c>
      <c r="C87" s="10">
        <v>81673</v>
      </c>
      <c r="D87" s="10" t="s">
        <v>242</v>
      </c>
      <c r="E87" s="10" t="s">
        <v>243</v>
      </c>
      <c r="F87" s="10" t="s">
        <v>23</v>
      </c>
      <c r="G87" s="10" t="s">
        <v>12</v>
      </c>
      <c r="H87" s="10" t="s">
        <v>41</v>
      </c>
      <c r="I87" s="11">
        <v>108</v>
      </c>
      <c r="J87" s="11"/>
      <c r="K87" s="11">
        <v>96</v>
      </c>
      <c r="L87" s="6">
        <f t="shared" si="6"/>
        <v>12</v>
      </c>
      <c r="M87" s="12">
        <v>63.375</v>
      </c>
      <c r="N87" s="13">
        <f t="shared" si="7"/>
        <v>6844.5</v>
      </c>
      <c r="O87" s="13">
        <f t="shared" si="8"/>
        <v>6084</v>
      </c>
      <c r="P87" s="14">
        <v>202.75072795</v>
      </c>
      <c r="Q87" s="8">
        <f t="shared" si="9"/>
        <v>21897.0786186</v>
      </c>
      <c r="R87" s="8">
        <f t="shared" si="10"/>
        <v>19464.069883199998</v>
      </c>
      <c r="S87" s="15">
        <f t="shared" si="11"/>
        <v>0.88888888888888884</v>
      </c>
    </row>
    <row r="88" spans="1:19" x14ac:dyDescent="0.25">
      <c r="A88" s="10" t="s">
        <v>244</v>
      </c>
      <c r="B88" s="10">
        <v>2185</v>
      </c>
      <c r="C88" s="10">
        <v>81673</v>
      </c>
      <c r="D88" s="10" t="s">
        <v>242</v>
      </c>
      <c r="E88" s="10" t="s">
        <v>245</v>
      </c>
      <c r="F88" s="10" t="s">
        <v>23</v>
      </c>
      <c r="G88" s="10" t="s">
        <v>12</v>
      </c>
      <c r="H88" s="10" t="s">
        <v>41</v>
      </c>
      <c r="I88" s="11">
        <v>44</v>
      </c>
      <c r="J88" s="11"/>
      <c r="K88" s="11">
        <v>30</v>
      </c>
      <c r="L88" s="6">
        <f t="shared" si="6"/>
        <v>14</v>
      </c>
      <c r="M88" s="12">
        <v>63.375</v>
      </c>
      <c r="N88" s="13">
        <f t="shared" si="7"/>
        <v>2788.5</v>
      </c>
      <c r="O88" s="13">
        <f t="shared" si="8"/>
        <v>1901.25</v>
      </c>
      <c r="P88" s="14">
        <v>206.73717886</v>
      </c>
      <c r="Q88" s="8">
        <f t="shared" si="9"/>
        <v>9096.4358698399992</v>
      </c>
      <c r="R88" s="8">
        <f t="shared" si="10"/>
        <v>6202.1153658000003</v>
      </c>
      <c r="S88" s="15">
        <f t="shared" si="11"/>
        <v>0.68181818181818177</v>
      </c>
    </row>
    <row r="89" spans="1:19" x14ac:dyDescent="0.25">
      <c r="A89" s="10" t="s">
        <v>246</v>
      </c>
      <c r="B89" s="10">
        <v>2185</v>
      </c>
      <c r="C89" s="10">
        <v>81673</v>
      </c>
      <c r="D89" s="10" t="s">
        <v>242</v>
      </c>
      <c r="E89" s="10" t="s">
        <v>247</v>
      </c>
      <c r="F89" s="10" t="s">
        <v>23</v>
      </c>
      <c r="G89" s="10" t="s">
        <v>12</v>
      </c>
      <c r="H89" s="10" t="s">
        <v>41</v>
      </c>
      <c r="I89" s="11">
        <v>125</v>
      </c>
      <c r="J89" s="11"/>
      <c r="K89" s="11">
        <v>125</v>
      </c>
      <c r="L89" s="6">
        <f t="shared" si="6"/>
        <v>0</v>
      </c>
      <c r="M89" s="12">
        <v>63.375</v>
      </c>
      <c r="N89" s="13">
        <f t="shared" si="7"/>
        <v>7921.875</v>
      </c>
      <c r="O89" s="13">
        <f t="shared" si="8"/>
        <v>7921.875</v>
      </c>
      <c r="P89" s="14">
        <v>221.42045059</v>
      </c>
      <c r="Q89" s="8">
        <f t="shared" si="9"/>
        <v>27677.556323749999</v>
      </c>
      <c r="R89" s="8">
        <f t="shared" si="10"/>
        <v>27677.556323749999</v>
      </c>
      <c r="S89" s="15">
        <f t="shared" si="11"/>
        <v>1</v>
      </c>
    </row>
    <row r="90" spans="1:19" x14ac:dyDescent="0.25">
      <c r="A90" s="10" t="s">
        <v>248</v>
      </c>
      <c r="B90" s="10">
        <v>2186</v>
      </c>
      <c r="C90" s="10">
        <v>19991</v>
      </c>
      <c r="D90" s="10" t="s">
        <v>249</v>
      </c>
      <c r="E90" s="10"/>
      <c r="F90" s="10" t="s">
        <v>23</v>
      </c>
      <c r="G90" s="10" t="s">
        <v>12</v>
      </c>
      <c r="H90" s="10" t="s">
        <v>41</v>
      </c>
      <c r="I90" s="11">
        <v>336</v>
      </c>
      <c r="J90" s="11"/>
      <c r="K90" s="11">
        <v>0</v>
      </c>
      <c r="L90" s="6">
        <f t="shared" si="6"/>
        <v>336</v>
      </c>
      <c r="M90" s="12">
        <v>3.9</v>
      </c>
      <c r="N90" s="13">
        <f t="shared" si="7"/>
        <v>1310.3999999999999</v>
      </c>
      <c r="O90" s="13">
        <f t="shared" si="8"/>
        <v>0</v>
      </c>
      <c r="P90" s="14">
        <v>14.86459808</v>
      </c>
      <c r="Q90" s="8">
        <f t="shared" si="9"/>
        <v>4994.5049548799998</v>
      </c>
      <c r="R90" s="8">
        <f t="shared" si="10"/>
        <v>0</v>
      </c>
      <c r="S90" s="15">
        <f t="shared" si="11"/>
        <v>0</v>
      </c>
    </row>
    <row r="91" spans="1:19" x14ac:dyDescent="0.25">
      <c r="A91" s="10" t="s">
        <v>250</v>
      </c>
      <c r="B91" s="10">
        <v>2188</v>
      </c>
      <c r="C91" s="10">
        <v>55443</v>
      </c>
      <c r="D91" s="10" t="s">
        <v>251</v>
      </c>
      <c r="E91" s="10"/>
      <c r="F91" s="10" t="s">
        <v>23</v>
      </c>
      <c r="G91" s="10" t="s">
        <v>12</v>
      </c>
      <c r="H91" s="10" t="s">
        <v>41</v>
      </c>
      <c r="I91" s="11">
        <v>91</v>
      </c>
      <c r="J91" s="11"/>
      <c r="K91" s="11">
        <v>0</v>
      </c>
      <c r="L91" s="6">
        <f t="shared" si="6"/>
        <v>91</v>
      </c>
      <c r="M91" s="12">
        <v>14.917</v>
      </c>
      <c r="N91" s="13">
        <f t="shared" si="7"/>
        <v>1357.4469999999999</v>
      </c>
      <c r="O91" s="13">
        <f t="shared" si="8"/>
        <v>0</v>
      </c>
      <c r="P91" s="14">
        <v>103.59659986</v>
      </c>
      <c r="Q91" s="8">
        <f t="shared" si="9"/>
        <v>9427.2905872600004</v>
      </c>
      <c r="R91" s="8">
        <f t="shared" si="10"/>
        <v>0</v>
      </c>
      <c r="S91" s="15">
        <f t="shared" si="11"/>
        <v>0</v>
      </c>
    </row>
    <row r="92" spans="1:19" x14ac:dyDescent="0.25">
      <c r="A92" s="10" t="s">
        <v>252</v>
      </c>
      <c r="B92" s="10">
        <v>2190</v>
      </c>
      <c r="C92" s="10">
        <v>82388</v>
      </c>
      <c r="D92" s="10" t="s">
        <v>253</v>
      </c>
      <c r="E92" s="10" t="s">
        <v>254</v>
      </c>
      <c r="F92" s="10" t="s">
        <v>23</v>
      </c>
      <c r="G92" s="10" t="s">
        <v>12</v>
      </c>
      <c r="H92" s="10" t="s">
        <v>41</v>
      </c>
      <c r="I92" s="11">
        <v>139</v>
      </c>
      <c r="J92" s="11"/>
      <c r="K92" s="11">
        <v>25</v>
      </c>
      <c r="L92" s="6">
        <f t="shared" si="6"/>
        <v>114</v>
      </c>
      <c r="M92" s="12">
        <v>10.725</v>
      </c>
      <c r="N92" s="13">
        <f t="shared" si="7"/>
        <v>1490.7749999999999</v>
      </c>
      <c r="O92" s="13">
        <f t="shared" si="8"/>
        <v>268.125</v>
      </c>
      <c r="P92" s="14">
        <v>81.827743949999999</v>
      </c>
      <c r="Q92" s="8">
        <f t="shared" si="9"/>
        <v>11374.056409049999</v>
      </c>
      <c r="R92" s="8">
        <f t="shared" si="10"/>
        <v>2045.6935987499999</v>
      </c>
      <c r="S92" s="15">
        <f t="shared" si="11"/>
        <v>0.17985611510791366</v>
      </c>
    </row>
    <row r="93" spans="1:19" x14ac:dyDescent="0.25">
      <c r="A93" s="10" t="s">
        <v>255</v>
      </c>
      <c r="B93" s="10">
        <v>2190</v>
      </c>
      <c r="C93" s="10">
        <v>82388</v>
      </c>
      <c r="D93" s="10" t="s">
        <v>253</v>
      </c>
      <c r="E93" s="10" t="s">
        <v>256</v>
      </c>
      <c r="F93" s="10" t="s">
        <v>23</v>
      </c>
      <c r="G93" s="10" t="s">
        <v>12</v>
      </c>
      <c r="H93" s="10" t="s">
        <v>41</v>
      </c>
      <c r="I93" s="11">
        <v>124</v>
      </c>
      <c r="J93" s="11"/>
      <c r="K93" s="11">
        <v>0</v>
      </c>
      <c r="L93" s="6">
        <f t="shared" si="6"/>
        <v>124</v>
      </c>
      <c r="M93" s="12">
        <v>10.725</v>
      </c>
      <c r="N93" s="13">
        <f t="shared" si="7"/>
        <v>1329.8999999999999</v>
      </c>
      <c r="O93" s="13">
        <f t="shared" si="8"/>
        <v>0</v>
      </c>
      <c r="P93" s="14">
        <v>65.231866220000001</v>
      </c>
      <c r="Q93" s="8">
        <f t="shared" si="9"/>
        <v>8088.75141128</v>
      </c>
      <c r="R93" s="8">
        <f t="shared" si="10"/>
        <v>0</v>
      </c>
      <c r="S93" s="15">
        <f t="shared" si="11"/>
        <v>0</v>
      </c>
    </row>
    <row r="94" spans="1:19" x14ac:dyDescent="0.25">
      <c r="A94" s="10" t="s">
        <v>257</v>
      </c>
      <c r="B94" s="10">
        <v>2192</v>
      </c>
      <c r="C94" s="10">
        <v>55521</v>
      </c>
      <c r="D94" s="10" t="s">
        <v>258</v>
      </c>
      <c r="E94" s="10" t="s">
        <v>259</v>
      </c>
      <c r="F94" s="10" t="s">
        <v>23</v>
      </c>
      <c r="G94" s="10" t="s">
        <v>12</v>
      </c>
      <c r="H94" s="10" t="s">
        <v>41</v>
      </c>
      <c r="I94" s="11">
        <v>46</v>
      </c>
      <c r="J94" s="11"/>
      <c r="K94" s="11">
        <v>0</v>
      </c>
      <c r="L94" s="6">
        <f t="shared" si="6"/>
        <v>46</v>
      </c>
      <c r="M94" s="12">
        <v>13.162000000000001</v>
      </c>
      <c r="N94" s="13">
        <f t="shared" si="7"/>
        <v>605.452</v>
      </c>
      <c r="O94" s="13">
        <f t="shared" si="8"/>
        <v>0</v>
      </c>
      <c r="P94" s="14">
        <v>54.574760429999998</v>
      </c>
      <c r="Q94" s="8">
        <f t="shared" si="9"/>
        <v>2510.43897978</v>
      </c>
      <c r="R94" s="8">
        <f t="shared" si="10"/>
        <v>0</v>
      </c>
      <c r="S94" s="15">
        <f t="shared" si="11"/>
        <v>0</v>
      </c>
    </row>
    <row r="95" spans="1:19" x14ac:dyDescent="0.25">
      <c r="A95" s="10" t="s">
        <v>260</v>
      </c>
      <c r="B95" s="10">
        <v>2192</v>
      </c>
      <c r="C95" s="10">
        <v>55521</v>
      </c>
      <c r="D95" s="10" t="s">
        <v>258</v>
      </c>
      <c r="E95" s="10" t="s">
        <v>261</v>
      </c>
      <c r="F95" s="10" t="s">
        <v>23</v>
      </c>
      <c r="G95" s="10" t="s">
        <v>12</v>
      </c>
      <c r="H95" s="10" t="s">
        <v>41</v>
      </c>
      <c r="I95" s="11">
        <v>11</v>
      </c>
      <c r="J95" s="11"/>
      <c r="K95" s="11">
        <v>0</v>
      </c>
      <c r="L95" s="6">
        <f t="shared" si="6"/>
        <v>11</v>
      </c>
      <c r="M95" s="12">
        <v>13.162000000000001</v>
      </c>
      <c r="N95" s="13">
        <f t="shared" si="7"/>
        <v>144.78200000000001</v>
      </c>
      <c r="O95" s="13">
        <f t="shared" si="8"/>
        <v>0</v>
      </c>
      <c r="P95" s="14">
        <v>40.340933300000003</v>
      </c>
      <c r="Q95" s="8">
        <f t="shared" si="9"/>
        <v>443.75026630000002</v>
      </c>
      <c r="R95" s="8">
        <f t="shared" si="10"/>
        <v>0</v>
      </c>
      <c r="S95" s="15">
        <f t="shared" si="11"/>
        <v>0</v>
      </c>
    </row>
    <row r="96" spans="1:19" x14ac:dyDescent="0.25">
      <c r="A96" s="10" t="s">
        <v>262</v>
      </c>
      <c r="B96" s="10">
        <v>2194</v>
      </c>
      <c r="C96" s="10">
        <v>7558</v>
      </c>
      <c r="D96" s="10" t="s">
        <v>263</v>
      </c>
      <c r="E96" s="10" t="s">
        <v>264</v>
      </c>
      <c r="F96" s="10" t="s">
        <v>20</v>
      </c>
      <c r="G96" s="10" t="s">
        <v>12</v>
      </c>
      <c r="H96" s="10" t="s">
        <v>41</v>
      </c>
      <c r="I96" s="11">
        <v>3976</v>
      </c>
      <c r="J96" s="11"/>
      <c r="K96" s="11">
        <v>1008</v>
      </c>
      <c r="L96" s="6">
        <f t="shared" si="6"/>
        <v>2968</v>
      </c>
      <c r="M96" s="12">
        <v>1.0920000000000001</v>
      </c>
      <c r="N96" s="13">
        <f t="shared" si="7"/>
        <v>4341.7920000000004</v>
      </c>
      <c r="O96" s="13">
        <f t="shared" si="8"/>
        <v>1100.7360000000001</v>
      </c>
      <c r="P96" s="14">
        <v>8.0184779099999997</v>
      </c>
      <c r="Q96" s="8">
        <f t="shared" si="9"/>
        <v>31881.468170159998</v>
      </c>
      <c r="R96" s="8">
        <f t="shared" si="10"/>
        <v>8082.6257332799996</v>
      </c>
      <c r="S96" s="15">
        <f t="shared" si="11"/>
        <v>0.25352112676056338</v>
      </c>
    </row>
    <row r="97" spans="1:19" x14ac:dyDescent="0.25">
      <c r="A97" s="10" t="s">
        <v>265</v>
      </c>
      <c r="B97" s="10">
        <v>2194</v>
      </c>
      <c r="C97" s="10">
        <v>7558</v>
      </c>
      <c r="D97" s="10" t="s">
        <v>263</v>
      </c>
      <c r="E97" s="10" t="s">
        <v>266</v>
      </c>
      <c r="F97" s="10" t="s">
        <v>20</v>
      </c>
      <c r="G97" s="10" t="s">
        <v>12</v>
      </c>
      <c r="H97" s="10" t="s">
        <v>41</v>
      </c>
      <c r="I97" s="11">
        <v>500</v>
      </c>
      <c r="J97" s="11"/>
      <c r="K97" s="11">
        <v>90</v>
      </c>
      <c r="L97" s="6">
        <f t="shared" si="6"/>
        <v>410</v>
      </c>
      <c r="M97" s="12">
        <v>1.0920000000000001</v>
      </c>
      <c r="N97" s="13">
        <f t="shared" si="7"/>
        <v>546</v>
      </c>
      <c r="O97" s="13">
        <f t="shared" si="8"/>
        <v>98.28</v>
      </c>
      <c r="P97" s="14">
        <v>8.0546924999999998</v>
      </c>
      <c r="Q97" s="8">
        <f t="shared" si="9"/>
        <v>4027.3462500000001</v>
      </c>
      <c r="R97" s="8">
        <f t="shared" si="10"/>
        <v>724.922325</v>
      </c>
      <c r="S97" s="15">
        <f t="shared" si="11"/>
        <v>0.18</v>
      </c>
    </row>
    <row r="98" spans="1:19" x14ac:dyDescent="0.25">
      <c r="A98" s="10" t="s">
        <v>267</v>
      </c>
      <c r="B98" s="10">
        <v>2237</v>
      </c>
      <c r="C98" s="10">
        <v>73940</v>
      </c>
      <c r="D98" s="10" t="s">
        <v>268</v>
      </c>
      <c r="E98" s="10" t="s">
        <v>269</v>
      </c>
      <c r="F98" s="10" t="s">
        <v>23</v>
      </c>
      <c r="G98" s="10" t="s">
        <v>12</v>
      </c>
      <c r="H98" s="10" t="s">
        <v>41</v>
      </c>
      <c r="I98" s="11">
        <v>478</v>
      </c>
      <c r="J98" s="11"/>
      <c r="K98" s="11">
        <v>191</v>
      </c>
      <c r="L98" s="6">
        <f t="shared" si="6"/>
        <v>287</v>
      </c>
      <c r="M98" s="12">
        <v>45.83</v>
      </c>
      <c r="N98" s="13">
        <f t="shared" si="7"/>
        <v>21906.739999999998</v>
      </c>
      <c r="O98" s="13">
        <f t="shared" si="8"/>
        <v>8753.5299999999988</v>
      </c>
      <c r="P98" s="14">
        <v>167.68838694999999</v>
      </c>
      <c r="Q98" s="8">
        <f t="shared" si="9"/>
        <v>80155.048962100002</v>
      </c>
      <c r="R98" s="8">
        <f t="shared" si="10"/>
        <v>32028.481907449997</v>
      </c>
      <c r="S98" s="15">
        <f t="shared" si="11"/>
        <v>0.39958158995815901</v>
      </c>
    </row>
    <row r="99" spans="1:19" x14ac:dyDescent="0.25">
      <c r="A99" s="10" t="s">
        <v>270</v>
      </c>
      <c r="B99" s="10">
        <v>2237</v>
      </c>
      <c r="C99" s="10">
        <v>73940</v>
      </c>
      <c r="D99" s="10" t="s">
        <v>268</v>
      </c>
      <c r="E99" s="10" t="s">
        <v>271</v>
      </c>
      <c r="F99" s="10" t="s">
        <v>23</v>
      </c>
      <c r="G99" s="10" t="s">
        <v>12</v>
      </c>
      <c r="H99" s="10" t="s">
        <v>41</v>
      </c>
      <c r="I99" s="11">
        <v>0</v>
      </c>
      <c r="J99" s="11"/>
      <c r="K99" s="11">
        <v>0</v>
      </c>
      <c r="L99" s="6">
        <f t="shared" si="6"/>
        <v>0</v>
      </c>
      <c r="M99" s="12">
        <v>45.83</v>
      </c>
      <c r="N99" s="13">
        <f t="shared" si="7"/>
        <v>0</v>
      </c>
      <c r="O99" s="13">
        <f t="shared" si="8"/>
        <v>0</v>
      </c>
      <c r="P99" s="14">
        <v>154.36837703</v>
      </c>
      <c r="Q99" s="8">
        <f t="shared" si="9"/>
        <v>0</v>
      </c>
      <c r="R99" s="8">
        <f t="shared" si="10"/>
        <v>0</v>
      </c>
      <c r="S99" s="15">
        <f t="shared" si="11"/>
        <v>0</v>
      </c>
    </row>
    <row r="100" spans="1:19" x14ac:dyDescent="0.25">
      <c r="A100" s="10" t="s">
        <v>272</v>
      </c>
      <c r="B100" s="10">
        <v>2238</v>
      </c>
      <c r="C100" s="10">
        <v>73942</v>
      </c>
      <c r="D100" s="10" t="s">
        <v>273</v>
      </c>
      <c r="E100" s="10" t="s">
        <v>274</v>
      </c>
      <c r="F100" s="10" t="s">
        <v>23</v>
      </c>
      <c r="G100" s="10" t="s">
        <v>12</v>
      </c>
      <c r="H100" s="10" t="s">
        <v>41</v>
      </c>
      <c r="I100" s="11">
        <v>485</v>
      </c>
      <c r="J100" s="11"/>
      <c r="K100" s="11">
        <v>0</v>
      </c>
      <c r="L100" s="6">
        <f t="shared" si="6"/>
        <v>485</v>
      </c>
      <c r="M100" s="12">
        <v>43.88</v>
      </c>
      <c r="N100" s="13">
        <f t="shared" si="7"/>
        <v>21281.800000000003</v>
      </c>
      <c r="O100" s="13">
        <f t="shared" si="8"/>
        <v>0</v>
      </c>
      <c r="P100" s="14">
        <v>143.37755770999999</v>
      </c>
      <c r="Q100" s="8">
        <f t="shared" si="9"/>
        <v>69538.115489349992</v>
      </c>
      <c r="R100" s="8">
        <f t="shared" si="10"/>
        <v>0</v>
      </c>
      <c r="S100" s="15">
        <f t="shared" si="11"/>
        <v>0</v>
      </c>
    </row>
    <row r="101" spans="1:19" x14ac:dyDescent="0.25">
      <c r="A101" s="10" t="s">
        <v>275</v>
      </c>
      <c r="B101" s="10">
        <v>2238</v>
      </c>
      <c r="C101" s="10">
        <v>73942</v>
      </c>
      <c r="D101" s="10" t="s">
        <v>273</v>
      </c>
      <c r="E101" s="10" t="s">
        <v>276</v>
      </c>
      <c r="F101" s="10" t="s">
        <v>23</v>
      </c>
      <c r="G101" s="10" t="s">
        <v>12</v>
      </c>
      <c r="H101" s="10" t="s">
        <v>41</v>
      </c>
      <c r="I101" s="11">
        <v>12</v>
      </c>
      <c r="J101" s="11"/>
      <c r="K101" s="11">
        <v>0</v>
      </c>
      <c r="L101" s="6">
        <f t="shared" si="6"/>
        <v>12</v>
      </c>
      <c r="M101" s="12">
        <v>43.88</v>
      </c>
      <c r="N101" s="13">
        <f t="shared" si="7"/>
        <v>526.56000000000006</v>
      </c>
      <c r="O101" s="13">
        <f t="shared" si="8"/>
        <v>0</v>
      </c>
      <c r="P101" s="14">
        <v>227.90118337999999</v>
      </c>
      <c r="Q101" s="8">
        <f t="shared" si="9"/>
        <v>2734.8142005599998</v>
      </c>
      <c r="R101" s="8">
        <f t="shared" si="10"/>
        <v>0</v>
      </c>
      <c r="S101" s="15">
        <f t="shared" si="11"/>
        <v>0</v>
      </c>
    </row>
    <row r="102" spans="1:19" x14ac:dyDescent="0.25">
      <c r="A102" s="10" t="s">
        <v>277</v>
      </c>
      <c r="B102" s="10">
        <v>2239</v>
      </c>
      <c r="C102" s="10">
        <v>73943</v>
      </c>
      <c r="D102" s="10" t="s">
        <v>278</v>
      </c>
      <c r="E102" s="10" t="s">
        <v>279</v>
      </c>
      <c r="F102" s="10" t="s">
        <v>23</v>
      </c>
      <c r="G102" s="10" t="s">
        <v>12</v>
      </c>
      <c r="H102" s="10" t="s">
        <v>41</v>
      </c>
      <c r="I102" s="11">
        <v>245</v>
      </c>
      <c r="J102" s="11"/>
      <c r="K102" s="11">
        <v>55</v>
      </c>
      <c r="L102" s="6">
        <f t="shared" si="6"/>
        <v>190</v>
      </c>
      <c r="M102" s="12">
        <v>39.49</v>
      </c>
      <c r="N102" s="13">
        <f t="shared" si="7"/>
        <v>9675.0500000000011</v>
      </c>
      <c r="O102" s="13">
        <f t="shared" si="8"/>
        <v>2171.9500000000003</v>
      </c>
      <c r="P102" s="14">
        <v>117.47069388</v>
      </c>
      <c r="Q102" s="8">
        <f t="shared" si="9"/>
        <v>28780.320000600001</v>
      </c>
      <c r="R102" s="8">
        <f t="shared" si="10"/>
        <v>6460.8881633999999</v>
      </c>
      <c r="S102" s="15">
        <f t="shared" si="11"/>
        <v>0.22448979591836735</v>
      </c>
    </row>
    <row r="103" spans="1:19" x14ac:dyDescent="0.25">
      <c r="A103" s="10" t="s">
        <v>280</v>
      </c>
      <c r="B103" s="10">
        <v>2239</v>
      </c>
      <c r="C103" s="10">
        <v>73943</v>
      </c>
      <c r="D103" s="10" t="s">
        <v>278</v>
      </c>
      <c r="E103" s="10" t="s">
        <v>281</v>
      </c>
      <c r="F103" s="10" t="s">
        <v>23</v>
      </c>
      <c r="G103" s="10" t="s">
        <v>12</v>
      </c>
      <c r="H103" s="10" t="s">
        <v>41</v>
      </c>
      <c r="I103" s="11">
        <v>261</v>
      </c>
      <c r="J103" s="11"/>
      <c r="K103" s="11">
        <v>136</v>
      </c>
      <c r="L103" s="6">
        <f t="shared" si="6"/>
        <v>125</v>
      </c>
      <c r="M103" s="12">
        <v>39.49</v>
      </c>
      <c r="N103" s="13">
        <f t="shared" si="7"/>
        <v>10306.890000000001</v>
      </c>
      <c r="O103" s="13">
        <f t="shared" si="8"/>
        <v>5370.64</v>
      </c>
      <c r="P103" s="14">
        <v>118.95261653999999</v>
      </c>
      <c r="Q103" s="8">
        <f t="shared" si="9"/>
        <v>31046.632916939998</v>
      </c>
      <c r="R103" s="8">
        <f t="shared" si="10"/>
        <v>16177.555849439999</v>
      </c>
      <c r="S103" s="15">
        <f t="shared" si="11"/>
        <v>0.52107279693486586</v>
      </c>
    </row>
    <row r="104" spans="1:19" x14ac:dyDescent="0.25">
      <c r="A104" s="10" t="s">
        <v>282</v>
      </c>
      <c r="B104" s="10">
        <v>2239</v>
      </c>
      <c r="C104" s="10">
        <v>73943</v>
      </c>
      <c r="D104" s="10" t="s">
        <v>278</v>
      </c>
      <c r="E104" s="10" t="s">
        <v>283</v>
      </c>
      <c r="F104" s="10" t="s">
        <v>23</v>
      </c>
      <c r="G104" s="10" t="s">
        <v>12</v>
      </c>
      <c r="H104" s="10" t="s">
        <v>41</v>
      </c>
      <c r="I104" s="11">
        <v>2</v>
      </c>
      <c r="J104" s="11"/>
      <c r="K104" s="11">
        <v>0</v>
      </c>
      <c r="L104" s="6">
        <f t="shared" si="6"/>
        <v>2</v>
      </c>
      <c r="M104" s="12">
        <v>39.49</v>
      </c>
      <c r="N104" s="13">
        <f t="shared" si="7"/>
        <v>78.98</v>
      </c>
      <c r="O104" s="13">
        <f t="shared" si="8"/>
        <v>0</v>
      </c>
      <c r="P104" s="14">
        <v>89.345077779999997</v>
      </c>
      <c r="Q104" s="8">
        <f t="shared" si="9"/>
        <v>178.69015555999999</v>
      </c>
      <c r="R104" s="8">
        <f t="shared" si="10"/>
        <v>0</v>
      </c>
      <c r="S104" s="15">
        <f t="shared" si="11"/>
        <v>0</v>
      </c>
    </row>
    <row r="105" spans="1:19" x14ac:dyDescent="0.25">
      <c r="A105" s="10" t="s">
        <v>284</v>
      </c>
      <c r="B105" s="10">
        <v>2240</v>
      </c>
      <c r="C105" s="10">
        <v>73944</v>
      </c>
      <c r="D105" s="10" t="s">
        <v>285</v>
      </c>
      <c r="E105" s="10"/>
      <c r="F105" s="10" t="s">
        <v>23</v>
      </c>
      <c r="G105" s="10" t="s">
        <v>12</v>
      </c>
      <c r="H105" s="10" t="s">
        <v>41</v>
      </c>
      <c r="I105" s="11">
        <v>436</v>
      </c>
      <c r="J105" s="11"/>
      <c r="K105" s="11">
        <v>0</v>
      </c>
      <c r="L105" s="6">
        <f t="shared" si="6"/>
        <v>436</v>
      </c>
      <c r="M105" s="12">
        <v>6.8250000000000002</v>
      </c>
      <c r="N105" s="13">
        <f t="shared" si="7"/>
        <v>2975.7000000000003</v>
      </c>
      <c r="O105" s="13">
        <f t="shared" si="8"/>
        <v>0</v>
      </c>
      <c r="P105" s="14">
        <v>45.497148729999999</v>
      </c>
      <c r="Q105" s="8">
        <f t="shared" si="9"/>
        <v>19836.756846280001</v>
      </c>
      <c r="R105" s="8">
        <f t="shared" si="10"/>
        <v>0</v>
      </c>
      <c r="S105" s="15">
        <f t="shared" si="11"/>
        <v>0</v>
      </c>
    </row>
    <row r="106" spans="1:19" x14ac:dyDescent="0.25">
      <c r="A106" s="10" t="s">
        <v>286</v>
      </c>
      <c r="B106" s="10">
        <v>2246</v>
      </c>
      <c r="C106" s="10">
        <v>87025</v>
      </c>
      <c r="D106" s="10" t="s">
        <v>287</v>
      </c>
      <c r="E106" s="10" t="s">
        <v>288</v>
      </c>
      <c r="F106" s="10" t="s">
        <v>23</v>
      </c>
      <c r="G106" s="10" t="s">
        <v>12</v>
      </c>
      <c r="H106" s="10" t="s">
        <v>41</v>
      </c>
      <c r="I106" s="11">
        <v>279</v>
      </c>
      <c r="J106" s="11"/>
      <c r="K106" s="11">
        <v>0</v>
      </c>
      <c r="L106" s="6">
        <f t="shared" si="6"/>
        <v>279</v>
      </c>
      <c r="M106" s="12">
        <v>15.307</v>
      </c>
      <c r="N106" s="13">
        <f t="shared" si="7"/>
        <v>4270.6530000000002</v>
      </c>
      <c r="O106" s="13">
        <f t="shared" si="8"/>
        <v>0</v>
      </c>
      <c r="P106" s="14">
        <v>41.589923349999999</v>
      </c>
      <c r="Q106" s="8">
        <f t="shared" si="9"/>
        <v>11603.58861465</v>
      </c>
      <c r="R106" s="8">
        <f t="shared" si="10"/>
        <v>0</v>
      </c>
      <c r="S106" s="15">
        <f t="shared" si="11"/>
        <v>0</v>
      </c>
    </row>
    <row r="107" spans="1:19" x14ac:dyDescent="0.25">
      <c r="A107" s="10" t="s">
        <v>289</v>
      </c>
      <c r="B107" s="10">
        <v>2253</v>
      </c>
      <c r="C107" s="10">
        <v>86810</v>
      </c>
      <c r="D107" s="10" t="s">
        <v>290</v>
      </c>
      <c r="E107" s="10" t="s">
        <v>291</v>
      </c>
      <c r="F107" s="10" t="s">
        <v>23</v>
      </c>
      <c r="G107" s="10" t="s">
        <v>12</v>
      </c>
      <c r="H107" s="10" t="s">
        <v>41</v>
      </c>
      <c r="I107" s="11">
        <v>0</v>
      </c>
      <c r="J107" s="11"/>
      <c r="K107" s="11">
        <v>0</v>
      </c>
      <c r="L107" s="6">
        <f t="shared" si="6"/>
        <v>0</v>
      </c>
      <c r="M107" s="12">
        <v>55.671999999999997</v>
      </c>
      <c r="N107" s="13">
        <f t="shared" si="7"/>
        <v>0</v>
      </c>
      <c r="O107" s="13">
        <f t="shared" si="8"/>
        <v>0</v>
      </c>
      <c r="P107" s="14">
        <v>274.94165506000002</v>
      </c>
      <c r="Q107" s="8">
        <f t="shared" si="9"/>
        <v>0</v>
      </c>
      <c r="R107" s="8">
        <f t="shared" si="10"/>
        <v>0</v>
      </c>
      <c r="S107" s="15">
        <f t="shared" si="11"/>
        <v>0</v>
      </c>
    </row>
    <row r="108" spans="1:19" x14ac:dyDescent="0.25">
      <c r="A108" s="10" t="s">
        <v>292</v>
      </c>
      <c r="B108" s="10">
        <v>2262</v>
      </c>
      <c r="C108" s="10">
        <v>86812</v>
      </c>
      <c r="D108" s="10" t="s">
        <v>293</v>
      </c>
      <c r="E108" s="10" t="s">
        <v>294</v>
      </c>
      <c r="F108" s="10" t="s">
        <v>23</v>
      </c>
      <c r="G108" s="10" t="s">
        <v>12</v>
      </c>
      <c r="H108" s="10" t="s">
        <v>41</v>
      </c>
      <c r="I108" s="11">
        <v>0</v>
      </c>
      <c r="J108" s="11"/>
      <c r="K108" s="11">
        <v>0</v>
      </c>
      <c r="L108" s="6">
        <f t="shared" si="6"/>
        <v>0</v>
      </c>
      <c r="M108" s="12">
        <v>52.161999999999999</v>
      </c>
      <c r="N108" s="13">
        <f t="shared" si="7"/>
        <v>0</v>
      </c>
      <c r="O108" s="13">
        <f t="shared" si="8"/>
        <v>0</v>
      </c>
      <c r="P108" s="14">
        <v>171.8961917</v>
      </c>
      <c r="Q108" s="8">
        <f t="shared" si="9"/>
        <v>0</v>
      </c>
      <c r="R108" s="8">
        <f t="shared" si="10"/>
        <v>0</v>
      </c>
      <c r="S108" s="15">
        <f t="shared" si="11"/>
        <v>0</v>
      </c>
    </row>
    <row r="109" spans="1:19" x14ac:dyDescent="0.25">
      <c r="A109" s="10" t="s">
        <v>295</v>
      </c>
      <c r="B109" s="10">
        <v>2280</v>
      </c>
      <c r="C109" s="10">
        <v>86814</v>
      </c>
      <c r="D109" s="10" t="s">
        <v>296</v>
      </c>
      <c r="E109" s="10" t="s">
        <v>297</v>
      </c>
      <c r="F109" s="10" t="s">
        <v>23</v>
      </c>
      <c r="G109" s="10" t="s">
        <v>12</v>
      </c>
      <c r="H109" s="10" t="s">
        <v>41</v>
      </c>
      <c r="I109" s="11">
        <v>0</v>
      </c>
      <c r="J109" s="11"/>
      <c r="K109" s="11">
        <v>0</v>
      </c>
      <c r="L109" s="6">
        <f t="shared" si="6"/>
        <v>0</v>
      </c>
      <c r="M109" s="12">
        <v>59.942999999999998</v>
      </c>
      <c r="N109" s="13">
        <f t="shared" si="7"/>
        <v>0</v>
      </c>
      <c r="O109" s="13">
        <f t="shared" si="8"/>
        <v>0</v>
      </c>
      <c r="P109" s="14">
        <v>219.11730216000001</v>
      </c>
      <c r="Q109" s="8">
        <f t="shared" si="9"/>
        <v>0</v>
      </c>
      <c r="R109" s="8">
        <f t="shared" si="10"/>
        <v>0</v>
      </c>
      <c r="S109" s="15">
        <f t="shared" si="11"/>
        <v>0</v>
      </c>
    </row>
    <row r="110" spans="1:19" x14ac:dyDescent="0.25">
      <c r="A110" s="10" t="s">
        <v>298</v>
      </c>
      <c r="B110" s="10">
        <v>2284</v>
      </c>
      <c r="C110" s="10">
        <v>86875</v>
      </c>
      <c r="D110" s="10" t="s">
        <v>299</v>
      </c>
      <c r="E110" s="10" t="s">
        <v>300</v>
      </c>
      <c r="F110" s="10" t="s">
        <v>23</v>
      </c>
      <c r="G110" s="10" t="s">
        <v>12</v>
      </c>
      <c r="H110" s="10" t="s">
        <v>41</v>
      </c>
      <c r="I110" s="11">
        <v>0</v>
      </c>
      <c r="J110" s="11"/>
      <c r="K110" s="11">
        <v>0</v>
      </c>
      <c r="L110" s="6">
        <f t="shared" si="6"/>
        <v>0</v>
      </c>
      <c r="M110" s="12">
        <v>17.062000000000001</v>
      </c>
      <c r="N110" s="13">
        <f t="shared" si="7"/>
        <v>0</v>
      </c>
      <c r="O110" s="13">
        <f t="shared" si="8"/>
        <v>0</v>
      </c>
      <c r="P110" s="14">
        <v>57.951558030000001</v>
      </c>
      <c r="Q110" s="8">
        <f t="shared" si="9"/>
        <v>0</v>
      </c>
      <c r="R110" s="8">
        <f t="shared" si="10"/>
        <v>0</v>
      </c>
      <c r="S110" s="15">
        <f t="shared" si="11"/>
        <v>0</v>
      </c>
    </row>
    <row r="111" spans="1:19" x14ac:dyDescent="0.25">
      <c r="A111" s="10" t="s">
        <v>301</v>
      </c>
      <c r="B111" s="10">
        <v>2308</v>
      </c>
      <c r="C111" s="10">
        <v>89001</v>
      </c>
      <c r="D111" s="10" t="s">
        <v>302</v>
      </c>
      <c r="E111" s="10" t="s">
        <v>303</v>
      </c>
      <c r="F111" s="10" t="s">
        <v>20</v>
      </c>
      <c r="G111" s="10" t="s">
        <v>12</v>
      </c>
      <c r="H111" s="10" t="s">
        <v>41</v>
      </c>
      <c r="I111" s="11">
        <v>291</v>
      </c>
      <c r="J111" s="11"/>
      <c r="K111" s="11">
        <v>17</v>
      </c>
      <c r="L111" s="6">
        <f t="shared" si="6"/>
        <v>274</v>
      </c>
      <c r="M111" s="12">
        <v>0.70199999999999996</v>
      </c>
      <c r="N111" s="13">
        <f t="shared" si="7"/>
        <v>204.28199999999998</v>
      </c>
      <c r="O111" s="13">
        <f t="shared" si="8"/>
        <v>11.933999999999999</v>
      </c>
      <c r="P111" s="14">
        <v>8.3229024999999996</v>
      </c>
      <c r="Q111" s="8">
        <f t="shared" si="9"/>
        <v>2421.9646275</v>
      </c>
      <c r="R111" s="8">
        <f t="shared" si="10"/>
        <v>141.48934249999999</v>
      </c>
      <c r="S111" s="15">
        <f t="shared" si="11"/>
        <v>5.8419243986254296E-2</v>
      </c>
    </row>
    <row r="112" spans="1:19" x14ac:dyDescent="0.25">
      <c r="A112" s="10" t="s">
        <v>304</v>
      </c>
      <c r="B112" s="10">
        <v>2308</v>
      </c>
      <c r="C112" s="10">
        <v>89001</v>
      </c>
      <c r="D112" s="10" t="s">
        <v>302</v>
      </c>
      <c r="E112" s="10" t="s">
        <v>305</v>
      </c>
      <c r="F112" s="10" t="s">
        <v>20</v>
      </c>
      <c r="G112" s="10" t="s">
        <v>12</v>
      </c>
      <c r="H112" s="10" t="s">
        <v>41</v>
      </c>
      <c r="I112" s="11">
        <v>53</v>
      </c>
      <c r="J112" s="11"/>
      <c r="K112" s="11">
        <v>0</v>
      </c>
      <c r="L112" s="6">
        <f t="shared" si="6"/>
        <v>53</v>
      </c>
      <c r="M112" s="12">
        <v>0.70199999999999996</v>
      </c>
      <c r="N112" s="13">
        <f t="shared" si="7"/>
        <v>37.205999999999996</v>
      </c>
      <c r="O112" s="13">
        <f t="shared" si="8"/>
        <v>0</v>
      </c>
      <c r="P112" s="14">
        <v>48.797092669999998</v>
      </c>
      <c r="Q112" s="8">
        <f t="shared" si="9"/>
        <v>2586.24591151</v>
      </c>
      <c r="R112" s="8">
        <f t="shared" si="10"/>
        <v>0</v>
      </c>
      <c r="S112" s="15">
        <f t="shared" si="11"/>
        <v>0</v>
      </c>
    </row>
    <row r="113" spans="1:19" x14ac:dyDescent="0.25">
      <c r="A113" s="10" t="s">
        <v>306</v>
      </c>
      <c r="B113" s="10">
        <v>2308</v>
      </c>
      <c r="C113" s="10">
        <v>89001</v>
      </c>
      <c r="D113" s="10" t="s">
        <v>302</v>
      </c>
      <c r="E113" s="10" t="s">
        <v>307</v>
      </c>
      <c r="F113" s="10" t="s">
        <v>20</v>
      </c>
      <c r="G113" s="10" t="s">
        <v>12</v>
      </c>
      <c r="H113" s="10" t="s">
        <v>41</v>
      </c>
      <c r="I113" s="11">
        <v>38</v>
      </c>
      <c r="J113" s="11"/>
      <c r="K113" s="11">
        <v>0</v>
      </c>
      <c r="L113" s="6">
        <f t="shared" si="6"/>
        <v>38</v>
      </c>
      <c r="M113" s="12">
        <v>0.70199999999999996</v>
      </c>
      <c r="N113" s="13">
        <f t="shared" si="7"/>
        <v>26.675999999999998</v>
      </c>
      <c r="O113" s="13">
        <f t="shared" si="8"/>
        <v>0</v>
      </c>
      <c r="P113" s="14">
        <v>7.4339696599999998</v>
      </c>
      <c r="Q113" s="8">
        <f t="shared" si="9"/>
        <v>282.49084707999998</v>
      </c>
      <c r="R113" s="8">
        <f t="shared" si="10"/>
        <v>0</v>
      </c>
      <c r="S113" s="15">
        <f t="shared" si="11"/>
        <v>0</v>
      </c>
    </row>
    <row r="114" spans="1:19" x14ac:dyDescent="0.25">
      <c r="A114" s="10" t="s">
        <v>308</v>
      </c>
      <c r="B114" s="10">
        <v>2317</v>
      </c>
      <c r="C114" s="10">
        <v>73369</v>
      </c>
      <c r="D114" s="10" t="s">
        <v>309</v>
      </c>
      <c r="E114" s="10" t="s">
        <v>310</v>
      </c>
      <c r="F114" s="10" t="s">
        <v>23</v>
      </c>
      <c r="G114" s="10" t="s">
        <v>12</v>
      </c>
      <c r="H114" s="10" t="s">
        <v>41</v>
      </c>
      <c r="I114" s="11">
        <v>139</v>
      </c>
      <c r="J114" s="11"/>
      <c r="K114" s="11">
        <v>131</v>
      </c>
      <c r="L114" s="6">
        <f t="shared" si="6"/>
        <v>8</v>
      </c>
      <c r="M114" s="12">
        <v>59.377000000000002</v>
      </c>
      <c r="N114" s="13">
        <f t="shared" si="7"/>
        <v>8253.4030000000002</v>
      </c>
      <c r="O114" s="13">
        <f t="shared" si="8"/>
        <v>7778.3870000000006</v>
      </c>
      <c r="P114" s="14">
        <v>314.14880657999998</v>
      </c>
      <c r="Q114" s="8">
        <f t="shared" si="9"/>
        <v>43666.684114619995</v>
      </c>
      <c r="R114" s="8">
        <f t="shared" si="10"/>
        <v>41153.493661979999</v>
      </c>
      <c r="S114" s="15">
        <f t="shared" si="11"/>
        <v>0.94244604316546765</v>
      </c>
    </row>
    <row r="115" spans="1:19" x14ac:dyDescent="0.25">
      <c r="A115" s="10" t="s">
        <v>311</v>
      </c>
      <c r="B115" s="10">
        <v>2317</v>
      </c>
      <c r="C115" s="10">
        <v>73369</v>
      </c>
      <c r="D115" s="10" t="s">
        <v>309</v>
      </c>
      <c r="E115" s="10" t="s">
        <v>312</v>
      </c>
      <c r="F115" s="10" t="s">
        <v>23</v>
      </c>
      <c r="G115" s="10" t="s">
        <v>12</v>
      </c>
      <c r="H115" s="10" t="s">
        <v>41</v>
      </c>
      <c r="I115" s="11">
        <v>7</v>
      </c>
      <c r="J115" s="11"/>
      <c r="K115" s="11">
        <v>0</v>
      </c>
      <c r="L115" s="6">
        <f t="shared" si="6"/>
        <v>7</v>
      </c>
      <c r="M115" s="12">
        <v>59.377000000000002</v>
      </c>
      <c r="N115" s="13">
        <f t="shared" si="7"/>
        <v>415.63900000000001</v>
      </c>
      <c r="O115" s="13">
        <f t="shared" si="8"/>
        <v>0</v>
      </c>
      <c r="P115" s="14">
        <v>291.58289015000003</v>
      </c>
      <c r="Q115" s="8">
        <f t="shared" si="9"/>
        <v>2041.0802310500003</v>
      </c>
      <c r="R115" s="8">
        <f t="shared" si="10"/>
        <v>0</v>
      </c>
      <c r="S115" s="15">
        <f t="shared" si="11"/>
        <v>0</v>
      </c>
    </row>
    <row r="116" spans="1:19" x14ac:dyDescent="0.25">
      <c r="A116" s="10" t="s">
        <v>313</v>
      </c>
      <c r="B116" s="10">
        <v>2318</v>
      </c>
      <c r="C116" s="10">
        <v>73371</v>
      </c>
      <c r="D116" s="10" t="s">
        <v>314</v>
      </c>
      <c r="E116" s="10" t="s">
        <v>315</v>
      </c>
      <c r="F116" s="10" t="s">
        <v>23</v>
      </c>
      <c r="G116" s="10" t="s">
        <v>12</v>
      </c>
      <c r="H116" s="10" t="s">
        <v>41</v>
      </c>
      <c r="I116" s="11">
        <v>151</v>
      </c>
      <c r="J116" s="11"/>
      <c r="K116" s="11">
        <v>131</v>
      </c>
      <c r="L116" s="6">
        <f t="shared" si="6"/>
        <v>20</v>
      </c>
      <c r="M116" s="12">
        <v>38.170999999999999</v>
      </c>
      <c r="N116" s="13">
        <f t="shared" si="7"/>
        <v>5763.8209999999999</v>
      </c>
      <c r="O116" s="13">
        <f t="shared" si="8"/>
        <v>5000.4009999999998</v>
      </c>
      <c r="P116" s="14">
        <v>122.02092768</v>
      </c>
      <c r="Q116" s="8">
        <f t="shared" si="9"/>
        <v>18425.160079680001</v>
      </c>
      <c r="R116" s="8">
        <f t="shared" si="10"/>
        <v>15984.741526080001</v>
      </c>
      <c r="S116" s="15">
        <f t="shared" si="11"/>
        <v>0.86754966887417218</v>
      </c>
    </row>
    <row r="117" spans="1:19" x14ac:dyDescent="0.25">
      <c r="A117" s="10" t="s">
        <v>316</v>
      </c>
      <c r="B117" s="10">
        <v>2319</v>
      </c>
      <c r="C117" s="10">
        <v>73372</v>
      </c>
      <c r="D117" s="10" t="s">
        <v>317</v>
      </c>
      <c r="E117" s="10" t="s">
        <v>318</v>
      </c>
      <c r="F117" s="10" t="s">
        <v>23</v>
      </c>
      <c r="G117" s="10" t="s">
        <v>12</v>
      </c>
      <c r="H117" s="10" t="s">
        <v>41</v>
      </c>
      <c r="I117" s="11">
        <v>158</v>
      </c>
      <c r="J117" s="11"/>
      <c r="K117" s="11">
        <v>131</v>
      </c>
      <c r="L117" s="6">
        <f t="shared" si="6"/>
        <v>27</v>
      </c>
      <c r="M117" s="12">
        <v>47.58</v>
      </c>
      <c r="N117" s="13">
        <f t="shared" si="7"/>
        <v>7517.6399999999994</v>
      </c>
      <c r="O117" s="13">
        <f t="shared" si="8"/>
        <v>6232.98</v>
      </c>
      <c r="P117" s="14">
        <v>158.81051169</v>
      </c>
      <c r="Q117" s="8">
        <f t="shared" si="9"/>
        <v>25092.060847019999</v>
      </c>
      <c r="R117" s="8">
        <f t="shared" si="10"/>
        <v>20804.177031390002</v>
      </c>
      <c r="S117" s="15">
        <f t="shared" si="11"/>
        <v>0.82911392405063289</v>
      </c>
    </row>
    <row r="118" spans="1:19" x14ac:dyDescent="0.25">
      <c r="A118" s="10" t="s">
        <v>319</v>
      </c>
      <c r="B118" s="10">
        <v>2320</v>
      </c>
      <c r="C118" s="10">
        <v>73373</v>
      </c>
      <c r="D118" s="10" t="s">
        <v>320</v>
      </c>
      <c r="E118" s="10" t="s">
        <v>321</v>
      </c>
      <c r="F118" s="10" t="s">
        <v>23</v>
      </c>
      <c r="G118" s="10" t="s">
        <v>12</v>
      </c>
      <c r="H118" s="10" t="s">
        <v>41</v>
      </c>
      <c r="I118" s="11">
        <v>132</v>
      </c>
      <c r="J118" s="11"/>
      <c r="K118" s="11">
        <v>132</v>
      </c>
      <c r="L118" s="6">
        <f t="shared" si="6"/>
        <v>0</v>
      </c>
      <c r="M118" s="12">
        <v>57.622</v>
      </c>
      <c r="N118" s="13">
        <f t="shared" si="7"/>
        <v>7606.1040000000003</v>
      </c>
      <c r="O118" s="13">
        <f t="shared" si="8"/>
        <v>7606.1040000000003</v>
      </c>
      <c r="P118" s="14">
        <v>189.69667878000001</v>
      </c>
      <c r="Q118" s="8">
        <f t="shared" si="9"/>
        <v>25039.961598960002</v>
      </c>
      <c r="R118" s="8">
        <f t="shared" si="10"/>
        <v>25039.961598960002</v>
      </c>
      <c r="S118" s="15">
        <f t="shared" si="11"/>
        <v>1</v>
      </c>
    </row>
    <row r="119" spans="1:19" x14ac:dyDescent="0.25">
      <c r="A119" s="10" t="s">
        <v>322</v>
      </c>
      <c r="B119" s="10">
        <v>2321</v>
      </c>
      <c r="C119" s="10">
        <v>55593</v>
      </c>
      <c r="D119" s="10" t="s">
        <v>323</v>
      </c>
      <c r="E119" s="10"/>
      <c r="F119" s="10" t="s">
        <v>23</v>
      </c>
      <c r="G119" s="10" t="s">
        <v>12</v>
      </c>
      <c r="H119" s="10" t="s">
        <v>41</v>
      </c>
      <c r="I119" s="11">
        <v>541</v>
      </c>
      <c r="J119" s="11"/>
      <c r="K119" s="11">
        <v>0</v>
      </c>
      <c r="L119" s="6">
        <f t="shared" si="6"/>
        <v>541</v>
      </c>
      <c r="M119" s="12">
        <v>16.184999999999999</v>
      </c>
      <c r="N119" s="13">
        <f t="shared" si="7"/>
        <v>8756.0849999999991</v>
      </c>
      <c r="O119" s="13">
        <f t="shared" si="8"/>
        <v>0</v>
      </c>
      <c r="P119" s="14">
        <v>84.450764989999996</v>
      </c>
      <c r="Q119" s="8">
        <f t="shared" si="9"/>
        <v>45687.863859589997</v>
      </c>
      <c r="R119" s="8">
        <f t="shared" si="10"/>
        <v>0</v>
      </c>
      <c r="S119" s="15">
        <f t="shared" si="11"/>
        <v>0</v>
      </c>
    </row>
    <row r="120" spans="1:19" x14ac:dyDescent="0.25">
      <c r="A120" s="10" t="s">
        <v>324</v>
      </c>
      <c r="B120" s="10">
        <v>2344</v>
      </c>
      <c r="C120" s="10">
        <v>81974</v>
      </c>
      <c r="D120" s="10" t="s">
        <v>325</v>
      </c>
      <c r="E120" s="10" t="s">
        <v>326</v>
      </c>
      <c r="F120" s="10" t="s">
        <v>23</v>
      </c>
      <c r="G120" s="10" t="s">
        <v>12</v>
      </c>
      <c r="H120" s="10" t="s">
        <v>41</v>
      </c>
      <c r="I120" s="11">
        <v>53</v>
      </c>
      <c r="J120" s="11"/>
      <c r="K120" s="11">
        <v>39</v>
      </c>
      <c r="L120" s="6">
        <f t="shared" si="6"/>
        <v>14</v>
      </c>
      <c r="M120" s="12">
        <v>50.21</v>
      </c>
      <c r="N120" s="13">
        <f t="shared" si="7"/>
        <v>2661.13</v>
      </c>
      <c r="O120" s="13">
        <f t="shared" si="8"/>
        <v>1958.19</v>
      </c>
      <c r="P120" s="14">
        <v>205.83398930999999</v>
      </c>
      <c r="Q120" s="8">
        <f t="shared" si="9"/>
        <v>10909.20143343</v>
      </c>
      <c r="R120" s="8">
        <f t="shared" si="10"/>
        <v>8027.5255830899996</v>
      </c>
      <c r="S120" s="15">
        <f t="shared" si="11"/>
        <v>0.73584905660377353</v>
      </c>
    </row>
    <row r="121" spans="1:19" x14ac:dyDescent="0.25">
      <c r="A121" s="10" t="s">
        <v>327</v>
      </c>
      <c r="B121" s="10">
        <v>2344</v>
      </c>
      <c r="C121" s="10">
        <v>81974</v>
      </c>
      <c r="D121" s="10" t="s">
        <v>325</v>
      </c>
      <c r="E121" s="10" t="s">
        <v>328</v>
      </c>
      <c r="F121" s="10" t="s">
        <v>23</v>
      </c>
      <c r="G121" s="10" t="s">
        <v>12</v>
      </c>
      <c r="H121" s="10" t="s">
        <v>41</v>
      </c>
      <c r="I121" s="11">
        <v>20</v>
      </c>
      <c r="J121" s="11"/>
      <c r="K121" s="11">
        <v>10</v>
      </c>
      <c r="L121" s="6">
        <f t="shared" si="6"/>
        <v>10</v>
      </c>
      <c r="M121" s="12">
        <v>50.21</v>
      </c>
      <c r="N121" s="13">
        <f t="shared" si="7"/>
        <v>1004.2</v>
      </c>
      <c r="O121" s="13">
        <f t="shared" si="8"/>
        <v>502.1</v>
      </c>
      <c r="P121" s="14">
        <v>182.13186561000001</v>
      </c>
      <c r="Q121" s="8">
        <f t="shared" si="9"/>
        <v>3642.6373122</v>
      </c>
      <c r="R121" s="8">
        <f t="shared" si="10"/>
        <v>1821.3186561</v>
      </c>
      <c r="S121" s="15">
        <f t="shared" si="11"/>
        <v>0.5</v>
      </c>
    </row>
    <row r="122" spans="1:19" x14ac:dyDescent="0.25">
      <c r="A122" s="10" t="s">
        <v>329</v>
      </c>
      <c r="B122" s="10">
        <v>2345</v>
      </c>
      <c r="C122" s="10">
        <v>73906</v>
      </c>
      <c r="D122" s="10" t="s">
        <v>330</v>
      </c>
      <c r="E122" s="10" t="s">
        <v>331</v>
      </c>
      <c r="F122" s="10" t="s">
        <v>23</v>
      </c>
      <c r="G122" s="10" t="s">
        <v>12</v>
      </c>
      <c r="H122" s="10" t="s">
        <v>41</v>
      </c>
      <c r="I122" s="11">
        <v>63</v>
      </c>
      <c r="J122" s="11"/>
      <c r="K122" s="11">
        <v>39</v>
      </c>
      <c r="L122" s="6">
        <f t="shared" si="6"/>
        <v>24</v>
      </c>
      <c r="M122" s="12">
        <v>55.38</v>
      </c>
      <c r="N122" s="13">
        <f t="shared" si="7"/>
        <v>3488.94</v>
      </c>
      <c r="O122" s="13">
        <f t="shared" si="8"/>
        <v>2159.8200000000002</v>
      </c>
      <c r="P122" s="14">
        <v>151.85930655999999</v>
      </c>
      <c r="Q122" s="8">
        <f t="shared" si="9"/>
        <v>9567.1363132799997</v>
      </c>
      <c r="R122" s="8">
        <f t="shared" si="10"/>
        <v>5922.5129558399994</v>
      </c>
      <c r="S122" s="15">
        <f t="shared" si="11"/>
        <v>0.61904761904761907</v>
      </c>
    </row>
    <row r="123" spans="1:19" x14ac:dyDescent="0.25">
      <c r="A123" s="10" t="s">
        <v>332</v>
      </c>
      <c r="B123" s="10">
        <v>2345</v>
      </c>
      <c r="C123" s="10">
        <v>73906</v>
      </c>
      <c r="D123" s="10" t="s">
        <v>330</v>
      </c>
      <c r="E123" s="10" t="s">
        <v>333</v>
      </c>
      <c r="F123" s="10" t="s">
        <v>23</v>
      </c>
      <c r="G123" s="10" t="s">
        <v>12</v>
      </c>
      <c r="H123" s="10" t="s">
        <v>41</v>
      </c>
      <c r="I123" s="11">
        <v>37</v>
      </c>
      <c r="J123" s="11"/>
      <c r="K123" s="11">
        <v>10</v>
      </c>
      <c r="L123" s="6">
        <f t="shared" si="6"/>
        <v>27</v>
      </c>
      <c r="M123" s="12">
        <v>55.38</v>
      </c>
      <c r="N123" s="13">
        <f t="shared" si="7"/>
        <v>2049.06</v>
      </c>
      <c r="O123" s="13">
        <f t="shared" si="8"/>
        <v>553.80000000000007</v>
      </c>
      <c r="P123" s="14">
        <v>148.77809479000001</v>
      </c>
      <c r="Q123" s="8">
        <f t="shared" si="9"/>
        <v>5504.7895072300007</v>
      </c>
      <c r="R123" s="8">
        <f t="shared" si="10"/>
        <v>1487.7809479000002</v>
      </c>
      <c r="S123" s="15">
        <f t="shared" si="11"/>
        <v>0.27027027027027029</v>
      </c>
    </row>
    <row r="124" spans="1:19" x14ac:dyDescent="0.25">
      <c r="A124" s="10" t="s">
        <v>334</v>
      </c>
      <c r="B124" s="10">
        <v>2346</v>
      </c>
      <c r="C124" s="10">
        <v>81980</v>
      </c>
      <c r="D124" s="10" t="s">
        <v>335</v>
      </c>
      <c r="E124" s="10" t="s">
        <v>336</v>
      </c>
      <c r="F124" s="10" t="s">
        <v>23</v>
      </c>
      <c r="G124" s="10" t="s">
        <v>12</v>
      </c>
      <c r="H124" s="10" t="s">
        <v>41</v>
      </c>
      <c r="I124" s="11">
        <v>0</v>
      </c>
      <c r="J124" s="11"/>
      <c r="K124" s="11">
        <v>0</v>
      </c>
      <c r="L124" s="6">
        <f t="shared" si="6"/>
        <v>0</v>
      </c>
      <c r="M124" s="12">
        <v>42.460999999999999</v>
      </c>
      <c r="N124" s="13">
        <f t="shared" si="7"/>
        <v>0</v>
      </c>
      <c r="O124" s="13">
        <f t="shared" si="8"/>
        <v>0</v>
      </c>
      <c r="P124" s="14">
        <v>153.23859156</v>
      </c>
      <c r="Q124" s="8">
        <f t="shared" si="9"/>
        <v>0</v>
      </c>
      <c r="R124" s="8">
        <f t="shared" si="10"/>
        <v>0</v>
      </c>
      <c r="S124" s="15">
        <f t="shared" si="11"/>
        <v>0</v>
      </c>
    </row>
    <row r="125" spans="1:19" x14ac:dyDescent="0.25">
      <c r="A125" s="10" t="s">
        <v>337</v>
      </c>
      <c r="B125" s="10">
        <v>2348</v>
      </c>
      <c r="C125" s="10">
        <v>81992</v>
      </c>
      <c r="D125" s="10" t="s">
        <v>338</v>
      </c>
      <c r="E125" s="10" t="s">
        <v>339</v>
      </c>
      <c r="F125" s="10" t="s">
        <v>23</v>
      </c>
      <c r="G125" s="10" t="s">
        <v>12</v>
      </c>
      <c r="H125" s="10" t="s">
        <v>41</v>
      </c>
      <c r="I125" s="11">
        <v>99</v>
      </c>
      <c r="J125" s="11"/>
      <c r="K125" s="11">
        <v>102</v>
      </c>
      <c r="L125" s="6">
        <f t="shared" si="6"/>
        <v>-3</v>
      </c>
      <c r="M125" s="12">
        <v>13.162000000000001</v>
      </c>
      <c r="N125" s="13">
        <f t="shared" si="7"/>
        <v>1303.038</v>
      </c>
      <c r="O125" s="13">
        <f t="shared" si="8"/>
        <v>1342.5240000000001</v>
      </c>
      <c r="P125" s="14">
        <v>123.43704805</v>
      </c>
      <c r="Q125" s="8">
        <f t="shared" si="9"/>
        <v>12220.267756949999</v>
      </c>
      <c r="R125" s="8">
        <f t="shared" si="10"/>
        <v>12590.5789011</v>
      </c>
      <c r="S125" s="15">
        <f t="shared" si="11"/>
        <v>1.0303030303030303</v>
      </c>
    </row>
    <row r="126" spans="1:19" x14ac:dyDescent="0.25">
      <c r="A126" s="10" t="s">
        <v>340</v>
      </c>
      <c r="B126" s="10">
        <v>2348</v>
      </c>
      <c r="C126" s="10">
        <v>81992</v>
      </c>
      <c r="D126" s="10" t="s">
        <v>338</v>
      </c>
      <c r="E126" s="10" t="s">
        <v>341</v>
      </c>
      <c r="F126" s="10" t="s">
        <v>23</v>
      </c>
      <c r="G126" s="10" t="s">
        <v>12</v>
      </c>
      <c r="H126" s="10" t="s">
        <v>41</v>
      </c>
      <c r="I126" s="11">
        <v>32</v>
      </c>
      <c r="J126" s="11"/>
      <c r="K126" s="11">
        <v>26</v>
      </c>
      <c r="L126" s="6">
        <f t="shared" si="6"/>
        <v>6</v>
      </c>
      <c r="M126" s="12">
        <v>13.162000000000001</v>
      </c>
      <c r="N126" s="13">
        <f t="shared" si="7"/>
        <v>421.18400000000003</v>
      </c>
      <c r="O126" s="13">
        <f t="shared" si="8"/>
        <v>342.21200000000005</v>
      </c>
      <c r="P126" s="14">
        <v>123.93346333</v>
      </c>
      <c r="Q126" s="8">
        <f t="shared" si="9"/>
        <v>3965.8708265599998</v>
      </c>
      <c r="R126" s="8">
        <f t="shared" si="10"/>
        <v>3222.2700465799999</v>
      </c>
      <c r="S126" s="15">
        <f t="shared" si="11"/>
        <v>0.8125</v>
      </c>
    </row>
    <row r="127" spans="1:19" x14ac:dyDescent="0.25">
      <c r="A127" s="10" t="s">
        <v>342</v>
      </c>
      <c r="B127" s="10">
        <v>2350</v>
      </c>
      <c r="C127" s="10">
        <v>81985</v>
      </c>
      <c r="D127" s="10" t="s">
        <v>343</v>
      </c>
      <c r="E127" s="10" t="s">
        <v>344</v>
      </c>
      <c r="F127" s="10" t="s">
        <v>23</v>
      </c>
      <c r="G127" s="10" t="s">
        <v>12</v>
      </c>
      <c r="H127" s="10" t="s">
        <v>41</v>
      </c>
      <c r="I127" s="11">
        <v>13</v>
      </c>
      <c r="J127" s="11"/>
      <c r="K127" s="11">
        <v>10</v>
      </c>
      <c r="L127" s="6">
        <f t="shared" si="6"/>
        <v>3</v>
      </c>
      <c r="M127" s="12">
        <v>28.323</v>
      </c>
      <c r="N127" s="13">
        <f t="shared" si="7"/>
        <v>368.19900000000001</v>
      </c>
      <c r="O127" s="13">
        <f t="shared" si="8"/>
        <v>283.23</v>
      </c>
      <c r="P127" s="14">
        <v>105.86662986</v>
      </c>
      <c r="Q127" s="8">
        <f t="shared" si="9"/>
        <v>1376.26618818</v>
      </c>
      <c r="R127" s="8">
        <f t="shared" si="10"/>
        <v>1058.6662986000001</v>
      </c>
      <c r="S127" s="15">
        <f t="shared" si="11"/>
        <v>0.76923076923076927</v>
      </c>
    </row>
    <row r="128" spans="1:19" x14ac:dyDescent="0.25">
      <c r="A128" s="10" t="s">
        <v>345</v>
      </c>
      <c r="B128" s="10">
        <v>2350</v>
      </c>
      <c r="C128" s="10">
        <v>81985</v>
      </c>
      <c r="D128" s="10" t="s">
        <v>343</v>
      </c>
      <c r="E128" s="10" t="s">
        <v>346</v>
      </c>
      <c r="F128" s="10" t="s">
        <v>23</v>
      </c>
      <c r="G128" s="10" t="s">
        <v>12</v>
      </c>
      <c r="H128" s="10" t="s">
        <v>41</v>
      </c>
      <c r="I128" s="11">
        <v>48</v>
      </c>
      <c r="J128" s="11"/>
      <c r="K128" s="11">
        <v>4</v>
      </c>
      <c r="L128" s="6">
        <f t="shared" si="6"/>
        <v>44</v>
      </c>
      <c r="M128" s="12">
        <v>28.323</v>
      </c>
      <c r="N128" s="13">
        <f t="shared" si="7"/>
        <v>1359.5039999999999</v>
      </c>
      <c r="O128" s="13">
        <f t="shared" si="8"/>
        <v>113.292</v>
      </c>
      <c r="P128" s="14">
        <v>105.77752383000001</v>
      </c>
      <c r="Q128" s="8">
        <f t="shared" si="9"/>
        <v>5077.3211438400003</v>
      </c>
      <c r="R128" s="8">
        <f t="shared" si="10"/>
        <v>423.11009532000003</v>
      </c>
      <c r="S128" s="15">
        <f t="shared" si="11"/>
        <v>8.3333333333333329E-2</v>
      </c>
    </row>
    <row r="129" spans="1:19" x14ac:dyDescent="0.25">
      <c r="A129" s="10" t="s">
        <v>347</v>
      </c>
      <c r="B129" s="10">
        <v>2354</v>
      </c>
      <c r="C129" s="10">
        <v>82938</v>
      </c>
      <c r="D129" s="10" t="s">
        <v>348</v>
      </c>
      <c r="E129" s="10" t="s">
        <v>349</v>
      </c>
      <c r="F129" s="10" t="s">
        <v>23</v>
      </c>
      <c r="G129" s="10" t="s">
        <v>12</v>
      </c>
      <c r="H129" s="10" t="s">
        <v>41</v>
      </c>
      <c r="I129" s="11">
        <v>8</v>
      </c>
      <c r="J129" s="11"/>
      <c r="K129" s="11">
        <v>0</v>
      </c>
      <c r="L129" s="6">
        <f t="shared" si="6"/>
        <v>8</v>
      </c>
      <c r="M129" s="12">
        <v>67.275000000000006</v>
      </c>
      <c r="N129" s="13">
        <f t="shared" si="7"/>
        <v>538.20000000000005</v>
      </c>
      <c r="O129" s="13">
        <f t="shared" si="8"/>
        <v>0</v>
      </c>
      <c r="P129" s="14">
        <v>240.48471452999999</v>
      </c>
      <c r="Q129" s="8">
        <f t="shared" si="9"/>
        <v>1923.8777162399999</v>
      </c>
      <c r="R129" s="8">
        <f t="shared" si="10"/>
        <v>0</v>
      </c>
      <c r="S129" s="15">
        <f t="shared" si="11"/>
        <v>0</v>
      </c>
    </row>
    <row r="130" spans="1:19" x14ac:dyDescent="0.25">
      <c r="A130" s="10" t="s">
        <v>350</v>
      </c>
      <c r="B130" s="10">
        <v>2372</v>
      </c>
      <c r="C130" s="10">
        <v>82940</v>
      </c>
      <c r="D130" s="10" t="s">
        <v>351</v>
      </c>
      <c r="E130" s="10" t="s">
        <v>352</v>
      </c>
      <c r="F130" s="10" t="s">
        <v>22</v>
      </c>
      <c r="G130" s="10" t="s">
        <v>12</v>
      </c>
      <c r="H130" s="10" t="s">
        <v>41</v>
      </c>
      <c r="I130" s="11">
        <v>0</v>
      </c>
      <c r="J130" s="11"/>
      <c r="K130" s="11">
        <v>0</v>
      </c>
      <c r="L130" s="6">
        <f t="shared" ref="L130:L193" si="12">I130-K130</f>
        <v>0</v>
      </c>
      <c r="M130" s="12">
        <v>34.125</v>
      </c>
      <c r="N130" s="13">
        <f t="shared" ref="N130:N193" si="13">I130*M130</f>
        <v>0</v>
      </c>
      <c r="O130" s="13">
        <f t="shared" ref="O130:O193" si="14">K130*M130</f>
        <v>0</v>
      </c>
      <c r="P130" s="14">
        <v>417.79632923000003</v>
      </c>
      <c r="Q130" s="8">
        <f t="shared" ref="Q130:Q193" si="15">I130*P130</f>
        <v>0</v>
      </c>
      <c r="R130" s="8">
        <f t="shared" ref="R130:R193" si="16">K130*P130</f>
        <v>0</v>
      </c>
      <c r="S130" s="15">
        <f t="shared" ref="S130:S193" si="17">IF(I130=0,0,K130/I130)</f>
        <v>0</v>
      </c>
    </row>
    <row r="131" spans="1:19" x14ac:dyDescent="0.25">
      <c r="A131" s="10" t="s">
        <v>353</v>
      </c>
      <c r="B131" s="10">
        <v>2379</v>
      </c>
      <c r="C131" s="10">
        <v>76420</v>
      </c>
      <c r="D131" s="10" t="s">
        <v>354</v>
      </c>
      <c r="E131" s="10" t="s">
        <v>355</v>
      </c>
      <c r="F131" s="10" t="s">
        <v>21</v>
      </c>
      <c r="G131" s="10" t="s">
        <v>12</v>
      </c>
      <c r="H131" s="10" t="s">
        <v>41</v>
      </c>
      <c r="I131" s="11">
        <v>18</v>
      </c>
      <c r="J131" s="11"/>
      <c r="K131" s="11">
        <v>0</v>
      </c>
      <c r="L131" s="6">
        <f t="shared" si="12"/>
        <v>18</v>
      </c>
      <c r="M131" s="12">
        <v>34.612000000000002</v>
      </c>
      <c r="N131" s="13">
        <f t="shared" si="13"/>
        <v>623.01600000000008</v>
      </c>
      <c r="O131" s="13">
        <f t="shared" si="14"/>
        <v>0</v>
      </c>
      <c r="P131" s="14">
        <v>133.12620337000001</v>
      </c>
      <c r="Q131" s="8">
        <f t="shared" si="15"/>
        <v>2396.2716606600002</v>
      </c>
      <c r="R131" s="8">
        <f t="shared" si="16"/>
        <v>0</v>
      </c>
      <c r="S131" s="15">
        <f t="shared" si="17"/>
        <v>0</v>
      </c>
    </row>
    <row r="132" spans="1:19" x14ac:dyDescent="0.25">
      <c r="A132" s="10" t="s">
        <v>356</v>
      </c>
      <c r="B132" s="10">
        <v>2391</v>
      </c>
      <c r="C132" s="10">
        <v>42515</v>
      </c>
      <c r="D132" s="10" t="s">
        <v>357</v>
      </c>
      <c r="E132" s="10" t="s">
        <v>358</v>
      </c>
      <c r="F132" s="10" t="s">
        <v>23</v>
      </c>
      <c r="G132" s="10" t="s">
        <v>12</v>
      </c>
      <c r="H132" s="10" t="s">
        <v>41</v>
      </c>
      <c r="I132" s="11">
        <v>306</v>
      </c>
      <c r="J132" s="11"/>
      <c r="K132" s="11">
        <v>181</v>
      </c>
      <c r="L132" s="6">
        <f t="shared" si="12"/>
        <v>125</v>
      </c>
      <c r="M132" s="12">
        <v>61.424999999999997</v>
      </c>
      <c r="N132" s="13">
        <f t="shared" si="13"/>
        <v>18796.05</v>
      </c>
      <c r="O132" s="13">
        <f t="shared" si="14"/>
        <v>11117.924999999999</v>
      </c>
      <c r="P132" s="14">
        <v>248.09741833999999</v>
      </c>
      <c r="Q132" s="8">
        <f t="shared" si="15"/>
        <v>75917.81001203999</v>
      </c>
      <c r="R132" s="8">
        <f t="shared" si="16"/>
        <v>44905.632719540001</v>
      </c>
      <c r="S132" s="15">
        <f t="shared" si="17"/>
        <v>0.59150326797385622</v>
      </c>
    </row>
    <row r="133" spans="1:19" x14ac:dyDescent="0.25">
      <c r="A133" s="10" t="s">
        <v>359</v>
      </c>
      <c r="B133" s="10">
        <v>2396</v>
      </c>
      <c r="C133" s="10">
        <v>42516</v>
      </c>
      <c r="D133" s="10" t="s">
        <v>360</v>
      </c>
      <c r="E133" s="10" t="s">
        <v>361</v>
      </c>
      <c r="F133" s="10" t="s">
        <v>23</v>
      </c>
      <c r="G133" s="10" t="s">
        <v>12</v>
      </c>
      <c r="H133" s="10" t="s">
        <v>41</v>
      </c>
      <c r="I133" s="11">
        <v>311</v>
      </c>
      <c r="J133" s="11"/>
      <c r="K133" s="11">
        <v>181</v>
      </c>
      <c r="L133" s="6">
        <f t="shared" si="12"/>
        <v>130</v>
      </c>
      <c r="M133" s="12">
        <v>39.877000000000002</v>
      </c>
      <c r="N133" s="13">
        <f t="shared" si="13"/>
        <v>12401.747000000001</v>
      </c>
      <c r="O133" s="13">
        <f t="shared" si="14"/>
        <v>7217.7370000000001</v>
      </c>
      <c r="P133" s="14">
        <v>141.07286348</v>
      </c>
      <c r="Q133" s="8">
        <f t="shared" si="15"/>
        <v>43873.660542279998</v>
      </c>
      <c r="R133" s="8">
        <f t="shared" si="16"/>
        <v>25534.18828988</v>
      </c>
      <c r="S133" s="15">
        <f t="shared" si="17"/>
        <v>0.58199356913183276</v>
      </c>
    </row>
    <row r="134" spans="1:19" x14ac:dyDescent="0.25">
      <c r="A134" s="10" t="s">
        <v>362</v>
      </c>
      <c r="B134" s="10">
        <v>2399</v>
      </c>
      <c r="C134" s="10">
        <v>42517</v>
      </c>
      <c r="D134" s="10" t="s">
        <v>363</v>
      </c>
      <c r="E134" s="10" t="s">
        <v>364</v>
      </c>
      <c r="F134" s="10" t="s">
        <v>23</v>
      </c>
      <c r="G134" s="10" t="s">
        <v>12</v>
      </c>
      <c r="H134" s="10" t="s">
        <v>41</v>
      </c>
      <c r="I134" s="11">
        <v>298</v>
      </c>
      <c r="J134" s="11"/>
      <c r="K134" s="11">
        <v>0</v>
      </c>
      <c r="L134" s="6">
        <f t="shared" si="12"/>
        <v>298</v>
      </c>
      <c r="M134" s="12">
        <v>45.707999999999998</v>
      </c>
      <c r="N134" s="13">
        <f t="shared" si="13"/>
        <v>13620.984</v>
      </c>
      <c r="O134" s="13">
        <f t="shared" si="14"/>
        <v>0</v>
      </c>
      <c r="P134" s="14">
        <v>156.92017543</v>
      </c>
      <c r="Q134" s="8">
        <f t="shared" si="15"/>
        <v>46762.212278140003</v>
      </c>
      <c r="R134" s="8">
        <f t="shared" si="16"/>
        <v>0</v>
      </c>
      <c r="S134" s="15">
        <f t="shared" si="17"/>
        <v>0</v>
      </c>
    </row>
    <row r="135" spans="1:19" x14ac:dyDescent="0.25">
      <c r="A135" s="10" t="s">
        <v>365</v>
      </c>
      <c r="B135" s="10">
        <v>2400</v>
      </c>
      <c r="C135" s="10">
        <v>42518</v>
      </c>
      <c r="D135" s="10" t="s">
        <v>366</v>
      </c>
      <c r="E135" s="10" t="s">
        <v>367</v>
      </c>
      <c r="F135" s="10" t="s">
        <v>23</v>
      </c>
      <c r="G135" s="10" t="s">
        <v>12</v>
      </c>
      <c r="H135" s="10" t="s">
        <v>41</v>
      </c>
      <c r="I135" s="11">
        <v>312</v>
      </c>
      <c r="J135" s="11"/>
      <c r="K135" s="11">
        <v>181</v>
      </c>
      <c r="L135" s="6">
        <f t="shared" si="12"/>
        <v>131</v>
      </c>
      <c r="M135" s="12">
        <v>37.947000000000003</v>
      </c>
      <c r="N135" s="13">
        <f t="shared" si="13"/>
        <v>11839.464</v>
      </c>
      <c r="O135" s="13">
        <f t="shared" si="14"/>
        <v>6868.4070000000002</v>
      </c>
      <c r="P135" s="14">
        <v>198.22895711000001</v>
      </c>
      <c r="Q135" s="8">
        <f t="shared" si="15"/>
        <v>61847.434618320003</v>
      </c>
      <c r="R135" s="8">
        <f t="shared" si="16"/>
        <v>35879.441236910003</v>
      </c>
      <c r="S135" s="15">
        <f t="shared" si="17"/>
        <v>0.58012820512820518</v>
      </c>
    </row>
    <row r="136" spans="1:19" x14ac:dyDescent="0.25">
      <c r="A136" s="10" t="s">
        <v>368</v>
      </c>
      <c r="B136" s="10">
        <v>2401</v>
      </c>
      <c r="C136" s="10">
        <v>42520</v>
      </c>
      <c r="D136" s="10" t="s">
        <v>369</v>
      </c>
      <c r="E136" s="10"/>
      <c r="F136" s="10" t="s">
        <v>23</v>
      </c>
      <c r="G136" s="10" t="s">
        <v>12</v>
      </c>
      <c r="H136" s="10" t="s">
        <v>41</v>
      </c>
      <c r="I136" s="11">
        <v>148</v>
      </c>
      <c r="J136" s="11"/>
      <c r="K136" s="11">
        <v>0</v>
      </c>
      <c r="L136" s="6">
        <f t="shared" si="12"/>
        <v>148</v>
      </c>
      <c r="M136" s="12">
        <v>26.870999999999999</v>
      </c>
      <c r="N136" s="13">
        <f t="shared" si="13"/>
        <v>3976.9079999999999</v>
      </c>
      <c r="O136" s="13">
        <f t="shared" si="14"/>
        <v>0</v>
      </c>
      <c r="P136" s="14">
        <v>199.65630931999999</v>
      </c>
      <c r="Q136" s="8">
        <f t="shared" si="15"/>
        <v>29549.13377936</v>
      </c>
      <c r="R136" s="8">
        <f t="shared" si="16"/>
        <v>0</v>
      </c>
      <c r="S136" s="15">
        <f t="shared" si="17"/>
        <v>0</v>
      </c>
    </row>
    <row r="137" spans="1:19" x14ac:dyDescent="0.25">
      <c r="A137" s="10" t="s">
        <v>370</v>
      </c>
      <c r="B137" s="10">
        <v>2403</v>
      </c>
      <c r="C137" s="10">
        <v>42510</v>
      </c>
      <c r="D137" s="10" t="s">
        <v>371</v>
      </c>
      <c r="E137" s="10" t="s">
        <v>372</v>
      </c>
      <c r="F137" s="10" t="s">
        <v>23</v>
      </c>
      <c r="G137" s="10" t="s">
        <v>12</v>
      </c>
      <c r="H137" s="10" t="s">
        <v>41</v>
      </c>
      <c r="I137" s="11">
        <v>200</v>
      </c>
      <c r="J137" s="11"/>
      <c r="K137" s="11">
        <v>90</v>
      </c>
      <c r="L137" s="6">
        <f t="shared" si="12"/>
        <v>110</v>
      </c>
      <c r="M137" s="12">
        <v>58.968000000000004</v>
      </c>
      <c r="N137" s="13">
        <f t="shared" si="13"/>
        <v>11793.6</v>
      </c>
      <c r="O137" s="13">
        <f t="shared" si="14"/>
        <v>5307.12</v>
      </c>
      <c r="P137" s="14">
        <v>261.11041698000002</v>
      </c>
      <c r="Q137" s="8">
        <f t="shared" si="15"/>
        <v>52222.083396000002</v>
      </c>
      <c r="R137" s="8">
        <f t="shared" si="16"/>
        <v>23499.937528200004</v>
      </c>
      <c r="S137" s="15">
        <f t="shared" si="17"/>
        <v>0.45</v>
      </c>
    </row>
    <row r="138" spans="1:19" x14ac:dyDescent="0.25">
      <c r="A138" s="10" t="s">
        <v>373</v>
      </c>
      <c r="B138" s="10">
        <v>2404</v>
      </c>
      <c r="C138" s="10">
        <v>42513</v>
      </c>
      <c r="D138" s="10" t="s">
        <v>374</v>
      </c>
      <c r="E138" s="10" t="s">
        <v>375</v>
      </c>
      <c r="F138" s="10" t="s">
        <v>23</v>
      </c>
      <c r="G138" s="10" t="s">
        <v>12</v>
      </c>
      <c r="H138" s="10" t="s">
        <v>41</v>
      </c>
      <c r="I138" s="11">
        <v>99</v>
      </c>
      <c r="J138" s="11"/>
      <c r="K138" s="11">
        <v>64</v>
      </c>
      <c r="L138" s="6">
        <f t="shared" si="12"/>
        <v>35</v>
      </c>
      <c r="M138" s="12">
        <v>44.85</v>
      </c>
      <c r="N138" s="13">
        <f t="shared" si="13"/>
        <v>4440.1500000000005</v>
      </c>
      <c r="O138" s="13">
        <f t="shared" si="14"/>
        <v>2870.4</v>
      </c>
      <c r="P138" s="14">
        <v>194.18037024</v>
      </c>
      <c r="Q138" s="8">
        <f t="shared" si="15"/>
        <v>19223.856653760002</v>
      </c>
      <c r="R138" s="8">
        <f t="shared" si="16"/>
        <v>12427.54369536</v>
      </c>
      <c r="S138" s="15">
        <f t="shared" si="17"/>
        <v>0.64646464646464652</v>
      </c>
    </row>
    <row r="139" spans="1:19" x14ac:dyDescent="0.25">
      <c r="A139" s="10" t="s">
        <v>376</v>
      </c>
      <c r="B139" s="10">
        <v>2406</v>
      </c>
      <c r="C139" s="10">
        <v>45889</v>
      </c>
      <c r="D139" s="10" t="s">
        <v>377</v>
      </c>
      <c r="E139" s="10" t="s">
        <v>378</v>
      </c>
      <c r="F139" s="10" t="s">
        <v>23</v>
      </c>
      <c r="G139" s="10" t="s">
        <v>12</v>
      </c>
      <c r="H139" s="10" t="s">
        <v>41</v>
      </c>
      <c r="I139" s="11">
        <v>310</v>
      </c>
      <c r="J139" s="11"/>
      <c r="K139" s="11">
        <v>208</v>
      </c>
      <c r="L139" s="6">
        <f t="shared" si="12"/>
        <v>102</v>
      </c>
      <c r="M139" s="12">
        <v>64.349999999999994</v>
      </c>
      <c r="N139" s="13">
        <f t="shared" si="13"/>
        <v>19948.5</v>
      </c>
      <c r="O139" s="13">
        <f t="shared" si="14"/>
        <v>13384.8</v>
      </c>
      <c r="P139" s="14">
        <v>352.24766639000001</v>
      </c>
      <c r="Q139" s="8">
        <f t="shared" si="15"/>
        <v>109196.7765809</v>
      </c>
      <c r="R139" s="8">
        <f t="shared" si="16"/>
        <v>73267.51460912</v>
      </c>
      <c r="S139" s="15">
        <f t="shared" si="17"/>
        <v>0.67096774193548392</v>
      </c>
    </row>
    <row r="140" spans="1:19" x14ac:dyDescent="0.25">
      <c r="A140" s="10" t="s">
        <v>379</v>
      </c>
      <c r="B140" s="10">
        <v>2407</v>
      </c>
      <c r="C140" s="10">
        <v>45891</v>
      </c>
      <c r="D140" s="10" t="s">
        <v>380</v>
      </c>
      <c r="E140" s="10" t="s">
        <v>381</v>
      </c>
      <c r="F140" s="10" t="s">
        <v>23</v>
      </c>
      <c r="G140" s="10" t="s">
        <v>12</v>
      </c>
      <c r="H140" s="10" t="s">
        <v>41</v>
      </c>
      <c r="I140" s="11">
        <v>302</v>
      </c>
      <c r="J140" s="11"/>
      <c r="K140" s="11">
        <v>208</v>
      </c>
      <c r="L140" s="6">
        <f t="shared" si="12"/>
        <v>94</v>
      </c>
      <c r="M140" s="12">
        <v>55.185000000000002</v>
      </c>
      <c r="N140" s="13">
        <f t="shared" si="13"/>
        <v>16665.87</v>
      </c>
      <c r="O140" s="13">
        <f t="shared" si="14"/>
        <v>11478.48</v>
      </c>
      <c r="P140" s="14">
        <v>160.64995662999999</v>
      </c>
      <c r="Q140" s="8">
        <f t="shared" si="15"/>
        <v>48516.286902259999</v>
      </c>
      <c r="R140" s="8">
        <f t="shared" si="16"/>
        <v>33415.190979039995</v>
      </c>
      <c r="S140" s="15">
        <f t="shared" si="17"/>
        <v>0.6887417218543046</v>
      </c>
    </row>
    <row r="141" spans="1:19" x14ac:dyDescent="0.25">
      <c r="A141" s="10" t="s">
        <v>382</v>
      </c>
      <c r="B141" s="10">
        <v>2408</v>
      </c>
      <c r="C141" s="10">
        <v>45892</v>
      </c>
      <c r="D141" s="10" t="s">
        <v>383</v>
      </c>
      <c r="E141" s="10" t="s">
        <v>384</v>
      </c>
      <c r="F141" s="10" t="s">
        <v>23</v>
      </c>
      <c r="G141" s="10" t="s">
        <v>12</v>
      </c>
      <c r="H141" s="10" t="s">
        <v>41</v>
      </c>
      <c r="I141" s="11">
        <v>304</v>
      </c>
      <c r="J141" s="11"/>
      <c r="K141" s="11">
        <v>208</v>
      </c>
      <c r="L141" s="6">
        <f t="shared" si="12"/>
        <v>96</v>
      </c>
      <c r="M141" s="12">
        <v>56.55</v>
      </c>
      <c r="N141" s="13">
        <f t="shared" si="13"/>
        <v>17191.2</v>
      </c>
      <c r="O141" s="13">
        <f t="shared" si="14"/>
        <v>11762.4</v>
      </c>
      <c r="P141" s="14">
        <v>213.30935833999999</v>
      </c>
      <c r="Q141" s="8">
        <f t="shared" si="15"/>
        <v>64846.044935359998</v>
      </c>
      <c r="R141" s="8">
        <f t="shared" si="16"/>
        <v>44368.346534719996</v>
      </c>
      <c r="S141" s="15">
        <f t="shared" si="17"/>
        <v>0.68421052631578949</v>
      </c>
    </row>
    <row r="142" spans="1:19" x14ac:dyDescent="0.25">
      <c r="A142" s="10" t="s">
        <v>385</v>
      </c>
      <c r="B142" s="10">
        <v>2409</v>
      </c>
      <c r="C142" s="10">
        <v>45893</v>
      </c>
      <c r="D142" s="10" t="s">
        <v>386</v>
      </c>
      <c r="E142" s="10" t="s">
        <v>387</v>
      </c>
      <c r="F142" s="10" t="s">
        <v>23</v>
      </c>
      <c r="G142" s="10" t="s">
        <v>12</v>
      </c>
      <c r="H142" s="10" t="s">
        <v>41</v>
      </c>
      <c r="I142" s="11">
        <v>72</v>
      </c>
      <c r="J142" s="11"/>
      <c r="K142" s="11">
        <v>0</v>
      </c>
      <c r="L142" s="6">
        <f t="shared" si="12"/>
        <v>72</v>
      </c>
      <c r="M142" s="12">
        <v>57.036999999999999</v>
      </c>
      <c r="N142" s="13">
        <f t="shared" si="13"/>
        <v>4106.6639999999998</v>
      </c>
      <c r="O142" s="13">
        <f t="shared" si="14"/>
        <v>0</v>
      </c>
      <c r="P142" s="14">
        <v>153.72551250999999</v>
      </c>
      <c r="Q142" s="8">
        <f t="shared" si="15"/>
        <v>11068.23690072</v>
      </c>
      <c r="R142" s="8">
        <f t="shared" si="16"/>
        <v>0</v>
      </c>
      <c r="S142" s="15">
        <f t="shared" si="17"/>
        <v>0</v>
      </c>
    </row>
    <row r="143" spans="1:19" x14ac:dyDescent="0.25">
      <c r="A143" s="10" t="s">
        <v>388</v>
      </c>
      <c r="B143" s="10">
        <v>2409</v>
      </c>
      <c r="C143" s="10">
        <v>45893</v>
      </c>
      <c r="D143" s="10" t="s">
        <v>386</v>
      </c>
      <c r="E143" s="10" t="s">
        <v>389</v>
      </c>
      <c r="F143" s="10" t="s">
        <v>23</v>
      </c>
      <c r="G143" s="10" t="s">
        <v>12</v>
      </c>
      <c r="H143" s="10" t="s">
        <v>41</v>
      </c>
      <c r="I143" s="11">
        <v>341</v>
      </c>
      <c r="J143" s="11"/>
      <c r="K143" s="11">
        <v>208</v>
      </c>
      <c r="L143" s="6">
        <f t="shared" si="12"/>
        <v>133</v>
      </c>
      <c r="M143" s="12">
        <v>57.036999999999999</v>
      </c>
      <c r="N143" s="13">
        <f t="shared" si="13"/>
        <v>19449.616999999998</v>
      </c>
      <c r="O143" s="13">
        <f t="shared" si="14"/>
        <v>11863.696</v>
      </c>
      <c r="P143" s="14">
        <v>186.00231853</v>
      </c>
      <c r="Q143" s="8">
        <f t="shared" si="15"/>
        <v>63426.790618729996</v>
      </c>
      <c r="R143" s="8">
        <f t="shared" si="16"/>
        <v>38688.48225424</v>
      </c>
      <c r="S143" s="15">
        <f t="shared" si="17"/>
        <v>0.60997067448680353</v>
      </c>
    </row>
    <row r="144" spans="1:19" x14ac:dyDescent="0.25">
      <c r="A144" s="10" t="s">
        <v>390</v>
      </c>
      <c r="B144" s="10">
        <v>2410</v>
      </c>
      <c r="C144" s="10">
        <v>13510</v>
      </c>
      <c r="D144" s="10" t="s">
        <v>391</v>
      </c>
      <c r="E144" s="10"/>
      <c r="F144" s="10" t="s">
        <v>23</v>
      </c>
      <c r="G144" s="10" t="s">
        <v>12</v>
      </c>
      <c r="H144" s="10" t="s">
        <v>41</v>
      </c>
      <c r="I144" s="11">
        <v>165</v>
      </c>
      <c r="J144" s="11"/>
      <c r="K144" s="11">
        <v>0</v>
      </c>
      <c r="L144" s="6">
        <f t="shared" si="12"/>
        <v>165</v>
      </c>
      <c r="M144" s="12">
        <v>15.015000000000001</v>
      </c>
      <c r="N144" s="13">
        <f t="shared" si="13"/>
        <v>2477.4749999999999</v>
      </c>
      <c r="O144" s="13">
        <f t="shared" si="14"/>
        <v>0</v>
      </c>
      <c r="P144" s="14">
        <v>109.70509511</v>
      </c>
      <c r="Q144" s="8">
        <f t="shared" si="15"/>
        <v>18101.340693149999</v>
      </c>
      <c r="R144" s="8">
        <f t="shared" si="16"/>
        <v>0</v>
      </c>
      <c r="S144" s="15">
        <f t="shared" si="17"/>
        <v>0</v>
      </c>
    </row>
    <row r="145" spans="1:19" x14ac:dyDescent="0.25">
      <c r="A145" s="10" t="s">
        <v>392</v>
      </c>
      <c r="B145" s="10">
        <v>2414</v>
      </c>
      <c r="C145" s="10">
        <v>65303</v>
      </c>
      <c r="D145" s="10" t="s">
        <v>393</v>
      </c>
      <c r="E145" s="10" t="s">
        <v>394</v>
      </c>
      <c r="F145" s="10" t="s">
        <v>23</v>
      </c>
      <c r="G145" s="10" t="s">
        <v>12</v>
      </c>
      <c r="H145" s="10" t="s">
        <v>41</v>
      </c>
      <c r="I145" s="11">
        <v>0</v>
      </c>
      <c r="J145" s="11"/>
      <c r="K145" s="11">
        <v>0</v>
      </c>
      <c r="L145" s="6">
        <f t="shared" si="12"/>
        <v>0</v>
      </c>
      <c r="M145" s="12">
        <v>53.04</v>
      </c>
      <c r="N145" s="13">
        <f t="shared" si="13"/>
        <v>0</v>
      </c>
      <c r="O145" s="13">
        <f t="shared" si="14"/>
        <v>0</v>
      </c>
      <c r="P145" s="14">
        <v>185.30255754000001</v>
      </c>
      <c r="Q145" s="8">
        <f t="shared" si="15"/>
        <v>0</v>
      </c>
      <c r="R145" s="8">
        <f t="shared" si="16"/>
        <v>0</v>
      </c>
      <c r="S145" s="15">
        <f t="shared" si="17"/>
        <v>0</v>
      </c>
    </row>
    <row r="146" spans="1:19" x14ac:dyDescent="0.25">
      <c r="A146" s="10" t="s">
        <v>395</v>
      </c>
      <c r="B146" s="10">
        <v>2415</v>
      </c>
      <c r="C146" s="10">
        <v>65942</v>
      </c>
      <c r="D146" s="10" t="s">
        <v>396</v>
      </c>
      <c r="E146" s="10"/>
      <c r="F146" s="10" t="s">
        <v>23</v>
      </c>
      <c r="G146" s="10" t="s">
        <v>12</v>
      </c>
      <c r="H146" s="10" t="s">
        <v>41</v>
      </c>
      <c r="I146" s="11">
        <v>0</v>
      </c>
      <c r="J146" s="11"/>
      <c r="K146" s="11">
        <v>0</v>
      </c>
      <c r="L146" s="6">
        <f t="shared" si="12"/>
        <v>0</v>
      </c>
      <c r="M146" s="12">
        <v>2.2810000000000001</v>
      </c>
      <c r="N146" s="13">
        <f t="shared" si="13"/>
        <v>0</v>
      </c>
      <c r="O146" s="13">
        <f t="shared" si="14"/>
        <v>0</v>
      </c>
      <c r="P146" s="14">
        <v>20.356343150000001</v>
      </c>
      <c r="Q146" s="8">
        <f t="shared" si="15"/>
        <v>0</v>
      </c>
      <c r="R146" s="8">
        <f t="shared" si="16"/>
        <v>0</v>
      </c>
      <c r="S146" s="15">
        <f t="shared" si="17"/>
        <v>0</v>
      </c>
    </row>
    <row r="147" spans="1:19" x14ac:dyDescent="0.25">
      <c r="A147" s="10" t="s">
        <v>397</v>
      </c>
      <c r="B147" s="10">
        <v>72566</v>
      </c>
      <c r="C147" s="10">
        <v>88119</v>
      </c>
      <c r="D147" s="10" t="s">
        <v>398</v>
      </c>
      <c r="E147" s="10" t="s">
        <v>399</v>
      </c>
      <c r="F147" s="10" t="s">
        <v>23</v>
      </c>
      <c r="G147" s="10" t="s">
        <v>12</v>
      </c>
      <c r="H147" s="10" t="s">
        <v>41</v>
      </c>
      <c r="I147" s="11">
        <v>853</v>
      </c>
      <c r="J147" s="11"/>
      <c r="K147" s="11">
        <v>649</v>
      </c>
      <c r="L147" s="6">
        <f t="shared" si="12"/>
        <v>204</v>
      </c>
      <c r="M147" s="12">
        <v>45.82</v>
      </c>
      <c r="N147" s="13">
        <f t="shared" si="13"/>
        <v>39084.46</v>
      </c>
      <c r="O147" s="13">
        <f t="shared" si="14"/>
        <v>29737.18</v>
      </c>
      <c r="P147" s="14">
        <v>135.21459025999999</v>
      </c>
      <c r="Q147" s="8">
        <f t="shared" si="15"/>
        <v>115338.04549177999</v>
      </c>
      <c r="R147" s="8">
        <f t="shared" si="16"/>
        <v>87754.269078739992</v>
      </c>
      <c r="S147" s="15">
        <f t="shared" si="17"/>
        <v>0.7608440797186401</v>
      </c>
    </row>
    <row r="148" spans="1:19" x14ac:dyDescent="0.25">
      <c r="A148" s="10" t="s">
        <v>400</v>
      </c>
      <c r="B148" s="10">
        <v>72566</v>
      </c>
      <c r="C148" s="10">
        <v>88119</v>
      </c>
      <c r="D148" s="10" t="s">
        <v>398</v>
      </c>
      <c r="E148" s="10" t="s">
        <v>401</v>
      </c>
      <c r="F148" s="10" t="s">
        <v>23</v>
      </c>
      <c r="G148" s="10" t="s">
        <v>12</v>
      </c>
      <c r="H148" s="10" t="s">
        <v>41</v>
      </c>
      <c r="I148" s="11">
        <v>390</v>
      </c>
      <c r="J148" s="11"/>
      <c r="K148" s="11">
        <v>0</v>
      </c>
      <c r="L148" s="6">
        <f t="shared" si="12"/>
        <v>390</v>
      </c>
      <c r="M148" s="12">
        <v>45.82</v>
      </c>
      <c r="N148" s="13">
        <f t="shared" si="13"/>
        <v>17869.8</v>
      </c>
      <c r="O148" s="13">
        <f t="shared" si="14"/>
        <v>0</v>
      </c>
      <c r="P148" s="14">
        <v>125.70478437</v>
      </c>
      <c r="Q148" s="8">
        <f t="shared" si="15"/>
        <v>49024.865904300001</v>
      </c>
      <c r="R148" s="8">
        <f t="shared" si="16"/>
        <v>0</v>
      </c>
      <c r="S148" s="15">
        <f t="shared" si="17"/>
        <v>0</v>
      </c>
    </row>
    <row r="149" spans="1:19" x14ac:dyDescent="0.25">
      <c r="A149" s="10" t="s">
        <v>402</v>
      </c>
      <c r="B149" s="10">
        <v>72567</v>
      </c>
      <c r="C149" s="10">
        <v>88120</v>
      </c>
      <c r="D149" s="10" t="s">
        <v>403</v>
      </c>
      <c r="E149" s="10" t="s">
        <v>404</v>
      </c>
      <c r="F149" s="10" t="s">
        <v>23</v>
      </c>
      <c r="G149" s="10" t="s">
        <v>12</v>
      </c>
      <c r="H149" s="10" t="s">
        <v>41</v>
      </c>
      <c r="I149" s="11">
        <v>864</v>
      </c>
      <c r="J149" s="11"/>
      <c r="K149" s="11">
        <v>649</v>
      </c>
      <c r="L149" s="6">
        <f t="shared" si="12"/>
        <v>215</v>
      </c>
      <c r="M149" s="12">
        <v>32.659999999999997</v>
      </c>
      <c r="N149" s="13">
        <f t="shared" si="13"/>
        <v>28218.239999999998</v>
      </c>
      <c r="O149" s="13">
        <f t="shared" si="14"/>
        <v>21196.339999999997</v>
      </c>
      <c r="P149" s="14">
        <v>131.51724338</v>
      </c>
      <c r="Q149" s="8">
        <f t="shared" si="15"/>
        <v>113630.89828031999</v>
      </c>
      <c r="R149" s="8">
        <f t="shared" si="16"/>
        <v>85354.690953619996</v>
      </c>
      <c r="S149" s="15">
        <f t="shared" si="17"/>
        <v>0.75115740740740744</v>
      </c>
    </row>
    <row r="150" spans="1:19" x14ac:dyDescent="0.25">
      <c r="A150" s="10" t="s">
        <v>405</v>
      </c>
      <c r="B150" s="10">
        <v>72567</v>
      </c>
      <c r="C150" s="10">
        <v>88120</v>
      </c>
      <c r="D150" s="10" t="s">
        <v>403</v>
      </c>
      <c r="E150" s="10" t="s">
        <v>406</v>
      </c>
      <c r="F150" s="10" t="s">
        <v>23</v>
      </c>
      <c r="G150" s="10" t="s">
        <v>12</v>
      </c>
      <c r="H150" s="10" t="s">
        <v>41</v>
      </c>
      <c r="I150" s="11">
        <v>378</v>
      </c>
      <c r="J150" s="11"/>
      <c r="K150" s="11">
        <v>338</v>
      </c>
      <c r="L150" s="6">
        <f t="shared" si="12"/>
        <v>40</v>
      </c>
      <c r="M150" s="12">
        <v>32.659999999999997</v>
      </c>
      <c r="N150" s="13">
        <f t="shared" si="13"/>
        <v>12345.48</v>
      </c>
      <c r="O150" s="13">
        <f t="shared" si="14"/>
        <v>11039.079999999998</v>
      </c>
      <c r="P150" s="14">
        <v>138.04830631999999</v>
      </c>
      <c r="Q150" s="8">
        <f t="shared" si="15"/>
        <v>52182.25978896</v>
      </c>
      <c r="R150" s="8">
        <f t="shared" si="16"/>
        <v>46660.327536159995</v>
      </c>
      <c r="S150" s="15">
        <f t="shared" si="17"/>
        <v>0.89417989417989419</v>
      </c>
    </row>
    <row r="151" spans="1:19" x14ac:dyDescent="0.25">
      <c r="A151" s="10" t="s">
        <v>407</v>
      </c>
      <c r="B151" s="10">
        <v>72568</v>
      </c>
      <c r="C151" s="10">
        <v>88966</v>
      </c>
      <c r="D151" s="10" t="s">
        <v>408</v>
      </c>
      <c r="E151" s="10" t="s">
        <v>409</v>
      </c>
      <c r="F151" s="10" t="s">
        <v>23</v>
      </c>
      <c r="G151" s="10" t="s">
        <v>12</v>
      </c>
      <c r="H151" s="10" t="s">
        <v>41</v>
      </c>
      <c r="I151" s="11">
        <v>63</v>
      </c>
      <c r="J151" s="11"/>
      <c r="K151" s="11">
        <v>0</v>
      </c>
      <c r="L151" s="6">
        <f t="shared" si="12"/>
        <v>63</v>
      </c>
      <c r="M151" s="12">
        <v>38.020000000000003</v>
      </c>
      <c r="N151" s="13">
        <f t="shared" si="13"/>
        <v>2395.2600000000002</v>
      </c>
      <c r="O151" s="13">
        <f t="shared" si="14"/>
        <v>0</v>
      </c>
      <c r="P151" s="14">
        <v>179.80563427999999</v>
      </c>
      <c r="Q151" s="8">
        <f t="shared" si="15"/>
        <v>11327.75495964</v>
      </c>
      <c r="R151" s="8">
        <f t="shared" si="16"/>
        <v>0</v>
      </c>
      <c r="S151" s="15">
        <f t="shared" si="17"/>
        <v>0</v>
      </c>
    </row>
    <row r="152" spans="1:19" x14ac:dyDescent="0.25">
      <c r="A152" s="10" t="s">
        <v>410</v>
      </c>
      <c r="B152" s="10">
        <v>72568</v>
      </c>
      <c r="C152" s="10">
        <v>88966</v>
      </c>
      <c r="D152" s="10" t="s">
        <v>408</v>
      </c>
      <c r="E152" s="10" t="s">
        <v>411</v>
      </c>
      <c r="F152" s="10" t="s">
        <v>23</v>
      </c>
      <c r="G152" s="10" t="s">
        <v>12</v>
      </c>
      <c r="H152" s="10" t="s">
        <v>41</v>
      </c>
      <c r="I152" s="11">
        <v>1</v>
      </c>
      <c r="J152" s="11"/>
      <c r="K152" s="11">
        <v>0</v>
      </c>
      <c r="L152" s="6">
        <f t="shared" si="12"/>
        <v>1</v>
      </c>
      <c r="M152" s="12">
        <v>38.020000000000003</v>
      </c>
      <c r="N152" s="13">
        <f t="shared" si="13"/>
        <v>38.020000000000003</v>
      </c>
      <c r="O152" s="13">
        <f t="shared" si="14"/>
        <v>0</v>
      </c>
      <c r="P152" s="14">
        <v>157.46918647000001</v>
      </c>
      <c r="Q152" s="8">
        <f t="shared" si="15"/>
        <v>157.46918647000001</v>
      </c>
      <c r="R152" s="8">
        <f t="shared" si="16"/>
        <v>0</v>
      </c>
      <c r="S152" s="15">
        <f t="shared" si="17"/>
        <v>0</v>
      </c>
    </row>
    <row r="153" spans="1:19" x14ac:dyDescent="0.25">
      <c r="A153" s="10" t="s">
        <v>412</v>
      </c>
      <c r="B153" s="10">
        <v>72569</v>
      </c>
      <c r="C153" s="10">
        <v>88122</v>
      </c>
      <c r="D153" s="10" t="s">
        <v>413</v>
      </c>
      <c r="E153" s="10" t="s">
        <v>414</v>
      </c>
      <c r="F153" s="10" t="s">
        <v>23</v>
      </c>
      <c r="G153" s="10" t="s">
        <v>12</v>
      </c>
      <c r="H153" s="10" t="s">
        <v>41</v>
      </c>
      <c r="I153" s="11">
        <v>827</v>
      </c>
      <c r="J153" s="11"/>
      <c r="K153" s="11">
        <v>649</v>
      </c>
      <c r="L153" s="6">
        <f t="shared" si="12"/>
        <v>178</v>
      </c>
      <c r="M153" s="12">
        <v>27.78</v>
      </c>
      <c r="N153" s="13">
        <f t="shared" si="13"/>
        <v>22974.06</v>
      </c>
      <c r="O153" s="13">
        <f t="shared" si="14"/>
        <v>18029.22</v>
      </c>
      <c r="P153" s="14">
        <v>109.72636328</v>
      </c>
      <c r="Q153" s="8">
        <f t="shared" si="15"/>
        <v>90743.702432560007</v>
      </c>
      <c r="R153" s="8">
        <f t="shared" si="16"/>
        <v>71212.409768719997</v>
      </c>
      <c r="S153" s="15">
        <f t="shared" si="17"/>
        <v>0.78476420798065294</v>
      </c>
    </row>
    <row r="154" spans="1:19" x14ac:dyDescent="0.25">
      <c r="A154" s="10" t="s">
        <v>415</v>
      </c>
      <c r="B154" s="10">
        <v>72569</v>
      </c>
      <c r="C154" s="10">
        <v>88122</v>
      </c>
      <c r="D154" s="10" t="s">
        <v>413</v>
      </c>
      <c r="E154" s="10" t="s">
        <v>416</v>
      </c>
      <c r="F154" s="10" t="s">
        <v>23</v>
      </c>
      <c r="G154" s="10" t="s">
        <v>12</v>
      </c>
      <c r="H154" s="10" t="s">
        <v>41</v>
      </c>
      <c r="I154" s="11">
        <v>396</v>
      </c>
      <c r="J154" s="11"/>
      <c r="K154" s="11">
        <v>339</v>
      </c>
      <c r="L154" s="6">
        <f t="shared" si="12"/>
        <v>57</v>
      </c>
      <c r="M154" s="12">
        <v>27.78</v>
      </c>
      <c r="N154" s="13">
        <f t="shared" si="13"/>
        <v>11000.880000000001</v>
      </c>
      <c r="O154" s="13">
        <f t="shared" si="14"/>
        <v>9417.42</v>
      </c>
      <c r="P154" s="14">
        <v>115.21357647000001</v>
      </c>
      <c r="Q154" s="8">
        <f t="shared" si="15"/>
        <v>45624.576282120004</v>
      </c>
      <c r="R154" s="8">
        <f t="shared" si="16"/>
        <v>39057.402423330001</v>
      </c>
      <c r="S154" s="15">
        <f t="shared" si="17"/>
        <v>0.85606060606060608</v>
      </c>
    </row>
    <row r="155" spans="1:19" x14ac:dyDescent="0.25">
      <c r="A155" s="10" t="s">
        <v>417</v>
      </c>
      <c r="B155" s="10">
        <v>72572</v>
      </c>
      <c r="C155" s="10">
        <v>88123</v>
      </c>
      <c r="D155" s="10" t="s">
        <v>418</v>
      </c>
      <c r="E155" s="10" t="s">
        <v>419</v>
      </c>
      <c r="F155" s="10" t="s">
        <v>23</v>
      </c>
      <c r="G155" s="10" t="s">
        <v>12</v>
      </c>
      <c r="H155" s="10" t="s">
        <v>41</v>
      </c>
      <c r="I155" s="11">
        <v>688</v>
      </c>
      <c r="J155" s="11"/>
      <c r="K155" s="11">
        <v>688</v>
      </c>
      <c r="L155" s="6">
        <f t="shared" si="12"/>
        <v>0</v>
      </c>
      <c r="M155" s="12">
        <v>17.120999999999999</v>
      </c>
      <c r="N155" s="13">
        <f t="shared" si="13"/>
        <v>11779.248</v>
      </c>
      <c r="O155" s="13">
        <f t="shared" si="14"/>
        <v>11779.248</v>
      </c>
      <c r="P155" s="14">
        <v>154.50608905999999</v>
      </c>
      <c r="Q155" s="8">
        <f t="shared" si="15"/>
        <v>106300.18927327999</v>
      </c>
      <c r="R155" s="8">
        <f t="shared" si="16"/>
        <v>106300.18927327999</v>
      </c>
      <c r="S155" s="15">
        <f t="shared" si="17"/>
        <v>1</v>
      </c>
    </row>
    <row r="156" spans="1:19" x14ac:dyDescent="0.25">
      <c r="A156" s="10" t="s">
        <v>420</v>
      </c>
      <c r="B156" s="10">
        <v>72572</v>
      </c>
      <c r="C156" s="10">
        <v>88123</v>
      </c>
      <c r="D156" s="10" t="s">
        <v>418</v>
      </c>
      <c r="E156" s="10" t="s">
        <v>421</v>
      </c>
      <c r="F156" s="10" t="s">
        <v>23</v>
      </c>
      <c r="G156" s="10" t="s">
        <v>12</v>
      </c>
      <c r="H156" s="10" t="s">
        <v>41</v>
      </c>
      <c r="I156" s="11">
        <v>360</v>
      </c>
      <c r="J156" s="11"/>
      <c r="K156" s="11">
        <v>360</v>
      </c>
      <c r="L156" s="6">
        <f t="shared" si="12"/>
        <v>0</v>
      </c>
      <c r="M156" s="12">
        <v>17.120999999999999</v>
      </c>
      <c r="N156" s="13">
        <f t="shared" si="13"/>
        <v>6163.5599999999995</v>
      </c>
      <c r="O156" s="13">
        <f t="shared" si="14"/>
        <v>6163.5599999999995</v>
      </c>
      <c r="P156" s="14">
        <v>155.13006683</v>
      </c>
      <c r="Q156" s="8">
        <f t="shared" si="15"/>
        <v>55846.824058800004</v>
      </c>
      <c r="R156" s="8">
        <f t="shared" si="16"/>
        <v>55846.824058800004</v>
      </c>
      <c r="S156" s="15">
        <f t="shared" si="17"/>
        <v>1</v>
      </c>
    </row>
    <row r="157" spans="1:19" x14ac:dyDescent="0.25">
      <c r="A157" s="10" t="s">
        <v>422</v>
      </c>
      <c r="B157" s="10">
        <v>72594</v>
      </c>
      <c r="C157" s="10">
        <v>85420</v>
      </c>
      <c r="D157" s="10" t="s">
        <v>423</v>
      </c>
      <c r="E157" s="10" t="s">
        <v>424</v>
      </c>
      <c r="F157" s="10" t="s">
        <v>23</v>
      </c>
      <c r="G157" s="10" t="s">
        <v>12</v>
      </c>
      <c r="H157" s="10" t="s">
        <v>41</v>
      </c>
      <c r="I157" s="11">
        <v>544</v>
      </c>
      <c r="J157" s="11"/>
      <c r="K157" s="11">
        <v>544</v>
      </c>
      <c r="L157" s="6">
        <f t="shared" si="12"/>
        <v>0</v>
      </c>
      <c r="M157" s="12">
        <v>70.98</v>
      </c>
      <c r="N157" s="13">
        <f t="shared" si="13"/>
        <v>38613.120000000003</v>
      </c>
      <c r="O157" s="13">
        <f t="shared" si="14"/>
        <v>38613.120000000003</v>
      </c>
      <c r="P157" s="14">
        <v>256.88387153999997</v>
      </c>
      <c r="Q157" s="8">
        <f t="shared" si="15"/>
        <v>139744.82611775998</v>
      </c>
      <c r="R157" s="8">
        <f t="shared" si="16"/>
        <v>139744.82611775998</v>
      </c>
      <c r="S157" s="15">
        <f t="shared" si="17"/>
        <v>1</v>
      </c>
    </row>
    <row r="158" spans="1:19" x14ac:dyDescent="0.25">
      <c r="A158" s="10" t="s">
        <v>425</v>
      </c>
      <c r="B158" s="10">
        <v>72594</v>
      </c>
      <c r="C158" s="10">
        <v>85420</v>
      </c>
      <c r="D158" s="10" t="s">
        <v>423</v>
      </c>
      <c r="E158" s="10" t="s">
        <v>426</v>
      </c>
      <c r="F158" s="10" t="s">
        <v>23</v>
      </c>
      <c r="G158" s="10" t="s">
        <v>12</v>
      </c>
      <c r="H158" s="10" t="s">
        <v>41</v>
      </c>
      <c r="I158" s="11">
        <v>54</v>
      </c>
      <c r="J158" s="11"/>
      <c r="K158" s="11">
        <v>54</v>
      </c>
      <c r="L158" s="6">
        <f t="shared" si="12"/>
        <v>0</v>
      </c>
      <c r="M158" s="12">
        <v>70.98</v>
      </c>
      <c r="N158" s="13">
        <f t="shared" si="13"/>
        <v>3832.92</v>
      </c>
      <c r="O158" s="13">
        <f t="shared" si="14"/>
        <v>3832.92</v>
      </c>
      <c r="P158" s="14">
        <v>260.11223777999999</v>
      </c>
      <c r="Q158" s="8">
        <f t="shared" si="15"/>
        <v>14046.060840119999</v>
      </c>
      <c r="R158" s="8">
        <f t="shared" si="16"/>
        <v>14046.060840119999</v>
      </c>
      <c r="S158" s="15">
        <f t="shared" si="17"/>
        <v>1</v>
      </c>
    </row>
    <row r="159" spans="1:19" x14ac:dyDescent="0.25">
      <c r="A159" s="10" t="s">
        <v>427</v>
      </c>
      <c r="B159" s="10">
        <v>72595</v>
      </c>
      <c r="C159" s="10">
        <v>85421</v>
      </c>
      <c r="D159" s="10" t="s">
        <v>428</v>
      </c>
      <c r="E159" s="10" t="s">
        <v>429</v>
      </c>
      <c r="F159" s="10" t="s">
        <v>23</v>
      </c>
      <c r="G159" s="10" t="s">
        <v>12</v>
      </c>
      <c r="H159" s="10" t="s">
        <v>41</v>
      </c>
      <c r="I159" s="11">
        <v>513</v>
      </c>
      <c r="J159" s="11"/>
      <c r="K159" s="11">
        <v>0</v>
      </c>
      <c r="L159" s="6">
        <f t="shared" si="12"/>
        <v>513</v>
      </c>
      <c r="M159" s="12">
        <v>62.106999999999999</v>
      </c>
      <c r="N159" s="13">
        <f t="shared" si="13"/>
        <v>31860.891</v>
      </c>
      <c r="O159" s="13">
        <f t="shared" si="14"/>
        <v>0</v>
      </c>
      <c r="P159" s="14">
        <v>195.45271898999999</v>
      </c>
      <c r="Q159" s="8">
        <f t="shared" si="15"/>
        <v>100267.24484186999</v>
      </c>
      <c r="R159" s="8">
        <f t="shared" si="16"/>
        <v>0</v>
      </c>
      <c r="S159" s="15">
        <f t="shared" si="17"/>
        <v>0</v>
      </c>
    </row>
    <row r="160" spans="1:19" x14ac:dyDescent="0.25">
      <c r="A160" s="10" t="s">
        <v>430</v>
      </c>
      <c r="B160" s="10">
        <v>72595</v>
      </c>
      <c r="C160" s="10">
        <v>85421</v>
      </c>
      <c r="D160" s="10" t="s">
        <v>428</v>
      </c>
      <c r="E160" s="10" t="s">
        <v>431</v>
      </c>
      <c r="F160" s="10" t="s">
        <v>23</v>
      </c>
      <c r="G160" s="10" t="s">
        <v>12</v>
      </c>
      <c r="H160" s="10" t="s">
        <v>41</v>
      </c>
      <c r="I160" s="11">
        <v>896</v>
      </c>
      <c r="J160" s="11"/>
      <c r="K160" s="11">
        <v>476</v>
      </c>
      <c r="L160" s="6">
        <f t="shared" si="12"/>
        <v>420</v>
      </c>
      <c r="M160" s="12">
        <v>62.106999999999999</v>
      </c>
      <c r="N160" s="13">
        <f t="shared" si="13"/>
        <v>55647.872000000003</v>
      </c>
      <c r="O160" s="13">
        <f t="shared" si="14"/>
        <v>29562.932000000001</v>
      </c>
      <c r="P160" s="14">
        <v>202.99810411000001</v>
      </c>
      <c r="Q160" s="8">
        <f t="shared" si="15"/>
        <v>181886.30128256002</v>
      </c>
      <c r="R160" s="8">
        <f t="shared" si="16"/>
        <v>96627.097556360008</v>
      </c>
      <c r="S160" s="15">
        <f t="shared" si="17"/>
        <v>0.53125</v>
      </c>
    </row>
    <row r="161" spans="1:19" x14ac:dyDescent="0.25">
      <c r="A161" s="10" t="s">
        <v>432</v>
      </c>
      <c r="B161" s="10">
        <v>72595</v>
      </c>
      <c r="C161" s="10">
        <v>85421</v>
      </c>
      <c r="D161" s="10" t="s">
        <v>428</v>
      </c>
      <c r="E161" s="10" t="s">
        <v>433</v>
      </c>
      <c r="F161" s="10" t="s">
        <v>23</v>
      </c>
      <c r="G161" s="10" t="s">
        <v>12</v>
      </c>
      <c r="H161" s="10" t="s">
        <v>41</v>
      </c>
      <c r="I161" s="11">
        <v>269</v>
      </c>
      <c r="J161" s="11"/>
      <c r="K161" s="11">
        <v>269</v>
      </c>
      <c r="L161" s="6">
        <f t="shared" si="12"/>
        <v>0</v>
      </c>
      <c r="M161" s="12">
        <v>62.106999999999999</v>
      </c>
      <c r="N161" s="13">
        <f t="shared" si="13"/>
        <v>16706.782999999999</v>
      </c>
      <c r="O161" s="13">
        <f t="shared" si="14"/>
        <v>16706.782999999999</v>
      </c>
      <c r="P161" s="14">
        <v>221.24580889000001</v>
      </c>
      <c r="Q161" s="8">
        <f t="shared" si="15"/>
        <v>59515.12259141</v>
      </c>
      <c r="R161" s="8">
        <f t="shared" si="16"/>
        <v>59515.12259141</v>
      </c>
      <c r="S161" s="15">
        <f t="shared" si="17"/>
        <v>1</v>
      </c>
    </row>
    <row r="162" spans="1:19" x14ac:dyDescent="0.25">
      <c r="A162" s="10" t="s">
        <v>434</v>
      </c>
      <c r="B162" s="10">
        <v>72596</v>
      </c>
      <c r="C162" s="10">
        <v>65506</v>
      </c>
      <c r="D162" s="10" t="s">
        <v>435</v>
      </c>
      <c r="E162" s="10"/>
      <c r="F162" s="10" t="s">
        <v>23</v>
      </c>
      <c r="G162" s="10" t="s">
        <v>12</v>
      </c>
      <c r="H162" s="10" t="s">
        <v>41</v>
      </c>
      <c r="I162" s="11">
        <v>2928</v>
      </c>
      <c r="J162" s="11"/>
      <c r="K162" s="11">
        <v>0</v>
      </c>
      <c r="L162" s="6">
        <f t="shared" si="12"/>
        <v>2928</v>
      </c>
      <c r="M162" s="12">
        <v>6.1230000000000002</v>
      </c>
      <c r="N162" s="13">
        <f t="shared" si="13"/>
        <v>17928.144</v>
      </c>
      <c r="O162" s="13">
        <f t="shared" si="14"/>
        <v>0</v>
      </c>
      <c r="P162" s="14">
        <v>49.357086320000001</v>
      </c>
      <c r="Q162" s="8">
        <f t="shared" si="15"/>
        <v>144517.54874495999</v>
      </c>
      <c r="R162" s="8">
        <f t="shared" si="16"/>
        <v>0</v>
      </c>
      <c r="S162" s="15">
        <f t="shared" si="17"/>
        <v>0</v>
      </c>
    </row>
    <row r="163" spans="1:19" x14ac:dyDescent="0.25">
      <c r="A163" s="10" t="s">
        <v>436</v>
      </c>
      <c r="B163" s="10">
        <v>72623</v>
      </c>
      <c r="C163" s="10">
        <v>90636</v>
      </c>
      <c r="D163" s="10" t="s">
        <v>437</v>
      </c>
      <c r="E163" s="10"/>
      <c r="F163" s="10" t="s">
        <v>24</v>
      </c>
      <c r="G163" s="10" t="s">
        <v>12</v>
      </c>
      <c r="H163" s="10" t="s">
        <v>41</v>
      </c>
      <c r="I163" s="11">
        <v>0</v>
      </c>
      <c r="J163" s="11"/>
      <c r="K163" s="11">
        <v>0</v>
      </c>
      <c r="L163" s="6">
        <f t="shared" si="12"/>
        <v>0</v>
      </c>
      <c r="M163" s="12">
        <v>5.85</v>
      </c>
      <c r="N163" s="13">
        <f t="shared" si="13"/>
        <v>0</v>
      </c>
      <c r="O163" s="13">
        <f t="shared" si="14"/>
        <v>0</v>
      </c>
      <c r="P163" s="14">
        <v>35.333699899999999</v>
      </c>
      <c r="Q163" s="8">
        <f t="shared" si="15"/>
        <v>0</v>
      </c>
      <c r="R163" s="8">
        <f t="shared" si="16"/>
        <v>0</v>
      </c>
      <c r="S163" s="15">
        <f t="shared" si="17"/>
        <v>0</v>
      </c>
    </row>
    <row r="164" spans="1:19" x14ac:dyDescent="0.25">
      <c r="A164" s="10" t="s">
        <v>438</v>
      </c>
      <c r="B164" s="10">
        <v>72643</v>
      </c>
      <c r="C164" s="10">
        <v>87844</v>
      </c>
      <c r="D164" s="10" t="s">
        <v>439</v>
      </c>
      <c r="E164" s="10" t="s">
        <v>440</v>
      </c>
      <c r="F164" s="10" t="s">
        <v>23</v>
      </c>
      <c r="G164" s="10" t="s">
        <v>12</v>
      </c>
      <c r="H164" s="10" t="s">
        <v>41</v>
      </c>
      <c r="I164" s="11">
        <v>0</v>
      </c>
      <c r="J164" s="11"/>
      <c r="K164" s="11">
        <v>0</v>
      </c>
      <c r="L164" s="6">
        <f t="shared" si="12"/>
        <v>0</v>
      </c>
      <c r="M164" s="12">
        <v>62.360999999999997</v>
      </c>
      <c r="N164" s="13">
        <f t="shared" si="13"/>
        <v>0</v>
      </c>
      <c r="O164" s="13">
        <f t="shared" si="14"/>
        <v>0</v>
      </c>
      <c r="P164" s="14">
        <v>184.46506581</v>
      </c>
      <c r="Q164" s="8">
        <f t="shared" si="15"/>
        <v>0</v>
      </c>
      <c r="R164" s="8">
        <f t="shared" si="16"/>
        <v>0</v>
      </c>
      <c r="S164" s="15">
        <f t="shared" si="17"/>
        <v>0</v>
      </c>
    </row>
    <row r="165" spans="1:19" x14ac:dyDescent="0.25">
      <c r="A165" s="10" t="s">
        <v>441</v>
      </c>
      <c r="B165" s="10">
        <v>72645</v>
      </c>
      <c r="C165" s="10">
        <v>87845</v>
      </c>
      <c r="D165" s="10" t="s">
        <v>442</v>
      </c>
      <c r="E165" s="10" t="s">
        <v>443</v>
      </c>
      <c r="F165" s="10" t="s">
        <v>23</v>
      </c>
      <c r="G165" s="10" t="s">
        <v>12</v>
      </c>
      <c r="H165" s="10" t="s">
        <v>41</v>
      </c>
      <c r="I165" s="11">
        <v>0</v>
      </c>
      <c r="J165" s="11"/>
      <c r="K165" s="11">
        <v>0</v>
      </c>
      <c r="L165" s="6">
        <f t="shared" si="12"/>
        <v>0</v>
      </c>
      <c r="M165" s="12">
        <v>45.805</v>
      </c>
      <c r="N165" s="13">
        <f t="shared" si="13"/>
        <v>0</v>
      </c>
      <c r="O165" s="13">
        <f t="shared" si="14"/>
        <v>0</v>
      </c>
      <c r="P165" s="14">
        <v>132.06029692999999</v>
      </c>
      <c r="Q165" s="8">
        <f t="shared" si="15"/>
        <v>0</v>
      </c>
      <c r="R165" s="8">
        <f t="shared" si="16"/>
        <v>0</v>
      </c>
      <c r="S165" s="15">
        <f t="shared" si="17"/>
        <v>0</v>
      </c>
    </row>
    <row r="166" spans="1:19" x14ac:dyDescent="0.25">
      <c r="A166" s="10" t="s">
        <v>444</v>
      </c>
      <c r="B166" s="10">
        <v>72645</v>
      </c>
      <c r="C166" s="10">
        <v>87845</v>
      </c>
      <c r="D166" s="10" t="s">
        <v>442</v>
      </c>
      <c r="E166" s="10" t="s">
        <v>445</v>
      </c>
      <c r="F166" s="10" t="s">
        <v>23</v>
      </c>
      <c r="G166" s="10" t="s">
        <v>12</v>
      </c>
      <c r="H166" s="10" t="s">
        <v>41</v>
      </c>
      <c r="I166" s="11">
        <v>0</v>
      </c>
      <c r="J166" s="11"/>
      <c r="K166" s="11">
        <v>0</v>
      </c>
      <c r="L166" s="6">
        <f t="shared" si="12"/>
        <v>0</v>
      </c>
      <c r="M166" s="12">
        <v>45.805</v>
      </c>
      <c r="N166" s="13">
        <f t="shared" si="13"/>
        <v>0</v>
      </c>
      <c r="O166" s="13">
        <f t="shared" si="14"/>
        <v>0</v>
      </c>
      <c r="P166" s="14">
        <v>130.90029693</v>
      </c>
      <c r="Q166" s="8">
        <f t="shared" si="15"/>
        <v>0</v>
      </c>
      <c r="R166" s="8">
        <f t="shared" si="16"/>
        <v>0</v>
      </c>
      <c r="S166" s="15">
        <f t="shared" si="17"/>
        <v>0</v>
      </c>
    </row>
    <row r="167" spans="1:19" x14ac:dyDescent="0.25">
      <c r="A167" s="10" t="s">
        <v>446</v>
      </c>
      <c r="B167" s="10">
        <v>72659</v>
      </c>
      <c r="C167" s="10">
        <v>87139</v>
      </c>
      <c r="D167" s="10" t="s">
        <v>447</v>
      </c>
      <c r="E167" s="10" t="s">
        <v>448</v>
      </c>
      <c r="F167" s="10" t="s">
        <v>22</v>
      </c>
      <c r="G167" s="10" t="s">
        <v>12</v>
      </c>
      <c r="H167" s="10" t="s">
        <v>41</v>
      </c>
      <c r="I167" s="11">
        <v>0</v>
      </c>
      <c r="J167" s="11"/>
      <c r="K167" s="11">
        <v>0</v>
      </c>
      <c r="L167" s="6">
        <f t="shared" si="12"/>
        <v>0</v>
      </c>
      <c r="M167" s="12">
        <v>9.3010000000000002</v>
      </c>
      <c r="N167" s="13">
        <f t="shared" si="13"/>
        <v>0</v>
      </c>
      <c r="O167" s="13">
        <f t="shared" si="14"/>
        <v>0</v>
      </c>
      <c r="P167" s="14">
        <v>35.101477920000001</v>
      </c>
      <c r="Q167" s="8">
        <f t="shared" si="15"/>
        <v>0</v>
      </c>
      <c r="R167" s="8">
        <f t="shared" si="16"/>
        <v>0</v>
      </c>
      <c r="S167" s="15">
        <f t="shared" si="17"/>
        <v>0</v>
      </c>
    </row>
    <row r="168" spans="1:19" x14ac:dyDescent="0.25">
      <c r="A168" s="10" t="s">
        <v>449</v>
      </c>
      <c r="B168" s="10">
        <v>72661</v>
      </c>
      <c r="C168" s="10">
        <v>87914</v>
      </c>
      <c r="D168" s="10" t="s">
        <v>450</v>
      </c>
      <c r="E168" s="10" t="s">
        <v>451</v>
      </c>
      <c r="F168" s="10" t="s">
        <v>23</v>
      </c>
      <c r="G168" s="10" t="s">
        <v>12</v>
      </c>
      <c r="H168" s="10" t="s">
        <v>41</v>
      </c>
      <c r="I168" s="11">
        <v>579</v>
      </c>
      <c r="J168" s="11"/>
      <c r="K168" s="11">
        <v>579</v>
      </c>
      <c r="L168" s="6">
        <f t="shared" si="12"/>
        <v>0</v>
      </c>
      <c r="M168" s="12">
        <v>19.986999999999998</v>
      </c>
      <c r="N168" s="13">
        <f t="shared" si="13"/>
        <v>11572.472999999998</v>
      </c>
      <c r="O168" s="13">
        <f t="shared" si="14"/>
        <v>11572.472999999998</v>
      </c>
      <c r="P168" s="14">
        <v>166.29357046000001</v>
      </c>
      <c r="Q168" s="8">
        <f t="shared" si="15"/>
        <v>96283.977296340003</v>
      </c>
      <c r="R168" s="8">
        <f t="shared" si="16"/>
        <v>96283.977296340003</v>
      </c>
      <c r="S168" s="15">
        <f t="shared" si="17"/>
        <v>1</v>
      </c>
    </row>
    <row r="169" spans="1:19" x14ac:dyDescent="0.25">
      <c r="A169" s="10" t="s">
        <v>452</v>
      </c>
      <c r="B169" s="10">
        <v>72662</v>
      </c>
      <c r="C169" s="10">
        <v>87915</v>
      </c>
      <c r="D169" s="10" t="s">
        <v>453</v>
      </c>
      <c r="E169" s="10" t="s">
        <v>454</v>
      </c>
      <c r="F169" s="10" t="s">
        <v>23</v>
      </c>
      <c r="G169" s="10" t="s">
        <v>12</v>
      </c>
      <c r="H169" s="10" t="s">
        <v>41</v>
      </c>
      <c r="I169" s="11">
        <v>0</v>
      </c>
      <c r="J169" s="11"/>
      <c r="K169" s="11">
        <v>0</v>
      </c>
      <c r="L169" s="6">
        <f t="shared" si="12"/>
        <v>0</v>
      </c>
      <c r="M169" s="12">
        <v>19.5</v>
      </c>
      <c r="N169" s="13">
        <f t="shared" si="13"/>
        <v>0</v>
      </c>
      <c r="O169" s="13">
        <f t="shared" si="14"/>
        <v>0</v>
      </c>
      <c r="P169" s="14">
        <v>31.42235273</v>
      </c>
      <c r="Q169" s="8">
        <f t="shared" si="15"/>
        <v>0</v>
      </c>
      <c r="R169" s="8">
        <f t="shared" si="16"/>
        <v>0</v>
      </c>
      <c r="S169" s="15">
        <f t="shared" si="17"/>
        <v>0</v>
      </c>
    </row>
    <row r="170" spans="1:19" x14ac:dyDescent="0.25">
      <c r="A170" s="10" t="s">
        <v>455</v>
      </c>
      <c r="B170" s="10">
        <v>72663</v>
      </c>
      <c r="C170" s="10">
        <v>87849</v>
      </c>
      <c r="D170" s="10" t="s">
        <v>456</v>
      </c>
      <c r="E170" s="10" t="s">
        <v>457</v>
      </c>
      <c r="F170" s="10" t="s">
        <v>23</v>
      </c>
      <c r="G170" s="10" t="s">
        <v>12</v>
      </c>
      <c r="H170" s="10" t="s">
        <v>41</v>
      </c>
      <c r="I170" s="11">
        <v>177</v>
      </c>
      <c r="J170" s="11"/>
      <c r="K170" s="11">
        <v>144</v>
      </c>
      <c r="L170" s="6">
        <f t="shared" si="12"/>
        <v>33</v>
      </c>
      <c r="M170" s="12">
        <v>39.468000000000004</v>
      </c>
      <c r="N170" s="13">
        <f t="shared" si="13"/>
        <v>6985.8360000000002</v>
      </c>
      <c r="O170" s="13">
        <f t="shared" si="14"/>
        <v>5683.3920000000007</v>
      </c>
      <c r="P170" s="14">
        <v>170.66076692999999</v>
      </c>
      <c r="Q170" s="8">
        <f t="shared" si="15"/>
        <v>30206.955746609998</v>
      </c>
      <c r="R170" s="8">
        <f t="shared" si="16"/>
        <v>24575.150437919998</v>
      </c>
      <c r="S170" s="15">
        <f t="shared" si="17"/>
        <v>0.81355932203389836</v>
      </c>
    </row>
    <row r="171" spans="1:19" x14ac:dyDescent="0.25">
      <c r="A171" s="10" t="s">
        <v>458</v>
      </c>
      <c r="B171" s="10">
        <v>72728</v>
      </c>
      <c r="C171" s="10">
        <v>88259</v>
      </c>
      <c r="D171" s="10" t="s">
        <v>459</v>
      </c>
      <c r="E171" s="10" t="s">
        <v>460</v>
      </c>
      <c r="F171" s="10" t="s">
        <v>23</v>
      </c>
      <c r="G171" s="10" t="s">
        <v>12</v>
      </c>
      <c r="H171" s="10" t="s">
        <v>41</v>
      </c>
      <c r="I171" s="11">
        <v>0</v>
      </c>
      <c r="J171" s="11"/>
      <c r="K171" s="11">
        <v>0</v>
      </c>
      <c r="L171" s="6">
        <f t="shared" si="12"/>
        <v>0</v>
      </c>
      <c r="M171" s="12">
        <v>55.575000000000003</v>
      </c>
      <c r="N171" s="13">
        <f t="shared" si="13"/>
        <v>0</v>
      </c>
      <c r="O171" s="13">
        <f t="shared" si="14"/>
        <v>0</v>
      </c>
      <c r="P171" s="14">
        <v>167.39650331000001</v>
      </c>
      <c r="Q171" s="8">
        <f t="shared" si="15"/>
        <v>0</v>
      </c>
      <c r="R171" s="8">
        <f t="shared" si="16"/>
        <v>0</v>
      </c>
      <c r="S171" s="15">
        <f t="shared" si="17"/>
        <v>0</v>
      </c>
    </row>
    <row r="172" spans="1:19" x14ac:dyDescent="0.25">
      <c r="A172" s="10" t="s">
        <v>461</v>
      </c>
      <c r="B172" s="10">
        <v>72734</v>
      </c>
      <c r="C172" s="10">
        <v>88261</v>
      </c>
      <c r="D172" s="10" t="s">
        <v>462</v>
      </c>
      <c r="E172" s="10" t="s">
        <v>463</v>
      </c>
      <c r="F172" s="10" t="s">
        <v>23</v>
      </c>
      <c r="G172" s="10" t="s">
        <v>12</v>
      </c>
      <c r="H172" s="10" t="s">
        <v>41</v>
      </c>
      <c r="I172" s="11">
        <v>0</v>
      </c>
      <c r="J172" s="11"/>
      <c r="K172" s="11">
        <v>0</v>
      </c>
      <c r="L172" s="6">
        <f t="shared" si="12"/>
        <v>0</v>
      </c>
      <c r="M172" s="12">
        <v>9.0280000000000005</v>
      </c>
      <c r="N172" s="13">
        <f t="shared" si="13"/>
        <v>0</v>
      </c>
      <c r="O172" s="13">
        <f t="shared" si="14"/>
        <v>0</v>
      </c>
      <c r="P172" s="14">
        <v>74.437052989999998</v>
      </c>
      <c r="Q172" s="8">
        <f t="shared" si="15"/>
        <v>0</v>
      </c>
      <c r="R172" s="8">
        <f t="shared" si="16"/>
        <v>0</v>
      </c>
      <c r="S172" s="15">
        <f t="shared" si="17"/>
        <v>0</v>
      </c>
    </row>
    <row r="173" spans="1:19" x14ac:dyDescent="0.25">
      <c r="A173" s="10" t="s">
        <v>464</v>
      </c>
      <c r="B173" s="10">
        <v>72737</v>
      </c>
      <c r="C173" s="10">
        <v>88262</v>
      </c>
      <c r="D173" s="10" t="s">
        <v>465</v>
      </c>
      <c r="E173" s="10" t="s">
        <v>466</v>
      </c>
      <c r="F173" s="10" t="s">
        <v>23</v>
      </c>
      <c r="G173" s="10" t="s">
        <v>12</v>
      </c>
      <c r="H173" s="10" t="s">
        <v>41</v>
      </c>
      <c r="I173" s="11">
        <v>0</v>
      </c>
      <c r="J173" s="11"/>
      <c r="K173" s="11">
        <v>0</v>
      </c>
      <c r="L173" s="6">
        <f t="shared" si="12"/>
        <v>0</v>
      </c>
      <c r="M173" s="12">
        <v>14.04</v>
      </c>
      <c r="N173" s="13">
        <f t="shared" si="13"/>
        <v>0</v>
      </c>
      <c r="O173" s="13">
        <f t="shared" si="14"/>
        <v>0</v>
      </c>
      <c r="P173" s="14">
        <v>50.401853469999999</v>
      </c>
      <c r="Q173" s="8">
        <f t="shared" si="15"/>
        <v>0</v>
      </c>
      <c r="R173" s="8">
        <f t="shared" si="16"/>
        <v>0</v>
      </c>
      <c r="S173" s="15">
        <f t="shared" si="17"/>
        <v>0</v>
      </c>
    </row>
    <row r="174" spans="1:19" x14ac:dyDescent="0.25">
      <c r="A174" s="10" t="s">
        <v>467</v>
      </c>
      <c r="B174" s="10">
        <v>72758</v>
      </c>
      <c r="C174" s="10">
        <v>88251</v>
      </c>
      <c r="D174" s="10" t="s">
        <v>468</v>
      </c>
      <c r="E174" s="10" t="s">
        <v>469</v>
      </c>
      <c r="F174" s="10" t="s">
        <v>22</v>
      </c>
      <c r="G174" s="10" t="s">
        <v>12</v>
      </c>
      <c r="H174" s="10" t="s">
        <v>41</v>
      </c>
      <c r="I174" s="11">
        <v>0</v>
      </c>
      <c r="J174" s="11"/>
      <c r="K174" s="11">
        <v>0</v>
      </c>
      <c r="L174" s="6">
        <f t="shared" si="12"/>
        <v>0</v>
      </c>
      <c r="M174" s="12">
        <v>11.836</v>
      </c>
      <c r="N174" s="13">
        <f t="shared" si="13"/>
        <v>0</v>
      </c>
      <c r="O174" s="13">
        <f t="shared" si="14"/>
        <v>0</v>
      </c>
      <c r="P174" s="14">
        <v>48.005423690000001</v>
      </c>
      <c r="Q174" s="8">
        <f t="shared" si="15"/>
        <v>0</v>
      </c>
      <c r="R174" s="8">
        <f t="shared" si="16"/>
        <v>0</v>
      </c>
      <c r="S174" s="15">
        <f t="shared" si="17"/>
        <v>0</v>
      </c>
    </row>
    <row r="175" spans="1:19" x14ac:dyDescent="0.25">
      <c r="A175" s="10" t="s">
        <v>470</v>
      </c>
      <c r="B175" s="10">
        <v>72761</v>
      </c>
      <c r="C175" s="10">
        <v>75047</v>
      </c>
      <c r="D175" s="10" t="s">
        <v>471</v>
      </c>
      <c r="E175" s="10" t="s">
        <v>472</v>
      </c>
      <c r="F175" s="10" t="s">
        <v>23</v>
      </c>
      <c r="G175" s="10" t="s">
        <v>12</v>
      </c>
      <c r="H175" s="10" t="s">
        <v>41</v>
      </c>
      <c r="I175" s="11">
        <v>518</v>
      </c>
      <c r="J175" s="11"/>
      <c r="K175" s="11">
        <v>74</v>
      </c>
      <c r="L175" s="6">
        <f t="shared" si="12"/>
        <v>444</v>
      </c>
      <c r="M175" s="12">
        <v>9.4570000000000007</v>
      </c>
      <c r="N175" s="13">
        <f t="shared" si="13"/>
        <v>4898.7260000000006</v>
      </c>
      <c r="O175" s="13">
        <f t="shared" si="14"/>
        <v>699.8180000000001</v>
      </c>
      <c r="P175" s="14">
        <v>46.973526249999999</v>
      </c>
      <c r="Q175" s="8">
        <f t="shared" si="15"/>
        <v>24332.286597499999</v>
      </c>
      <c r="R175" s="8">
        <f t="shared" si="16"/>
        <v>3476.0409424999998</v>
      </c>
      <c r="S175" s="15">
        <f t="shared" si="17"/>
        <v>0.14285714285714285</v>
      </c>
    </row>
    <row r="176" spans="1:19" x14ac:dyDescent="0.25">
      <c r="A176" s="10" t="s">
        <v>473</v>
      </c>
      <c r="B176" s="10">
        <v>72764</v>
      </c>
      <c r="C176" s="10">
        <v>87846</v>
      </c>
      <c r="D176" s="10" t="s">
        <v>474</v>
      </c>
      <c r="E176" s="10" t="s">
        <v>475</v>
      </c>
      <c r="F176" s="10" t="s">
        <v>23</v>
      </c>
      <c r="G176" s="10" t="s">
        <v>12</v>
      </c>
      <c r="H176" s="10" t="s">
        <v>41</v>
      </c>
      <c r="I176" s="11">
        <v>0</v>
      </c>
      <c r="J176" s="11"/>
      <c r="K176" s="11">
        <v>0</v>
      </c>
      <c r="L176" s="6">
        <f t="shared" si="12"/>
        <v>0</v>
      </c>
      <c r="M176" s="12">
        <v>8.9700000000000006</v>
      </c>
      <c r="N176" s="13">
        <f t="shared" si="13"/>
        <v>0</v>
      </c>
      <c r="O176" s="13">
        <f t="shared" si="14"/>
        <v>0</v>
      </c>
      <c r="P176" s="14">
        <v>86.463961940000004</v>
      </c>
      <c r="Q176" s="8">
        <f t="shared" si="15"/>
        <v>0</v>
      </c>
      <c r="R176" s="8">
        <f t="shared" si="16"/>
        <v>0</v>
      </c>
      <c r="S176" s="15">
        <f t="shared" si="17"/>
        <v>0</v>
      </c>
    </row>
    <row r="177" spans="1:19" x14ac:dyDescent="0.25">
      <c r="A177" s="10" t="s">
        <v>476</v>
      </c>
      <c r="B177" s="10">
        <v>72765</v>
      </c>
      <c r="C177" s="10">
        <v>87850</v>
      </c>
      <c r="D177" s="10" t="s">
        <v>477</v>
      </c>
      <c r="E177" s="10" t="s">
        <v>478</v>
      </c>
      <c r="F177" s="10" t="s">
        <v>23</v>
      </c>
      <c r="G177" s="10" t="s">
        <v>12</v>
      </c>
      <c r="H177" s="10" t="s">
        <v>41</v>
      </c>
      <c r="I177" s="11">
        <v>0</v>
      </c>
      <c r="J177" s="11"/>
      <c r="K177" s="11">
        <v>0</v>
      </c>
      <c r="L177" s="6">
        <f t="shared" si="12"/>
        <v>0</v>
      </c>
      <c r="M177" s="12">
        <v>26.637</v>
      </c>
      <c r="N177" s="13">
        <f t="shared" si="13"/>
        <v>0</v>
      </c>
      <c r="O177" s="13">
        <f t="shared" si="14"/>
        <v>0</v>
      </c>
      <c r="P177" s="14">
        <v>154.94746087999999</v>
      </c>
      <c r="Q177" s="8">
        <f t="shared" si="15"/>
        <v>0</v>
      </c>
      <c r="R177" s="8">
        <f t="shared" si="16"/>
        <v>0</v>
      </c>
      <c r="S177" s="15">
        <f t="shared" si="17"/>
        <v>0</v>
      </c>
    </row>
    <row r="178" spans="1:19" x14ac:dyDescent="0.25">
      <c r="A178" s="10" t="s">
        <v>479</v>
      </c>
      <c r="B178" s="10">
        <v>72777</v>
      </c>
      <c r="C178" s="10">
        <v>87556</v>
      </c>
      <c r="D178" s="10" t="s">
        <v>480</v>
      </c>
      <c r="E178" s="10" t="s">
        <v>481</v>
      </c>
      <c r="F178" s="10" t="s">
        <v>23</v>
      </c>
      <c r="G178" s="10" t="s">
        <v>12</v>
      </c>
      <c r="H178" s="10" t="s">
        <v>41</v>
      </c>
      <c r="I178" s="11">
        <v>0</v>
      </c>
      <c r="J178" s="11"/>
      <c r="K178" s="11">
        <v>0</v>
      </c>
      <c r="L178" s="6">
        <f t="shared" si="12"/>
        <v>0</v>
      </c>
      <c r="M178" s="12">
        <v>39</v>
      </c>
      <c r="N178" s="13">
        <f t="shared" si="13"/>
        <v>0</v>
      </c>
      <c r="O178" s="13">
        <f t="shared" si="14"/>
        <v>0</v>
      </c>
      <c r="P178" s="14">
        <v>139.23070407</v>
      </c>
      <c r="Q178" s="8">
        <f t="shared" si="15"/>
        <v>0</v>
      </c>
      <c r="R178" s="8">
        <f t="shared" si="16"/>
        <v>0</v>
      </c>
      <c r="S178" s="15">
        <f t="shared" si="17"/>
        <v>0</v>
      </c>
    </row>
    <row r="179" spans="1:19" x14ac:dyDescent="0.25">
      <c r="A179" s="10" t="s">
        <v>482</v>
      </c>
      <c r="B179" s="10">
        <v>72779</v>
      </c>
      <c r="C179" s="10">
        <v>87559</v>
      </c>
      <c r="D179" s="10" t="s">
        <v>483</v>
      </c>
      <c r="E179" s="10"/>
      <c r="F179" s="10" t="s">
        <v>23</v>
      </c>
      <c r="G179" s="10" t="s">
        <v>12</v>
      </c>
      <c r="H179" s="10" t="s">
        <v>41</v>
      </c>
      <c r="I179" s="11">
        <v>5</v>
      </c>
      <c r="J179" s="11"/>
      <c r="K179" s="11">
        <v>0</v>
      </c>
      <c r="L179" s="6">
        <f t="shared" si="12"/>
        <v>5</v>
      </c>
      <c r="M179" s="12">
        <v>12.577</v>
      </c>
      <c r="N179" s="13">
        <f t="shared" si="13"/>
        <v>62.884999999999998</v>
      </c>
      <c r="O179" s="13">
        <f t="shared" si="14"/>
        <v>0</v>
      </c>
      <c r="P179" s="14">
        <v>79.882303910000005</v>
      </c>
      <c r="Q179" s="8">
        <f t="shared" si="15"/>
        <v>399.41151955000004</v>
      </c>
      <c r="R179" s="8">
        <f t="shared" si="16"/>
        <v>0</v>
      </c>
      <c r="S179" s="15">
        <f t="shared" si="17"/>
        <v>0</v>
      </c>
    </row>
    <row r="180" spans="1:19" x14ac:dyDescent="0.25">
      <c r="A180" s="10" t="s">
        <v>484</v>
      </c>
      <c r="B180" s="10">
        <v>72816</v>
      </c>
      <c r="C180" s="10">
        <v>81597</v>
      </c>
      <c r="D180" s="10" t="s">
        <v>485</v>
      </c>
      <c r="E180" s="10" t="s">
        <v>486</v>
      </c>
      <c r="F180" s="10" t="s">
        <v>21</v>
      </c>
      <c r="G180" s="10" t="s">
        <v>12</v>
      </c>
      <c r="H180" s="10" t="s">
        <v>41</v>
      </c>
      <c r="I180" s="11">
        <v>6</v>
      </c>
      <c r="J180" s="11"/>
      <c r="K180" s="11">
        <v>0</v>
      </c>
      <c r="L180" s="6">
        <f t="shared" si="12"/>
        <v>6</v>
      </c>
      <c r="M180" s="12">
        <v>45.825000000000003</v>
      </c>
      <c r="N180" s="13">
        <f t="shared" si="13"/>
        <v>274.95000000000005</v>
      </c>
      <c r="O180" s="13">
        <f t="shared" si="14"/>
        <v>0</v>
      </c>
      <c r="P180" s="14">
        <v>190.56243827</v>
      </c>
      <c r="Q180" s="8">
        <f t="shared" si="15"/>
        <v>1143.37462962</v>
      </c>
      <c r="R180" s="8">
        <f t="shared" si="16"/>
        <v>0</v>
      </c>
      <c r="S180" s="15">
        <f t="shared" si="17"/>
        <v>0</v>
      </c>
    </row>
    <row r="181" spans="1:19" x14ac:dyDescent="0.25">
      <c r="A181" s="10" t="s">
        <v>487</v>
      </c>
      <c r="B181" s="10">
        <v>72829</v>
      </c>
      <c r="C181" s="10">
        <v>89017</v>
      </c>
      <c r="D181" s="10" t="s">
        <v>488</v>
      </c>
      <c r="E181" s="10" t="s">
        <v>489</v>
      </c>
      <c r="F181" s="10" t="s">
        <v>21</v>
      </c>
      <c r="G181" s="10" t="s">
        <v>12</v>
      </c>
      <c r="H181" s="10" t="s">
        <v>41</v>
      </c>
      <c r="I181" s="11">
        <v>0</v>
      </c>
      <c r="J181" s="11"/>
      <c r="K181" s="11">
        <v>0</v>
      </c>
      <c r="L181" s="6">
        <f t="shared" si="12"/>
        <v>0</v>
      </c>
      <c r="M181" s="12">
        <v>40.033000000000001</v>
      </c>
      <c r="N181" s="13">
        <f t="shared" si="13"/>
        <v>0</v>
      </c>
      <c r="O181" s="13">
        <f t="shared" si="14"/>
        <v>0</v>
      </c>
      <c r="P181" s="14">
        <v>186.37989607</v>
      </c>
      <c r="Q181" s="8">
        <f t="shared" si="15"/>
        <v>0</v>
      </c>
      <c r="R181" s="8">
        <f t="shared" si="16"/>
        <v>0</v>
      </c>
      <c r="S181" s="15">
        <f t="shared" si="17"/>
        <v>0</v>
      </c>
    </row>
    <row r="182" spans="1:19" x14ac:dyDescent="0.25">
      <c r="A182" s="10" t="s">
        <v>490</v>
      </c>
      <c r="B182" s="10">
        <v>72866</v>
      </c>
      <c r="C182" s="10">
        <v>87200</v>
      </c>
      <c r="D182" s="10" t="s">
        <v>491</v>
      </c>
      <c r="E182" s="10" t="s">
        <v>492</v>
      </c>
      <c r="F182" s="10" t="s">
        <v>21</v>
      </c>
      <c r="G182" s="10" t="s">
        <v>12</v>
      </c>
      <c r="H182" s="10" t="s">
        <v>41</v>
      </c>
      <c r="I182" s="11">
        <v>0</v>
      </c>
      <c r="J182" s="11"/>
      <c r="K182" s="11">
        <v>0</v>
      </c>
      <c r="L182" s="6">
        <f t="shared" si="12"/>
        <v>0</v>
      </c>
      <c r="M182" s="12">
        <v>35.957999999999998</v>
      </c>
      <c r="N182" s="13">
        <f t="shared" si="13"/>
        <v>0</v>
      </c>
      <c r="O182" s="13">
        <f t="shared" si="14"/>
        <v>0</v>
      </c>
      <c r="P182" s="14">
        <v>155.17255155999999</v>
      </c>
      <c r="Q182" s="8">
        <f t="shared" si="15"/>
        <v>0</v>
      </c>
      <c r="R182" s="8">
        <f t="shared" si="16"/>
        <v>0</v>
      </c>
      <c r="S182" s="15">
        <f t="shared" si="17"/>
        <v>0</v>
      </c>
    </row>
    <row r="183" spans="1:19" x14ac:dyDescent="0.25">
      <c r="A183" s="10" t="s">
        <v>493</v>
      </c>
      <c r="B183" s="10">
        <v>72866</v>
      </c>
      <c r="C183" s="10">
        <v>87200</v>
      </c>
      <c r="D183" s="10" t="s">
        <v>491</v>
      </c>
      <c r="E183" s="10" t="s">
        <v>494</v>
      </c>
      <c r="F183" s="10" t="s">
        <v>21</v>
      </c>
      <c r="G183" s="10" t="s">
        <v>12</v>
      </c>
      <c r="H183" s="10" t="s">
        <v>41</v>
      </c>
      <c r="I183" s="11">
        <v>1</v>
      </c>
      <c r="J183" s="11"/>
      <c r="K183" s="11">
        <v>0</v>
      </c>
      <c r="L183" s="6">
        <f t="shared" si="12"/>
        <v>1</v>
      </c>
      <c r="M183" s="12">
        <v>35.957999999999998</v>
      </c>
      <c r="N183" s="13">
        <f t="shared" si="13"/>
        <v>35.957999999999998</v>
      </c>
      <c r="O183" s="13">
        <f t="shared" si="14"/>
        <v>0</v>
      </c>
      <c r="P183" s="14">
        <v>155.06255156</v>
      </c>
      <c r="Q183" s="8">
        <f t="shared" si="15"/>
        <v>155.06255156</v>
      </c>
      <c r="R183" s="8">
        <f t="shared" si="16"/>
        <v>0</v>
      </c>
      <c r="S183" s="15">
        <f t="shared" si="17"/>
        <v>0</v>
      </c>
    </row>
    <row r="184" spans="1:19" x14ac:dyDescent="0.25">
      <c r="A184" s="10" t="s">
        <v>495</v>
      </c>
      <c r="B184" s="10">
        <v>72866</v>
      </c>
      <c r="C184" s="10">
        <v>87200</v>
      </c>
      <c r="D184" s="10" t="s">
        <v>491</v>
      </c>
      <c r="E184" s="10" t="s">
        <v>496</v>
      </c>
      <c r="F184" s="10" t="s">
        <v>21</v>
      </c>
      <c r="G184" s="10" t="s">
        <v>12</v>
      </c>
      <c r="H184" s="10" t="s">
        <v>41</v>
      </c>
      <c r="I184" s="11">
        <v>0</v>
      </c>
      <c r="J184" s="11"/>
      <c r="K184" s="11">
        <v>0</v>
      </c>
      <c r="L184" s="6">
        <f t="shared" si="12"/>
        <v>0</v>
      </c>
      <c r="M184" s="12">
        <v>35.957999999999998</v>
      </c>
      <c r="N184" s="13">
        <f t="shared" si="13"/>
        <v>0</v>
      </c>
      <c r="O184" s="13">
        <f t="shared" si="14"/>
        <v>0</v>
      </c>
      <c r="P184" s="14">
        <v>156.65255156000001</v>
      </c>
      <c r="Q184" s="8">
        <f t="shared" si="15"/>
        <v>0</v>
      </c>
      <c r="R184" s="8">
        <f t="shared" si="16"/>
        <v>0</v>
      </c>
      <c r="S184" s="15">
        <f t="shared" si="17"/>
        <v>0</v>
      </c>
    </row>
    <row r="185" spans="1:19" x14ac:dyDescent="0.25">
      <c r="A185" s="10" t="s">
        <v>497</v>
      </c>
      <c r="B185" s="10">
        <v>72874</v>
      </c>
      <c r="C185" s="10">
        <v>87201</v>
      </c>
      <c r="D185" s="10" t="s">
        <v>498</v>
      </c>
      <c r="E185" s="10" t="s">
        <v>499</v>
      </c>
      <c r="F185" s="10" t="s">
        <v>21</v>
      </c>
      <c r="G185" s="10" t="s">
        <v>12</v>
      </c>
      <c r="H185" s="10" t="s">
        <v>41</v>
      </c>
      <c r="I185" s="11">
        <v>0</v>
      </c>
      <c r="J185" s="11"/>
      <c r="K185" s="11">
        <v>0</v>
      </c>
      <c r="L185" s="6">
        <f t="shared" si="12"/>
        <v>0</v>
      </c>
      <c r="M185" s="12">
        <v>33.695999999999998</v>
      </c>
      <c r="N185" s="13">
        <f t="shared" si="13"/>
        <v>0</v>
      </c>
      <c r="O185" s="13">
        <f t="shared" si="14"/>
        <v>0</v>
      </c>
      <c r="P185" s="14">
        <v>134.10115461000001</v>
      </c>
      <c r="Q185" s="8">
        <f t="shared" si="15"/>
        <v>0</v>
      </c>
      <c r="R185" s="8">
        <f t="shared" si="16"/>
        <v>0</v>
      </c>
      <c r="S185" s="15">
        <f t="shared" si="17"/>
        <v>0</v>
      </c>
    </row>
    <row r="186" spans="1:19" x14ac:dyDescent="0.25">
      <c r="A186" s="10" t="s">
        <v>500</v>
      </c>
      <c r="B186" s="10">
        <v>72879</v>
      </c>
      <c r="C186" s="10">
        <v>89019</v>
      </c>
      <c r="D186" s="10" t="s">
        <v>501</v>
      </c>
      <c r="E186" s="10" t="s">
        <v>502</v>
      </c>
      <c r="F186" s="10" t="s">
        <v>21</v>
      </c>
      <c r="G186" s="10" t="s">
        <v>12</v>
      </c>
      <c r="H186" s="10" t="s">
        <v>41</v>
      </c>
      <c r="I186" s="11">
        <v>1</v>
      </c>
      <c r="J186" s="11"/>
      <c r="K186" s="11">
        <v>0</v>
      </c>
      <c r="L186" s="6">
        <f t="shared" si="12"/>
        <v>1</v>
      </c>
      <c r="M186" s="12">
        <v>32.174999999999997</v>
      </c>
      <c r="N186" s="13">
        <f t="shared" si="13"/>
        <v>32.174999999999997</v>
      </c>
      <c r="O186" s="13">
        <f t="shared" si="14"/>
        <v>0</v>
      </c>
      <c r="P186" s="14">
        <v>139.34745665</v>
      </c>
      <c r="Q186" s="8">
        <f t="shared" si="15"/>
        <v>139.34745665</v>
      </c>
      <c r="R186" s="8">
        <f t="shared" si="16"/>
        <v>0</v>
      </c>
      <c r="S186" s="15">
        <f t="shared" si="17"/>
        <v>0</v>
      </c>
    </row>
    <row r="187" spans="1:19" x14ac:dyDescent="0.25">
      <c r="A187" s="10" t="s">
        <v>503</v>
      </c>
      <c r="B187" s="10">
        <v>73026</v>
      </c>
      <c r="C187" s="10">
        <v>5102</v>
      </c>
      <c r="D187" s="10" t="s">
        <v>504</v>
      </c>
      <c r="E187" s="10" t="s">
        <v>505</v>
      </c>
      <c r="F187" s="10" t="s">
        <v>20</v>
      </c>
      <c r="G187" s="10" t="s">
        <v>12</v>
      </c>
      <c r="H187" s="10" t="s">
        <v>41</v>
      </c>
      <c r="I187" s="11">
        <v>697</v>
      </c>
      <c r="J187" s="11"/>
      <c r="K187" s="11">
        <v>287</v>
      </c>
      <c r="L187" s="6">
        <f t="shared" si="12"/>
        <v>410</v>
      </c>
      <c r="M187" s="12">
        <v>0.39</v>
      </c>
      <c r="N187" s="13">
        <f t="shared" si="13"/>
        <v>271.83</v>
      </c>
      <c r="O187" s="13">
        <f t="shared" si="14"/>
        <v>111.93</v>
      </c>
      <c r="P187" s="14">
        <v>3.2979698200000001</v>
      </c>
      <c r="Q187" s="8">
        <f t="shared" si="15"/>
        <v>2298.6849645400002</v>
      </c>
      <c r="R187" s="8">
        <f t="shared" si="16"/>
        <v>946.51733834000004</v>
      </c>
      <c r="S187" s="15">
        <f t="shared" si="17"/>
        <v>0.41176470588235292</v>
      </c>
    </row>
    <row r="188" spans="1:19" x14ac:dyDescent="0.25">
      <c r="A188" s="10" t="s">
        <v>506</v>
      </c>
      <c r="B188" s="10">
        <v>73026</v>
      </c>
      <c r="C188" s="10">
        <v>5102</v>
      </c>
      <c r="D188" s="10" t="s">
        <v>504</v>
      </c>
      <c r="E188" s="10" t="s">
        <v>507</v>
      </c>
      <c r="F188" s="10" t="s">
        <v>20</v>
      </c>
      <c r="G188" s="10" t="s">
        <v>12</v>
      </c>
      <c r="H188" s="10" t="s">
        <v>41</v>
      </c>
      <c r="I188" s="11">
        <v>268</v>
      </c>
      <c r="J188" s="11"/>
      <c r="K188" s="11">
        <v>125</v>
      </c>
      <c r="L188" s="6">
        <f t="shared" si="12"/>
        <v>143</v>
      </c>
      <c r="M188" s="12">
        <v>0.39</v>
      </c>
      <c r="N188" s="13">
        <f t="shared" si="13"/>
        <v>104.52000000000001</v>
      </c>
      <c r="O188" s="13">
        <f t="shared" si="14"/>
        <v>48.75</v>
      </c>
      <c r="P188" s="14">
        <v>3.4128248299999999</v>
      </c>
      <c r="Q188" s="8">
        <f t="shared" si="15"/>
        <v>914.63705443999993</v>
      </c>
      <c r="R188" s="8">
        <f t="shared" si="16"/>
        <v>426.60310375</v>
      </c>
      <c r="S188" s="15">
        <f t="shared" si="17"/>
        <v>0.46641791044776121</v>
      </c>
    </row>
    <row r="189" spans="1:19" x14ac:dyDescent="0.25">
      <c r="A189" s="10" t="s">
        <v>508</v>
      </c>
      <c r="B189" s="10">
        <v>73077</v>
      </c>
      <c r="C189" s="10">
        <v>67933</v>
      </c>
      <c r="D189" s="10" t="s">
        <v>509</v>
      </c>
      <c r="E189" s="10" t="s">
        <v>510</v>
      </c>
      <c r="F189" s="10" t="s">
        <v>21</v>
      </c>
      <c r="G189" s="10" t="s">
        <v>12</v>
      </c>
      <c r="H189" s="10" t="s">
        <v>41</v>
      </c>
      <c r="I189" s="11">
        <v>782</v>
      </c>
      <c r="J189" s="11"/>
      <c r="K189" s="11">
        <v>486</v>
      </c>
      <c r="L189" s="6">
        <f t="shared" si="12"/>
        <v>296</v>
      </c>
      <c r="M189" s="12">
        <v>25.35</v>
      </c>
      <c r="N189" s="13">
        <f t="shared" si="13"/>
        <v>19823.7</v>
      </c>
      <c r="O189" s="13">
        <f t="shared" si="14"/>
        <v>12320.1</v>
      </c>
      <c r="P189" s="14">
        <v>85.187310890000006</v>
      </c>
      <c r="Q189" s="8">
        <f t="shared" si="15"/>
        <v>66616.47711598</v>
      </c>
      <c r="R189" s="8">
        <f t="shared" si="16"/>
        <v>41401.033092540005</v>
      </c>
      <c r="S189" s="15">
        <f t="shared" si="17"/>
        <v>0.62148337595907932</v>
      </c>
    </row>
    <row r="190" spans="1:19" x14ac:dyDescent="0.25">
      <c r="A190" s="10" t="s">
        <v>511</v>
      </c>
      <c r="B190" s="10">
        <v>73077</v>
      </c>
      <c r="C190" s="10">
        <v>67933</v>
      </c>
      <c r="D190" s="10" t="s">
        <v>509</v>
      </c>
      <c r="E190" s="10" t="s">
        <v>512</v>
      </c>
      <c r="F190" s="10" t="s">
        <v>21</v>
      </c>
      <c r="G190" s="10" t="s">
        <v>12</v>
      </c>
      <c r="H190" s="10" t="s">
        <v>41</v>
      </c>
      <c r="I190" s="11">
        <v>187</v>
      </c>
      <c r="J190" s="11"/>
      <c r="K190" s="11">
        <v>44</v>
      </c>
      <c r="L190" s="6">
        <f t="shared" si="12"/>
        <v>143</v>
      </c>
      <c r="M190" s="12">
        <v>25.35</v>
      </c>
      <c r="N190" s="13">
        <f t="shared" si="13"/>
        <v>4740.45</v>
      </c>
      <c r="O190" s="13">
        <f t="shared" si="14"/>
        <v>1115.4000000000001</v>
      </c>
      <c r="P190" s="14">
        <v>68.611095779999999</v>
      </c>
      <c r="Q190" s="8">
        <f t="shared" si="15"/>
        <v>12830.27491086</v>
      </c>
      <c r="R190" s="8">
        <f t="shared" si="16"/>
        <v>3018.8882143199999</v>
      </c>
      <c r="S190" s="15">
        <f t="shared" si="17"/>
        <v>0.23529411764705882</v>
      </c>
    </row>
    <row r="191" spans="1:19" x14ac:dyDescent="0.25">
      <c r="A191" s="10" t="s">
        <v>513</v>
      </c>
      <c r="B191" s="10">
        <v>73077</v>
      </c>
      <c r="C191" s="10">
        <v>67933</v>
      </c>
      <c r="D191" s="10" t="s">
        <v>509</v>
      </c>
      <c r="E191" s="10" t="s">
        <v>514</v>
      </c>
      <c r="F191" s="10" t="s">
        <v>21</v>
      </c>
      <c r="G191" s="10" t="s">
        <v>12</v>
      </c>
      <c r="H191" s="10" t="s">
        <v>41</v>
      </c>
      <c r="I191" s="11">
        <v>57</v>
      </c>
      <c r="J191" s="11"/>
      <c r="K191" s="11">
        <v>7</v>
      </c>
      <c r="L191" s="6">
        <f t="shared" si="12"/>
        <v>50</v>
      </c>
      <c r="M191" s="12">
        <v>25.35</v>
      </c>
      <c r="N191" s="13">
        <f t="shared" si="13"/>
        <v>1444.95</v>
      </c>
      <c r="O191" s="13">
        <f t="shared" si="14"/>
        <v>177.45000000000002</v>
      </c>
      <c r="P191" s="14">
        <v>77.551480699999999</v>
      </c>
      <c r="Q191" s="8">
        <f t="shared" si="15"/>
        <v>4420.4343999000002</v>
      </c>
      <c r="R191" s="8">
        <f t="shared" si="16"/>
        <v>542.86036490000004</v>
      </c>
      <c r="S191" s="15">
        <f t="shared" si="17"/>
        <v>0.12280701754385964</v>
      </c>
    </row>
    <row r="192" spans="1:19" x14ac:dyDescent="0.25">
      <c r="A192" s="10" t="s">
        <v>515</v>
      </c>
      <c r="B192" s="10">
        <v>73081</v>
      </c>
      <c r="C192" s="10">
        <v>40559</v>
      </c>
      <c r="D192" s="10" t="s">
        <v>516</v>
      </c>
      <c r="E192" s="10" t="s">
        <v>517</v>
      </c>
      <c r="F192" s="10" t="s">
        <v>21</v>
      </c>
      <c r="G192" s="10" t="s">
        <v>12</v>
      </c>
      <c r="H192" s="10" t="s">
        <v>41</v>
      </c>
      <c r="I192" s="11">
        <v>488</v>
      </c>
      <c r="J192" s="11"/>
      <c r="K192" s="11">
        <v>485</v>
      </c>
      <c r="L192" s="6">
        <f t="shared" si="12"/>
        <v>3</v>
      </c>
      <c r="M192" s="12">
        <v>18.78</v>
      </c>
      <c r="N192" s="13">
        <f t="shared" si="13"/>
        <v>9164.6400000000012</v>
      </c>
      <c r="O192" s="13">
        <f t="shared" si="14"/>
        <v>9108.3000000000011</v>
      </c>
      <c r="P192" s="14">
        <v>133.42998435999999</v>
      </c>
      <c r="Q192" s="8">
        <f t="shared" si="15"/>
        <v>65113.832367679999</v>
      </c>
      <c r="R192" s="8">
        <f t="shared" si="16"/>
        <v>64713.542414599993</v>
      </c>
      <c r="S192" s="15">
        <f t="shared" si="17"/>
        <v>0.99385245901639341</v>
      </c>
    </row>
    <row r="193" spans="1:19" x14ac:dyDescent="0.25">
      <c r="A193" s="10" t="s">
        <v>518</v>
      </c>
      <c r="B193" s="10">
        <v>73081</v>
      </c>
      <c r="C193" s="10">
        <v>40559</v>
      </c>
      <c r="D193" s="10" t="s">
        <v>516</v>
      </c>
      <c r="E193" s="10" t="s">
        <v>519</v>
      </c>
      <c r="F193" s="10" t="s">
        <v>21</v>
      </c>
      <c r="G193" s="10" t="s">
        <v>12</v>
      </c>
      <c r="H193" s="10" t="s">
        <v>41</v>
      </c>
      <c r="I193" s="11">
        <v>184</v>
      </c>
      <c r="J193" s="11"/>
      <c r="K193" s="11">
        <v>44</v>
      </c>
      <c r="L193" s="6">
        <f t="shared" si="12"/>
        <v>140</v>
      </c>
      <c r="M193" s="12">
        <v>18.78</v>
      </c>
      <c r="N193" s="13">
        <f t="shared" si="13"/>
        <v>3455.5200000000004</v>
      </c>
      <c r="O193" s="13">
        <f t="shared" si="14"/>
        <v>826.32</v>
      </c>
      <c r="P193" s="14">
        <v>128.20775258</v>
      </c>
      <c r="Q193" s="8">
        <f t="shared" si="15"/>
        <v>23590.226474720002</v>
      </c>
      <c r="R193" s="8">
        <f t="shared" si="16"/>
        <v>5641.1411135200005</v>
      </c>
      <c r="S193" s="15">
        <f t="shared" si="17"/>
        <v>0.2391304347826087</v>
      </c>
    </row>
    <row r="194" spans="1:19" x14ac:dyDescent="0.25">
      <c r="A194" s="10" t="s">
        <v>520</v>
      </c>
      <c r="B194" s="10">
        <v>73081</v>
      </c>
      <c r="C194" s="10">
        <v>40559</v>
      </c>
      <c r="D194" s="10" t="s">
        <v>516</v>
      </c>
      <c r="E194" s="10" t="s">
        <v>521</v>
      </c>
      <c r="F194" s="10" t="s">
        <v>21</v>
      </c>
      <c r="G194" s="10" t="s">
        <v>12</v>
      </c>
      <c r="H194" s="10" t="s">
        <v>41</v>
      </c>
      <c r="I194" s="11">
        <v>55</v>
      </c>
      <c r="J194" s="11"/>
      <c r="K194" s="11">
        <v>7</v>
      </c>
      <c r="L194" s="6">
        <f t="shared" ref="L194:L257" si="18">I194-K194</f>
        <v>48</v>
      </c>
      <c r="M194" s="12">
        <v>18.78</v>
      </c>
      <c r="N194" s="13">
        <f t="shared" ref="N194:N257" si="19">I194*M194</f>
        <v>1032.9000000000001</v>
      </c>
      <c r="O194" s="13">
        <f t="shared" ref="O194:O257" si="20">K194*M194</f>
        <v>131.46</v>
      </c>
      <c r="P194" s="14">
        <v>128.18807129999999</v>
      </c>
      <c r="Q194" s="8">
        <f t="shared" ref="Q194:Q257" si="21">I194*P194</f>
        <v>7050.3439214999999</v>
      </c>
      <c r="R194" s="8">
        <f t="shared" ref="R194:R257" si="22">K194*P194</f>
        <v>897.31649909999987</v>
      </c>
      <c r="S194" s="15">
        <f t="shared" ref="S194:S257" si="23">IF(I194=0,0,K194/I194)</f>
        <v>0.12727272727272726</v>
      </c>
    </row>
    <row r="195" spans="1:19" x14ac:dyDescent="0.25">
      <c r="A195" s="10" t="s">
        <v>522</v>
      </c>
      <c r="B195" s="10">
        <v>73083</v>
      </c>
      <c r="C195" s="10">
        <v>40558</v>
      </c>
      <c r="D195" s="10" t="s">
        <v>523</v>
      </c>
      <c r="E195" s="10" t="s">
        <v>524</v>
      </c>
      <c r="F195" s="10" t="s">
        <v>21</v>
      </c>
      <c r="G195" s="10" t="s">
        <v>12</v>
      </c>
      <c r="H195" s="10" t="s">
        <v>41</v>
      </c>
      <c r="I195" s="11">
        <v>777</v>
      </c>
      <c r="J195" s="11"/>
      <c r="K195" s="11">
        <v>485</v>
      </c>
      <c r="L195" s="6">
        <f t="shared" si="18"/>
        <v>292</v>
      </c>
      <c r="M195" s="12">
        <v>11.33</v>
      </c>
      <c r="N195" s="13">
        <f t="shared" si="19"/>
        <v>8803.41</v>
      </c>
      <c r="O195" s="13">
        <f t="shared" si="20"/>
        <v>5495.05</v>
      </c>
      <c r="P195" s="14">
        <v>39.793066160000002</v>
      </c>
      <c r="Q195" s="8">
        <f t="shared" si="21"/>
        <v>30919.212406320003</v>
      </c>
      <c r="R195" s="8">
        <f t="shared" si="22"/>
        <v>19299.6370876</v>
      </c>
      <c r="S195" s="15">
        <f t="shared" si="23"/>
        <v>0.62419562419562424</v>
      </c>
    </row>
    <row r="196" spans="1:19" x14ac:dyDescent="0.25">
      <c r="A196" s="10" t="s">
        <v>525</v>
      </c>
      <c r="B196" s="10">
        <v>73083</v>
      </c>
      <c r="C196" s="10">
        <v>40558</v>
      </c>
      <c r="D196" s="10" t="s">
        <v>523</v>
      </c>
      <c r="E196" s="10" t="s">
        <v>526</v>
      </c>
      <c r="F196" s="10" t="s">
        <v>21</v>
      </c>
      <c r="G196" s="10" t="s">
        <v>12</v>
      </c>
      <c r="H196" s="10" t="s">
        <v>41</v>
      </c>
      <c r="I196" s="11">
        <v>180</v>
      </c>
      <c r="J196" s="11"/>
      <c r="K196" s="11">
        <v>44</v>
      </c>
      <c r="L196" s="6">
        <f t="shared" si="18"/>
        <v>136</v>
      </c>
      <c r="M196" s="12">
        <v>11.33</v>
      </c>
      <c r="N196" s="13">
        <f t="shared" si="19"/>
        <v>2039.4</v>
      </c>
      <c r="O196" s="13">
        <f t="shared" si="20"/>
        <v>498.52</v>
      </c>
      <c r="P196" s="14">
        <v>40.070668179999998</v>
      </c>
      <c r="Q196" s="8">
        <f t="shared" si="21"/>
        <v>7212.7202723999999</v>
      </c>
      <c r="R196" s="8">
        <f t="shared" si="22"/>
        <v>1763.10939992</v>
      </c>
      <c r="S196" s="15">
        <f t="shared" si="23"/>
        <v>0.24444444444444444</v>
      </c>
    </row>
    <row r="197" spans="1:19" x14ac:dyDescent="0.25">
      <c r="A197" s="10" t="s">
        <v>527</v>
      </c>
      <c r="B197" s="10">
        <v>73083</v>
      </c>
      <c r="C197" s="10">
        <v>40558</v>
      </c>
      <c r="D197" s="10" t="s">
        <v>523</v>
      </c>
      <c r="E197" s="10" t="s">
        <v>528</v>
      </c>
      <c r="F197" s="10" t="s">
        <v>21</v>
      </c>
      <c r="G197" s="10" t="s">
        <v>12</v>
      </c>
      <c r="H197" s="10" t="s">
        <v>41</v>
      </c>
      <c r="I197" s="11">
        <v>55</v>
      </c>
      <c r="J197" s="11"/>
      <c r="K197" s="11">
        <v>7</v>
      </c>
      <c r="L197" s="6">
        <f t="shared" si="18"/>
        <v>48</v>
      </c>
      <c r="M197" s="12">
        <v>11.33</v>
      </c>
      <c r="N197" s="13">
        <f t="shared" si="19"/>
        <v>623.15</v>
      </c>
      <c r="O197" s="13">
        <f t="shared" si="20"/>
        <v>79.31</v>
      </c>
      <c r="P197" s="14">
        <v>40.635030870000001</v>
      </c>
      <c r="Q197" s="8">
        <f t="shared" si="21"/>
        <v>2234.92669785</v>
      </c>
      <c r="R197" s="8">
        <f t="shared" si="22"/>
        <v>284.44521609000003</v>
      </c>
      <c r="S197" s="15">
        <f t="shared" si="23"/>
        <v>0.12727272727272726</v>
      </c>
    </row>
    <row r="198" spans="1:19" x14ac:dyDescent="0.25">
      <c r="A198" s="10" t="s">
        <v>529</v>
      </c>
      <c r="B198" s="10">
        <v>73122</v>
      </c>
      <c r="C198" s="10">
        <v>81579</v>
      </c>
      <c r="D198" s="10" t="s">
        <v>530</v>
      </c>
      <c r="E198" s="10" t="s">
        <v>531</v>
      </c>
      <c r="F198" s="10" t="s">
        <v>21</v>
      </c>
      <c r="G198" s="10" t="s">
        <v>12</v>
      </c>
      <c r="H198" s="10" t="s">
        <v>41</v>
      </c>
      <c r="I198" s="11">
        <v>147</v>
      </c>
      <c r="J198" s="11"/>
      <c r="K198" s="11">
        <v>53</v>
      </c>
      <c r="L198" s="6">
        <f t="shared" si="18"/>
        <v>94</v>
      </c>
      <c r="M198" s="12">
        <v>51.674999999999997</v>
      </c>
      <c r="N198" s="13">
        <f t="shared" si="19"/>
        <v>7596.2249999999995</v>
      </c>
      <c r="O198" s="13">
        <f t="shared" si="20"/>
        <v>2738.7749999999996</v>
      </c>
      <c r="P198" s="14">
        <v>304.02166518000001</v>
      </c>
      <c r="Q198" s="8">
        <f t="shared" si="21"/>
        <v>44691.184781460004</v>
      </c>
      <c r="R198" s="8">
        <f t="shared" si="22"/>
        <v>16113.148254540001</v>
      </c>
      <c r="S198" s="15">
        <f t="shared" si="23"/>
        <v>0.36054421768707484</v>
      </c>
    </row>
    <row r="199" spans="1:19" x14ac:dyDescent="0.25">
      <c r="A199" s="10" t="s">
        <v>532</v>
      </c>
      <c r="B199" s="10">
        <v>73122</v>
      </c>
      <c r="C199" s="10">
        <v>81579</v>
      </c>
      <c r="D199" s="10" t="s">
        <v>530</v>
      </c>
      <c r="E199" s="10" t="s">
        <v>533</v>
      </c>
      <c r="F199" s="10" t="s">
        <v>21</v>
      </c>
      <c r="G199" s="10" t="s">
        <v>12</v>
      </c>
      <c r="H199" s="10" t="s">
        <v>41</v>
      </c>
      <c r="I199" s="11">
        <v>54</v>
      </c>
      <c r="J199" s="11"/>
      <c r="K199" s="11">
        <v>0</v>
      </c>
      <c r="L199" s="6">
        <f t="shared" si="18"/>
        <v>54</v>
      </c>
      <c r="M199" s="12">
        <v>51.674999999999997</v>
      </c>
      <c r="N199" s="13">
        <f t="shared" si="19"/>
        <v>2790.45</v>
      </c>
      <c r="O199" s="13">
        <f t="shared" si="20"/>
        <v>0</v>
      </c>
      <c r="P199" s="14">
        <v>271.46787262999999</v>
      </c>
      <c r="Q199" s="8">
        <f t="shared" si="21"/>
        <v>14659.265122019999</v>
      </c>
      <c r="R199" s="8">
        <f t="shared" si="22"/>
        <v>0</v>
      </c>
      <c r="S199" s="15">
        <f t="shared" si="23"/>
        <v>0</v>
      </c>
    </row>
    <row r="200" spans="1:19" x14ac:dyDescent="0.25">
      <c r="A200" s="10" t="s">
        <v>534</v>
      </c>
      <c r="B200" s="10">
        <v>73122</v>
      </c>
      <c r="C200" s="10">
        <v>81579</v>
      </c>
      <c r="D200" s="10" t="s">
        <v>530</v>
      </c>
      <c r="E200" s="10" t="s">
        <v>535</v>
      </c>
      <c r="F200" s="10" t="s">
        <v>21</v>
      </c>
      <c r="G200" s="10" t="s">
        <v>12</v>
      </c>
      <c r="H200" s="10" t="s">
        <v>41</v>
      </c>
      <c r="I200" s="11">
        <v>17</v>
      </c>
      <c r="J200" s="11"/>
      <c r="K200" s="11">
        <v>22</v>
      </c>
      <c r="L200" s="6">
        <f t="shared" si="18"/>
        <v>-5</v>
      </c>
      <c r="M200" s="12">
        <v>51.674999999999997</v>
      </c>
      <c r="N200" s="13">
        <f t="shared" si="19"/>
        <v>878.47499999999991</v>
      </c>
      <c r="O200" s="13">
        <f t="shared" si="20"/>
        <v>1136.8499999999999</v>
      </c>
      <c r="P200" s="14">
        <v>311.99266032999998</v>
      </c>
      <c r="Q200" s="8">
        <f t="shared" si="21"/>
        <v>5303.8752256099997</v>
      </c>
      <c r="R200" s="8">
        <f t="shared" si="22"/>
        <v>6863.8385272599999</v>
      </c>
      <c r="S200" s="15">
        <f t="shared" si="23"/>
        <v>1.2941176470588236</v>
      </c>
    </row>
    <row r="201" spans="1:19" x14ac:dyDescent="0.25">
      <c r="A201" s="10" t="s">
        <v>536</v>
      </c>
      <c r="B201" s="10">
        <v>73122</v>
      </c>
      <c r="C201" s="10">
        <v>81579</v>
      </c>
      <c r="D201" s="10" t="s">
        <v>530</v>
      </c>
      <c r="E201" s="10" t="s">
        <v>537</v>
      </c>
      <c r="F201" s="10" t="s">
        <v>21</v>
      </c>
      <c r="G201" s="10" t="s">
        <v>12</v>
      </c>
      <c r="H201" s="10" t="s">
        <v>41</v>
      </c>
      <c r="I201" s="11">
        <v>22</v>
      </c>
      <c r="J201" s="11"/>
      <c r="K201" s="11">
        <v>0</v>
      </c>
      <c r="L201" s="6">
        <f t="shared" si="18"/>
        <v>22</v>
      </c>
      <c r="M201" s="12">
        <v>51.674999999999997</v>
      </c>
      <c r="N201" s="13">
        <f t="shared" si="19"/>
        <v>1136.8499999999999</v>
      </c>
      <c r="O201" s="13">
        <f t="shared" si="20"/>
        <v>0</v>
      </c>
      <c r="P201" s="14">
        <v>283.31928549999998</v>
      </c>
      <c r="Q201" s="8">
        <f t="shared" si="21"/>
        <v>6233.024281</v>
      </c>
      <c r="R201" s="8">
        <f t="shared" si="22"/>
        <v>0</v>
      </c>
      <c r="S201" s="15">
        <f t="shared" si="23"/>
        <v>0</v>
      </c>
    </row>
    <row r="202" spans="1:19" x14ac:dyDescent="0.25">
      <c r="A202" s="10" t="s">
        <v>538</v>
      </c>
      <c r="B202" s="10">
        <v>73123</v>
      </c>
      <c r="C202" s="10">
        <v>81580</v>
      </c>
      <c r="D202" s="10" t="s">
        <v>539</v>
      </c>
      <c r="E202" s="10" t="s">
        <v>540</v>
      </c>
      <c r="F202" s="10" t="s">
        <v>21</v>
      </c>
      <c r="G202" s="10" t="s">
        <v>12</v>
      </c>
      <c r="H202" s="10" t="s">
        <v>41</v>
      </c>
      <c r="I202" s="11">
        <v>24</v>
      </c>
      <c r="J202" s="11"/>
      <c r="K202" s="11">
        <v>11</v>
      </c>
      <c r="L202" s="6">
        <f t="shared" si="18"/>
        <v>13</v>
      </c>
      <c r="M202" s="12">
        <v>51.674999999999997</v>
      </c>
      <c r="N202" s="13">
        <f t="shared" si="19"/>
        <v>1240.1999999999998</v>
      </c>
      <c r="O202" s="13">
        <f t="shared" si="20"/>
        <v>568.42499999999995</v>
      </c>
      <c r="P202" s="14">
        <v>234.91472759999999</v>
      </c>
      <c r="Q202" s="8">
        <f t="shared" si="21"/>
        <v>5637.9534623999998</v>
      </c>
      <c r="R202" s="8">
        <f t="shared" si="22"/>
        <v>2584.0620036</v>
      </c>
      <c r="S202" s="15">
        <f t="shared" si="23"/>
        <v>0.45833333333333331</v>
      </c>
    </row>
    <row r="203" spans="1:19" x14ac:dyDescent="0.25">
      <c r="A203" s="10" t="s">
        <v>541</v>
      </c>
      <c r="B203" s="10">
        <v>73123</v>
      </c>
      <c r="C203" s="10">
        <v>81580</v>
      </c>
      <c r="D203" s="10" t="s">
        <v>539</v>
      </c>
      <c r="E203" s="10" t="s">
        <v>542</v>
      </c>
      <c r="F203" s="10" t="s">
        <v>21</v>
      </c>
      <c r="G203" s="10" t="s">
        <v>12</v>
      </c>
      <c r="H203" s="10" t="s">
        <v>41</v>
      </c>
      <c r="I203" s="11">
        <v>0</v>
      </c>
      <c r="J203" s="11"/>
      <c r="K203" s="11">
        <v>0</v>
      </c>
      <c r="L203" s="6">
        <f t="shared" si="18"/>
        <v>0</v>
      </c>
      <c r="M203" s="12">
        <v>51.674999999999997</v>
      </c>
      <c r="N203" s="13">
        <f t="shared" si="19"/>
        <v>0</v>
      </c>
      <c r="O203" s="13">
        <f t="shared" si="20"/>
        <v>0</v>
      </c>
      <c r="P203" s="14">
        <v>217.64743039000001</v>
      </c>
      <c r="Q203" s="8">
        <f t="shared" si="21"/>
        <v>0</v>
      </c>
      <c r="R203" s="8">
        <f t="shared" si="22"/>
        <v>0</v>
      </c>
      <c r="S203" s="15">
        <f t="shared" si="23"/>
        <v>0</v>
      </c>
    </row>
    <row r="204" spans="1:19" x14ac:dyDescent="0.25">
      <c r="A204" s="10" t="s">
        <v>543</v>
      </c>
      <c r="B204" s="10">
        <v>73123</v>
      </c>
      <c r="C204" s="10">
        <v>81580</v>
      </c>
      <c r="D204" s="10" t="s">
        <v>539</v>
      </c>
      <c r="E204" s="10" t="s">
        <v>544</v>
      </c>
      <c r="F204" s="10" t="s">
        <v>21</v>
      </c>
      <c r="G204" s="10" t="s">
        <v>12</v>
      </c>
      <c r="H204" s="10" t="s">
        <v>41</v>
      </c>
      <c r="I204" s="11">
        <v>1</v>
      </c>
      <c r="J204" s="11"/>
      <c r="K204" s="11">
        <v>1</v>
      </c>
      <c r="L204" s="6">
        <f t="shared" si="18"/>
        <v>0</v>
      </c>
      <c r="M204" s="12">
        <v>51.674999999999997</v>
      </c>
      <c r="N204" s="13">
        <f t="shared" si="19"/>
        <v>51.674999999999997</v>
      </c>
      <c r="O204" s="13">
        <f t="shared" si="20"/>
        <v>51.674999999999997</v>
      </c>
      <c r="P204" s="14">
        <v>278.56524523000002</v>
      </c>
      <c r="Q204" s="8">
        <f t="shared" si="21"/>
        <v>278.56524523000002</v>
      </c>
      <c r="R204" s="8">
        <f t="shared" si="22"/>
        <v>278.56524523000002</v>
      </c>
      <c r="S204" s="15">
        <f t="shared" si="23"/>
        <v>1</v>
      </c>
    </row>
    <row r="205" spans="1:19" x14ac:dyDescent="0.25">
      <c r="A205" s="10" t="s">
        <v>545</v>
      </c>
      <c r="B205" s="10">
        <v>73123</v>
      </c>
      <c r="C205" s="10">
        <v>81580</v>
      </c>
      <c r="D205" s="10" t="s">
        <v>539</v>
      </c>
      <c r="E205" s="10" t="s">
        <v>546</v>
      </c>
      <c r="F205" s="10" t="s">
        <v>21</v>
      </c>
      <c r="G205" s="10" t="s">
        <v>12</v>
      </c>
      <c r="H205" s="10" t="s">
        <v>41</v>
      </c>
      <c r="I205" s="11">
        <v>0</v>
      </c>
      <c r="J205" s="11"/>
      <c r="K205" s="11">
        <v>0</v>
      </c>
      <c r="L205" s="6">
        <f t="shared" si="18"/>
        <v>0</v>
      </c>
      <c r="M205" s="12">
        <v>51.674999999999997</v>
      </c>
      <c r="N205" s="13">
        <f t="shared" si="19"/>
        <v>0</v>
      </c>
      <c r="O205" s="13">
        <f t="shared" si="20"/>
        <v>0</v>
      </c>
      <c r="P205" s="14">
        <v>219.98743038000001</v>
      </c>
      <c r="Q205" s="8">
        <f t="shared" si="21"/>
        <v>0</v>
      </c>
      <c r="R205" s="8">
        <f t="shared" si="22"/>
        <v>0</v>
      </c>
      <c r="S205" s="15">
        <f t="shared" si="23"/>
        <v>0</v>
      </c>
    </row>
    <row r="206" spans="1:19" x14ac:dyDescent="0.25">
      <c r="A206" s="10" t="s">
        <v>547</v>
      </c>
      <c r="B206" s="10">
        <v>73126</v>
      </c>
      <c r="C206" s="10">
        <v>90752</v>
      </c>
      <c r="D206" s="10" t="s">
        <v>548</v>
      </c>
      <c r="E206" s="10" t="s">
        <v>549</v>
      </c>
      <c r="F206" s="10" t="s">
        <v>21</v>
      </c>
      <c r="G206" s="10" t="s">
        <v>12</v>
      </c>
      <c r="H206" s="10" t="s">
        <v>41</v>
      </c>
      <c r="I206" s="11">
        <v>355</v>
      </c>
      <c r="J206" s="11"/>
      <c r="K206" s="11">
        <v>78</v>
      </c>
      <c r="L206" s="6">
        <f t="shared" si="18"/>
        <v>277</v>
      </c>
      <c r="M206" s="12">
        <v>43.875</v>
      </c>
      <c r="N206" s="13">
        <f t="shared" si="19"/>
        <v>15575.625</v>
      </c>
      <c r="O206" s="13">
        <f t="shared" si="20"/>
        <v>3422.25</v>
      </c>
      <c r="P206" s="14">
        <v>193.32420417</v>
      </c>
      <c r="Q206" s="8">
        <f t="shared" si="21"/>
        <v>68630.092480349995</v>
      </c>
      <c r="R206" s="8">
        <f t="shared" si="22"/>
        <v>15079.28792526</v>
      </c>
      <c r="S206" s="15">
        <f t="shared" si="23"/>
        <v>0.21971830985915494</v>
      </c>
    </row>
    <row r="207" spans="1:19" x14ac:dyDescent="0.25">
      <c r="A207" s="10" t="s">
        <v>550</v>
      </c>
      <c r="B207" s="10">
        <v>73126</v>
      </c>
      <c r="C207" s="10">
        <v>90752</v>
      </c>
      <c r="D207" s="10" t="s">
        <v>548</v>
      </c>
      <c r="E207" s="10" t="s">
        <v>551</v>
      </c>
      <c r="F207" s="10" t="s">
        <v>21</v>
      </c>
      <c r="G207" s="10" t="s">
        <v>12</v>
      </c>
      <c r="H207" s="10" t="s">
        <v>41</v>
      </c>
      <c r="I207" s="11">
        <v>0</v>
      </c>
      <c r="J207" s="11"/>
      <c r="K207" s="11">
        <v>0</v>
      </c>
      <c r="L207" s="6">
        <f t="shared" si="18"/>
        <v>0</v>
      </c>
      <c r="M207" s="12">
        <v>43.875</v>
      </c>
      <c r="N207" s="13">
        <f t="shared" si="19"/>
        <v>0</v>
      </c>
      <c r="O207" s="13">
        <f t="shared" si="20"/>
        <v>0</v>
      </c>
      <c r="P207" s="14">
        <v>179.95140032</v>
      </c>
      <c r="Q207" s="8">
        <f t="shared" si="21"/>
        <v>0</v>
      </c>
      <c r="R207" s="8">
        <f t="shared" si="22"/>
        <v>0</v>
      </c>
      <c r="S207" s="15">
        <f t="shared" si="23"/>
        <v>0</v>
      </c>
    </row>
    <row r="208" spans="1:19" x14ac:dyDescent="0.25">
      <c r="A208" s="10" t="s">
        <v>552</v>
      </c>
      <c r="B208" s="10">
        <v>73126</v>
      </c>
      <c r="C208" s="10">
        <v>90752</v>
      </c>
      <c r="D208" s="10" t="s">
        <v>548</v>
      </c>
      <c r="E208" s="10" t="s">
        <v>553</v>
      </c>
      <c r="F208" s="10" t="s">
        <v>21</v>
      </c>
      <c r="G208" s="10" t="s">
        <v>12</v>
      </c>
      <c r="H208" s="10" t="s">
        <v>41</v>
      </c>
      <c r="I208" s="11">
        <v>29</v>
      </c>
      <c r="J208" s="11"/>
      <c r="K208" s="11">
        <v>0</v>
      </c>
      <c r="L208" s="6">
        <f t="shared" si="18"/>
        <v>29</v>
      </c>
      <c r="M208" s="12">
        <v>43.875</v>
      </c>
      <c r="N208" s="13">
        <f t="shared" si="19"/>
        <v>1272.375</v>
      </c>
      <c r="O208" s="13">
        <f t="shared" si="20"/>
        <v>0</v>
      </c>
      <c r="P208" s="14">
        <v>211.22486208000001</v>
      </c>
      <c r="Q208" s="8">
        <f t="shared" si="21"/>
        <v>6125.52100032</v>
      </c>
      <c r="R208" s="8">
        <f t="shared" si="22"/>
        <v>0</v>
      </c>
      <c r="S208" s="15">
        <f t="shared" si="23"/>
        <v>0</v>
      </c>
    </row>
    <row r="209" spans="1:19" x14ac:dyDescent="0.25">
      <c r="A209" s="10" t="s">
        <v>554</v>
      </c>
      <c r="B209" s="10">
        <v>73141</v>
      </c>
      <c r="C209" s="10">
        <v>67917</v>
      </c>
      <c r="D209" s="10" t="s">
        <v>555</v>
      </c>
      <c r="E209" s="10" t="s">
        <v>556</v>
      </c>
      <c r="F209" s="10" t="s">
        <v>21</v>
      </c>
      <c r="G209" s="10" t="s">
        <v>12</v>
      </c>
      <c r="H209" s="10" t="s">
        <v>41</v>
      </c>
      <c r="I209" s="11">
        <v>954</v>
      </c>
      <c r="J209" s="11"/>
      <c r="K209" s="11">
        <v>420</v>
      </c>
      <c r="L209" s="6">
        <f t="shared" si="18"/>
        <v>534</v>
      </c>
      <c r="M209" s="12">
        <v>19.5</v>
      </c>
      <c r="N209" s="13">
        <f t="shared" si="19"/>
        <v>18603</v>
      </c>
      <c r="O209" s="13">
        <f t="shared" si="20"/>
        <v>8190</v>
      </c>
      <c r="P209" s="14">
        <v>65.890710220000003</v>
      </c>
      <c r="Q209" s="8">
        <f t="shared" si="21"/>
        <v>62859.737549880003</v>
      </c>
      <c r="R209" s="8">
        <f t="shared" si="22"/>
        <v>27674.098292400002</v>
      </c>
      <c r="S209" s="15">
        <f t="shared" si="23"/>
        <v>0.44025157232704404</v>
      </c>
    </row>
    <row r="210" spans="1:19" x14ac:dyDescent="0.25">
      <c r="A210" s="10" t="s">
        <v>557</v>
      </c>
      <c r="B210" s="10">
        <v>73141</v>
      </c>
      <c r="C210" s="10">
        <v>67917</v>
      </c>
      <c r="D210" s="10" t="s">
        <v>555</v>
      </c>
      <c r="E210" s="10" t="s">
        <v>558</v>
      </c>
      <c r="F210" s="10" t="s">
        <v>21</v>
      </c>
      <c r="G210" s="10" t="s">
        <v>12</v>
      </c>
      <c r="H210" s="10" t="s">
        <v>41</v>
      </c>
      <c r="I210" s="11">
        <v>416</v>
      </c>
      <c r="J210" s="11"/>
      <c r="K210" s="11">
        <v>164</v>
      </c>
      <c r="L210" s="6">
        <f t="shared" si="18"/>
        <v>252</v>
      </c>
      <c r="M210" s="12">
        <v>19.5</v>
      </c>
      <c r="N210" s="13">
        <f t="shared" si="19"/>
        <v>8112</v>
      </c>
      <c r="O210" s="13">
        <f t="shared" si="20"/>
        <v>3198</v>
      </c>
      <c r="P210" s="14">
        <v>60.871354269999998</v>
      </c>
      <c r="Q210" s="8">
        <f t="shared" si="21"/>
        <v>25322.48337632</v>
      </c>
      <c r="R210" s="8">
        <f t="shared" si="22"/>
        <v>9982.90210028</v>
      </c>
      <c r="S210" s="15">
        <f t="shared" si="23"/>
        <v>0.39423076923076922</v>
      </c>
    </row>
    <row r="211" spans="1:19" x14ac:dyDescent="0.25">
      <c r="A211" s="10" t="s">
        <v>559</v>
      </c>
      <c r="B211" s="10">
        <v>73141</v>
      </c>
      <c r="C211" s="10">
        <v>67917</v>
      </c>
      <c r="D211" s="10" t="s">
        <v>555</v>
      </c>
      <c r="E211" s="10" t="s">
        <v>560</v>
      </c>
      <c r="F211" s="10" t="s">
        <v>21</v>
      </c>
      <c r="G211" s="10" t="s">
        <v>12</v>
      </c>
      <c r="H211" s="10" t="s">
        <v>41</v>
      </c>
      <c r="I211" s="11">
        <v>18</v>
      </c>
      <c r="J211" s="11"/>
      <c r="K211" s="11">
        <v>2</v>
      </c>
      <c r="L211" s="6">
        <f t="shared" si="18"/>
        <v>16</v>
      </c>
      <c r="M211" s="12">
        <v>19.5</v>
      </c>
      <c r="N211" s="13">
        <f t="shared" si="19"/>
        <v>351</v>
      </c>
      <c r="O211" s="13">
        <f t="shared" si="20"/>
        <v>39</v>
      </c>
      <c r="P211" s="14">
        <v>57.81547853</v>
      </c>
      <c r="Q211" s="8">
        <f t="shared" si="21"/>
        <v>1040.67861354</v>
      </c>
      <c r="R211" s="8">
        <f t="shared" si="22"/>
        <v>115.63095706</v>
      </c>
      <c r="S211" s="15">
        <f t="shared" si="23"/>
        <v>0.1111111111111111</v>
      </c>
    </row>
    <row r="212" spans="1:19" x14ac:dyDescent="0.25">
      <c r="A212" s="10" t="s">
        <v>561</v>
      </c>
      <c r="B212" s="10">
        <v>73145</v>
      </c>
      <c r="C212" s="10">
        <v>40598</v>
      </c>
      <c r="D212" s="10" t="s">
        <v>562</v>
      </c>
      <c r="E212" s="10" t="s">
        <v>563</v>
      </c>
      <c r="F212" s="10" t="s">
        <v>21</v>
      </c>
      <c r="G212" s="10" t="s">
        <v>12</v>
      </c>
      <c r="H212" s="10" t="s">
        <v>41</v>
      </c>
      <c r="I212" s="11">
        <v>313</v>
      </c>
      <c r="J212" s="11"/>
      <c r="K212" s="11">
        <v>164</v>
      </c>
      <c r="L212" s="6">
        <f t="shared" si="18"/>
        <v>149</v>
      </c>
      <c r="M212" s="12">
        <v>17.16</v>
      </c>
      <c r="N212" s="13">
        <f t="shared" si="19"/>
        <v>5371.08</v>
      </c>
      <c r="O212" s="13">
        <f t="shared" si="20"/>
        <v>2814.2400000000002</v>
      </c>
      <c r="P212" s="14">
        <v>87.447121280000005</v>
      </c>
      <c r="Q212" s="8">
        <f t="shared" si="21"/>
        <v>27370.948960640002</v>
      </c>
      <c r="R212" s="8">
        <f t="shared" si="22"/>
        <v>14341.327889920001</v>
      </c>
      <c r="S212" s="15">
        <f t="shared" si="23"/>
        <v>0.52396166134185307</v>
      </c>
    </row>
    <row r="213" spans="1:19" x14ac:dyDescent="0.25">
      <c r="A213" s="10" t="s">
        <v>564</v>
      </c>
      <c r="B213" s="10">
        <v>73145</v>
      </c>
      <c r="C213" s="10">
        <v>40598</v>
      </c>
      <c r="D213" s="10" t="s">
        <v>562</v>
      </c>
      <c r="E213" s="10" t="s">
        <v>565</v>
      </c>
      <c r="F213" s="10" t="s">
        <v>21</v>
      </c>
      <c r="G213" s="10" t="s">
        <v>12</v>
      </c>
      <c r="H213" s="10" t="s">
        <v>41</v>
      </c>
      <c r="I213" s="11">
        <v>21</v>
      </c>
      <c r="J213" s="11"/>
      <c r="K213" s="11">
        <v>2</v>
      </c>
      <c r="L213" s="6">
        <f t="shared" si="18"/>
        <v>19</v>
      </c>
      <c r="M213" s="12">
        <v>17.16</v>
      </c>
      <c r="N213" s="13">
        <f t="shared" si="19"/>
        <v>360.36</v>
      </c>
      <c r="O213" s="13">
        <f t="shared" si="20"/>
        <v>34.32</v>
      </c>
      <c r="P213" s="14">
        <v>84.927129739999998</v>
      </c>
      <c r="Q213" s="8">
        <f t="shared" si="21"/>
        <v>1783.46972454</v>
      </c>
      <c r="R213" s="8">
        <f t="shared" si="22"/>
        <v>169.85425948</v>
      </c>
      <c r="S213" s="15">
        <f t="shared" si="23"/>
        <v>9.5238095238095233E-2</v>
      </c>
    </row>
    <row r="214" spans="1:19" x14ac:dyDescent="0.25">
      <c r="A214" s="10" t="s">
        <v>566</v>
      </c>
      <c r="B214" s="10">
        <v>73145</v>
      </c>
      <c r="C214" s="10">
        <v>40598</v>
      </c>
      <c r="D214" s="10" t="s">
        <v>562</v>
      </c>
      <c r="E214" s="10" t="s">
        <v>567</v>
      </c>
      <c r="F214" s="10" t="s">
        <v>21</v>
      </c>
      <c r="G214" s="10" t="s">
        <v>12</v>
      </c>
      <c r="H214" s="10" t="s">
        <v>41</v>
      </c>
      <c r="I214" s="11">
        <v>841</v>
      </c>
      <c r="J214" s="11"/>
      <c r="K214" s="11">
        <v>420</v>
      </c>
      <c r="L214" s="6">
        <f t="shared" si="18"/>
        <v>421</v>
      </c>
      <c r="M214" s="12">
        <v>17.16</v>
      </c>
      <c r="N214" s="13">
        <f t="shared" si="19"/>
        <v>14431.56</v>
      </c>
      <c r="O214" s="13">
        <f t="shared" si="20"/>
        <v>7207.2</v>
      </c>
      <c r="P214" s="14">
        <v>87.953050189999999</v>
      </c>
      <c r="Q214" s="8">
        <f t="shared" si="21"/>
        <v>73968.515209789999</v>
      </c>
      <c r="R214" s="8">
        <f t="shared" si="22"/>
        <v>36940.281079799999</v>
      </c>
      <c r="S214" s="15">
        <f t="shared" si="23"/>
        <v>0.49940546967895361</v>
      </c>
    </row>
    <row r="215" spans="1:19" x14ac:dyDescent="0.25">
      <c r="A215" s="10" t="s">
        <v>568</v>
      </c>
      <c r="B215" s="10">
        <v>73152</v>
      </c>
      <c r="C215" s="10">
        <v>40597</v>
      </c>
      <c r="D215" s="10" t="s">
        <v>569</v>
      </c>
      <c r="E215" s="10" t="s">
        <v>570</v>
      </c>
      <c r="F215" s="10" t="s">
        <v>21</v>
      </c>
      <c r="G215" s="10" t="s">
        <v>12</v>
      </c>
      <c r="H215" s="10" t="s">
        <v>41</v>
      </c>
      <c r="I215" s="11">
        <v>844</v>
      </c>
      <c r="J215" s="11"/>
      <c r="K215" s="11">
        <v>421</v>
      </c>
      <c r="L215" s="6">
        <f t="shared" si="18"/>
        <v>423</v>
      </c>
      <c r="M215" s="12">
        <v>8.6769999999999996</v>
      </c>
      <c r="N215" s="13">
        <f t="shared" si="19"/>
        <v>7323.3879999999999</v>
      </c>
      <c r="O215" s="13">
        <f t="shared" si="20"/>
        <v>3653.0169999999998</v>
      </c>
      <c r="P215" s="14">
        <v>27.680310840000001</v>
      </c>
      <c r="Q215" s="8">
        <f t="shared" si="21"/>
        <v>23362.182348959999</v>
      </c>
      <c r="R215" s="8">
        <f t="shared" si="22"/>
        <v>11653.41086364</v>
      </c>
      <c r="S215" s="15">
        <f t="shared" si="23"/>
        <v>0.49881516587677727</v>
      </c>
    </row>
    <row r="216" spans="1:19" x14ac:dyDescent="0.25">
      <c r="A216" s="10" t="s">
        <v>571</v>
      </c>
      <c r="B216" s="10">
        <v>73152</v>
      </c>
      <c r="C216" s="10">
        <v>40597</v>
      </c>
      <c r="D216" s="10" t="s">
        <v>569</v>
      </c>
      <c r="E216" s="10" t="s">
        <v>572</v>
      </c>
      <c r="F216" s="10" t="s">
        <v>21</v>
      </c>
      <c r="G216" s="10" t="s">
        <v>12</v>
      </c>
      <c r="H216" s="10" t="s">
        <v>41</v>
      </c>
      <c r="I216" s="11">
        <v>316</v>
      </c>
      <c r="J216" s="11"/>
      <c r="K216" s="11">
        <v>164</v>
      </c>
      <c r="L216" s="6">
        <f t="shared" si="18"/>
        <v>152</v>
      </c>
      <c r="M216" s="12">
        <v>8.6769999999999996</v>
      </c>
      <c r="N216" s="13">
        <f t="shared" si="19"/>
        <v>2741.9319999999998</v>
      </c>
      <c r="O216" s="13">
        <f t="shared" si="20"/>
        <v>1423.028</v>
      </c>
      <c r="P216" s="14">
        <v>31.230343479999998</v>
      </c>
      <c r="Q216" s="8">
        <f t="shared" si="21"/>
        <v>9868.7885396799993</v>
      </c>
      <c r="R216" s="8">
        <f t="shared" si="22"/>
        <v>5121.7763307199994</v>
      </c>
      <c r="S216" s="15">
        <f t="shared" si="23"/>
        <v>0.51898734177215189</v>
      </c>
    </row>
    <row r="217" spans="1:19" x14ac:dyDescent="0.25">
      <c r="A217" s="10" t="s">
        <v>573</v>
      </c>
      <c r="B217" s="10">
        <v>73152</v>
      </c>
      <c r="C217" s="10">
        <v>40597</v>
      </c>
      <c r="D217" s="10" t="s">
        <v>569</v>
      </c>
      <c r="E217" s="10" t="s">
        <v>574</v>
      </c>
      <c r="F217" s="10" t="s">
        <v>21</v>
      </c>
      <c r="G217" s="10" t="s">
        <v>12</v>
      </c>
      <c r="H217" s="10" t="s">
        <v>41</v>
      </c>
      <c r="I217" s="11">
        <v>12</v>
      </c>
      <c r="J217" s="11"/>
      <c r="K217" s="11">
        <v>2</v>
      </c>
      <c r="L217" s="6">
        <f t="shared" si="18"/>
        <v>10</v>
      </c>
      <c r="M217" s="12">
        <v>8.6769999999999996</v>
      </c>
      <c r="N217" s="13">
        <f t="shared" si="19"/>
        <v>104.124</v>
      </c>
      <c r="O217" s="13">
        <f t="shared" si="20"/>
        <v>17.353999999999999</v>
      </c>
      <c r="P217" s="14">
        <v>33.872658649999998</v>
      </c>
      <c r="Q217" s="8">
        <f t="shared" si="21"/>
        <v>406.47190379999995</v>
      </c>
      <c r="R217" s="8">
        <f t="shared" si="22"/>
        <v>67.745317299999996</v>
      </c>
      <c r="S217" s="15">
        <f t="shared" si="23"/>
        <v>0.16666666666666666</v>
      </c>
    </row>
    <row r="218" spans="1:19" x14ac:dyDescent="0.25">
      <c r="A218" s="10" t="s">
        <v>575</v>
      </c>
      <c r="B218" s="10">
        <v>73157</v>
      </c>
      <c r="C218" s="10">
        <v>40599</v>
      </c>
      <c r="D218" s="10" t="s">
        <v>576</v>
      </c>
      <c r="E218" s="10" t="s">
        <v>577</v>
      </c>
      <c r="F218" s="10" t="s">
        <v>21</v>
      </c>
      <c r="G218" s="10" t="s">
        <v>12</v>
      </c>
      <c r="H218" s="10" t="s">
        <v>41</v>
      </c>
      <c r="I218" s="11">
        <v>320</v>
      </c>
      <c r="J218" s="11"/>
      <c r="K218" s="11">
        <v>245</v>
      </c>
      <c r="L218" s="6">
        <f t="shared" si="18"/>
        <v>75</v>
      </c>
      <c r="M218" s="12">
        <v>35.19</v>
      </c>
      <c r="N218" s="13">
        <f t="shared" si="19"/>
        <v>11260.8</v>
      </c>
      <c r="O218" s="13">
        <f t="shared" si="20"/>
        <v>8621.5499999999993</v>
      </c>
      <c r="P218" s="14">
        <v>128.87198187000001</v>
      </c>
      <c r="Q218" s="8">
        <f t="shared" si="21"/>
        <v>41239.034198400004</v>
      </c>
      <c r="R218" s="8">
        <f t="shared" si="22"/>
        <v>31573.635558150003</v>
      </c>
      <c r="S218" s="15">
        <f t="shared" si="23"/>
        <v>0.765625</v>
      </c>
    </row>
    <row r="219" spans="1:19" x14ac:dyDescent="0.25">
      <c r="A219" s="10" t="s">
        <v>578</v>
      </c>
      <c r="B219" s="10">
        <v>73157</v>
      </c>
      <c r="C219" s="10">
        <v>40599</v>
      </c>
      <c r="D219" s="10" t="s">
        <v>576</v>
      </c>
      <c r="E219" s="10" t="s">
        <v>579</v>
      </c>
      <c r="F219" s="10" t="s">
        <v>21</v>
      </c>
      <c r="G219" s="10" t="s">
        <v>12</v>
      </c>
      <c r="H219" s="10" t="s">
        <v>41</v>
      </c>
      <c r="I219" s="11">
        <v>288</v>
      </c>
      <c r="J219" s="11"/>
      <c r="K219" s="11">
        <v>104</v>
      </c>
      <c r="L219" s="6">
        <f t="shared" si="18"/>
        <v>184</v>
      </c>
      <c r="M219" s="12">
        <v>35.19</v>
      </c>
      <c r="N219" s="13">
        <f t="shared" si="19"/>
        <v>10134.719999999999</v>
      </c>
      <c r="O219" s="13">
        <f t="shared" si="20"/>
        <v>3659.7599999999998</v>
      </c>
      <c r="P219" s="14">
        <v>128.37976900999999</v>
      </c>
      <c r="Q219" s="8">
        <f t="shared" si="21"/>
        <v>36973.373474879998</v>
      </c>
      <c r="R219" s="8">
        <f t="shared" si="22"/>
        <v>13351.495977039998</v>
      </c>
      <c r="S219" s="15">
        <f t="shared" si="23"/>
        <v>0.3611111111111111</v>
      </c>
    </row>
    <row r="220" spans="1:19" x14ac:dyDescent="0.25">
      <c r="A220" s="10" t="s">
        <v>580</v>
      </c>
      <c r="B220" s="10">
        <v>73157</v>
      </c>
      <c r="C220" s="10">
        <v>40599</v>
      </c>
      <c r="D220" s="10" t="s">
        <v>576</v>
      </c>
      <c r="E220" s="10" t="s">
        <v>581</v>
      </c>
      <c r="F220" s="10" t="s">
        <v>21</v>
      </c>
      <c r="G220" s="10" t="s">
        <v>12</v>
      </c>
      <c r="H220" s="10" t="s">
        <v>41</v>
      </c>
      <c r="I220" s="11">
        <v>37</v>
      </c>
      <c r="J220" s="11"/>
      <c r="K220" s="11">
        <v>2</v>
      </c>
      <c r="L220" s="6">
        <f t="shared" si="18"/>
        <v>35</v>
      </c>
      <c r="M220" s="12">
        <v>35.19</v>
      </c>
      <c r="N220" s="13">
        <f t="shared" si="19"/>
        <v>1302.03</v>
      </c>
      <c r="O220" s="13">
        <f t="shared" si="20"/>
        <v>70.38</v>
      </c>
      <c r="P220" s="14">
        <v>131.84138060999999</v>
      </c>
      <c r="Q220" s="8">
        <f t="shared" si="21"/>
        <v>4878.1310825699993</v>
      </c>
      <c r="R220" s="8">
        <f t="shared" si="22"/>
        <v>263.68276121999997</v>
      </c>
      <c r="S220" s="15">
        <f t="shared" si="23"/>
        <v>5.4054054054054057E-2</v>
      </c>
    </row>
    <row r="221" spans="1:19" x14ac:dyDescent="0.25">
      <c r="A221" s="10" t="s">
        <v>582</v>
      </c>
      <c r="B221" s="10">
        <v>73163</v>
      </c>
      <c r="C221" s="10">
        <v>87575</v>
      </c>
      <c r="D221" s="10" t="s">
        <v>583</v>
      </c>
      <c r="E221" s="10" t="s">
        <v>584</v>
      </c>
      <c r="F221" s="10" t="s">
        <v>21</v>
      </c>
      <c r="G221" s="10" t="s">
        <v>12</v>
      </c>
      <c r="H221" s="10" t="s">
        <v>41</v>
      </c>
      <c r="I221" s="11">
        <v>0</v>
      </c>
      <c r="J221" s="11"/>
      <c r="K221" s="11">
        <v>0</v>
      </c>
      <c r="L221" s="6">
        <f t="shared" si="18"/>
        <v>0</v>
      </c>
      <c r="M221" s="12">
        <v>29.289000000000001</v>
      </c>
      <c r="N221" s="13">
        <f t="shared" si="19"/>
        <v>0</v>
      </c>
      <c r="O221" s="13">
        <f t="shared" si="20"/>
        <v>0</v>
      </c>
      <c r="P221" s="14">
        <v>133.41326054000001</v>
      </c>
      <c r="Q221" s="8">
        <f t="shared" si="21"/>
        <v>0</v>
      </c>
      <c r="R221" s="8">
        <f t="shared" si="22"/>
        <v>0</v>
      </c>
      <c r="S221" s="15">
        <f t="shared" si="23"/>
        <v>0</v>
      </c>
    </row>
    <row r="222" spans="1:19" x14ac:dyDescent="0.25">
      <c r="A222" s="10" t="s">
        <v>585</v>
      </c>
      <c r="B222" s="10">
        <v>73164</v>
      </c>
      <c r="C222" s="10">
        <v>87576</v>
      </c>
      <c r="D222" s="10" t="s">
        <v>586</v>
      </c>
      <c r="E222" s="10" t="s">
        <v>587</v>
      </c>
      <c r="F222" s="10" t="s">
        <v>21</v>
      </c>
      <c r="G222" s="10" t="s">
        <v>12</v>
      </c>
      <c r="H222" s="10" t="s">
        <v>41</v>
      </c>
      <c r="I222" s="11">
        <v>0</v>
      </c>
      <c r="J222" s="11"/>
      <c r="K222" s="11">
        <v>0</v>
      </c>
      <c r="L222" s="6">
        <f t="shared" si="18"/>
        <v>0</v>
      </c>
      <c r="M222" s="12">
        <v>22.170999999999999</v>
      </c>
      <c r="N222" s="13">
        <f t="shared" si="19"/>
        <v>0</v>
      </c>
      <c r="O222" s="13">
        <f t="shared" si="20"/>
        <v>0</v>
      </c>
      <c r="P222" s="14">
        <v>89.778520130000004</v>
      </c>
      <c r="Q222" s="8">
        <f t="shared" si="21"/>
        <v>0</v>
      </c>
      <c r="R222" s="8">
        <f t="shared" si="22"/>
        <v>0</v>
      </c>
      <c r="S222" s="15">
        <f t="shared" si="23"/>
        <v>0</v>
      </c>
    </row>
    <row r="223" spans="1:19" x14ac:dyDescent="0.25">
      <c r="A223" s="10" t="s">
        <v>588</v>
      </c>
      <c r="B223" s="10">
        <v>73166</v>
      </c>
      <c r="C223" s="10">
        <v>87577</v>
      </c>
      <c r="D223" s="10" t="s">
        <v>589</v>
      </c>
      <c r="E223" s="10" t="s">
        <v>590</v>
      </c>
      <c r="F223" s="10" t="s">
        <v>21</v>
      </c>
      <c r="G223" s="10" t="s">
        <v>12</v>
      </c>
      <c r="H223" s="10" t="s">
        <v>41</v>
      </c>
      <c r="I223" s="11">
        <v>196</v>
      </c>
      <c r="J223" s="11"/>
      <c r="K223" s="11">
        <v>176</v>
      </c>
      <c r="L223" s="6">
        <f t="shared" si="18"/>
        <v>20</v>
      </c>
      <c r="M223" s="12">
        <v>19.5</v>
      </c>
      <c r="N223" s="13">
        <f t="shared" si="19"/>
        <v>3822</v>
      </c>
      <c r="O223" s="13">
        <f t="shared" si="20"/>
        <v>3432</v>
      </c>
      <c r="P223" s="14">
        <v>86.044248870000004</v>
      </c>
      <c r="Q223" s="8">
        <f t="shared" si="21"/>
        <v>16864.672778520002</v>
      </c>
      <c r="R223" s="8">
        <f t="shared" si="22"/>
        <v>15143.787801120001</v>
      </c>
      <c r="S223" s="15">
        <f t="shared" si="23"/>
        <v>0.89795918367346939</v>
      </c>
    </row>
    <row r="224" spans="1:19" x14ac:dyDescent="0.25">
      <c r="A224" s="10" t="s">
        <v>591</v>
      </c>
      <c r="B224" s="10">
        <v>73166</v>
      </c>
      <c r="C224" s="10">
        <v>87577</v>
      </c>
      <c r="D224" s="10" t="s">
        <v>589</v>
      </c>
      <c r="E224" s="10" t="s">
        <v>592</v>
      </c>
      <c r="F224" s="10" t="s">
        <v>21</v>
      </c>
      <c r="G224" s="10" t="s">
        <v>12</v>
      </c>
      <c r="H224" s="10" t="s">
        <v>41</v>
      </c>
      <c r="I224" s="11">
        <v>134</v>
      </c>
      <c r="J224" s="11"/>
      <c r="K224" s="11">
        <v>134</v>
      </c>
      <c r="L224" s="6">
        <f t="shared" si="18"/>
        <v>0</v>
      </c>
      <c r="M224" s="12">
        <v>19.5</v>
      </c>
      <c r="N224" s="13">
        <f t="shared" si="19"/>
        <v>2613</v>
      </c>
      <c r="O224" s="13">
        <f t="shared" si="20"/>
        <v>2613</v>
      </c>
      <c r="P224" s="14">
        <v>96.693974999999995</v>
      </c>
      <c r="Q224" s="8">
        <f t="shared" si="21"/>
        <v>12956.99265</v>
      </c>
      <c r="R224" s="8">
        <f t="shared" si="22"/>
        <v>12956.99265</v>
      </c>
      <c r="S224" s="15">
        <f t="shared" si="23"/>
        <v>1</v>
      </c>
    </row>
    <row r="225" spans="1:19" x14ac:dyDescent="0.25">
      <c r="A225" s="10" t="s">
        <v>593</v>
      </c>
      <c r="B225" s="10">
        <v>73174</v>
      </c>
      <c r="C225" s="10">
        <v>67924</v>
      </c>
      <c r="D225" s="10" t="s">
        <v>594</v>
      </c>
      <c r="E225" s="10" t="s">
        <v>595</v>
      </c>
      <c r="F225" s="10" t="s">
        <v>21</v>
      </c>
      <c r="G225" s="10" t="s">
        <v>12</v>
      </c>
      <c r="H225" s="10" t="s">
        <v>41</v>
      </c>
      <c r="I225" s="11">
        <v>255</v>
      </c>
      <c r="J225" s="11"/>
      <c r="K225" s="11">
        <v>241</v>
      </c>
      <c r="L225" s="6">
        <f t="shared" si="18"/>
        <v>14</v>
      </c>
      <c r="M225" s="12">
        <v>18.52</v>
      </c>
      <c r="N225" s="13">
        <f t="shared" si="19"/>
        <v>4722.5999999999995</v>
      </c>
      <c r="O225" s="13">
        <f t="shared" si="20"/>
        <v>4463.32</v>
      </c>
      <c r="P225" s="14">
        <v>55.036498850000001</v>
      </c>
      <c r="Q225" s="8">
        <f t="shared" si="21"/>
        <v>14034.30720675</v>
      </c>
      <c r="R225" s="8">
        <f t="shared" si="22"/>
        <v>13263.79622285</v>
      </c>
      <c r="S225" s="15">
        <f t="shared" si="23"/>
        <v>0.94509803921568625</v>
      </c>
    </row>
    <row r="226" spans="1:19" x14ac:dyDescent="0.25">
      <c r="A226" s="10" t="s">
        <v>596</v>
      </c>
      <c r="B226" s="10">
        <v>73174</v>
      </c>
      <c r="C226" s="10">
        <v>67924</v>
      </c>
      <c r="D226" s="10" t="s">
        <v>594</v>
      </c>
      <c r="E226" s="10" t="s">
        <v>597</v>
      </c>
      <c r="F226" s="10" t="s">
        <v>21</v>
      </c>
      <c r="G226" s="10" t="s">
        <v>12</v>
      </c>
      <c r="H226" s="10" t="s">
        <v>41</v>
      </c>
      <c r="I226" s="11">
        <v>164</v>
      </c>
      <c r="J226" s="11"/>
      <c r="K226" s="11">
        <v>0</v>
      </c>
      <c r="L226" s="6">
        <f t="shared" si="18"/>
        <v>164</v>
      </c>
      <c r="M226" s="12">
        <v>18.52</v>
      </c>
      <c r="N226" s="13">
        <f t="shared" si="19"/>
        <v>3037.2799999999997</v>
      </c>
      <c r="O226" s="13">
        <f t="shared" si="20"/>
        <v>0</v>
      </c>
      <c r="P226" s="14">
        <v>51.806020799999999</v>
      </c>
      <c r="Q226" s="8">
        <f t="shared" si="21"/>
        <v>8496.1874112000005</v>
      </c>
      <c r="R226" s="8">
        <f t="shared" si="22"/>
        <v>0</v>
      </c>
      <c r="S226" s="15">
        <f t="shared" si="23"/>
        <v>0</v>
      </c>
    </row>
    <row r="227" spans="1:19" x14ac:dyDescent="0.25">
      <c r="A227" s="10" t="s">
        <v>598</v>
      </c>
      <c r="B227" s="10">
        <v>73174</v>
      </c>
      <c r="C227" s="10">
        <v>67924</v>
      </c>
      <c r="D227" s="10" t="s">
        <v>594</v>
      </c>
      <c r="E227" s="10" t="s">
        <v>599</v>
      </c>
      <c r="F227" s="10" t="s">
        <v>21</v>
      </c>
      <c r="G227" s="10" t="s">
        <v>12</v>
      </c>
      <c r="H227" s="10" t="s">
        <v>41</v>
      </c>
      <c r="I227" s="11">
        <v>79</v>
      </c>
      <c r="J227" s="11"/>
      <c r="K227" s="11">
        <v>35</v>
      </c>
      <c r="L227" s="6">
        <f t="shared" si="18"/>
        <v>44</v>
      </c>
      <c r="M227" s="12">
        <v>18.52</v>
      </c>
      <c r="N227" s="13">
        <f t="shared" si="19"/>
        <v>1463.08</v>
      </c>
      <c r="O227" s="13">
        <f t="shared" si="20"/>
        <v>648.19999999999993</v>
      </c>
      <c r="P227" s="14">
        <v>72.947841699999998</v>
      </c>
      <c r="Q227" s="8">
        <f t="shared" si="21"/>
        <v>5762.8794943000003</v>
      </c>
      <c r="R227" s="8">
        <f t="shared" si="22"/>
        <v>2553.1744595</v>
      </c>
      <c r="S227" s="15">
        <f t="shared" si="23"/>
        <v>0.44303797468354428</v>
      </c>
    </row>
    <row r="228" spans="1:19" x14ac:dyDescent="0.25">
      <c r="A228" s="10" t="s">
        <v>600</v>
      </c>
      <c r="B228" s="10">
        <v>73175</v>
      </c>
      <c r="C228" s="10">
        <v>40568</v>
      </c>
      <c r="D228" s="10" t="s">
        <v>601</v>
      </c>
      <c r="E228" s="10" t="s">
        <v>602</v>
      </c>
      <c r="F228" s="10" t="s">
        <v>21</v>
      </c>
      <c r="G228" s="10" t="s">
        <v>12</v>
      </c>
      <c r="H228" s="10" t="s">
        <v>41</v>
      </c>
      <c r="I228" s="11">
        <v>250</v>
      </c>
      <c r="J228" s="11"/>
      <c r="K228" s="11">
        <v>241</v>
      </c>
      <c r="L228" s="6">
        <f t="shared" si="18"/>
        <v>9</v>
      </c>
      <c r="M228" s="12">
        <v>16.09</v>
      </c>
      <c r="N228" s="13">
        <f t="shared" si="19"/>
        <v>4022.5</v>
      </c>
      <c r="O228" s="13">
        <f t="shared" si="20"/>
        <v>3877.69</v>
      </c>
      <c r="P228" s="14">
        <v>115.48895201000001</v>
      </c>
      <c r="Q228" s="8">
        <f t="shared" si="21"/>
        <v>28872.238002500002</v>
      </c>
      <c r="R228" s="8">
        <f t="shared" si="22"/>
        <v>27832.837434410001</v>
      </c>
      <c r="S228" s="15">
        <f t="shared" si="23"/>
        <v>0.96399999999999997</v>
      </c>
    </row>
    <row r="229" spans="1:19" x14ac:dyDescent="0.25">
      <c r="A229" s="10" t="s">
        <v>603</v>
      </c>
      <c r="B229" s="10">
        <v>73175</v>
      </c>
      <c r="C229" s="10">
        <v>40568</v>
      </c>
      <c r="D229" s="10" t="s">
        <v>601</v>
      </c>
      <c r="E229" s="10" t="s">
        <v>604</v>
      </c>
      <c r="F229" s="10" t="s">
        <v>21</v>
      </c>
      <c r="G229" s="10" t="s">
        <v>12</v>
      </c>
      <c r="H229" s="10" t="s">
        <v>41</v>
      </c>
      <c r="I229" s="11">
        <v>167</v>
      </c>
      <c r="J229" s="11"/>
      <c r="K229" s="11">
        <v>72</v>
      </c>
      <c r="L229" s="6">
        <f t="shared" si="18"/>
        <v>95</v>
      </c>
      <c r="M229" s="12">
        <v>16.09</v>
      </c>
      <c r="N229" s="13">
        <f t="shared" si="19"/>
        <v>2687.03</v>
      </c>
      <c r="O229" s="13">
        <f t="shared" si="20"/>
        <v>1158.48</v>
      </c>
      <c r="P229" s="14">
        <v>115.53000864000001</v>
      </c>
      <c r="Q229" s="8">
        <f t="shared" si="21"/>
        <v>19293.511442880001</v>
      </c>
      <c r="R229" s="8">
        <f t="shared" si="22"/>
        <v>8318.1606220800004</v>
      </c>
      <c r="S229" s="15">
        <f t="shared" si="23"/>
        <v>0.43113772455089822</v>
      </c>
    </row>
    <row r="230" spans="1:19" x14ac:dyDescent="0.25">
      <c r="A230" s="10" t="s">
        <v>605</v>
      </c>
      <c r="B230" s="10">
        <v>73175</v>
      </c>
      <c r="C230" s="10">
        <v>40568</v>
      </c>
      <c r="D230" s="10" t="s">
        <v>601</v>
      </c>
      <c r="E230" s="10" t="s">
        <v>606</v>
      </c>
      <c r="F230" s="10" t="s">
        <v>21</v>
      </c>
      <c r="G230" s="10" t="s">
        <v>12</v>
      </c>
      <c r="H230" s="10" t="s">
        <v>41</v>
      </c>
      <c r="I230" s="11">
        <v>78</v>
      </c>
      <c r="J230" s="11"/>
      <c r="K230" s="11">
        <v>35</v>
      </c>
      <c r="L230" s="6">
        <f t="shared" si="18"/>
        <v>43</v>
      </c>
      <c r="M230" s="12">
        <v>16.09</v>
      </c>
      <c r="N230" s="13">
        <f t="shared" si="19"/>
        <v>1255.02</v>
      </c>
      <c r="O230" s="13">
        <f t="shared" si="20"/>
        <v>563.15</v>
      </c>
      <c r="P230" s="14">
        <v>116.25197593999999</v>
      </c>
      <c r="Q230" s="8">
        <f t="shared" si="21"/>
        <v>9067.6541233199987</v>
      </c>
      <c r="R230" s="8">
        <f t="shared" si="22"/>
        <v>4068.8191578999999</v>
      </c>
      <c r="S230" s="15">
        <f t="shared" si="23"/>
        <v>0.44871794871794873</v>
      </c>
    </row>
    <row r="231" spans="1:19" x14ac:dyDescent="0.25">
      <c r="A231" s="10" t="s">
        <v>607</v>
      </c>
      <c r="B231" s="10">
        <v>73176</v>
      </c>
      <c r="C231" s="10">
        <v>40567</v>
      </c>
      <c r="D231" s="10" t="s">
        <v>608</v>
      </c>
      <c r="E231" s="10" t="s">
        <v>609</v>
      </c>
      <c r="F231" s="10" t="s">
        <v>21</v>
      </c>
      <c r="G231" s="10" t="s">
        <v>12</v>
      </c>
      <c r="H231" s="10" t="s">
        <v>41</v>
      </c>
      <c r="I231" s="11">
        <v>241</v>
      </c>
      <c r="J231" s="11"/>
      <c r="K231" s="11">
        <v>241</v>
      </c>
      <c r="L231" s="6">
        <f t="shared" si="18"/>
        <v>0</v>
      </c>
      <c r="M231" s="12">
        <v>6.83</v>
      </c>
      <c r="N231" s="13">
        <f t="shared" si="19"/>
        <v>1646.03</v>
      </c>
      <c r="O231" s="13">
        <f t="shared" si="20"/>
        <v>1646.03</v>
      </c>
      <c r="P231" s="14">
        <v>27.271233290000001</v>
      </c>
      <c r="Q231" s="8">
        <f t="shared" si="21"/>
        <v>6572.3672228900004</v>
      </c>
      <c r="R231" s="8">
        <f t="shared" si="22"/>
        <v>6572.3672228900004</v>
      </c>
      <c r="S231" s="15">
        <f t="shared" si="23"/>
        <v>1</v>
      </c>
    </row>
    <row r="232" spans="1:19" x14ac:dyDescent="0.25">
      <c r="A232" s="10" t="s">
        <v>610</v>
      </c>
      <c r="B232" s="10">
        <v>73176</v>
      </c>
      <c r="C232" s="10">
        <v>40567</v>
      </c>
      <c r="D232" s="10" t="s">
        <v>608</v>
      </c>
      <c r="E232" s="10" t="s">
        <v>611</v>
      </c>
      <c r="F232" s="10" t="s">
        <v>21</v>
      </c>
      <c r="G232" s="10" t="s">
        <v>12</v>
      </c>
      <c r="H232" s="10" t="s">
        <v>41</v>
      </c>
      <c r="I232" s="11">
        <v>161</v>
      </c>
      <c r="J232" s="11"/>
      <c r="K232" s="11">
        <v>72</v>
      </c>
      <c r="L232" s="6">
        <f t="shared" si="18"/>
        <v>89</v>
      </c>
      <c r="M232" s="12">
        <v>6.83</v>
      </c>
      <c r="N232" s="13">
        <f t="shared" si="19"/>
        <v>1099.6300000000001</v>
      </c>
      <c r="O232" s="13">
        <f t="shared" si="20"/>
        <v>491.76</v>
      </c>
      <c r="P232" s="14">
        <v>28.986030360000001</v>
      </c>
      <c r="Q232" s="8">
        <f t="shared" si="21"/>
        <v>4666.75088796</v>
      </c>
      <c r="R232" s="8">
        <f t="shared" si="22"/>
        <v>2086.9941859199998</v>
      </c>
      <c r="S232" s="15">
        <f t="shared" si="23"/>
        <v>0.44720496894409939</v>
      </c>
    </row>
    <row r="233" spans="1:19" x14ac:dyDescent="0.25">
      <c r="A233" s="10" t="s">
        <v>612</v>
      </c>
      <c r="B233" s="10">
        <v>73176</v>
      </c>
      <c r="C233" s="10">
        <v>40567</v>
      </c>
      <c r="D233" s="10" t="s">
        <v>608</v>
      </c>
      <c r="E233" s="10" t="s">
        <v>613</v>
      </c>
      <c r="F233" s="10" t="s">
        <v>21</v>
      </c>
      <c r="G233" s="10" t="s">
        <v>12</v>
      </c>
      <c r="H233" s="10" t="s">
        <v>41</v>
      </c>
      <c r="I233" s="11">
        <v>78</v>
      </c>
      <c r="J233" s="11"/>
      <c r="K233" s="11">
        <v>35</v>
      </c>
      <c r="L233" s="6">
        <f t="shared" si="18"/>
        <v>43</v>
      </c>
      <c r="M233" s="12">
        <v>6.83</v>
      </c>
      <c r="N233" s="13">
        <f t="shared" si="19"/>
        <v>532.74</v>
      </c>
      <c r="O233" s="13">
        <f t="shared" si="20"/>
        <v>239.05</v>
      </c>
      <c r="P233" s="14">
        <v>27.09722734</v>
      </c>
      <c r="Q233" s="8">
        <f t="shared" si="21"/>
        <v>2113.58373252</v>
      </c>
      <c r="R233" s="8">
        <f t="shared" si="22"/>
        <v>948.40295690000005</v>
      </c>
      <c r="S233" s="15">
        <f t="shared" si="23"/>
        <v>0.44871794871794873</v>
      </c>
    </row>
    <row r="234" spans="1:19" x14ac:dyDescent="0.25">
      <c r="A234" s="10" t="s">
        <v>614</v>
      </c>
      <c r="B234" s="10">
        <v>73189</v>
      </c>
      <c r="C234" s="10">
        <v>91018</v>
      </c>
      <c r="D234" s="10" t="s">
        <v>615</v>
      </c>
      <c r="E234" s="10" t="s">
        <v>616</v>
      </c>
      <c r="F234" s="10" t="s">
        <v>21</v>
      </c>
      <c r="G234" s="10" t="s">
        <v>12</v>
      </c>
      <c r="H234" s="10" t="s">
        <v>41</v>
      </c>
      <c r="I234" s="11">
        <v>1702</v>
      </c>
      <c r="J234" s="11"/>
      <c r="K234" s="11">
        <v>1095</v>
      </c>
      <c r="L234" s="6">
        <f t="shared" si="18"/>
        <v>607</v>
      </c>
      <c r="M234" s="12">
        <v>32.174999999999997</v>
      </c>
      <c r="N234" s="13">
        <f t="shared" si="19"/>
        <v>54761.85</v>
      </c>
      <c r="O234" s="13">
        <f t="shared" si="20"/>
        <v>35231.625</v>
      </c>
      <c r="P234" s="14">
        <v>155.06372816999999</v>
      </c>
      <c r="Q234" s="8">
        <f t="shared" si="21"/>
        <v>263918.46534533997</v>
      </c>
      <c r="R234" s="8">
        <f t="shared" si="22"/>
        <v>169794.78234614999</v>
      </c>
      <c r="S234" s="15">
        <f t="shared" si="23"/>
        <v>0.64336075205640419</v>
      </c>
    </row>
    <row r="235" spans="1:19" x14ac:dyDescent="0.25">
      <c r="A235" s="10" t="s">
        <v>617</v>
      </c>
      <c r="B235" s="10">
        <v>73189</v>
      </c>
      <c r="C235" s="10">
        <v>91018</v>
      </c>
      <c r="D235" s="10" t="s">
        <v>615</v>
      </c>
      <c r="E235" s="10" t="s">
        <v>618</v>
      </c>
      <c r="F235" s="10" t="s">
        <v>21</v>
      </c>
      <c r="G235" s="10" t="s">
        <v>12</v>
      </c>
      <c r="H235" s="10" t="s">
        <v>41</v>
      </c>
      <c r="I235" s="11">
        <v>656</v>
      </c>
      <c r="J235" s="11"/>
      <c r="K235" s="11">
        <v>535</v>
      </c>
      <c r="L235" s="6">
        <f t="shared" si="18"/>
        <v>121</v>
      </c>
      <c r="M235" s="12">
        <v>32.174999999999997</v>
      </c>
      <c r="N235" s="13">
        <f t="shared" si="19"/>
        <v>21106.799999999999</v>
      </c>
      <c r="O235" s="13">
        <f t="shared" si="20"/>
        <v>17213.625</v>
      </c>
      <c r="P235" s="14">
        <v>138.62711515999999</v>
      </c>
      <c r="Q235" s="8">
        <f t="shared" si="21"/>
        <v>90939.387544959987</v>
      </c>
      <c r="R235" s="8">
        <f t="shared" si="22"/>
        <v>74165.506610599987</v>
      </c>
      <c r="S235" s="15">
        <f t="shared" si="23"/>
        <v>0.81554878048780488</v>
      </c>
    </row>
    <row r="236" spans="1:19" x14ac:dyDescent="0.25">
      <c r="A236" s="10" t="s">
        <v>619</v>
      </c>
      <c r="B236" s="10">
        <v>73189</v>
      </c>
      <c r="C236" s="10">
        <v>91018</v>
      </c>
      <c r="D236" s="10" t="s">
        <v>615</v>
      </c>
      <c r="E236" s="10" t="s">
        <v>620</v>
      </c>
      <c r="F236" s="10" t="s">
        <v>21</v>
      </c>
      <c r="G236" s="10" t="s">
        <v>12</v>
      </c>
      <c r="H236" s="10" t="s">
        <v>41</v>
      </c>
      <c r="I236" s="11">
        <v>86</v>
      </c>
      <c r="J236" s="11"/>
      <c r="K236" s="11">
        <v>86</v>
      </c>
      <c r="L236" s="6">
        <f t="shared" si="18"/>
        <v>0</v>
      </c>
      <c r="M236" s="12">
        <v>32.174999999999997</v>
      </c>
      <c r="N236" s="13">
        <f t="shared" si="19"/>
        <v>2767.0499999999997</v>
      </c>
      <c r="O236" s="13">
        <f t="shared" si="20"/>
        <v>2767.0499999999997</v>
      </c>
      <c r="P236" s="14">
        <v>146.55136006999999</v>
      </c>
      <c r="Q236" s="8">
        <f t="shared" si="21"/>
        <v>12603.416966019999</v>
      </c>
      <c r="R236" s="8">
        <f t="shared" si="22"/>
        <v>12603.416966019999</v>
      </c>
      <c r="S236" s="15">
        <f t="shared" si="23"/>
        <v>1</v>
      </c>
    </row>
    <row r="237" spans="1:19" x14ac:dyDescent="0.25">
      <c r="A237" s="10" t="s">
        <v>621</v>
      </c>
      <c r="B237" s="10">
        <v>73226</v>
      </c>
      <c r="C237" s="10">
        <v>91012</v>
      </c>
      <c r="D237" s="10" t="s">
        <v>622</v>
      </c>
      <c r="E237" s="10"/>
      <c r="F237" s="10" t="s">
        <v>21</v>
      </c>
      <c r="G237" s="10" t="s">
        <v>12</v>
      </c>
      <c r="H237" s="10" t="s">
        <v>41</v>
      </c>
      <c r="I237" s="11">
        <v>2692</v>
      </c>
      <c r="J237" s="11"/>
      <c r="K237" s="11">
        <v>0</v>
      </c>
      <c r="L237" s="6">
        <f t="shared" si="18"/>
        <v>2692</v>
      </c>
      <c r="M237" s="12">
        <v>12.675000000000001</v>
      </c>
      <c r="N237" s="13">
        <f t="shared" si="19"/>
        <v>34121.1</v>
      </c>
      <c r="O237" s="13">
        <f t="shared" si="20"/>
        <v>0</v>
      </c>
      <c r="P237" s="14">
        <v>46.73847671</v>
      </c>
      <c r="Q237" s="8">
        <f t="shared" si="21"/>
        <v>125819.97930332</v>
      </c>
      <c r="R237" s="8">
        <f t="shared" si="22"/>
        <v>0</v>
      </c>
      <c r="S237" s="15">
        <f t="shared" si="23"/>
        <v>0</v>
      </c>
    </row>
    <row r="238" spans="1:19" x14ac:dyDescent="0.25">
      <c r="A238" s="10" t="s">
        <v>623</v>
      </c>
      <c r="B238" s="10">
        <v>73259</v>
      </c>
      <c r="C238" s="10">
        <v>59350</v>
      </c>
      <c r="D238" s="10" t="s">
        <v>624</v>
      </c>
      <c r="E238" s="10" t="s">
        <v>625</v>
      </c>
      <c r="F238" s="10" t="s">
        <v>21</v>
      </c>
      <c r="G238" s="10" t="s">
        <v>12</v>
      </c>
      <c r="H238" s="10" t="s">
        <v>41</v>
      </c>
      <c r="I238" s="11">
        <v>931</v>
      </c>
      <c r="J238" s="11"/>
      <c r="K238" s="11">
        <v>223</v>
      </c>
      <c r="L238" s="6">
        <f t="shared" si="18"/>
        <v>708</v>
      </c>
      <c r="M238" s="12">
        <v>56.55</v>
      </c>
      <c r="N238" s="13">
        <f t="shared" si="19"/>
        <v>52648.049999999996</v>
      </c>
      <c r="O238" s="13">
        <f t="shared" si="20"/>
        <v>12610.65</v>
      </c>
      <c r="P238" s="14">
        <v>224.72974693</v>
      </c>
      <c r="Q238" s="8">
        <f t="shared" si="21"/>
        <v>209223.39439182999</v>
      </c>
      <c r="R238" s="8">
        <f t="shared" si="22"/>
        <v>50114.733565390001</v>
      </c>
      <c r="S238" s="15">
        <f t="shared" si="23"/>
        <v>0.23952738990332975</v>
      </c>
    </row>
    <row r="239" spans="1:19" x14ac:dyDescent="0.25">
      <c r="A239" s="10" t="s">
        <v>626</v>
      </c>
      <c r="B239" s="10">
        <v>73259</v>
      </c>
      <c r="C239" s="10">
        <v>59350</v>
      </c>
      <c r="D239" s="10" t="s">
        <v>624</v>
      </c>
      <c r="E239" s="10" t="s">
        <v>627</v>
      </c>
      <c r="F239" s="10" t="s">
        <v>21</v>
      </c>
      <c r="G239" s="10" t="s">
        <v>12</v>
      </c>
      <c r="H239" s="10" t="s">
        <v>41</v>
      </c>
      <c r="I239" s="11">
        <v>252</v>
      </c>
      <c r="J239" s="11"/>
      <c r="K239" s="11">
        <v>71</v>
      </c>
      <c r="L239" s="6">
        <f t="shared" si="18"/>
        <v>181</v>
      </c>
      <c r="M239" s="12">
        <v>56.55</v>
      </c>
      <c r="N239" s="13">
        <f t="shared" si="19"/>
        <v>14250.599999999999</v>
      </c>
      <c r="O239" s="13">
        <f t="shared" si="20"/>
        <v>4015.0499999999997</v>
      </c>
      <c r="P239" s="14">
        <v>223.46336643000001</v>
      </c>
      <c r="Q239" s="8">
        <f t="shared" si="21"/>
        <v>56312.768340360002</v>
      </c>
      <c r="R239" s="8">
        <f t="shared" si="22"/>
        <v>15865.89901653</v>
      </c>
      <c r="S239" s="15">
        <f t="shared" si="23"/>
        <v>0.28174603174603174</v>
      </c>
    </row>
    <row r="240" spans="1:19" x14ac:dyDescent="0.25">
      <c r="A240" s="10" t="s">
        <v>628</v>
      </c>
      <c r="B240" s="10">
        <v>73276</v>
      </c>
      <c r="C240" s="10">
        <v>41596</v>
      </c>
      <c r="D240" s="10" t="s">
        <v>629</v>
      </c>
      <c r="E240" s="10" t="s">
        <v>630</v>
      </c>
      <c r="F240" s="10" t="s">
        <v>21</v>
      </c>
      <c r="G240" s="10" t="s">
        <v>12</v>
      </c>
      <c r="H240" s="10" t="s">
        <v>41</v>
      </c>
      <c r="I240" s="11">
        <v>609</v>
      </c>
      <c r="J240" s="11"/>
      <c r="K240" s="11">
        <v>478</v>
      </c>
      <c r="L240" s="6">
        <f t="shared" si="18"/>
        <v>131</v>
      </c>
      <c r="M240" s="12">
        <v>29.766999999999999</v>
      </c>
      <c r="N240" s="13">
        <f t="shared" si="19"/>
        <v>18128.102999999999</v>
      </c>
      <c r="O240" s="13">
        <f t="shared" si="20"/>
        <v>14228.626</v>
      </c>
      <c r="P240" s="14">
        <v>107.16795095000001</v>
      </c>
      <c r="Q240" s="8">
        <f t="shared" si="21"/>
        <v>65265.282128550003</v>
      </c>
      <c r="R240" s="8">
        <f t="shared" si="22"/>
        <v>51226.280554100005</v>
      </c>
      <c r="S240" s="15">
        <f t="shared" si="23"/>
        <v>0.78489326765188838</v>
      </c>
    </row>
    <row r="241" spans="1:19" x14ac:dyDescent="0.25">
      <c r="A241" s="10" t="s">
        <v>631</v>
      </c>
      <c r="B241" s="10">
        <v>73276</v>
      </c>
      <c r="C241" s="10">
        <v>41596</v>
      </c>
      <c r="D241" s="10" t="s">
        <v>629</v>
      </c>
      <c r="E241" s="10" t="s">
        <v>632</v>
      </c>
      <c r="F241" s="10" t="s">
        <v>21</v>
      </c>
      <c r="G241" s="10" t="s">
        <v>12</v>
      </c>
      <c r="H241" s="10" t="s">
        <v>41</v>
      </c>
      <c r="I241" s="11">
        <v>286</v>
      </c>
      <c r="J241" s="11"/>
      <c r="K241" s="11">
        <v>161</v>
      </c>
      <c r="L241" s="6">
        <f t="shared" si="18"/>
        <v>125</v>
      </c>
      <c r="M241" s="12">
        <v>29.766999999999999</v>
      </c>
      <c r="N241" s="13">
        <f t="shared" si="19"/>
        <v>8513.3619999999992</v>
      </c>
      <c r="O241" s="13">
        <f t="shared" si="20"/>
        <v>4792.4870000000001</v>
      </c>
      <c r="P241" s="14">
        <v>108.95405117</v>
      </c>
      <c r="Q241" s="8">
        <f t="shared" si="21"/>
        <v>31160.858634619999</v>
      </c>
      <c r="R241" s="8">
        <f t="shared" si="22"/>
        <v>17541.60223837</v>
      </c>
      <c r="S241" s="15">
        <f t="shared" si="23"/>
        <v>0.56293706293706292</v>
      </c>
    </row>
    <row r="242" spans="1:19" x14ac:dyDescent="0.25">
      <c r="A242" s="10" t="s">
        <v>633</v>
      </c>
      <c r="B242" s="10">
        <v>73277</v>
      </c>
      <c r="C242" s="10">
        <v>41597</v>
      </c>
      <c r="D242" s="10" t="s">
        <v>634</v>
      </c>
      <c r="E242" s="10" t="s">
        <v>635</v>
      </c>
      <c r="F242" s="10" t="s">
        <v>21</v>
      </c>
      <c r="G242" s="10" t="s">
        <v>12</v>
      </c>
      <c r="H242" s="10" t="s">
        <v>41</v>
      </c>
      <c r="I242" s="11">
        <v>260</v>
      </c>
      <c r="J242" s="11"/>
      <c r="K242" s="11">
        <v>0</v>
      </c>
      <c r="L242" s="6">
        <f t="shared" si="18"/>
        <v>260</v>
      </c>
      <c r="M242" s="12">
        <v>41.710999999999999</v>
      </c>
      <c r="N242" s="13">
        <f t="shared" si="19"/>
        <v>10844.859999999999</v>
      </c>
      <c r="O242" s="13">
        <f t="shared" si="20"/>
        <v>0</v>
      </c>
      <c r="P242" s="14">
        <v>187.27890622000001</v>
      </c>
      <c r="Q242" s="8">
        <f t="shared" si="21"/>
        <v>48692.515617200006</v>
      </c>
      <c r="R242" s="8">
        <f t="shared" si="22"/>
        <v>0</v>
      </c>
      <c r="S242" s="15">
        <f t="shared" si="23"/>
        <v>0</v>
      </c>
    </row>
    <row r="243" spans="1:19" x14ac:dyDescent="0.25">
      <c r="A243" s="10" t="s">
        <v>636</v>
      </c>
      <c r="B243" s="10">
        <v>73277</v>
      </c>
      <c r="C243" s="10">
        <v>41597</v>
      </c>
      <c r="D243" s="10" t="s">
        <v>634</v>
      </c>
      <c r="E243" s="10" t="s">
        <v>637</v>
      </c>
      <c r="F243" s="10" t="s">
        <v>21</v>
      </c>
      <c r="G243" s="10" t="s">
        <v>12</v>
      </c>
      <c r="H243" s="10" t="s">
        <v>41</v>
      </c>
      <c r="I243" s="11">
        <v>347</v>
      </c>
      <c r="J243" s="11"/>
      <c r="K243" s="11">
        <v>240</v>
      </c>
      <c r="L243" s="6">
        <f t="shared" si="18"/>
        <v>107</v>
      </c>
      <c r="M243" s="12">
        <v>41.710999999999999</v>
      </c>
      <c r="N243" s="13">
        <f t="shared" si="19"/>
        <v>14473.716999999999</v>
      </c>
      <c r="O243" s="13">
        <f t="shared" si="20"/>
        <v>10010.64</v>
      </c>
      <c r="P243" s="14">
        <v>189.22560252</v>
      </c>
      <c r="Q243" s="8">
        <f t="shared" si="21"/>
        <v>65661.284074440002</v>
      </c>
      <c r="R243" s="8">
        <f t="shared" si="22"/>
        <v>45414.1446048</v>
      </c>
      <c r="S243" s="15">
        <f t="shared" si="23"/>
        <v>0.69164265129683</v>
      </c>
    </row>
    <row r="244" spans="1:19" x14ac:dyDescent="0.25">
      <c r="A244" s="10" t="s">
        <v>638</v>
      </c>
      <c r="B244" s="10">
        <v>73277</v>
      </c>
      <c r="C244" s="10">
        <v>41597</v>
      </c>
      <c r="D244" s="10" t="s">
        <v>634</v>
      </c>
      <c r="E244" s="10" t="s">
        <v>639</v>
      </c>
      <c r="F244" s="10" t="s">
        <v>21</v>
      </c>
      <c r="G244" s="10" t="s">
        <v>12</v>
      </c>
      <c r="H244" s="10" t="s">
        <v>41</v>
      </c>
      <c r="I244" s="11">
        <v>277</v>
      </c>
      <c r="J244" s="11"/>
      <c r="K244" s="11">
        <v>161</v>
      </c>
      <c r="L244" s="6">
        <f t="shared" si="18"/>
        <v>116</v>
      </c>
      <c r="M244" s="12">
        <v>41.710999999999999</v>
      </c>
      <c r="N244" s="13">
        <f t="shared" si="19"/>
        <v>11553.947</v>
      </c>
      <c r="O244" s="13">
        <f t="shared" si="20"/>
        <v>6715.4709999999995</v>
      </c>
      <c r="P244" s="14">
        <v>177.47721838999999</v>
      </c>
      <c r="Q244" s="8">
        <f t="shared" si="21"/>
        <v>49161.189494029997</v>
      </c>
      <c r="R244" s="8">
        <f t="shared" si="22"/>
        <v>28573.83216079</v>
      </c>
      <c r="S244" s="15">
        <f t="shared" si="23"/>
        <v>0.58122743682310474</v>
      </c>
    </row>
    <row r="245" spans="1:19" x14ac:dyDescent="0.25">
      <c r="A245" s="10" t="s">
        <v>640</v>
      </c>
      <c r="B245" s="10">
        <v>73279</v>
      </c>
      <c r="C245" s="10">
        <v>24205</v>
      </c>
      <c r="D245" s="10" t="s">
        <v>641</v>
      </c>
      <c r="E245" s="10" t="s">
        <v>642</v>
      </c>
      <c r="F245" s="10" t="s">
        <v>21</v>
      </c>
      <c r="G245" s="10" t="s">
        <v>12</v>
      </c>
      <c r="H245" s="10" t="s">
        <v>41</v>
      </c>
      <c r="I245" s="11">
        <v>585</v>
      </c>
      <c r="J245" s="11"/>
      <c r="K245" s="11">
        <v>457</v>
      </c>
      <c r="L245" s="6">
        <f t="shared" si="18"/>
        <v>128</v>
      </c>
      <c r="M245" s="12">
        <v>27.3</v>
      </c>
      <c r="N245" s="13">
        <f t="shared" si="19"/>
        <v>15970.5</v>
      </c>
      <c r="O245" s="13">
        <f t="shared" si="20"/>
        <v>12476.1</v>
      </c>
      <c r="P245" s="14">
        <v>93.078363440000004</v>
      </c>
      <c r="Q245" s="8">
        <f t="shared" si="21"/>
        <v>54450.842612400003</v>
      </c>
      <c r="R245" s="8">
        <f t="shared" si="22"/>
        <v>42536.812092079999</v>
      </c>
      <c r="S245" s="15">
        <f t="shared" si="23"/>
        <v>0.7811965811965812</v>
      </c>
    </row>
    <row r="246" spans="1:19" x14ac:dyDescent="0.25">
      <c r="A246" s="10" t="s">
        <v>643</v>
      </c>
      <c r="B246" s="10">
        <v>73279</v>
      </c>
      <c r="C246" s="10">
        <v>24205</v>
      </c>
      <c r="D246" s="10" t="s">
        <v>641</v>
      </c>
      <c r="E246" s="10" t="s">
        <v>644</v>
      </c>
      <c r="F246" s="10" t="s">
        <v>21</v>
      </c>
      <c r="G246" s="10" t="s">
        <v>12</v>
      </c>
      <c r="H246" s="10" t="s">
        <v>41</v>
      </c>
      <c r="I246" s="11">
        <v>233</v>
      </c>
      <c r="J246" s="11"/>
      <c r="K246" s="11">
        <v>219</v>
      </c>
      <c r="L246" s="6">
        <f t="shared" si="18"/>
        <v>14</v>
      </c>
      <c r="M246" s="12">
        <v>27.3</v>
      </c>
      <c r="N246" s="13">
        <f t="shared" si="19"/>
        <v>6360.9000000000005</v>
      </c>
      <c r="O246" s="13">
        <f t="shared" si="20"/>
        <v>5978.7</v>
      </c>
      <c r="P246" s="14">
        <v>93.547742810000003</v>
      </c>
      <c r="Q246" s="8">
        <f t="shared" si="21"/>
        <v>21796.62407473</v>
      </c>
      <c r="R246" s="8">
        <f t="shared" si="22"/>
        <v>20486.95567539</v>
      </c>
      <c r="S246" s="15">
        <f t="shared" si="23"/>
        <v>0.93991416309012876</v>
      </c>
    </row>
    <row r="247" spans="1:19" x14ac:dyDescent="0.25">
      <c r="A247" s="10" t="s">
        <v>645</v>
      </c>
      <c r="B247" s="10">
        <v>73279</v>
      </c>
      <c r="C247" s="10">
        <v>24205</v>
      </c>
      <c r="D247" s="10" t="s">
        <v>641</v>
      </c>
      <c r="E247" s="10" t="s">
        <v>646</v>
      </c>
      <c r="F247" s="10" t="s">
        <v>21</v>
      </c>
      <c r="G247" s="10" t="s">
        <v>12</v>
      </c>
      <c r="H247" s="10" t="s">
        <v>41</v>
      </c>
      <c r="I247" s="11">
        <v>55</v>
      </c>
      <c r="J247" s="11"/>
      <c r="K247" s="11">
        <v>0</v>
      </c>
      <c r="L247" s="6">
        <f t="shared" si="18"/>
        <v>55</v>
      </c>
      <c r="M247" s="12">
        <v>27.3</v>
      </c>
      <c r="N247" s="13">
        <f t="shared" si="19"/>
        <v>1501.5</v>
      </c>
      <c r="O247" s="13">
        <f t="shared" si="20"/>
        <v>0</v>
      </c>
      <c r="P247" s="14">
        <v>92.390371119999998</v>
      </c>
      <c r="Q247" s="8">
        <f t="shared" si="21"/>
        <v>5081.4704116000003</v>
      </c>
      <c r="R247" s="8">
        <f t="shared" si="22"/>
        <v>0</v>
      </c>
      <c r="S247" s="15">
        <f t="shared" si="23"/>
        <v>0</v>
      </c>
    </row>
    <row r="248" spans="1:19" x14ac:dyDescent="0.25">
      <c r="A248" s="10" t="s">
        <v>647</v>
      </c>
      <c r="B248" s="10">
        <v>73280</v>
      </c>
      <c r="C248" s="10">
        <v>59518</v>
      </c>
      <c r="D248" s="10" t="s">
        <v>648</v>
      </c>
      <c r="E248" s="10" t="s">
        <v>649</v>
      </c>
      <c r="F248" s="10" t="s">
        <v>21</v>
      </c>
      <c r="G248" s="10" t="s">
        <v>12</v>
      </c>
      <c r="H248" s="10" t="s">
        <v>41</v>
      </c>
      <c r="I248" s="11">
        <v>358</v>
      </c>
      <c r="J248" s="11"/>
      <c r="K248" s="11">
        <v>358</v>
      </c>
      <c r="L248" s="6">
        <f t="shared" si="18"/>
        <v>0</v>
      </c>
      <c r="M248" s="12">
        <v>44.85</v>
      </c>
      <c r="N248" s="13">
        <f t="shared" si="19"/>
        <v>16056.300000000001</v>
      </c>
      <c r="O248" s="13">
        <f t="shared" si="20"/>
        <v>16056.300000000001</v>
      </c>
      <c r="P248" s="14">
        <v>209.3196681</v>
      </c>
      <c r="Q248" s="8">
        <f t="shared" si="21"/>
        <v>74936.441179800007</v>
      </c>
      <c r="R248" s="8">
        <f t="shared" si="22"/>
        <v>74936.441179800007</v>
      </c>
      <c r="S248" s="15">
        <f t="shared" si="23"/>
        <v>1</v>
      </c>
    </row>
    <row r="249" spans="1:19" x14ac:dyDescent="0.25">
      <c r="A249" s="10" t="s">
        <v>650</v>
      </c>
      <c r="B249" s="10">
        <v>73280</v>
      </c>
      <c r="C249" s="10">
        <v>59518</v>
      </c>
      <c r="D249" s="10" t="s">
        <v>648</v>
      </c>
      <c r="E249" s="10" t="s">
        <v>651</v>
      </c>
      <c r="F249" s="10" t="s">
        <v>21</v>
      </c>
      <c r="G249" s="10" t="s">
        <v>12</v>
      </c>
      <c r="H249" s="10" t="s">
        <v>41</v>
      </c>
      <c r="I249" s="11">
        <v>224</v>
      </c>
      <c r="J249" s="11"/>
      <c r="K249" s="11">
        <v>219</v>
      </c>
      <c r="L249" s="6">
        <f t="shared" si="18"/>
        <v>5</v>
      </c>
      <c r="M249" s="12">
        <v>44.85</v>
      </c>
      <c r="N249" s="13">
        <f t="shared" si="19"/>
        <v>10046.4</v>
      </c>
      <c r="O249" s="13">
        <f t="shared" si="20"/>
        <v>9822.15</v>
      </c>
      <c r="P249" s="14">
        <v>207.24917296999999</v>
      </c>
      <c r="Q249" s="8">
        <f t="shared" si="21"/>
        <v>46423.814745279997</v>
      </c>
      <c r="R249" s="8">
        <f t="shared" si="22"/>
        <v>45387.568880430001</v>
      </c>
      <c r="S249" s="15">
        <f t="shared" si="23"/>
        <v>0.9776785714285714</v>
      </c>
    </row>
    <row r="250" spans="1:19" x14ac:dyDescent="0.25">
      <c r="A250" s="10" t="s">
        <v>652</v>
      </c>
      <c r="B250" s="10">
        <v>73280</v>
      </c>
      <c r="C250" s="10">
        <v>59518</v>
      </c>
      <c r="D250" s="10" t="s">
        <v>648</v>
      </c>
      <c r="E250" s="10" t="s">
        <v>653</v>
      </c>
      <c r="F250" s="10" t="s">
        <v>21</v>
      </c>
      <c r="G250" s="10" t="s">
        <v>12</v>
      </c>
      <c r="H250" s="10" t="s">
        <v>41</v>
      </c>
      <c r="I250" s="11">
        <v>26</v>
      </c>
      <c r="J250" s="11"/>
      <c r="K250" s="11">
        <v>5</v>
      </c>
      <c r="L250" s="6">
        <f t="shared" si="18"/>
        <v>21</v>
      </c>
      <c r="M250" s="12">
        <v>44.85</v>
      </c>
      <c r="N250" s="13">
        <f t="shared" si="19"/>
        <v>1166.1000000000001</v>
      </c>
      <c r="O250" s="13">
        <f t="shared" si="20"/>
        <v>224.25</v>
      </c>
      <c r="P250" s="14">
        <v>214.73919153</v>
      </c>
      <c r="Q250" s="8">
        <f t="shared" si="21"/>
        <v>5583.2189797800002</v>
      </c>
      <c r="R250" s="8">
        <f t="shared" si="22"/>
        <v>1073.6959576500001</v>
      </c>
      <c r="S250" s="15">
        <f t="shared" si="23"/>
        <v>0.19230769230769232</v>
      </c>
    </row>
    <row r="251" spans="1:19" x14ac:dyDescent="0.25">
      <c r="A251" s="10" t="s">
        <v>654</v>
      </c>
      <c r="B251" s="10">
        <v>73280</v>
      </c>
      <c r="C251" s="10">
        <v>59518</v>
      </c>
      <c r="D251" s="10" t="s">
        <v>648</v>
      </c>
      <c r="E251" s="10" t="s">
        <v>655</v>
      </c>
      <c r="F251" s="10" t="s">
        <v>21</v>
      </c>
      <c r="G251" s="10" t="s">
        <v>12</v>
      </c>
      <c r="H251" s="10" t="s">
        <v>41</v>
      </c>
      <c r="I251" s="11">
        <v>188</v>
      </c>
      <c r="J251" s="11"/>
      <c r="K251" s="11">
        <v>99</v>
      </c>
      <c r="L251" s="6">
        <f t="shared" si="18"/>
        <v>89</v>
      </c>
      <c r="M251" s="12">
        <v>44.85</v>
      </c>
      <c r="N251" s="13">
        <f t="shared" si="19"/>
        <v>8431.8000000000011</v>
      </c>
      <c r="O251" s="13">
        <f t="shared" si="20"/>
        <v>4440.1500000000005</v>
      </c>
      <c r="P251" s="14">
        <v>209.46191447000001</v>
      </c>
      <c r="Q251" s="8">
        <f t="shared" si="21"/>
        <v>39378.839920359998</v>
      </c>
      <c r="R251" s="8">
        <f t="shared" si="22"/>
        <v>20736.72953253</v>
      </c>
      <c r="S251" s="15">
        <f t="shared" si="23"/>
        <v>0.52659574468085102</v>
      </c>
    </row>
    <row r="252" spans="1:19" x14ac:dyDescent="0.25">
      <c r="A252" s="10" t="s">
        <v>656</v>
      </c>
      <c r="B252" s="10">
        <v>73280</v>
      </c>
      <c r="C252" s="10">
        <v>59518</v>
      </c>
      <c r="D252" s="10" t="s">
        <v>648</v>
      </c>
      <c r="E252" s="10" t="s">
        <v>657</v>
      </c>
      <c r="F252" s="10" t="s">
        <v>21</v>
      </c>
      <c r="G252" s="10" t="s">
        <v>12</v>
      </c>
      <c r="H252" s="10" t="s">
        <v>41</v>
      </c>
      <c r="I252" s="11">
        <v>29</v>
      </c>
      <c r="J252" s="11"/>
      <c r="K252" s="11">
        <v>0</v>
      </c>
      <c r="L252" s="6">
        <f t="shared" si="18"/>
        <v>29</v>
      </c>
      <c r="M252" s="12">
        <v>44.85</v>
      </c>
      <c r="N252" s="13">
        <f t="shared" si="19"/>
        <v>1300.6500000000001</v>
      </c>
      <c r="O252" s="13">
        <f t="shared" si="20"/>
        <v>0</v>
      </c>
      <c r="P252" s="14">
        <v>213.15464206999999</v>
      </c>
      <c r="Q252" s="8">
        <f t="shared" si="21"/>
        <v>6181.4846200299999</v>
      </c>
      <c r="R252" s="8">
        <f t="shared" si="22"/>
        <v>0</v>
      </c>
      <c r="S252" s="15">
        <f t="shared" si="23"/>
        <v>0</v>
      </c>
    </row>
    <row r="253" spans="1:19" x14ac:dyDescent="0.25">
      <c r="A253" s="10" t="s">
        <v>658</v>
      </c>
      <c r="B253" s="10">
        <v>73282</v>
      </c>
      <c r="C253" s="10">
        <v>45137</v>
      </c>
      <c r="D253" s="10" t="s">
        <v>659</v>
      </c>
      <c r="E253" s="10" t="s">
        <v>660</v>
      </c>
      <c r="F253" s="10" t="s">
        <v>21</v>
      </c>
      <c r="G253" s="10" t="s">
        <v>12</v>
      </c>
      <c r="H253" s="10" t="s">
        <v>41</v>
      </c>
      <c r="I253" s="11">
        <v>486</v>
      </c>
      <c r="J253" s="11"/>
      <c r="K253" s="11">
        <v>176</v>
      </c>
      <c r="L253" s="6">
        <f t="shared" si="18"/>
        <v>310</v>
      </c>
      <c r="M253" s="12">
        <v>41.05</v>
      </c>
      <c r="N253" s="13">
        <f t="shared" si="19"/>
        <v>19950.3</v>
      </c>
      <c r="O253" s="13">
        <f t="shared" si="20"/>
        <v>7224.7999999999993</v>
      </c>
      <c r="P253" s="14">
        <v>197.29470423000001</v>
      </c>
      <c r="Q253" s="8">
        <f t="shared" si="21"/>
        <v>95885.226255779999</v>
      </c>
      <c r="R253" s="8">
        <f t="shared" si="22"/>
        <v>34723.86794448</v>
      </c>
      <c r="S253" s="15">
        <f t="shared" si="23"/>
        <v>0.36213991769547327</v>
      </c>
    </row>
    <row r="254" spans="1:19" x14ac:dyDescent="0.25">
      <c r="A254" s="10" t="s">
        <v>661</v>
      </c>
      <c r="B254" s="10">
        <v>73282</v>
      </c>
      <c r="C254" s="10">
        <v>45137</v>
      </c>
      <c r="D254" s="10" t="s">
        <v>659</v>
      </c>
      <c r="E254" s="10" t="s">
        <v>662</v>
      </c>
      <c r="F254" s="10" t="s">
        <v>21</v>
      </c>
      <c r="G254" s="10" t="s">
        <v>12</v>
      </c>
      <c r="H254" s="10" t="s">
        <v>41</v>
      </c>
      <c r="I254" s="11">
        <v>354</v>
      </c>
      <c r="J254" s="11"/>
      <c r="K254" s="11">
        <v>69</v>
      </c>
      <c r="L254" s="6">
        <f t="shared" si="18"/>
        <v>285</v>
      </c>
      <c r="M254" s="12">
        <v>41.05</v>
      </c>
      <c r="N254" s="13">
        <f t="shared" si="19"/>
        <v>14531.699999999999</v>
      </c>
      <c r="O254" s="13">
        <f t="shared" si="20"/>
        <v>2832.45</v>
      </c>
      <c r="P254" s="14">
        <v>195.34257124999999</v>
      </c>
      <c r="Q254" s="8">
        <f t="shared" si="21"/>
        <v>69151.270222499996</v>
      </c>
      <c r="R254" s="8">
        <f t="shared" si="22"/>
        <v>13478.63741625</v>
      </c>
      <c r="S254" s="15">
        <f t="shared" si="23"/>
        <v>0.19491525423728814</v>
      </c>
    </row>
    <row r="255" spans="1:19" x14ac:dyDescent="0.25">
      <c r="A255" s="10" t="s">
        <v>663</v>
      </c>
      <c r="B255" s="10">
        <v>73283</v>
      </c>
      <c r="C255" s="10">
        <v>45138</v>
      </c>
      <c r="D255" s="10" t="s">
        <v>664</v>
      </c>
      <c r="E255" s="10" t="s">
        <v>665</v>
      </c>
      <c r="F255" s="10" t="s">
        <v>21</v>
      </c>
      <c r="G255" s="10" t="s">
        <v>12</v>
      </c>
      <c r="H255" s="10" t="s">
        <v>41</v>
      </c>
      <c r="I255" s="11">
        <v>488</v>
      </c>
      <c r="J255" s="11"/>
      <c r="K255" s="11">
        <v>176</v>
      </c>
      <c r="L255" s="6">
        <f t="shared" si="18"/>
        <v>312</v>
      </c>
      <c r="M255" s="12">
        <v>30.95</v>
      </c>
      <c r="N255" s="13">
        <f t="shared" si="19"/>
        <v>15103.6</v>
      </c>
      <c r="O255" s="13">
        <f t="shared" si="20"/>
        <v>5447.2</v>
      </c>
      <c r="P255" s="14">
        <v>142.72956452</v>
      </c>
      <c r="Q255" s="8">
        <f t="shared" si="21"/>
        <v>69652.027485760002</v>
      </c>
      <c r="R255" s="8">
        <f t="shared" si="22"/>
        <v>25120.40335552</v>
      </c>
      <c r="S255" s="15">
        <f t="shared" si="23"/>
        <v>0.36065573770491804</v>
      </c>
    </row>
    <row r="256" spans="1:19" x14ac:dyDescent="0.25">
      <c r="A256" s="10" t="s">
        <v>666</v>
      </c>
      <c r="B256" s="10">
        <v>73283</v>
      </c>
      <c r="C256" s="10">
        <v>45138</v>
      </c>
      <c r="D256" s="10" t="s">
        <v>664</v>
      </c>
      <c r="E256" s="10" t="s">
        <v>667</v>
      </c>
      <c r="F256" s="10" t="s">
        <v>21</v>
      </c>
      <c r="G256" s="10" t="s">
        <v>12</v>
      </c>
      <c r="H256" s="10" t="s">
        <v>41</v>
      </c>
      <c r="I256" s="11">
        <v>356</v>
      </c>
      <c r="J256" s="11"/>
      <c r="K256" s="11">
        <v>69</v>
      </c>
      <c r="L256" s="6">
        <f t="shared" si="18"/>
        <v>287</v>
      </c>
      <c r="M256" s="12">
        <v>30.95</v>
      </c>
      <c r="N256" s="13">
        <f t="shared" si="19"/>
        <v>11018.199999999999</v>
      </c>
      <c r="O256" s="13">
        <f t="shared" si="20"/>
        <v>2135.5499999999997</v>
      </c>
      <c r="P256" s="14">
        <v>138.36487009999999</v>
      </c>
      <c r="Q256" s="8">
        <f t="shared" si="21"/>
        <v>49257.893755599995</v>
      </c>
      <c r="R256" s="8">
        <f t="shared" si="22"/>
        <v>9547.1760368999985</v>
      </c>
      <c r="S256" s="15">
        <f t="shared" si="23"/>
        <v>0.19382022471910113</v>
      </c>
    </row>
    <row r="257" spans="1:19" x14ac:dyDescent="0.25">
      <c r="A257" s="10" t="s">
        <v>668</v>
      </c>
      <c r="B257" s="10">
        <v>73285</v>
      </c>
      <c r="C257" s="10">
        <v>76416</v>
      </c>
      <c r="D257" s="10" t="s">
        <v>669</v>
      </c>
      <c r="E257" s="10" t="s">
        <v>670</v>
      </c>
      <c r="F257" s="10" t="s">
        <v>21</v>
      </c>
      <c r="G257" s="10" t="s">
        <v>12</v>
      </c>
      <c r="H257" s="10" t="s">
        <v>41</v>
      </c>
      <c r="I257" s="11">
        <v>197</v>
      </c>
      <c r="J257" s="11"/>
      <c r="K257" s="11">
        <v>0</v>
      </c>
      <c r="L257" s="6">
        <f t="shared" si="18"/>
        <v>197</v>
      </c>
      <c r="M257" s="12">
        <v>43.241</v>
      </c>
      <c r="N257" s="13">
        <f t="shared" si="19"/>
        <v>8518.4770000000008</v>
      </c>
      <c r="O257" s="13">
        <f t="shared" si="20"/>
        <v>0</v>
      </c>
      <c r="P257" s="14">
        <v>183.85437295</v>
      </c>
      <c r="Q257" s="8">
        <f t="shared" si="21"/>
        <v>36219.311471150002</v>
      </c>
      <c r="R257" s="8">
        <f t="shared" si="22"/>
        <v>0</v>
      </c>
      <c r="S257" s="15">
        <f t="shared" si="23"/>
        <v>0</v>
      </c>
    </row>
    <row r="258" spans="1:19" x14ac:dyDescent="0.25">
      <c r="A258" s="10" t="s">
        <v>671</v>
      </c>
      <c r="B258" s="10">
        <v>73285</v>
      </c>
      <c r="C258" s="10">
        <v>76416</v>
      </c>
      <c r="D258" s="10" t="s">
        <v>669</v>
      </c>
      <c r="E258" s="10" t="s">
        <v>672</v>
      </c>
      <c r="F258" s="10" t="s">
        <v>21</v>
      </c>
      <c r="G258" s="10" t="s">
        <v>12</v>
      </c>
      <c r="H258" s="10" t="s">
        <v>41</v>
      </c>
      <c r="I258" s="11">
        <v>175</v>
      </c>
      <c r="J258" s="11"/>
      <c r="K258" s="11">
        <v>175</v>
      </c>
      <c r="L258" s="6">
        <f t="shared" ref="L258:L321" si="24">I258-K258</f>
        <v>0</v>
      </c>
      <c r="M258" s="12">
        <v>43.241</v>
      </c>
      <c r="N258" s="13">
        <f t="shared" ref="N258:N321" si="25">I258*M258</f>
        <v>7567.1750000000002</v>
      </c>
      <c r="O258" s="13">
        <f t="shared" ref="O258:O321" si="26">K258*M258</f>
        <v>7567.1750000000002</v>
      </c>
      <c r="P258" s="14">
        <v>186.65718953000001</v>
      </c>
      <c r="Q258" s="8">
        <f t="shared" ref="Q258:Q321" si="27">I258*P258</f>
        <v>32665.008167750002</v>
      </c>
      <c r="R258" s="8">
        <f t="shared" ref="R258:R321" si="28">K258*P258</f>
        <v>32665.008167750002</v>
      </c>
      <c r="S258" s="15">
        <f t="shared" ref="S258:S321" si="29">IF(I258=0,0,K258/I258)</f>
        <v>1</v>
      </c>
    </row>
    <row r="259" spans="1:19" x14ac:dyDescent="0.25">
      <c r="A259" s="10" t="s">
        <v>673</v>
      </c>
      <c r="B259" s="10">
        <v>73285</v>
      </c>
      <c r="C259" s="10">
        <v>76416</v>
      </c>
      <c r="D259" s="10" t="s">
        <v>669</v>
      </c>
      <c r="E259" s="10" t="s">
        <v>674</v>
      </c>
      <c r="F259" s="10" t="s">
        <v>21</v>
      </c>
      <c r="G259" s="10" t="s">
        <v>12</v>
      </c>
      <c r="H259" s="10" t="s">
        <v>41</v>
      </c>
      <c r="I259" s="11">
        <v>91</v>
      </c>
      <c r="J259" s="11"/>
      <c r="K259" s="11">
        <v>84</v>
      </c>
      <c r="L259" s="6">
        <f t="shared" si="24"/>
        <v>7</v>
      </c>
      <c r="M259" s="12">
        <v>43.241</v>
      </c>
      <c r="N259" s="13">
        <f t="shared" si="25"/>
        <v>3934.931</v>
      </c>
      <c r="O259" s="13">
        <f t="shared" si="26"/>
        <v>3632.2440000000001</v>
      </c>
      <c r="P259" s="14">
        <v>181.65954192999999</v>
      </c>
      <c r="Q259" s="8">
        <f t="shared" si="27"/>
        <v>16531.018315629997</v>
      </c>
      <c r="R259" s="8">
        <f t="shared" si="28"/>
        <v>15259.401522119999</v>
      </c>
      <c r="S259" s="15">
        <f t="shared" si="29"/>
        <v>0.92307692307692313</v>
      </c>
    </row>
    <row r="260" spans="1:19" x14ac:dyDescent="0.25">
      <c r="A260" s="10" t="s">
        <v>675</v>
      </c>
      <c r="B260" s="10">
        <v>73286</v>
      </c>
      <c r="C260" s="10">
        <v>76418</v>
      </c>
      <c r="D260" s="10" t="s">
        <v>676</v>
      </c>
      <c r="E260" s="10" t="s">
        <v>677</v>
      </c>
      <c r="F260" s="10" t="s">
        <v>21</v>
      </c>
      <c r="G260" s="10" t="s">
        <v>12</v>
      </c>
      <c r="H260" s="10" t="s">
        <v>41</v>
      </c>
      <c r="I260" s="11">
        <v>201</v>
      </c>
      <c r="J260" s="11"/>
      <c r="K260" s="11">
        <v>108</v>
      </c>
      <c r="L260" s="6">
        <f t="shared" si="24"/>
        <v>93</v>
      </c>
      <c r="M260" s="12">
        <v>41.046999999999997</v>
      </c>
      <c r="N260" s="13">
        <f t="shared" si="25"/>
        <v>8250.4470000000001</v>
      </c>
      <c r="O260" s="13">
        <f t="shared" si="26"/>
        <v>4433.076</v>
      </c>
      <c r="P260" s="14">
        <v>142.39713226000001</v>
      </c>
      <c r="Q260" s="8">
        <f t="shared" si="27"/>
        <v>28621.823584260001</v>
      </c>
      <c r="R260" s="8">
        <f t="shared" si="28"/>
        <v>15378.89028408</v>
      </c>
      <c r="S260" s="15">
        <f t="shared" si="29"/>
        <v>0.53731343283582089</v>
      </c>
    </row>
    <row r="261" spans="1:19" x14ac:dyDescent="0.25">
      <c r="A261" s="10" t="s">
        <v>678</v>
      </c>
      <c r="B261" s="10">
        <v>73286</v>
      </c>
      <c r="C261" s="10">
        <v>76418</v>
      </c>
      <c r="D261" s="10" t="s">
        <v>676</v>
      </c>
      <c r="E261" s="10" t="s">
        <v>679</v>
      </c>
      <c r="F261" s="10" t="s">
        <v>21</v>
      </c>
      <c r="G261" s="10" t="s">
        <v>12</v>
      </c>
      <c r="H261" s="10" t="s">
        <v>41</v>
      </c>
      <c r="I261" s="11">
        <v>178</v>
      </c>
      <c r="J261" s="11"/>
      <c r="K261" s="11">
        <v>175</v>
      </c>
      <c r="L261" s="6">
        <f t="shared" si="24"/>
        <v>3</v>
      </c>
      <c r="M261" s="12">
        <v>41.046999999999997</v>
      </c>
      <c r="N261" s="13">
        <f t="shared" si="25"/>
        <v>7306.3659999999991</v>
      </c>
      <c r="O261" s="13">
        <f t="shared" si="26"/>
        <v>7183.2249999999995</v>
      </c>
      <c r="P261" s="14">
        <v>145.25676892999999</v>
      </c>
      <c r="Q261" s="8">
        <f t="shared" si="27"/>
        <v>25855.704869539997</v>
      </c>
      <c r="R261" s="8">
        <f t="shared" si="28"/>
        <v>25419.934562749997</v>
      </c>
      <c r="S261" s="15">
        <f t="shared" si="29"/>
        <v>0.9831460674157303</v>
      </c>
    </row>
    <row r="262" spans="1:19" x14ac:dyDescent="0.25">
      <c r="A262" s="10" t="s">
        <v>680</v>
      </c>
      <c r="B262" s="10">
        <v>73286</v>
      </c>
      <c r="C262" s="10">
        <v>76418</v>
      </c>
      <c r="D262" s="10" t="s">
        <v>676</v>
      </c>
      <c r="E262" s="10" t="s">
        <v>681</v>
      </c>
      <c r="F262" s="10" t="s">
        <v>21</v>
      </c>
      <c r="G262" s="10" t="s">
        <v>12</v>
      </c>
      <c r="H262" s="10" t="s">
        <v>41</v>
      </c>
      <c r="I262" s="11">
        <v>94</v>
      </c>
      <c r="J262" s="11"/>
      <c r="K262" s="11">
        <v>84</v>
      </c>
      <c r="L262" s="6">
        <f t="shared" si="24"/>
        <v>10</v>
      </c>
      <c r="M262" s="12">
        <v>41.046999999999997</v>
      </c>
      <c r="N262" s="13">
        <f t="shared" si="25"/>
        <v>3858.4179999999997</v>
      </c>
      <c r="O262" s="13">
        <f t="shared" si="26"/>
        <v>3447.9479999999999</v>
      </c>
      <c r="P262" s="14">
        <v>134.87569793</v>
      </c>
      <c r="Q262" s="8">
        <f t="shared" si="27"/>
        <v>12678.315605420001</v>
      </c>
      <c r="R262" s="8">
        <f t="shared" si="28"/>
        <v>11329.558626120001</v>
      </c>
      <c r="S262" s="15">
        <f t="shared" si="29"/>
        <v>0.8936170212765957</v>
      </c>
    </row>
    <row r="263" spans="1:19" x14ac:dyDescent="0.25">
      <c r="A263" s="10" t="s">
        <v>682</v>
      </c>
      <c r="B263" s="10">
        <v>73343</v>
      </c>
      <c r="C263" s="10">
        <v>74631</v>
      </c>
      <c r="D263" s="10" t="s">
        <v>683</v>
      </c>
      <c r="E263" s="10" t="s">
        <v>684</v>
      </c>
      <c r="F263" s="10" t="s">
        <v>22</v>
      </c>
      <c r="G263" s="10" t="s">
        <v>12</v>
      </c>
      <c r="H263" s="10" t="s">
        <v>41</v>
      </c>
      <c r="I263" s="11">
        <v>70</v>
      </c>
      <c r="J263" s="11"/>
      <c r="K263" s="11">
        <v>10</v>
      </c>
      <c r="L263" s="6">
        <f t="shared" si="24"/>
        <v>60</v>
      </c>
      <c r="M263" s="12">
        <v>16.574999999999999</v>
      </c>
      <c r="N263" s="13">
        <f t="shared" si="25"/>
        <v>1160.25</v>
      </c>
      <c r="O263" s="13">
        <f t="shared" si="26"/>
        <v>165.75</v>
      </c>
      <c r="P263" s="14">
        <v>65.028774639999995</v>
      </c>
      <c r="Q263" s="8">
        <f t="shared" si="27"/>
        <v>4552.0142247999993</v>
      </c>
      <c r="R263" s="8">
        <f t="shared" si="28"/>
        <v>650.28774639999995</v>
      </c>
      <c r="S263" s="15">
        <f t="shared" si="29"/>
        <v>0.14285714285714285</v>
      </c>
    </row>
    <row r="264" spans="1:19" x14ac:dyDescent="0.25">
      <c r="A264" s="10" t="s">
        <v>685</v>
      </c>
      <c r="B264" s="10">
        <v>73344</v>
      </c>
      <c r="C264" s="10">
        <v>76907</v>
      </c>
      <c r="D264" s="10" t="s">
        <v>686</v>
      </c>
      <c r="E264" s="10" t="s">
        <v>687</v>
      </c>
      <c r="F264" s="10" t="s">
        <v>22</v>
      </c>
      <c r="G264" s="10" t="s">
        <v>12</v>
      </c>
      <c r="H264" s="10" t="s">
        <v>41</v>
      </c>
      <c r="I264" s="11">
        <v>191</v>
      </c>
      <c r="J264" s="11"/>
      <c r="K264" s="11">
        <v>191</v>
      </c>
      <c r="L264" s="6">
        <f t="shared" si="24"/>
        <v>0</v>
      </c>
      <c r="M264" s="12">
        <v>21.937000000000001</v>
      </c>
      <c r="N264" s="13">
        <f t="shared" si="25"/>
        <v>4189.9670000000006</v>
      </c>
      <c r="O264" s="13">
        <f t="shared" si="26"/>
        <v>4189.9670000000006</v>
      </c>
      <c r="P264" s="14">
        <v>111.40822747999999</v>
      </c>
      <c r="Q264" s="8">
        <f t="shared" si="27"/>
        <v>21278.97144868</v>
      </c>
      <c r="R264" s="8">
        <f t="shared" si="28"/>
        <v>21278.97144868</v>
      </c>
      <c r="S264" s="15">
        <f t="shared" si="29"/>
        <v>1</v>
      </c>
    </row>
    <row r="265" spans="1:19" x14ac:dyDescent="0.25">
      <c r="A265" s="10" t="s">
        <v>688</v>
      </c>
      <c r="B265" s="10">
        <v>73345</v>
      </c>
      <c r="C265" s="10">
        <v>72611</v>
      </c>
      <c r="D265" s="10" t="s">
        <v>689</v>
      </c>
      <c r="E265" s="10" t="s">
        <v>690</v>
      </c>
      <c r="F265" s="10" t="s">
        <v>22</v>
      </c>
      <c r="G265" s="10" t="s">
        <v>12</v>
      </c>
      <c r="H265" s="10" t="s">
        <v>41</v>
      </c>
      <c r="I265" s="11">
        <v>11</v>
      </c>
      <c r="J265" s="11"/>
      <c r="K265" s="11">
        <v>8</v>
      </c>
      <c r="L265" s="6">
        <f t="shared" si="24"/>
        <v>3</v>
      </c>
      <c r="M265" s="12">
        <v>11.846</v>
      </c>
      <c r="N265" s="13">
        <f t="shared" si="25"/>
        <v>130.30600000000001</v>
      </c>
      <c r="O265" s="13">
        <f t="shared" si="26"/>
        <v>94.768000000000001</v>
      </c>
      <c r="P265" s="14">
        <v>97.404671399999998</v>
      </c>
      <c r="Q265" s="8">
        <f t="shared" si="27"/>
        <v>1071.4513853999999</v>
      </c>
      <c r="R265" s="8">
        <f t="shared" si="28"/>
        <v>779.23737119999998</v>
      </c>
      <c r="S265" s="15">
        <f t="shared" si="29"/>
        <v>0.72727272727272729</v>
      </c>
    </row>
    <row r="266" spans="1:19" x14ac:dyDescent="0.25">
      <c r="A266" s="10" t="s">
        <v>691</v>
      </c>
      <c r="B266" s="10">
        <v>73346</v>
      </c>
      <c r="C266" s="10">
        <v>76873</v>
      </c>
      <c r="D266" s="10" t="s">
        <v>692</v>
      </c>
      <c r="E266" s="10" t="s">
        <v>693</v>
      </c>
      <c r="F266" s="10" t="s">
        <v>22</v>
      </c>
      <c r="G266" s="10" t="s">
        <v>12</v>
      </c>
      <c r="H266" s="10" t="s">
        <v>41</v>
      </c>
      <c r="I266" s="11">
        <v>48</v>
      </c>
      <c r="J266" s="11"/>
      <c r="K266" s="11">
        <v>31</v>
      </c>
      <c r="L266" s="6">
        <f t="shared" si="24"/>
        <v>17</v>
      </c>
      <c r="M266" s="12">
        <v>19.646000000000001</v>
      </c>
      <c r="N266" s="13">
        <f t="shared" si="25"/>
        <v>943.00800000000004</v>
      </c>
      <c r="O266" s="13">
        <f t="shared" si="26"/>
        <v>609.02600000000007</v>
      </c>
      <c r="P266" s="14">
        <v>163.76731702999999</v>
      </c>
      <c r="Q266" s="8">
        <f t="shared" si="27"/>
        <v>7860.8312174399998</v>
      </c>
      <c r="R266" s="8">
        <f t="shared" si="28"/>
        <v>5076.7868279299992</v>
      </c>
      <c r="S266" s="15">
        <f t="shared" si="29"/>
        <v>0.64583333333333337</v>
      </c>
    </row>
    <row r="267" spans="1:19" x14ac:dyDescent="0.25">
      <c r="A267" s="10" t="s">
        <v>694</v>
      </c>
      <c r="B267" s="10">
        <v>73347</v>
      </c>
      <c r="C267" s="10">
        <v>72682</v>
      </c>
      <c r="D267" s="10" t="s">
        <v>695</v>
      </c>
      <c r="E267" s="10" t="s">
        <v>696</v>
      </c>
      <c r="F267" s="10" t="s">
        <v>22</v>
      </c>
      <c r="G267" s="10" t="s">
        <v>12</v>
      </c>
      <c r="H267" s="10" t="s">
        <v>41</v>
      </c>
      <c r="I267" s="11">
        <v>79</v>
      </c>
      <c r="J267" s="11"/>
      <c r="K267" s="11">
        <v>67</v>
      </c>
      <c r="L267" s="6">
        <f t="shared" si="24"/>
        <v>12</v>
      </c>
      <c r="M267" s="12">
        <v>12.675000000000001</v>
      </c>
      <c r="N267" s="13">
        <f t="shared" si="25"/>
        <v>1001.325</v>
      </c>
      <c r="O267" s="13">
        <f t="shared" si="26"/>
        <v>849.22500000000002</v>
      </c>
      <c r="P267" s="14">
        <v>64.302641339999994</v>
      </c>
      <c r="Q267" s="8">
        <f t="shared" si="27"/>
        <v>5079.9086658599999</v>
      </c>
      <c r="R267" s="8">
        <f t="shared" si="28"/>
        <v>4308.2769697799995</v>
      </c>
      <c r="S267" s="15">
        <f t="shared" si="29"/>
        <v>0.84810126582278478</v>
      </c>
    </row>
    <row r="268" spans="1:19" x14ac:dyDescent="0.25">
      <c r="A268" s="10" t="s">
        <v>697</v>
      </c>
      <c r="B268" s="10">
        <v>73347</v>
      </c>
      <c r="C268" s="10">
        <v>72682</v>
      </c>
      <c r="D268" s="10" t="s">
        <v>695</v>
      </c>
      <c r="E268" s="10" t="s">
        <v>698</v>
      </c>
      <c r="F268" s="10" t="s">
        <v>22</v>
      </c>
      <c r="G268" s="10" t="s">
        <v>12</v>
      </c>
      <c r="H268" s="10" t="s">
        <v>41</v>
      </c>
      <c r="I268" s="11">
        <v>50</v>
      </c>
      <c r="J268" s="11"/>
      <c r="K268" s="11">
        <v>0</v>
      </c>
      <c r="L268" s="6">
        <f t="shared" si="24"/>
        <v>50</v>
      </c>
      <c r="M268" s="12">
        <v>12.675000000000001</v>
      </c>
      <c r="N268" s="13">
        <f t="shared" si="25"/>
        <v>633.75</v>
      </c>
      <c r="O268" s="13">
        <f t="shared" si="26"/>
        <v>0</v>
      </c>
      <c r="P268" s="14">
        <v>66.606391479999999</v>
      </c>
      <c r="Q268" s="8">
        <f t="shared" si="27"/>
        <v>3330.3195740000001</v>
      </c>
      <c r="R268" s="8">
        <f t="shared" si="28"/>
        <v>0</v>
      </c>
      <c r="S268" s="15">
        <f t="shared" si="29"/>
        <v>0</v>
      </c>
    </row>
    <row r="269" spans="1:19" x14ac:dyDescent="0.25">
      <c r="A269" s="10" t="s">
        <v>699</v>
      </c>
      <c r="B269" s="10">
        <v>73347</v>
      </c>
      <c r="C269" s="10">
        <v>72682</v>
      </c>
      <c r="D269" s="10" t="s">
        <v>695</v>
      </c>
      <c r="E269" s="10" t="s">
        <v>700</v>
      </c>
      <c r="F269" s="10" t="s">
        <v>22</v>
      </c>
      <c r="G269" s="10" t="s">
        <v>12</v>
      </c>
      <c r="H269" s="10" t="s">
        <v>41</v>
      </c>
      <c r="I269" s="11">
        <v>47</v>
      </c>
      <c r="J269" s="11"/>
      <c r="K269" s="11">
        <v>16</v>
      </c>
      <c r="L269" s="6">
        <f t="shared" si="24"/>
        <v>31</v>
      </c>
      <c r="M269" s="12">
        <v>12.675000000000001</v>
      </c>
      <c r="N269" s="13">
        <f t="shared" si="25"/>
        <v>595.72500000000002</v>
      </c>
      <c r="O269" s="13">
        <f t="shared" si="26"/>
        <v>202.8</v>
      </c>
      <c r="P269" s="14">
        <v>84.173399000000003</v>
      </c>
      <c r="Q269" s="8">
        <f t="shared" si="27"/>
        <v>3956.1497530000001</v>
      </c>
      <c r="R269" s="8">
        <f t="shared" si="28"/>
        <v>1346.7743840000001</v>
      </c>
      <c r="S269" s="15">
        <f t="shared" si="29"/>
        <v>0.34042553191489361</v>
      </c>
    </row>
    <row r="270" spans="1:19" x14ac:dyDescent="0.25">
      <c r="A270" s="10" t="s">
        <v>701</v>
      </c>
      <c r="B270" s="10">
        <v>73348</v>
      </c>
      <c r="C270" s="10">
        <v>76878</v>
      </c>
      <c r="D270" s="10" t="s">
        <v>702</v>
      </c>
      <c r="E270" s="10" t="s">
        <v>703</v>
      </c>
      <c r="F270" s="10" t="s">
        <v>22</v>
      </c>
      <c r="G270" s="10" t="s">
        <v>12</v>
      </c>
      <c r="H270" s="10" t="s">
        <v>41</v>
      </c>
      <c r="I270" s="11">
        <v>605</v>
      </c>
      <c r="J270" s="11"/>
      <c r="K270" s="11">
        <v>605</v>
      </c>
      <c r="L270" s="6">
        <f t="shared" si="24"/>
        <v>0</v>
      </c>
      <c r="M270" s="12">
        <v>21.937000000000001</v>
      </c>
      <c r="N270" s="13">
        <f t="shared" si="25"/>
        <v>13271.885</v>
      </c>
      <c r="O270" s="13">
        <f t="shared" si="26"/>
        <v>13271.885</v>
      </c>
      <c r="P270" s="14">
        <v>128.84471736</v>
      </c>
      <c r="Q270" s="8">
        <f t="shared" si="27"/>
        <v>77951.054002799996</v>
      </c>
      <c r="R270" s="8">
        <f t="shared" si="28"/>
        <v>77951.054002799996</v>
      </c>
      <c r="S270" s="15">
        <f t="shared" si="29"/>
        <v>1</v>
      </c>
    </row>
    <row r="271" spans="1:19" x14ac:dyDescent="0.25">
      <c r="A271" s="10" t="s">
        <v>704</v>
      </c>
      <c r="B271" s="10">
        <v>73349</v>
      </c>
      <c r="C271" s="10">
        <v>72705</v>
      </c>
      <c r="D271" s="10" t="s">
        <v>705</v>
      </c>
      <c r="E271" s="10" t="s">
        <v>706</v>
      </c>
      <c r="F271" s="10" t="s">
        <v>22</v>
      </c>
      <c r="G271" s="10" t="s">
        <v>12</v>
      </c>
      <c r="H271" s="10" t="s">
        <v>41</v>
      </c>
      <c r="I271" s="11">
        <v>89</v>
      </c>
      <c r="J271" s="11"/>
      <c r="K271" s="11">
        <v>5</v>
      </c>
      <c r="L271" s="6">
        <f t="shared" si="24"/>
        <v>84</v>
      </c>
      <c r="M271" s="12">
        <v>20.962</v>
      </c>
      <c r="N271" s="13">
        <f t="shared" si="25"/>
        <v>1865.6179999999999</v>
      </c>
      <c r="O271" s="13">
        <f t="shared" si="26"/>
        <v>104.81</v>
      </c>
      <c r="P271" s="14">
        <v>112.20249361</v>
      </c>
      <c r="Q271" s="8">
        <f t="shared" si="27"/>
        <v>9986.0219312900008</v>
      </c>
      <c r="R271" s="8">
        <f t="shared" si="28"/>
        <v>561.01246805000005</v>
      </c>
      <c r="S271" s="15">
        <f t="shared" si="29"/>
        <v>5.6179775280898875E-2</v>
      </c>
    </row>
    <row r="272" spans="1:19" x14ac:dyDescent="0.25">
      <c r="A272" s="10" t="s">
        <v>707</v>
      </c>
      <c r="B272" s="10">
        <v>73351</v>
      </c>
      <c r="C272" s="10">
        <v>72718</v>
      </c>
      <c r="D272" s="10" t="s">
        <v>708</v>
      </c>
      <c r="E272" s="10" t="s">
        <v>709</v>
      </c>
      <c r="F272" s="10" t="s">
        <v>22</v>
      </c>
      <c r="G272" s="10" t="s">
        <v>12</v>
      </c>
      <c r="H272" s="10" t="s">
        <v>41</v>
      </c>
      <c r="I272" s="11">
        <v>132</v>
      </c>
      <c r="J272" s="11"/>
      <c r="K272" s="11">
        <v>40</v>
      </c>
      <c r="L272" s="6">
        <f t="shared" si="24"/>
        <v>92</v>
      </c>
      <c r="M272" s="12">
        <v>26.324999999999999</v>
      </c>
      <c r="N272" s="13">
        <f t="shared" si="25"/>
        <v>3474.9</v>
      </c>
      <c r="O272" s="13">
        <f t="shared" si="26"/>
        <v>1053</v>
      </c>
      <c r="P272" s="14">
        <v>118.50653222</v>
      </c>
      <c r="Q272" s="8">
        <f t="shared" si="27"/>
        <v>15642.862253039999</v>
      </c>
      <c r="R272" s="8">
        <f t="shared" si="28"/>
        <v>4740.2612888000003</v>
      </c>
      <c r="S272" s="15">
        <f t="shared" si="29"/>
        <v>0.30303030303030304</v>
      </c>
    </row>
    <row r="273" spans="1:19" x14ac:dyDescent="0.25">
      <c r="A273" s="10" t="s">
        <v>710</v>
      </c>
      <c r="B273" s="10">
        <v>73351</v>
      </c>
      <c r="C273" s="10">
        <v>72718</v>
      </c>
      <c r="D273" s="10" t="s">
        <v>708</v>
      </c>
      <c r="E273" s="10" t="s">
        <v>711</v>
      </c>
      <c r="F273" s="10" t="s">
        <v>22</v>
      </c>
      <c r="G273" s="10" t="s">
        <v>12</v>
      </c>
      <c r="H273" s="10" t="s">
        <v>41</v>
      </c>
      <c r="I273" s="11">
        <v>2</v>
      </c>
      <c r="J273" s="11"/>
      <c r="K273" s="11">
        <v>0</v>
      </c>
      <c r="L273" s="6">
        <f t="shared" si="24"/>
        <v>2</v>
      </c>
      <c r="M273" s="12">
        <v>26.324999999999999</v>
      </c>
      <c r="N273" s="13">
        <f t="shared" si="25"/>
        <v>52.65</v>
      </c>
      <c r="O273" s="13">
        <f t="shared" si="26"/>
        <v>0</v>
      </c>
      <c r="P273" s="14">
        <v>134.88173616</v>
      </c>
      <c r="Q273" s="8">
        <f t="shared" si="27"/>
        <v>269.76347232000001</v>
      </c>
      <c r="R273" s="8">
        <f t="shared" si="28"/>
        <v>0</v>
      </c>
      <c r="S273" s="15">
        <f t="shared" si="29"/>
        <v>0</v>
      </c>
    </row>
    <row r="274" spans="1:19" x14ac:dyDescent="0.25">
      <c r="A274" s="10" t="s">
        <v>712</v>
      </c>
      <c r="B274" s="10">
        <v>73351</v>
      </c>
      <c r="C274" s="10">
        <v>72718</v>
      </c>
      <c r="D274" s="10" t="s">
        <v>708</v>
      </c>
      <c r="E274" s="10" t="s">
        <v>713</v>
      </c>
      <c r="F274" s="10" t="s">
        <v>22</v>
      </c>
      <c r="G274" s="10" t="s">
        <v>12</v>
      </c>
      <c r="H274" s="10" t="s">
        <v>41</v>
      </c>
      <c r="I274" s="11">
        <v>69</v>
      </c>
      <c r="J274" s="11"/>
      <c r="K274" s="11">
        <v>25</v>
      </c>
      <c r="L274" s="6">
        <f t="shared" si="24"/>
        <v>44</v>
      </c>
      <c r="M274" s="12">
        <v>26.324999999999999</v>
      </c>
      <c r="N274" s="13">
        <f t="shared" si="25"/>
        <v>1816.425</v>
      </c>
      <c r="O274" s="13">
        <f t="shared" si="26"/>
        <v>658.125</v>
      </c>
      <c r="P274" s="14">
        <v>133.74173615999999</v>
      </c>
      <c r="Q274" s="8">
        <f t="shared" si="27"/>
        <v>9228.1797950399996</v>
      </c>
      <c r="R274" s="8">
        <f t="shared" si="28"/>
        <v>3343.5434039999996</v>
      </c>
      <c r="S274" s="15">
        <f t="shared" si="29"/>
        <v>0.36231884057971014</v>
      </c>
    </row>
    <row r="275" spans="1:19" x14ac:dyDescent="0.25">
      <c r="A275" s="10" t="s">
        <v>714</v>
      </c>
      <c r="B275" s="10">
        <v>73352</v>
      </c>
      <c r="C275" s="10">
        <v>76881</v>
      </c>
      <c r="D275" s="10" t="s">
        <v>715</v>
      </c>
      <c r="E275" s="10" t="s">
        <v>716</v>
      </c>
      <c r="F275" s="10" t="s">
        <v>22</v>
      </c>
      <c r="G275" s="10" t="s">
        <v>12</v>
      </c>
      <c r="H275" s="10" t="s">
        <v>41</v>
      </c>
      <c r="I275" s="11">
        <v>677</v>
      </c>
      <c r="J275" s="11"/>
      <c r="K275" s="11">
        <v>0</v>
      </c>
      <c r="L275" s="6">
        <f t="shared" si="24"/>
        <v>677</v>
      </c>
      <c r="M275" s="12">
        <v>41.027999999999999</v>
      </c>
      <c r="N275" s="13">
        <f t="shared" si="25"/>
        <v>27775.955999999998</v>
      </c>
      <c r="O275" s="13">
        <f t="shared" si="26"/>
        <v>0</v>
      </c>
      <c r="P275" s="14">
        <v>220.55291654000001</v>
      </c>
      <c r="Q275" s="8">
        <f t="shared" si="27"/>
        <v>149314.32449758</v>
      </c>
      <c r="R275" s="8">
        <f t="shared" si="28"/>
        <v>0</v>
      </c>
      <c r="S275" s="15">
        <f t="shared" si="29"/>
        <v>0</v>
      </c>
    </row>
    <row r="276" spans="1:19" x14ac:dyDescent="0.25">
      <c r="A276" s="10" t="s">
        <v>717</v>
      </c>
      <c r="B276" s="10">
        <v>73354</v>
      </c>
      <c r="C276" s="10">
        <v>76904</v>
      </c>
      <c r="D276" s="10" t="s">
        <v>718</v>
      </c>
      <c r="E276" s="10" t="s">
        <v>719</v>
      </c>
      <c r="F276" s="10" t="s">
        <v>22</v>
      </c>
      <c r="G276" s="10" t="s">
        <v>12</v>
      </c>
      <c r="H276" s="10" t="s">
        <v>41</v>
      </c>
      <c r="I276" s="11">
        <v>10</v>
      </c>
      <c r="J276" s="11"/>
      <c r="K276" s="11">
        <v>0</v>
      </c>
      <c r="L276" s="6">
        <f t="shared" si="24"/>
        <v>10</v>
      </c>
      <c r="M276" s="12">
        <v>43.436</v>
      </c>
      <c r="N276" s="13">
        <f t="shared" si="25"/>
        <v>434.36</v>
      </c>
      <c r="O276" s="13">
        <f t="shared" si="26"/>
        <v>0</v>
      </c>
      <c r="P276" s="14">
        <v>270.28586466000002</v>
      </c>
      <c r="Q276" s="8">
        <f t="shared" si="27"/>
        <v>2702.8586466000002</v>
      </c>
      <c r="R276" s="8">
        <f t="shared" si="28"/>
        <v>0</v>
      </c>
      <c r="S276" s="15">
        <f t="shared" si="29"/>
        <v>0</v>
      </c>
    </row>
    <row r="277" spans="1:19" x14ac:dyDescent="0.25">
      <c r="A277" s="10" t="s">
        <v>720</v>
      </c>
      <c r="B277" s="10">
        <v>73355</v>
      </c>
      <c r="C277" s="10">
        <v>45641</v>
      </c>
      <c r="D277" s="10" t="s">
        <v>721</v>
      </c>
      <c r="E277" s="10" t="s">
        <v>722</v>
      </c>
      <c r="F277" s="10" t="s">
        <v>22</v>
      </c>
      <c r="G277" s="10" t="s">
        <v>12</v>
      </c>
      <c r="H277" s="10" t="s">
        <v>41</v>
      </c>
      <c r="I277" s="11">
        <v>149</v>
      </c>
      <c r="J277" s="11"/>
      <c r="K277" s="11">
        <v>33</v>
      </c>
      <c r="L277" s="6">
        <f t="shared" si="24"/>
        <v>116</v>
      </c>
      <c r="M277" s="12">
        <v>29.132999999999999</v>
      </c>
      <c r="N277" s="13">
        <f t="shared" si="25"/>
        <v>4340.817</v>
      </c>
      <c r="O277" s="13">
        <f t="shared" si="26"/>
        <v>961.38900000000001</v>
      </c>
      <c r="P277" s="14">
        <v>156.43387837</v>
      </c>
      <c r="Q277" s="8">
        <f t="shared" si="27"/>
        <v>23308.647877129999</v>
      </c>
      <c r="R277" s="8">
        <f t="shared" si="28"/>
        <v>5162.3179862100005</v>
      </c>
      <c r="S277" s="15">
        <f t="shared" si="29"/>
        <v>0.22147651006711411</v>
      </c>
    </row>
    <row r="278" spans="1:19" x14ac:dyDescent="0.25">
      <c r="A278" s="10" t="s">
        <v>723</v>
      </c>
      <c r="B278" s="10">
        <v>73356</v>
      </c>
      <c r="C278" s="10">
        <v>45642</v>
      </c>
      <c r="D278" s="10" t="s">
        <v>724</v>
      </c>
      <c r="E278" s="10"/>
      <c r="F278" s="10" t="s">
        <v>22</v>
      </c>
      <c r="G278" s="10" t="s">
        <v>12</v>
      </c>
      <c r="H278" s="10" t="s">
        <v>41</v>
      </c>
      <c r="I278" s="11">
        <v>165</v>
      </c>
      <c r="J278" s="11"/>
      <c r="K278" s="11">
        <v>0</v>
      </c>
      <c r="L278" s="6">
        <f t="shared" si="24"/>
        <v>165</v>
      </c>
      <c r="M278" s="12">
        <v>22.756</v>
      </c>
      <c r="N278" s="13">
        <f t="shared" si="25"/>
        <v>3754.7400000000002</v>
      </c>
      <c r="O278" s="13">
        <f t="shared" si="26"/>
        <v>0</v>
      </c>
      <c r="P278" s="14">
        <v>121.4600999</v>
      </c>
      <c r="Q278" s="8">
        <f t="shared" si="27"/>
        <v>20040.916483500001</v>
      </c>
      <c r="R278" s="8">
        <f t="shared" si="28"/>
        <v>0</v>
      </c>
      <c r="S278" s="15">
        <f t="shared" si="29"/>
        <v>0</v>
      </c>
    </row>
    <row r="279" spans="1:19" x14ac:dyDescent="0.25">
      <c r="A279" s="10" t="s">
        <v>725</v>
      </c>
      <c r="B279" s="10">
        <v>73364</v>
      </c>
      <c r="C279" s="10">
        <v>72681</v>
      </c>
      <c r="D279" s="10" t="s">
        <v>726</v>
      </c>
      <c r="E279" s="10" t="s">
        <v>727</v>
      </c>
      <c r="F279" s="10" t="s">
        <v>22</v>
      </c>
      <c r="G279" s="10" t="s">
        <v>12</v>
      </c>
      <c r="H279" s="10" t="s">
        <v>41</v>
      </c>
      <c r="I279" s="11">
        <v>365</v>
      </c>
      <c r="J279" s="11"/>
      <c r="K279" s="11">
        <v>106</v>
      </c>
      <c r="L279" s="6">
        <f t="shared" si="24"/>
        <v>259</v>
      </c>
      <c r="M279" s="12">
        <v>15.307</v>
      </c>
      <c r="N279" s="13">
        <f t="shared" si="25"/>
        <v>5587.0550000000003</v>
      </c>
      <c r="O279" s="13">
        <f t="shared" si="26"/>
        <v>1622.5420000000001</v>
      </c>
      <c r="P279" s="14">
        <v>71.781249250000002</v>
      </c>
      <c r="Q279" s="8">
        <f t="shared" si="27"/>
        <v>26200.15597625</v>
      </c>
      <c r="R279" s="8">
        <f t="shared" si="28"/>
        <v>7608.8124205000004</v>
      </c>
      <c r="S279" s="15">
        <f t="shared" si="29"/>
        <v>0.29041095890410956</v>
      </c>
    </row>
    <row r="280" spans="1:19" x14ac:dyDescent="0.25">
      <c r="A280" s="10" t="s">
        <v>728</v>
      </c>
      <c r="B280" s="10">
        <v>73366</v>
      </c>
      <c r="C280" s="10">
        <v>72704</v>
      </c>
      <c r="D280" s="10" t="s">
        <v>729</v>
      </c>
      <c r="E280" s="10" t="s">
        <v>730</v>
      </c>
      <c r="F280" s="10" t="s">
        <v>22</v>
      </c>
      <c r="G280" s="10" t="s">
        <v>12</v>
      </c>
      <c r="H280" s="10" t="s">
        <v>41</v>
      </c>
      <c r="I280" s="11">
        <v>12</v>
      </c>
      <c r="J280" s="11"/>
      <c r="K280" s="11">
        <v>5</v>
      </c>
      <c r="L280" s="6">
        <f t="shared" si="24"/>
        <v>7</v>
      </c>
      <c r="M280" s="12">
        <v>16.233000000000001</v>
      </c>
      <c r="N280" s="13">
        <f t="shared" si="25"/>
        <v>194.79599999999999</v>
      </c>
      <c r="O280" s="13">
        <f t="shared" si="26"/>
        <v>81.165000000000006</v>
      </c>
      <c r="P280" s="14">
        <v>71.28399623</v>
      </c>
      <c r="Q280" s="8">
        <f t="shared" si="27"/>
        <v>855.40795475999994</v>
      </c>
      <c r="R280" s="8">
        <f t="shared" si="28"/>
        <v>356.41998115000001</v>
      </c>
      <c r="S280" s="15">
        <f t="shared" si="29"/>
        <v>0.41666666666666669</v>
      </c>
    </row>
    <row r="281" spans="1:19" x14ac:dyDescent="0.25">
      <c r="A281" s="10" t="s">
        <v>731</v>
      </c>
      <c r="B281" s="10">
        <v>73371</v>
      </c>
      <c r="C281" s="10">
        <v>72717</v>
      </c>
      <c r="D281" s="10" t="s">
        <v>732</v>
      </c>
      <c r="E281" s="10" t="s">
        <v>733</v>
      </c>
      <c r="F281" s="10" t="s">
        <v>22</v>
      </c>
      <c r="G281" s="10" t="s">
        <v>12</v>
      </c>
      <c r="H281" s="10" t="s">
        <v>41</v>
      </c>
      <c r="I281" s="11">
        <v>678</v>
      </c>
      <c r="J281" s="11"/>
      <c r="K281" s="11">
        <v>376</v>
      </c>
      <c r="L281" s="6">
        <f t="shared" si="24"/>
        <v>302</v>
      </c>
      <c r="M281" s="12">
        <v>17.696000000000002</v>
      </c>
      <c r="N281" s="13">
        <f t="shared" si="25"/>
        <v>11997.888000000001</v>
      </c>
      <c r="O281" s="13">
        <f t="shared" si="26"/>
        <v>6653.6960000000008</v>
      </c>
      <c r="P281" s="14">
        <v>70.787789110000006</v>
      </c>
      <c r="Q281" s="8">
        <f t="shared" si="27"/>
        <v>47994.12101658</v>
      </c>
      <c r="R281" s="8">
        <f t="shared" si="28"/>
        <v>26616.208705360001</v>
      </c>
      <c r="S281" s="15">
        <f t="shared" si="29"/>
        <v>0.55457227138643073</v>
      </c>
    </row>
    <row r="282" spans="1:19" x14ac:dyDescent="0.25">
      <c r="A282" s="10" t="s">
        <v>734</v>
      </c>
      <c r="B282" s="10">
        <v>73371</v>
      </c>
      <c r="C282" s="10">
        <v>72717</v>
      </c>
      <c r="D282" s="10" t="s">
        <v>732</v>
      </c>
      <c r="E282" s="10" t="s">
        <v>735</v>
      </c>
      <c r="F282" s="10" t="s">
        <v>22</v>
      </c>
      <c r="G282" s="10" t="s">
        <v>12</v>
      </c>
      <c r="H282" s="10" t="s">
        <v>41</v>
      </c>
      <c r="I282" s="11">
        <v>37</v>
      </c>
      <c r="J282" s="11"/>
      <c r="K282" s="11">
        <v>0</v>
      </c>
      <c r="L282" s="6">
        <f t="shared" si="24"/>
        <v>37</v>
      </c>
      <c r="M282" s="12">
        <v>17.696000000000002</v>
      </c>
      <c r="N282" s="13">
        <f t="shared" si="25"/>
        <v>654.75200000000007</v>
      </c>
      <c r="O282" s="13">
        <f t="shared" si="26"/>
        <v>0</v>
      </c>
      <c r="P282" s="14">
        <v>79.283500419999996</v>
      </c>
      <c r="Q282" s="8">
        <f t="shared" si="27"/>
        <v>2933.48951554</v>
      </c>
      <c r="R282" s="8">
        <f t="shared" si="28"/>
        <v>0</v>
      </c>
      <c r="S282" s="15">
        <f t="shared" si="29"/>
        <v>0</v>
      </c>
    </row>
    <row r="283" spans="1:19" x14ac:dyDescent="0.25">
      <c r="A283" s="10" t="s">
        <v>736</v>
      </c>
      <c r="B283" s="10">
        <v>73371</v>
      </c>
      <c r="C283" s="10">
        <v>72717</v>
      </c>
      <c r="D283" s="10" t="s">
        <v>732</v>
      </c>
      <c r="E283" s="10" t="s">
        <v>737</v>
      </c>
      <c r="F283" s="10" t="s">
        <v>22</v>
      </c>
      <c r="G283" s="10" t="s">
        <v>12</v>
      </c>
      <c r="H283" s="10" t="s">
        <v>41</v>
      </c>
      <c r="I283" s="11">
        <v>16</v>
      </c>
      <c r="J283" s="11"/>
      <c r="K283" s="11">
        <v>0</v>
      </c>
      <c r="L283" s="6">
        <f t="shared" si="24"/>
        <v>16</v>
      </c>
      <c r="M283" s="12">
        <v>17.696000000000002</v>
      </c>
      <c r="N283" s="13">
        <f t="shared" si="25"/>
        <v>283.13600000000002</v>
      </c>
      <c r="O283" s="13">
        <f t="shared" si="26"/>
        <v>0</v>
      </c>
      <c r="P283" s="14">
        <v>78.543500420000001</v>
      </c>
      <c r="Q283" s="8">
        <f t="shared" si="27"/>
        <v>1256.69600672</v>
      </c>
      <c r="R283" s="8">
        <f t="shared" si="28"/>
        <v>0</v>
      </c>
      <c r="S283" s="15">
        <f t="shared" si="29"/>
        <v>0</v>
      </c>
    </row>
    <row r="284" spans="1:19" x14ac:dyDescent="0.25">
      <c r="A284" s="10" t="s">
        <v>738</v>
      </c>
      <c r="B284" s="10">
        <v>73375</v>
      </c>
      <c r="C284" s="10">
        <v>54061</v>
      </c>
      <c r="D284" s="10" t="s">
        <v>739</v>
      </c>
      <c r="E284" s="10" t="s">
        <v>740</v>
      </c>
      <c r="F284" s="10" t="s">
        <v>22</v>
      </c>
      <c r="G284" s="10" t="s">
        <v>12</v>
      </c>
      <c r="H284" s="10" t="s">
        <v>41</v>
      </c>
      <c r="I284" s="11">
        <v>1</v>
      </c>
      <c r="J284" s="11"/>
      <c r="K284" s="11">
        <v>0</v>
      </c>
      <c r="L284" s="6">
        <f t="shared" si="24"/>
        <v>1</v>
      </c>
      <c r="M284" s="12">
        <v>18.817</v>
      </c>
      <c r="N284" s="13">
        <f t="shared" si="25"/>
        <v>18.817</v>
      </c>
      <c r="O284" s="13">
        <f t="shared" si="26"/>
        <v>0</v>
      </c>
      <c r="P284" s="14">
        <v>99.844796590000001</v>
      </c>
      <c r="Q284" s="8">
        <f t="shared" si="27"/>
        <v>99.844796590000001</v>
      </c>
      <c r="R284" s="8">
        <f t="shared" si="28"/>
        <v>0</v>
      </c>
      <c r="S284" s="15">
        <f t="shared" si="29"/>
        <v>0</v>
      </c>
    </row>
    <row r="285" spans="1:19" x14ac:dyDescent="0.25">
      <c r="A285" s="10" t="s">
        <v>741</v>
      </c>
      <c r="B285" s="10">
        <v>73378</v>
      </c>
      <c r="C285" s="10">
        <v>65950</v>
      </c>
      <c r="D285" s="10" t="s">
        <v>742</v>
      </c>
      <c r="E285" s="10" t="s">
        <v>743</v>
      </c>
      <c r="F285" s="10" t="s">
        <v>22</v>
      </c>
      <c r="G285" s="10" t="s">
        <v>12</v>
      </c>
      <c r="H285" s="10" t="s">
        <v>41</v>
      </c>
      <c r="I285" s="11">
        <v>272</v>
      </c>
      <c r="J285" s="11"/>
      <c r="K285" s="11">
        <v>101</v>
      </c>
      <c r="L285" s="6">
        <f t="shared" si="24"/>
        <v>171</v>
      </c>
      <c r="M285" s="12">
        <v>29.25</v>
      </c>
      <c r="N285" s="13">
        <f t="shared" si="25"/>
        <v>7956</v>
      </c>
      <c r="O285" s="13">
        <f t="shared" si="26"/>
        <v>2954.25</v>
      </c>
      <c r="P285" s="14">
        <v>117.15361547000001</v>
      </c>
      <c r="Q285" s="8">
        <f t="shared" si="27"/>
        <v>31865.783407840001</v>
      </c>
      <c r="R285" s="8">
        <f t="shared" si="28"/>
        <v>11832.515162470001</v>
      </c>
      <c r="S285" s="15">
        <f t="shared" si="29"/>
        <v>0.37132352941176472</v>
      </c>
    </row>
    <row r="286" spans="1:19" x14ac:dyDescent="0.25">
      <c r="A286" s="10" t="s">
        <v>744</v>
      </c>
      <c r="B286" s="10">
        <v>73378</v>
      </c>
      <c r="C286" s="10">
        <v>65950</v>
      </c>
      <c r="D286" s="10" t="s">
        <v>742</v>
      </c>
      <c r="E286" s="10" t="s">
        <v>745</v>
      </c>
      <c r="F286" s="10" t="s">
        <v>22</v>
      </c>
      <c r="G286" s="10" t="s">
        <v>12</v>
      </c>
      <c r="H286" s="10" t="s">
        <v>41</v>
      </c>
      <c r="I286" s="11">
        <v>0</v>
      </c>
      <c r="J286" s="11"/>
      <c r="K286" s="11">
        <v>0</v>
      </c>
      <c r="L286" s="6">
        <f t="shared" si="24"/>
        <v>0</v>
      </c>
      <c r="M286" s="12">
        <v>29.25</v>
      </c>
      <c r="N286" s="13">
        <f t="shared" si="25"/>
        <v>0</v>
      </c>
      <c r="O286" s="13">
        <f t="shared" si="26"/>
        <v>0</v>
      </c>
      <c r="P286" s="14">
        <v>130.18859573</v>
      </c>
      <c r="Q286" s="8">
        <f t="shared" si="27"/>
        <v>0</v>
      </c>
      <c r="R286" s="8">
        <f t="shared" si="28"/>
        <v>0</v>
      </c>
      <c r="S286" s="15">
        <f t="shared" si="29"/>
        <v>0</v>
      </c>
    </row>
    <row r="287" spans="1:19" x14ac:dyDescent="0.25">
      <c r="A287" s="10" t="s">
        <v>746</v>
      </c>
      <c r="B287" s="10">
        <v>73385</v>
      </c>
      <c r="C287" s="10">
        <v>72609</v>
      </c>
      <c r="D287" s="10" t="s">
        <v>747</v>
      </c>
      <c r="E287" s="10" t="s">
        <v>748</v>
      </c>
      <c r="F287" s="10" t="s">
        <v>22</v>
      </c>
      <c r="G287" s="10" t="s">
        <v>12</v>
      </c>
      <c r="H287" s="10" t="s">
        <v>41</v>
      </c>
      <c r="I287" s="11">
        <v>580</v>
      </c>
      <c r="J287" s="11"/>
      <c r="K287" s="11">
        <v>239</v>
      </c>
      <c r="L287" s="6">
        <f t="shared" si="24"/>
        <v>341</v>
      </c>
      <c r="M287" s="12">
        <v>12.337</v>
      </c>
      <c r="N287" s="13">
        <f t="shared" si="25"/>
        <v>7155.46</v>
      </c>
      <c r="O287" s="13">
        <f t="shared" si="26"/>
        <v>2948.5430000000001</v>
      </c>
      <c r="P287" s="14">
        <v>108.69286153</v>
      </c>
      <c r="Q287" s="8">
        <f t="shared" si="27"/>
        <v>63041.8596874</v>
      </c>
      <c r="R287" s="8">
        <f t="shared" si="28"/>
        <v>25977.593905670001</v>
      </c>
      <c r="S287" s="15">
        <f t="shared" si="29"/>
        <v>0.41206896551724137</v>
      </c>
    </row>
    <row r="288" spans="1:19" x14ac:dyDescent="0.25">
      <c r="A288" s="10" t="s">
        <v>749</v>
      </c>
      <c r="B288" s="10">
        <v>73385</v>
      </c>
      <c r="C288" s="10">
        <v>72609</v>
      </c>
      <c r="D288" s="10" t="s">
        <v>747</v>
      </c>
      <c r="E288" s="10" t="s">
        <v>750</v>
      </c>
      <c r="F288" s="10" t="s">
        <v>22</v>
      </c>
      <c r="G288" s="10" t="s">
        <v>12</v>
      </c>
      <c r="H288" s="10" t="s">
        <v>41</v>
      </c>
      <c r="I288" s="11">
        <v>0</v>
      </c>
      <c r="J288" s="11"/>
      <c r="K288" s="11">
        <v>0</v>
      </c>
      <c r="L288" s="6">
        <f t="shared" si="24"/>
        <v>0</v>
      </c>
      <c r="M288" s="12">
        <v>12.337</v>
      </c>
      <c r="N288" s="13">
        <f t="shared" si="25"/>
        <v>0</v>
      </c>
      <c r="O288" s="13">
        <f t="shared" si="26"/>
        <v>0</v>
      </c>
      <c r="P288" s="14">
        <v>72.204257870000006</v>
      </c>
      <c r="Q288" s="8">
        <f t="shared" si="27"/>
        <v>0</v>
      </c>
      <c r="R288" s="8">
        <f t="shared" si="28"/>
        <v>0</v>
      </c>
      <c r="S288" s="15">
        <f t="shared" si="29"/>
        <v>0</v>
      </c>
    </row>
    <row r="289" spans="1:19" x14ac:dyDescent="0.25">
      <c r="A289" s="10" t="s">
        <v>751</v>
      </c>
      <c r="B289" s="10">
        <v>73388</v>
      </c>
      <c r="C289" s="10">
        <v>54394</v>
      </c>
      <c r="D289" s="10" t="s">
        <v>752</v>
      </c>
      <c r="E289" s="10" t="s">
        <v>753</v>
      </c>
      <c r="F289" s="10" t="s">
        <v>22</v>
      </c>
      <c r="G289" s="10" t="s">
        <v>12</v>
      </c>
      <c r="H289" s="10" t="s">
        <v>41</v>
      </c>
      <c r="I289" s="11">
        <v>233</v>
      </c>
      <c r="J289" s="11"/>
      <c r="K289" s="11">
        <v>0</v>
      </c>
      <c r="L289" s="6">
        <f t="shared" si="24"/>
        <v>233</v>
      </c>
      <c r="M289" s="12">
        <v>15.795</v>
      </c>
      <c r="N289" s="13">
        <f t="shared" si="25"/>
        <v>3680.2350000000001</v>
      </c>
      <c r="O289" s="13">
        <f t="shared" si="26"/>
        <v>0</v>
      </c>
      <c r="P289" s="14">
        <v>95.83933433</v>
      </c>
      <c r="Q289" s="8">
        <f t="shared" si="27"/>
        <v>22330.564898889999</v>
      </c>
      <c r="R289" s="8">
        <f t="shared" si="28"/>
        <v>0</v>
      </c>
      <c r="S289" s="15">
        <f t="shared" si="29"/>
        <v>0</v>
      </c>
    </row>
    <row r="290" spans="1:19" x14ac:dyDescent="0.25">
      <c r="A290" s="10" t="s">
        <v>754</v>
      </c>
      <c r="B290" s="10">
        <v>73507</v>
      </c>
      <c r="C290" s="10">
        <v>45639</v>
      </c>
      <c r="D290" s="10" t="s">
        <v>755</v>
      </c>
      <c r="E290" s="10" t="s">
        <v>756</v>
      </c>
      <c r="F290" s="10" t="s">
        <v>22</v>
      </c>
      <c r="G290" s="10" t="s">
        <v>12</v>
      </c>
      <c r="H290" s="10" t="s">
        <v>41</v>
      </c>
      <c r="I290" s="11">
        <v>152</v>
      </c>
      <c r="J290" s="11"/>
      <c r="K290" s="11">
        <v>31</v>
      </c>
      <c r="L290" s="6">
        <f t="shared" si="24"/>
        <v>121</v>
      </c>
      <c r="M290" s="12">
        <v>23.01</v>
      </c>
      <c r="N290" s="13">
        <f t="shared" si="25"/>
        <v>3497.5200000000004</v>
      </c>
      <c r="O290" s="13">
        <f t="shared" si="26"/>
        <v>713.31000000000006</v>
      </c>
      <c r="P290" s="14">
        <v>113.74420744</v>
      </c>
      <c r="Q290" s="8">
        <f t="shared" si="27"/>
        <v>17289.119530879998</v>
      </c>
      <c r="R290" s="8">
        <f t="shared" si="28"/>
        <v>3526.0704306399998</v>
      </c>
      <c r="S290" s="15">
        <f t="shared" si="29"/>
        <v>0.20394736842105263</v>
      </c>
    </row>
    <row r="291" spans="1:19" x14ac:dyDescent="0.25">
      <c r="A291" s="10" t="s">
        <v>757</v>
      </c>
      <c r="B291" s="10">
        <v>73533</v>
      </c>
      <c r="C291" s="10">
        <v>74813</v>
      </c>
      <c r="D291" s="10" t="s">
        <v>758</v>
      </c>
      <c r="E291" s="10" t="s">
        <v>759</v>
      </c>
      <c r="F291" s="10" t="s">
        <v>22</v>
      </c>
      <c r="G291" s="10" t="s">
        <v>12</v>
      </c>
      <c r="H291" s="10" t="s">
        <v>41</v>
      </c>
      <c r="I291" s="11">
        <v>4</v>
      </c>
      <c r="J291" s="11"/>
      <c r="K291" s="11">
        <v>0</v>
      </c>
      <c r="L291" s="6">
        <f t="shared" si="24"/>
        <v>4</v>
      </c>
      <c r="M291" s="12">
        <v>6.6779999999999999</v>
      </c>
      <c r="N291" s="13">
        <f t="shared" si="25"/>
        <v>26.712</v>
      </c>
      <c r="O291" s="13">
        <f t="shared" si="26"/>
        <v>0</v>
      </c>
      <c r="P291" s="14">
        <v>46.220329360000001</v>
      </c>
      <c r="Q291" s="8">
        <f t="shared" si="27"/>
        <v>184.88131744</v>
      </c>
      <c r="R291" s="8">
        <f t="shared" si="28"/>
        <v>0</v>
      </c>
      <c r="S291" s="15">
        <f t="shared" si="29"/>
        <v>0</v>
      </c>
    </row>
    <row r="292" spans="1:19" x14ac:dyDescent="0.25">
      <c r="A292" s="10" t="s">
        <v>760</v>
      </c>
      <c r="B292" s="10">
        <v>73533</v>
      </c>
      <c r="C292" s="10">
        <v>74813</v>
      </c>
      <c r="D292" s="10" t="s">
        <v>758</v>
      </c>
      <c r="E292" s="10" t="s">
        <v>761</v>
      </c>
      <c r="F292" s="10" t="s">
        <v>22</v>
      </c>
      <c r="G292" s="10" t="s">
        <v>12</v>
      </c>
      <c r="H292" s="10" t="s">
        <v>41</v>
      </c>
      <c r="I292" s="11">
        <v>14</v>
      </c>
      <c r="J292" s="11"/>
      <c r="K292" s="11">
        <v>0</v>
      </c>
      <c r="L292" s="6">
        <f t="shared" si="24"/>
        <v>14</v>
      </c>
      <c r="M292" s="12">
        <v>6.6779999999999999</v>
      </c>
      <c r="N292" s="13">
        <f t="shared" si="25"/>
        <v>93.492000000000004</v>
      </c>
      <c r="O292" s="13">
        <f t="shared" si="26"/>
        <v>0</v>
      </c>
      <c r="P292" s="14">
        <v>45.94032936</v>
      </c>
      <c r="Q292" s="8">
        <f t="shared" si="27"/>
        <v>643.16461103999995</v>
      </c>
      <c r="R292" s="8">
        <f t="shared" si="28"/>
        <v>0</v>
      </c>
      <c r="S292" s="15">
        <f t="shared" si="29"/>
        <v>0</v>
      </c>
    </row>
    <row r="293" spans="1:19" x14ac:dyDescent="0.25">
      <c r="A293" s="10" t="s">
        <v>762</v>
      </c>
      <c r="B293" s="10">
        <v>73534</v>
      </c>
      <c r="C293" s="10">
        <v>65348</v>
      </c>
      <c r="D293" s="10" t="s">
        <v>763</v>
      </c>
      <c r="E293" s="10" t="s">
        <v>764</v>
      </c>
      <c r="F293" s="10" t="s">
        <v>22</v>
      </c>
      <c r="G293" s="10" t="s">
        <v>12</v>
      </c>
      <c r="H293" s="10" t="s">
        <v>41</v>
      </c>
      <c r="I293" s="11">
        <v>0</v>
      </c>
      <c r="J293" s="11"/>
      <c r="K293" s="11">
        <v>0</v>
      </c>
      <c r="L293" s="6">
        <f t="shared" si="24"/>
        <v>0</v>
      </c>
      <c r="M293" s="12">
        <v>11.358000000000001</v>
      </c>
      <c r="N293" s="13">
        <f t="shared" si="25"/>
        <v>0</v>
      </c>
      <c r="O293" s="13">
        <f t="shared" si="26"/>
        <v>0</v>
      </c>
      <c r="P293" s="14">
        <v>82.705304679999998</v>
      </c>
      <c r="Q293" s="8">
        <f t="shared" si="27"/>
        <v>0</v>
      </c>
      <c r="R293" s="8">
        <f t="shared" si="28"/>
        <v>0</v>
      </c>
      <c r="S293" s="15">
        <f t="shared" si="29"/>
        <v>0</v>
      </c>
    </row>
    <row r="294" spans="1:19" x14ac:dyDescent="0.25">
      <c r="A294" s="10" t="s">
        <v>765</v>
      </c>
      <c r="B294" s="10">
        <v>73534</v>
      </c>
      <c r="C294" s="10">
        <v>65348</v>
      </c>
      <c r="D294" s="10" t="s">
        <v>763</v>
      </c>
      <c r="E294" s="10" t="s">
        <v>766</v>
      </c>
      <c r="F294" s="10" t="s">
        <v>22</v>
      </c>
      <c r="G294" s="10" t="s">
        <v>12</v>
      </c>
      <c r="H294" s="10" t="s">
        <v>41</v>
      </c>
      <c r="I294" s="11">
        <v>0</v>
      </c>
      <c r="J294" s="11"/>
      <c r="K294" s="11">
        <v>0</v>
      </c>
      <c r="L294" s="6">
        <f t="shared" si="24"/>
        <v>0</v>
      </c>
      <c r="M294" s="12">
        <v>11.358000000000001</v>
      </c>
      <c r="N294" s="13">
        <f t="shared" si="25"/>
        <v>0</v>
      </c>
      <c r="O294" s="13">
        <f t="shared" si="26"/>
        <v>0</v>
      </c>
      <c r="P294" s="14">
        <v>90.138842319999995</v>
      </c>
      <c r="Q294" s="8">
        <f t="shared" si="27"/>
        <v>0</v>
      </c>
      <c r="R294" s="8">
        <f t="shared" si="28"/>
        <v>0</v>
      </c>
      <c r="S294" s="15">
        <f t="shared" si="29"/>
        <v>0</v>
      </c>
    </row>
    <row r="295" spans="1:19" x14ac:dyDescent="0.25">
      <c r="A295" s="10" t="s">
        <v>767</v>
      </c>
      <c r="B295" s="10">
        <v>73534</v>
      </c>
      <c r="C295" s="10">
        <v>65348</v>
      </c>
      <c r="D295" s="10" t="s">
        <v>763</v>
      </c>
      <c r="E295" s="10" t="s">
        <v>768</v>
      </c>
      <c r="F295" s="10" t="s">
        <v>22</v>
      </c>
      <c r="G295" s="10" t="s">
        <v>12</v>
      </c>
      <c r="H295" s="10" t="s">
        <v>41</v>
      </c>
      <c r="I295" s="11">
        <v>0</v>
      </c>
      <c r="J295" s="11"/>
      <c r="K295" s="11">
        <v>0</v>
      </c>
      <c r="L295" s="6">
        <f t="shared" si="24"/>
        <v>0</v>
      </c>
      <c r="M295" s="12">
        <v>11.358000000000001</v>
      </c>
      <c r="N295" s="13">
        <f t="shared" si="25"/>
        <v>0</v>
      </c>
      <c r="O295" s="13">
        <f t="shared" si="26"/>
        <v>0</v>
      </c>
      <c r="P295" s="14">
        <v>79.985304679999999</v>
      </c>
      <c r="Q295" s="8">
        <f t="shared" si="27"/>
        <v>0</v>
      </c>
      <c r="R295" s="8">
        <f t="shared" si="28"/>
        <v>0</v>
      </c>
      <c r="S295" s="15">
        <f t="shared" si="29"/>
        <v>0</v>
      </c>
    </row>
    <row r="296" spans="1:19" x14ac:dyDescent="0.25">
      <c r="A296" s="10" t="s">
        <v>769</v>
      </c>
      <c r="B296" s="10">
        <v>73534</v>
      </c>
      <c r="C296" s="10">
        <v>65348</v>
      </c>
      <c r="D296" s="10" t="s">
        <v>763</v>
      </c>
      <c r="E296" s="10" t="s">
        <v>770</v>
      </c>
      <c r="F296" s="10" t="s">
        <v>22</v>
      </c>
      <c r="G296" s="10" t="s">
        <v>12</v>
      </c>
      <c r="H296" s="10" t="s">
        <v>41</v>
      </c>
      <c r="I296" s="11">
        <v>1</v>
      </c>
      <c r="J296" s="11"/>
      <c r="K296" s="11">
        <v>0</v>
      </c>
      <c r="L296" s="6">
        <f t="shared" si="24"/>
        <v>1</v>
      </c>
      <c r="M296" s="12">
        <v>11.358000000000001</v>
      </c>
      <c r="N296" s="13">
        <f t="shared" si="25"/>
        <v>11.358000000000001</v>
      </c>
      <c r="O296" s="13">
        <f t="shared" si="26"/>
        <v>0</v>
      </c>
      <c r="P296" s="14">
        <v>86.082332609999995</v>
      </c>
      <c r="Q296" s="8">
        <f t="shared" si="27"/>
        <v>86.082332609999995</v>
      </c>
      <c r="R296" s="8">
        <f t="shared" si="28"/>
        <v>0</v>
      </c>
      <c r="S296" s="15">
        <f t="shared" si="29"/>
        <v>0</v>
      </c>
    </row>
    <row r="297" spans="1:19" x14ac:dyDescent="0.25">
      <c r="A297" s="10" t="s">
        <v>771</v>
      </c>
      <c r="B297" s="10">
        <v>73534</v>
      </c>
      <c r="C297" s="10">
        <v>65348</v>
      </c>
      <c r="D297" s="10" t="s">
        <v>763</v>
      </c>
      <c r="E297" s="10" t="s">
        <v>772</v>
      </c>
      <c r="F297" s="10" t="s">
        <v>22</v>
      </c>
      <c r="G297" s="10" t="s">
        <v>12</v>
      </c>
      <c r="H297" s="10" t="s">
        <v>41</v>
      </c>
      <c r="I297" s="11">
        <v>5</v>
      </c>
      <c r="J297" s="11"/>
      <c r="K297" s="11">
        <v>0</v>
      </c>
      <c r="L297" s="6">
        <f t="shared" si="24"/>
        <v>5</v>
      </c>
      <c r="M297" s="12">
        <v>11.358000000000001</v>
      </c>
      <c r="N297" s="13">
        <f t="shared" si="25"/>
        <v>56.790000000000006</v>
      </c>
      <c r="O297" s="13">
        <f t="shared" si="26"/>
        <v>0</v>
      </c>
      <c r="P297" s="14">
        <v>98.065304679999997</v>
      </c>
      <c r="Q297" s="8">
        <f t="shared" si="27"/>
        <v>490.32652339999999</v>
      </c>
      <c r="R297" s="8">
        <f t="shared" si="28"/>
        <v>0</v>
      </c>
      <c r="S297" s="15">
        <f t="shared" si="29"/>
        <v>0</v>
      </c>
    </row>
    <row r="298" spans="1:19" x14ac:dyDescent="0.25">
      <c r="A298" s="10" t="s">
        <v>773</v>
      </c>
      <c r="B298" s="10">
        <v>73534</v>
      </c>
      <c r="C298" s="10">
        <v>65348</v>
      </c>
      <c r="D298" s="10" t="s">
        <v>763</v>
      </c>
      <c r="E298" s="10" t="s">
        <v>774</v>
      </c>
      <c r="F298" s="10" t="s">
        <v>22</v>
      </c>
      <c r="G298" s="10" t="s">
        <v>12</v>
      </c>
      <c r="H298" s="10" t="s">
        <v>41</v>
      </c>
      <c r="I298" s="11">
        <v>0</v>
      </c>
      <c r="J298" s="11"/>
      <c r="K298" s="11">
        <v>0</v>
      </c>
      <c r="L298" s="6">
        <f t="shared" si="24"/>
        <v>0</v>
      </c>
      <c r="M298" s="12">
        <v>11.358000000000001</v>
      </c>
      <c r="N298" s="13">
        <f t="shared" si="25"/>
        <v>0</v>
      </c>
      <c r="O298" s="13">
        <f t="shared" si="26"/>
        <v>0</v>
      </c>
      <c r="P298" s="14">
        <v>87.305304680000006</v>
      </c>
      <c r="Q298" s="8">
        <f t="shared" si="27"/>
        <v>0</v>
      </c>
      <c r="R298" s="8">
        <f t="shared" si="28"/>
        <v>0</v>
      </c>
      <c r="S298" s="15">
        <f t="shared" si="29"/>
        <v>0</v>
      </c>
    </row>
    <row r="299" spans="1:19" x14ac:dyDescent="0.25">
      <c r="A299" s="10" t="s">
        <v>775</v>
      </c>
      <c r="B299" s="10">
        <v>73536</v>
      </c>
      <c r="C299" s="10">
        <v>86502</v>
      </c>
      <c r="D299" s="10" t="s">
        <v>776</v>
      </c>
      <c r="E299" s="10" t="s">
        <v>777</v>
      </c>
      <c r="F299" s="10" t="s">
        <v>22</v>
      </c>
      <c r="G299" s="10" t="s">
        <v>12</v>
      </c>
      <c r="H299" s="10" t="s">
        <v>41</v>
      </c>
      <c r="I299" s="11">
        <v>1</v>
      </c>
      <c r="J299" s="11"/>
      <c r="K299" s="11">
        <v>0</v>
      </c>
      <c r="L299" s="6">
        <f t="shared" si="24"/>
        <v>1</v>
      </c>
      <c r="M299" s="12">
        <v>7.234</v>
      </c>
      <c r="N299" s="13">
        <f t="shared" si="25"/>
        <v>7.234</v>
      </c>
      <c r="O299" s="13">
        <f t="shared" si="26"/>
        <v>0</v>
      </c>
      <c r="P299" s="14">
        <v>51.98323268</v>
      </c>
      <c r="Q299" s="8">
        <f t="shared" si="27"/>
        <v>51.98323268</v>
      </c>
      <c r="R299" s="8">
        <f t="shared" si="28"/>
        <v>0</v>
      </c>
      <c r="S299" s="15">
        <f t="shared" si="29"/>
        <v>0</v>
      </c>
    </row>
    <row r="300" spans="1:19" x14ac:dyDescent="0.25">
      <c r="A300" s="10" t="s">
        <v>778</v>
      </c>
      <c r="B300" s="10">
        <v>73539</v>
      </c>
      <c r="C300" s="10">
        <v>73511</v>
      </c>
      <c r="D300" s="10" t="s">
        <v>779</v>
      </c>
      <c r="E300" s="10" t="s">
        <v>780</v>
      </c>
      <c r="F300" s="10" t="s">
        <v>22</v>
      </c>
      <c r="G300" s="10" t="s">
        <v>12</v>
      </c>
      <c r="H300" s="10" t="s">
        <v>41</v>
      </c>
      <c r="I300" s="11">
        <v>0</v>
      </c>
      <c r="J300" s="11"/>
      <c r="K300" s="11">
        <v>0</v>
      </c>
      <c r="L300" s="6">
        <f t="shared" si="24"/>
        <v>0</v>
      </c>
      <c r="M300" s="12">
        <v>12.675000000000001</v>
      </c>
      <c r="N300" s="13">
        <f t="shared" si="25"/>
        <v>0</v>
      </c>
      <c r="O300" s="13">
        <f t="shared" si="26"/>
        <v>0</v>
      </c>
      <c r="P300" s="14">
        <v>70.966391479999999</v>
      </c>
      <c r="Q300" s="8">
        <f t="shared" si="27"/>
        <v>0</v>
      </c>
      <c r="R300" s="8">
        <f t="shared" si="28"/>
        <v>0</v>
      </c>
      <c r="S300" s="15">
        <f t="shared" si="29"/>
        <v>0</v>
      </c>
    </row>
    <row r="301" spans="1:19" x14ac:dyDescent="0.25">
      <c r="A301" s="10" t="s">
        <v>781</v>
      </c>
      <c r="B301" s="10">
        <v>73539</v>
      </c>
      <c r="C301" s="10">
        <v>73511</v>
      </c>
      <c r="D301" s="10" t="s">
        <v>779</v>
      </c>
      <c r="E301" s="10" t="s">
        <v>782</v>
      </c>
      <c r="F301" s="10" t="s">
        <v>22</v>
      </c>
      <c r="G301" s="10" t="s">
        <v>12</v>
      </c>
      <c r="H301" s="10" t="s">
        <v>41</v>
      </c>
      <c r="I301" s="11">
        <v>2</v>
      </c>
      <c r="J301" s="11"/>
      <c r="K301" s="11">
        <v>0</v>
      </c>
      <c r="L301" s="6">
        <f t="shared" si="24"/>
        <v>2</v>
      </c>
      <c r="M301" s="12">
        <v>12.675000000000001</v>
      </c>
      <c r="N301" s="13">
        <f t="shared" si="25"/>
        <v>25.35</v>
      </c>
      <c r="O301" s="13">
        <f t="shared" si="26"/>
        <v>0</v>
      </c>
      <c r="P301" s="14">
        <v>70.966391490000007</v>
      </c>
      <c r="Q301" s="8">
        <f t="shared" si="27"/>
        <v>141.93278298000001</v>
      </c>
      <c r="R301" s="8">
        <f t="shared" si="28"/>
        <v>0</v>
      </c>
      <c r="S301" s="15">
        <f t="shared" si="29"/>
        <v>0</v>
      </c>
    </row>
    <row r="302" spans="1:19" x14ac:dyDescent="0.25">
      <c r="A302" s="10" t="s">
        <v>783</v>
      </c>
      <c r="B302" s="10">
        <v>73539</v>
      </c>
      <c r="C302" s="10">
        <v>73511</v>
      </c>
      <c r="D302" s="10" t="s">
        <v>779</v>
      </c>
      <c r="E302" s="10" t="s">
        <v>784</v>
      </c>
      <c r="F302" s="10" t="s">
        <v>22</v>
      </c>
      <c r="G302" s="10" t="s">
        <v>12</v>
      </c>
      <c r="H302" s="10" t="s">
        <v>41</v>
      </c>
      <c r="I302" s="11">
        <v>1</v>
      </c>
      <c r="J302" s="11"/>
      <c r="K302" s="11">
        <v>0</v>
      </c>
      <c r="L302" s="6">
        <f t="shared" si="24"/>
        <v>1</v>
      </c>
      <c r="M302" s="12">
        <v>12.675000000000001</v>
      </c>
      <c r="N302" s="13">
        <f t="shared" si="25"/>
        <v>12.675000000000001</v>
      </c>
      <c r="O302" s="13">
        <f t="shared" si="26"/>
        <v>0</v>
      </c>
      <c r="P302" s="14">
        <v>70.966391479999999</v>
      </c>
      <c r="Q302" s="8">
        <f t="shared" si="27"/>
        <v>70.966391479999999</v>
      </c>
      <c r="R302" s="8">
        <f t="shared" si="28"/>
        <v>0</v>
      </c>
      <c r="S302" s="15">
        <f t="shared" si="29"/>
        <v>0</v>
      </c>
    </row>
    <row r="303" spans="1:19" x14ac:dyDescent="0.25">
      <c r="A303" s="10" t="s">
        <v>785</v>
      </c>
      <c r="B303" s="10">
        <v>73540</v>
      </c>
      <c r="C303" s="10">
        <v>73512</v>
      </c>
      <c r="D303" s="10" t="s">
        <v>786</v>
      </c>
      <c r="E303" s="10" t="s">
        <v>787</v>
      </c>
      <c r="F303" s="10" t="s">
        <v>22</v>
      </c>
      <c r="G303" s="10" t="s">
        <v>12</v>
      </c>
      <c r="H303" s="10" t="s">
        <v>41</v>
      </c>
      <c r="I303" s="11">
        <v>18</v>
      </c>
      <c r="J303" s="11"/>
      <c r="K303" s="11">
        <v>0</v>
      </c>
      <c r="L303" s="6">
        <f t="shared" si="24"/>
        <v>18</v>
      </c>
      <c r="M303" s="12">
        <v>3.9</v>
      </c>
      <c r="N303" s="13">
        <f t="shared" si="25"/>
        <v>70.2</v>
      </c>
      <c r="O303" s="13">
        <f t="shared" si="26"/>
        <v>0</v>
      </c>
      <c r="P303" s="14">
        <v>28.935812760000001</v>
      </c>
      <c r="Q303" s="8">
        <f t="shared" si="27"/>
        <v>520.84462968000003</v>
      </c>
      <c r="R303" s="8">
        <f t="shared" si="28"/>
        <v>0</v>
      </c>
      <c r="S303" s="15">
        <f t="shared" si="29"/>
        <v>0</v>
      </c>
    </row>
    <row r="304" spans="1:19" x14ac:dyDescent="0.25">
      <c r="A304" s="10" t="s">
        <v>788</v>
      </c>
      <c r="B304" s="10">
        <v>73540</v>
      </c>
      <c r="C304" s="10">
        <v>73512</v>
      </c>
      <c r="D304" s="10" t="s">
        <v>786</v>
      </c>
      <c r="E304" s="10" t="s">
        <v>789</v>
      </c>
      <c r="F304" s="10" t="s">
        <v>22</v>
      </c>
      <c r="G304" s="10" t="s">
        <v>12</v>
      </c>
      <c r="H304" s="10" t="s">
        <v>41</v>
      </c>
      <c r="I304" s="11">
        <v>44</v>
      </c>
      <c r="J304" s="11"/>
      <c r="K304" s="11">
        <v>0</v>
      </c>
      <c r="L304" s="6">
        <f t="shared" si="24"/>
        <v>44</v>
      </c>
      <c r="M304" s="12">
        <v>3.9</v>
      </c>
      <c r="N304" s="13">
        <f t="shared" si="25"/>
        <v>171.6</v>
      </c>
      <c r="O304" s="13">
        <f t="shared" si="26"/>
        <v>0</v>
      </c>
      <c r="P304" s="14">
        <v>25.985812760000002</v>
      </c>
      <c r="Q304" s="8">
        <f t="shared" si="27"/>
        <v>1143.3757614400001</v>
      </c>
      <c r="R304" s="8">
        <f t="shared" si="28"/>
        <v>0</v>
      </c>
      <c r="S304" s="15">
        <f t="shared" si="29"/>
        <v>0</v>
      </c>
    </row>
    <row r="305" spans="1:19" x14ac:dyDescent="0.25">
      <c r="A305" s="10" t="s">
        <v>790</v>
      </c>
      <c r="B305" s="10">
        <v>73540</v>
      </c>
      <c r="C305" s="10">
        <v>73512</v>
      </c>
      <c r="D305" s="10" t="s">
        <v>786</v>
      </c>
      <c r="E305" s="10" t="s">
        <v>791</v>
      </c>
      <c r="F305" s="10" t="s">
        <v>22</v>
      </c>
      <c r="G305" s="10" t="s">
        <v>12</v>
      </c>
      <c r="H305" s="10" t="s">
        <v>41</v>
      </c>
      <c r="I305" s="11">
        <v>375</v>
      </c>
      <c r="J305" s="11"/>
      <c r="K305" s="11">
        <v>0</v>
      </c>
      <c r="L305" s="6">
        <f t="shared" si="24"/>
        <v>375</v>
      </c>
      <c r="M305" s="12">
        <v>3.9</v>
      </c>
      <c r="N305" s="13">
        <f t="shared" si="25"/>
        <v>1462.5</v>
      </c>
      <c r="O305" s="13">
        <f t="shared" si="26"/>
        <v>0</v>
      </c>
      <c r="P305" s="14">
        <v>26.481755490000001</v>
      </c>
      <c r="Q305" s="8">
        <f t="shared" si="27"/>
        <v>9930.6583087500003</v>
      </c>
      <c r="R305" s="8">
        <f t="shared" si="28"/>
        <v>0</v>
      </c>
      <c r="S305" s="15">
        <f t="shared" si="29"/>
        <v>0</v>
      </c>
    </row>
    <row r="306" spans="1:19" x14ac:dyDescent="0.25">
      <c r="A306" s="10" t="s">
        <v>792</v>
      </c>
      <c r="B306" s="10">
        <v>73540</v>
      </c>
      <c r="C306" s="10">
        <v>73512</v>
      </c>
      <c r="D306" s="10" t="s">
        <v>786</v>
      </c>
      <c r="E306" s="10" t="s">
        <v>793</v>
      </c>
      <c r="F306" s="10" t="s">
        <v>22</v>
      </c>
      <c r="G306" s="10" t="s">
        <v>12</v>
      </c>
      <c r="H306" s="10" t="s">
        <v>41</v>
      </c>
      <c r="I306" s="11">
        <v>1</v>
      </c>
      <c r="J306" s="11"/>
      <c r="K306" s="11">
        <v>0</v>
      </c>
      <c r="L306" s="6">
        <f t="shared" si="24"/>
        <v>1</v>
      </c>
      <c r="M306" s="12">
        <v>3.9</v>
      </c>
      <c r="N306" s="13">
        <f t="shared" si="25"/>
        <v>3.9</v>
      </c>
      <c r="O306" s="13">
        <f t="shared" si="26"/>
        <v>0</v>
      </c>
      <c r="P306" s="14">
        <v>25.075812760000002</v>
      </c>
      <c r="Q306" s="8">
        <f t="shared" si="27"/>
        <v>25.075812760000002</v>
      </c>
      <c r="R306" s="8">
        <f t="shared" si="28"/>
        <v>0</v>
      </c>
      <c r="S306" s="15">
        <f t="shared" si="29"/>
        <v>0</v>
      </c>
    </row>
    <row r="307" spans="1:19" x14ac:dyDescent="0.25">
      <c r="A307" s="10" t="s">
        <v>794</v>
      </c>
      <c r="B307" s="10">
        <v>73540</v>
      </c>
      <c r="C307" s="10">
        <v>73512</v>
      </c>
      <c r="D307" s="10" t="s">
        <v>786</v>
      </c>
      <c r="E307" s="10" t="s">
        <v>795</v>
      </c>
      <c r="F307" s="10" t="s">
        <v>22</v>
      </c>
      <c r="G307" s="10" t="s">
        <v>12</v>
      </c>
      <c r="H307" s="10" t="s">
        <v>41</v>
      </c>
      <c r="I307" s="11">
        <v>217</v>
      </c>
      <c r="J307" s="11"/>
      <c r="K307" s="11">
        <v>53</v>
      </c>
      <c r="L307" s="6">
        <f t="shared" si="24"/>
        <v>164</v>
      </c>
      <c r="M307" s="12">
        <v>3.9</v>
      </c>
      <c r="N307" s="13">
        <f t="shared" si="25"/>
        <v>846.3</v>
      </c>
      <c r="O307" s="13">
        <f t="shared" si="26"/>
        <v>206.7</v>
      </c>
      <c r="P307" s="14">
        <v>26.09998431</v>
      </c>
      <c r="Q307" s="8">
        <f t="shared" si="27"/>
        <v>5663.6965952700002</v>
      </c>
      <c r="R307" s="8">
        <f t="shared" si="28"/>
        <v>1383.29916843</v>
      </c>
      <c r="S307" s="15">
        <f t="shared" si="29"/>
        <v>0.24423963133640553</v>
      </c>
    </row>
    <row r="308" spans="1:19" x14ac:dyDescent="0.25">
      <c r="A308" s="10" t="s">
        <v>796</v>
      </c>
      <c r="B308" s="10">
        <v>73540</v>
      </c>
      <c r="C308" s="10">
        <v>73512</v>
      </c>
      <c r="D308" s="10" t="s">
        <v>786</v>
      </c>
      <c r="E308" s="10" t="s">
        <v>797</v>
      </c>
      <c r="F308" s="10" t="s">
        <v>22</v>
      </c>
      <c r="G308" s="10" t="s">
        <v>12</v>
      </c>
      <c r="H308" s="10" t="s">
        <v>41</v>
      </c>
      <c r="I308" s="11">
        <v>355</v>
      </c>
      <c r="J308" s="11"/>
      <c r="K308" s="11">
        <v>189</v>
      </c>
      <c r="L308" s="6">
        <f t="shared" si="24"/>
        <v>166</v>
      </c>
      <c r="M308" s="12">
        <v>3.9</v>
      </c>
      <c r="N308" s="13">
        <f t="shared" si="25"/>
        <v>1384.5</v>
      </c>
      <c r="O308" s="13">
        <f t="shared" si="26"/>
        <v>737.1</v>
      </c>
      <c r="P308" s="14">
        <v>24.775134099999999</v>
      </c>
      <c r="Q308" s="8">
        <f t="shared" si="27"/>
        <v>8795.1726054999999</v>
      </c>
      <c r="R308" s="8">
        <f t="shared" si="28"/>
        <v>4682.5003448999996</v>
      </c>
      <c r="S308" s="15">
        <f t="shared" si="29"/>
        <v>0.53239436619718306</v>
      </c>
    </row>
    <row r="309" spans="1:19" x14ac:dyDescent="0.25">
      <c r="A309" s="10" t="s">
        <v>798</v>
      </c>
      <c r="B309" s="10">
        <v>73540</v>
      </c>
      <c r="C309" s="10">
        <v>73512</v>
      </c>
      <c r="D309" s="10" t="s">
        <v>786</v>
      </c>
      <c r="E309" s="10" t="s">
        <v>799</v>
      </c>
      <c r="F309" s="10" t="s">
        <v>22</v>
      </c>
      <c r="G309" s="10" t="s">
        <v>12</v>
      </c>
      <c r="H309" s="10" t="s">
        <v>41</v>
      </c>
      <c r="I309" s="11">
        <v>144</v>
      </c>
      <c r="J309" s="11"/>
      <c r="K309" s="11">
        <v>42</v>
      </c>
      <c r="L309" s="6">
        <f t="shared" si="24"/>
        <v>102</v>
      </c>
      <c r="M309" s="12">
        <v>3.9</v>
      </c>
      <c r="N309" s="13">
        <f t="shared" si="25"/>
        <v>561.6</v>
      </c>
      <c r="O309" s="13">
        <f t="shared" si="26"/>
        <v>163.79999999999998</v>
      </c>
      <c r="P309" s="14">
        <v>25.093245870000001</v>
      </c>
      <c r="Q309" s="8">
        <f t="shared" si="27"/>
        <v>3613.4274052800001</v>
      </c>
      <c r="R309" s="8">
        <f t="shared" si="28"/>
        <v>1053.91632654</v>
      </c>
      <c r="S309" s="15">
        <f t="shared" si="29"/>
        <v>0.29166666666666669</v>
      </c>
    </row>
    <row r="310" spans="1:19" x14ac:dyDescent="0.25">
      <c r="A310" s="10" t="s">
        <v>800</v>
      </c>
      <c r="B310" s="10">
        <v>73540</v>
      </c>
      <c r="C310" s="10">
        <v>73512</v>
      </c>
      <c r="D310" s="10" t="s">
        <v>786</v>
      </c>
      <c r="E310" s="10" t="s">
        <v>801</v>
      </c>
      <c r="F310" s="10" t="s">
        <v>22</v>
      </c>
      <c r="G310" s="10" t="s">
        <v>12</v>
      </c>
      <c r="H310" s="10" t="s">
        <v>41</v>
      </c>
      <c r="I310" s="11">
        <v>250</v>
      </c>
      <c r="J310" s="11"/>
      <c r="K310" s="11">
        <v>97</v>
      </c>
      <c r="L310" s="6">
        <f t="shared" si="24"/>
        <v>153</v>
      </c>
      <c r="M310" s="12">
        <v>3.9</v>
      </c>
      <c r="N310" s="13">
        <f t="shared" si="25"/>
        <v>975</v>
      </c>
      <c r="O310" s="13">
        <f t="shared" si="26"/>
        <v>378.3</v>
      </c>
      <c r="P310" s="14">
        <v>28.52818821</v>
      </c>
      <c r="Q310" s="8">
        <f t="shared" si="27"/>
        <v>7132.0470525000001</v>
      </c>
      <c r="R310" s="8">
        <f t="shared" si="28"/>
        <v>2767.2342563699999</v>
      </c>
      <c r="S310" s="15">
        <f t="shared" si="29"/>
        <v>0.38800000000000001</v>
      </c>
    </row>
    <row r="311" spans="1:19" x14ac:dyDescent="0.25">
      <c r="A311" s="10" t="s">
        <v>802</v>
      </c>
      <c r="B311" s="10">
        <v>73540</v>
      </c>
      <c r="C311" s="10">
        <v>73512</v>
      </c>
      <c r="D311" s="10" t="s">
        <v>786</v>
      </c>
      <c r="E311" s="10" t="s">
        <v>803</v>
      </c>
      <c r="F311" s="10" t="s">
        <v>22</v>
      </c>
      <c r="G311" s="10" t="s">
        <v>12</v>
      </c>
      <c r="H311" s="10" t="s">
        <v>41</v>
      </c>
      <c r="I311" s="11">
        <v>4</v>
      </c>
      <c r="J311" s="11"/>
      <c r="K311" s="11">
        <v>0</v>
      </c>
      <c r="L311" s="6">
        <f t="shared" si="24"/>
        <v>4</v>
      </c>
      <c r="M311" s="12">
        <v>3.9</v>
      </c>
      <c r="N311" s="13">
        <f t="shared" si="25"/>
        <v>15.6</v>
      </c>
      <c r="O311" s="13">
        <f t="shared" si="26"/>
        <v>0</v>
      </c>
      <c r="P311" s="14">
        <v>25.455812760000001</v>
      </c>
      <c r="Q311" s="8">
        <f t="shared" si="27"/>
        <v>101.82325104</v>
      </c>
      <c r="R311" s="8">
        <f t="shared" si="28"/>
        <v>0</v>
      </c>
      <c r="S311" s="15">
        <f t="shared" si="29"/>
        <v>0</v>
      </c>
    </row>
    <row r="312" spans="1:19" x14ac:dyDescent="0.25">
      <c r="A312" s="10" t="s">
        <v>804</v>
      </c>
      <c r="B312" s="10">
        <v>73542</v>
      </c>
      <c r="C312" s="10">
        <v>87485</v>
      </c>
      <c r="D312" s="10" t="s">
        <v>805</v>
      </c>
      <c r="E312" s="10" t="s">
        <v>806</v>
      </c>
      <c r="F312" s="10" t="s">
        <v>22</v>
      </c>
      <c r="G312" s="10" t="s">
        <v>12</v>
      </c>
      <c r="H312" s="10" t="s">
        <v>41</v>
      </c>
      <c r="I312" s="11">
        <v>18</v>
      </c>
      <c r="J312" s="11"/>
      <c r="K312" s="11">
        <v>0</v>
      </c>
      <c r="L312" s="6">
        <f t="shared" si="24"/>
        <v>18</v>
      </c>
      <c r="M312" s="12">
        <v>6.3760000000000003</v>
      </c>
      <c r="N312" s="13">
        <f t="shared" si="25"/>
        <v>114.768</v>
      </c>
      <c r="O312" s="13">
        <f t="shared" si="26"/>
        <v>0</v>
      </c>
      <c r="P312" s="14">
        <v>41.260153870000003</v>
      </c>
      <c r="Q312" s="8">
        <f t="shared" si="27"/>
        <v>742.68276966000008</v>
      </c>
      <c r="R312" s="8">
        <f t="shared" si="28"/>
        <v>0</v>
      </c>
      <c r="S312" s="15">
        <f t="shared" si="29"/>
        <v>0</v>
      </c>
    </row>
    <row r="313" spans="1:19" x14ac:dyDescent="0.25">
      <c r="A313" s="10" t="s">
        <v>807</v>
      </c>
      <c r="B313" s="10">
        <v>73543</v>
      </c>
      <c r="C313" s="10">
        <v>87486</v>
      </c>
      <c r="D313" s="10" t="s">
        <v>808</v>
      </c>
      <c r="E313" s="10" t="s">
        <v>809</v>
      </c>
      <c r="F313" s="10" t="s">
        <v>22</v>
      </c>
      <c r="G313" s="10" t="s">
        <v>12</v>
      </c>
      <c r="H313" s="10" t="s">
        <v>41</v>
      </c>
      <c r="I313" s="11">
        <v>4</v>
      </c>
      <c r="J313" s="11"/>
      <c r="K313" s="11">
        <v>0</v>
      </c>
      <c r="L313" s="6">
        <f t="shared" si="24"/>
        <v>4</v>
      </c>
      <c r="M313" s="12">
        <v>14.644</v>
      </c>
      <c r="N313" s="13">
        <f t="shared" si="25"/>
        <v>58.576000000000001</v>
      </c>
      <c r="O313" s="13">
        <f t="shared" si="26"/>
        <v>0</v>
      </c>
      <c r="P313" s="14">
        <v>124.24527693</v>
      </c>
      <c r="Q313" s="8">
        <f t="shared" si="27"/>
        <v>496.98110772000001</v>
      </c>
      <c r="R313" s="8">
        <f t="shared" si="28"/>
        <v>0</v>
      </c>
      <c r="S313" s="15">
        <f t="shared" si="29"/>
        <v>0</v>
      </c>
    </row>
    <row r="314" spans="1:19" x14ac:dyDescent="0.25">
      <c r="A314" s="10" t="s">
        <v>810</v>
      </c>
      <c r="B314" s="10">
        <v>73543</v>
      </c>
      <c r="C314" s="10">
        <v>87486</v>
      </c>
      <c r="D314" s="10" t="s">
        <v>808</v>
      </c>
      <c r="E314" s="10" t="s">
        <v>811</v>
      </c>
      <c r="F314" s="10" t="s">
        <v>22</v>
      </c>
      <c r="G314" s="10" t="s">
        <v>12</v>
      </c>
      <c r="H314" s="10" t="s">
        <v>41</v>
      </c>
      <c r="I314" s="11">
        <v>84</v>
      </c>
      <c r="J314" s="11"/>
      <c r="K314" s="11">
        <v>0</v>
      </c>
      <c r="L314" s="6">
        <f t="shared" si="24"/>
        <v>84</v>
      </c>
      <c r="M314" s="12">
        <v>14.644</v>
      </c>
      <c r="N314" s="13">
        <f t="shared" si="25"/>
        <v>1230.096</v>
      </c>
      <c r="O314" s="13">
        <f t="shared" si="26"/>
        <v>0</v>
      </c>
      <c r="P314" s="14">
        <v>110.40527693</v>
      </c>
      <c r="Q314" s="8">
        <f t="shared" si="27"/>
        <v>9274.0432621199998</v>
      </c>
      <c r="R314" s="8">
        <f t="shared" si="28"/>
        <v>0</v>
      </c>
      <c r="S314" s="15">
        <f t="shared" si="29"/>
        <v>0</v>
      </c>
    </row>
    <row r="315" spans="1:19" x14ac:dyDescent="0.25">
      <c r="A315" s="10" t="s">
        <v>812</v>
      </c>
      <c r="B315" s="10">
        <v>73543</v>
      </c>
      <c r="C315" s="10">
        <v>87486</v>
      </c>
      <c r="D315" s="10" t="s">
        <v>808</v>
      </c>
      <c r="E315" s="10" t="s">
        <v>813</v>
      </c>
      <c r="F315" s="10" t="s">
        <v>22</v>
      </c>
      <c r="G315" s="10" t="s">
        <v>12</v>
      </c>
      <c r="H315" s="10" t="s">
        <v>41</v>
      </c>
      <c r="I315" s="11">
        <v>0</v>
      </c>
      <c r="J315" s="11"/>
      <c r="K315" s="11">
        <v>0</v>
      </c>
      <c r="L315" s="6">
        <f t="shared" si="24"/>
        <v>0</v>
      </c>
      <c r="M315" s="12">
        <v>14.644</v>
      </c>
      <c r="N315" s="13">
        <f t="shared" si="25"/>
        <v>0</v>
      </c>
      <c r="O315" s="13">
        <f t="shared" si="26"/>
        <v>0</v>
      </c>
      <c r="P315" s="14">
        <v>113.01527693</v>
      </c>
      <c r="Q315" s="8">
        <f t="shared" si="27"/>
        <v>0</v>
      </c>
      <c r="R315" s="8">
        <f t="shared" si="28"/>
        <v>0</v>
      </c>
      <c r="S315" s="15">
        <f t="shared" si="29"/>
        <v>0</v>
      </c>
    </row>
    <row r="316" spans="1:19" x14ac:dyDescent="0.25">
      <c r="A316" s="10" t="s">
        <v>814</v>
      </c>
      <c r="B316" s="10">
        <v>73543</v>
      </c>
      <c r="C316" s="10">
        <v>87486</v>
      </c>
      <c r="D316" s="10" t="s">
        <v>808</v>
      </c>
      <c r="E316" s="10" t="s">
        <v>815</v>
      </c>
      <c r="F316" s="10" t="s">
        <v>22</v>
      </c>
      <c r="G316" s="10" t="s">
        <v>12</v>
      </c>
      <c r="H316" s="10" t="s">
        <v>41</v>
      </c>
      <c r="I316" s="11">
        <v>41</v>
      </c>
      <c r="J316" s="11"/>
      <c r="K316" s="11">
        <v>0</v>
      </c>
      <c r="L316" s="6">
        <f t="shared" si="24"/>
        <v>41</v>
      </c>
      <c r="M316" s="12">
        <v>14.644</v>
      </c>
      <c r="N316" s="13">
        <f t="shared" si="25"/>
        <v>600.404</v>
      </c>
      <c r="O316" s="13">
        <f t="shared" si="26"/>
        <v>0</v>
      </c>
      <c r="P316" s="14">
        <v>116.30527693000001</v>
      </c>
      <c r="Q316" s="8">
        <f t="shared" si="27"/>
        <v>4768.5163541299999</v>
      </c>
      <c r="R316" s="8">
        <f t="shared" si="28"/>
        <v>0</v>
      </c>
      <c r="S316" s="15">
        <f t="shared" si="29"/>
        <v>0</v>
      </c>
    </row>
    <row r="317" spans="1:19" x14ac:dyDescent="0.25">
      <c r="A317" s="10" t="s">
        <v>816</v>
      </c>
      <c r="B317" s="10">
        <v>73543</v>
      </c>
      <c r="C317" s="10">
        <v>87486</v>
      </c>
      <c r="D317" s="10" t="s">
        <v>808</v>
      </c>
      <c r="E317" s="10" t="s">
        <v>817</v>
      </c>
      <c r="F317" s="10" t="s">
        <v>22</v>
      </c>
      <c r="G317" s="10" t="s">
        <v>12</v>
      </c>
      <c r="H317" s="10" t="s">
        <v>41</v>
      </c>
      <c r="I317" s="11">
        <v>2</v>
      </c>
      <c r="J317" s="11"/>
      <c r="K317" s="11">
        <v>0</v>
      </c>
      <c r="L317" s="6">
        <f t="shared" si="24"/>
        <v>2</v>
      </c>
      <c r="M317" s="12">
        <v>14.644</v>
      </c>
      <c r="N317" s="13">
        <f t="shared" si="25"/>
        <v>29.288</v>
      </c>
      <c r="O317" s="13">
        <f t="shared" si="26"/>
        <v>0</v>
      </c>
      <c r="P317" s="14">
        <v>102.42527693</v>
      </c>
      <c r="Q317" s="8">
        <f t="shared" si="27"/>
        <v>204.85055385999999</v>
      </c>
      <c r="R317" s="8">
        <f t="shared" si="28"/>
        <v>0</v>
      </c>
      <c r="S317" s="15">
        <f t="shared" si="29"/>
        <v>0</v>
      </c>
    </row>
    <row r="318" spans="1:19" x14ac:dyDescent="0.25">
      <c r="A318" s="10" t="s">
        <v>818</v>
      </c>
      <c r="B318" s="10">
        <v>73543</v>
      </c>
      <c r="C318" s="10">
        <v>87486</v>
      </c>
      <c r="D318" s="10" t="s">
        <v>808</v>
      </c>
      <c r="E318" s="10" t="s">
        <v>819</v>
      </c>
      <c r="F318" s="10" t="s">
        <v>22</v>
      </c>
      <c r="G318" s="10" t="s">
        <v>12</v>
      </c>
      <c r="H318" s="10" t="s">
        <v>41</v>
      </c>
      <c r="I318" s="11">
        <v>33</v>
      </c>
      <c r="J318" s="11"/>
      <c r="K318" s="11">
        <v>0</v>
      </c>
      <c r="L318" s="6">
        <f t="shared" si="24"/>
        <v>33</v>
      </c>
      <c r="M318" s="12">
        <v>14.644</v>
      </c>
      <c r="N318" s="13">
        <f t="shared" si="25"/>
        <v>483.25200000000001</v>
      </c>
      <c r="O318" s="13">
        <f t="shared" si="26"/>
        <v>0</v>
      </c>
      <c r="P318" s="14">
        <v>98.615276929999993</v>
      </c>
      <c r="Q318" s="8">
        <f t="shared" si="27"/>
        <v>3254.3041386899999</v>
      </c>
      <c r="R318" s="8">
        <f t="shared" si="28"/>
        <v>0</v>
      </c>
      <c r="S318" s="15">
        <f t="shared" si="29"/>
        <v>0</v>
      </c>
    </row>
    <row r="319" spans="1:19" x14ac:dyDescent="0.25">
      <c r="A319" s="10" t="s">
        <v>820</v>
      </c>
      <c r="B319" s="10">
        <v>73543</v>
      </c>
      <c r="C319" s="10">
        <v>87486</v>
      </c>
      <c r="D319" s="10" t="s">
        <v>808</v>
      </c>
      <c r="E319" s="10" t="s">
        <v>821</v>
      </c>
      <c r="F319" s="10" t="s">
        <v>22</v>
      </c>
      <c r="G319" s="10" t="s">
        <v>12</v>
      </c>
      <c r="H319" s="10" t="s">
        <v>41</v>
      </c>
      <c r="I319" s="11">
        <v>4</v>
      </c>
      <c r="J319" s="11"/>
      <c r="K319" s="11">
        <v>0</v>
      </c>
      <c r="L319" s="6">
        <f t="shared" si="24"/>
        <v>4</v>
      </c>
      <c r="M319" s="12">
        <v>14.644</v>
      </c>
      <c r="N319" s="13">
        <f t="shared" si="25"/>
        <v>58.576000000000001</v>
      </c>
      <c r="O319" s="13">
        <f t="shared" si="26"/>
        <v>0</v>
      </c>
      <c r="P319" s="14">
        <v>99.165276930000005</v>
      </c>
      <c r="Q319" s="8">
        <f t="shared" si="27"/>
        <v>396.66110772000002</v>
      </c>
      <c r="R319" s="8">
        <f t="shared" si="28"/>
        <v>0</v>
      </c>
      <c r="S319" s="15">
        <f t="shared" si="29"/>
        <v>0</v>
      </c>
    </row>
    <row r="320" spans="1:19" x14ac:dyDescent="0.25">
      <c r="A320" s="10" t="s">
        <v>822</v>
      </c>
      <c r="B320" s="10">
        <v>73543</v>
      </c>
      <c r="C320" s="10">
        <v>87486</v>
      </c>
      <c r="D320" s="10" t="s">
        <v>808</v>
      </c>
      <c r="E320" s="10" t="s">
        <v>823</v>
      </c>
      <c r="F320" s="10" t="s">
        <v>22</v>
      </c>
      <c r="G320" s="10" t="s">
        <v>12</v>
      </c>
      <c r="H320" s="10" t="s">
        <v>41</v>
      </c>
      <c r="I320" s="11">
        <v>0</v>
      </c>
      <c r="J320" s="11"/>
      <c r="K320" s="11">
        <v>0</v>
      </c>
      <c r="L320" s="6">
        <f t="shared" si="24"/>
        <v>0</v>
      </c>
      <c r="M320" s="12">
        <v>14.644</v>
      </c>
      <c r="N320" s="13">
        <f t="shared" si="25"/>
        <v>0</v>
      </c>
      <c r="O320" s="13">
        <f t="shared" si="26"/>
        <v>0</v>
      </c>
      <c r="P320" s="14">
        <v>102.21527693</v>
      </c>
      <c r="Q320" s="8">
        <f t="shared" si="27"/>
        <v>0</v>
      </c>
      <c r="R320" s="8">
        <f t="shared" si="28"/>
        <v>0</v>
      </c>
      <c r="S320" s="15">
        <f t="shared" si="29"/>
        <v>0</v>
      </c>
    </row>
    <row r="321" spans="1:19" x14ac:dyDescent="0.25">
      <c r="A321" s="10" t="s">
        <v>824</v>
      </c>
      <c r="B321" s="10">
        <v>73543</v>
      </c>
      <c r="C321" s="10">
        <v>87486</v>
      </c>
      <c r="D321" s="10" t="s">
        <v>808</v>
      </c>
      <c r="E321" s="10" t="s">
        <v>825</v>
      </c>
      <c r="F321" s="10" t="s">
        <v>22</v>
      </c>
      <c r="G321" s="10" t="s">
        <v>12</v>
      </c>
      <c r="H321" s="10" t="s">
        <v>41</v>
      </c>
      <c r="I321" s="11">
        <v>29</v>
      </c>
      <c r="J321" s="11"/>
      <c r="K321" s="11">
        <v>0</v>
      </c>
      <c r="L321" s="6">
        <f t="shared" si="24"/>
        <v>29</v>
      </c>
      <c r="M321" s="12">
        <v>14.644</v>
      </c>
      <c r="N321" s="13">
        <f t="shared" si="25"/>
        <v>424.67599999999999</v>
      </c>
      <c r="O321" s="13">
        <f t="shared" si="26"/>
        <v>0</v>
      </c>
      <c r="P321" s="14">
        <v>99.925276929999995</v>
      </c>
      <c r="Q321" s="8">
        <f t="shared" si="27"/>
        <v>2897.83303097</v>
      </c>
      <c r="R321" s="8">
        <f t="shared" si="28"/>
        <v>0</v>
      </c>
      <c r="S321" s="15">
        <f t="shared" si="29"/>
        <v>0</v>
      </c>
    </row>
    <row r="322" spans="1:19" x14ac:dyDescent="0.25">
      <c r="A322" s="10" t="s">
        <v>826</v>
      </c>
      <c r="B322" s="10">
        <v>73543</v>
      </c>
      <c r="C322" s="10">
        <v>87486</v>
      </c>
      <c r="D322" s="10" t="s">
        <v>808</v>
      </c>
      <c r="E322" s="10" t="s">
        <v>827</v>
      </c>
      <c r="F322" s="10" t="s">
        <v>22</v>
      </c>
      <c r="G322" s="10" t="s">
        <v>12</v>
      </c>
      <c r="H322" s="10" t="s">
        <v>41</v>
      </c>
      <c r="I322" s="11">
        <v>31</v>
      </c>
      <c r="J322" s="11"/>
      <c r="K322" s="11">
        <v>0</v>
      </c>
      <c r="L322" s="6">
        <f t="shared" ref="L322:L385" si="30">I322-K322</f>
        <v>31</v>
      </c>
      <c r="M322" s="12">
        <v>14.644</v>
      </c>
      <c r="N322" s="13">
        <f t="shared" ref="N322:N385" si="31">I322*M322</f>
        <v>453.964</v>
      </c>
      <c r="O322" s="13">
        <f t="shared" ref="O322:O385" si="32">K322*M322</f>
        <v>0</v>
      </c>
      <c r="P322" s="14">
        <v>109.28527692999999</v>
      </c>
      <c r="Q322" s="8">
        <f t="shared" ref="Q322:Q385" si="33">I322*P322</f>
        <v>3387.8435848300001</v>
      </c>
      <c r="R322" s="8">
        <f t="shared" ref="R322:R385" si="34">K322*P322</f>
        <v>0</v>
      </c>
      <c r="S322" s="15">
        <f t="shared" ref="S322:S385" si="35">IF(I322=0,0,K322/I322)</f>
        <v>0</v>
      </c>
    </row>
    <row r="323" spans="1:19" x14ac:dyDescent="0.25">
      <c r="A323" s="10" t="s">
        <v>828</v>
      </c>
      <c r="B323" s="10">
        <v>73543</v>
      </c>
      <c r="C323" s="10">
        <v>87486</v>
      </c>
      <c r="D323" s="10" t="s">
        <v>808</v>
      </c>
      <c r="E323" s="10" t="s">
        <v>829</v>
      </c>
      <c r="F323" s="10" t="s">
        <v>22</v>
      </c>
      <c r="G323" s="10" t="s">
        <v>12</v>
      </c>
      <c r="H323" s="10" t="s">
        <v>41</v>
      </c>
      <c r="I323" s="11">
        <v>53</v>
      </c>
      <c r="J323" s="11"/>
      <c r="K323" s="11">
        <v>0</v>
      </c>
      <c r="L323" s="6">
        <f t="shared" si="30"/>
        <v>53</v>
      </c>
      <c r="M323" s="12">
        <v>14.644</v>
      </c>
      <c r="N323" s="13">
        <f t="shared" si="31"/>
        <v>776.13200000000006</v>
      </c>
      <c r="O323" s="13">
        <f t="shared" si="32"/>
        <v>0</v>
      </c>
      <c r="P323" s="14">
        <v>107.90527693</v>
      </c>
      <c r="Q323" s="8">
        <f t="shared" si="33"/>
        <v>5718.9796772899999</v>
      </c>
      <c r="R323" s="8">
        <f t="shared" si="34"/>
        <v>0</v>
      </c>
      <c r="S323" s="15">
        <f t="shared" si="35"/>
        <v>0</v>
      </c>
    </row>
    <row r="324" spans="1:19" x14ac:dyDescent="0.25">
      <c r="A324" s="10" t="s">
        <v>830</v>
      </c>
      <c r="B324" s="10">
        <v>73545</v>
      </c>
      <c r="C324" s="10">
        <v>54258</v>
      </c>
      <c r="D324" s="10" t="s">
        <v>831</v>
      </c>
      <c r="E324" s="10" t="s">
        <v>832</v>
      </c>
      <c r="F324" s="10" t="s">
        <v>22</v>
      </c>
      <c r="G324" s="10" t="s">
        <v>12</v>
      </c>
      <c r="H324" s="10" t="s">
        <v>41</v>
      </c>
      <c r="I324" s="11">
        <v>26</v>
      </c>
      <c r="J324" s="11"/>
      <c r="K324" s="11">
        <v>0</v>
      </c>
      <c r="L324" s="6">
        <f t="shared" si="30"/>
        <v>26</v>
      </c>
      <c r="M324" s="12">
        <v>11.358000000000001</v>
      </c>
      <c r="N324" s="13">
        <f t="shared" si="31"/>
        <v>295.30799999999999</v>
      </c>
      <c r="O324" s="13">
        <f t="shared" si="32"/>
        <v>0</v>
      </c>
      <c r="P324" s="14">
        <v>78.635304680000004</v>
      </c>
      <c r="Q324" s="8">
        <f t="shared" si="33"/>
        <v>2044.5179216800002</v>
      </c>
      <c r="R324" s="8">
        <f t="shared" si="34"/>
        <v>0</v>
      </c>
      <c r="S324" s="15">
        <f t="shared" si="35"/>
        <v>0</v>
      </c>
    </row>
    <row r="325" spans="1:19" x14ac:dyDescent="0.25">
      <c r="A325" s="10" t="s">
        <v>833</v>
      </c>
      <c r="B325" s="10">
        <v>73545</v>
      </c>
      <c r="C325" s="10">
        <v>54258</v>
      </c>
      <c r="D325" s="10" t="s">
        <v>831</v>
      </c>
      <c r="E325" s="10" t="s">
        <v>834</v>
      </c>
      <c r="F325" s="10" t="s">
        <v>22</v>
      </c>
      <c r="G325" s="10" t="s">
        <v>12</v>
      </c>
      <c r="H325" s="10" t="s">
        <v>41</v>
      </c>
      <c r="I325" s="11">
        <v>36</v>
      </c>
      <c r="J325" s="11"/>
      <c r="K325" s="11">
        <v>0</v>
      </c>
      <c r="L325" s="6">
        <f t="shared" si="30"/>
        <v>36</v>
      </c>
      <c r="M325" s="12">
        <v>11.358000000000001</v>
      </c>
      <c r="N325" s="13">
        <f t="shared" si="31"/>
        <v>408.88800000000003</v>
      </c>
      <c r="O325" s="13">
        <f t="shared" si="32"/>
        <v>0</v>
      </c>
      <c r="P325" s="14">
        <v>78.635304680000004</v>
      </c>
      <c r="Q325" s="8">
        <f t="shared" si="33"/>
        <v>2830.8709684800001</v>
      </c>
      <c r="R325" s="8">
        <f t="shared" si="34"/>
        <v>0</v>
      </c>
      <c r="S325" s="15">
        <f t="shared" si="35"/>
        <v>0</v>
      </c>
    </row>
    <row r="326" spans="1:19" x14ac:dyDescent="0.25">
      <c r="A326" s="10" t="s">
        <v>835</v>
      </c>
      <c r="B326" s="10">
        <v>73545</v>
      </c>
      <c r="C326" s="10">
        <v>54258</v>
      </c>
      <c r="D326" s="10" t="s">
        <v>831</v>
      </c>
      <c r="E326" s="10" t="s">
        <v>836</v>
      </c>
      <c r="F326" s="10" t="s">
        <v>22</v>
      </c>
      <c r="G326" s="10" t="s">
        <v>12</v>
      </c>
      <c r="H326" s="10" t="s">
        <v>41</v>
      </c>
      <c r="I326" s="11">
        <v>29</v>
      </c>
      <c r="J326" s="11"/>
      <c r="K326" s="11">
        <v>0</v>
      </c>
      <c r="L326" s="6">
        <f t="shared" si="30"/>
        <v>29</v>
      </c>
      <c r="M326" s="12">
        <v>11.358000000000001</v>
      </c>
      <c r="N326" s="13">
        <f t="shared" si="31"/>
        <v>329.38200000000001</v>
      </c>
      <c r="O326" s="13">
        <f t="shared" si="32"/>
        <v>0</v>
      </c>
      <c r="P326" s="14">
        <v>75.615304679999994</v>
      </c>
      <c r="Q326" s="8">
        <f t="shared" si="33"/>
        <v>2192.8438357199998</v>
      </c>
      <c r="R326" s="8">
        <f t="shared" si="34"/>
        <v>0</v>
      </c>
      <c r="S326" s="15">
        <f t="shared" si="35"/>
        <v>0</v>
      </c>
    </row>
    <row r="327" spans="1:19" x14ac:dyDescent="0.25">
      <c r="A327" s="10" t="s">
        <v>837</v>
      </c>
      <c r="B327" s="10">
        <v>73545</v>
      </c>
      <c r="C327" s="10">
        <v>54258</v>
      </c>
      <c r="D327" s="10" t="s">
        <v>831</v>
      </c>
      <c r="E327" s="10" t="s">
        <v>838</v>
      </c>
      <c r="F327" s="10" t="s">
        <v>22</v>
      </c>
      <c r="G327" s="10" t="s">
        <v>12</v>
      </c>
      <c r="H327" s="10" t="s">
        <v>41</v>
      </c>
      <c r="I327" s="11">
        <v>1</v>
      </c>
      <c r="J327" s="11"/>
      <c r="K327" s="11">
        <v>0</v>
      </c>
      <c r="L327" s="6">
        <f t="shared" si="30"/>
        <v>1</v>
      </c>
      <c r="M327" s="12">
        <v>11.358000000000001</v>
      </c>
      <c r="N327" s="13">
        <f t="shared" si="31"/>
        <v>11.358000000000001</v>
      </c>
      <c r="O327" s="13">
        <f t="shared" si="32"/>
        <v>0</v>
      </c>
      <c r="P327" s="14">
        <v>75.245304680000004</v>
      </c>
      <c r="Q327" s="8">
        <f t="shared" si="33"/>
        <v>75.245304680000004</v>
      </c>
      <c r="R327" s="8">
        <f t="shared" si="34"/>
        <v>0</v>
      </c>
      <c r="S327" s="15">
        <f t="shared" si="35"/>
        <v>0</v>
      </c>
    </row>
    <row r="328" spans="1:19" x14ac:dyDescent="0.25">
      <c r="A328" s="10" t="s">
        <v>839</v>
      </c>
      <c r="B328" s="10">
        <v>73545</v>
      </c>
      <c r="C328" s="10">
        <v>54258</v>
      </c>
      <c r="D328" s="10" t="s">
        <v>831</v>
      </c>
      <c r="E328" s="10" t="s">
        <v>840</v>
      </c>
      <c r="F328" s="10" t="s">
        <v>22</v>
      </c>
      <c r="G328" s="10" t="s">
        <v>12</v>
      </c>
      <c r="H328" s="10" t="s">
        <v>41</v>
      </c>
      <c r="I328" s="11">
        <v>14</v>
      </c>
      <c r="J328" s="11"/>
      <c r="K328" s="11">
        <v>0</v>
      </c>
      <c r="L328" s="6">
        <f t="shared" si="30"/>
        <v>14</v>
      </c>
      <c r="M328" s="12">
        <v>11.358000000000001</v>
      </c>
      <c r="N328" s="13">
        <f t="shared" si="31"/>
        <v>159.012</v>
      </c>
      <c r="O328" s="13">
        <f t="shared" si="32"/>
        <v>0</v>
      </c>
      <c r="P328" s="14">
        <v>78.635304680000004</v>
      </c>
      <c r="Q328" s="8">
        <f t="shared" si="33"/>
        <v>1100.8942655200001</v>
      </c>
      <c r="R328" s="8">
        <f t="shared" si="34"/>
        <v>0</v>
      </c>
      <c r="S328" s="15">
        <f t="shared" si="35"/>
        <v>0</v>
      </c>
    </row>
    <row r="329" spans="1:19" x14ac:dyDescent="0.25">
      <c r="A329" s="10" t="s">
        <v>841</v>
      </c>
      <c r="B329" s="10">
        <v>73545</v>
      </c>
      <c r="C329" s="10">
        <v>54258</v>
      </c>
      <c r="D329" s="10" t="s">
        <v>831</v>
      </c>
      <c r="E329" s="10" t="s">
        <v>842</v>
      </c>
      <c r="F329" s="10" t="s">
        <v>22</v>
      </c>
      <c r="G329" s="10" t="s">
        <v>12</v>
      </c>
      <c r="H329" s="10" t="s">
        <v>41</v>
      </c>
      <c r="I329" s="11">
        <v>0</v>
      </c>
      <c r="J329" s="11"/>
      <c r="K329" s="11">
        <v>0</v>
      </c>
      <c r="L329" s="6">
        <f t="shared" si="30"/>
        <v>0</v>
      </c>
      <c r="M329" s="12">
        <v>11.358000000000001</v>
      </c>
      <c r="N329" s="13">
        <f t="shared" si="31"/>
        <v>0</v>
      </c>
      <c r="O329" s="13">
        <f t="shared" si="32"/>
        <v>0</v>
      </c>
      <c r="P329" s="14">
        <v>78.635304680000004</v>
      </c>
      <c r="Q329" s="8">
        <f t="shared" si="33"/>
        <v>0</v>
      </c>
      <c r="R329" s="8">
        <f t="shared" si="34"/>
        <v>0</v>
      </c>
      <c r="S329" s="15">
        <f t="shared" si="35"/>
        <v>0</v>
      </c>
    </row>
    <row r="330" spans="1:19" x14ac:dyDescent="0.25">
      <c r="A330" s="10" t="s">
        <v>843</v>
      </c>
      <c r="B330" s="10">
        <v>73547</v>
      </c>
      <c r="C330" s="10">
        <v>88033</v>
      </c>
      <c r="D330" s="10" t="s">
        <v>844</v>
      </c>
      <c r="E330" s="10" t="s">
        <v>845</v>
      </c>
      <c r="F330" s="10" t="s">
        <v>22</v>
      </c>
      <c r="G330" s="10" t="s">
        <v>12</v>
      </c>
      <c r="H330" s="10" t="s">
        <v>41</v>
      </c>
      <c r="I330" s="11">
        <v>31</v>
      </c>
      <c r="J330" s="11"/>
      <c r="K330" s="11">
        <v>0</v>
      </c>
      <c r="L330" s="6">
        <f t="shared" si="30"/>
        <v>31</v>
      </c>
      <c r="M330" s="12">
        <v>11.115</v>
      </c>
      <c r="N330" s="13">
        <f t="shared" si="31"/>
        <v>344.565</v>
      </c>
      <c r="O330" s="13">
        <f t="shared" si="32"/>
        <v>0</v>
      </c>
      <c r="P330" s="14">
        <v>65.728066380000001</v>
      </c>
      <c r="Q330" s="8">
        <f t="shared" si="33"/>
        <v>2037.5700577800001</v>
      </c>
      <c r="R330" s="8">
        <f t="shared" si="34"/>
        <v>0</v>
      </c>
      <c r="S330" s="15">
        <f t="shared" si="35"/>
        <v>0</v>
      </c>
    </row>
    <row r="331" spans="1:19" x14ac:dyDescent="0.25">
      <c r="A331" s="10" t="s">
        <v>846</v>
      </c>
      <c r="B331" s="10">
        <v>73547</v>
      </c>
      <c r="C331" s="10">
        <v>88033</v>
      </c>
      <c r="D331" s="10" t="s">
        <v>844</v>
      </c>
      <c r="E331" s="10" t="s">
        <v>847</v>
      </c>
      <c r="F331" s="10" t="s">
        <v>22</v>
      </c>
      <c r="G331" s="10" t="s">
        <v>12</v>
      </c>
      <c r="H331" s="10" t="s">
        <v>41</v>
      </c>
      <c r="I331" s="11">
        <v>1277</v>
      </c>
      <c r="J331" s="11"/>
      <c r="K331" s="11">
        <v>961</v>
      </c>
      <c r="L331" s="6">
        <f t="shared" si="30"/>
        <v>316</v>
      </c>
      <c r="M331" s="12">
        <v>11.115</v>
      </c>
      <c r="N331" s="13">
        <f t="shared" si="31"/>
        <v>14193.855</v>
      </c>
      <c r="O331" s="13">
        <f t="shared" si="32"/>
        <v>10681.514999999999</v>
      </c>
      <c r="P331" s="14">
        <v>66.209937929999995</v>
      </c>
      <c r="Q331" s="8">
        <f t="shared" si="33"/>
        <v>84550.09073661</v>
      </c>
      <c r="R331" s="8">
        <f t="shared" si="34"/>
        <v>63627.750350729999</v>
      </c>
      <c r="S331" s="15">
        <f t="shared" si="35"/>
        <v>0.75254502740798745</v>
      </c>
    </row>
    <row r="332" spans="1:19" x14ac:dyDescent="0.25">
      <c r="A332" s="10" t="s">
        <v>848</v>
      </c>
      <c r="B332" s="10">
        <v>73547</v>
      </c>
      <c r="C332" s="10">
        <v>88033</v>
      </c>
      <c r="D332" s="10" t="s">
        <v>844</v>
      </c>
      <c r="E332" s="10" t="s">
        <v>849</v>
      </c>
      <c r="F332" s="10" t="s">
        <v>22</v>
      </c>
      <c r="G332" s="10" t="s">
        <v>12</v>
      </c>
      <c r="H332" s="10" t="s">
        <v>41</v>
      </c>
      <c r="I332" s="11">
        <v>77</v>
      </c>
      <c r="J332" s="11"/>
      <c r="K332" s="11">
        <v>0</v>
      </c>
      <c r="L332" s="6">
        <f t="shared" si="30"/>
        <v>77</v>
      </c>
      <c r="M332" s="12">
        <v>11.115</v>
      </c>
      <c r="N332" s="13">
        <f t="shared" si="31"/>
        <v>855.85500000000002</v>
      </c>
      <c r="O332" s="13">
        <f t="shared" si="32"/>
        <v>0</v>
      </c>
      <c r="P332" s="14">
        <v>60.675727029999997</v>
      </c>
      <c r="Q332" s="8">
        <f t="shared" si="33"/>
        <v>4672.0309813100002</v>
      </c>
      <c r="R332" s="8">
        <f t="shared" si="34"/>
        <v>0</v>
      </c>
      <c r="S332" s="15">
        <f t="shared" si="35"/>
        <v>0</v>
      </c>
    </row>
    <row r="333" spans="1:19" x14ac:dyDescent="0.25">
      <c r="A333" s="10" t="s">
        <v>850</v>
      </c>
      <c r="B333" s="10">
        <v>73547</v>
      </c>
      <c r="C333" s="10">
        <v>88033</v>
      </c>
      <c r="D333" s="10" t="s">
        <v>844</v>
      </c>
      <c r="E333" s="10" t="s">
        <v>851</v>
      </c>
      <c r="F333" s="10" t="s">
        <v>22</v>
      </c>
      <c r="G333" s="10" t="s">
        <v>12</v>
      </c>
      <c r="H333" s="10" t="s">
        <v>41</v>
      </c>
      <c r="I333" s="11">
        <v>52</v>
      </c>
      <c r="J333" s="11"/>
      <c r="K333" s="11">
        <v>-15</v>
      </c>
      <c r="L333" s="6">
        <f t="shared" si="30"/>
        <v>67</v>
      </c>
      <c r="M333" s="12">
        <v>11.115</v>
      </c>
      <c r="N333" s="13">
        <f t="shared" si="31"/>
        <v>577.98</v>
      </c>
      <c r="O333" s="13">
        <f t="shared" si="32"/>
        <v>-166.72499999999999</v>
      </c>
      <c r="P333" s="14">
        <v>63.655217729999997</v>
      </c>
      <c r="Q333" s="8">
        <f t="shared" si="33"/>
        <v>3310.0713219599998</v>
      </c>
      <c r="R333" s="8">
        <f t="shared" si="34"/>
        <v>-954.82826594999995</v>
      </c>
      <c r="S333" s="15">
        <f t="shared" si="35"/>
        <v>-0.28846153846153844</v>
      </c>
    </row>
    <row r="334" spans="1:19" x14ac:dyDescent="0.25">
      <c r="A334" s="10" t="s">
        <v>852</v>
      </c>
      <c r="B334" s="10">
        <v>73547</v>
      </c>
      <c r="C334" s="10">
        <v>88033</v>
      </c>
      <c r="D334" s="10" t="s">
        <v>844</v>
      </c>
      <c r="E334" s="10" t="s">
        <v>853</v>
      </c>
      <c r="F334" s="10" t="s">
        <v>22</v>
      </c>
      <c r="G334" s="10" t="s">
        <v>12</v>
      </c>
      <c r="H334" s="10" t="s">
        <v>41</v>
      </c>
      <c r="I334" s="11">
        <v>129</v>
      </c>
      <c r="J334" s="11"/>
      <c r="K334" s="11">
        <v>3</v>
      </c>
      <c r="L334" s="6">
        <f t="shared" si="30"/>
        <v>126</v>
      </c>
      <c r="M334" s="12">
        <v>11.115</v>
      </c>
      <c r="N334" s="13">
        <f t="shared" si="31"/>
        <v>1433.835</v>
      </c>
      <c r="O334" s="13">
        <f t="shared" si="32"/>
        <v>33.344999999999999</v>
      </c>
      <c r="P334" s="14">
        <v>64.468460669999999</v>
      </c>
      <c r="Q334" s="8">
        <f t="shared" si="33"/>
        <v>8316.4314264299992</v>
      </c>
      <c r="R334" s="8">
        <f t="shared" si="34"/>
        <v>193.40538200999998</v>
      </c>
      <c r="S334" s="15">
        <f t="shared" si="35"/>
        <v>2.3255813953488372E-2</v>
      </c>
    </row>
    <row r="335" spans="1:19" x14ac:dyDescent="0.25">
      <c r="A335" s="10" t="s">
        <v>854</v>
      </c>
      <c r="B335" s="10">
        <v>73547</v>
      </c>
      <c r="C335" s="10">
        <v>88033</v>
      </c>
      <c r="D335" s="10" t="s">
        <v>844</v>
      </c>
      <c r="E335" s="10" t="s">
        <v>855</v>
      </c>
      <c r="F335" s="10" t="s">
        <v>22</v>
      </c>
      <c r="G335" s="10" t="s">
        <v>12</v>
      </c>
      <c r="H335" s="10" t="s">
        <v>41</v>
      </c>
      <c r="I335" s="11">
        <v>1049</v>
      </c>
      <c r="J335" s="11"/>
      <c r="K335" s="11">
        <v>1049</v>
      </c>
      <c r="L335" s="6">
        <f t="shared" si="30"/>
        <v>0</v>
      </c>
      <c r="M335" s="12">
        <v>11.115</v>
      </c>
      <c r="N335" s="13">
        <f t="shared" si="31"/>
        <v>11659.635</v>
      </c>
      <c r="O335" s="13">
        <f t="shared" si="32"/>
        <v>11659.635</v>
      </c>
      <c r="P335" s="14">
        <v>74.363262370000001</v>
      </c>
      <c r="Q335" s="8">
        <f t="shared" si="33"/>
        <v>78007.062226130001</v>
      </c>
      <c r="R335" s="8">
        <f t="shared" si="34"/>
        <v>78007.062226130001</v>
      </c>
      <c r="S335" s="15">
        <f t="shared" si="35"/>
        <v>1</v>
      </c>
    </row>
    <row r="336" spans="1:19" x14ac:dyDescent="0.25">
      <c r="A336" s="10" t="s">
        <v>856</v>
      </c>
      <c r="B336" s="10">
        <v>73547</v>
      </c>
      <c r="C336" s="10">
        <v>88033</v>
      </c>
      <c r="D336" s="10" t="s">
        <v>844</v>
      </c>
      <c r="E336" s="10" t="s">
        <v>857</v>
      </c>
      <c r="F336" s="10" t="s">
        <v>22</v>
      </c>
      <c r="G336" s="10" t="s">
        <v>12</v>
      </c>
      <c r="H336" s="10" t="s">
        <v>41</v>
      </c>
      <c r="I336" s="11">
        <v>99</v>
      </c>
      <c r="J336" s="11"/>
      <c r="K336" s="11">
        <v>-21</v>
      </c>
      <c r="L336" s="6">
        <f t="shared" si="30"/>
        <v>120</v>
      </c>
      <c r="M336" s="12">
        <v>11.115</v>
      </c>
      <c r="N336" s="13">
        <f t="shared" si="31"/>
        <v>1100.385</v>
      </c>
      <c r="O336" s="13">
        <f t="shared" si="32"/>
        <v>-233.41499999999999</v>
      </c>
      <c r="P336" s="14">
        <v>67.977505710000003</v>
      </c>
      <c r="Q336" s="8">
        <f t="shared" si="33"/>
        <v>6729.77306529</v>
      </c>
      <c r="R336" s="8">
        <f t="shared" si="34"/>
        <v>-1427.5276199100001</v>
      </c>
      <c r="S336" s="15">
        <f t="shared" si="35"/>
        <v>-0.21212121212121213</v>
      </c>
    </row>
    <row r="337" spans="1:19" x14ac:dyDescent="0.25">
      <c r="A337" s="10" t="s">
        <v>858</v>
      </c>
      <c r="B337" s="10">
        <v>73547</v>
      </c>
      <c r="C337" s="10">
        <v>88033</v>
      </c>
      <c r="D337" s="10" t="s">
        <v>844</v>
      </c>
      <c r="E337" s="10" t="s">
        <v>859</v>
      </c>
      <c r="F337" s="10" t="s">
        <v>22</v>
      </c>
      <c r="G337" s="10" t="s">
        <v>12</v>
      </c>
      <c r="H337" s="10" t="s">
        <v>41</v>
      </c>
      <c r="I337" s="11">
        <v>0</v>
      </c>
      <c r="J337" s="11"/>
      <c r="K337" s="11">
        <v>0</v>
      </c>
      <c r="L337" s="6">
        <f t="shared" si="30"/>
        <v>0</v>
      </c>
      <c r="M337" s="12">
        <v>11.115</v>
      </c>
      <c r="N337" s="13">
        <f t="shared" si="31"/>
        <v>0</v>
      </c>
      <c r="O337" s="13">
        <f t="shared" si="32"/>
        <v>0</v>
      </c>
      <c r="P337" s="14">
        <v>65.728066380000001</v>
      </c>
      <c r="Q337" s="8">
        <f t="shared" si="33"/>
        <v>0</v>
      </c>
      <c r="R337" s="8">
        <f t="shared" si="34"/>
        <v>0</v>
      </c>
      <c r="S337" s="15">
        <f t="shared" si="35"/>
        <v>0</v>
      </c>
    </row>
    <row r="338" spans="1:19" x14ac:dyDescent="0.25">
      <c r="A338" s="10" t="s">
        <v>860</v>
      </c>
      <c r="B338" s="10">
        <v>73549</v>
      </c>
      <c r="C338" s="10">
        <v>74779</v>
      </c>
      <c r="D338" s="10" t="s">
        <v>861</v>
      </c>
      <c r="E338" s="10" t="s">
        <v>862</v>
      </c>
      <c r="F338" s="10" t="s">
        <v>22</v>
      </c>
      <c r="G338" s="10" t="s">
        <v>12</v>
      </c>
      <c r="H338" s="10" t="s">
        <v>41</v>
      </c>
      <c r="I338" s="11">
        <v>37</v>
      </c>
      <c r="J338" s="11"/>
      <c r="K338" s="11">
        <v>0</v>
      </c>
      <c r="L338" s="6">
        <f t="shared" si="30"/>
        <v>37</v>
      </c>
      <c r="M338" s="12">
        <v>6.6779999999999999</v>
      </c>
      <c r="N338" s="13">
        <f t="shared" si="31"/>
        <v>247.08599999999998</v>
      </c>
      <c r="O338" s="13">
        <f t="shared" si="32"/>
        <v>0</v>
      </c>
      <c r="P338" s="14">
        <v>45.360329360000001</v>
      </c>
      <c r="Q338" s="8">
        <f t="shared" si="33"/>
        <v>1678.3321863200001</v>
      </c>
      <c r="R338" s="8">
        <f t="shared" si="34"/>
        <v>0</v>
      </c>
      <c r="S338" s="15">
        <f t="shared" si="35"/>
        <v>0</v>
      </c>
    </row>
    <row r="339" spans="1:19" x14ac:dyDescent="0.25">
      <c r="A339" s="10" t="s">
        <v>863</v>
      </c>
      <c r="B339" s="10">
        <v>73549</v>
      </c>
      <c r="C339" s="10">
        <v>74779</v>
      </c>
      <c r="D339" s="10" t="s">
        <v>861</v>
      </c>
      <c r="E339" s="10" t="s">
        <v>864</v>
      </c>
      <c r="F339" s="10" t="s">
        <v>22</v>
      </c>
      <c r="G339" s="10" t="s">
        <v>12</v>
      </c>
      <c r="H339" s="10" t="s">
        <v>41</v>
      </c>
      <c r="I339" s="11">
        <v>1</v>
      </c>
      <c r="J339" s="11"/>
      <c r="K339" s="11">
        <v>0</v>
      </c>
      <c r="L339" s="6">
        <f t="shared" si="30"/>
        <v>1</v>
      </c>
      <c r="M339" s="12">
        <v>6.6779999999999999</v>
      </c>
      <c r="N339" s="13">
        <f t="shared" si="31"/>
        <v>6.6779999999999999</v>
      </c>
      <c r="O339" s="13">
        <f t="shared" si="32"/>
        <v>0</v>
      </c>
      <c r="P339" s="14">
        <v>45.360329360000001</v>
      </c>
      <c r="Q339" s="8">
        <f t="shared" si="33"/>
        <v>45.360329360000001</v>
      </c>
      <c r="R339" s="8">
        <f t="shared" si="34"/>
        <v>0</v>
      </c>
      <c r="S339" s="15">
        <f t="shared" si="35"/>
        <v>0</v>
      </c>
    </row>
    <row r="340" spans="1:19" x14ac:dyDescent="0.25">
      <c r="A340" s="10" t="s">
        <v>865</v>
      </c>
      <c r="B340" s="10">
        <v>73550</v>
      </c>
      <c r="C340" s="10">
        <v>66401</v>
      </c>
      <c r="D340" s="10" t="s">
        <v>866</v>
      </c>
      <c r="E340" s="10" t="s">
        <v>867</v>
      </c>
      <c r="F340" s="10" t="s">
        <v>22</v>
      </c>
      <c r="G340" s="10" t="s">
        <v>12</v>
      </c>
      <c r="H340" s="10" t="s">
        <v>41</v>
      </c>
      <c r="I340" s="11">
        <v>2</v>
      </c>
      <c r="J340" s="11"/>
      <c r="K340" s="11">
        <v>0</v>
      </c>
      <c r="L340" s="6">
        <f t="shared" si="30"/>
        <v>2</v>
      </c>
      <c r="M340" s="12">
        <v>11.358000000000001</v>
      </c>
      <c r="N340" s="13">
        <f t="shared" si="31"/>
        <v>22.716000000000001</v>
      </c>
      <c r="O340" s="13">
        <f t="shared" si="32"/>
        <v>0</v>
      </c>
      <c r="P340" s="14">
        <v>104.40530468</v>
      </c>
      <c r="Q340" s="8">
        <f t="shared" si="33"/>
        <v>208.81060936</v>
      </c>
      <c r="R340" s="8">
        <f t="shared" si="34"/>
        <v>0</v>
      </c>
      <c r="S340" s="15">
        <f t="shared" si="35"/>
        <v>0</v>
      </c>
    </row>
    <row r="341" spans="1:19" x14ac:dyDescent="0.25">
      <c r="A341" s="10" t="s">
        <v>868</v>
      </c>
      <c r="B341" s="10">
        <v>73550</v>
      </c>
      <c r="C341" s="10">
        <v>66401</v>
      </c>
      <c r="D341" s="10" t="s">
        <v>866</v>
      </c>
      <c r="E341" s="10" t="s">
        <v>869</v>
      </c>
      <c r="F341" s="10" t="s">
        <v>22</v>
      </c>
      <c r="G341" s="10" t="s">
        <v>12</v>
      </c>
      <c r="H341" s="10" t="s">
        <v>41</v>
      </c>
      <c r="I341" s="11">
        <v>0</v>
      </c>
      <c r="J341" s="11"/>
      <c r="K341" s="11">
        <v>0</v>
      </c>
      <c r="L341" s="6">
        <f t="shared" si="30"/>
        <v>0</v>
      </c>
      <c r="M341" s="12">
        <v>11.358000000000001</v>
      </c>
      <c r="N341" s="13">
        <f t="shared" si="31"/>
        <v>0</v>
      </c>
      <c r="O341" s="13">
        <f t="shared" si="32"/>
        <v>0</v>
      </c>
      <c r="P341" s="14">
        <v>92.955304679999998</v>
      </c>
      <c r="Q341" s="8">
        <f t="shared" si="33"/>
        <v>0</v>
      </c>
      <c r="R341" s="8">
        <f t="shared" si="34"/>
        <v>0</v>
      </c>
      <c r="S341" s="15">
        <f t="shared" si="35"/>
        <v>0</v>
      </c>
    </row>
    <row r="342" spans="1:19" x14ac:dyDescent="0.25">
      <c r="A342" s="10" t="s">
        <v>870</v>
      </c>
      <c r="B342" s="10">
        <v>73550</v>
      </c>
      <c r="C342" s="10">
        <v>66401</v>
      </c>
      <c r="D342" s="10" t="s">
        <v>866</v>
      </c>
      <c r="E342" s="10" t="s">
        <v>871</v>
      </c>
      <c r="F342" s="10" t="s">
        <v>22</v>
      </c>
      <c r="G342" s="10" t="s">
        <v>12</v>
      </c>
      <c r="H342" s="10" t="s">
        <v>41</v>
      </c>
      <c r="I342" s="11">
        <v>1</v>
      </c>
      <c r="J342" s="11"/>
      <c r="K342" s="11">
        <v>0</v>
      </c>
      <c r="L342" s="6">
        <f t="shared" si="30"/>
        <v>1</v>
      </c>
      <c r="M342" s="12">
        <v>11.358000000000001</v>
      </c>
      <c r="N342" s="13">
        <f t="shared" si="31"/>
        <v>11.358000000000001</v>
      </c>
      <c r="O342" s="13">
        <f t="shared" si="32"/>
        <v>0</v>
      </c>
      <c r="P342" s="14">
        <v>92.955304679999998</v>
      </c>
      <c r="Q342" s="8">
        <f t="shared" si="33"/>
        <v>92.955304679999998</v>
      </c>
      <c r="R342" s="8">
        <f t="shared" si="34"/>
        <v>0</v>
      </c>
      <c r="S342" s="15">
        <f t="shared" si="35"/>
        <v>0</v>
      </c>
    </row>
    <row r="343" spans="1:19" x14ac:dyDescent="0.25">
      <c r="A343" s="10" t="s">
        <v>872</v>
      </c>
      <c r="B343" s="10">
        <v>73550</v>
      </c>
      <c r="C343" s="10">
        <v>66401</v>
      </c>
      <c r="D343" s="10" t="s">
        <v>866</v>
      </c>
      <c r="E343" s="10" t="s">
        <v>873</v>
      </c>
      <c r="F343" s="10" t="s">
        <v>22</v>
      </c>
      <c r="G343" s="10" t="s">
        <v>12</v>
      </c>
      <c r="H343" s="10" t="s">
        <v>41</v>
      </c>
      <c r="I343" s="11">
        <v>0</v>
      </c>
      <c r="J343" s="11"/>
      <c r="K343" s="11">
        <v>0</v>
      </c>
      <c r="L343" s="6">
        <f t="shared" si="30"/>
        <v>0</v>
      </c>
      <c r="M343" s="12">
        <v>11.358000000000001</v>
      </c>
      <c r="N343" s="13">
        <f t="shared" si="31"/>
        <v>0</v>
      </c>
      <c r="O343" s="13">
        <f t="shared" si="32"/>
        <v>0</v>
      </c>
      <c r="P343" s="14">
        <v>92.955304679999998</v>
      </c>
      <c r="Q343" s="8">
        <f t="shared" si="33"/>
        <v>0</v>
      </c>
      <c r="R343" s="8">
        <f t="shared" si="34"/>
        <v>0</v>
      </c>
      <c r="S343" s="15">
        <f t="shared" si="35"/>
        <v>0</v>
      </c>
    </row>
    <row r="344" spans="1:19" x14ac:dyDescent="0.25">
      <c r="A344" s="10" t="s">
        <v>874</v>
      </c>
      <c r="B344" s="10">
        <v>73550</v>
      </c>
      <c r="C344" s="10">
        <v>66401</v>
      </c>
      <c r="D344" s="10" t="s">
        <v>866</v>
      </c>
      <c r="E344" s="10" t="s">
        <v>875</v>
      </c>
      <c r="F344" s="10" t="s">
        <v>22</v>
      </c>
      <c r="G344" s="10" t="s">
        <v>12</v>
      </c>
      <c r="H344" s="10" t="s">
        <v>41</v>
      </c>
      <c r="I344" s="11">
        <v>1</v>
      </c>
      <c r="J344" s="11"/>
      <c r="K344" s="11">
        <v>0</v>
      </c>
      <c r="L344" s="6">
        <f t="shared" si="30"/>
        <v>1</v>
      </c>
      <c r="M344" s="12">
        <v>11.358000000000001</v>
      </c>
      <c r="N344" s="13">
        <f t="shared" si="31"/>
        <v>11.358000000000001</v>
      </c>
      <c r="O344" s="13">
        <f t="shared" si="32"/>
        <v>0</v>
      </c>
      <c r="P344" s="14">
        <v>86.345304679999998</v>
      </c>
      <c r="Q344" s="8">
        <f t="shared" si="33"/>
        <v>86.345304679999998</v>
      </c>
      <c r="R344" s="8">
        <f t="shared" si="34"/>
        <v>0</v>
      </c>
      <c r="S344" s="15">
        <f t="shared" si="35"/>
        <v>0</v>
      </c>
    </row>
    <row r="345" spans="1:19" x14ac:dyDescent="0.25">
      <c r="A345" s="10" t="s">
        <v>876</v>
      </c>
      <c r="B345" s="10">
        <v>73550</v>
      </c>
      <c r="C345" s="10">
        <v>66401</v>
      </c>
      <c r="D345" s="10" t="s">
        <v>866</v>
      </c>
      <c r="E345" s="10" t="s">
        <v>877</v>
      </c>
      <c r="F345" s="10" t="s">
        <v>22</v>
      </c>
      <c r="G345" s="10" t="s">
        <v>12</v>
      </c>
      <c r="H345" s="10" t="s">
        <v>41</v>
      </c>
      <c r="I345" s="11">
        <v>3</v>
      </c>
      <c r="J345" s="11"/>
      <c r="K345" s="11">
        <v>0</v>
      </c>
      <c r="L345" s="6">
        <f t="shared" si="30"/>
        <v>3</v>
      </c>
      <c r="M345" s="12">
        <v>11.358000000000001</v>
      </c>
      <c r="N345" s="13">
        <f t="shared" si="31"/>
        <v>34.073999999999998</v>
      </c>
      <c r="O345" s="13">
        <f t="shared" si="32"/>
        <v>0</v>
      </c>
      <c r="P345" s="14">
        <v>83.185304680000002</v>
      </c>
      <c r="Q345" s="8">
        <f t="shared" si="33"/>
        <v>249.55591404</v>
      </c>
      <c r="R345" s="8">
        <f t="shared" si="34"/>
        <v>0</v>
      </c>
      <c r="S345" s="15">
        <f t="shared" si="35"/>
        <v>0</v>
      </c>
    </row>
    <row r="346" spans="1:19" x14ac:dyDescent="0.25">
      <c r="A346" s="10" t="s">
        <v>878</v>
      </c>
      <c r="B346" s="10">
        <v>73550</v>
      </c>
      <c r="C346" s="10">
        <v>66401</v>
      </c>
      <c r="D346" s="10" t="s">
        <v>866</v>
      </c>
      <c r="E346" s="10" t="s">
        <v>879</v>
      </c>
      <c r="F346" s="10" t="s">
        <v>22</v>
      </c>
      <c r="G346" s="10" t="s">
        <v>12</v>
      </c>
      <c r="H346" s="10" t="s">
        <v>41</v>
      </c>
      <c r="I346" s="11">
        <v>8</v>
      </c>
      <c r="J346" s="11"/>
      <c r="K346" s="11">
        <v>0</v>
      </c>
      <c r="L346" s="6">
        <f t="shared" si="30"/>
        <v>8</v>
      </c>
      <c r="M346" s="12">
        <v>11.358000000000001</v>
      </c>
      <c r="N346" s="13">
        <f t="shared" si="31"/>
        <v>90.864000000000004</v>
      </c>
      <c r="O346" s="13">
        <f t="shared" si="32"/>
        <v>0</v>
      </c>
      <c r="P346" s="14">
        <v>92.025304680000005</v>
      </c>
      <c r="Q346" s="8">
        <f t="shared" si="33"/>
        <v>736.20243744000004</v>
      </c>
      <c r="R346" s="8">
        <f t="shared" si="34"/>
        <v>0</v>
      </c>
      <c r="S346" s="15">
        <f t="shared" si="35"/>
        <v>0</v>
      </c>
    </row>
    <row r="347" spans="1:19" x14ac:dyDescent="0.25">
      <c r="A347" s="10" t="s">
        <v>880</v>
      </c>
      <c r="B347" s="10">
        <v>73550</v>
      </c>
      <c r="C347" s="10">
        <v>66401</v>
      </c>
      <c r="D347" s="10" t="s">
        <v>866</v>
      </c>
      <c r="E347" s="10" t="s">
        <v>881</v>
      </c>
      <c r="F347" s="10" t="s">
        <v>22</v>
      </c>
      <c r="G347" s="10" t="s">
        <v>12</v>
      </c>
      <c r="H347" s="10" t="s">
        <v>41</v>
      </c>
      <c r="I347" s="11">
        <v>1</v>
      </c>
      <c r="J347" s="11"/>
      <c r="K347" s="11">
        <v>0</v>
      </c>
      <c r="L347" s="6">
        <f t="shared" si="30"/>
        <v>1</v>
      </c>
      <c r="M347" s="12">
        <v>11.358000000000001</v>
      </c>
      <c r="N347" s="13">
        <f t="shared" si="31"/>
        <v>11.358000000000001</v>
      </c>
      <c r="O347" s="13">
        <f t="shared" si="32"/>
        <v>0</v>
      </c>
      <c r="P347" s="14">
        <v>90.885304680000004</v>
      </c>
      <c r="Q347" s="8">
        <f t="shared" si="33"/>
        <v>90.885304680000004</v>
      </c>
      <c r="R347" s="8">
        <f t="shared" si="34"/>
        <v>0</v>
      </c>
      <c r="S347" s="15">
        <f t="shared" si="35"/>
        <v>0</v>
      </c>
    </row>
    <row r="348" spans="1:19" x14ac:dyDescent="0.25">
      <c r="A348" s="10" t="s">
        <v>882</v>
      </c>
      <c r="B348" s="10">
        <v>73778</v>
      </c>
      <c r="C348" s="10">
        <v>39403</v>
      </c>
      <c r="D348" s="10" t="s">
        <v>883</v>
      </c>
      <c r="E348" s="10"/>
      <c r="F348" s="10" t="s">
        <v>24</v>
      </c>
      <c r="G348" s="10" t="s">
        <v>12</v>
      </c>
      <c r="H348" s="10" t="s">
        <v>41</v>
      </c>
      <c r="I348" s="11">
        <v>0</v>
      </c>
      <c r="J348" s="11"/>
      <c r="K348" s="11">
        <v>0</v>
      </c>
      <c r="L348" s="6">
        <f t="shared" si="30"/>
        <v>0</v>
      </c>
      <c r="M348" s="12">
        <v>9.16</v>
      </c>
      <c r="N348" s="13">
        <f t="shared" si="31"/>
        <v>0</v>
      </c>
      <c r="O348" s="13">
        <f t="shared" si="32"/>
        <v>0</v>
      </c>
      <c r="P348" s="14">
        <v>42.918899850000003</v>
      </c>
      <c r="Q348" s="8">
        <f t="shared" si="33"/>
        <v>0</v>
      </c>
      <c r="R348" s="8">
        <f t="shared" si="34"/>
        <v>0</v>
      </c>
      <c r="S348" s="15">
        <f t="shared" si="35"/>
        <v>0</v>
      </c>
    </row>
    <row r="349" spans="1:19" x14ac:dyDescent="0.25">
      <c r="A349" s="10" t="s">
        <v>884</v>
      </c>
      <c r="B349" s="10">
        <v>73994</v>
      </c>
      <c r="C349" s="10">
        <v>53932</v>
      </c>
      <c r="D349" s="10" t="s">
        <v>885</v>
      </c>
      <c r="E349" s="10" t="s">
        <v>886</v>
      </c>
      <c r="F349" s="10" t="s">
        <v>23</v>
      </c>
      <c r="G349" s="10" t="s">
        <v>12</v>
      </c>
      <c r="H349" s="10" t="s">
        <v>41</v>
      </c>
      <c r="I349" s="11">
        <v>5</v>
      </c>
      <c r="J349" s="11"/>
      <c r="K349" s="11">
        <v>0</v>
      </c>
      <c r="L349" s="6">
        <f t="shared" si="30"/>
        <v>5</v>
      </c>
      <c r="M349" s="12">
        <v>28.08</v>
      </c>
      <c r="N349" s="13">
        <f t="shared" si="31"/>
        <v>140.39999999999998</v>
      </c>
      <c r="O349" s="13">
        <f t="shared" si="32"/>
        <v>0</v>
      </c>
      <c r="P349" s="14">
        <v>103.6531438</v>
      </c>
      <c r="Q349" s="8">
        <f t="shared" si="33"/>
        <v>518.26571899999999</v>
      </c>
      <c r="R349" s="8">
        <f t="shared" si="34"/>
        <v>0</v>
      </c>
      <c r="S349" s="15">
        <f t="shared" si="35"/>
        <v>0</v>
      </c>
    </row>
    <row r="350" spans="1:19" x14ac:dyDescent="0.25">
      <c r="A350" s="10" t="s">
        <v>887</v>
      </c>
      <c r="B350" s="10">
        <v>73994</v>
      </c>
      <c r="C350" s="10">
        <v>53932</v>
      </c>
      <c r="D350" s="10" t="s">
        <v>885</v>
      </c>
      <c r="E350" s="10" t="s">
        <v>888</v>
      </c>
      <c r="F350" s="10" t="s">
        <v>23</v>
      </c>
      <c r="G350" s="10" t="s">
        <v>12</v>
      </c>
      <c r="H350" s="10" t="s">
        <v>41</v>
      </c>
      <c r="I350" s="11">
        <v>1</v>
      </c>
      <c r="J350" s="11"/>
      <c r="K350" s="11">
        <v>0</v>
      </c>
      <c r="L350" s="6">
        <f t="shared" si="30"/>
        <v>1</v>
      </c>
      <c r="M350" s="12">
        <v>28.08</v>
      </c>
      <c r="N350" s="13">
        <f t="shared" si="31"/>
        <v>28.08</v>
      </c>
      <c r="O350" s="13">
        <f t="shared" si="32"/>
        <v>0</v>
      </c>
      <c r="P350" s="14">
        <v>102.53006019999999</v>
      </c>
      <c r="Q350" s="8">
        <f t="shared" si="33"/>
        <v>102.53006019999999</v>
      </c>
      <c r="R350" s="8">
        <f t="shared" si="34"/>
        <v>0</v>
      </c>
      <c r="S350" s="15">
        <f t="shared" si="35"/>
        <v>0</v>
      </c>
    </row>
    <row r="351" spans="1:19" x14ac:dyDescent="0.25">
      <c r="A351" s="10" t="s">
        <v>889</v>
      </c>
      <c r="B351" s="10">
        <v>73996</v>
      </c>
      <c r="C351" s="10">
        <v>53939</v>
      </c>
      <c r="D351" s="10" t="s">
        <v>890</v>
      </c>
      <c r="E351" s="10" t="s">
        <v>891</v>
      </c>
      <c r="F351" s="10" t="s">
        <v>23</v>
      </c>
      <c r="G351" s="10" t="s">
        <v>12</v>
      </c>
      <c r="H351" s="10" t="s">
        <v>41</v>
      </c>
      <c r="I351" s="11">
        <v>1</v>
      </c>
      <c r="J351" s="11"/>
      <c r="K351" s="11">
        <v>0</v>
      </c>
      <c r="L351" s="6">
        <f t="shared" si="30"/>
        <v>1</v>
      </c>
      <c r="M351" s="12">
        <v>38.61</v>
      </c>
      <c r="N351" s="13">
        <f t="shared" si="31"/>
        <v>38.61</v>
      </c>
      <c r="O351" s="13">
        <f t="shared" si="32"/>
        <v>0</v>
      </c>
      <c r="P351" s="14">
        <v>145.48164342000001</v>
      </c>
      <c r="Q351" s="8">
        <f t="shared" si="33"/>
        <v>145.48164342000001</v>
      </c>
      <c r="R351" s="8">
        <f t="shared" si="34"/>
        <v>0</v>
      </c>
      <c r="S351" s="15">
        <f t="shared" si="35"/>
        <v>0</v>
      </c>
    </row>
    <row r="352" spans="1:19" x14ac:dyDescent="0.25">
      <c r="A352" s="10" t="s">
        <v>892</v>
      </c>
      <c r="B352" s="10">
        <v>73996</v>
      </c>
      <c r="C352" s="10">
        <v>53939</v>
      </c>
      <c r="D352" s="10" t="s">
        <v>890</v>
      </c>
      <c r="E352" s="10" t="s">
        <v>893</v>
      </c>
      <c r="F352" s="10" t="s">
        <v>23</v>
      </c>
      <c r="G352" s="10" t="s">
        <v>12</v>
      </c>
      <c r="H352" s="10" t="s">
        <v>41</v>
      </c>
      <c r="I352" s="11">
        <v>1</v>
      </c>
      <c r="J352" s="11"/>
      <c r="K352" s="11">
        <v>0</v>
      </c>
      <c r="L352" s="6">
        <f t="shared" si="30"/>
        <v>1</v>
      </c>
      <c r="M352" s="12">
        <v>38.61</v>
      </c>
      <c r="N352" s="13">
        <f t="shared" si="31"/>
        <v>38.61</v>
      </c>
      <c r="O352" s="13">
        <f t="shared" si="32"/>
        <v>0</v>
      </c>
      <c r="P352" s="14">
        <v>138.80017910000001</v>
      </c>
      <c r="Q352" s="8">
        <f t="shared" si="33"/>
        <v>138.80017910000001</v>
      </c>
      <c r="R352" s="8">
        <f t="shared" si="34"/>
        <v>0</v>
      </c>
      <c r="S352" s="15">
        <f t="shared" si="35"/>
        <v>0</v>
      </c>
    </row>
    <row r="353" spans="1:19" x14ac:dyDescent="0.25">
      <c r="A353" s="10" t="s">
        <v>894</v>
      </c>
      <c r="B353" s="10">
        <v>74125</v>
      </c>
      <c r="C353" s="10">
        <v>57200</v>
      </c>
      <c r="D353" s="10" t="s">
        <v>895</v>
      </c>
      <c r="E353" s="10" t="s">
        <v>896</v>
      </c>
      <c r="F353" s="10" t="s">
        <v>21</v>
      </c>
      <c r="G353" s="10" t="s">
        <v>12</v>
      </c>
      <c r="H353" s="10" t="s">
        <v>41</v>
      </c>
      <c r="I353" s="11">
        <v>2</v>
      </c>
      <c r="J353" s="11"/>
      <c r="K353" s="11">
        <v>0</v>
      </c>
      <c r="L353" s="6">
        <f t="shared" si="30"/>
        <v>2</v>
      </c>
      <c r="M353" s="12">
        <v>8.6769999999999996</v>
      </c>
      <c r="N353" s="13">
        <f t="shared" si="31"/>
        <v>17.353999999999999</v>
      </c>
      <c r="O353" s="13">
        <f t="shared" si="32"/>
        <v>0</v>
      </c>
      <c r="P353" s="14">
        <v>35.990193099999999</v>
      </c>
      <c r="Q353" s="8">
        <f t="shared" si="33"/>
        <v>71.980386199999998</v>
      </c>
      <c r="R353" s="8">
        <f t="shared" si="34"/>
        <v>0</v>
      </c>
      <c r="S353" s="15">
        <f t="shared" si="35"/>
        <v>0</v>
      </c>
    </row>
    <row r="354" spans="1:19" x14ac:dyDescent="0.25">
      <c r="A354" s="10" t="s">
        <v>897</v>
      </c>
      <c r="B354" s="10">
        <v>74127</v>
      </c>
      <c r="C354" s="10">
        <v>57201</v>
      </c>
      <c r="D354" s="10" t="s">
        <v>898</v>
      </c>
      <c r="E354" s="10" t="s">
        <v>899</v>
      </c>
      <c r="F354" s="10" t="s">
        <v>21</v>
      </c>
      <c r="G354" s="10" t="s">
        <v>12</v>
      </c>
      <c r="H354" s="10" t="s">
        <v>41</v>
      </c>
      <c r="I354" s="11">
        <v>0</v>
      </c>
      <c r="J354" s="11"/>
      <c r="K354" s="11">
        <v>0</v>
      </c>
      <c r="L354" s="6">
        <f t="shared" si="30"/>
        <v>0</v>
      </c>
      <c r="M354" s="12">
        <v>17.16</v>
      </c>
      <c r="N354" s="13">
        <f t="shared" si="31"/>
        <v>0</v>
      </c>
      <c r="O354" s="13">
        <f t="shared" si="32"/>
        <v>0</v>
      </c>
      <c r="P354" s="14">
        <v>96.704868590000004</v>
      </c>
      <c r="Q354" s="8">
        <f t="shared" si="33"/>
        <v>0</v>
      </c>
      <c r="R354" s="8">
        <f t="shared" si="34"/>
        <v>0</v>
      </c>
      <c r="S354" s="15">
        <f t="shared" si="35"/>
        <v>0</v>
      </c>
    </row>
    <row r="355" spans="1:19" x14ac:dyDescent="0.25">
      <c r="A355" s="10" t="s">
        <v>900</v>
      </c>
      <c r="B355" s="10">
        <v>74129</v>
      </c>
      <c r="C355" s="10">
        <v>57204</v>
      </c>
      <c r="D355" s="10" t="s">
        <v>901</v>
      </c>
      <c r="E355" s="10" t="s">
        <v>902</v>
      </c>
      <c r="F355" s="10" t="s">
        <v>21</v>
      </c>
      <c r="G355" s="10" t="s">
        <v>12</v>
      </c>
      <c r="H355" s="10" t="s">
        <v>41</v>
      </c>
      <c r="I355" s="11">
        <v>0</v>
      </c>
      <c r="J355" s="11"/>
      <c r="K355" s="11">
        <v>0</v>
      </c>
      <c r="L355" s="6">
        <f t="shared" si="30"/>
        <v>0</v>
      </c>
      <c r="M355" s="12">
        <v>34.22</v>
      </c>
      <c r="N355" s="13">
        <f t="shared" si="31"/>
        <v>0</v>
      </c>
      <c r="O355" s="13">
        <f t="shared" si="32"/>
        <v>0</v>
      </c>
      <c r="P355" s="14">
        <v>114.76388715</v>
      </c>
      <c r="Q355" s="8">
        <f t="shared" si="33"/>
        <v>0</v>
      </c>
      <c r="R355" s="8">
        <f t="shared" si="34"/>
        <v>0</v>
      </c>
      <c r="S355" s="15">
        <f t="shared" si="35"/>
        <v>0</v>
      </c>
    </row>
    <row r="356" spans="1:19" x14ac:dyDescent="0.25">
      <c r="A356" s="10" t="s">
        <v>903</v>
      </c>
      <c r="B356" s="10">
        <v>74198</v>
      </c>
      <c r="C356" s="10">
        <v>59225</v>
      </c>
      <c r="D356" s="10" t="s">
        <v>904</v>
      </c>
      <c r="E356" s="10" t="s">
        <v>905</v>
      </c>
      <c r="F356" s="10" t="s">
        <v>21</v>
      </c>
      <c r="G356" s="10" t="s">
        <v>12</v>
      </c>
      <c r="H356" s="10" t="s">
        <v>41</v>
      </c>
      <c r="I356" s="11">
        <v>454</v>
      </c>
      <c r="J356" s="11"/>
      <c r="K356" s="11">
        <v>281</v>
      </c>
      <c r="L356" s="6">
        <f t="shared" si="30"/>
        <v>173</v>
      </c>
      <c r="M356" s="12">
        <v>14.87</v>
      </c>
      <c r="N356" s="13">
        <f t="shared" si="31"/>
        <v>6750.98</v>
      </c>
      <c r="O356" s="13">
        <f t="shared" si="32"/>
        <v>4178.4699999999993</v>
      </c>
      <c r="P356" s="14">
        <v>107.68281666999999</v>
      </c>
      <c r="Q356" s="8">
        <f t="shared" si="33"/>
        <v>48887.998768179998</v>
      </c>
      <c r="R356" s="8">
        <f t="shared" si="34"/>
        <v>30258.871484269999</v>
      </c>
      <c r="S356" s="15">
        <f t="shared" si="35"/>
        <v>0.61894273127753308</v>
      </c>
    </row>
    <row r="357" spans="1:19" x14ac:dyDescent="0.25">
      <c r="A357" s="10" t="s">
        <v>906</v>
      </c>
      <c r="B357" s="10">
        <v>74198</v>
      </c>
      <c r="C357" s="10">
        <v>59225</v>
      </c>
      <c r="D357" s="10" t="s">
        <v>904</v>
      </c>
      <c r="E357" s="10" t="s">
        <v>907</v>
      </c>
      <c r="F357" s="10" t="s">
        <v>21</v>
      </c>
      <c r="G357" s="10" t="s">
        <v>12</v>
      </c>
      <c r="H357" s="10" t="s">
        <v>41</v>
      </c>
      <c r="I357" s="11">
        <v>253</v>
      </c>
      <c r="J357" s="11"/>
      <c r="K357" s="11">
        <v>101</v>
      </c>
      <c r="L357" s="6">
        <f t="shared" si="30"/>
        <v>152</v>
      </c>
      <c r="M357" s="12">
        <v>14.87</v>
      </c>
      <c r="N357" s="13">
        <f t="shared" si="31"/>
        <v>3762.1099999999997</v>
      </c>
      <c r="O357" s="13">
        <f t="shared" si="32"/>
        <v>1501.87</v>
      </c>
      <c r="P357" s="14">
        <v>80.654430790000006</v>
      </c>
      <c r="Q357" s="8">
        <f t="shared" si="33"/>
        <v>20405.570989870001</v>
      </c>
      <c r="R357" s="8">
        <f t="shared" si="34"/>
        <v>8146.0975097900009</v>
      </c>
      <c r="S357" s="15">
        <f t="shared" si="35"/>
        <v>0.39920948616600793</v>
      </c>
    </row>
    <row r="358" spans="1:19" x14ac:dyDescent="0.25">
      <c r="A358" s="10" t="s">
        <v>908</v>
      </c>
      <c r="B358" s="10">
        <v>74198</v>
      </c>
      <c r="C358" s="10">
        <v>59225</v>
      </c>
      <c r="D358" s="10" t="s">
        <v>904</v>
      </c>
      <c r="E358" s="10" t="s">
        <v>909</v>
      </c>
      <c r="F358" s="10" t="s">
        <v>21</v>
      </c>
      <c r="G358" s="10" t="s">
        <v>12</v>
      </c>
      <c r="H358" s="10" t="s">
        <v>41</v>
      </c>
      <c r="I358" s="11">
        <v>0</v>
      </c>
      <c r="J358" s="11"/>
      <c r="K358" s="11">
        <v>0</v>
      </c>
      <c r="L358" s="6">
        <f t="shared" si="30"/>
        <v>0</v>
      </c>
      <c r="M358" s="12">
        <v>14.87</v>
      </c>
      <c r="N358" s="13">
        <f t="shared" si="31"/>
        <v>0</v>
      </c>
      <c r="O358" s="13">
        <f t="shared" si="32"/>
        <v>0</v>
      </c>
      <c r="P358" s="14">
        <v>80.607970469999998</v>
      </c>
      <c r="Q358" s="8">
        <f t="shared" si="33"/>
        <v>0</v>
      </c>
      <c r="R358" s="8">
        <f t="shared" si="34"/>
        <v>0</v>
      </c>
      <c r="S358" s="15">
        <f t="shared" si="35"/>
        <v>0</v>
      </c>
    </row>
    <row r="359" spans="1:19" x14ac:dyDescent="0.25">
      <c r="A359" s="10" t="s">
        <v>910</v>
      </c>
      <c r="B359" s="10">
        <v>74198</v>
      </c>
      <c r="C359" s="10">
        <v>59225</v>
      </c>
      <c r="D359" s="10" t="s">
        <v>904</v>
      </c>
      <c r="E359" s="10" t="s">
        <v>911</v>
      </c>
      <c r="F359" s="10" t="s">
        <v>21</v>
      </c>
      <c r="G359" s="10" t="s">
        <v>12</v>
      </c>
      <c r="H359" s="10" t="s">
        <v>41</v>
      </c>
      <c r="I359" s="11">
        <v>241</v>
      </c>
      <c r="J359" s="11"/>
      <c r="K359" s="11">
        <v>0</v>
      </c>
      <c r="L359" s="6">
        <f t="shared" si="30"/>
        <v>241</v>
      </c>
      <c r="M359" s="12">
        <v>14.87</v>
      </c>
      <c r="N359" s="13">
        <f t="shared" si="31"/>
        <v>3583.6699999999996</v>
      </c>
      <c r="O359" s="13">
        <f t="shared" si="32"/>
        <v>0</v>
      </c>
      <c r="P359" s="14">
        <v>82.420742720000007</v>
      </c>
      <c r="Q359" s="8">
        <f t="shared" si="33"/>
        <v>19863.398995520001</v>
      </c>
      <c r="R359" s="8">
        <f t="shared" si="34"/>
        <v>0</v>
      </c>
      <c r="S359" s="15">
        <f t="shared" si="35"/>
        <v>0</v>
      </c>
    </row>
    <row r="360" spans="1:19" x14ac:dyDescent="0.25">
      <c r="A360" s="10" t="s">
        <v>912</v>
      </c>
      <c r="B360" s="10">
        <v>74198</v>
      </c>
      <c r="C360" s="10">
        <v>59225</v>
      </c>
      <c r="D360" s="10" t="s">
        <v>904</v>
      </c>
      <c r="E360" s="10" t="s">
        <v>913</v>
      </c>
      <c r="F360" s="10" t="s">
        <v>21</v>
      </c>
      <c r="G360" s="10" t="s">
        <v>12</v>
      </c>
      <c r="H360" s="10" t="s">
        <v>41</v>
      </c>
      <c r="I360" s="11">
        <v>14</v>
      </c>
      <c r="J360" s="11"/>
      <c r="K360" s="11">
        <v>0</v>
      </c>
      <c r="L360" s="6">
        <f t="shared" si="30"/>
        <v>14</v>
      </c>
      <c r="M360" s="12">
        <v>14.87</v>
      </c>
      <c r="N360" s="13">
        <f t="shared" si="31"/>
        <v>208.17999999999998</v>
      </c>
      <c r="O360" s="13">
        <f t="shared" si="32"/>
        <v>0</v>
      </c>
      <c r="P360" s="14">
        <v>60.799354970000003</v>
      </c>
      <c r="Q360" s="8">
        <f t="shared" si="33"/>
        <v>851.19096958</v>
      </c>
      <c r="R360" s="8">
        <f t="shared" si="34"/>
        <v>0</v>
      </c>
      <c r="S360" s="15">
        <f t="shared" si="35"/>
        <v>0</v>
      </c>
    </row>
    <row r="361" spans="1:19" x14ac:dyDescent="0.25">
      <c r="A361" s="10" t="s">
        <v>914</v>
      </c>
      <c r="B361" s="10">
        <v>74201</v>
      </c>
      <c r="C361" s="10">
        <v>59249</v>
      </c>
      <c r="D361" s="10" t="s">
        <v>915</v>
      </c>
      <c r="E361" s="10" t="s">
        <v>916</v>
      </c>
      <c r="F361" s="10" t="s">
        <v>22</v>
      </c>
      <c r="G361" s="10" t="s">
        <v>12</v>
      </c>
      <c r="H361" s="10" t="s">
        <v>41</v>
      </c>
      <c r="I361" s="11">
        <v>274</v>
      </c>
      <c r="J361" s="11"/>
      <c r="K361" s="11">
        <v>274</v>
      </c>
      <c r="L361" s="6">
        <f t="shared" si="30"/>
        <v>0</v>
      </c>
      <c r="M361" s="12">
        <v>38.42</v>
      </c>
      <c r="N361" s="13">
        <f t="shared" si="31"/>
        <v>10527.08</v>
      </c>
      <c r="O361" s="13">
        <f t="shared" si="32"/>
        <v>10527.08</v>
      </c>
      <c r="P361" s="14">
        <v>156.79358873000001</v>
      </c>
      <c r="Q361" s="8">
        <f t="shared" si="33"/>
        <v>42961.443312020005</v>
      </c>
      <c r="R361" s="8">
        <f t="shared" si="34"/>
        <v>42961.443312020005</v>
      </c>
      <c r="S361" s="15">
        <f t="shared" si="35"/>
        <v>1</v>
      </c>
    </row>
    <row r="362" spans="1:19" x14ac:dyDescent="0.25">
      <c r="A362" s="10" t="s">
        <v>917</v>
      </c>
      <c r="B362" s="10">
        <v>74201</v>
      </c>
      <c r="C362" s="10">
        <v>59249</v>
      </c>
      <c r="D362" s="10" t="s">
        <v>915</v>
      </c>
      <c r="E362" s="10" t="s">
        <v>918</v>
      </c>
      <c r="F362" s="10" t="s">
        <v>22</v>
      </c>
      <c r="G362" s="10" t="s">
        <v>12</v>
      </c>
      <c r="H362" s="10" t="s">
        <v>41</v>
      </c>
      <c r="I362" s="11">
        <v>187</v>
      </c>
      <c r="J362" s="11"/>
      <c r="K362" s="11">
        <v>187</v>
      </c>
      <c r="L362" s="6">
        <f t="shared" si="30"/>
        <v>0</v>
      </c>
      <c r="M362" s="12">
        <v>38.42</v>
      </c>
      <c r="N362" s="13">
        <f t="shared" si="31"/>
        <v>7184.54</v>
      </c>
      <c r="O362" s="13">
        <f t="shared" si="32"/>
        <v>7184.54</v>
      </c>
      <c r="P362" s="14">
        <v>142.21189518</v>
      </c>
      <c r="Q362" s="8">
        <f t="shared" si="33"/>
        <v>26593.624398659998</v>
      </c>
      <c r="R362" s="8">
        <f t="shared" si="34"/>
        <v>26593.624398659998</v>
      </c>
      <c r="S362" s="15">
        <f t="shared" si="35"/>
        <v>1</v>
      </c>
    </row>
    <row r="363" spans="1:19" x14ac:dyDescent="0.25">
      <c r="A363" s="10" t="s">
        <v>919</v>
      </c>
      <c r="B363" s="10">
        <v>74201</v>
      </c>
      <c r="C363" s="10">
        <v>59249</v>
      </c>
      <c r="D363" s="10" t="s">
        <v>915</v>
      </c>
      <c r="E363" s="10" t="s">
        <v>920</v>
      </c>
      <c r="F363" s="10" t="s">
        <v>22</v>
      </c>
      <c r="G363" s="10" t="s">
        <v>12</v>
      </c>
      <c r="H363" s="10" t="s">
        <v>41</v>
      </c>
      <c r="I363" s="11">
        <v>29</v>
      </c>
      <c r="J363" s="11"/>
      <c r="K363" s="11">
        <v>8</v>
      </c>
      <c r="L363" s="6">
        <f t="shared" si="30"/>
        <v>21</v>
      </c>
      <c r="M363" s="12">
        <v>38.42</v>
      </c>
      <c r="N363" s="13">
        <f t="shared" si="31"/>
        <v>1114.18</v>
      </c>
      <c r="O363" s="13">
        <f t="shared" si="32"/>
        <v>307.36</v>
      </c>
      <c r="P363" s="14">
        <v>151.97718548</v>
      </c>
      <c r="Q363" s="8">
        <f t="shared" si="33"/>
        <v>4407.3383789199997</v>
      </c>
      <c r="R363" s="8">
        <f t="shared" si="34"/>
        <v>1215.81748384</v>
      </c>
      <c r="S363" s="15">
        <f t="shared" si="35"/>
        <v>0.27586206896551724</v>
      </c>
    </row>
    <row r="364" spans="1:19" x14ac:dyDescent="0.25">
      <c r="A364" s="10" t="s">
        <v>921</v>
      </c>
      <c r="B364" s="10">
        <v>74201</v>
      </c>
      <c r="C364" s="10">
        <v>59249</v>
      </c>
      <c r="D364" s="10" t="s">
        <v>915</v>
      </c>
      <c r="E364" s="10" t="s">
        <v>922</v>
      </c>
      <c r="F364" s="10" t="s">
        <v>22</v>
      </c>
      <c r="G364" s="10" t="s">
        <v>12</v>
      </c>
      <c r="H364" s="10" t="s">
        <v>41</v>
      </c>
      <c r="I364" s="11">
        <v>191</v>
      </c>
      <c r="J364" s="11"/>
      <c r="K364" s="11">
        <v>110</v>
      </c>
      <c r="L364" s="6">
        <f t="shared" si="30"/>
        <v>81</v>
      </c>
      <c r="M364" s="12">
        <v>38.42</v>
      </c>
      <c r="N364" s="13">
        <f t="shared" si="31"/>
        <v>7338.22</v>
      </c>
      <c r="O364" s="13">
        <f t="shared" si="32"/>
        <v>4226.2</v>
      </c>
      <c r="P364" s="14">
        <v>151.42879017999999</v>
      </c>
      <c r="Q364" s="8">
        <f t="shared" si="33"/>
        <v>28922.898924379999</v>
      </c>
      <c r="R364" s="8">
        <f t="shared" si="34"/>
        <v>16657.166919799998</v>
      </c>
      <c r="S364" s="15">
        <f t="shared" si="35"/>
        <v>0.5759162303664922</v>
      </c>
    </row>
    <row r="365" spans="1:19" x14ac:dyDescent="0.25">
      <c r="A365" s="10" t="s">
        <v>923</v>
      </c>
      <c r="B365" s="10">
        <v>74201</v>
      </c>
      <c r="C365" s="10">
        <v>59249</v>
      </c>
      <c r="D365" s="10" t="s">
        <v>915</v>
      </c>
      <c r="E365" s="10" t="s">
        <v>924</v>
      </c>
      <c r="F365" s="10" t="s">
        <v>22</v>
      </c>
      <c r="G365" s="10" t="s">
        <v>12</v>
      </c>
      <c r="H365" s="10" t="s">
        <v>41</v>
      </c>
      <c r="I365" s="11">
        <v>9</v>
      </c>
      <c r="J365" s="11"/>
      <c r="K365" s="11">
        <v>1</v>
      </c>
      <c r="L365" s="6">
        <f t="shared" si="30"/>
        <v>8</v>
      </c>
      <c r="M365" s="12">
        <v>38.42</v>
      </c>
      <c r="N365" s="13">
        <f t="shared" si="31"/>
        <v>345.78000000000003</v>
      </c>
      <c r="O365" s="13">
        <f t="shared" si="32"/>
        <v>38.42</v>
      </c>
      <c r="P365" s="14">
        <v>150.43461059000001</v>
      </c>
      <c r="Q365" s="8">
        <f t="shared" si="33"/>
        <v>1353.91149531</v>
      </c>
      <c r="R365" s="8">
        <f t="shared" si="34"/>
        <v>150.43461059000001</v>
      </c>
      <c r="S365" s="15">
        <f t="shared" si="35"/>
        <v>0.1111111111111111</v>
      </c>
    </row>
    <row r="366" spans="1:19" x14ac:dyDescent="0.25">
      <c r="A366" s="10" t="s">
        <v>925</v>
      </c>
      <c r="B366" s="10">
        <v>74202</v>
      </c>
      <c r="C366" s="10">
        <v>59254</v>
      </c>
      <c r="D366" s="10" t="s">
        <v>926</v>
      </c>
      <c r="E366" s="10" t="s">
        <v>927</v>
      </c>
      <c r="F366" s="10" t="s">
        <v>21</v>
      </c>
      <c r="G366" s="10" t="s">
        <v>12</v>
      </c>
      <c r="H366" s="10" t="s">
        <v>41</v>
      </c>
      <c r="I366" s="11">
        <v>0</v>
      </c>
      <c r="J366" s="11"/>
      <c r="K366" s="11">
        <v>0</v>
      </c>
      <c r="L366" s="6">
        <f t="shared" si="30"/>
        <v>0</v>
      </c>
      <c r="M366" s="12">
        <v>20.57</v>
      </c>
      <c r="N366" s="13">
        <f t="shared" si="31"/>
        <v>0</v>
      </c>
      <c r="O366" s="13">
        <f t="shared" si="32"/>
        <v>0</v>
      </c>
      <c r="P366" s="14">
        <v>83.888222290000002</v>
      </c>
      <c r="Q366" s="8">
        <f t="shared" si="33"/>
        <v>0</v>
      </c>
      <c r="R366" s="8">
        <f t="shared" si="34"/>
        <v>0</v>
      </c>
      <c r="S366" s="15">
        <f t="shared" si="35"/>
        <v>0</v>
      </c>
    </row>
    <row r="367" spans="1:19" x14ac:dyDescent="0.25">
      <c r="A367" s="10" t="s">
        <v>928</v>
      </c>
      <c r="B367" s="10">
        <v>74203</v>
      </c>
      <c r="C367" s="10">
        <v>59255</v>
      </c>
      <c r="D367" s="10" t="s">
        <v>929</v>
      </c>
      <c r="E367" s="10" t="s">
        <v>930</v>
      </c>
      <c r="F367" s="10" t="s">
        <v>21</v>
      </c>
      <c r="G367" s="10" t="s">
        <v>12</v>
      </c>
      <c r="H367" s="10" t="s">
        <v>41</v>
      </c>
      <c r="I367" s="11">
        <v>0</v>
      </c>
      <c r="J367" s="11"/>
      <c r="K367" s="11">
        <v>0</v>
      </c>
      <c r="L367" s="6">
        <f t="shared" si="30"/>
        <v>0</v>
      </c>
      <c r="M367" s="12">
        <v>7.02</v>
      </c>
      <c r="N367" s="13">
        <f t="shared" si="31"/>
        <v>0</v>
      </c>
      <c r="O367" s="13">
        <f t="shared" si="32"/>
        <v>0</v>
      </c>
      <c r="P367" s="14">
        <v>31.653990539999999</v>
      </c>
      <c r="Q367" s="8">
        <f t="shared" si="33"/>
        <v>0</v>
      </c>
      <c r="R367" s="8">
        <f t="shared" si="34"/>
        <v>0</v>
      </c>
      <c r="S367" s="15">
        <f t="shared" si="35"/>
        <v>0</v>
      </c>
    </row>
    <row r="368" spans="1:19" x14ac:dyDescent="0.25">
      <c r="A368" s="10" t="s">
        <v>931</v>
      </c>
      <c r="B368" s="10">
        <v>74204</v>
      </c>
      <c r="C368" s="10">
        <v>59256</v>
      </c>
      <c r="D368" s="10" t="s">
        <v>932</v>
      </c>
      <c r="E368" s="10" t="s">
        <v>933</v>
      </c>
      <c r="F368" s="10" t="s">
        <v>21</v>
      </c>
      <c r="G368" s="10" t="s">
        <v>12</v>
      </c>
      <c r="H368" s="10" t="s">
        <v>41</v>
      </c>
      <c r="I368" s="11">
        <v>0</v>
      </c>
      <c r="J368" s="11"/>
      <c r="K368" s="11">
        <v>0</v>
      </c>
      <c r="L368" s="6">
        <f t="shared" si="30"/>
        <v>0</v>
      </c>
      <c r="M368" s="12">
        <v>16.95</v>
      </c>
      <c r="N368" s="13">
        <f t="shared" si="31"/>
        <v>0</v>
      </c>
      <c r="O368" s="13">
        <f t="shared" si="32"/>
        <v>0</v>
      </c>
      <c r="P368" s="14">
        <v>76.985102209999994</v>
      </c>
      <c r="Q368" s="8">
        <f t="shared" si="33"/>
        <v>0</v>
      </c>
      <c r="R368" s="8">
        <f t="shared" si="34"/>
        <v>0</v>
      </c>
      <c r="S368" s="15">
        <f t="shared" si="35"/>
        <v>0</v>
      </c>
    </row>
    <row r="369" spans="1:19" x14ac:dyDescent="0.25">
      <c r="A369" s="10" t="s">
        <v>934</v>
      </c>
      <c r="B369" s="10">
        <v>74269</v>
      </c>
      <c r="C369" s="10">
        <v>60615</v>
      </c>
      <c r="D369" s="10" t="s">
        <v>935</v>
      </c>
      <c r="E369" s="10" t="s">
        <v>936</v>
      </c>
      <c r="F369" s="10" t="s">
        <v>23</v>
      </c>
      <c r="G369" s="10" t="s">
        <v>12</v>
      </c>
      <c r="H369" s="10" t="s">
        <v>41</v>
      </c>
      <c r="I369" s="11">
        <v>0</v>
      </c>
      <c r="J369" s="11"/>
      <c r="K369" s="11">
        <v>0</v>
      </c>
      <c r="L369" s="6">
        <f t="shared" si="30"/>
        <v>0</v>
      </c>
      <c r="M369" s="12">
        <v>47.04</v>
      </c>
      <c r="N369" s="13">
        <f t="shared" si="31"/>
        <v>0</v>
      </c>
      <c r="O369" s="13">
        <f t="shared" si="32"/>
        <v>0</v>
      </c>
      <c r="P369" s="14">
        <v>144.70644904</v>
      </c>
      <c r="Q369" s="8">
        <f t="shared" si="33"/>
        <v>0</v>
      </c>
      <c r="R369" s="8">
        <f t="shared" si="34"/>
        <v>0</v>
      </c>
      <c r="S369" s="15">
        <f t="shared" si="35"/>
        <v>0</v>
      </c>
    </row>
    <row r="370" spans="1:19" x14ac:dyDescent="0.25">
      <c r="A370" s="10" t="s">
        <v>937</v>
      </c>
      <c r="B370" s="10">
        <v>74269</v>
      </c>
      <c r="C370" s="10">
        <v>60615</v>
      </c>
      <c r="D370" s="10" t="s">
        <v>935</v>
      </c>
      <c r="E370" s="10" t="s">
        <v>938</v>
      </c>
      <c r="F370" s="10" t="s">
        <v>23</v>
      </c>
      <c r="G370" s="10" t="s">
        <v>12</v>
      </c>
      <c r="H370" s="10" t="s">
        <v>41</v>
      </c>
      <c r="I370" s="11">
        <v>5</v>
      </c>
      <c r="J370" s="11"/>
      <c r="K370" s="11">
        <v>0</v>
      </c>
      <c r="L370" s="6">
        <f t="shared" si="30"/>
        <v>5</v>
      </c>
      <c r="M370" s="12">
        <v>47.04</v>
      </c>
      <c r="N370" s="13">
        <f t="shared" si="31"/>
        <v>235.2</v>
      </c>
      <c r="O370" s="13">
        <f t="shared" si="32"/>
        <v>0</v>
      </c>
      <c r="P370" s="14">
        <v>147.73343331999999</v>
      </c>
      <c r="Q370" s="8">
        <f t="shared" si="33"/>
        <v>738.66716659999997</v>
      </c>
      <c r="R370" s="8">
        <f t="shared" si="34"/>
        <v>0</v>
      </c>
      <c r="S370" s="15">
        <f t="shared" si="35"/>
        <v>0</v>
      </c>
    </row>
    <row r="371" spans="1:19" x14ac:dyDescent="0.25">
      <c r="A371" s="10" t="s">
        <v>939</v>
      </c>
      <c r="B371" s="10">
        <v>74272</v>
      </c>
      <c r="C371" s="10">
        <v>60629</v>
      </c>
      <c r="D371" s="10" t="s">
        <v>940</v>
      </c>
      <c r="E371" s="10" t="s">
        <v>941</v>
      </c>
      <c r="F371" s="10" t="s">
        <v>23</v>
      </c>
      <c r="G371" s="10" t="s">
        <v>12</v>
      </c>
      <c r="H371" s="10" t="s">
        <v>41</v>
      </c>
      <c r="I371" s="11">
        <v>1</v>
      </c>
      <c r="J371" s="11"/>
      <c r="K371" s="11">
        <v>0</v>
      </c>
      <c r="L371" s="6">
        <f t="shared" si="30"/>
        <v>1</v>
      </c>
      <c r="M371" s="12">
        <v>66.787000000000006</v>
      </c>
      <c r="N371" s="13">
        <f t="shared" si="31"/>
        <v>66.787000000000006</v>
      </c>
      <c r="O371" s="13">
        <f t="shared" si="32"/>
        <v>0</v>
      </c>
      <c r="P371" s="14">
        <v>220.07494962999999</v>
      </c>
      <c r="Q371" s="8">
        <f t="shared" si="33"/>
        <v>220.07494962999999</v>
      </c>
      <c r="R371" s="8">
        <f t="shared" si="34"/>
        <v>0</v>
      </c>
      <c r="S371" s="15">
        <f t="shared" si="35"/>
        <v>0</v>
      </c>
    </row>
    <row r="372" spans="1:19" x14ac:dyDescent="0.25">
      <c r="A372" s="10" t="s">
        <v>942</v>
      </c>
      <c r="B372" s="10">
        <v>74272</v>
      </c>
      <c r="C372" s="10">
        <v>60629</v>
      </c>
      <c r="D372" s="10" t="s">
        <v>940</v>
      </c>
      <c r="E372" s="10" t="s">
        <v>943</v>
      </c>
      <c r="F372" s="10" t="s">
        <v>23</v>
      </c>
      <c r="G372" s="10" t="s">
        <v>12</v>
      </c>
      <c r="H372" s="10" t="s">
        <v>41</v>
      </c>
      <c r="I372" s="11">
        <v>1</v>
      </c>
      <c r="J372" s="11"/>
      <c r="K372" s="11">
        <v>0</v>
      </c>
      <c r="L372" s="6">
        <f t="shared" si="30"/>
        <v>1</v>
      </c>
      <c r="M372" s="12">
        <v>66.787000000000006</v>
      </c>
      <c r="N372" s="13">
        <f t="shared" si="31"/>
        <v>66.787000000000006</v>
      </c>
      <c r="O372" s="13">
        <f t="shared" si="32"/>
        <v>0</v>
      </c>
      <c r="P372" s="14">
        <v>217.92138413000001</v>
      </c>
      <c r="Q372" s="8">
        <f t="shared" si="33"/>
        <v>217.92138413000001</v>
      </c>
      <c r="R372" s="8">
        <f t="shared" si="34"/>
        <v>0</v>
      </c>
      <c r="S372" s="15">
        <f t="shared" si="35"/>
        <v>0</v>
      </c>
    </row>
    <row r="373" spans="1:19" x14ac:dyDescent="0.25">
      <c r="A373" s="10" t="s">
        <v>944</v>
      </c>
      <c r="B373" s="10">
        <v>74400</v>
      </c>
      <c r="C373" s="10">
        <v>73621</v>
      </c>
      <c r="D373" s="10" t="s">
        <v>945</v>
      </c>
      <c r="E373" s="10" t="s">
        <v>946</v>
      </c>
      <c r="F373" s="10" t="s">
        <v>23</v>
      </c>
      <c r="G373" s="10" t="s">
        <v>12</v>
      </c>
      <c r="H373" s="10" t="s">
        <v>41</v>
      </c>
      <c r="I373" s="11">
        <v>0</v>
      </c>
      <c r="J373" s="11"/>
      <c r="K373" s="11">
        <v>0</v>
      </c>
      <c r="L373" s="6">
        <f t="shared" si="30"/>
        <v>0</v>
      </c>
      <c r="M373" s="12">
        <v>61.326999999999998</v>
      </c>
      <c r="N373" s="13">
        <f t="shared" si="31"/>
        <v>0</v>
      </c>
      <c r="O373" s="13">
        <f t="shared" si="32"/>
        <v>0</v>
      </c>
      <c r="P373" s="14">
        <v>301.10045716000002</v>
      </c>
      <c r="Q373" s="8">
        <f t="shared" si="33"/>
        <v>0</v>
      </c>
      <c r="R373" s="8">
        <f t="shared" si="34"/>
        <v>0</v>
      </c>
      <c r="S373" s="15">
        <f t="shared" si="35"/>
        <v>0</v>
      </c>
    </row>
    <row r="374" spans="1:19" x14ac:dyDescent="0.25">
      <c r="A374" s="10" t="s">
        <v>947</v>
      </c>
      <c r="B374" s="10">
        <v>74420</v>
      </c>
      <c r="C374" s="10">
        <v>73905</v>
      </c>
      <c r="D374" s="10" t="s">
        <v>948</v>
      </c>
      <c r="E374" s="10" t="s">
        <v>949</v>
      </c>
      <c r="F374" s="10" t="s">
        <v>23</v>
      </c>
      <c r="G374" s="10" t="s">
        <v>12</v>
      </c>
      <c r="H374" s="10" t="s">
        <v>41</v>
      </c>
      <c r="I374" s="11">
        <v>0</v>
      </c>
      <c r="J374" s="11"/>
      <c r="K374" s="11">
        <v>0</v>
      </c>
      <c r="L374" s="6">
        <f t="shared" si="30"/>
        <v>0</v>
      </c>
      <c r="M374" s="12">
        <v>47.19</v>
      </c>
      <c r="N374" s="13">
        <f t="shared" si="31"/>
        <v>0</v>
      </c>
      <c r="O374" s="13">
        <f t="shared" si="32"/>
        <v>0</v>
      </c>
      <c r="P374" s="14">
        <v>224.89345193</v>
      </c>
      <c r="Q374" s="8">
        <f t="shared" si="33"/>
        <v>0</v>
      </c>
      <c r="R374" s="8">
        <f t="shared" si="34"/>
        <v>0</v>
      </c>
      <c r="S374" s="15">
        <f t="shared" si="35"/>
        <v>0</v>
      </c>
    </row>
    <row r="375" spans="1:19" x14ac:dyDescent="0.25">
      <c r="A375" s="10" t="s">
        <v>950</v>
      </c>
      <c r="B375" s="10">
        <v>74493</v>
      </c>
      <c r="C375" s="10">
        <v>77212</v>
      </c>
      <c r="D375" s="10" t="s">
        <v>951</v>
      </c>
      <c r="E375" s="10" t="s">
        <v>952</v>
      </c>
      <c r="F375" s="10" t="s">
        <v>21</v>
      </c>
      <c r="G375" s="10" t="s">
        <v>12</v>
      </c>
      <c r="H375" s="10" t="s">
        <v>41</v>
      </c>
      <c r="I375" s="11">
        <v>2</v>
      </c>
      <c r="J375" s="11"/>
      <c r="K375" s="11">
        <v>0</v>
      </c>
      <c r="L375" s="6">
        <f t="shared" si="30"/>
        <v>2</v>
      </c>
      <c r="M375" s="12">
        <v>6.83</v>
      </c>
      <c r="N375" s="13">
        <f t="shared" si="31"/>
        <v>13.66</v>
      </c>
      <c r="O375" s="13">
        <f t="shared" si="32"/>
        <v>0</v>
      </c>
      <c r="P375" s="14">
        <v>21.601042190000001</v>
      </c>
      <c r="Q375" s="8">
        <f t="shared" si="33"/>
        <v>43.202084380000002</v>
      </c>
      <c r="R375" s="8">
        <f t="shared" si="34"/>
        <v>0</v>
      </c>
      <c r="S375" s="15">
        <f t="shared" si="35"/>
        <v>0</v>
      </c>
    </row>
    <row r="376" spans="1:19" x14ac:dyDescent="0.25">
      <c r="A376" s="10" t="s">
        <v>953</v>
      </c>
      <c r="B376" s="10">
        <v>74493</v>
      </c>
      <c r="C376" s="10">
        <v>77212</v>
      </c>
      <c r="D376" s="10" t="s">
        <v>951</v>
      </c>
      <c r="E376" s="10" t="s">
        <v>954</v>
      </c>
      <c r="F376" s="10" t="s">
        <v>21</v>
      </c>
      <c r="G376" s="10" t="s">
        <v>12</v>
      </c>
      <c r="H376" s="10" t="s">
        <v>41</v>
      </c>
      <c r="I376" s="11">
        <v>0</v>
      </c>
      <c r="J376" s="11"/>
      <c r="K376" s="11">
        <v>0</v>
      </c>
      <c r="L376" s="6">
        <f t="shared" si="30"/>
        <v>0</v>
      </c>
      <c r="M376" s="12">
        <v>6.83</v>
      </c>
      <c r="N376" s="13">
        <f t="shared" si="31"/>
        <v>0</v>
      </c>
      <c r="O376" s="13">
        <f t="shared" si="32"/>
        <v>0</v>
      </c>
      <c r="P376" s="14">
        <v>26.653487550000001</v>
      </c>
      <c r="Q376" s="8">
        <f t="shared" si="33"/>
        <v>0</v>
      </c>
      <c r="R376" s="8">
        <f t="shared" si="34"/>
        <v>0</v>
      </c>
      <c r="S376" s="15">
        <f t="shared" si="35"/>
        <v>0</v>
      </c>
    </row>
    <row r="377" spans="1:19" x14ac:dyDescent="0.25">
      <c r="A377" s="10" t="s">
        <v>955</v>
      </c>
      <c r="B377" s="10">
        <v>74494</v>
      </c>
      <c r="C377" s="10">
        <v>77213</v>
      </c>
      <c r="D377" s="10" t="s">
        <v>956</v>
      </c>
      <c r="E377" s="10" t="s">
        <v>957</v>
      </c>
      <c r="F377" s="10" t="s">
        <v>21</v>
      </c>
      <c r="G377" s="10" t="s">
        <v>12</v>
      </c>
      <c r="H377" s="10" t="s">
        <v>41</v>
      </c>
      <c r="I377" s="11">
        <v>0</v>
      </c>
      <c r="J377" s="11"/>
      <c r="K377" s="11">
        <v>0</v>
      </c>
      <c r="L377" s="6">
        <f t="shared" si="30"/>
        <v>0</v>
      </c>
      <c r="M377" s="12">
        <v>16.09</v>
      </c>
      <c r="N377" s="13">
        <f t="shared" si="31"/>
        <v>0</v>
      </c>
      <c r="O377" s="13">
        <f t="shared" si="32"/>
        <v>0</v>
      </c>
      <c r="P377" s="14">
        <v>155.46340082</v>
      </c>
      <c r="Q377" s="8">
        <f t="shared" si="33"/>
        <v>0</v>
      </c>
      <c r="R377" s="8">
        <f t="shared" si="34"/>
        <v>0</v>
      </c>
      <c r="S377" s="15">
        <f t="shared" si="35"/>
        <v>0</v>
      </c>
    </row>
    <row r="378" spans="1:19" x14ac:dyDescent="0.25">
      <c r="A378" s="10" t="s">
        <v>958</v>
      </c>
      <c r="B378" s="10">
        <v>74494</v>
      </c>
      <c r="C378" s="10">
        <v>77213</v>
      </c>
      <c r="D378" s="10" t="s">
        <v>956</v>
      </c>
      <c r="E378" s="10" t="s">
        <v>959</v>
      </c>
      <c r="F378" s="10" t="s">
        <v>21</v>
      </c>
      <c r="G378" s="10" t="s">
        <v>12</v>
      </c>
      <c r="H378" s="10" t="s">
        <v>41</v>
      </c>
      <c r="I378" s="11">
        <v>0</v>
      </c>
      <c r="J378" s="11"/>
      <c r="K378" s="11">
        <v>0</v>
      </c>
      <c r="L378" s="6">
        <f t="shared" si="30"/>
        <v>0</v>
      </c>
      <c r="M378" s="12">
        <v>16.09</v>
      </c>
      <c r="N378" s="13">
        <f t="shared" si="31"/>
        <v>0</v>
      </c>
      <c r="O378" s="13">
        <f t="shared" si="32"/>
        <v>0</v>
      </c>
      <c r="P378" s="14">
        <v>116.67516422</v>
      </c>
      <c r="Q378" s="8">
        <f t="shared" si="33"/>
        <v>0</v>
      </c>
      <c r="R378" s="8">
        <f t="shared" si="34"/>
        <v>0</v>
      </c>
      <c r="S378" s="15">
        <f t="shared" si="35"/>
        <v>0</v>
      </c>
    </row>
    <row r="379" spans="1:19" x14ac:dyDescent="0.25">
      <c r="A379" s="10" t="s">
        <v>960</v>
      </c>
      <c r="B379" s="10">
        <v>74501</v>
      </c>
      <c r="C379" s="10">
        <v>77215</v>
      </c>
      <c r="D379" s="10" t="s">
        <v>961</v>
      </c>
      <c r="E379" s="10" t="s">
        <v>962</v>
      </c>
      <c r="F379" s="10" t="s">
        <v>21</v>
      </c>
      <c r="G379" s="10" t="s">
        <v>12</v>
      </c>
      <c r="H379" s="10" t="s">
        <v>41</v>
      </c>
      <c r="I379" s="11">
        <v>0</v>
      </c>
      <c r="J379" s="11"/>
      <c r="K379" s="11">
        <v>0</v>
      </c>
      <c r="L379" s="6">
        <f t="shared" si="30"/>
        <v>0</v>
      </c>
      <c r="M379" s="12">
        <v>18.52</v>
      </c>
      <c r="N379" s="13">
        <f t="shared" si="31"/>
        <v>0</v>
      </c>
      <c r="O379" s="13">
        <f t="shared" si="32"/>
        <v>0</v>
      </c>
      <c r="P379" s="14">
        <v>62.995973409999998</v>
      </c>
      <c r="Q379" s="8">
        <f t="shared" si="33"/>
        <v>0</v>
      </c>
      <c r="R379" s="8">
        <f t="shared" si="34"/>
        <v>0</v>
      </c>
      <c r="S379" s="15">
        <f t="shared" si="35"/>
        <v>0</v>
      </c>
    </row>
    <row r="380" spans="1:19" x14ac:dyDescent="0.25">
      <c r="A380" s="10" t="s">
        <v>963</v>
      </c>
      <c r="B380" s="10">
        <v>74501</v>
      </c>
      <c r="C380" s="10">
        <v>77215</v>
      </c>
      <c r="D380" s="10" t="s">
        <v>961</v>
      </c>
      <c r="E380" s="10" t="s">
        <v>964</v>
      </c>
      <c r="F380" s="10" t="s">
        <v>21</v>
      </c>
      <c r="G380" s="10" t="s">
        <v>12</v>
      </c>
      <c r="H380" s="10" t="s">
        <v>41</v>
      </c>
      <c r="I380" s="11">
        <v>2</v>
      </c>
      <c r="J380" s="11"/>
      <c r="K380" s="11">
        <v>0</v>
      </c>
      <c r="L380" s="6">
        <f t="shared" si="30"/>
        <v>2</v>
      </c>
      <c r="M380" s="12">
        <v>18.52</v>
      </c>
      <c r="N380" s="13">
        <f t="shared" si="31"/>
        <v>37.04</v>
      </c>
      <c r="O380" s="13">
        <f t="shared" si="32"/>
        <v>0</v>
      </c>
      <c r="P380" s="14">
        <v>64.285098559999994</v>
      </c>
      <c r="Q380" s="8">
        <f t="shared" si="33"/>
        <v>128.57019711999999</v>
      </c>
      <c r="R380" s="8">
        <f t="shared" si="34"/>
        <v>0</v>
      </c>
      <c r="S380" s="15">
        <f t="shared" si="35"/>
        <v>0</v>
      </c>
    </row>
    <row r="381" spans="1:19" x14ac:dyDescent="0.25">
      <c r="A381" s="10" t="s">
        <v>965</v>
      </c>
      <c r="B381" s="10">
        <v>74509</v>
      </c>
      <c r="C381" s="10">
        <v>77221</v>
      </c>
      <c r="D381" s="10" t="s">
        <v>966</v>
      </c>
      <c r="E381" s="10" t="s">
        <v>967</v>
      </c>
      <c r="F381" s="10" t="s">
        <v>21</v>
      </c>
      <c r="G381" s="10" t="s">
        <v>12</v>
      </c>
      <c r="H381" s="10" t="s">
        <v>41</v>
      </c>
      <c r="I381" s="11">
        <v>0</v>
      </c>
      <c r="J381" s="11"/>
      <c r="K381" s="11">
        <v>0</v>
      </c>
      <c r="L381" s="6">
        <f t="shared" si="30"/>
        <v>0</v>
      </c>
      <c r="M381" s="12">
        <v>11.33</v>
      </c>
      <c r="N381" s="13">
        <f t="shared" si="31"/>
        <v>0</v>
      </c>
      <c r="O381" s="13">
        <f t="shared" si="32"/>
        <v>0</v>
      </c>
      <c r="P381" s="14">
        <v>47.75847392</v>
      </c>
      <c r="Q381" s="8">
        <f t="shared" si="33"/>
        <v>0</v>
      </c>
      <c r="R381" s="8">
        <f t="shared" si="34"/>
        <v>0</v>
      </c>
      <c r="S381" s="15">
        <f t="shared" si="35"/>
        <v>0</v>
      </c>
    </row>
    <row r="382" spans="1:19" x14ac:dyDescent="0.25">
      <c r="A382" s="10" t="s">
        <v>968</v>
      </c>
      <c r="B382" s="10">
        <v>74509</v>
      </c>
      <c r="C382" s="10">
        <v>77221</v>
      </c>
      <c r="D382" s="10" t="s">
        <v>966</v>
      </c>
      <c r="E382" s="10" t="s">
        <v>969</v>
      </c>
      <c r="F382" s="10" t="s">
        <v>21</v>
      </c>
      <c r="G382" s="10" t="s">
        <v>12</v>
      </c>
      <c r="H382" s="10" t="s">
        <v>41</v>
      </c>
      <c r="I382" s="11">
        <v>1</v>
      </c>
      <c r="J382" s="11"/>
      <c r="K382" s="11">
        <v>0</v>
      </c>
      <c r="L382" s="6">
        <f t="shared" si="30"/>
        <v>1</v>
      </c>
      <c r="M382" s="12">
        <v>11.33</v>
      </c>
      <c r="N382" s="13">
        <f t="shared" si="31"/>
        <v>11.33</v>
      </c>
      <c r="O382" s="13">
        <f t="shared" si="32"/>
        <v>0</v>
      </c>
      <c r="P382" s="14">
        <v>47.4878827</v>
      </c>
      <c r="Q382" s="8">
        <f t="shared" si="33"/>
        <v>47.4878827</v>
      </c>
      <c r="R382" s="8">
        <f t="shared" si="34"/>
        <v>0</v>
      </c>
      <c r="S382" s="15">
        <f t="shared" si="35"/>
        <v>0</v>
      </c>
    </row>
    <row r="383" spans="1:19" x14ac:dyDescent="0.25">
      <c r="A383" s="10" t="s">
        <v>970</v>
      </c>
      <c r="B383" s="10">
        <v>74516</v>
      </c>
      <c r="C383" s="10">
        <v>76421</v>
      </c>
      <c r="D383" s="10" t="s">
        <v>971</v>
      </c>
      <c r="E383" s="10" t="s">
        <v>972</v>
      </c>
      <c r="F383" s="10" t="s">
        <v>21</v>
      </c>
      <c r="G383" s="10" t="s">
        <v>12</v>
      </c>
      <c r="H383" s="10" t="s">
        <v>41</v>
      </c>
      <c r="I383" s="11">
        <v>0</v>
      </c>
      <c r="J383" s="11"/>
      <c r="K383" s="11">
        <v>0</v>
      </c>
      <c r="L383" s="6">
        <f t="shared" si="30"/>
        <v>0</v>
      </c>
      <c r="M383" s="12">
        <v>37.536999999999999</v>
      </c>
      <c r="N383" s="13">
        <f t="shared" si="31"/>
        <v>0</v>
      </c>
      <c r="O383" s="13">
        <f t="shared" si="32"/>
        <v>0</v>
      </c>
      <c r="P383" s="14">
        <v>192.81869943000001</v>
      </c>
      <c r="Q383" s="8">
        <f t="shared" si="33"/>
        <v>0</v>
      </c>
      <c r="R383" s="8">
        <f t="shared" si="34"/>
        <v>0</v>
      </c>
      <c r="S383" s="15">
        <f t="shared" si="35"/>
        <v>0</v>
      </c>
    </row>
    <row r="384" spans="1:19" x14ac:dyDescent="0.25">
      <c r="A384" s="10" t="s">
        <v>973</v>
      </c>
      <c r="B384" s="10">
        <v>74551</v>
      </c>
      <c r="C384" s="10">
        <v>82383</v>
      </c>
      <c r="D384" s="10" t="s">
        <v>974</v>
      </c>
      <c r="E384" s="10" t="s">
        <v>975</v>
      </c>
      <c r="F384" s="10" t="s">
        <v>22</v>
      </c>
      <c r="G384" s="10" t="s">
        <v>12</v>
      </c>
      <c r="H384" s="10" t="s">
        <v>41</v>
      </c>
      <c r="I384" s="11">
        <v>432</v>
      </c>
      <c r="J384" s="11"/>
      <c r="K384" s="11">
        <v>157</v>
      </c>
      <c r="L384" s="6">
        <f t="shared" si="30"/>
        <v>275</v>
      </c>
      <c r="M384" s="12">
        <v>53.274000000000001</v>
      </c>
      <c r="N384" s="13">
        <f t="shared" si="31"/>
        <v>23014.368000000002</v>
      </c>
      <c r="O384" s="13">
        <f t="shared" si="32"/>
        <v>8364.018</v>
      </c>
      <c r="P384" s="14">
        <v>302.78533655000001</v>
      </c>
      <c r="Q384" s="8">
        <f t="shared" si="33"/>
        <v>130803.26538960001</v>
      </c>
      <c r="R384" s="8">
        <f t="shared" si="34"/>
        <v>47537.297838350001</v>
      </c>
      <c r="S384" s="15">
        <f t="shared" si="35"/>
        <v>0.36342592592592593</v>
      </c>
    </row>
    <row r="385" spans="1:19" x14ac:dyDescent="0.25">
      <c r="A385" s="10" t="s">
        <v>976</v>
      </c>
      <c r="B385" s="10">
        <v>74551</v>
      </c>
      <c r="C385" s="10">
        <v>82383</v>
      </c>
      <c r="D385" s="10" t="s">
        <v>974</v>
      </c>
      <c r="E385" s="10" t="s">
        <v>977</v>
      </c>
      <c r="F385" s="10" t="s">
        <v>22</v>
      </c>
      <c r="G385" s="10" t="s">
        <v>12</v>
      </c>
      <c r="H385" s="10" t="s">
        <v>41</v>
      </c>
      <c r="I385" s="11">
        <v>143</v>
      </c>
      <c r="J385" s="11"/>
      <c r="K385" s="11">
        <v>61</v>
      </c>
      <c r="L385" s="6">
        <f t="shared" si="30"/>
        <v>82</v>
      </c>
      <c r="M385" s="12">
        <v>53.274000000000001</v>
      </c>
      <c r="N385" s="13">
        <f t="shared" si="31"/>
        <v>7618.1819999999998</v>
      </c>
      <c r="O385" s="13">
        <f t="shared" si="32"/>
        <v>3249.7139999999999</v>
      </c>
      <c r="P385" s="14">
        <v>293.98877246000001</v>
      </c>
      <c r="Q385" s="8">
        <f t="shared" si="33"/>
        <v>42040.394461780001</v>
      </c>
      <c r="R385" s="8">
        <f t="shared" si="34"/>
        <v>17933.31512006</v>
      </c>
      <c r="S385" s="15">
        <f t="shared" si="35"/>
        <v>0.42657342657342656</v>
      </c>
    </row>
    <row r="386" spans="1:19" x14ac:dyDescent="0.25">
      <c r="A386" s="10" t="s">
        <v>978</v>
      </c>
      <c r="B386" s="10">
        <v>74552</v>
      </c>
      <c r="C386" s="10">
        <v>82384</v>
      </c>
      <c r="D386" s="10" t="s">
        <v>979</v>
      </c>
      <c r="E386" s="10" t="s">
        <v>980</v>
      </c>
      <c r="F386" s="10" t="s">
        <v>22</v>
      </c>
      <c r="G386" s="10" t="s">
        <v>12</v>
      </c>
      <c r="H386" s="10" t="s">
        <v>41</v>
      </c>
      <c r="I386" s="11">
        <v>428</v>
      </c>
      <c r="J386" s="11"/>
      <c r="K386" s="11">
        <v>157</v>
      </c>
      <c r="L386" s="6">
        <f t="shared" ref="L386:L449" si="36">I386-K386</f>
        <v>271</v>
      </c>
      <c r="M386" s="12">
        <v>50.543999999999997</v>
      </c>
      <c r="N386" s="13">
        <f t="shared" ref="N386:N449" si="37">I386*M386</f>
        <v>21632.831999999999</v>
      </c>
      <c r="O386" s="13">
        <f t="shared" ref="O386:O449" si="38">K386*M386</f>
        <v>7935.4079999999994</v>
      </c>
      <c r="P386" s="14">
        <v>344.36045820999999</v>
      </c>
      <c r="Q386" s="8">
        <f t="shared" ref="Q386:Q449" si="39">I386*P386</f>
        <v>147386.27611387998</v>
      </c>
      <c r="R386" s="8">
        <f t="shared" ref="R386:R449" si="40">K386*P386</f>
        <v>54064.591938969999</v>
      </c>
      <c r="S386" s="15">
        <f t="shared" ref="S386:S449" si="41">IF(I386=0,0,K386/I386)</f>
        <v>0.36682242990654207</v>
      </c>
    </row>
    <row r="387" spans="1:19" x14ac:dyDescent="0.25">
      <c r="A387" s="10" t="s">
        <v>981</v>
      </c>
      <c r="B387" s="10">
        <v>74552</v>
      </c>
      <c r="C387" s="10">
        <v>82384</v>
      </c>
      <c r="D387" s="10" t="s">
        <v>979</v>
      </c>
      <c r="E387" s="10" t="s">
        <v>982</v>
      </c>
      <c r="F387" s="10" t="s">
        <v>22</v>
      </c>
      <c r="G387" s="10" t="s">
        <v>12</v>
      </c>
      <c r="H387" s="10" t="s">
        <v>41</v>
      </c>
      <c r="I387" s="11">
        <v>151</v>
      </c>
      <c r="J387" s="11"/>
      <c r="K387" s="11">
        <v>61</v>
      </c>
      <c r="L387" s="6">
        <f t="shared" si="36"/>
        <v>90</v>
      </c>
      <c r="M387" s="12">
        <v>50.543999999999997</v>
      </c>
      <c r="N387" s="13">
        <f t="shared" si="37"/>
        <v>7632.1439999999993</v>
      </c>
      <c r="O387" s="13">
        <f t="shared" si="38"/>
        <v>3083.1839999999997</v>
      </c>
      <c r="P387" s="14">
        <v>349.91748402000002</v>
      </c>
      <c r="Q387" s="8">
        <f t="shared" si="39"/>
        <v>52837.540087020003</v>
      </c>
      <c r="R387" s="8">
        <f t="shared" si="40"/>
        <v>21344.966525219999</v>
      </c>
      <c r="S387" s="15">
        <f t="shared" si="41"/>
        <v>0.40397350993377484</v>
      </c>
    </row>
    <row r="388" spans="1:19" x14ac:dyDescent="0.25">
      <c r="A388" s="10" t="s">
        <v>983</v>
      </c>
      <c r="B388" s="10">
        <v>74610</v>
      </c>
      <c r="C388" s="10">
        <v>80748</v>
      </c>
      <c r="D388" s="10" t="s">
        <v>984</v>
      </c>
      <c r="E388" s="10" t="s">
        <v>985</v>
      </c>
      <c r="F388" s="10" t="s">
        <v>23</v>
      </c>
      <c r="G388" s="10" t="s">
        <v>12</v>
      </c>
      <c r="H388" s="10" t="s">
        <v>41</v>
      </c>
      <c r="I388" s="11">
        <v>0</v>
      </c>
      <c r="J388" s="11"/>
      <c r="K388" s="11">
        <v>0</v>
      </c>
      <c r="L388" s="6">
        <f t="shared" si="36"/>
        <v>0</v>
      </c>
      <c r="M388" s="12">
        <v>43.68</v>
      </c>
      <c r="N388" s="13">
        <f t="shared" si="37"/>
        <v>0</v>
      </c>
      <c r="O388" s="13">
        <f t="shared" si="38"/>
        <v>0</v>
      </c>
      <c r="P388" s="14">
        <v>136.40798856000001</v>
      </c>
      <c r="Q388" s="8">
        <f t="shared" si="39"/>
        <v>0</v>
      </c>
      <c r="R388" s="8">
        <f t="shared" si="40"/>
        <v>0</v>
      </c>
      <c r="S388" s="15">
        <f t="shared" si="41"/>
        <v>0</v>
      </c>
    </row>
    <row r="389" spans="1:19" x14ac:dyDescent="0.25">
      <c r="A389" s="10" t="s">
        <v>986</v>
      </c>
      <c r="B389" s="10">
        <v>74613</v>
      </c>
      <c r="C389" s="10">
        <v>80749</v>
      </c>
      <c r="D389" s="10" t="s">
        <v>987</v>
      </c>
      <c r="E389" s="10" t="s">
        <v>988</v>
      </c>
      <c r="F389" s="10" t="s">
        <v>23</v>
      </c>
      <c r="G389" s="10" t="s">
        <v>12</v>
      </c>
      <c r="H389" s="10" t="s">
        <v>41</v>
      </c>
      <c r="I389" s="11">
        <v>0</v>
      </c>
      <c r="J389" s="11"/>
      <c r="K389" s="11">
        <v>0</v>
      </c>
      <c r="L389" s="6">
        <f t="shared" si="36"/>
        <v>0</v>
      </c>
      <c r="M389" s="12">
        <v>32.661999999999999</v>
      </c>
      <c r="N389" s="13">
        <f t="shared" si="37"/>
        <v>0</v>
      </c>
      <c r="O389" s="13">
        <f t="shared" si="38"/>
        <v>0</v>
      </c>
      <c r="P389" s="14">
        <v>110.60583966</v>
      </c>
      <c r="Q389" s="8">
        <f t="shared" si="39"/>
        <v>0</v>
      </c>
      <c r="R389" s="8">
        <f t="shared" si="40"/>
        <v>0</v>
      </c>
      <c r="S389" s="15">
        <f t="shared" si="41"/>
        <v>0</v>
      </c>
    </row>
    <row r="390" spans="1:19" x14ac:dyDescent="0.25">
      <c r="A390" s="10" t="s">
        <v>989</v>
      </c>
      <c r="B390" s="10">
        <v>74613</v>
      </c>
      <c r="C390" s="10">
        <v>80749</v>
      </c>
      <c r="D390" s="10" t="s">
        <v>987</v>
      </c>
      <c r="E390" s="10" t="s">
        <v>990</v>
      </c>
      <c r="F390" s="10" t="s">
        <v>23</v>
      </c>
      <c r="G390" s="10" t="s">
        <v>12</v>
      </c>
      <c r="H390" s="10" t="s">
        <v>41</v>
      </c>
      <c r="I390" s="11">
        <v>0</v>
      </c>
      <c r="J390" s="11"/>
      <c r="K390" s="11">
        <v>0</v>
      </c>
      <c r="L390" s="6">
        <f t="shared" si="36"/>
        <v>0</v>
      </c>
      <c r="M390" s="12">
        <v>32.661999999999999</v>
      </c>
      <c r="N390" s="13">
        <f t="shared" si="37"/>
        <v>0</v>
      </c>
      <c r="O390" s="13">
        <f t="shared" si="38"/>
        <v>0</v>
      </c>
      <c r="P390" s="14">
        <v>110.60583966</v>
      </c>
      <c r="Q390" s="8">
        <f t="shared" si="39"/>
        <v>0</v>
      </c>
      <c r="R390" s="8">
        <f t="shared" si="40"/>
        <v>0</v>
      </c>
      <c r="S390" s="15">
        <f t="shared" si="41"/>
        <v>0</v>
      </c>
    </row>
    <row r="391" spans="1:19" x14ac:dyDescent="0.25">
      <c r="A391" s="10" t="s">
        <v>991</v>
      </c>
      <c r="B391" s="10">
        <v>74614</v>
      </c>
      <c r="C391" s="10">
        <v>80751</v>
      </c>
      <c r="D391" s="10" t="s">
        <v>992</v>
      </c>
      <c r="E391" s="10" t="s">
        <v>993</v>
      </c>
      <c r="F391" s="10" t="s">
        <v>23</v>
      </c>
      <c r="G391" s="10" t="s">
        <v>12</v>
      </c>
      <c r="H391" s="10" t="s">
        <v>41</v>
      </c>
      <c r="I391" s="11">
        <v>1</v>
      </c>
      <c r="J391" s="11"/>
      <c r="K391" s="11">
        <v>0</v>
      </c>
      <c r="L391" s="6">
        <f t="shared" si="36"/>
        <v>1</v>
      </c>
      <c r="M391" s="12">
        <v>36.317999999999998</v>
      </c>
      <c r="N391" s="13">
        <f t="shared" si="37"/>
        <v>36.317999999999998</v>
      </c>
      <c r="O391" s="13">
        <f t="shared" si="38"/>
        <v>0</v>
      </c>
      <c r="P391" s="14">
        <v>105.77403067</v>
      </c>
      <c r="Q391" s="8">
        <f t="shared" si="39"/>
        <v>105.77403067</v>
      </c>
      <c r="R391" s="8">
        <f t="shared" si="40"/>
        <v>0</v>
      </c>
      <c r="S391" s="15">
        <f t="shared" si="41"/>
        <v>0</v>
      </c>
    </row>
    <row r="392" spans="1:19" x14ac:dyDescent="0.25">
      <c r="A392" s="10" t="s">
        <v>994</v>
      </c>
      <c r="B392" s="10">
        <v>74614</v>
      </c>
      <c r="C392" s="10">
        <v>80751</v>
      </c>
      <c r="D392" s="10" t="s">
        <v>992</v>
      </c>
      <c r="E392" s="10" t="s">
        <v>995</v>
      </c>
      <c r="F392" s="10" t="s">
        <v>23</v>
      </c>
      <c r="G392" s="10" t="s">
        <v>12</v>
      </c>
      <c r="H392" s="10" t="s">
        <v>41</v>
      </c>
      <c r="I392" s="11">
        <v>0</v>
      </c>
      <c r="J392" s="11"/>
      <c r="K392" s="11">
        <v>0</v>
      </c>
      <c r="L392" s="6">
        <f t="shared" si="36"/>
        <v>0</v>
      </c>
      <c r="M392" s="12">
        <v>36.317999999999998</v>
      </c>
      <c r="N392" s="13">
        <f t="shared" si="37"/>
        <v>0</v>
      </c>
      <c r="O392" s="13">
        <f t="shared" si="38"/>
        <v>0</v>
      </c>
      <c r="P392" s="14">
        <v>106.38403067</v>
      </c>
      <c r="Q392" s="8">
        <f t="shared" si="39"/>
        <v>0</v>
      </c>
      <c r="R392" s="8">
        <f t="shared" si="40"/>
        <v>0</v>
      </c>
      <c r="S392" s="15">
        <f t="shared" si="41"/>
        <v>0</v>
      </c>
    </row>
    <row r="393" spans="1:19" x14ac:dyDescent="0.25">
      <c r="A393" s="10" t="s">
        <v>996</v>
      </c>
      <c r="B393" s="10">
        <v>74629</v>
      </c>
      <c r="C393" s="10">
        <v>81387</v>
      </c>
      <c r="D393" s="10" t="s">
        <v>997</v>
      </c>
      <c r="E393" s="10" t="s">
        <v>998</v>
      </c>
      <c r="F393" s="10" t="s">
        <v>21</v>
      </c>
      <c r="G393" s="10" t="s">
        <v>12</v>
      </c>
      <c r="H393" s="10" t="s">
        <v>41</v>
      </c>
      <c r="I393" s="11">
        <v>0</v>
      </c>
      <c r="J393" s="11"/>
      <c r="K393" s="11">
        <v>0</v>
      </c>
      <c r="L393" s="6">
        <f t="shared" si="36"/>
        <v>0</v>
      </c>
      <c r="M393" s="12">
        <v>28.274999999999999</v>
      </c>
      <c r="N393" s="13">
        <f t="shared" si="37"/>
        <v>0</v>
      </c>
      <c r="O393" s="13">
        <f t="shared" si="38"/>
        <v>0</v>
      </c>
      <c r="P393" s="14">
        <v>71.126665009999996</v>
      </c>
      <c r="Q393" s="8">
        <f t="shared" si="39"/>
        <v>0</v>
      </c>
      <c r="R393" s="8">
        <f t="shared" si="40"/>
        <v>0</v>
      </c>
      <c r="S393" s="15">
        <f t="shared" si="41"/>
        <v>0</v>
      </c>
    </row>
    <row r="394" spans="1:19" x14ac:dyDescent="0.25">
      <c r="A394" s="10" t="s">
        <v>999</v>
      </c>
      <c r="B394" s="10">
        <v>74629</v>
      </c>
      <c r="C394" s="10">
        <v>81387</v>
      </c>
      <c r="D394" s="10" t="s">
        <v>997</v>
      </c>
      <c r="E394" s="10" t="s">
        <v>1000</v>
      </c>
      <c r="F394" s="10" t="s">
        <v>21</v>
      </c>
      <c r="G394" s="10" t="s">
        <v>12</v>
      </c>
      <c r="H394" s="10" t="s">
        <v>41</v>
      </c>
      <c r="I394" s="11">
        <v>0</v>
      </c>
      <c r="J394" s="11"/>
      <c r="K394" s="11">
        <v>0</v>
      </c>
      <c r="L394" s="6">
        <f t="shared" si="36"/>
        <v>0</v>
      </c>
      <c r="M394" s="12">
        <v>28.274999999999999</v>
      </c>
      <c r="N394" s="13">
        <f t="shared" si="37"/>
        <v>0</v>
      </c>
      <c r="O394" s="13">
        <f t="shared" si="38"/>
        <v>0</v>
      </c>
      <c r="P394" s="14">
        <v>70.973140409999999</v>
      </c>
      <c r="Q394" s="8">
        <f t="shared" si="39"/>
        <v>0</v>
      </c>
      <c r="R394" s="8">
        <f t="shared" si="40"/>
        <v>0</v>
      </c>
      <c r="S394" s="15">
        <f t="shared" si="41"/>
        <v>0</v>
      </c>
    </row>
    <row r="395" spans="1:19" x14ac:dyDescent="0.25">
      <c r="A395" s="10" t="s">
        <v>1001</v>
      </c>
      <c r="B395" s="10">
        <v>74632</v>
      </c>
      <c r="C395" s="10">
        <v>81398</v>
      </c>
      <c r="D395" s="10" t="s">
        <v>1002</v>
      </c>
      <c r="E395" s="10" t="s">
        <v>1003</v>
      </c>
      <c r="F395" s="10" t="s">
        <v>21</v>
      </c>
      <c r="G395" s="10" t="s">
        <v>12</v>
      </c>
      <c r="H395" s="10" t="s">
        <v>41</v>
      </c>
      <c r="I395" s="11">
        <v>0</v>
      </c>
      <c r="J395" s="11"/>
      <c r="K395" s="11">
        <v>0</v>
      </c>
      <c r="L395" s="6">
        <f t="shared" si="36"/>
        <v>0</v>
      </c>
      <c r="M395" s="12">
        <v>18.78</v>
      </c>
      <c r="N395" s="13">
        <f t="shared" si="37"/>
        <v>0</v>
      </c>
      <c r="O395" s="13">
        <f t="shared" si="38"/>
        <v>0</v>
      </c>
      <c r="P395" s="14">
        <v>121.66146467</v>
      </c>
      <c r="Q395" s="8">
        <f t="shared" si="39"/>
        <v>0</v>
      </c>
      <c r="R395" s="8">
        <f t="shared" si="40"/>
        <v>0</v>
      </c>
      <c r="S395" s="15">
        <f t="shared" si="41"/>
        <v>0</v>
      </c>
    </row>
    <row r="396" spans="1:19" x14ac:dyDescent="0.25">
      <c r="A396" s="10" t="s">
        <v>1004</v>
      </c>
      <c r="B396" s="10">
        <v>74632</v>
      </c>
      <c r="C396" s="10">
        <v>81398</v>
      </c>
      <c r="D396" s="10" t="s">
        <v>1002</v>
      </c>
      <c r="E396" s="10" t="s">
        <v>1005</v>
      </c>
      <c r="F396" s="10" t="s">
        <v>21</v>
      </c>
      <c r="G396" s="10" t="s">
        <v>12</v>
      </c>
      <c r="H396" s="10" t="s">
        <v>41</v>
      </c>
      <c r="I396" s="11">
        <v>0</v>
      </c>
      <c r="J396" s="11"/>
      <c r="K396" s="11">
        <v>0</v>
      </c>
      <c r="L396" s="6">
        <f t="shared" si="36"/>
        <v>0</v>
      </c>
      <c r="M396" s="12">
        <v>18.78</v>
      </c>
      <c r="N396" s="13">
        <f t="shared" si="37"/>
        <v>0</v>
      </c>
      <c r="O396" s="13">
        <f t="shared" si="38"/>
        <v>0</v>
      </c>
      <c r="P396" s="14">
        <v>116.55085793000001</v>
      </c>
      <c r="Q396" s="8">
        <f t="shared" si="39"/>
        <v>0</v>
      </c>
      <c r="R396" s="8">
        <f t="shared" si="40"/>
        <v>0</v>
      </c>
      <c r="S396" s="15">
        <f t="shared" si="41"/>
        <v>0</v>
      </c>
    </row>
    <row r="397" spans="1:19" x14ac:dyDescent="0.25">
      <c r="A397" s="10" t="s">
        <v>1006</v>
      </c>
      <c r="B397" s="10">
        <v>74670</v>
      </c>
      <c r="C397" s="10">
        <v>80734</v>
      </c>
      <c r="D397" s="10" t="s">
        <v>1007</v>
      </c>
      <c r="E397" s="10" t="s">
        <v>1008</v>
      </c>
      <c r="F397" s="10" t="s">
        <v>23</v>
      </c>
      <c r="G397" s="10" t="s">
        <v>12</v>
      </c>
      <c r="H397" s="10" t="s">
        <v>41</v>
      </c>
      <c r="I397" s="11">
        <v>5</v>
      </c>
      <c r="J397" s="11"/>
      <c r="K397" s="11">
        <v>0</v>
      </c>
      <c r="L397" s="6">
        <f t="shared" si="36"/>
        <v>5</v>
      </c>
      <c r="M397" s="12">
        <v>38.805</v>
      </c>
      <c r="N397" s="13">
        <f t="shared" si="37"/>
        <v>194.02500000000001</v>
      </c>
      <c r="O397" s="13">
        <f t="shared" si="38"/>
        <v>0</v>
      </c>
      <c r="P397" s="14">
        <v>123.28040055</v>
      </c>
      <c r="Q397" s="8">
        <f t="shared" si="39"/>
        <v>616.40200274999995</v>
      </c>
      <c r="R397" s="8">
        <f t="shared" si="40"/>
        <v>0</v>
      </c>
      <c r="S397" s="15">
        <f t="shared" si="41"/>
        <v>0</v>
      </c>
    </row>
    <row r="398" spans="1:19" x14ac:dyDescent="0.25">
      <c r="A398" s="10" t="s">
        <v>1009</v>
      </c>
      <c r="B398" s="10">
        <v>74670</v>
      </c>
      <c r="C398" s="10">
        <v>80734</v>
      </c>
      <c r="D398" s="10" t="s">
        <v>1007</v>
      </c>
      <c r="E398" s="10" t="s">
        <v>1010</v>
      </c>
      <c r="F398" s="10" t="s">
        <v>23</v>
      </c>
      <c r="G398" s="10" t="s">
        <v>12</v>
      </c>
      <c r="H398" s="10" t="s">
        <v>41</v>
      </c>
      <c r="I398" s="11">
        <v>0</v>
      </c>
      <c r="J398" s="11"/>
      <c r="K398" s="11">
        <v>0</v>
      </c>
      <c r="L398" s="6">
        <f t="shared" si="36"/>
        <v>0</v>
      </c>
      <c r="M398" s="12">
        <v>38.805</v>
      </c>
      <c r="N398" s="13">
        <f t="shared" si="37"/>
        <v>0</v>
      </c>
      <c r="O398" s="13">
        <f t="shared" si="38"/>
        <v>0</v>
      </c>
      <c r="P398" s="14">
        <v>123.28040056</v>
      </c>
      <c r="Q398" s="8">
        <f t="shared" si="39"/>
        <v>0</v>
      </c>
      <c r="R398" s="8">
        <f t="shared" si="40"/>
        <v>0</v>
      </c>
      <c r="S398" s="15">
        <f t="shared" si="41"/>
        <v>0</v>
      </c>
    </row>
    <row r="399" spans="1:19" x14ac:dyDescent="0.25">
      <c r="A399" s="10" t="s">
        <v>1011</v>
      </c>
      <c r="B399" s="10">
        <v>74671</v>
      </c>
      <c r="C399" s="10">
        <v>80735</v>
      </c>
      <c r="D399" s="10" t="s">
        <v>1012</v>
      </c>
      <c r="E399" s="10" t="s">
        <v>1013</v>
      </c>
      <c r="F399" s="10" t="s">
        <v>23</v>
      </c>
      <c r="G399" s="10" t="s">
        <v>12</v>
      </c>
      <c r="H399" s="10" t="s">
        <v>41</v>
      </c>
      <c r="I399" s="11">
        <v>0</v>
      </c>
      <c r="J399" s="11"/>
      <c r="K399" s="11">
        <v>0</v>
      </c>
      <c r="L399" s="6">
        <f t="shared" si="36"/>
        <v>0</v>
      </c>
      <c r="M399" s="12">
        <v>42.606999999999999</v>
      </c>
      <c r="N399" s="13">
        <f t="shared" si="37"/>
        <v>0</v>
      </c>
      <c r="O399" s="13">
        <f t="shared" si="38"/>
        <v>0</v>
      </c>
      <c r="P399" s="14">
        <v>149.5813192</v>
      </c>
      <c r="Q399" s="8">
        <f t="shared" si="39"/>
        <v>0</v>
      </c>
      <c r="R399" s="8">
        <f t="shared" si="40"/>
        <v>0</v>
      </c>
      <c r="S399" s="15">
        <f t="shared" si="41"/>
        <v>0</v>
      </c>
    </row>
    <row r="400" spans="1:19" x14ac:dyDescent="0.25">
      <c r="A400" s="10" t="s">
        <v>1014</v>
      </c>
      <c r="B400" s="10">
        <v>74671</v>
      </c>
      <c r="C400" s="10">
        <v>80735</v>
      </c>
      <c r="D400" s="10" t="s">
        <v>1012</v>
      </c>
      <c r="E400" s="10" t="s">
        <v>1015</v>
      </c>
      <c r="F400" s="10" t="s">
        <v>23</v>
      </c>
      <c r="G400" s="10" t="s">
        <v>12</v>
      </c>
      <c r="H400" s="10" t="s">
        <v>41</v>
      </c>
      <c r="I400" s="11">
        <v>0</v>
      </c>
      <c r="J400" s="11"/>
      <c r="K400" s="11">
        <v>0</v>
      </c>
      <c r="L400" s="6">
        <f t="shared" si="36"/>
        <v>0</v>
      </c>
      <c r="M400" s="12">
        <v>42.606999999999999</v>
      </c>
      <c r="N400" s="13">
        <f t="shared" si="37"/>
        <v>0</v>
      </c>
      <c r="O400" s="13">
        <f t="shared" si="38"/>
        <v>0</v>
      </c>
      <c r="P400" s="14">
        <v>148.18131919999999</v>
      </c>
      <c r="Q400" s="8">
        <f t="shared" si="39"/>
        <v>0</v>
      </c>
      <c r="R400" s="8">
        <f t="shared" si="40"/>
        <v>0</v>
      </c>
      <c r="S400" s="15">
        <f t="shared" si="41"/>
        <v>0</v>
      </c>
    </row>
    <row r="401" spans="1:19" x14ac:dyDescent="0.25">
      <c r="A401" s="10" t="s">
        <v>1016</v>
      </c>
      <c r="B401" s="10">
        <v>75868</v>
      </c>
      <c r="C401" s="10">
        <v>91884</v>
      </c>
      <c r="D401" s="10" t="s">
        <v>1017</v>
      </c>
      <c r="E401" s="10" t="s">
        <v>1018</v>
      </c>
      <c r="F401" s="10" t="s">
        <v>23</v>
      </c>
      <c r="G401" s="10" t="s">
        <v>12</v>
      </c>
      <c r="H401" s="10" t="s">
        <v>41</v>
      </c>
      <c r="I401" s="11">
        <v>23</v>
      </c>
      <c r="J401" s="11"/>
      <c r="K401" s="11">
        <v>0</v>
      </c>
      <c r="L401" s="6">
        <f t="shared" si="36"/>
        <v>23</v>
      </c>
      <c r="M401" s="12">
        <v>59.942999999999998</v>
      </c>
      <c r="N401" s="13">
        <f t="shared" si="37"/>
        <v>1378.6889999999999</v>
      </c>
      <c r="O401" s="13">
        <f t="shared" si="38"/>
        <v>0</v>
      </c>
      <c r="P401" s="14">
        <v>237.22110362999999</v>
      </c>
      <c r="Q401" s="8">
        <f t="shared" si="39"/>
        <v>5456.0853834899999</v>
      </c>
      <c r="R401" s="8">
        <f t="shared" si="40"/>
        <v>0</v>
      </c>
      <c r="S401" s="15">
        <f t="shared" si="41"/>
        <v>0</v>
      </c>
    </row>
    <row r="402" spans="1:19" x14ac:dyDescent="0.25">
      <c r="A402" s="10" t="s">
        <v>1019</v>
      </c>
      <c r="B402" s="10">
        <v>75868</v>
      </c>
      <c r="C402" s="10">
        <v>91884</v>
      </c>
      <c r="D402" s="10" t="s">
        <v>1017</v>
      </c>
      <c r="E402" s="10" t="s">
        <v>1020</v>
      </c>
      <c r="F402" s="10" t="s">
        <v>23</v>
      </c>
      <c r="G402" s="10" t="s">
        <v>12</v>
      </c>
      <c r="H402" s="10" t="s">
        <v>41</v>
      </c>
      <c r="I402" s="11">
        <v>111</v>
      </c>
      <c r="J402" s="11"/>
      <c r="K402" s="11">
        <v>109</v>
      </c>
      <c r="L402" s="6">
        <f t="shared" si="36"/>
        <v>2</v>
      </c>
      <c r="M402" s="12">
        <v>59.942999999999998</v>
      </c>
      <c r="N402" s="13">
        <f t="shared" si="37"/>
        <v>6653.6729999999998</v>
      </c>
      <c r="O402" s="13">
        <f t="shared" si="38"/>
        <v>6533.7869999999994</v>
      </c>
      <c r="P402" s="14">
        <v>233.2255054</v>
      </c>
      <c r="Q402" s="8">
        <f t="shared" si="39"/>
        <v>25888.031099399999</v>
      </c>
      <c r="R402" s="8">
        <f t="shared" si="40"/>
        <v>25421.5800886</v>
      </c>
      <c r="S402" s="15">
        <f t="shared" si="41"/>
        <v>0.98198198198198194</v>
      </c>
    </row>
    <row r="403" spans="1:19" x14ac:dyDescent="0.25">
      <c r="A403" s="10" t="s">
        <v>1021</v>
      </c>
      <c r="B403" s="10">
        <v>75868</v>
      </c>
      <c r="C403" s="10">
        <v>91884</v>
      </c>
      <c r="D403" s="10" t="s">
        <v>1017</v>
      </c>
      <c r="E403" s="10" t="s">
        <v>1022</v>
      </c>
      <c r="F403" s="10" t="s">
        <v>23</v>
      </c>
      <c r="G403" s="10" t="s">
        <v>12</v>
      </c>
      <c r="H403" s="10" t="s">
        <v>41</v>
      </c>
      <c r="I403" s="11">
        <v>100</v>
      </c>
      <c r="J403" s="11"/>
      <c r="K403" s="11">
        <v>99</v>
      </c>
      <c r="L403" s="6">
        <f t="shared" si="36"/>
        <v>1</v>
      </c>
      <c r="M403" s="12">
        <v>59.942999999999998</v>
      </c>
      <c r="N403" s="13">
        <f t="shared" si="37"/>
        <v>5994.3</v>
      </c>
      <c r="O403" s="13">
        <f t="shared" si="38"/>
        <v>5934.357</v>
      </c>
      <c r="P403" s="14">
        <v>235.72010961999999</v>
      </c>
      <c r="Q403" s="8">
        <f t="shared" si="39"/>
        <v>23572.010962</v>
      </c>
      <c r="R403" s="8">
        <f t="shared" si="40"/>
        <v>23336.29085238</v>
      </c>
      <c r="S403" s="15">
        <f t="shared" si="41"/>
        <v>0.99</v>
      </c>
    </row>
    <row r="404" spans="1:19" x14ac:dyDescent="0.25">
      <c r="A404" s="10" t="s">
        <v>1023</v>
      </c>
      <c r="B404" s="10">
        <v>75871</v>
      </c>
      <c r="C404" s="10">
        <v>91885</v>
      </c>
      <c r="D404" s="10" t="s">
        <v>1024</v>
      </c>
      <c r="E404" s="10" t="s">
        <v>1025</v>
      </c>
      <c r="F404" s="10" t="s">
        <v>23</v>
      </c>
      <c r="G404" s="10" t="s">
        <v>12</v>
      </c>
      <c r="H404" s="10" t="s">
        <v>41</v>
      </c>
      <c r="I404" s="11">
        <v>130</v>
      </c>
      <c r="J404" s="11"/>
      <c r="K404" s="11">
        <v>122</v>
      </c>
      <c r="L404" s="6">
        <f t="shared" si="36"/>
        <v>8</v>
      </c>
      <c r="M404" s="12">
        <v>17.062000000000001</v>
      </c>
      <c r="N404" s="13">
        <f t="shared" si="37"/>
        <v>2218.06</v>
      </c>
      <c r="O404" s="13">
        <f t="shared" si="38"/>
        <v>2081.5640000000003</v>
      </c>
      <c r="P404" s="14">
        <v>33.774133110000001</v>
      </c>
      <c r="Q404" s="8">
        <f t="shared" si="39"/>
        <v>4390.6373043000003</v>
      </c>
      <c r="R404" s="8">
        <f t="shared" si="40"/>
        <v>4120.4442394200005</v>
      </c>
      <c r="S404" s="15">
        <f t="shared" si="41"/>
        <v>0.93846153846153846</v>
      </c>
    </row>
    <row r="405" spans="1:19" x14ac:dyDescent="0.25">
      <c r="A405" s="10" t="s">
        <v>1026</v>
      </c>
      <c r="B405" s="10">
        <v>75871</v>
      </c>
      <c r="C405" s="10">
        <v>91885</v>
      </c>
      <c r="D405" s="10" t="s">
        <v>1024</v>
      </c>
      <c r="E405" s="10" t="s">
        <v>1027</v>
      </c>
      <c r="F405" s="10" t="s">
        <v>23</v>
      </c>
      <c r="G405" s="10" t="s">
        <v>12</v>
      </c>
      <c r="H405" s="10" t="s">
        <v>41</v>
      </c>
      <c r="I405" s="11">
        <v>120</v>
      </c>
      <c r="J405" s="11"/>
      <c r="K405" s="11">
        <v>109</v>
      </c>
      <c r="L405" s="6">
        <f t="shared" si="36"/>
        <v>11</v>
      </c>
      <c r="M405" s="12">
        <v>17.062000000000001</v>
      </c>
      <c r="N405" s="13">
        <f t="shared" si="37"/>
        <v>2047.44</v>
      </c>
      <c r="O405" s="13">
        <f t="shared" si="38"/>
        <v>1859.758</v>
      </c>
      <c r="P405" s="14">
        <v>44.554705429999999</v>
      </c>
      <c r="Q405" s="8">
        <f t="shared" si="39"/>
        <v>5346.5646515999997</v>
      </c>
      <c r="R405" s="8">
        <f t="shared" si="40"/>
        <v>4856.46289187</v>
      </c>
      <c r="S405" s="15">
        <f t="shared" si="41"/>
        <v>0.90833333333333333</v>
      </c>
    </row>
    <row r="406" spans="1:19" x14ac:dyDescent="0.25">
      <c r="A406" s="10" t="s">
        <v>1028</v>
      </c>
      <c r="B406" s="10">
        <v>76348</v>
      </c>
      <c r="C406" s="10">
        <v>91883</v>
      </c>
      <c r="D406" s="10" t="s">
        <v>1029</v>
      </c>
      <c r="E406" s="10" t="s">
        <v>1030</v>
      </c>
      <c r="F406" s="10" t="s">
        <v>23</v>
      </c>
      <c r="G406" s="10" t="s">
        <v>12</v>
      </c>
      <c r="H406" s="10" t="s">
        <v>41</v>
      </c>
      <c r="I406" s="11">
        <v>0</v>
      </c>
      <c r="J406" s="11"/>
      <c r="K406" s="11">
        <v>0</v>
      </c>
      <c r="L406" s="6">
        <f t="shared" si="36"/>
        <v>0</v>
      </c>
      <c r="M406" s="12">
        <v>52.161999999999999</v>
      </c>
      <c r="N406" s="13">
        <f t="shared" si="37"/>
        <v>0</v>
      </c>
      <c r="O406" s="13">
        <f t="shared" si="38"/>
        <v>0</v>
      </c>
      <c r="P406" s="14">
        <v>171.84619169999999</v>
      </c>
      <c r="Q406" s="8">
        <f t="shared" si="39"/>
        <v>0</v>
      </c>
      <c r="R406" s="8">
        <f t="shared" si="40"/>
        <v>0</v>
      </c>
      <c r="S406" s="15">
        <f t="shared" si="41"/>
        <v>0</v>
      </c>
    </row>
    <row r="407" spans="1:19" x14ac:dyDescent="0.25">
      <c r="A407" s="10" t="s">
        <v>1031</v>
      </c>
      <c r="B407" s="10">
        <v>77143</v>
      </c>
      <c r="C407" s="10">
        <v>91504</v>
      </c>
      <c r="D407" s="10" t="s">
        <v>1032</v>
      </c>
      <c r="E407" s="10" t="s">
        <v>1033</v>
      </c>
      <c r="F407" s="10" t="s">
        <v>23</v>
      </c>
      <c r="G407" s="10" t="s">
        <v>12</v>
      </c>
      <c r="H407" s="10" t="s">
        <v>41</v>
      </c>
      <c r="I407" s="11">
        <v>468</v>
      </c>
      <c r="J407" s="11"/>
      <c r="K407" s="11">
        <v>432</v>
      </c>
      <c r="L407" s="6">
        <f t="shared" si="36"/>
        <v>36</v>
      </c>
      <c r="M407" s="12">
        <v>27.3</v>
      </c>
      <c r="N407" s="13">
        <f t="shared" si="37"/>
        <v>12776.4</v>
      </c>
      <c r="O407" s="13">
        <f t="shared" si="38"/>
        <v>11793.6</v>
      </c>
      <c r="P407" s="14">
        <v>181.79224092999999</v>
      </c>
      <c r="Q407" s="8">
        <f t="shared" si="39"/>
        <v>85078.768755240002</v>
      </c>
      <c r="R407" s="8">
        <f t="shared" si="40"/>
        <v>78534.248081760001</v>
      </c>
      <c r="S407" s="15">
        <f t="shared" si="41"/>
        <v>0.92307692307692313</v>
      </c>
    </row>
    <row r="408" spans="1:19" x14ac:dyDescent="0.25">
      <c r="A408" s="10" t="s">
        <v>1034</v>
      </c>
      <c r="B408" s="10">
        <v>77143</v>
      </c>
      <c r="C408" s="10">
        <v>91504</v>
      </c>
      <c r="D408" s="10" t="s">
        <v>1032</v>
      </c>
      <c r="E408" s="10" t="s">
        <v>1035</v>
      </c>
      <c r="F408" s="10" t="s">
        <v>23</v>
      </c>
      <c r="G408" s="10" t="s">
        <v>12</v>
      </c>
      <c r="H408" s="10" t="s">
        <v>41</v>
      </c>
      <c r="I408" s="11">
        <v>280</v>
      </c>
      <c r="J408" s="11"/>
      <c r="K408" s="11">
        <v>0</v>
      </c>
      <c r="L408" s="6">
        <f t="shared" si="36"/>
        <v>280</v>
      </c>
      <c r="M408" s="12">
        <v>27.3</v>
      </c>
      <c r="N408" s="13">
        <f t="shared" si="37"/>
        <v>7644</v>
      </c>
      <c r="O408" s="13">
        <f t="shared" si="38"/>
        <v>0</v>
      </c>
      <c r="P408" s="14">
        <v>172.65447788</v>
      </c>
      <c r="Q408" s="8">
        <f t="shared" si="39"/>
        <v>48343.253806400004</v>
      </c>
      <c r="R408" s="8">
        <f t="shared" si="40"/>
        <v>0</v>
      </c>
      <c r="S408" s="15">
        <f t="shared" si="41"/>
        <v>0</v>
      </c>
    </row>
    <row r="409" spans="1:19" x14ac:dyDescent="0.25">
      <c r="A409" s="10" t="s">
        <v>1036</v>
      </c>
      <c r="B409" s="10">
        <v>78326</v>
      </c>
      <c r="C409" s="10">
        <v>83257</v>
      </c>
      <c r="D409" s="10" t="s">
        <v>1037</v>
      </c>
      <c r="E409" s="10" t="s">
        <v>1038</v>
      </c>
      <c r="F409" s="10" t="s">
        <v>23</v>
      </c>
      <c r="G409" s="10" t="s">
        <v>12</v>
      </c>
      <c r="H409" s="10" t="s">
        <v>41</v>
      </c>
      <c r="I409" s="11">
        <v>6</v>
      </c>
      <c r="J409" s="11"/>
      <c r="K409" s="11">
        <v>0</v>
      </c>
      <c r="L409" s="6">
        <f t="shared" si="36"/>
        <v>6</v>
      </c>
      <c r="M409" s="12">
        <v>53.088000000000001</v>
      </c>
      <c r="N409" s="13">
        <f t="shared" si="37"/>
        <v>318.52800000000002</v>
      </c>
      <c r="O409" s="13">
        <f t="shared" si="38"/>
        <v>0</v>
      </c>
      <c r="P409" s="14">
        <v>177.97013342</v>
      </c>
      <c r="Q409" s="8">
        <f t="shared" si="39"/>
        <v>1067.8208005199999</v>
      </c>
      <c r="R409" s="8">
        <f t="shared" si="40"/>
        <v>0</v>
      </c>
      <c r="S409" s="15">
        <f t="shared" si="41"/>
        <v>0</v>
      </c>
    </row>
    <row r="410" spans="1:19" x14ac:dyDescent="0.25">
      <c r="A410" s="10" t="s">
        <v>1039</v>
      </c>
      <c r="B410" s="10">
        <v>79208</v>
      </c>
      <c r="C410" s="10">
        <v>90314</v>
      </c>
      <c r="D410" s="10" t="s">
        <v>1040</v>
      </c>
      <c r="E410" s="10" t="s">
        <v>1041</v>
      </c>
      <c r="F410" s="10" t="s">
        <v>22</v>
      </c>
      <c r="G410" s="10" t="s">
        <v>12</v>
      </c>
      <c r="H410" s="10" t="s">
        <v>41</v>
      </c>
      <c r="I410" s="11">
        <v>137</v>
      </c>
      <c r="J410" s="11"/>
      <c r="K410" s="11">
        <v>100</v>
      </c>
      <c r="L410" s="6">
        <f t="shared" si="36"/>
        <v>37</v>
      </c>
      <c r="M410" s="12">
        <v>38.42</v>
      </c>
      <c r="N410" s="13">
        <f t="shared" si="37"/>
        <v>5263.54</v>
      </c>
      <c r="O410" s="13">
        <f t="shared" si="38"/>
        <v>3842</v>
      </c>
      <c r="P410" s="14">
        <v>154.20647013000001</v>
      </c>
      <c r="Q410" s="8">
        <f t="shared" si="39"/>
        <v>21126.286407810003</v>
      </c>
      <c r="R410" s="8">
        <f t="shared" si="40"/>
        <v>15420.647013000002</v>
      </c>
      <c r="S410" s="15">
        <f t="shared" si="41"/>
        <v>0.72992700729927007</v>
      </c>
    </row>
    <row r="411" spans="1:19" x14ac:dyDescent="0.25">
      <c r="A411" s="10" t="s">
        <v>1042</v>
      </c>
      <c r="B411" s="10">
        <v>79208</v>
      </c>
      <c r="C411" s="10">
        <v>90314</v>
      </c>
      <c r="D411" s="10" t="s">
        <v>1040</v>
      </c>
      <c r="E411" s="10" t="s">
        <v>1043</v>
      </c>
      <c r="F411" s="10" t="s">
        <v>22</v>
      </c>
      <c r="G411" s="10" t="s">
        <v>12</v>
      </c>
      <c r="H411" s="10" t="s">
        <v>41</v>
      </c>
      <c r="I411" s="11">
        <v>26</v>
      </c>
      <c r="J411" s="11"/>
      <c r="K411" s="11">
        <v>0</v>
      </c>
      <c r="L411" s="6">
        <f t="shared" si="36"/>
        <v>26</v>
      </c>
      <c r="M411" s="12">
        <v>38.42</v>
      </c>
      <c r="N411" s="13">
        <f t="shared" si="37"/>
        <v>998.92000000000007</v>
      </c>
      <c r="O411" s="13">
        <f t="shared" si="38"/>
        <v>0</v>
      </c>
      <c r="P411" s="14">
        <v>162.35850049000001</v>
      </c>
      <c r="Q411" s="8">
        <f t="shared" si="39"/>
        <v>4221.3210127400007</v>
      </c>
      <c r="R411" s="8">
        <f t="shared" si="40"/>
        <v>0</v>
      </c>
      <c r="S411" s="15">
        <f t="shared" si="41"/>
        <v>0</v>
      </c>
    </row>
    <row r="412" spans="1:19" x14ac:dyDescent="0.25">
      <c r="A412" s="10" t="s">
        <v>1044</v>
      </c>
      <c r="B412" s="10">
        <v>81713</v>
      </c>
      <c r="C412" s="10">
        <v>92835</v>
      </c>
      <c r="D412" s="10" t="s">
        <v>1045</v>
      </c>
      <c r="E412" s="10" t="s">
        <v>1046</v>
      </c>
      <c r="F412" s="10" t="s">
        <v>22</v>
      </c>
      <c r="G412" s="10" t="s">
        <v>12</v>
      </c>
      <c r="H412" s="10" t="s">
        <v>41</v>
      </c>
      <c r="I412" s="11">
        <v>626</v>
      </c>
      <c r="J412" s="11"/>
      <c r="K412" s="11">
        <v>41</v>
      </c>
      <c r="L412" s="6">
        <f t="shared" si="36"/>
        <v>585</v>
      </c>
      <c r="M412" s="12">
        <v>44.85</v>
      </c>
      <c r="N412" s="13">
        <f t="shared" si="37"/>
        <v>28076.100000000002</v>
      </c>
      <c r="O412" s="13">
        <f t="shared" si="38"/>
        <v>1838.8500000000001</v>
      </c>
      <c r="P412" s="14">
        <v>233.07998068000001</v>
      </c>
      <c r="Q412" s="8">
        <f t="shared" si="39"/>
        <v>145908.06790568001</v>
      </c>
      <c r="R412" s="8">
        <f t="shared" si="40"/>
        <v>9556.2792078799994</v>
      </c>
      <c r="S412" s="15">
        <f t="shared" si="41"/>
        <v>6.5495207667731634E-2</v>
      </c>
    </row>
    <row r="413" spans="1:19" x14ac:dyDescent="0.25">
      <c r="A413" s="10" t="s">
        <v>1047</v>
      </c>
      <c r="B413" s="10">
        <v>81844</v>
      </c>
      <c r="C413" s="10">
        <v>93641</v>
      </c>
      <c r="D413" s="10" t="s">
        <v>1048</v>
      </c>
      <c r="E413" s="10" t="s">
        <v>1049</v>
      </c>
      <c r="F413" s="10" t="s">
        <v>23</v>
      </c>
      <c r="G413" s="10" t="s">
        <v>12</v>
      </c>
      <c r="H413" s="10" t="s">
        <v>41</v>
      </c>
      <c r="I413" s="11">
        <v>1</v>
      </c>
      <c r="J413" s="11"/>
      <c r="K413" s="11">
        <v>0</v>
      </c>
      <c r="L413" s="6">
        <f t="shared" si="36"/>
        <v>1</v>
      </c>
      <c r="M413" s="12">
        <v>47.024000000000001</v>
      </c>
      <c r="N413" s="13">
        <f t="shared" si="37"/>
        <v>47.024000000000001</v>
      </c>
      <c r="O413" s="13">
        <f t="shared" si="38"/>
        <v>0</v>
      </c>
      <c r="P413" s="14">
        <v>144.33969393999999</v>
      </c>
      <c r="Q413" s="8">
        <f t="shared" si="39"/>
        <v>144.33969393999999</v>
      </c>
      <c r="R413" s="8">
        <f t="shared" si="40"/>
        <v>0</v>
      </c>
      <c r="S413" s="15">
        <f t="shared" si="41"/>
        <v>0</v>
      </c>
    </row>
    <row r="414" spans="1:19" x14ac:dyDescent="0.25">
      <c r="A414" s="10" t="s">
        <v>1050</v>
      </c>
      <c r="B414" s="10">
        <v>81935</v>
      </c>
      <c r="C414" s="10">
        <v>93682</v>
      </c>
      <c r="D414" s="10" t="s">
        <v>1051</v>
      </c>
      <c r="E414" s="10" t="s">
        <v>1052</v>
      </c>
      <c r="F414" s="10" t="s">
        <v>21</v>
      </c>
      <c r="G414" s="10" t="s">
        <v>12</v>
      </c>
      <c r="H414" s="10" t="s">
        <v>41</v>
      </c>
      <c r="I414" s="11">
        <v>632</v>
      </c>
      <c r="J414" s="11"/>
      <c r="K414" s="11">
        <v>632</v>
      </c>
      <c r="L414" s="6">
        <f t="shared" si="36"/>
        <v>0</v>
      </c>
      <c r="M414" s="12">
        <v>36.561999999999998</v>
      </c>
      <c r="N414" s="13">
        <f t="shared" si="37"/>
        <v>23107.183999999997</v>
      </c>
      <c r="O414" s="13">
        <f t="shared" si="38"/>
        <v>23107.183999999997</v>
      </c>
      <c r="P414" s="14">
        <v>157.09706992</v>
      </c>
      <c r="Q414" s="8">
        <f t="shared" si="39"/>
        <v>99285.348189440003</v>
      </c>
      <c r="R414" s="8">
        <f t="shared" si="40"/>
        <v>99285.348189440003</v>
      </c>
      <c r="S414" s="15">
        <f t="shared" si="41"/>
        <v>1</v>
      </c>
    </row>
    <row r="415" spans="1:19" x14ac:dyDescent="0.25">
      <c r="A415" s="10" t="s">
        <v>1053</v>
      </c>
      <c r="B415" s="10">
        <v>81935</v>
      </c>
      <c r="C415" s="10">
        <v>93682</v>
      </c>
      <c r="D415" s="10" t="s">
        <v>1051</v>
      </c>
      <c r="E415" s="10" t="s">
        <v>1054</v>
      </c>
      <c r="F415" s="10" t="s">
        <v>21</v>
      </c>
      <c r="G415" s="10" t="s">
        <v>12</v>
      </c>
      <c r="H415" s="10" t="s">
        <v>41</v>
      </c>
      <c r="I415" s="11">
        <v>3</v>
      </c>
      <c r="J415" s="11"/>
      <c r="K415" s="11">
        <v>0</v>
      </c>
      <c r="L415" s="6">
        <f t="shared" si="36"/>
        <v>3</v>
      </c>
      <c r="M415" s="12">
        <v>36.561999999999998</v>
      </c>
      <c r="N415" s="13">
        <f t="shared" si="37"/>
        <v>109.68599999999999</v>
      </c>
      <c r="O415" s="13">
        <f t="shared" si="38"/>
        <v>0</v>
      </c>
      <c r="P415" s="14">
        <v>171.84235504</v>
      </c>
      <c r="Q415" s="8">
        <f t="shared" si="39"/>
        <v>515.52706511999997</v>
      </c>
      <c r="R415" s="8">
        <f t="shared" si="40"/>
        <v>0</v>
      </c>
      <c r="S415" s="15">
        <f t="shared" si="41"/>
        <v>0</v>
      </c>
    </row>
    <row r="416" spans="1:19" x14ac:dyDescent="0.25">
      <c r="A416" s="10" t="s">
        <v>1055</v>
      </c>
      <c r="B416" s="10">
        <v>81935</v>
      </c>
      <c r="C416" s="10">
        <v>93682</v>
      </c>
      <c r="D416" s="10" t="s">
        <v>1051</v>
      </c>
      <c r="E416" s="10" t="s">
        <v>1056</v>
      </c>
      <c r="F416" s="10" t="s">
        <v>21</v>
      </c>
      <c r="G416" s="10" t="s">
        <v>12</v>
      </c>
      <c r="H416" s="10" t="s">
        <v>41</v>
      </c>
      <c r="I416" s="11">
        <v>63</v>
      </c>
      <c r="J416" s="11"/>
      <c r="K416" s="11">
        <v>22</v>
      </c>
      <c r="L416" s="6">
        <f t="shared" si="36"/>
        <v>41</v>
      </c>
      <c r="M416" s="12">
        <v>36.561999999999998</v>
      </c>
      <c r="N416" s="13">
        <f t="shared" si="37"/>
        <v>2303.4059999999999</v>
      </c>
      <c r="O416" s="13">
        <f t="shared" si="38"/>
        <v>804.36399999999992</v>
      </c>
      <c r="P416" s="14">
        <v>161.37120074000001</v>
      </c>
      <c r="Q416" s="8">
        <f t="shared" si="39"/>
        <v>10166.38564662</v>
      </c>
      <c r="R416" s="8">
        <f t="shared" si="40"/>
        <v>3550.1664162800002</v>
      </c>
      <c r="S416" s="15">
        <f t="shared" si="41"/>
        <v>0.34920634920634919</v>
      </c>
    </row>
    <row r="417" spans="1:19" x14ac:dyDescent="0.25">
      <c r="A417" s="10" t="s">
        <v>1057</v>
      </c>
      <c r="B417" s="10">
        <v>81935</v>
      </c>
      <c r="C417" s="10">
        <v>93682</v>
      </c>
      <c r="D417" s="10" t="s">
        <v>1051</v>
      </c>
      <c r="E417" s="10" t="s">
        <v>1058</v>
      </c>
      <c r="F417" s="10" t="s">
        <v>21</v>
      </c>
      <c r="G417" s="10" t="s">
        <v>12</v>
      </c>
      <c r="H417" s="10" t="s">
        <v>41</v>
      </c>
      <c r="I417" s="11">
        <v>0</v>
      </c>
      <c r="J417" s="11"/>
      <c r="K417" s="11">
        <v>0</v>
      </c>
      <c r="L417" s="6">
        <f t="shared" si="36"/>
        <v>0</v>
      </c>
      <c r="M417" s="12">
        <v>36.561999999999998</v>
      </c>
      <c r="N417" s="13">
        <f t="shared" si="37"/>
        <v>0</v>
      </c>
      <c r="O417" s="13">
        <f t="shared" si="38"/>
        <v>0</v>
      </c>
      <c r="P417" s="14">
        <v>161.30120074000001</v>
      </c>
      <c r="Q417" s="8">
        <f t="shared" si="39"/>
        <v>0</v>
      </c>
      <c r="R417" s="8">
        <f t="shared" si="40"/>
        <v>0</v>
      </c>
      <c r="S417" s="15">
        <f t="shared" si="41"/>
        <v>0</v>
      </c>
    </row>
    <row r="418" spans="1:19" x14ac:dyDescent="0.25">
      <c r="A418" s="10" t="s">
        <v>1059</v>
      </c>
      <c r="B418" s="10">
        <v>81935</v>
      </c>
      <c r="C418" s="10">
        <v>93682</v>
      </c>
      <c r="D418" s="10" t="s">
        <v>1051</v>
      </c>
      <c r="E418" s="10" t="s">
        <v>1060</v>
      </c>
      <c r="F418" s="10" t="s">
        <v>21</v>
      </c>
      <c r="G418" s="10" t="s">
        <v>12</v>
      </c>
      <c r="H418" s="10" t="s">
        <v>41</v>
      </c>
      <c r="I418" s="11">
        <v>232</v>
      </c>
      <c r="J418" s="11"/>
      <c r="K418" s="11">
        <v>0</v>
      </c>
      <c r="L418" s="6">
        <f t="shared" si="36"/>
        <v>232</v>
      </c>
      <c r="M418" s="12">
        <v>36.561999999999998</v>
      </c>
      <c r="N418" s="13">
        <f t="shared" si="37"/>
        <v>8482.384</v>
      </c>
      <c r="O418" s="13">
        <f t="shared" si="38"/>
        <v>0</v>
      </c>
      <c r="P418" s="14">
        <v>154.55117974999999</v>
      </c>
      <c r="Q418" s="8">
        <f t="shared" si="39"/>
        <v>35855.873701999997</v>
      </c>
      <c r="R418" s="8">
        <f t="shared" si="40"/>
        <v>0</v>
      </c>
      <c r="S418" s="15">
        <f t="shared" si="41"/>
        <v>0</v>
      </c>
    </row>
    <row r="419" spans="1:19" x14ac:dyDescent="0.25">
      <c r="A419" s="10" t="s">
        <v>1061</v>
      </c>
      <c r="B419" s="10">
        <v>81935</v>
      </c>
      <c r="C419" s="10">
        <v>93682</v>
      </c>
      <c r="D419" s="10" t="s">
        <v>1051</v>
      </c>
      <c r="E419" s="10" t="s">
        <v>1062</v>
      </c>
      <c r="F419" s="10" t="s">
        <v>21</v>
      </c>
      <c r="G419" s="10" t="s">
        <v>12</v>
      </c>
      <c r="H419" s="10" t="s">
        <v>41</v>
      </c>
      <c r="I419" s="11">
        <v>119</v>
      </c>
      <c r="J419" s="11"/>
      <c r="K419" s="11">
        <v>119</v>
      </c>
      <c r="L419" s="6">
        <f t="shared" si="36"/>
        <v>0</v>
      </c>
      <c r="M419" s="12">
        <v>36.561999999999998</v>
      </c>
      <c r="N419" s="13">
        <f t="shared" si="37"/>
        <v>4350.8779999999997</v>
      </c>
      <c r="O419" s="13">
        <f t="shared" si="38"/>
        <v>4350.8779999999997</v>
      </c>
      <c r="P419" s="14">
        <v>155.28582964</v>
      </c>
      <c r="Q419" s="8">
        <f t="shared" si="39"/>
        <v>18479.01372716</v>
      </c>
      <c r="R419" s="8">
        <f t="shared" si="40"/>
        <v>18479.01372716</v>
      </c>
      <c r="S419" s="15">
        <f t="shared" si="41"/>
        <v>1</v>
      </c>
    </row>
    <row r="420" spans="1:19" x14ac:dyDescent="0.25">
      <c r="A420" s="10" t="s">
        <v>1063</v>
      </c>
      <c r="B420" s="10">
        <v>81938</v>
      </c>
      <c r="C420" s="10">
        <v>93683</v>
      </c>
      <c r="D420" s="10" t="s">
        <v>1064</v>
      </c>
      <c r="E420" s="10" t="s">
        <v>1065</v>
      </c>
      <c r="F420" s="10" t="s">
        <v>21</v>
      </c>
      <c r="G420" s="10" t="s">
        <v>12</v>
      </c>
      <c r="H420" s="10" t="s">
        <v>41</v>
      </c>
      <c r="I420" s="11">
        <v>0</v>
      </c>
      <c r="J420" s="11"/>
      <c r="K420" s="11">
        <v>0</v>
      </c>
      <c r="L420" s="6">
        <f t="shared" si="36"/>
        <v>0</v>
      </c>
      <c r="M420" s="12">
        <v>38.512</v>
      </c>
      <c r="N420" s="13">
        <f t="shared" si="37"/>
        <v>0</v>
      </c>
      <c r="O420" s="13">
        <f t="shared" si="38"/>
        <v>0</v>
      </c>
      <c r="P420" s="14">
        <v>32.362353810000002</v>
      </c>
      <c r="Q420" s="8">
        <f t="shared" si="39"/>
        <v>0</v>
      </c>
      <c r="R420" s="8">
        <f t="shared" si="40"/>
        <v>0</v>
      </c>
      <c r="S420" s="15">
        <f t="shared" si="41"/>
        <v>0</v>
      </c>
    </row>
    <row r="421" spans="1:19" x14ac:dyDescent="0.25">
      <c r="A421" s="10" t="s">
        <v>1066</v>
      </c>
      <c r="B421" s="10">
        <v>81938</v>
      </c>
      <c r="C421" s="10">
        <v>93683</v>
      </c>
      <c r="D421" s="10" t="s">
        <v>1064</v>
      </c>
      <c r="E421" s="10" t="s">
        <v>1067</v>
      </c>
      <c r="F421" s="10" t="s">
        <v>21</v>
      </c>
      <c r="G421" s="10" t="s">
        <v>12</v>
      </c>
      <c r="H421" s="10" t="s">
        <v>41</v>
      </c>
      <c r="I421" s="11">
        <v>626</v>
      </c>
      <c r="J421" s="11"/>
      <c r="K421" s="11">
        <v>626</v>
      </c>
      <c r="L421" s="6">
        <f t="shared" si="36"/>
        <v>0</v>
      </c>
      <c r="M421" s="12">
        <v>38.512</v>
      </c>
      <c r="N421" s="13">
        <f t="shared" si="37"/>
        <v>24108.511999999999</v>
      </c>
      <c r="O421" s="13">
        <f t="shared" si="38"/>
        <v>24108.511999999999</v>
      </c>
      <c r="P421" s="14">
        <v>207.95621750999999</v>
      </c>
      <c r="Q421" s="8">
        <f t="shared" si="39"/>
        <v>130180.59216125999</v>
      </c>
      <c r="R421" s="8">
        <f t="shared" si="40"/>
        <v>130180.59216125999</v>
      </c>
      <c r="S421" s="15">
        <f t="shared" si="41"/>
        <v>1</v>
      </c>
    </row>
    <row r="422" spans="1:19" x14ac:dyDescent="0.25">
      <c r="A422" s="10" t="s">
        <v>1068</v>
      </c>
      <c r="B422" s="10">
        <v>81938</v>
      </c>
      <c r="C422" s="10">
        <v>93683</v>
      </c>
      <c r="D422" s="10" t="s">
        <v>1064</v>
      </c>
      <c r="E422" s="10" t="s">
        <v>1069</v>
      </c>
      <c r="F422" s="10" t="s">
        <v>21</v>
      </c>
      <c r="G422" s="10" t="s">
        <v>12</v>
      </c>
      <c r="H422" s="10" t="s">
        <v>41</v>
      </c>
      <c r="I422" s="11">
        <v>22</v>
      </c>
      <c r="J422" s="11"/>
      <c r="K422" s="11">
        <v>22</v>
      </c>
      <c r="L422" s="6">
        <f t="shared" si="36"/>
        <v>0</v>
      </c>
      <c r="M422" s="12">
        <v>38.512</v>
      </c>
      <c r="N422" s="13">
        <f t="shared" si="37"/>
        <v>847.26400000000001</v>
      </c>
      <c r="O422" s="13">
        <f t="shared" si="38"/>
        <v>847.26400000000001</v>
      </c>
      <c r="P422" s="14">
        <v>169.47619811999999</v>
      </c>
      <c r="Q422" s="8">
        <f t="shared" si="39"/>
        <v>3728.4763586399999</v>
      </c>
      <c r="R422" s="8">
        <f t="shared" si="40"/>
        <v>3728.4763586399999</v>
      </c>
      <c r="S422" s="15">
        <f t="shared" si="41"/>
        <v>1</v>
      </c>
    </row>
    <row r="423" spans="1:19" x14ac:dyDescent="0.25">
      <c r="A423" s="10" t="s">
        <v>1070</v>
      </c>
      <c r="B423" s="10">
        <v>81938</v>
      </c>
      <c r="C423" s="10">
        <v>93683</v>
      </c>
      <c r="D423" s="10" t="s">
        <v>1064</v>
      </c>
      <c r="E423" s="10" t="s">
        <v>1071</v>
      </c>
      <c r="F423" s="10" t="s">
        <v>21</v>
      </c>
      <c r="G423" s="10" t="s">
        <v>12</v>
      </c>
      <c r="H423" s="10" t="s">
        <v>41</v>
      </c>
      <c r="I423" s="11">
        <v>0</v>
      </c>
      <c r="J423" s="11"/>
      <c r="K423" s="11">
        <v>0</v>
      </c>
      <c r="L423" s="6">
        <f t="shared" si="36"/>
        <v>0</v>
      </c>
      <c r="M423" s="12">
        <v>38.512</v>
      </c>
      <c r="N423" s="13">
        <f t="shared" si="37"/>
        <v>0</v>
      </c>
      <c r="O423" s="13">
        <f t="shared" si="38"/>
        <v>0</v>
      </c>
      <c r="P423" s="14">
        <v>168.67619812000001</v>
      </c>
      <c r="Q423" s="8">
        <f t="shared" si="39"/>
        <v>0</v>
      </c>
      <c r="R423" s="8">
        <f t="shared" si="40"/>
        <v>0</v>
      </c>
      <c r="S423" s="15">
        <f t="shared" si="41"/>
        <v>0</v>
      </c>
    </row>
    <row r="424" spans="1:19" x14ac:dyDescent="0.25">
      <c r="A424" s="10" t="s">
        <v>1072</v>
      </c>
      <c r="B424" s="10">
        <v>81938</v>
      </c>
      <c r="C424" s="10">
        <v>93683</v>
      </c>
      <c r="D424" s="10" t="s">
        <v>1064</v>
      </c>
      <c r="E424" s="10" t="s">
        <v>1073</v>
      </c>
      <c r="F424" s="10" t="s">
        <v>21</v>
      </c>
      <c r="G424" s="10" t="s">
        <v>12</v>
      </c>
      <c r="H424" s="10" t="s">
        <v>41</v>
      </c>
      <c r="I424" s="11">
        <v>227</v>
      </c>
      <c r="J424" s="11"/>
      <c r="K424" s="11">
        <v>227</v>
      </c>
      <c r="L424" s="6">
        <f t="shared" si="36"/>
        <v>0</v>
      </c>
      <c r="M424" s="12">
        <v>38.512</v>
      </c>
      <c r="N424" s="13">
        <f t="shared" si="37"/>
        <v>8742.2240000000002</v>
      </c>
      <c r="O424" s="13">
        <f t="shared" si="38"/>
        <v>8742.2240000000002</v>
      </c>
      <c r="P424" s="14">
        <v>181.54506767000001</v>
      </c>
      <c r="Q424" s="8">
        <f t="shared" si="39"/>
        <v>41210.730361090005</v>
      </c>
      <c r="R424" s="8">
        <f t="shared" si="40"/>
        <v>41210.730361090005</v>
      </c>
      <c r="S424" s="15">
        <f t="shared" si="41"/>
        <v>1</v>
      </c>
    </row>
    <row r="425" spans="1:19" x14ac:dyDescent="0.25">
      <c r="A425" s="10" t="s">
        <v>1074</v>
      </c>
      <c r="B425" s="10">
        <v>81938</v>
      </c>
      <c r="C425" s="10">
        <v>93683</v>
      </c>
      <c r="D425" s="10" t="s">
        <v>1064</v>
      </c>
      <c r="E425" s="10" t="s">
        <v>1075</v>
      </c>
      <c r="F425" s="10" t="s">
        <v>21</v>
      </c>
      <c r="G425" s="10" t="s">
        <v>12</v>
      </c>
      <c r="H425" s="10" t="s">
        <v>41</v>
      </c>
      <c r="I425" s="11">
        <v>105</v>
      </c>
      <c r="J425" s="11"/>
      <c r="K425" s="11">
        <v>105</v>
      </c>
      <c r="L425" s="6">
        <f t="shared" si="36"/>
        <v>0</v>
      </c>
      <c r="M425" s="12">
        <v>38.512</v>
      </c>
      <c r="N425" s="13">
        <f t="shared" si="37"/>
        <v>4043.76</v>
      </c>
      <c r="O425" s="13">
        <f t="shared" si="38"/>
        <v>4043.76</v>
      </c>
      <c r="P425" s="14">
        <v>212.70320329</v>
      </c>
      <c r="Q425" s="8">
        <f t="shared" si="39"/>
        <v>22333.836345449999</v>
      </c>
      <c r="R425" s="8">
        <f t="shared" si="40"/>
        <v>22333.836345449999</v>
      </c>
      <c r="S425" s="15">
        <f t="shared" si="41"/>
        <v>1</v>
      </c>
    </row>
    <row r="426" spans="1:19" x14ac:dyDescent="0.25">
      <c r="A426" s="10" t="s">
        <v>1076</v>
      </c>
      <c r="B426" s="10">
        <v>81941</v>
      </c>
      <c r="C426" s="10">
        <v>93691</v>
      </c>
      <c r="D426" s="10" t="s">
        <v>1077</v>
      </c>
      <c r="E426" s="10" t="s">
        <v>1078</v>
      </c>
      <c r="F426" s="10" t="s">
        <v>21</v>
      </c>
      <c r="G426" s="10" t="s">
        <v>12</v>
      </c>
      <c r="H426" s="10" t="s">
        <v>41</v>
      </c>
      <c r="I426" s="11">
        <v>1</v>
      </c>
      <c r="J426" s="11"/>
      <c r="K426" s="11">
        <v>0</v>
      </c>
      <c r="L426" s="6">
        <f t="shared" si="36"/>
        <v>1</v>
      </c>
      <c r="M426" s="12">
        <v>44.85</v>
      </c>
      <c r="N426" s="13">
        <f t="shared" si="37"/>
        <v>44.85</v>
      </c>
      <c r="O426" s="13">
        <f t="shared" si="38"/>
        <v>0</v>
      </c>
      <c r="P426" s="14">
        <v>181.94493958000001</v>
      </c>
      <c r="Q426" s="8">
        <f t="shared" si="39"/>
        <v>181.94493958000001</v>
      </c>
      <c r="R426" s="8">
        <f t="shared" si="40"/>
        <v>0</v>
      </c>
      <c r="S426" s="15">
        <f t="shared" si="41"/>
        <v>0</v>
      </c>
    </row>
    <row r="427" spans="1:19" x14ac:dyDescent="0.25">
      <c r="A427" s="10" t="s">
        <v>1079</v>
      </c>
      <c r="B427" s="10">
        <v>81942</v>
      </c>
      <c r="C427" s="10">
        <v>93692</v>
      </c>
      <c r="D427" s="10" t="s">
        <v>1080</v>
      </c>
      <c r="E427" s="10" t="s">
        <v>1081</v>
      </c>
      <c r="F427" s="10" t="s">
        <v>21</v>
      </c>
      <c r="G427" s="10" t="s">
        <v>12</v>
      </c>
      <c r="H427" s="10" t="s">
        <v>41</v>
      </c>
      <c r="I427" s="11">
        <v>0</v>
      </c>
      <c r="J427" s="11"/>
      <c r="K427" s="11">
        <v>0</v>
      </c>
      <c r="L427" s="6">
        <f t="shared" si="36"/>
        <v>0</v>
      </c>
      <c r="M427" s="12">
        <v>24.861999999999998</v>
      </c>
      <c r="N427" s="13">
        <f t="shared" si="37"/>
        <v>0</v>
      </c>
      <c r="O427" s="13">
        <f t="shared" si="38"/>
        <v>0</v>
      </c>
      <c r="P427" s="14">
        <v>85.641216510000007</v>
      </c>
      <c r="Q427" s="8">
        <f t="shared" si="39"/>
        <v>0</v>
      </c>
      <c r="R427" s="8">
        <f t="shared" si="40"/>
        <v>0</v>
      </c>
      <c r="S427" s="15">
        <f t="shared" si="41"/>
        <v>0</v>
      </c>
    </row>
    <row r="428" spans="1:19" x14ac:dyDescent="0.25">
      <c r="A428" s="10" t="s">
        <v>1082</v>
      </c>
      <c r="B428" s="10">
        <v>83251</v>
      </c>
      <c r="C428" s="10">
        <v>92251</v>
      </c>
      <c r="D428" s="10" t="s">
        <v>1083</v>
      </c>
      <c r="E428" s="10" t="s">
        <v>1084</v>
      </c>
      <c r="F428" s="10" t="s">
        <v>22</v>
      </c>
      <c r="G428" s="10" t="s">
        <v>12</v>
      </c>
      <c r="H428" s="10" t="s">
        <v>41</v>
      </c>
      <c r="I428" s="11">
        <v>471</v>
      </c>
      <c r="J428" s="11"/>
      <c r="K428" s="11">
        <v>313</v>
      </c>
      <c r="L428" s="6">
        <f t="shared" si="36"/>
        <v>158</v>
      </c>
      <c r="M428" s="12">
        <v>15.834</v>
      </c>
      <c r="N428" s="13">
        <f t="shared" si="37"/>
        <v>7457.8139999999994</v>
      </c>
      <c r="O428" s="13">
        <f t="shared" si="38"/>
        <v>4956.0419999999995</v>
      </c>
      <c r="P428" s="14">
        <v>109.35303379</v>
      </c>
      <c r="Q428" s="8">
        <f t="shared" si="39"/>
        <v>51505.278915089999</v>
      </c>
      <c r="R428" s="8">
        <f t="shared" si="40"/>
        <v>34227.499576269998</v>
      </c>
      <c r="S428" s="15">
        <f t="shared" si="41"/>
        <v>0.66454352441613584</v>
      </c>
    </row>
    <row r="429" spans="1:19" x14ac:dyDescent="0.25">
      <c r="A429" s="10" t="s">
        <v>1085</v>
      </c>
      <c r="B429" s="10">
        <v>83251</v>
      </c>
      <c r="C429" s="10">
        <v>92251</v>
      </c>
      <c r="D429" s="10" t="s">
        <v>1083</v>
      </c>
      <c r="E429" s="10" t="s">
        <v>1086</v>
      </c>
      <c r="F429" s="10" t="s">
        <v>22</v>
      </c>
      <c r="G429" s="10" t="s">
        <v>12</v>
      </c>
      <c r="H429" s="10" t="s">
        <v>41</v>
      </c>
      <c r="I429" s="11">
        <v>29</v>
      </c>
      <c r="J429" s="11"/>
      <c r="K429" s="11">
        <v>29</v>
      </c>
      <c r="L429" s="6">
        <f t="shared" si="36"/>
        <v>0</v>
      </c>
      <c r="M429" s="12">
        <v>15.834</v>
      </c>
      <c r="N429" s="13">
        <f t="shared" si="37"/>
        <v>459.18599999999998</v>
      </c>
      <c r="O429" s="13">
        <f t="shared" si="38"/>
        <v>459.18599999999998</v>
      </c>
      <c r="P429" s="14">
        <v>96.619778670000002</v>
      </c>
      <c r="Q429" s="8">
        <f t="shared" si="39"/>
        <v>2801.9735814300002</v>
      </c>
      <c r="R429" s="8">
        <f t="shared" si="40"/>
        <v>2801.9735814300002</v>
      </c>
      <c r="S429" s="15">
        <f t="shared" si="41"/>
        <v>1</v>
      </c>
    </row>
    <row r="430" spans="1:19" x14ac:dyDescent="0.25">
      <c r="A430" s="10" t="s">
        <v>1087</v>
      </c>
      <c r="B430" s="10">
        <v>83251</v>
      </c>
      <c r="C430" s="10">
        <v>92251</v>
      </c>
      <c r="D430" s="10" t="s">
        <v>1083</v>
      </c>
      <c r="E430" s="10" t="s">
        <v>1088</v>
      </c>
      <c r="F430" s="10" t="s">
        <v>22</v>
      </c>
      <c r="G430" s="10" t="s">
        <v>12</v>
      </c>
      <c r="H430" s="10" t="s">
        <v>41</v>
      </c>
      <c r="I430" s="11">
        <v>129</v>
      </c>
      <c r="J430" s="11"/>
      <c r="K430" s="11">
        <v>129</v>
      </c>
      <c r="L430" s="6">
        <f t="shared" si="36"/>
        <v>0</v>
      </c>
      <c r="M430" s="12">
        <v>15.834</v>
      </c>
      <c r="N430" s="13">
        <f t="shared" si="37"/>
        <v>2042.586</v>
      </c>
      <c r="O430" s="13">
        <f t="shared" si="38"/>
        <v>2042.586</v>
      </c>
      <c r="P430" s="14">
        <v>118.53777473</v>
      </c>
      <c r="Q430" s="8">
        <f t="shared" si="39"/>
        <v>15291.37294017</v>
      </c>
      <c r="R430" s="8">
        <f t="shared" si="40"/>
        <v>15291.37294017</v>
      </c>
      <c r="S430" s="15">
        <f t="shared" si="41"/>
        <v>1</v>
      </c>
    </row>
    <row r="431" spans="1:19" x14ac:dyDescent="0.25">
      <c r="A431" s="10" t="s">
        <v>1089</v>
      </c>
      <c r="B431" s="10">
        <v>83251</v>
      </c>
      <c r="C431" s="10">
        <v>92251</v>
      </c>
      <c r="D431" s="10" t="s">
        <v>1083</v>
      </c>
      <c r="E431" s="10" t="s">
        <v>1090</v>
      </c>
      <c r="F431" s="10" t="s">
        <v>22</v>
      </c>
      <c r="G431" s="10" t="s">
        <v>12</v>
      </c>
      <c r="H431" s="10" t="s">
        <v>41</v>
      </c>
      <c r="I431" s="11">
        <v>187</v>
      </c>
      <c r="J431" s="11"/>
      <c r="K431" s="11">
        <v>119</v>
      </c>
      <c r="L431" s="6">
        <f t="shared" si="36"/>
        <v>68</v>
      </c>
      <c r="M431" s="12">
        <v>15.834</v>
      </c>
      <c r="N431" s="13">
        <f t="shared" si="37"/>
        <v>2960.9580000000001</v>
      </c>
      <c r="O431" s="13">
        <f t="shared" si="38"/>
        <v>1884.2459999999999</v>
      </c>
      <c r="P431" s="14">
        <v>114.72916226</v>
      </c>
      <c r="Q431" s="8">
        <f t="shared" si="39"/>
        <v>21454.353342619997</v>
      </c>
      <c r="R431" s="8">
        <f t="shared" si="40"/>
        <v>13652.77030894</v>
      </c>
      <c r="S431" s="15">
        <f t="shared" si="41"/>
        <v>0.63636363636363635</v>
      </c>
    </row>
    <row r="432" spans="1:19" x14ac:dyDescent="0.25">
      <c r="A432" s="10" t="s">
        <v>1091</v>
      </c>
      <c r="B432" s="10">
        <v>84024</v>
      </c>
      <c r="C432" s="10">
        <v>95631</v>
      </c>
      <c r="D432" s="10" t="s">
        <v>1092</v>
      </c>
      <c r="E432" s="10" t="s">
        <v>1093</v>
      </c>
      <c r="F432" s="10" t="s">
        <v>23</v>
      </c>
      <c r="G432" s="10" t="s">
        <v>12</v>
      </c>
      <c r="H432" s="10" t="s">
        <v>41</v>
      </c>
      <c r="I432" s="11">
        <v>5</v>
      </c>
      <c r="J432" s="11"/>
      <c r="K432" s="11">
        <v>0</v>
      </c>
      <c r="L432" s="6">
        <f t="shared" si="36"/>
        <v>5</v>
      </c>
      <c r="M432" s="12">
        <v>34.125</v>
      </c>
      <c r="N432" s="13">
        <f t="shared" si="37"/>
        <v>170.625</v>
      </c>
      <c r="O432" s="13">
        <f t="shared" si="38"/>
        <v>0</v>
      </c>
      <c r="P432" s="14">
        <v>96.352454030000004</v>
      </c>
      <c r="Q432" s="8">
        <f t="shared" si="39"/>
        <v>481.76227015000001</v>
      </c>
      <c r="R432" s="8">
        <f t="shared" si="40"/>
        <v>0</v>
      </c>
      <c r="S432" s="15">
        <f t="shared" si="41"/>
        <v>0</v>
      </c>
    </row>
    <row r="433" spans="1:19" x14ac:dyDescent="0.25">
      <c r="A433" s="10" t="s">
        <v>1094</v>
      </c>
      <c r="B433" s="10">
        <v>84062</v>
      </c>
      <c r="C433" s="10">
        <v>95639</v>
      </c>
      <c r="D433" s="10" t="s">
        <v>1095</v>
      </c>
      <c r="E433" s="10" t="s">
        <v>1096</v>
      </c>
      <c r="F433" s="10" t="s">
        <v>23</v>
      </c>
      <c r="G433" s="10" t="s">
        <v>12</v>
      </c>
      <c r="H433" s="10" t="s">
        <v>41</v>
      </c>
      <c r="I433" s="11">
        <v>5</v>
      </c>
      <c r="J433" s="11"/>
      <c r="K433" s="11">
        <v>0</v>
      </c>
      <c r="L433" s="6">
        <f t="shared" si="36"/>
        <v>5</v>
      </c>
      <c r="M433" s="12">
        <v>34.125</v>
      </c>
      <c r="N433" s="13">
        <f t="shared" si="37"/>
        <v>170.625</v>
      </c>
      <c r="O433" s="13">
        <f t="shared" si="38"/>
        <v>0</v>
      </c>
      <c r="P433" s="14">
        <v>149.30245403000001</v>
      </c>
      <c r="Q433" s="8">
        <f t="shared" si="39"/>
        <v>746.51227015000006</v>
      </c>
      <c r="R433" s="8">
        <f t="shared" si="40"/>
        <v>0</v>
      </c>
      <c r="S433" s="15">
        <f t="shared" si="41"/>
        <v>0</v>
      </c>
    </row>
    <row r="434" spans="1:19" x14ac:dyDescent="0.25">
      <c r="A434" s="10" t="s">
        <v>1097</v>
      </c>
      <c r="B434" s="10">
        <v>84310</v>
      </c>
      <c r="C434" s="10">
        <v>96220</v>
      </c>
      <c r="D434" s="10" t="s">
        <v>1098</v>
      </c>
      <c r="E434" s="10" t="s">
        <v>1099</v>
      </c>
      <c r="F434" s="10" t="s">
        <v>22</v>
      </c>
      <c r="G434" s="10" t="s">
        <v>12</v>
      </c>
      <c r="H434" s="10" t="s">
        <v>41</v>
      </c>
      <c r="I434" s="11">
        <v>570</v>
      </c>
      <c r="J434" s="11"/>
      <c r="K434" s="11">
        <v>482</v>
      </c>
      <c r="L434" s="6">
        <f t="shared" si="36"/>
        <v>88</v>
      </c>
      <c r="M434" s="12">
        <v>14.526999999999999</v>
      </c>
      <c r="N434" s="13">
        <f t="shared" si="37"/>
        <v>8280.39</v>
      </c>
      <c r="O434" s="13">
        <f t="shared" si="38"/>
        <v>7002.0139999999992</v>
      </c>
      <c r="P434" s="14">
        <v>107.80689897000001</v>
      </c>
      <c r="Q434" s="8">
        <f t="shared" si="39"/>
        <v>61449.932412900002</v>
      </c>
      <c r="R434" s="8">
        <f t="shared" si="40"/>
        <v>51962.925303540003</v>
      </c>
      <c r="S434" s="15">
        <f t="shared" si="41"/>
        <v>0.84561403508771926</v>
      </c>
    </row>
    <row r="435" spans="1:19" x14ac:dyDescent="0.25">
      <c r="A435" s="10" t="s">
        <v>1100</v>
      </c>
      <c r="B435" s="10">
        <v>84310</v>
      </c>
      <c r="C435" s="10">
        <v>96220</v>
      </c>
      <c r="D435" s="10" t="s">
        <v>1098</v>
      </c>
      <c r="E435" s="10" t="s">
        <v>1101</v>
      </c>
      <c r="F435" s="10" t="s">
        <v>22</v>
      </c>
      <c r="G435" s="10" t="s">
        <v>12</v>
      </c>
      <c r="H435" s="10" t="s">
        <v>41</v>
      </c>
      <c r="I435" s="11">
        <v>0</v>
      </c>
      <c r="J435" s="11"/>
      <c r="K435" s="11">
        <v>0</v>
      </c>
      <c r="L435" s="6">
        <f t="shared" si="36"/>
        <v>0</v>
      </c>
      <c r="M435" s="12">
        <v>14.526999999999999</v>
      </c>
      <c r="N435" s="13">
        <f t="shared" si="37"/>
        <v>0</v>
      </c>
      <c r="O435" s="13">
        <f t="shared" si="38"/>
        <v>0</v>
      </c>
      <c r="P435" s="14">
        <v>93.949402550000002</v>
      </c>
      <c r="Q435" s="8">
        <f t="shared" si="39"/>
        <v>0</v>
      </c>
      <c r="R435" s="8">
        <f t="shared" si="40"/>
        <v>0</v>
      </c>
      <c r="S435" s="15">
        <f t="shared" si="41"/>
        <v>0</v>
      </c>
    </row>
    <row r="436" spans="1:19" x14ac:dyDescent="0.25">
      <c r="A436" s="10" t="s">
        <v>1102</v>
      </c>
      <c r="B436" s="10">
        <v>84488</v>
      </c>
      <c r="C436" s="10">
        <v>95551</v>
      </c>
      <c r="D436" s="10" t="s">
        <v>1103</v>
      </c>
      <c r="E436" s="10" t="s">
        <v>1104</v>
      </c>
      <c r="F436" s="10" t="s">
        <v>23</v>
      </c>
      <c r="G436" s="10" t="s">
        <v>12</v>
      </c>
      <c r="H436" s="10" t="s">
        <v>41</v>
      </c>
      <c r="I436" s="11">
        <v>2640</v>
      </c>
      <c r="J436" s="11"/>
      <c r="K436" s="11">
        <v>0</v>
      </c>
      <c r="L436" s="6">
        <f t="shared" si="36"/>
        <v>2640</v>
      </c>
      <c r="M436" s="12">
        <v>53.088000000000001</v>
      </c>
      <c r="N436" s="13">
        <f t="shared" si="37"/>
        <v>140152.32000000001</v>
      </c>
      <c r="O436" s="13">
        <f t="shared" si="38"/>
        <v>0</v>
      </c>
      <c r="P436" s="14">
        <v>175.49255360999999</v>
      </c>
      <c r="Q436" s="8">
        <f t="shared" si="39"/>
        <v>463300.34153039998</v>
      </c>
      <c r="R436" s="8">
        <f t="shared" si="40"/>
        <v>0</v>
      </c>
      <c r="S436" s="15">
        <f t="shared" si="41"/>
        <v>0</v>
      </c>
    </row>
    <row r="437" spans="1:19" x14ac:dyDescent="0.25">
      <c r="A437" s="10" t="s">
        <v>1105</v>
      </c>
      <c r="B437" s="10">
        <v>84495</v>
      </c>
      <c r="C437" s="10">
        <v>95552</v>
      </c>
      <c r="D437" s="10" t="s">
        <v>1106</v>
      </c>
      <c r="E437" s="10" t="s">
        <v>1107</v>
      </c>
      <c r="F437" s="10" t="s">
        <v>23</v>
      </c>
      <c r="G437" s="10" t="s">
        <v>12</v>
      </c>
      <c r="H437" s="10" t="s">
        <v>41</v>
      </c>
      <c r="I437" s="11">
        <v>948</v>
      </c>
      <c r="J437" s="11"/>
      <c r="K437" s="11">
        <v>214</v>
      </c>
      <c r="L437" s="6">
        <f t="shared" si="36"/>
        <v>734</v>
      </c>
      <c r="M437" s="12">
        <v>49.38</v>
      </c>
      <c r="N437" s="13">
        <f t="shared" si="37"/>
        <v>46812.240000000005</v>
      </c>
      <c r="O437" s="13">
        <f t="shared" si="38"/>
        <v>10567.32</v>
      </c>
      <c r="P437" s="14">
        <v>144.27241746999999</v>
      </c>
      <c r="Q437" s="8">
        <f t="shared" si="39"/>
        <v>136770.25176156001</v>
      </c>
      <c r="R437" s="8">
        <f t="shared" si="40"/>
        <v>30874.29733858</v>
      </c>
      <c r="S437" s="15">
        <f t="shared" si="41"/>
        <v>0.22573839662447256</v>
      </c>
    </row>
    <row r="438" spans="1:19" x14ac:dyDescent="0.25">
      <c r="A438" s="10" t="s">
        <v>1108</v>
      </c>
      <c r="B438" s="10">
        <v>84495</v>
      </c>
      <c r="C438" s="10">
        <v>95552</v>
      </c>
      <c r="D438" s="10" t="s">
        <v>1106</v>
      </c>
      <c r="E438" s="10" t="s">
        <v>1109</v>
      </c>
      <c r="F438" s="10" t="s">
        <v>23</v>
      </c>
      <c r="G438" s="10" t="s">
        <v>12</v>
      </c>
      <c r="H438" s="10" t="s">
        <v>41</v>
      </c>
      <c r="I438" s="11">
        <v>2657</v>
      </c>
      <c r="J438" s="11"/>
      <c r="K438" s="11">
        <v>1718</v>
      </c>
      <c r="L438" s="6">
        <f t="shared" si="36"/>
        <v>939</v>
      </c>
      <c r="M438" s="12">
        <v>49.38</v>
      </c>
      <c r="N438" s="13">
        <f t="shared" si="37"/>
        <v>131202.66</v>
      </c>
      <c r="O438" s="13">
        <f t="shared" si="38"/>
        <v>84834.840000000011</v>
      </c>
      <c r="P438" s="14">
        <v>144.41732977000001</v>
      </c>
      <c r="Q438" s="8">
        <f t="shared" si="39"/>
        <v>383716.84519889002</v>
      </c>
      <c r="R438" s="8">
        <f t="shared" si="40"/>
        <v>248108.97254486001</v>
      </c>
      <c r="S438" s="15">
        <f t="shared" si="41"/>
        <v>0.64659390289800522</v>
      </c>
    </row>
    <row r="439" spans="1:19" x14ac:dyDescent="0.25">
      <c r="A439" s="10" t="s">
        <v>1110</v>
      </c>
      <c r="B439" s="10">
        <v>84498</v>
      </c>
      <c r="C439" s="10">
        <v>96469</v>
      </c>
      <c r="D439" s="10" t="s">
        <v>1111</v>
      </c>
      <c r="E439" s="10" t="s">
        <v>1112</v>
      </c>
      <c r="F439" s="10" t="s">
        <v>23</v>
      </c>
      <c r="G439" s="10" t="s">
        <v>12</v>
      </c>
      <c r="H439" s="10" t="s">
        <v>41</v>
      </c>
      <c r="I439" s="11">
        <v>28</v>
      </c>
      <c r="J439" s="11"/>
      <c r="K439" s="11">
        <v>0</v>
      </c>
      <c r="L439" s="6">
        <f t="shared" si="36"/>
        <v>28</v>
      </c>
      <c r="M439" s="12">
        <v>45.22</v>
      </c>
      <c r="N439" s="13">
        <f t="shared" si="37"/>
        <v>1266.1599999999999</v>
      </c>
      <c r="O439" s="13">
        <f t="shared" si="38"/>
        <v>0</v>
      </c>
      <c r="P439" s="14">
        <v>216.68938636999999</v>
      </c>
      <c r="Q439" s="8">
        <f t="shared" si="39"/>
        <v>6067.3028183599999</v>
      </c>
      <c r="R439" s="8">
        <f t="shared" si="40"/>
        <v>0</v>
      </c>
      <c r="S439" s="15">
        <f t="shared" si="41"/>
        <v>0</v>
      </c>
    </row>
    <row r="440" spans="1:19" x14ac:dyDescent="0.25">
      <c r="A440" s="10" t="s">
        <v>1113</v>
      </c>
      <c r="B440" s="10">
        <v>84537</v>
      </c>
      <c r="C440" s="10">
        <v>96471</v>
      </c>
      <c r="D440" s="10" t="s">
        <v>1114</v>
      </c>
      <c r="E440" s="10" t="s">
        <v>1115</v>
      </c>
      <c r="F440" s="10" t="s">
        <v>23</v>
      </c>
      <c r="G440" s="10" t="s">
        <v>12</v>
      </c>
      <c r="H440" s="10" t="s">
        <v>41</v>
      </c>
      <c r="I440" s="11">
        <v>26</v>
      </c>
      <c r="J440" s="11"/>
      <c r="K440" s="11">
        <v>0</v>
      </c>
      <c r="L440" s="6">
        <f t="shared" si="36"/>
        <v>26</v>
      </c>
      <c r="M440" s="12">
        <v>49.091000000000001</v>
      </c>
      <c r="N440" s="13">
        <f t="shared" si="37"/>
        <v>1276.366</v>
      </c>
      <c r="O440" s="13">
        <f t="shared" si="38"/>
        <v>0</v>
      </c>
      <c r="P440" s="14">
        <v>160.86891125</v>
      </c>
      <c r="Q440" s="8">
        <f t="shared" si="39"/>
        <v>4182.5916925000001</v>
      </c>
      <c r="R440" s="8">
        <f t="shared" si="40"/>
        <v>0</v>
      </c>
      <c r="S440" s="15">
        <f t="shared" si="41"/>
        <v>0</v>
      </c>
    </row>
    <row r="441" spans="1:19" x14ac:dyDescent="0.25">
      <c r="A441" s="10" t="s">
        <v>1116</v>
      </c>
      <c r="B441" s="10">
        <v>84550</v>
      </c>
      <c r="C441" s="10">
        <v>96488</v>
      </c>
      <c r="D441" s="10" t="s">
        <v>1117</v>
      </c>
      <c r="E441" s="10" t="s">
        <v>1118</v>
      </c>
      <c r="F441" s="10" t="s">
        <v>23</v>
      </c>
      <c r="G441" s="10" t="s">
        <v>12</v>
      </c>
      <c r="H441" s="10" t="s">
        <v>41</v>
      </c>
      <c r="I441" s="11">
        <v>26</v>
      </c>
      <c r="J441" s="11"/>
      <c r="K441" s="11">
        <v>0</v>
      </c>
      <c r="L441" s="6">
        <f t="shared" si="36"/>
        <v>26</v>
      </c>
      <c r="M441" s="12">
        <v>39.097000000000001</v>
      </c>
      <c r="N441" s="13">
        <f t="shared" si="37"/>
        <v>1016.522</v>
      </c>
      <c r="O441" s="13">
        <f t="shared" si="38"/>
        <v>0</v>
      </c>
      <c r="P441" s="14">
        <v>128.21585583000001</v>
      </c>
      <c r="Q441" s="8">
        <f t="shared" si="39"/>
        <v>3333.6122515800002</v>
      </c>
      <c r="R441" s="8">
        <f t="shared" si="40"/>
        <v>0</v>
      </c>
      <c r="S441" s="15">
        <f t="shared" si="41"/>
        <v>0</v>
      </c>
    </row>
    <row r="442" spans="1:19" x14ac:dyDescent="0.25">
      <c r="A442" s="10" t="s">
        <v>1119</v>
      </c>
      <c r="B442" s="10">
        <v>84562</v>
      </c>
      <c r="C442" s="10">
        <v>96965</v>
      </c>
      <c r="D442" s="10" t="s">
        <v>1120</v>
      </c>
      <c r="E442" s="10" t="s">
        <v>1121</v>
      </c>
      <c r="F442" s="10" t="s">
        <v>23</v>
      </c>
      <c r="G442" s="10" t="s">
        <v>12</v>
      </c>
      <c r="H442" s="10" t="s">
        <v>41</v>
      </c>
      <c r="I442" s="11">
        <v>0</v>
      </c>
      <c r="J442" s="11"/>
      <c r="K442" s="11">
        <v>0</v>
      </c>
      <c r="L442" s="6">
        <f t="shared" si="36"/>
        <v>0</v>
      </c>
      <c r="M442" s="12">
        <v>63.55</v>
      </c>
      <c r="N442" s="13">
        <f t="shared" si="37"/>
        <v>0</v>
      </c>
      <c r="O442" s="13">
        <f t="shared" si="38"/>
        <v>0</v>
      </c>
      <c r="P442" s="14">
        <v>242.50791728999999</v>
      </c>
      <c r="Q442" s="8">
        <f t="shared" si="39"/>
        <v>0</v>
      </c>
      <c r="R442" s="8">
        <f t="shared" si="40"/>
        <v>0</v>
      </c>
      <c r="S442" s="15">
        <f t="shared" si="41"/>
        <v>0</v>
      </c>
    </row>
    <row r="443" spans="1:19" x14ac:dyDescent="0.25">
      <c r="A443" s="10" t="s">
        <v>1122</v>
      </c>
      <c r="B443" s="10">
        <v>84586</v>
      </c>
      <c r="C443" s="10">
        <v>96478</v>
      </c>
      <c r="D443" s="10" t="s">
        <v>1123</v>
      </c>
      <c r="E443" s="10" t="s">
        <v>1124</v>
      </c>
      <c r="F443" s="10" t="s">
        <v>23</v>
      </c>
      <c r="G443" s="10" t="s">
        <v>12</v>
      </c>
      <c r="H443" s="10" t="s">
        <v>41</v>
      </c>
      <c r="I443" s="11">
        <v>11</v>
      </c>
      <c r="J443" s="11"/>
      <c r="K443" s="11">
        <v>0</v>
      </c>
      <c r="L443" s="6">
        <f t="shared" si="36"/>
        <v>11</v>
      </c>
      <c r="M443" s="12">
        <v>47.238</v>
      </c>
      <c r="N443" s="13">
        <f t="shared" si="37"/>
        <v>519.61799999999994</v>
      </c>
      <c r="O443" s="13">
        <f t="shared" si="38"/>
        <v>0</v>
      </c>
      <c r="P443" s="14">
        <v>181.84102781000001</v>
      </c>
      <c r="Q443" s="8">
        <f t="shared" si="39"/>
        <v>2000.2513059100002</v>
      </c>
      <c r="R443" s="8">
        <f t="shared" si="40"/>
        <v>0</v>
      </c>
      <c r="S443" s="15">
        <f t="shared" si="41"/>
        <v>0</v>
      </c>
    </row>
    <row r="444" spans="1:19" x14ac:dyDescent="0.25">
      <c r="A444" s="10" t="s">
        <v>1125</v>
      </c>
      <c r="B444" s="10">
        <v>84588</v>
      </c>
      <c r="C444" s="10">
        <v>96480</v>
      </c>
      <c r="D444" s="10" t="s">
        <v>1126</v>
      </c>
      <c r="E444" s="10" t="s">
        <v>1127</v>
      </c>
      <c r="F444" s="10" t="s">
        <v>23</v>
      </c>
      <c r="G444" s="10" t="s">
        <v>12</v>
      </c>
      <c r="H444" s="10" t="s">
        <v>41</v>
      </c>
      <c r="I444" s="11">
        <v>3</v>
      </c>
      <c r="J444" s="11"/>
      <c r="K444" s="11">
        <v>0</v>
      </c>
      <c r="L444" s="6">
        <f t="shared" si="36"/>
        <v>3</v>
      </c>
      <c r="M444" s="12">
        <v>17.149999999999999</v>
      </c>
      <c r="N444" s="13">
        <f t="shared" si="37"/>
        <v>51.449999999999996</v>
      </c>
      <c r="O444" s="13">
        <f t="shared" si="38"/>
        <v>0</v>
      </c>
      <c r="P444" s="14">
        <v>68.531739009999995</v>
      </c>
      <c r="Q444" s="8">
        <f t="shared" si="39"/>
        <v>205.59521702999999</v>
      </c>
      <c r="R444" s="8">
        <f t="shared" si="40"/>
        <v>0</v>
      </c>
      <c r="S444" s="15">
        <f t="shared" si="41"/>
        <v>0</v>
      </c>
    </row>
    <row r="445" spans="1:19" x14ac:dyDescent="0.25">
      <c r="A445" s="10" t="s">
        <v>1128</v>
      </c>
      <c r="B445" s="10">
        <v>84721</v>
      </c>
      <c r="C445" s="10">
        <v>96493</v>
      </c>
      <c r="D445" s="10" t="s">
        <v>1129</v>
      </c>
      <c r="E445" s="10"/>
      <c r="F445" s="10" t="s">
        <v>23</v>
      </c>
      <c r="G445" s="10" t="s">
        <v>12</v>
      </c>
      <c r="H445" s="10" t="s">
        <v>41</v>
      </c>
      <c r="I445" s="11">
        <v>14</v>
      </c>
      <c r="J445" s="11"/>
      <c r="K445" s="11">
        <v>0</v>
      </c>
      <c r="L445" s="6">
        <f t="shared" si="36"/>
        <v>14</v>
      </c>
      <c r="M445" s="12">
        <v>11.7</v>
      </c>
      <c r="N445" s="13">
        <f t="shared" si="37"/>
        <v>163.79999999999998</v>
      </c>
      <c r="O445" s="13">
        <f t="shared" si="38"/>
        <v>0</v>
      </c>
      <c r="P445" s="14">
        <v>81.798170020000001</v>
      </c>
      <c r="Q445" s="8">
        <f t="shared" si="39"/>
        <v>1145.1743802799999</v>
      </c>
      <c r="R445" s="8">
        <f t="shared" si="40"/>
        <v>0</v>
      </c>
      <c r="S445" s="15">
        <f t="shared" si="41"/>
        <v>0</v>
      </c>
    </row>
    <row r="446" spans="1:19" x14ac:dyDescent="0.25">
      <c r="A446" s="10" t="s">
        <v>1130</v>
      </c>
      <c r="B446" s="10">
        <v>84745</v>
      </c>
      <c r="C446" s="10">
        <v>96501</v>
      </c>
      <c r="D446" s="10" t="s">
        <v>1131</v>
      </c>
      <c r="E446" s="10" t="s">
        <v>1132</v>
      </c>
      <c r="F446" s="10" t="s">
        <v>23</v>
      </c>
      <c r="G446" s="10" t="s">
        <v>12</v>
      </c>
      <c r="H446" s="10" t="s">
        <v>41</v>
      </c>
      <c r="I446" s="11">
        <v>56</v>
      </c>
      <c r="J446" s="11"/>
      <c r="K446" s="11">
        <v>0</v>
      </c>
      <c r="L446" s="6">
        <f t="shared" si="36"/>
        <v>56</v>
      </c>
      <c r="M446" s="12">
        <v>58.5</v>
      </c>
      <c r="N446" s="13">
        <f t="shared" si="37"/>
        <v>3276</v>
      </c>
      <c r="O446" s="13">
        <f t="shared" si="38"/>
        <v>0</v>
      </c>
      <c r="P446" s="14">
        <v>206.99914812</v>
      </c>
      <c r="Q446" s="8">
        <f t="shared" si="39"/>
        <v>11591.95229472</v>
      </c>
      <c r="R446" s="8">
        <f t="shared" si="40"/>
        <v>0</v>
      </c>
      <c r="S446" s="15">
        <f t="shared" si="41"/>
        <v>0</v>
      </c>
    </row>
    <row r="447" spans="1:19" x14ac:dyDescent="0.25">
      <c r="A447" s="10" t="s">
        <v>1133</v>
      </c>
      <c r="B447" s="10">
        <v>84785</v>
      </c>
      <c r="C447" s="10">
        <v>96505</v>
      </c>
      <c r="D447" s="10" t="s">
        <v>1134</v>
      </c>
      <c r="E447" s="10"/>
      <c r="F447" s="10" t="s">
        <v>23</v>
      </c>
      <c r="G447" s="10" t="s">
        <v>12</v>
      </c>
      <c r="H447" s="10" t="s">
        <v>41</v>
      </c>
      <c r="I447" s="11">
        <v>30</v>
      </c>
      <c r="J447" s="11"/>
      <c r="K447" s="11">
        <v>0</v>
      </c>
      <c r="L447" s="6">
        <f t="shared" si="36"/>
        <v>30</v>
      </c>
      <c r="M447" s="12">
        <v>9.75</v>
      </c>
      <c r="N447" s="13">
        <f t="shared" si="37"/>
        <v>292.5</v>
      </c>
      <c r="O447" s="13">
        <f t="shared" si="38"/>
        <v>0</v>
      </c>
      <c r="P447" s="14">
        <v>64.271083329999996</v>
      </c>
      <c r="Q447" s="8">
        <f t="shared" si="39"/>
        <v>1928.1324998999999</v>
      </c>
      <c r="R447" s="8">
        <f t="shared" si="40"/>
        <v>0</v>
      </c>
      <c r="S447" s="15">
        <f t="shared" si="41"/>
        <v>0</v>
      </c>
    </row>
    <row r="448" spans="1:19" x14ac:dyDescent="0.25">
      <c r="A448" s="10" t="s">
        <v>1135</v>
      </c>
      <c r="B448" s="10">
        <v>84795</v>
      </c>
      <c r="C448" s="10">
        <v>96518</v>
      </c>
      <c r="D448" s="10" t="s">
        <v>1136</v>
      </c>
      <c r="E448" s="10" t="s">
        <v>1137</v>
      </c>
      <c r="F448" s="10" t="s">
        <v>23</v>
      </c>
      <c r="G448" s="10" t="s">
        <v>12</v>
      </c>
      <c r="H448" s="10" t="s">
        <v>41</v>
      </c>
      <c r="I448" s="11">
        <v>27</v>
      </c>
      <c r="J448" s="11"/>
      <c r="K448" s="11">
        <v>22</v>
      </c>
      <c r="L448" s="6">
        <f t="shared" si="36"/>
        <v>5</v>
      </c>
      <c r="M448" s="12">
        <v>58.792000000000002</v>
      </c>
      <c r="N448" s="13">
        <f t="shared" si="37"/>
        <v>1587.384</v>
      </c>
      <c r="O448" s="13">
        <f t="shared" si="38"/>
        <v>1293.424</v>
      </c>
      <c r="P448" s="14">
        <v>320.28629776999998</v>
      </c>
      <c r="Q448" s="8">
        <f t="shared" si="39"/>
        <v>8647.7300397899999</v>
      </c>
      <c r="R448" s="8">
        <f t="shared" si="40"/>
        <v>7046.2985509399996</v>
      </c>
      <c r="S448" s="15">
        <f t="shared" si="41"/>
        <v>0.81481481481481477</v>
      </c>
    </row>
    <row r="449" spans="1:19" x14ac:dyDescent="0.25">
      <c r="A449" s="10" t="s">
        <v>1138</v>
      </c>
      <c r="B449" s="10">
        <v>84795</v>
      </c>
      <c r="C449" s="10">
        <v>96518</v>
      </c>
      <c r="D449" s="10" t="s">
        <v>1136</v>
      </c>
      <c r="E449" s="10" t="s">
        <v>1139</v>
      </c>
      <c r="F449" s="10" t="s">
        <v>23</v>
      </c>
      <c r="G449" s="10" t="s">
        <v>12</v>
      </c>
      <c r="H449" s="10" t="s">
        <v>41</v>
      </c>
      <c r="I449" s="11">
        <v>0</v>
      </c>
      <c r="J449" s="11"/>
      <c r="K449" s="11">
        <v>0</v>
      </c>
      <c r="L449" s="6">
        <f t="shared" si="36"/>
        <v>0</v>
      </c>
      <c r="M449" s="12">
        <v>58.792000000000002</v>
      </c>
      <c r="N449" s="13">
        <f t="shared" si="37"/>
        <v>0</v>
      </c>
      <c r="O449" s="13">
        <f t="shared" si="38"/>
        <v>0</v>
      </c>
      <c r="P449" s="14">
        <v>292.59651138999999</v>
      </c>
      <c r="Q449" s="8">
        <f t="shared" si="39"/>
        <v>0</v>
      </c>
      <c r="R449" s="8">
        <f t="shared" si="40"/>
        <v>0</v>
      </c>
      <c r="S449" s="15">
        <f t="shared" si="41"/>
        <v>0</v>
      </c>
    </row>
    <row r="450" spans="1:19" x14ac:dyDescent="0.25">
      <c r="A450" s="10" t="s">
        <v>1140</v>
      </c>
      <c r="B450" s="10">
        <v>84795</v>
      </c>
      <c r="C450" s="10">
        <v>96518</v>
      </c>
      <c r="D450" s="10" t="s">
        <v>1136</v>
      </c>
      <c r="E450" s="10" t="s">
        <v>1141</v>
      </c>
      <c r="F450" s="10" t="s">
        <v>23</v>
      </c>
      <c r="G450" s="10" t="s">
        <v>12</v>
      </c>
      <c r="H450" s="10" t="s">
        <v>41</v>
      </c>
      <c r="I450" s="11">
        <v>122</v>
      </c>
      <c r="J450" s="11"/>
      <c r="K450" s="11">
        <v>109</v>
      </c>
      <c r="L450" s="6">
        <f t="shared" ref="L450:L513" si="42">I450-K450</f>
        <v>13</v>
      </c>
      <c r="M450" s="12">
        <v>58.792000000000002</v>
      </c>
      <c r="N450" s="13">
        <f t="shared" ref="N450:N513" si="43">I450*M450</f>
        <v>7172.6239999999998</v>
      </c>
      <c r="O450" s="13">
        <f t="shared" ref="O450:O513" si="44">K450*M450</f>
        <v>6408.3280000000004</v>
      </c>
      <c r="P450" s="14">
        <v>319.83444506000001</v>
      </c>
      <c r="Q450" s="8">
        <f t="shared" ref="Q450:Q513" si="45">I450*P450</f>
        <v>39019.802297319999</v>
      </c>
      <c r="R450" s="8">
        <f t="shared" ref="R450:R513" si="46">K450*P450</f>
        <v>34861.954511540003</v>
      </c>
      <c r="S450" s="15">
        <f t="shared" ref="S450:S513" si="47">IF(I450=0,0,K450/I450)</f>
        <v>0.89344262295081966</v>
      </c>
    </row>
    <row r="451" spans="1:19" x14ac:dyDescent="0.25">
      <c r="A451" s="10" t="s">
        <v>1142</v>
      </c>
      <c r="B451" s="10">
        <v>84795</v>
      </c>
      <c r="C451" s="10">
        <v>96518</v>
      </c>
      <c r="D451" s="10" t="s">
        <v>1136</v>
      </c>
      <c r="E451" s="10" t="s">
        <v>1143</v>
      </c>
      <c r="F451" s="10" t="s">
        <v>23</v>
      </c>
      <c r="G451" s="10" t="s">
        <v>12</v>
      </c>
      <c r="H451" s="10" t="s">
        <v>41</v>
      </c>
      <c r="I451" s="11">
        <v>99</v>
      </c>
      <c r="J451" s="11"/>
      <c r="K451" s="11">
        <v>99</v>
      </c>
      <c r="L451" s="6">
        <f t="shared" si="42"/>
        <v>0</v>
      </c>
      <c r="M451" s="12">
        <v>58.792000000000002</v>
      </c>
      <c r="N451" s="13">
        <f t="shared" si="43"/>
        <v>5820.4080000000004</v>
      </c>
      <c r="O451" s="13">
        <f t="shared" si="44"/>
        <v>5820.4080000000004</v>
      </c>
      <c r="P451" s="14">
        <v>331.81258037999999</v>
      </c>
      <c r="Q451" s="8">
        <f t="shared" si="45"/>
        <v>32849.445457620001</v>
      </c>
      <c r="R451" s="8">
        <f t="shared" si="46"/>
        <v>32849.445457620001</v>
      </c>
      <c r="S451" s="15">
        <f t="shared" si="47"/>
        <v>1</v>
      </c>
    </row>
    <row r="452" spans="1:19" x14ac:dyDescent="0.25">
      <c r="A452" s="10" t="s">
        <v>1144</v>
      </c>
      <c r="B452" s="10">
        <v>84800</v>
      </c>
      <c r="C452" s="10">
        <v>96519</v>
      </c>
      <c r="D452" s="10" t="s">
        <v>1145</v>
      </c>
      <c r="E452" s="10" t="s">
        <v>1146</v>
      </c>
      <c r="F452" s="10" t="s">
        <v>23</v>
      </c>
      <c r="G452" s="10" t="s">
        <v>12</v>
      </c>
      <c r="H452" s="10" t="s">
        <v>41</v>
      </c>
      <c r="I452" s="11">
        <v>140</v>
      </c>
      <c r="J452" s="11"/>
      <c r="K452" s="11">
        <v>121</v>
      </c>
      <c r="L452" s="6">
        <f t="shared" si="42"/>
        <v>19</v>
      </c>
      <c r="M452" s="12">
        <v>58.5</v>
      </c>
      <c r="N452" s="13">
        <f t="shared" si="43"/>
        <v>8190</v>
      </c>
      <c r="O452" s="13">
        <f t="shared" si="44"/>
        <v>7078.5</v>
      </c>
      <c r="P452" s="14">
        <v>248.09729729</v>
      </c>
      <c r="Q452" s="8">
        <f t="shared" si="45"/>
        <v>34733.621620600003</v>
      </c>
      <c r="R452" s="8">
        <f t="shared" si="46"/>
        <v>30019.772972089999</v>
      </c>
      <c r="S452" s="15">
        <f t="shared" si="47"/>
        <v>0.86428571428571432</v>
      </c>
    </row>
    <row r="453" spans="1:19" x14ac:dyDescent="0.25">
      <c r="A453" s="10" t="s">
        <v>1147</v>
      </c>
      <c r="B453" s="10">
        <v>84800</v>
      </c>
      <c r="C453" s="10">
        <v>96519</v>
      </c>
      <c r="D453" s="10" t="s">
        <v>1145</v>
      </c>
      <c r="E453" s="10" t="s">
        <v>1148</v>
      </c>
      <c r="F453" s="10" t="s">
        <v>23</v>
      </c>
      <c r="G453" s="10" t="s">
        <v>12</v>
      </c>
      <c r="H453" s="10" t="s">
        <v>41</v>
      </c>
      <c r="I453" s="11">
        <v>121</v>
      </c>
      <c r="J453" s="11"/>
      <c r="K453" s="11">
        <v>0</v>
      </c>
      <c r="L453" s="6">
        <f t="shared" si="42"/>
        <v>121</v>
      </c>
      <c r="M453" s="12">
        <v>58.5</v>
      </c>
      <c r="N453" s="13">
        <f t="shared" si="43"/>
        <v>7078.5</v>
      </c>
      <c r="O453" s="13">
        <f t="shared" si="44"/>
        <v>0</v>
      </c>
      <c r="P453" s="14">
        <v>268.17011739999998</v>
      </c>
      <c r="Q453" s="8">
        <f t="shared" si="45"/>
        <v>32448.584205399999</v>
      </c>
      <c r="R453" s="8">
        <f t="shared" si="46"/>
        <v>0</v>
      </c>
      <c r="S453" s="15">
        <f t="shared" si="47"/>
        <v>0</v>
      </c>
    </row>
    <row r="454" spans="1:19" x14ac:dyDescent="0.25">
      <c r="A454" s="10" t="s">
        <v>1149</v>
      </c>
      <c r="B454" s="10">
        <v>84809</v>
      </c>
      <c r="C454" s="10">
        <v>96520</v>
      </c>
      <c r="D454" s="10" t="s">
        <v>1150</v>
      </c>
      <c r="E454" s="10" t="s">
        <v>1151</v>
      </c>
      <c r="F454" s="10" t="s">
        <v>23</v>
      </c>
      <c r="G454" s="10" t="s">
        <v>12</v>
      </c>
      <c r="H454" s="10" t="s">
        <v>41</v>
      </c>
      <c r="I454" s="11">
        <v>124</v>
      </c>
      <c r="J454" s="11"/>
      <c r="K454" s="11">
        <v>121</v>
      </c>
      <c r="L454" s="6">
        <f t="shared" si="42"/>
        <v>3</v>
      </c>
      <c r="M454" s="12">
        <v>67.665000000000006</v>
      </c>
      <c r="N454" s="13">
        <f t="shared" si="43"/>
        <v>8390.4600000000009</v>
      </c>
      <c r="O454" s="13">
        <f t="shared" si="44"/>
        <v>8187.4650000000011</v>
      </c>
      <c r="P454" s="14">
        <v>193.17946273999999</v>
      </c>
      <c r="Q454" s="8">
        <f t="shared" si="45"/>
        <v>23954.253379759997</v>
      </c>
      <c r="R454" s="8">
        <f t="shared" si="46"/>
        <v>23374.71499154</v>
      </c>
      <c r="S454" s="15">
        <f t="shared" si="47"/>
        <v>0.97580645161290325</v>
      </c>
    </row>
    <row r="455" spans="1:19" x14ac:dyDescent="0.25">
      <c r="A455" s="10" t="s">
        <v>1152</v>
      </c>
      <c r="B455" s="10">
        <v>84809</v>
      </c>
      <c r="C455" s="10">
        <v>96520</v>
      </c>
      <c r="D455" s="10" t="s">
        <v>1150</v>
      </c>
      <c r="E455" s="10" t="s">
        <v>1153</v>
      </c>
      <c r="F455" s="10" t="s">
        <v>23</v>
      </c>
      <c r="G455" s="10" t="s">
        <v>12</v>
      </c>
      <c r="H455" s="10" t="s">
        <v>41</v>
      </c>
      <c r="I455" s="11">
        <v>111</v>
      </c>
      <c r="J455" s="11"/>
      <c r="K455" s="11">
        <v>109</v>
      </c>
      <c r="L455" s="6">
        <f t="shared" si="42"/>
        <v>2</v>
      </c>
      <c r="M455" s="12">
        <v>67.665000000000006</v>
      </c>
      <c r="N455" s="13">
        <f t="shared" si="43"/>
        <v>7510.8150000000005</v>
      </c>
      <c r="O455" s="13">
        <f t="shared" si="44"/>
        <v>7375.4850000000006</v>
      </c>
      <c r="P455" s="14">
        <v>190.55392029000001</v>
      </c>
      <c r="Q455" s="8">
        <f t="shared" si="45"/>
        <v>21151.485152190002</v>
      </c>
      <c r="R455" s="8">
        <f t="shared" si="46"/>
        <v>20770.377311610002</v>
      </c>
      <c r="S455" s="15">
        <f t="shared" si="47"/>
        <v>0.98198198198198194</v>
      </c>
    </row>
    <row r="456" spans="1:19" x14ac:dyDescent="0.25">
      <c r="A456" s="10" t="s">
        <v>1154</v>
      </c>
      <c r="B456" s="10">
        <v>84822</v>
      </c>
      <c r="C456" s="10">
        <v>96575</v>
      </c>
      <c r="D456" s="10" t="s">
        <v>1155</v>
      </c>
      <c r="E456" s="10" t="s">
        <v>1156</v>
      </c>
      <c r="F456" s="10" t="s">
        <v>23</v>
      </c>
      <c r="G456" s="10" t="s">
        <v>12</v>
      </c>
      <c r="H456" s="10" t="s">
        <v>41</v>
      </c>
      <c r="I456" s="11">
        <v>443</v>
      </c>
      <c r="J456" s="11"/>
      <c r="K456" s="11">
        <v>430</v>
      </c>
      <c r="L456" s="6">
        <f t="shared" si="42"/>
        <v>13</v>
      </c>
      <c r="M456" s="12">
        <v>54.6</v>
      </c>
      <c r="N456" s="13">
        <f t="shared" si="43"/>
        <v>24187.8</v>
      </c>
      <c r="O456" s="13">
        <f t="shared" si="44"/>
        <v>23478</v>
      </c>
      <c r="P456" s="14">
        <v>268.05711065999998</v>
      </c>
      <c r="Q456" s="8">
        <f t="shared" si="45"/>
        <v>118749.30002237999</v>
      </c>
      <c r="R456" s="8">
        <f t="shared" si="46"/>
        <v>115264.55758379999</v>
      </c>
      <c r="S456" s="15">
        <f t="shared" si="47"/>
        <v>0.97065462753950338</v>
      </c>
    </row>
    <row r="457" spans="1:19" x14ac:dyDescent="0.25">
      <c r="A457" s="10" t="s">
        <v>1157</v>
      </c>
      <c r="B457" s="10">
        <v>84836</v>
      </c>
      <c r="C457" s="10">
        <v>96576</v>
      </c>
      <c r="D457" s="10" t="s">
        <v>1158</v>
      </c>
      <c r="E457" s="10" t="s">
        <v>1159</v>
      </c>
      <c r="F457" s="10" t="s">
        <v>23</v>
      </c>
      <c r="G457" s="10" t="s">
        <v>12</v>
      </c>
      <c r="H457" s="10" t="s">
        <v>41</v>
      </c>
      <c r="I457" s="11">
        <v>270</v>
      </c>
      <c r="J457" s="11"/>
      <c r="K457" s="11">
        <v>0</v>
      </c>
      <c r="L457" s="6">
        <f t="shared" si="42"/>
        <v>270</v>
      </c>
      <c r="M457" s="12">
        <v>51.674999999999997</v>
      </c>
      <c r="N457" s="13">
        <f t="shared" si="43"/>
        <v>13952.25</v>
      </c>
      <c r="O457" s="13">
        <f t="shared" si="44"/>
        <v>0</v>
      </c>
      <c r="P457" s="14">
        <v>178.40873325000001</v>
      </c>
      <c r="Q457" s="8">
        <f t="shared" si="45"/>
        <v>48170.357977500003</v>
      </c>
      <c r="R457" s="8">
        <f t="shared" si="46"/>
        <v>0</v>
      </c>
      <c r="S457" s="15">
        <f t="shared" si="47"/>
        <v>0</v>
      </c>
    </row>
    <row r="458" spans="1:19" x14ac:dyDescent="0.25">
      <c r="A458" s="10" t="s">
        <v>1160</v>
      </c>
      <c r="B458" s="10">
        <v>84847</v>
      </c>
      <c r="C458" s="10">
        <v>96577</v>
      </c>
      <c r="D458" s="10" t="s">
        <v>1161</v>
      </c>
      <c r="E458" s="10" t="s">
        <v>1162</v>
      </c>
      <c r="F458" s="10" t="s">
        <v>23</v>
      </c>
      <c r="G458" s="10" t="s">
        <v>12</v>
      </c>
      <c r="H458" s="10" t="s">
        <v>41</v>
      </c>
      <c r="I458" s="11">
        <v>466</v>
      </c>
      <c r="J458" s="11"/>
      <c r="K458" s="11">
        <v>430</v>
      </c>
      <c r="L458" s="6">
        <f t="shared" si="42"/>
        <v>36</v>
      </c>
      <c r="M458" s="12">
        <v>44.85</v>
      </c>
      <c r="N458" s="13">
        <f t="shared" si="43"/>
        <v>20900.100000000002</v>
      </c>
      <c r="O458" s="13">
        <f t="shared" si="44"/>
        <v>19285.5</v>
      </c>
      <c r="P458" s="14">
        <v>169.6857349</v>
      </c>
      <c r="Q458" s="8">
        <f t="shared" si="45"/>
        <v>79073.552463400003</v>
      </c>
      <c r="R458" s="8">
        <f t="shared" si="46"/>
        <v>72964.866007000004</v>
      </c>
      <c r="S458" s="15">
        <f t="shared" si="47"/>
        <v>0.92274678111587982</v>
      </c>
    </row>
    <row r="459" spans="1:19" x14ac:dyDescent="0.25">
      <c r="A459" s="10" t="s">
        <v>1163</v>
      </c>
      <c r="B459" s="10">
        <v>84875</v>
      </c>
      <c r="C459" s="10">
        <v>96633</v>
      </c>
      <c r="D459" s="10" t="s">
        <v>1164</v>
      </c>
      <c r="E459" s="10" t="s">
        <v>1165</v>
      </c>
      <c r="F459" s="10" t="s">
        <v>23</v>
      </c>
      <c r="G459" s="10" t="s">
        <v>12</v>
      </c>
      <c r="H459" s="10" t="s">
        <v>41</v>
      </c>
      <c r="I459" s="11">
        <v>0</v>
      </c>
      <c r="J459" s="11"/>
      <c r="K459" s="11">
        <v>0</v>
      </c>
      <c r="L459" s="6">
        <f t="shared" si="42"/>
        <v>0</v>
      </c>
      <c r="M459" s="12">
        <v>52.161999999999999</v>
      </c>
      <c r="N459" s="13">
        <f t="shared" si="43"/>
        <v>0</v>
      </c>
      <c r="O459" s="13">
        <f t="shared" si="44"/>
        <v>0</v>
      </c>
      <c r="P459" s="14">
        <v>195.9661917</v>
      </c>
      <c r="Q459" s="8">
        <f t="shared" si="45"/>
        <v>0</v>
      </c>
      <c r="R459" s="8">
        <f t="shared" si="46"/>
        <v>0</v>
      </c>
      <c r="S459" s="15">
        <f t="shared" si="47"/>
        <v>0</v>
      </c>
    </row>
    <row r="460" spans="1:19" x14ac:dyDescent="0.25">
      <c r="A460" s="10" t="s">
        <v>1166</v>
      </c>
      <c r="B460" s="10">
        <v>84891</v>
      </c>
      <c r="C460" s="10">
        <v>98607</v>
      </c>
      <c r="D460" s="10" t="s">
        <v>1167</v>
      </c>
      <c r="E460" s="10" t="s">
        <v>1168</v>
      </c>
      <c r="F460" s="10" t="s">
        <v>23</v>
      </c>
      <c r="G460" s="10" t="s">
        <v>12</v>
      </c>
      <c r="H460" s="10" t="s">
        <v>41</v>
      </c>
      <c r="I460" s="11">
        <v>0</v>
      </c>
      <c r="J460" s="11"/>
      <c r="K460" s="11">
        <v>0</v>
      </c>
      <c r="L460" s="6">
        <f t="shared" si="42"/>
        <v>0</v>
      </c>
      <c r="M460" s="12">
        <v>71.174999999999997</v>
      </c>
      <c r="N460" s="13">
        <f t="shared" si="43"/>
        <v>0</v>
      </c>
      <c r="O460" s="13">
        <f t="shared" si="44"/>
        <v>0</v>
      </c>
      <c r="P460" s="14">
        <v>230.51078493</v>
      </c>
      <c r="Q460" s="8">
        <f t="shared" si="45"/>
        <v>0</v>
      </c>
      <c r="R460" s="8">
        <f t="shared" si="46"/>
        <v>0</v>
      </c>
      <c r="S460" s="15">
        <f t="shared" si="47"/>
        <v>0</v>
      </c>
    </row>
    <row r="461" spans="1:19" x14ac:dyDescent="0.25">
      <c r="A461" s="10" t="s">
        <v>1169</v>
      </c>
      <c r="B461" s="10">
        <v>84891</v>
      </c>
      <c r="C461" s="10">
        <v>98607</v>
      </c>
      <c r="D461" s="10" t="s">
        <v>1167</v>
      </c>
      <c r="E461" s="10" t="s">
        <v>1170</v>
      </c>
      <c r="F461" s="10" t="s">
        <v>23</v>
      </c>
      <c r="G461" s="10" t="s">
        <v>12</v>
      </c>
      <c r="H461" s="10" t="s">
        <v>41</v>
      </c>
      <c r="I461" s="11">
        <v>0</v>
      </c>
      <c r="J461" s="11"/>
      <c r="K461" s="11">
        <v>0</v>
      </c>
      <c r="L461" s="6">
        <f t="shared" si="42"/>
        <v>0</v>
      </c>
      <c r="M461" s="12">
        <v>71.174999999999997</v>
      </c>
      <c r="N461" s="13">
        <f t="shared" si="43"/>
        <v>0</v>
      </c>
      <c r="O461" s="13">
        <f t="shared" si="44"/>
        <v>0</v>
      </c>
      <c r="P461" s="14">
        <v>229.21078492999999</v>
      </c>
      <c r="Q461" s="8">
        <f t="shared" si="45"/>
        <v>0</v>
      </c>
      <c r="R461" s="8">
        <f t="shared" si="46"/>
        <v>0</v>
      </c>
      <c r="S461" s="15">
        <f t="shared" si="47"/>
        <v>0</v>
      </c>
    </row>
    <row r="462" spans="1:19" x14ac:dyDescent="0.25">
      <c r="A462" s="10" t="s">
        <v>1171</v>
      </c>
      <c r="B462" s="10">
        <v>84891</v>
      </c>
      <c r="C462" s="10">
        <v>98607</v>
      </c>
      <c r="D462" s="10" t="s">
        <v>1167</v>
      </c>
      <c r="E462" s="10" t="s">
        <v>1172</v>
      </c>
      <c r="F462" s="10" t="s">
        <v>23</v>
      </c>
      <c r="G462" s="10" t="s">
        <v>12</v>
      </c>
      <c r="H462" s="10" t="s">
        <v>41</v>
      </c>
      <c r="I462" s="11">
        <v>0</v>
      </c>
      <c r="J462" s="11"/>
      <c r="K462" s="11">
        <v>0</v>
      </c>
      <c r="L462" s="6">
        <f t="shared" si="42"/>
        <v>0</v>
      </c>
      <c r="M462" s="12">
        <v>71.174999999999997</v>
      </c>
      <c r="N462" s="13">
        <f t="shared" si="43"/>
        <v>0</v>
      </c>
      <c r="O462" s="13">
        <f t="shared" si="44"/>
        <v>0</v>
      </c>
      <c r="P462" s="14">
        <v>231.00078493000001</v>
      </c>
      <c r="Q462" s="8">
        <f t="shared" si="45"/>
        <v>0</v>
      </c>
      <c r="R462" s="8">
        <f t="shared" si="46"/>
        <v>0</v>
      </c>
      <c r="S462" s="15">
        <f t="shared" si="47"/>
        <v>0</v>
      </c>
    </row>
    <row r="463" spans="1:19" x14ac:dyDescent="0.25">
      <c r="A463" s="10" t="s">
        <v>1173</v>
      </c>
      <c r="B463" s="10">
        <v>84893</v>
      </c>
      <c r="C463" s="10">
        <v>98608</v>
      </c>
      <c r="D463" s="10" t="s">
        <v>1174</v>
      </c>
      <c r="E463" s="10" t="s">
        <v>1175</v>
      </c>
      <c r="F463" s="10" t="s">
        <v>23</v>
      </c>
      <c r="G463" s="10" t="s">
        <v>12</v>
      </c>
      <c r="H463" s="10" t="s">
        <v>41</v>
      </c>
      <c r="I463" s="11">
        <v>0</v>
      </c>
      <c r="J463" s="11"/>
      <c r="K463" s="11">
        <v>0</v>
      </c>
      <c r="L463" s="6">
        <f t="shared" si="42"/>
        <v>0</v>
      </c>
      <c r="M463" s="12">
        <v>4.4850000000000003</v>
      </c>
      <c r="N463" s="13">
        <f t="shared" si="43"/>
        <v>0</v>
      </c>
      <c r="O463" s="13">
        <f t="shared" si="44"/>
        <v>0</v>
      </c>
      <c r="P463" s="14">
        <v>16.006980970000001</v>
      </c>
      <c r="Q463" s="8">
        <f t="shared" si="45"/>
        <v>0</v>
      </c>
      <c r="R463" s="8">
        <f t="shared" si="46"/>
        <v>0</v>
      </c>
      <c r="S463" s="15">
        <f t="shared" si="47"/>
        <v>0</v>
      </c>
    </row>
    <row r="464" spans="1:19" x14ac:dyDescent="0.25">
      <c r="A464" s="10" t="s">
        <v>1176</v>
      </c>
      <c r="B464" s="10">
        <v>84901</v>
      </c>
      <c r="C464" s="10">
        <v>96436</v>
      </c>
      <c r="D464" s="10" t="s">
        <v>1177</v>
      </c>
      <c r="E464" s="10" t="s">
        <v>1178</v>
      </c>
      <c r="F464" s="10" t="s">
        <v>21</v>
      </c>
      <c r="G464" s="10" t="s">
        <v>12</v>
      </c>
      <c r="H464" s="10" t="s">
        <v>41</v>
      </c>
      <c r="I464" s="11">
        <v>323</v>
      </c>
      <c r="J464" s="11"/>
      <c r="K464" s="11">
        <v>309</v>
      </c>
      <c r="L464" s="6">
        <f t="shared" si="42"/>
        <v>14</v>
      </c>
      <c r="M464" s="12">
        <v>36.659999999999997</v>
      </c>
      <c r="N464" s="13">
        <f t="shared" si="43"/>
        <v>11841.179999999998</v>
      </c>
      <c r="O464" s="13">
        <f t="shared" si="44"/>
        <v>11327.939999999999</v>
      </c>
      <c r="P464" s="14">
        <v>178.63121246</v>
      </c>
      <c r="Q464" s="8">
        <f t="shared" si="45"/>
        <v>57697.881624579997</v>
      </c>
      <c r="R464" s="8">
        <f t="shared" si="46"/>
        <v>55197.04465014</v>
      </c>
      <c r="S464" s="15">
        <f t="shared" si="47"/>
        <v>0.95665634674922606</v>
      </c>
    </row>
    <row r="465" spans="1:19" x14ac:dyDescent="0.25">
      <c r="A465" s="10" t="s">
        <v>1179</v>
      </c>
      <c r="B465" s="10">
        <v>84901</v>
      </c>
      <c r="C465" s="10">
        <v>96436</v>
      </c>
      <c r="D465" s="10" t="s">
        <v>1177</v>
      </c>
      <c r="E465" s="10" t="s">
        <v>1180</v>
      </c>
      <c r="F465" s="10" t="s">
        <v>21</v>
      </c>
      <c r="G465" s="10" t="s">
        <v>12</v>
      </c>
      <c r="H465" s="10" t="s">
        <v>41</v>
      </c>
      <c r="I465" s="11">
        <v>178</v>
      </c>
      <c r="J465" s="11"/>
      <c r="K465" s="11">
        <v>178</v>
      </c>
      <c r="L465" s="6">
        <f t="shared" si="42"/>
        <v>0</v>
      </c>
      <c r="M465" s="12">
        <v>36.659999999999997</v>
      </c>
      <c r="N465" s="13">
        <f t="shared" si="43"/>
        <v>6525.48</v>
      </c>
      <c r="O465" s="13">
        <f t="shared" si="44"/>
        <v>6525.48</v>
      </c>
      <c r="P465" s="14">
        <v>191.04992953999999</v>
      </c>
      <c r="Q465" s="8">
        <f t="shared" si="45"/>
        <v>34006.88745812</v>
      </c>
      <c r="R465" s="8">
        <f t="shared" si="46"/>
        <v>34006.88745812</v>
      </c>
      <c r="S465" s="15">
        <f t="shared" si="47"/>
        <v>1</v>
      </c>
    </row>
    <row r="466" spans="1:19" x14ac:dyDescent="0.25">
      <c r="A466" s="10" t="s">
        <v>1181</v>
      </c>
      <c r="B466" s="10">
        <v>84911</v>
      </c>
      <c r="C466" s="10">
        <v>96437</v>
      </c>
      <c r="D466" s="10" t="s">
        <v>1182</v>
      </c>
      <c r="E466" s="10" t="s">
        <v>1183</v>
      </c>
      <c r="F466" s="10" t="s">
        <v>21</v>
      </c>
      <c r="G466" s="10" t="s">
        <v>12</v>
      </c>
      <c r="H466" s="10" t="s">
        <v>41</v>
      </c>
      <c r="I466" s="11">
        <v>173</v>
      </c>
      <c r="J466" s="11"/>
      <c r="K466" s="11">
        <v>173</v>
      </c>
      <c r="L466" s="6">
        <f t="shared" si="42"/>
        <v>0</v>
      </c>
      <c r="M466" s="12">
        <v>34.222000000000001</v>
      </c>
      <c r="N466" s="13">
        <f t="shared" si="43"/>
        <v>5920.4059999999999</v>
      </c>
      <c r="O466" s="13">
        <f t="shared" si="44"/>
        <v>5920.4059999999999</v>
      </c>
      <c r="P466" s="14">
        <v>139.36877754</v>
      </c>
      <c r="Q466" s="8">
        <f t="shared" si="45"/>
        <v>24110.798514419999</v>
      </c>
      <c r="R466" s="8">
        <f t="shared" si="46"/>
        <v>24110.798514419999</v>
      </c>
      <c r="S466" s="15">
        <f t="shared" si="47"/>
        <v>1</v>
      </c>
    </row>
    <row r="467" spans="1:19" x14ac:dyDescent="0.25">
      <c r="A467" s="10" t="s">
        <v>1184</v>
      </c>
      <c r="B467" s="10">
        <v>84911</v>
      </c>
      <c r="C467" s="10">
        <v>96437</v>
      </c>
      <c r="D467" s="10" t="s">
        <v>1182</v>
      </c>
      <c r="E467" s="10" t="s">
        <v>1185</v>
      </c>
      <c r="F467" s="10" t="s">
        <v>21</v>
      </c>
      <c r="G467" s="10" t="s">
        <v>12</v>
      </c>
      <c r="H467" s="10" t="s">
        <v>41</v>
      </c>
      <c r="I467" s="11">
        <v>51</v>
      </c>
      <c r="J467" s="11"/>
      <c r="K467" s="11">
        <v>21</v>
      </c>
      <c r="L467" s="6">
        <f t="shared" si="42"/>
        <v>30</v>
      </c>
      <c r="M467" s="12">
        <v>34.222000000000001</v>
      </c>
      <c r="N467" s="13">
        <f t="shared" si="43"/>
        <v>1745.3220000000001</v>
      </c>
      <c r="O467" s="13">
        <f t="shared" si="44"/>
        <v>718.66200000000003</v>
      </c>
      <c r="P467" s="14">
        <v>149.87468665</v>
      </c>
      <c r="Q467" s="8">
        <f t="shared" si="45"/>
        <v>7643.6090191499998</v>
      </c>
      <c r="R467" s="8">
        <f t="shared" si="46"/>
        <v>3147.3684196499999</v>
      </c>
      <c r="S467" s="15">
        <f t="shared" si="47"/>
        <v>0.41176470588235292</v>
      </c>
    </row>
    <row r="468" spans="1:19" x14ac:dyDescent="0.25">
      <c r="A468" s="10" t="s">
        <v>1186</v>
      </c>
      <c r="B468" s="10">
        <v>84911</v>
      </c>
      <c r="C468" s="10">
        <v>96437</v>
      </c>
      <c r="D468" s="10" t="s">
        <v>1182</v>
      </c>
      <c r="E468" s="10" t="s">
        <v>1187</v>
      </c>
      <c r="F468" s="10" t="s">
        <v>21</v>
      </c>
      <c r="G468" s="10" t="s">
        <v>12</v>
      </c>
      <c r="H468" s="10" t="s">
        <v>41</v>
      </c>
      <c r="I468" s="11">
        <v>288</v>
      </c>
      <c r="J468" s="11"/>
      <c r="K468" s="11">
        <v>288</v>
      </c>
      <c r="L468" s="6">
        <f t="shared" si="42"/>
        <v>0</v>
      </c>
      <c r="M468" s="12">
        <v>34.222000000000001</v>
      </c>
      <c r="N468" s="13">
        <f t="shared" si="43"/>
        <v>9855.9359999999997</v>
      </c>
      <c r="O468" s="13">
        <f t="shared" si="44"/>
        <v>9855.9359999999997</v>
      </c>
      <c r="P468" s="14">
        <v>143.99046464</v>
      </c>
      <c r="Q468" s="8">
        <f t="shared" si="45"/>
        <v>41469.253816320001</v>
      </c>
      <c r="R468" s="8">
        <f t="shared" si="46"/>
        <v>41469.253816320001</v>
      </c>
      <c r="S468" s="15">
        <f t="shared" si="47"/>
        <v>1</v>
      </c>
    </row>
    <row r="469" spans="1:19" x14ac:dyDescent="0.25">
      <c r="A469" s="10" t="s">
        <v>1188</v>
      </c>
      <c r="B469" s="10">
        <v>84911</v>
      </c>
      <c r="C469" s="10">
        <v>96437</v>
      </c>
      <c r="D469" s="10" t="s">
        <v>1182</v>
      </c>
      <c r="E469" s="10" t="s">
        <v>1189</v>
      </c>
      <c r="F469" s="10" t="s">
        <v>21</v>
      </c>
      <c r="G469" s="10" t="s">
        <v>12</v>
      </c>
      <c r="H469" s="10" t="s">
        <v>41</v>
      </c>
      <c r="I469" s="11">
        <v>0</v>
      </c>
      <c r="J469" s="11"/>
      <c r="K469" s="11">
        <v>0</v>
      </c>
      <c r="L469" s="6">
        <f t="shared" si="42"/>
        <v>0</v>
      </c>
      <c r="M469" s="12">
        <v>34.222000000000001</v>
      </c>
      <c r="N469" s="13">
        <f t="shared" si="43"/>
        <v>0</v>
      </c>
      <c r="O469" s="13">
        <f t="shared" si="44"/>
        <v>0</v>
      </c>
      <c r="P469" s="14">
        <v>137.8332039</v>
      </c>
      <c r="Q469" s="8">
        <f t="shared" si="45"/>
        <v>0</v>
      </c>
      <c r="R469" s="8">
        <f t="shared" si="46"/>
        <v>0</v>
      </c>
      <c r="S469" s="15">
        <f t="shared" si="47"/>
        <v>0</v>
      </c>
    </row>
    <row r="470" spans="1:19" x14ac:dyDescent="0.25">
      <c r="A470" s="10" t="s">
        <v>1190</v>
      </c>
      <c r="B470" s="10">
        <v>84921</v>
      </c>
      <c r="C470" s="10">
        <v>96440</v>
      </c>
      <c r="D470" s="10" t="s">
        <v>1191</v>
      </c>
      <c r="E470" s="10" t="s">
        <v>1192</v>
      </c>
      <c r="F470" s="10" t="s">
        <v>21</v>
      </c>
      <c r="G470" s="10" t="s">
        <v>12</v>
      </c>
      <c r="H470" s="10" t="s">
        <v>41</v>
      </c>
      <c r="I470" s="11">
        <v>35</v>
      </c>
      <c r="J470" s="11"/>
      <c r="K470" s="11">
        <v>16</v>
      </c>
      <c r="L470" s="6">
        <f t="shared" si="42"/>
        <v>19</v>
      </c>
      <c r="M470" s="12">
        <v>41.73</v>
      </c>
      <c r="N470" s="13">
        <f t="shared" si="43"/>
        <v>1460.55</v>
      </c>
      <c r="O470" s="13">
        <f t="shared" si="44"/>
        <v>667.68</v>
      </c>
      <c r="P470" s="14">
        <v>212.6687201</v>
      </c>
      <c r="Q470" s="8">
        <f t="shared" si="45"/>
        <v>7443.4052035000004</v>
      </c>
      <c r="R470" s="8">
        <f t="shared" si="46"/>
        <v>3402.6995216</v>
      </c>
      <c r="S470" s="15">
        <f t="shared" si="47"/>
        <v>0.45714285714285713</v>
      </c>
    </row>
    <row r="471" spans="1:19" x14ac:dyDescent="0.25">
      <c r="A471" s="10" t="s">
        <v>1193</v>
      </c>
      <c r="B471" s="10">
        <v>84921</v>
      </c>
      <c r="C471" s="10">
        <v>96440</v>
      </c>
      <c r="D471" s="10" t="s">
        <v>1191</v>
      </c>
      <c r="E471" s="10" t="s">
        <v>1194</v>
      </c>
      <c r="F471" s="10" t="s">
        <v>21</v>
      </c>
      <c r="G471" s="10" t="s">
        <v>12</v>
      </c>
      <c r="H471" s="10" t="s">
        <v>41</v>
      </c>
      <c r="I471" s="11">
        <v>30</v>
      </c>
      <c r="J471" s="11"/>
      <c r="K471" s="11">
        <v>0</v>
      </c>
      <c r="L471" s="6">
        <f t="shared" si="42"/>
        <v>30</v>
      </c>
      <c r="M471" s="12">
        <v>41.73</v>
      </c>
      <c r="N471" s="13">
        <f t="shared" si="43"/>
        <v>1251.8999999999999</v>
      </c>
      <c r="O471" s="13">
        <f t="shared" si="44"/>
        <v>0</v>
      </c>
      <c r="P471" s="14">
        <v>206.90279552000001</v>
      </c>
      <c r="Q471" s="8">
        <f t="shared" si="45"/>
        <v>6207.0838656000005</v>
      </c>
      <c r="R471" s="8">
        <f t="shared" si="46"/>
        <v>0</v>
      </c>
      <c r="S471" s="15">
        <f t="shared" si="47"/>
        <v>0</v>
      </c>
    </row>
    <row r="472" spans="1:19" x14ac:dyDescent="0.25">
      <c r="A472" s="10" t="s">
        <v>1195</v>
      </c>
      <c r="B472" s="10">
        <v>84921</v>
      </c>
      <c r="C472" s="10">
        <v>96440</v>
      </c>
      <c r="D472" s="10" t="s">
        <v>1191</v>
      </c>
      <c r="E472" s="10" t="s">
        <v>1196</v>
      </c>
      <c r="F472" s="10" t="s">
        <v>21</v>
      </c>
      <c r="G472" s="10" t="s">
        <v>12</v>
      </c>
      <c r="H472" s="10" t="s">
        <v>41</v>
      </c>
      <c r="I472" s="11">
        <v>12</v>
      </c>
      <c r="J472" s="11"/>
      <c r="K472" s="11">
        <v>0</v>
      </c>
      <c r="L472" s="6">
        <f t="shared" si="42"/>
        <v>12</v>
      </c>
      <c r="M472" s="12">
        <v>41.73</v>
      </c>
      <c r="N472" s="13">
        <f t="shared" si="43"/>
        <v>500.76</v>
      </c>
      <c r="O472" s="13">
        <f t="shared" si="44"/>
        <v>0</v>
      </c>
      <c r="P472" s="14">
        <v>191.17094377999999</v>
      </c>
      <c r="Q472" s="8">
        <f t="shared" si="45"/>
        <v>2294.0513253599997</v>
      </c>
      <c r="R472" s="8">
        <f t="shared" si="46"/>
        <v>0</v>
      </c>
      <c r="S472" s="15">
        <f t="shared" si="47"/>
        <v>0</v>
      </c>
    </row>
    <row r="473" spans="1:19" x14ac:dyDescent="0.25">
      <c r="A473" s="10" t="s">
        <v>1197</v>
      </c>
      <c r="B473" s="10">
        <v>84924</v>
      </c>
      <c r="C473" s="10">
        <v>96441</v>
      </c>
      <c r="D473" s="10" t="s">
        <v>1198</v>
      </c>
      <c r="E473" s="10" t="s">
        <v>1199</v>
      </c>
      <c r="F473" s="10" t="s">
        <v>21</v>
      </c>
      <c r="G473" s="10" t="s">
        <v>12</v>
      </c>
      <c r="H473" s="10" t="s">
        <v>41</v>
      </c>
      <c r="I473" s="11">
        <v>8</v>
      </c>
      <c r="J473" s="11"/>
      <c r="K473" s="11">
        <v>0</v>
      </c>
      <c r="L473" s="6">
        <f t="shared" si="42"/>
        <v>8</v>
      </c>
      <c r="M473" s="12">
        <v>32.174999999999997</v>
      </c>
      <c r="N473" s="13">
        <f t="shared" si="43"/>
        <v>257.39999999999998</v>
      </c>
      <c r="O473" s="13">
        <f t="shared" si="44"/>
        <v>0</v>
      </c>
      <c r="P473" s="14">
        <v>156.97745664999999</v>
      </c>
      <c r="Q473" s="8">
        <f t="shared" si="45"/>
        <v>1255.8196531999999</v>
      </c>
      <c r="R473" s="8">
        <f t="shared" si="46"/>
        <v>0</v>
      </c>
      <c r="S473" s="15">
        <f t="shared" si="47"/>
        <v>0</v>
      </c>
    </row>
    <row r="474" spans="1:19" x14ac:dyDescent="0.25">
      <c r="A474" s="10" t="s">
        <v>1200</v>
      </c>
      <c r="B474" s="10">
        <v>84924</v>
      </c>
      <c r="C474" s="10">
        <v>96441</v>
      </c>
      <c r="D474" s="10" t="s">
        <v>1198</v>
      </c>
      <c r="E474" s="10" t="s">
        <v>1201</v>
      </c>
      <c r="F474" s="10" t="s">
        <v>21</v>
      </c>
      <c r="G474" s="10" t="s">
        <v>12</v>
      </c>
      <c r="H474" s="10" t="s">
        <v>41</v>
      </c>
      <c r="I474" s="11">
        <v>26</v>
      </c>
      <c r="J474" s="11"/>
      <c r="K474" s="11">
        <v>16</v>
      </c>
      <c r="L474" s="6">
        <f t="shared" si="42"/>
        <v>10</v>
      </c>
      <c r="M474" s="12">
        <v>32.174999999999997</v>
      </c>
      <c r="N474" s="13">
        <f t="shared" si="43"/>
        <v>836.55</v>
      </c>
      <c r="O474" s="13">
        <f t="shared" si="44"/>
        <v>514.79999999999995</v>
      </c>
      <c r="P474" s="14">
        <v>177.47763255000001</v>
      </c>
      <c r="Q474" s="8">
        <f t="shared" si="45"/>
        <v>4614.4184463000001</v>
      </c>
      <c r="R474" s="8">
        <f t="shared" si="46"/>
        <v>2839.6421208000002</v>
      </c>
      <c r="S474" s="15">
        <f t="shared" si="47"/>
        <v>0.61538461538461542</v>
      </c>
    </row>
    <row r="475" spans="1:19" x14ac:dyDescent="0.25">
      <c r="A475" s="10" t="s">
        <v>1202</v>
      </c>
      <c r="B475" s="10">
        <v>84924</v>
      </c>
      <c r="C475" s="10">
        <v>96441</v>
      </c>
      <c r="D475" s="10" t="s">
        <v>1198</v>
      </c>
      <c r="E475" s="10" t="s">
        <v>1203</v>
      </c>
      <c r="F475" s="10" t="s">
        <v>21</v>
      </c>
      <c r="G475" s="10" t="s">
        <v>12</v>
      </c>
      <c r="H475" s="10" t="s">
        <v>41</v>
      </c>
      <c r="I475" s="11">
        <v>30</v>
      </c>
      <c r="J475" s="11"/>
      <c r="K475" s="11">
        <v>30</v>
      </c>
      <c r="L475" s="6">
        <f t="shared" si="42"/>
        <v>0</v>
      </c>
      <c r="M475" s="12">
        <v>32.174999999999997</v>
      </c>
      <c r="N475" s="13">
        <f t="shared" si="43"/>
        <v>965.24999999999989</v>
      </c>
      <c r="O475" s="13">
        <f t="shared" si="44"/>
        <v>965.24999999999989</v>
      </c>
      <c r="P475" s="14">
        <v>176.25810018999999</v>
      </c>
      <c r="Q475" s="8">
        <f t="shared" si="45"/>
        <v>5287.7430057000001</v>
      </c>
      <c r="R475" s="8">
        <f t="shared" si="46"/>
        <v>5287.7430057000001</v>
      </c>
      <c r="S475" s="15">
        <f t="shared" si="47"/>
        <v>1</v>
      </c>
    </row>
    <row r="476" spans="1:19" x14ac:dyDescent="0.25">
      <c r="A476" s="10" t="s">
        <v>1204</v>
      </c>
      <c r="B476" s="10">
        <v>84924</v>
      </c>
      <c r="C476" s="10">
        <v>96441</v>
      </c>
      <c r="D476" s="10" t="s">
        <v>1198</v>
      </c>
      <c r="E476" s="10" t="s">
        <v>1205</v>
      </c>
      <c r="F476" s="10" t="s">
        <v>21</v>
      </c>
      <c r="G476" s="10" t="s">
        <v>12</v>
      </c>
      <c r="H476" s="10" t="s">
        <v>41</v>
      </c>
      <c r="I476" s="11">
        <v>0</v>
      </c>
      <c r="J476" s="11"/>
      <c r="K476" s="11">
        <v>0</v>
      </c>
      <c r="L476" s="6">
        <f t="shared" si="42"/>
        <v>0</v>
      </c>
      <c r="M476" s="12">
        <v>32.174999999999997</v>
      </c>
      <c r="N476" s="13">
        <f t="shared" si="43"/>
        <v>0</v>
      </c>
      <c r="O476" s="13">
        <f t="shared" si="44"/>
        <v>0</v>
      </c>
      <c r="P476" s="14">
        <v>159.94745666</v>
      </c>
      <c r="Q476" s="8">
        <f t="shared" si="45"/>
        <v>0</v>
      </c>
      <c r="R476" s="8">
        <f t="shared" si="46"/>
        <v>0</v>
      </c>
      <c r="S476" s="15">
        <f t="shared" si="47"/>
        <v>0</v>
      </c>
    </row>
    <row r="477" spans="1:19" x14ac:dyDescent="0.25">
      <c r="A477" s="10" t="s">
        <v>1206</v>
      </c>
      <c r="B477" s="10">
        <v>84924</v>
      </c>
      <c r="C477" s="10">
        <v>96441</v>
      </c>
      <c r="D477" s="10" t="s">
        <v>1198</v>
      </c>
      <c r="E477" s="10" t="s">
        <v>1207</v>
      </c>
      <c r="F477" s="10" t="s">
        <v>21</v>
      </c>
      <c r="G477" s="10" t="s">
        <v>12</v>
      </c>
      <c r="H477" s="10" t="s">
        <v>41</v>
      </c>
      <c r="I477" s="11">
        <v>7</v>
      </c>
      <c r="J477" s="11"/>
      <c r="K477" s="11">
        <v>0</v>
      </c>
      <c r="L477" s="6">
        <f t="shared" si="42"/>
        <v>7</v>
      </c>
      <c r="M477" s="12">
        <v>32.174999999999997</v>
      </c>
      <c r="N477" s="13">
        <f t="shared" si="43"/>
        <v>225.22499999999997</v>
      </c>
      <c r="O477" s="13">
        <f t="shared" si="44"/>
        <v>0</v>
      </c>
      <c r="P477" s="14">
        <v>161.75745664999999</v>
      </c>
      <c r="Q477" s="8">
        <f t="shared" si="45"/>
        <v>1132.30219655</v>
      </c>
      <c r="R477" s="8">
        <f t="shared" si="46"/>
        <v>0</v>
      </c>
      <c r="S477" s="15">
        <f t="shared" si="47"/>
        <v>0</v>
      </c>
    </row>
    <row r="478" spans="1:19" x14ac:dyDescent="0.25">
      <c r="A478" s="10" t="s">
        <v>1208</v>
      </c>
      <c r="B478" s="10">
        <v>84929</v>
      </c>
      <c r="C478" s="10">
        <v>96443</v>
      </c>
      <c r="D478" s="10" t="s">
        <v>1209</v>
      </c>
      <c r="E478" s="10" t="s">
        <v>1210</v>
      </c>
      <c r="F478" s="10" t="s">
        <v>21</v>
      </c>
      <c r="G478" s="10" t="s">
        <v>12</v>
      </c>
      <c r="H478" s="10" t="s">
        <v>41</v>
      </c>
      <c r="I478" s="11">
        <v>0</v>
      </c>
      <c r="J478" s="11"/>
      <c r="K478" s="11">
        <v>0</v>
      </c>
      <c r="L478" s="6">
        <f t="shared" si="42"/>
        <v>0</v>
      </c>
      <c r="M478" s="12">
        <v>38.024999999999999</v>
      </c>
      <c r="N478" s="13">
        <f t="shared" si="43"/>
        <v>0</v>
      </c>
      <c r="O478" s="13">
        <f t="shared" si="44"/>
        <v>0</v>
      </c>
      <c r="P478" s="14">
        <v>160.26381452000001</v>
      </c>
      <c r="Q478" s="8">
        <f t="shared" si="45"/>
        <v>0</v>
      </c>
      <c r="R478" s="8">
        <f t="shared" si="46"/>
        <v>0</v>
      </c>
      <c r="S478" s="15">
        <f t="shared" si="47"/>
        <v>0</v>
      </c>
    </row>
    <row r="479" spans="1:19" x14ac:dyDescent="0.25">
      <c r="A479" s="10" t="s">
        <v>1211</v>
      </c>
      <c r="B479" s="10">
        <v>84931</v>
      </c>
      <c r="C479" s="10">
        <v>96459</v>
      </c>
      <c r="D479" s="10" t="s">
        <v>1212</v>
      </c>
      <c r="E479" s="10" t="s">
        <v>1213</v>
      </c>
      <c r="F479" s="10" t="s">
        <v>21</v>
      </c>
      <c r="G479" s="10" t="s">
        <v>12</v>
      </c>
      <c r="H479" s="10" t="s">
        <v>41</v>
      </c>
      <c r="I479" s="11">
        <v>0</v>
      </c>
      <c r="J479" s="11"/>
      <c r="K479" s="11">
        <v>0</v>
      </c>
      <c r="L479" s="6">
        <f t="shared" si="42"/>
        <v>0</v>
      </c>
      <c r="M479" s="12">
        <v>36.036000000000001</v>
      </c>
      <c r="N479" s="13">
        <f t="shared" si="43"/>
        <v>0</v>
      </c>
      <c r="O479" s="13">
        <f t="shared" si="44"/>
        <v>0</v>
      </c>
      <c r="P479" s="14">
        <v>210.98948962</v>
      </c>
      <c r="Q479" s="8">
        <f t="shared" si="45"/>
        <v>0</v>
      </c>
      <c r="R479" s="8">
        <f t="shared" si="46"/>
        <v>0</v>
      </c>
      <c r="S479" s="15">
        <f t="shared" si="47"/>
        <v>0</v>
      </c>
    </row>
    <row r="480" spans="1:19" x14ac:dyDescent="0.25">
      <c r="A480" s="10" t="s">
        <v>1214</v>
      </c>
      <c r="B480" s="10">
        <v>84938</v>
      </c>
      <c r="C480" s="10">
        <v>96461</v>
      </c>
      <c r="D480" s="10" t="s">
        <v>1215</v>
      </c>
      <c r="E480" s="10" t="s">
        <v>1216</v>
      </c>
      <c r="F480" s="10" t="s">
        <v>21</v>
      </c>
      <c r="G480" s="10" t="s">
        <v>12</v>
      </c>
      <c r="H480" s="10" t="s">
        <v>41</v>
      </c>
      <c r="I480" s="11">
        <v>209</v>
      </c>
      <c r="J480" s="11"/>
      <c r="K480" s="11">
        <v>209</v>
      </c>
      <c r="L480" s="6">
        <f t="shared" si="42"/>
        <v>0</v>
      </c>
      <c r="M480" s="12">
        <v>30.126999999999999</v>
      </c>
      <c r="N480" s="13">
        <f t="shared" si="43"/>
        <v>6296.5429999999997</v>
      </c>
      <c r="O480" s="13">
        <f t="shared" si="44"/>
        <v>6296.5429999999997</v>
      </c>
      <c r="P480" s="14">
        <v>165.63439113999999</v>
      </c>
      <c r="Q480" s="8">
        <f t="shared" si="45"/>
        <v>34617.587748259997</v>
      </c>
      <c r="R480" s="8">
        <f t="shared" si="46"/>
        <v>34617.587748259997</v>
      </c>
      <c r="S480" s="15">
        <f t="shared" si="47"/>
        <v>1</v>
      </c>
    </row>
    <row r="481" spans="1:19" x14ac:dyDescent="0.25">
      <c r="A481" s="10" t="s">
        <v>1217</v>
      </c>
      <c r="B481" s="10">
        <v>84938</v>
      </c>
      <c r="C481" s="10">
        <v>96461</v>
      </c>
      <c r="D481" s="10" t="s">
        <v>1215</v>
      </c>
      <c r="E481" s="10" t="s">
        <v>1218</v>
      </c>
      <c r="F481" s="10" t="s">
        <v>21</v>
      </c>
      <c r="G481" s="10" t="s">
        <v>12</v>
      </c>
      <c r="H481" s="10" t="s">
        <v>41</v>
      </c>
      <c r="I481" s="11">
        <v>239</v>
      </c>
      <c r="J481" s="11"/>
      <c r="K481" s="11">
        <v>239</v>
      </c>
      <c r="L481" s="6">
        <f t="shared" si="42"/>
        <v>0</v>
      </c>
      <c r="M481" s="12">
        <v>30.126999999999999</v>
      </c>
      <c r="N481" s="13">
        <f t="shared" si="43"/>
        <v>7200.3530000000001</v>
      </c>
      <c r="O481" s="13">
        <f t="shared" si="44"/>
        <v>7200.3530000000001</v>
      </c>
      <c r="P481" s="14">
        <v>164.18518417000001</v>
      </c>
      <c r="Q481" s="8">
        <f t="shared" si="45"/>
        <v>39240.25901663</v>
      </c>
      <c r="R481" s="8">
        <f t="shared" si="46"/>
        <v>39240.25901663</v>
      </c>
      <c r="S481" s="15">
        <f t="shared" si="47"/>
        <v>1</v>
      </c>
    </row>
    <row r="482" spans="1:19" x14ac:dyDescent="0.25">
      <c r="A482" s="10" t="s">
        <v>1219</v>
      </c>
      <c r="B482" s="10">
        <v>84938</v>
      </c>
      <c r="C482" s="10">
        <v>96461</v>
      </c>
      <c r="D482" s="10" t="s">
        <v>1215</v>
      </c>
      <c r="E482" s="10" t="s">
        <v>1220</v>
      </c>
      <c r="F482" s="10" t="s">
        <v>21</v>
      </c>
      <c r="G482" s="10" t="s">
        <v>12</v>
      </c>
      <c r="H482" s="10" t="s">
        <v>41</v>
      </c>
      <c r="I482" s="11">
        <v>30</v>
      </c>
      <c r="J482" s="11"/>
      <c r="K482" s="11">
        <v>0</v>
      </c>
      <c r="L482" s="6">
        <f t="shared" si="42"/>
        <v>30</v>
      </c>
      <c r="M482" s="12">
        <v>30.126999999999999</v>
      </c>
      <c r="N482" s="13">
        <f t="shared" si="43"/>
        <v>903.81</v>
      </c>
      <c r="O482" s="13">
        <f t="shared" si="44"/>
        <v>0</v>
      </c>
      <c r="P482" s="14">
        <v>135.55170941</v>
      </c>
      <c r="Q482" s="8">
        <f t="shared" si="45"/>
        <v>4066.5512822999999</v>
      </c>
      <c r="R482" s="8">
        <f t="shared" si="46"/>
        <v>0</v>
      </c>
      <c r="S482" s="15">
        <f t="shared" si="47"/>
        <v>0</v>
      </c>
    </row>
    <row r="483" spans="1:19" x14ac:dyDescent="0.25">
      <c r="A483" s="10" t="s">
        <v>1221</v>
      </c>
      <c r="B483" s="10">
        <v>84941</v>
      </c>
      <c r="C483" s="10">
        <v>96462</v>
      </c>
      <c r="D483" s="10" t="s">
        <v>1222</v>
      </c>
      <c r="E483" s="10" t="s">
        <v>1223</v>
      </c>
      <c r="F483" s="10" t="s">
        <v>21</v>
      </c>
      <c r="G483" s="10" t="s">
        <v>12</v>
      </c>
      <c r="H483" s="10" t="s">
        <v>41</v>
      </c>
      <c r="I483" s="11">
        <v>47</v>
      </c>
      <c r="J483" s="11"/>
      <c r="K483" s="11">
        <v>20</v>
      </c>
      <c r="L483" s="6">
        <f t="shared" si="42"/>
        <v>27</v>
      </c>
      <c r="M483" s="12">
        <v>22.425000000000001</v>
      </c>
      <c r="N483" s="13">
        <f t="shared" si="43"/>
        <v>1053.9750000000001</v>
      </c>
      <c r="O483" s="13">
        <f t="shared" si="44"/>
        <v>448.5</v>
      </c>
      <c r="P483" s="14">
        <v>97.891287210000002</v>
      </c>
      <c r="Q483" s="8">
        <f t="shared" si="45"/>
        <v>4600.8904988699996</v>
      </c>
      <c r="R483" s="8">
        <f t="shared" si="46"/>
        <v>1957.8257441999999</v>
      </c>
      <c r="S483" s="15">
        <f t="shared" si="47"/>
        <v>0.42553191489361702</v>
      </c>
    </row>
    <row r="484" spans="1:19" x14ac:dyDescent="0.25">
      <c r="A484" s="10" t="s">
        <v>1224</v>
      </c>
      <c r="B484" s="10">
        <v>84941</v>
      </c>
      <c r="C484" s="10">
        <v>96462</v>
      </c>
      <c r="D484" s="10" t="s">
        <v>1222</v>
      </c>
      <c r="E484" s="10" t="s">
        <v>1225</v>
      </c>
      <c r="F484" s="10" t="s">
        <v>21</v>
      </c>
      <c r="G484" s="10" t="s">
        <v>12</v>
      </c>
      <c r="H484" s="10" t="s">
        <v>41</v>
      </c>
      <c r="I484" s="11">
        <v>207</v>
      </c>
      <c r="J484" s="11"/>
      <c r="K484" s="11">
        <v>207</v>
      </c>
      <c r="L484" s="6">
        <f t="shared" si="42"/>
        <v>0</v>
      </c>
      <c r="M484" s="12">
        <v>22.425000000000001</v>
      </c>
      <c r="N484" s="13">
        <f t="shared" si="43"/>
        <v>4641.9750000000004</v>
      </c>
      <c r="O484" s="13">
        <f t="shared" si="44"/>
        <v>4641.9750000000004</v>
      </c>
      <c r="P484" s="14">
        <v>109.05270433</v>
      </c>
      <c r="Q484" s="8">
        <f t="shared" si="45"/>
        <v>22573.909796309999</v>
      </c>
      <c r="R484" s="8">
        <f t="shared" si="46"/>
        <v>22573.909796309999</v>
      </c>
      <c r="S484" s="15">
        <f t="shared" si="47"/>
        <v>1</v>
      </c>
    </row>
    <row r="485" spans="1:19" x14ac:dyDescent="0.25">
      <c r="A485" s="10" t="s">
        <v>1226</v>
      </c>
      <c r="B485" s="10">
        <v>84941</v>
      </c>
      <c r="C485" s="10">
        <v>96462</v>
      </c>
      <c r="D485" s="10" t="s">
        <v>1222</v>
      </c>
      <c r="E485" s="10" t="s">
        <v>1227</v>
      </c>
      <c r="F485" s="10" t="s">
        <v>21</v>
      </c>
      <c r="G485" s="10" t="s">
        <v>12</v>
      </c>
      <c r="H485" s="10" t="s">
        <v>41</v>
      </c>
      <c r="I485" s="11">
        <v>238</v>
      </c>
      <c r="J485" s="11"/>
      <c r="K485" s="11">
        <v>238</v>
      </c>
      <c r="L485" s="6">
        <f t="shared" si="42"/>
        <v>0</v>
      </c>
      <c r="M485" s="12">
        <v>22.425000000000001</v>
      </c>
      <c r="N485" s="13">
        <f t="shared" si="43"/>
        <v>5337.1500000000005</v>
      </c>
      <c r="O485" s="13">
        <f t="shared" si="44"/>
        <v>5337.1500000000005</v>
      </c>
      <c r="P485" s="14">
        <v>101.67704139999999</v>
      </c>
      <c r="Q485" s="8">
        <f t="shared" si="45"/>
        <v>24199.135853199998</v>
      </c>
      <c r="R485" s="8">
        <f t="shared" si="46"/>
        <v>24199.135853199998</v>
      </c>
      <c r="S485" s="15">
        <f t="shared" si="47"/>
        <v>1</v>
      </c>
    </row>
    <row r="486" spans="1:19" x14ac:dyDescent="0.25">
      <c r="A486" s="10" t="s">
        <v>1228</v>
      </c>
      <c r="B486" s="10">
        <v>84958</v>
      </c>
      <c r="C486" s="10">
        <v>97474</v>
      </c>
      <c r="D486" s="10" t="s">
        <v>1229</v>
      </c>
      <c r="E486" s="10" t="s">
        <v>1230</v>
      </c>
      <c r="F486" s="10" t="s">
        <v>21</v>
      </c>
      <c r="G486" s="10" t="s">
        <v>12</v>
      </c>
      <c r="H486" s="10" t="s">
        <v>41</v>
      </c>
      <c r="I486" s="11">
        <v>3</v>
      </c>
      <c r="J486" s="11"/>
      <c r="K486" s="11">
        <v>0</v>
      </c>
      <c r="L486" s="6">
        <f t="shared" si="42"/>
        <v>3</v>
      </c>
      <c r="M486" s="12">
        <v>37.049999999999997</v>
      </c>
      <c r="N486" s="13">
        <f t="shared" si="43"/>
        <v>111.14999999999999</v>
      </c>
      <c r="O486" s="13">
        <f t="shared" si="44"/>
        <v>0</v>
      </c>
      <c r="P486" s="14">
        <v>137.11983341999999</v>
      </c>
      <c r="Q486" s="8">
        <f t="shared" si="45"/>
        <v>411.35950026</v>
      </c>
      <c r="R486" s="8">
        <f t="shared" si="46"/>
        <v>0</v>
      </c>
      <c r="S486" s="15">
        <f t="shared" si="47"/>
        <v>0</v>
      </c>
    </row>
    <row r="487" spans="1:19" x14ac:dyDescent="0.25">
      <c r="A487" s="10" t="s">
        <v>1231</v>
      </c>
      <c r="B487" s="10">
        <v>84958</v>
      </c>
      <c r="C487" s="10">
        <v>97474</v>
      </c>
      <c r="D487" s="10" t="s">
        <v>1229</v>
      </c>
      <c r="E487" s="10" t="s">
        <v>1232</v>
      </c>
      <c r="F487" s="10" t="s">
        <v>21</v>
      </c>
      <c r="G487" s="10" t="s">
        <v>12</v>
      </c>
      <c r="H487" s="10" t="s">
        <v>41</v>
      </c>
      <c r="I487" s="11">
        <v>1</v>
      </c>
      <c r="J487" s="11"/>
      <c r="K487" s="11">
        <v>0</v>
      </c>
      <c r="L487" s="6">
        <f t="shared" si="42"/>
        <v>1</v>
      </c>
      <c r="M487" s="12">
        <v>37.049999999999997</v>
      </c>
      <c r="N487" s="13">
        <f t="shared" si="43"/>
        <v>37.049999999999997</v>
      </c>
      <c r="O487" s="13">
        <f t="shared" si="44"/>
        <v>0</v>
      </c>
      <c r="P487" s="14">
        <v>136.22289588999999</v>
      </c>
      <c r="Q487" s="8">
        <f t="shared" si="45"/>
        <v>136.22289588999999</v>
      </c>
      <c r="R487" s="8">
        <f t="shared" si="46"/>
        <v>0</v>
      </c>
      <c r="S487" s="15">
        <f t="shared" si="47"/>
        <v>0</v>
      </c>
    </row>
    <row r="488" spans="1:19" x14ac:dyDescent="0.25">
      <c r="A488" s="10" t="s">
        <v>1233</v>
      </c>
      <c r="B488" s="10">
        <v>84966</v>
      </c>
      <c r="C488" s="10">
        <v>97476</v>
      </c>
      <c r="D488" s="10" t="s">
        <v>1234</v>
      </c>
      <c r="E488" s="10" t="s">
        <v>1235</v>
      </c>
      <c r="F488" s="10" t="s">
        <v>21</v>
      </c>
      <c r="G488" s="10" t="s">
        <v>12</v>
      </c>
      <c r="H488" s="10" t="s">
        <v>41</v>
      </c>
      <c r="I488" s="11">
        <v>5</v>
      </c>
      <c r="J488" s="11"/>
      <c r="K488" s="11">
        <v>0</v>
      </c>
      <c r="L488" s="6">
        <f t="shared" si="42"/>
        <v>5</v>
      </c>
      <c r="M488" s="12">
        <v>35.1</v>
      </c>
      <c r="N488" s="13">
        <f t="shared" si="43"/>
        <v>175.5</v>
      </c>
      <c r="O488" s="13">
        <f t="shared" si="44"/>
        <v>0</v>
      </c>
      <c r="P488" s="14">
        <v>194.03228358999999</v>
      </c>
      <c r="Q488" s="8">
        <f t="shared" si="45"/>
        <v>970.16141794999999</v>
      </c>
      <c r="R488" s="8">
        <f t="shared" si="46"/>
        <v>0</v>
      </c>
      <c r="S488" s="15">
        <f t="shared" si="47"/>
        <v>0</v>
      </c>
    </row>
    <row r="489" spans="1:19" x14ac:dyDescent="0.25">
      <c r="A489" s="10" t="s">
        <v>1236</v>
      </c>
      <c r="B489" s="10">
        <v>84966</v>
      </c>
      <c r="C489" s="10">
        <v>97476</v>
      </c>
      <c r="D489" s="10" t="s">
        <v>1234</v>
      </c>
      <c r="E489" s="10" t="s">
        <v>1237</v>
      </c>
      <c r="F489" s="10" t="s">
        <v>21</v>
      </c>
      <c r="G489" s="10" t="s">
        <v>12</v>
      </c>
      <c r="H489" s="10" t="s">
        <v>41</v>
      </c>
      <c r="I489" s="11">
        <v>6</v>
      </c>
      <c r="J489" s="11"/>
      <c r="K489" s="11">
        <v>0</v>
      </c>
      <c r="L489" s="6">
        <f t="shared" si="42"/>
        <v>6</v>
      </c>
      <c r="M489" s="12">
        <v>35.1</v>
      </c>
      <c r="N489" s="13">
        <f t="shared" si="43"/>
        <v>210.60000000000002</v>
      </c>
      <c r="O489" s="13">
        <f t="shared" si="44"/>
        <v>0</v>
      </c>
      <c r="P489" s="14">
        <v>188.80430342</v>
      </c>
      <c r="Q489" s="8">
        <f t="shared" si="45"/>
        <v>1132.82582052</v>
      </c>
      <c r="R489" s="8">
        <f t="shared" si="46"/>
        <v>0</v>
      </c>
      <c r="S489" s="15">
        <f t="shared" si="47"/>
        <v>0</v>
      </c>
    </row>
    <row r="490" spans="1:19" x14ac:dyDescent="0.25">
      <c r="A490" s="10" t="s">
        <v>1238</v>
      </c>
      <c r="B490" s="10">
        <v>85009</v>
      </c>
      <c r="C490" s="10">
        <v>91400</v>
      </c>
      <c r="D490" s="10" t="s">
        <v>1239</v>
      </c>
      <c r="E490" s="10" t="s">
        <v>1240</v>
      </c>
      <c r="F490" s="10" t="s">
        <v>22</v>
      </c>
      <c r="G490" s="10" t="s">
        <v>12</v>
      </c>
      <c r="H490" s="10" t="s">
        <v>41</v>
      </c>
      <c r="I490" s="11">
        <v>0</v>
      </c>
      <c r="J490" s="11"/>
      <c r="K490" s="11">
        <v>0</v>
      </c>
      <c r="L490" s="6">
        <f t="shared" si="42"/>
        <v>0</v>
      </c>
      <c r="M490" s="12">
        <v>15.834</v>
      </c>
      <c r="N490" s="13">
        <f t="shared" si="43"/>
        <v>0</v>
      </c>
      <c r="O490" s="13">
        <f t="shared" si="44"/>
        <v>0</v>
      </c>
      <c r="P490" s="14">
        <v>116.79481052</v>
      </c>
      <c r="Q490" s="8">
        <f t="shared" si="45"/>
        <v>0</v>
      </c>
      <c r="R490" s="8">
        <f t="shared" si="46"/>
        <v>0</v>
      </c>
      <c r="S490" s="15">
        <f t="shared" si="47"/>
        <v>0</v>
      </c>
    </row>
    <row r="491" spans="1:19" x14ac:dyDescent="0.25">
      <c r="A491" s="10" t="s">
        <v>1241</v>
      </c>
      <c r="B491" s="10">
        <v>85009</v>
      </c>
      <c r="C491" s="10">
        <v>91400</v>
      </c>
      <c r="D491" s="10" t="s">
        <v>1239</v>
      </c>
      <c r="E491" s="10" t="s">
        <v>1242</v>
      </c>
      <c r="F491" s="10" t="s">
        <v>22</v>
      </c>
      <c r="G491" s="10" t="s">
        <v>12</v>
      </c>
      <c r="H491" s="10" t="s">
        <v>41</v>
      </c>
      <c r="I491" s="11">
        <v>0</v>
      </c>
      <c r="J491" s="11"/>
      <c r="K491" s="11">
        <v>0</v>
      </c>
      <c r="L491" s="6">
        <f t="shared" si="42"/>
        <v>0</v>
      </c>
      <c r="M491" s="12">
        <v>15.834</v>
      </c>
      <c r="N491" s="13">
        <f t="shared" si="43"/>
        <v>0</v>
      </c>
      <c r="O491" s="13">
        <f t="shared" si="44"/>
        <v>0</v>
      </c>
      <c r="P491" s="14">
        <v>118.64939574</v>
      </c>
      <c r="Q491" s="8">
        <f t="shared" si="45"/>
        <v>0</v>
      </c>
      <c r="R491" s="8">
        <f t="shared" si="46"/>
        <v>0</v>
      </c>
      <c r="S491" s="15">
        <f t="shared" si="47"/>
        <v>0</v>
      </c>
    </row>
    <row r="492" spans="1:19" x14ac:dyDescent="0.25">
      <c r="A492" s="10" t="s">
        <v>1243</v>
      </c>
      <c r="B492" s="10">
        <v>85010</v>
      </c>
      <c r="C492" s="10">
        <v>92142</v>
      </c>
      <c r="D492" s="10" t="s">
        <v>1244</v>
      </c>
      <c r="E492" s="10" t="s">
        <v>1245</v>
      </c>
      <c r="F492" s="10" t="s">
        <v>22</v>
      </c>
      <c r="G492" s="10" t="s">
        <v>12</v>
      </c>
      <c r="H492" s="10" t="s">
        <v>41</v>
      </c>
      <c r="I492" s="11">
        <v>6</v>
      </c>
      <c r="J492" s="11"/>
      <c r="K492" s="11">
        <v>0</v>
      </c>
      <c r="L492" s="6">
        <f t="shared" si="42"/>
        <v>6</v>
      </c>
      <c r="M492" s="12">
        <v>14.478</v>
      </c>
      <c r="N492" s="13">
        <f t="shared" si="43"/>
        <v>86.867999999999995</v>
      </c>
      <c r="O492" s="13">
        <f t="shared" si="44"/>
        <v>0</v>
      </c>
      <c r="P492" s="14">
        <v>76.594485399999996</v>
      </c>
      <c r="Q492" s="8">
        <f t="shared" si="45"/>
        <v>459.56691239999998</v>
      </c>
      <c r="R492" s="8">
        <f t="shared" si="46"/>
        <v>0</v>
      </c>
      <c r="S492" s="15">
        <f t="shared" si="47"/>
        <v>0</v>
      </c>
    </row>
    <row r="493" spans="1:19" x14ac:dyDescent="0.25">
      <c r="A493" s="10" t="s">
        <v>1246</v>
      </c>
      <c r="B493" s="10">
        <v>85015</v>
      </c>
      <c r="C493" s="10">
        <v>45708</v>
      </c>
      <c r="D493" s="10" t="s">
        <v>1247</v>
      </c>
      <c r="E493" s="10"/>
      <c r="F493" s="10" t="s">
        <v>22</v>
      </c>
      <c r="G493" s="10" t="s">
        <v>12</v>
      </c>
      <c r="H493" s="10" t="s">
        <v>41</v>
      </c>
      <c r="I493" s="11">
        <v>0</v>
      </c>
      <c r="J493" s="11"/>
      <c r="K493" s="11">
        <v>0</v>
      </c>
      <c r="L493" s="6">
        <f t="shared" si="42"/>
        <v>0</v>
      </c>
      <c r="M493" s="12">
        <v>20.298999999999999</v>
      </c>
      <c r="N493" s="13">
        <f t="shared" si="43"/>
        <v>0</v>
      </c>
      <c r="O493" s="13">
        <f t="shared" si="44"/>
        <v>0</v>
      </c>
      <c r="P493" s="14">
        <v>142.77920544</v>
      </c>
      <c r="Q493" s="8">
        <f t="shared" si="45"/>
        <v>0</v>
      </c>
      <c r="R493" s="8">
        <f t="shared" si="46"/>
        <v>0</v>
      </c>
      <c r="S493" s="15">
        <f t="shared" si="47"/>
        <v>0</v>
      </c>
    </row>
    <row r="494" spans="1:19" x14ac:dyDescent="0.25">
      <c r="A494" s="10" t="s">
        <v>1248</v>
      </c>
      <c r="B494" s="10">
        <v>85024</v>
      </c>
      <c r="C494" s="10">
        <v>91789</v>
      </c>
      <c r="D494" s="10" t="s">
        <v>1249</v>
      </c>
      <c r="E494" s="10" t="s">
        <v>1250</v>
      </c>
      <c r="F494" s="10" t="s">
        <v>21</v>
      </c>
      <c r="G494" s="10" t="s">
        <v>12</v>
      </c>
      <c r="H494" s="10" t="s">
        <v>41</v>
      </c>
      <c r="I494" s="11">
        <v>211</v>
      </c>
      <c r="J494" s="11"/>
      <c r="K494" s="11">
        <v>11</v>
      </c>
      <c r="L494" s="6">
        <f t="shared" si="42"/>
        <v>200</v>
      </c>
      <c r="M494" s="12">
        <v>0.54600000000000004</v>
      </c>
      <c r="N494" s="13">
        <f t="shared" si="43"/>
        <v>115.206</v>
      </c>
      <c r="O494" s="13">
        <f t="shared" si="44"/>
        <v>6.0060000000000002</v>
      </c>
      <c r="P494" s="14">
        <v>3.6428383100000001</v>
      </c>
      <c r="Q494" s="8">
        <f t="shared" si="45"/>
        <v>768.63888341000006</v>
      </c>
      <c r="R494" s="8">
        <f t="shared" si="46"/>
        <v>40.07122141</v>
      </c>
      <c r="S494" s="15">
        <f t="shared" si="47"/>
        <v>5.2132701421800945E-2</v>
      </c>
    </row>
    <row r="495" spans="1:19" x14ac:dyDescent="0.25">
      <c r="A495" s="10" t="s">
        <v>1251</v>
      </c>
      <c r="B495" s="10">
        <v>85024</v>
      </c>
      <c r="C495" s="10">
        <v>91789</v>
      </c>
      <c r="D495" s="10" t="s">
        <v>1249</v>
      </c>
      <c r="E495" s="10" t="s">
        <v>1252</v>
      </c>
      <c r="F495" s="10" t="s">
        <v>21</v>
      </c>
      <c r="G495" s="10" t="s">
        <v>12</v>
      </c>
      <c r="H495" s="10" t="s">
        <v>41</v>
      </c>
      <c r="I495" s="11">
        <v>9</v>
      </c>
      <c r="J495" s="11"/>
      <c r="K495" s="11">
        <v>0</v>
      </c>
      <c r="L495" s="6">
        <f t="shared" si="42"/>
        <v>9</v>
      </c>
      <c r="M495" s="12">
        <v>0.54600000000000004</v>
      </c>
      <c r="N495" s="13">
        <f t="shared" si="43"/>
        <v>4.9140000000000006</v>
      </c>
      <c r="O495" s="13">
        <f t="shared" si="44"/>
        <v>0</v>
      </c>
      <c r="P495" s="14">
        <v>2.6288498599999999</v>
      </c>
      <c r="Q495" s="8">
        <f t="shared" si="45"/>
        <v>23.659648739999998</v>
      </c>
      <c r="R495" s="8">
        <f t="shared" si="46"/>
        <v>0</v>
      </c>
      <c r="S495" s="15">
        <f t="shared" si="47"/>
        <v>0</v>
      </c>
    </row>
    <row r="496" spans="1:19" x14ac:dyDescent="0.25">
      <c r="A496" s="10" t="s">
        <v>1253</v>
      </c>
      <c r="B496" s="10">
        <v>85024</v>
      </c>
      <c r="C496" s="10">
        <v>91789</v>
      </c>
      <c r="D496" s="10" t="s">
        <v>1249</v>
      </c>
      <c r="E496" s="10" t="s">
        <v>1254</v>
      </c>
      <c r="F496" s="10" t="s">
        <v>21</v>
      </c>
      <c r="G496" s="10" t="s">
        <v>12</v>
      </c>
      <c r="H496" s="10" t="s">
        <v>41</v>
      </c>
      <c r="I496" s="11">
        <v>40</v>
      </c>
      <c r="J496" s="11"/>
      <c r="K496" s="11">
        <v>16</v>
      </c>
      <c r="L496" s="6">
        <f t="shared" si="42"/>
        <v>24</v>
      </c>
      <c r="M496" s="12">
        <v>0.54600000000000004</v>
      </c>
      <c r="N496" s="13">
        <f t="shared" si="43"/>
        <v>21.840000000000003</v>
      </c>
      <c r="O496" s="13">
        <f t="shared" si="44"/>
        <v>8.7360000000000007</v>
      </c>
      <c r="P496" s="14">
        <v>3.5536664899999999</v>
      </c>
      <c r="Q496" s="8">
        <f t="shared" si="45"/>
        <v>142.14665959999999</v>
      </c>
      <c r="R496" s="8">
        <f t="shared" si="46"/>
        <v>56.858663839999998</v>
      </c>
      <c r="S496" s="15">
        <f t="shared" si="47"/>
        <v>0.4</v>
      </c>
    </row>
    <row r="497" spans="1:19" x14ac:dyDescent="0.25">
      <c r="A497" s="10" t="s">
        <v>1255</v>
      </c>
      <c r="B497" s="10">
        <v>85025</v>
      </c>
      <c r="C497" s="10">
        <v>91794</v>
      </c>
      <c r="D497" s="10" t="s">
        <v>1256</v>
      </c>
      <c r="E497" s="10" t="s">
        <v>1257</v>
      </c>
      <c r="F497" s="10" t="s">
        <v>21</v>
      </c>
      <c r="G497" s="10" t="s">
        <v>12</v>
      </c>
      <c r="H497" s="10" t="s">
        <v>41</v>
      </c>
      <c r="I497" s="11">
        <v>81</v>
      </c>
      <c r="J497" s="11"/>
      <c r="K497" s="11">
        <v>21</v>
      </c>
      <c r="L497" s="6">
        <f t="shared" si="42"/>
        <v>60</v>
      </c>
      <c r="M497" s="12">
        <v>0.39</v>
      </c>
      <c r="N497" s="13">
        <f t="shared" si="43"/>
        <v>31.59</v>
      </c>
      <c r="O497" s="13">
        <f t="shared" si="44"/>
        <v>8.19</v>
      </c>
      <c r="P497" s="14">
        <v>3.5424367600000002</v>
      </c>
      <c r="Q497" s="8">
        <f t="shared" si="45"/>
        <v>286.93737756000002</v>
      </c>
      <c r="R497" s="8">
        <f t="shared" si="46"/>
        <v>74.391171960000008</v>
      </c>
      <c r="S497" s="15">
        <f t="shared" si="47"/>
        <v>0.25925925925925924</v>
      </c>
    </row>
    <row r="498" spans="1:19" x14ac:dyDescent="0.25">
      <c r="A498" s="10" t="s">
        <v>1258</v>
      </c>
      <c r="B498" s="10">
        <v>85025</v>
      </c>
      <c r="C498" s="10">
        <v>91794</v>
      </c>
      <c r="D498" s="10" t="s">
        <v>1256</v>
      </c>
      <c r="E498" s="10" t="s">
        <v>1259</v>
      </c>
      <c r="F498" s="10" t="s">
        <v>21</v>
      </c>
      <c r="G498" s="10" t="s">
        <v>12</v>
      </c>
      <c r="H498" s="10" t="s">
        <v>41</v>
      </c>
      <c r="I498" s="11">
        <v>18</v>
      </c>
      <c r="J498" s="11"/>
      <c r="K498" s="11">
        <v>0</v>
      </c>
      <c r="L498" s="6">
        <f t="shared" si="42"/>
        <v>18</v>
      </c>
      <c r="M498" s="12">
        <v>0.39</v>
      </c>
      <c r="N498" s="13">
        <f t="shared" si="43"/>
        <v>7.0200000000000005</v>
      </c>
      <c r="O498" s="13">
        <f t="shared" si="44"/>
        <v>0</v>
      </c>
      <c r="P498" s="14">
        <v>1.8506070400000001</v>
      </c>
      <c r="Q498" s="8">
        <f t="shared" si="45"/>
        <v>33.310926720000005</v>
      </c>
      <c r="R498" s="8">
        <f t="shared" si="46"/>
        <v>0</v>
      </c>
      <c r="S498" s="15">
        <f t="shared" si="47"/>
        <v>0</v>
      </c>
    </row>
    <row r="499" spans="1:19" x14ac:dyDescent="0.25">
      <c r="A499" s="10" t="s">
        <v>1260</v>
      </c>
      <c r="B499" s="10">
        <v>85025</v>
      </c>
      <c r="C499" s="10">
        <v>91794</v>
      </c>
      <c r="D499" s="10" t="s">
        <v>1256</v>
      </c>
      <c r="E499" s="10" t="s">
        <v>1261</v>
      </c>
      <c r="F499" s="10" t="s">
        <v>21</v>
      </c>
      <c r="G499" s="10" t="s">
        <v>12</v>
      </c>
      <c r="H499" s="10" t="s">
        <v>41</v>
      </c>
      <c r="I499" s="11">
        <v>32</v>
      </c>
      <c r="J499" s="11"/>
      <c r="K499" s="11">
        <v>32</v>
      </c>
      <c r="L499" s="6">
        <f t="shared" si="42"/>
        <v>0</v>
      </c>
      <c r="M499" s="12">
        <v>0.39</v>
      </c>
      <c r="N499" s="13">
        <f t="shared" si="43"/>
        <v>12.48</v>
      </c>
      <c r="O499" s="13">
        <f t="shared" si="44"/>
        <v>12.48</v>
      </c>
      <c r="P499" s="14">
        <v>3.4728208700000001</v>
      </c>
      <c r="Q499" s="8">
        <f t="shared" si="45"/>
        <v>111.13026784</v>
      </c>
      <c r="R499" s="8">
        <f t="shared" si="46"/>
        <v>111.13026784</v>
      </c>
      <c r="S499" s="15">
        <f t="shared" si="47"/>
        <v>1</v>
      </c>
    </row>
    <row r="500" spans="1:19" x14ac:dyDescent="0.25">
      <c r="A500" s="10" t="s">
        <v>1262</v>
      </c>
      <c r="B500" s="10">
        <v>85027</v>
      </c>
      <c r="C500" s="10">
        <v>96398</v>
      </c>
      <c r="D500" s="10" t="s">
        <v>1263</v>
      </c>
      <c r="E500" s="10" t="s">
        <v>1264</v>
      </c>
      <c r="F500" s="10" t="s">
        <v>22</v>
      </c>
      <c r="G500" s="10" t="s">
        <v>12</v>
      </c>
      <c r="H500" s="10" t="s">
        <v>41</v>
      </c>
      <c r="I500" s="11">
        <v>438</v>
      </c>
      <c r="J500" s="11"/>
      <c r="K500" s="11">
        <v>438</v>
      </c>
      <c r="L500" s="6">
        <f t="shared" si="42"/>
        <v>0</v>
      </c>
      <c r="M500" s="12">
        <v>39.633000000000003</v>
      </c>
      <c r="N500" s="13">
        <f t="shared" si="43"/>
        <v>17359.254000000001</v>
      </c>
      <c r="O500" s="13">
        <f t="shared" si="44"/>
        <v>17359.254000000001</v>
      </c>
      <c r="P500" s="14">
        <v>222.07526978000001</v>
      </c>
      <c r="Q500" s="8">
        <f t="shared" si="45"/>
        <v>97268.968163640006</v>
      </c>
      <c r="R500" s="8">
        <f t="shared" si="46"/>
        <v>97268.968163640006</v>
      </c>
      <c r="S500" s="15">
        <f t="shared" si="47"/>
        <v>1</v>
      </c>
    </row>
    <row r="501" spans="1:19" x14ac:dyDescent="0.25">
      <c r="A501" s="10" t="s">
        <v>1265</v>
      </c>
      <c r="B501" s="10">
        <v>85038</v>
      </c>
      <c r="C501" s="10">
        <v>96385</v>
      </c>
      <c r="D501" s="10" t="s">
        <v>1266</v>
      </c>
      <c r="E501" s="10" t="s">
        <v>1267</v>
      </c>
      <c r="F501" s="10" t="s">
        <v>22</v>
      </c>
      <c r="G501" s="10" t="s">
        <v>12</v>
      </c>
      <c r="H501" s="10" t="s">
        <v>41</v>
      </c>
      <c r="I501" s="11">
        <v>472</v>
      </c>
      <c r="J501" s="11"/>
      <c r="K501" s="11">
        <v>458</v>
      </c>
      <c r="L501" s="6">
        <f t="shared" si="42"/>
        <v>14</v>
      </c>
      <c r="M501" s="12">
        <v>24.911000000000001</v>
      </c>
      <c r="N501" s="13">
        <f t="shared" si="43"/>
        <v>11757.992</v>
      </c>
      <c r="O501" s="13">
        <f t="shared" si="44"/>
        <v>11409.238000000001</v>
      </c>
      <c r="P501" s="14">
        <v>147.38632681999999</v>
      </c>
      <c r="Q501" s="8">
        <f t="shared" si="45"/>
        <v>69566.346259040001</v>
      </c>
      <c r="R501" s="8">
        <f t="shared" si="46"/>
        <v>67502.937683559998</v>
      </c>
      <c r="S501" s="15">
        <f t="shared" si="47"/>
        <v>0.97033898305084743</v>
      </c>
    </row>
    <row r="502" spans="1:19" x14ac:dyDescent="0.25">
      <c r="A502" s="10" t="s">
        <v>1268</v>
      </c>
      <c r="B502" s="10">
        <v>85124</v>
      </c>
      <c r="C502" s="10">
        <v>96238</v>
      </c>
      <c r="D502" s="10" t="s">
        <v>1269</v>
      </c>
      <c r="E502" s="10" t="s">
        <v>1270</v>
      </c>
      <c r="F502" s="10" t="s">
        <v>22</v>
      </c>
      <c r="G502" s="10" t="s">
        <v>12</v>
      </c>
      <c r="H502" s="10" t="s">
        <v>41</v>
      </c>
      <c r="I502" s="11">
        <v>583</v>
      </c>
      <c r="J502" s="11"/>
      <c r="K502" s="11">
        <v>580</v>
      </c>
      <c r="L502" s="6">
        <f t="shared" si="42"/>
        <v>3</v>
      </c>
      <c r="M502" s="12">
        <v>13.64</v>
      </c>
      <c r="N502" s="13">
        <f t="shared" si="43"/>
        <v>7952.12</v>
      </c>
      <c r="O502" s="13">
        <f t="shared" si="44"/>
        <v>7911.2000000000007</v>
      </c>
      <c r="P502" s="14">
        <v>104.52044449</v>
      </c>
      <c r="Q502" s="8">
        <f t="shared" si="45"/>
        <v>60935.419137670004</v>
      </c>
      <c r="R502" s="8">
        <f t="shared" si="46"/>
        <v>60621.857804200001</v>
      </c>
      <c r="S502" s="15">
        <f t="shared" si="47"/>
        <v>0.99485420240137223</v>
      </c>
    </row>
    <row r="503" spans="1:19" x14ac:dyDescent="0.25">
      <c r="A503" s="10" t="s">
        <v>1271</v>
      </c>
      <c r="B503" s="10">
        <v>85124</v>
      </c>
      <c r="C503" s="10">
        <v>96238</v>
      </c>
      <c r="D503" s="10" t="s">
        <v>1269</v>
      </c>
      <c r="E503" s="10" t="s">
        <v>1272</v>
      </c>
      <c r="F503" s="10" t="s">
        <v>22</v>
      </c>
      <c r="G503" s="10" t="s">
        <v>12</v>
      </c>
      <c r="H503" s="10" t="s">
        <v>41</v>
      </c>
      <c r="I503" s="11">
        <v>2</v>
      </c>
      <c r="J503" s="11"/>
      <c r="K503" s="11">
        <v>0</v>
      </c>
      <c r="L503" s="6">
        <f t="shared" si="42"/>
        <v>2</v>
      </c>
      <c r="M503" s="12">
        <v>13.64</v>
      </c>
      <c r="N503" s="13">
        <f t="shared" si="43"/>
        <v>27.28</v>
      </c>
      <c r="O503" s="13">
        <f t="shared" si="44"/>
        <v>0</v>
      </c>
      <c r="P503" s="14">
        <v>89.32959477</v>
      </c>
      <c r="Q503" s="8">
        <f t="shared" si="45"/>
        <v>178.65918954</v>
      </c>
      <c r="R503" s="8">
        <f t="shared" si="46"/>
        <v>0</v>
      </c>
      <c r="S503" s="15">
        <f t="shared" si="47"/>
        <v>0</v>
      </c>
    </row>
    <row r="504" spans="1:19" x14ac:dyDescent="0.25">
      <c r="A504" s="10" t="s">
        <v>1273</v>
      </c>
      <c r="B504" s="10">
        <v>85168</v>
      </c>
      <c r="C504" s="10">
        <v>96252</v>
      </c>
      <c r="D504" s="10" t="s">
        <v>1274</v>
      </c>
      <c r="E504" s="10" t="s">
        <v>1275</v>
      </c>
      <c r="F504" s="10" t="s">
        <v>22</v>
      </c>
      <c r="G504" s="10" t="s">
        <v>12</v>
      </c>
      <c r="H504" s="10" t="s">
        <v>41</v>
      </c>
      <c r="I504" s="11">
        <v>6</v>
      </c>
      <c r="J504" s="11"/>
      <c r="K504" s="11">
        <v>6</v>
      </c>
      <c r="L504" s="6">
        <f t="shared" si="42"/>
        <v>0</v>
      </c>
      <c r="M504" s="12">
        <v>28.567</v>
      </c>
      <c r="N504" s="13">
        <f t="shared" si="43"/>
        <v>171.40199999999999</v>
      </c>
      <c r="O504" s="13">
        <f t="shared" si="44"/>
        <v>171.40199999999999</v>
      </c>
      <c r="P504" s="14">
        <v>139.06432849999999</v>
      </c>
      <c r="Q504" s="8">
        <f t="shared" si="45"/>
        <v>834.38597099999993</v>
      </c>
      <c r="R504" s="8">
        <f t="shared" si="46"/>
        <v>834.38597099999993</v>
      </c>
      <c r="S504" s="15">
        <f t="shared" si="47"/>
        <v>1</v>
      </c>
    </row>
    <row r="505" spans="1:19" x14ac:dyDescent="0.25">
      <c r="A505" s="10" t="s">
        <v>1276</v>
      </c>
      <c r="B505" s="10">
        <v>85168</v>
      </c>
      <c r="C505" s="10">
        <v>96252</v>
      </c>
      <c r="D505" s="10" t="s">
        <v>1274</v>
      </c>
      <c r="E505" s="10" t="s">
        <v>1277</v>
      </c>
      <c r="F505" s="10" t="s">
        <v>22</v>
      </c>
      <c r="G505" s="10" t="s">
        <v>12</v>
      </c>
      <c r="H505" s="10" t="s">
        <v>41</v>
      </c>
      <c r="I505" s="11">
        <v>0</v>
      </c>
      <c r="J505" s="11"/>
      <c r="K505" s="11">
        <v>0</v>
      </c>
      <c r="L505" s="6">
        <f t="shared" si="42"/>
        <v>0</v>
      </c>
      <c r="M505" s="12">
        <v>28.567</v>
      </c>
      <c r="N505" s="13">
        <f t="shared" si="43"/>
        <v>0</v>
      </c>
      <c r="O505" s="13">
        <f t="shared" si="44"/>
        <v>0</v>
      </c>
      <c r="P505" s="14">
        <v>139.22214041000001</v>
      </c>
      <c r="Q505" s="8">
        <f t="shared" si="45"/>
        <v>0</v>
      </c>
      <c r="R505" s="8">
        <f t="shared" si="46"/>
        <v>0</v>
      </c>
      <c r="S505" s="15">
        <f t="shared" si="47"/>
        <v>0</v>
      </c>
    </row>
    <row r="506" spans="1:19" x14ac:dyDescent="0.25">
      <c r="A506" s="10" t="s">
        <v>1278</v>
      </c>
      <c r="B506" s="10">
        <v>85168</v>
      </c>
      <c r="C506" s="10">
        <v>96252</v>
      </c>
      <c r="D506" s="10" t="s">
        <v>1274</v>
      </c>
      <c r="E506" s="10" t="s">
        <v>1279</v>
      </c>
      <c r="F506" s="10" t="s">
        <v>22</v>
      </c>
      <c r="G506" s="10" t="s">
        <v>12</v>
      </c>
      <c r="H506" s="10" t="s">
        <v>41</v>
      </c>
      <c r="I506" s="11">
        <v>5</v>
      </c>
      <c r="J506" s="11"/>
      <c r="K506" s="11">
        <v>0</v>
      </c>
      <c r="L506" s="6">
        <f t="shared" si="42"/>
        <v>5</v>
      </c>
      <c r="M506" s="12">
        <v>28.567</v>
      </c>
      <c r="N506" s="13">
        <f t="shared" si="43"/>
        <v>142.83500000000001</v>
      </c>
      <c r="O506" s="13">
        <f t="shared" si="44"/>
        <v>0</v>
      </c>
      <c r="P506" s="14">
        <v>139.29432850000001</v>
      </c>
      <c r="Q506" s="8">
        <f t="shared" si="45"/>
        <v>696.47164250000003</v>
      </c>
      <c r="R506" s="8">
        <f t="shared" si="46"/>
        <v>0</v>
      </c>
      <c r="S506" s="15">
        <f t="shared" si="47"/>
        <v>0</v>
      </c>
    </row>
    <row r="507" spans="1:19" x14ac:dyDescent="0.25">
      <c r="A507" s="10" t="s">
        <v>1280</v>
      </c>
      <c r="B507" s="10">
        <v>85168</v>
      </c>
      <c r="C507" s="10">
        <v>96252</v>
      </c>
      <c r="D507" s="10" t="s">
        <v>1274</v>
      </c>
      <c r="E507" s="10" t="s">
        <v>1281</v>
      </c>
      <c r="F507" s="10" t="s">
        <v>22</v>
      </c>
      <c r="G507" s="10" t="s">
        <v>12</v>
      </c>
      <c r="H507" s="10" t="s">
        <v>41</v>
      </c>
      <c r="I507" s="11">
        <v>21</v>
      </c>
      <c r="J507" s="11"/>
      <c r="K507" s="11">
        <v>0</v>
      </c>
      <c r="L507" s="6">
        <f t="shared" si="42"/>
        <v>21</v>
      </c>
      <c r="M507" s="12">
        <v>28.567</v>
      </c>
      <c r="N507" s="13">
        <f t="shared" si="43"/>
        <v>599.90700000000004</v>
      </c>
      <c r="O507" s="13">
        <f t="shared" si="44"/>
        <v>0</v>
      </c>
      <c r="P507" s="14">
        <v>139.7043285</v>
      </c>
      <c r="Q507" s="8">
        <f t="shared" si="45"/>
        <v>2933.7908984999999</v>
      </c>
      <c r="R507" s="8">
        <f t="shared" si="46"/>
        <v>0</v>
      </c>
      <c r="S507" s="15">
        <f t="shared" si="47"/>
        <v>0</v>
      </c>
    </row>
    <row r="508" spans="1:19" x14ac:dyDescent="0.25">
      <c r="A508" s="10" t="s">
        <v>1282</v>
      </c>
      <c r="B508" s="10">
        <v>85259</v>
      </c>
      <c r="C508" s="10">
        <v>97502</v>
      </c>
      <c r="D508" s="10" t="s">
        <v>1283</v>
      </c>
      <c r="E508" s="10" t="s">
        <v>1284</v>
      </c>
      <c r="F508" s="10" t="s">
        <v>21</v>
      </c>
      <c r="G508" s="10" t="s">
        <v>12</v>
      </c>
      <c r="H508" s="10" t="s">
        <v>41</v>
      </c>
      <c r="I508" s="11">
        <v>6</v>
      </c>
      <c r="J508" s="11"/>
      <c r="K508" s="11">
        <v>0</v>
      </c>
      <c r="L508" s="6">
        <f t="shared" si="42"/>
        <v>6</v>
      </c>
      <c r="M508" s="12">
        <v>19.5</v>
      </c>
      <c r="N508" s="13">
        <f t="shared" si="43"/>
        <v>117</v>
      </c>
      <c r="O508" s="13">
        <f t="shared" si="44"/>
        <v>0</v>
      </c>
      <c r="P508" s="14">
        <v>74.905006490000005</v>
      </c>
      <c r="Q508" s="8">
        <f t="shared" si="45"/>
        <v>449.43003894000003</v>
      </c>
      <c r="R508" s="8">
        <f t="shared" si="46"/>
        <v>0</v>
      </c>
      <c r="S508" s="15">
        <f t="shared" si="47"/>
        <v>0</v>
      </c>
    </row>
    <row r="509" spans="1:19" x14ac:dyDescent="0.25">
      <c r="A509" s="10" t="s">
        <v>1285</v>
      </c>
      <c r="B509" s="10">
        <v>85259</v>
      </c>
      <c r="C509" s="10">
        <v>97502</v>
      </c>
      <c r="D509" s="10" t="s">
        <v>1283</v>
      </c>
      <c r="E509" s="10" t="s">
        <v>1286</v>
      </c>
      <c r="F509" s="10" t="s">
        <v>21</v>
      </c>
      <c r="G509" s="10" t="s">
        <v>12</v>
      </c>
      <c r="H509" s="10" t="s">
        <v>41</v>
      </c>
      <c r="I509" s="11">
        <v>5</v>
      </c>
      <c r="J509" s="11"/>
      <c r="K509" s="11">
        <v>0</v>
      </c>
      <c r="L509" s="6">
        <f t="shared" si="42"/>
        <v>5</v>
      </c>
      <c r="M509" s="12">
        <v>19.5</v>
      </c>
      <c r="N509" s="13">
        <f t="shared" si="43"/>
        <v>97.5</v>
      </c>
      <c r="O509" s="13">
        <f t="shared" si="44"/>
        <v>0</v>
      </c>
      <c r="P509" s="14">
        <v>76.291193010000001</v>
      </c>
      <c r="Q509" s="8">
        <f t="shared" si="45"/>
        <v>381.45596505000003</v>
      </c>
      <c r="R509" s="8">
        <f t="shared" si="46"/>
        <v>0</v>
      </c>
      <c r="S509" s="15">
        <f t="shared" si="47"/>
        <v>0</v>
      </c>
    </row>
    <row r="510" spans="1:19" x14ac:dyDescent="0.25">
      <c r="A510" s="10" t="s">
        <v>1287</v>
      </c>
      <c r="B510" s="10">
        <v>85284</v>
      </c>
      <c r="C510" s="10">
        <v>97814</v>
      </c>
      <c r="D510" s="10" t="s">
        <v>1288</v>
      </c>
      <c r="E510" s="10" t="s">
        <v>1289</v>
      </c>
      <c r="F510" s="10" t="s">
        <v>22</v>
      </c>
      <c r="G510" s="10" t="s">
        <v>12</v>
      </c>
      <c r="H510" s="10" t="s">
        <v>41</v>
      </c>
      <c r="I510" s="11">
        <v>2769</v>
      </c>
      <c r="J510" s="11"/>
      <c r="K510" s="11">
        <v>1223</v>
      </c>
      <c r="L510" s="6">
        <f t="shared" si="42"/>
        <v>1546</v>
      </c>
      <c r="M510" s="12">
        <v>13.308</v>
      </c>
      <c r="N510" s="13">
        <f t="shared" si="43"/>
        <v>36849.851999999999</v>
      </c>
      <c r="O510" s="13">
        <f t="shared" si="44"/>
        <v>16275.683999999999</v>
      </c>
      <c r="P510" s="14">
        <v>115.96316761999999</v>
      </c>
      <c r="Q510" s="8">
        <f t="shared" si="45"/>
        <v>321102.01113977999</v>
      </c>
      <c r="R510" s="8">
        <f t="shared" si="46"/>
        <v>141822.95399926</v>
      </c>
      <c r="S510" s="15">
        <f t="shared" si="47"/>
        <v>0.44167569519682198</v>
      </c>
    </row>
    <row r="511" spans="1:19" x14ac:dyDescent="0.25">
      <c r="A511" s="10" t="s">
        <v>1290</v>
      </c>
      <c r="B511" s="10">
        <v>85297</v>
      </c>
      <c r="C511" s="10">
        <v>97850</v>
      </c>
      <c r="D511" s="10" t="s">
        <v>1291</v>
      </c>
      <c r="E511" s="10" t="s">
        <v>1292</v>
      </c>
      <c r="F511" s="10" t="s">
        <v>22</v>
      </c>
      <c r="G511" s="10" t="s">
        <v>12</v>
      </c>
      <c r="H511" s="10" t="s">
        <v>41</v>
      </c>
      <c r="I511" s="11">
        <v>113</v>
      </c>
      <c r="J511" s="11"/>
      <c r="K511" s="11">
        <v>0</v>
      </c>
      <c r="L511" s="6">
        <f t="shared" si="42"/>
        <v>113</v>
      </c>
      <c r="M511" s="12">
        <v>13.162000000000001</v>
      </c>
      <c r="N511" s="13">
        <f t="shared" si="43"/>
        <v>1487.306</v>
      </c>
      <c r="O511" s="13">
        <f t="shared" si="44"/>
        <v>0</v>
      </c>
      <c r="P511" s="14">
        <v>79.200868080000006</v>
      </c>
      <c r="Q511" s="8">
        <f t="shared" si="45"/>
        <v>8949.6980930400005</v>
      </c>
      <c r="R511" s="8">
        <f t="shared" si="46"/>
        <v>0</v>
      </c>
      <c r="S511" s="15">
        <f t="shared" si="47"/>
        <v>0</v>
      </c>
    </row>
    <row r="512" spans="1:19" x14ac:dyDescent="0.25">
      <c r="A512" s="10" t="s">
        <v>1293</v>
      </c>
      <c r="B512" s="10">
        <v>85315</v>
      </c>
      <c r="C512" s="10">
        <v>97857</v>
      </c>
      <c r="D512" s="10" t="s">
        <v>1294</v>
      </c>
      <c r="E512" s="10" t="s">
        <v>1295</v>
      </c>
      <c r="F512" s="10" t="s">
        <v>22</v>
      </c>
      <c r="G512" s="10" t="s">
        <v>12</v>
      </c>
      <c r="H512" s="10" t="s">
        <v>41</v>
      </c>
      <c r="I512" s="11">
        <v>1</v>
      </c>
      <c r="J512" s="11"/>
      <c r="K512" s="11">
        <v>0</v>
      </c>
      <c r="L512" s="6">
        <f t="shared" si="42"/>
        <v>1</v>
      </c>
      <c r="M512" s="12">
        <v>14.625</v>
      </c>
      <c r="N512" s="13">
        <f t="shared" si="43"/>
        <v>14.625</v>
      </c>
      <c r="O512" s="13">
        <f t="shared" si="44"/>
        <v>0</v>
      </c>
      <c r="P512" s="14">
        <v>91.404297869999994</v>
      </c>
      <c r="Q512" s="8">
        <f t="shared" si="45"/>
        <v>91.404297869999994</v>
      </c>
      <c r="R512" s="8">
        <f t="shared" si="46"/>
        <v>0</v>
      </c>
      <c r="S512" s="15">
        <f t="shared" si="47"/>
        <v>0</v>
      </c>
    </row>
    <row r="513" spans="1:19" x14ac:dyDescent="0.25">
      <c r="A513" s="10" t="s">
        <v>1296</v>
      </c>
      <c r="B513" s="10">
        <v>85335</v>
      </c>
      <c r="C513" s="10">
        <v>97865</v>
      </c>
      <c r="D513" s="10" t="s">
        <v>1297</v>
      </c>
      <c r="E513" s="10" t="s">
        <v>1298</v>
      </c>
      <c r="F513" s="10" t="s">
        <v>22</v>
      </c>
      <c r="G513" s="10" t="s">
        <v>12</v>
      </c>
      <c r="H513" s="10" t="s">
        <v>41</v>
      </c>
      <c r="I513" s="11">
        <v>38</v>
      </c>
      <c r="J513" s="11"/>
      <c r="K513" s="11">
        <v>0</v>
      </c>
      <c r="L513" s="6">
        <f t="shared" si="42"/>
        <v>38</v>
      </c>
      <c r="M513" s="12">
        <v>14.625</v>
      </c>
      <c r="N513" s="13">
        <f t="shared" si="43"/>
        <v>555.75</v>
      </c>
      <c r="O513" s="13">
        <f t="shared" si="44"/>
        <v>0</v>
      </c>
      <c r="P513" s="14">
        <v>89.33429787</v>
      </c>
      <c r="Q513" s="8">
        <f t="shared" si="45"/>
        <v>3394.70331906</v>
      </c>
      <c r="R513" s="8">
        <f t="shared" si="46"/>
        <v>0</v>
      </c>
      <c r="S513" s="15">
        <f t="shared" si="47"/>
        <v>0</v>
      </c>
    </row>
    <row r="514" spans="1:19" x14ac:dyDescent="0.25">
      <c r="A514" s="10" t="s">
        <v>1299</v>
      </c>
      <c r="B514" s="10">
        <v>85335</v>
      </c>
      <c r="C514" s="10">
        <v>97865</v>
      </c>
      <c r="D514" s="10" t="s">
        <v>1297</v>
      </c>
      <c r="E514" s="10" t="s">
        <v>1300</v>
      </c>
      <c r="F514" s="10" t="s">
        <v>22</v>
      </c>
      <c r="G514" s="10" t="s">
        <v>12</v>
      </c>
      <c r="H514" s="10" t="s">
        <v>41</v>
      </c>
      <c r="I514" s="11">
        <v>2</v>
      </c>
      <c r="J514" s="11"/>
      <c r="K514" s="11">
        <v>0</v>
      </c>
      <c r="L514" s="6">
        <f t="shared" ref="L514:L577" si="48">I514-K514</f>
        <v>2</v>
      </c>
      <c r="M514" s="12">
        <v>14.625</v>
      </c>
      <c r="N514" s="13">
        <f t="shared" ref="N514:N577" si="49">I514*M514</f>
        <v>29.25</v>
      </c>
      <c r="O514" s="13">
        <f t="shared" ref="O514:O577" si="50">K514*M514</f>
        <v>0</v>
      </c>
      <c r="P514" s="14">
        <v>89.504297870000002</v>
      </c>
      <c r="Q514" s="8">
        <f t="shared" ref="Q514:Q577" si="51">I514*P514</f>
        <v>179.00859574</v>
      </c>
      <c r="R514" s="8">
        <f t="shared" ref="R514:R577" si="52">K514*P514</f>
        <v>0</v>
      </c>
      <c r="S514" s="15">
        <f t="shared" ref="S514:S577" si="53">IF(I514=0,0,K514/I514)</f>
        <v>0</v>
      </c>
    </row>
    <row r="515" spans="1:19" x14ac:dyDescent="0.25">
      <c r="A515" s="10" t="s">
        <v>1301</v>
      </c>
      <c r="B515" s="10">
        <v>85344</v>
      </c>
      <c r="C515" s="10">
        <v>97775</v>
      </c>
      <c r="D515" s="10" t="s">
        <v>1302</v>
      </c>
      <c r="E515" s="10" t="s">
        <v>1303</v>
      </c>
      <c r="F515" s="10" t="s">
        <v>22</v>
      </c>
      <c r="G515" s="10" t="s">
        <v>12</v>
      </c>
      <c r="H515" s="10" t="s">
        <v>41</v>
      </c>
      <c r="I515" s="11">
        <v>192</v>
      </c>
      <c r="J515" s="11"/>
      <c r="K515" s="11">
        <v>140</v>
      </c>
      <c r="L515" s="6">
        <f t="shared" si="48"/>
        <v>52</v>
      </c>
      <c r="M515" s="12">
        <v>12.138</v>
      </c>
      <c r="N515" s="13">
        <f t="shared" si="49"/>
        <v>2330.4960000000001</v>
      </c>
      <c r="O515" s="13">
        <f t="shared" si="50"/>
        <v>1699.32</v>
      </c>
      <c r="P515" s="14">
        <v>85.609549130000005</v>
      </c>
      <c r="Q515" s="8">
        <f t="shared" si="51"/>
        <v>16437.033432960001</v>
      </c>
      <c r="R515" s="8">
        <f t="shared" si="52"/>
        <v>11985.3368782</v>
      </c>
      <c r="S515" s="15">
        <f t="shared" si="53"/>
        <v>0.72916666666666663</v>
      </c>
    </row>
    <row r="516" spans="1:19" x14ac:dyDescent="0.25">
      <c r="A516" s="10" t="s">
        <v>1304</v>
      </c>
      <c r="B516" s="10">
        <v>85344</v>
      </c>
      <c r="C516" s="10">
        <v>97775</v>
      </c>
      <c r="D516" s="10" t="s">
        <v>1302</v>
      </c>
      <c r="E516" s="10" t="s">
        <v>1305</v>
      </c>
      <c r="F516" s="10" t="s">
        <v>22</v>
      </c>
      <c r="G516" s="10" t="s">
        <v>12</v>
      </c>
      <c r="H516" s="10" t="s">
        <v>41</v>
      </c>
      <c r="I516" s="11">
        <v>9</v>
      </c>
      <c r="J516" s="11"/>
      <c r="K516" s="11">
        <v>0</v>
      </c>
      <c r="L516" s="6">
        <f t="shared" si="48"/>
        <v>9</v>
      </c>
      <c r="M516" s="12">
        <v>12.138</v>
      </c>
      <c r="N516" s="13">
        <f t="shared" si="49"/>
        <v>109.242</v>
      </c>
      <c r="O516" s="13">
        <f t="shared" si="50"/>
        <v>0</v>
      </c>
      <c r="P516" s="14">
        <v>81.084467230000001</v>
      </c>
      <c r="Q516" s="8">
        <f t="shared" si="51"/>
        <v>729.76020506999998</v>
      </c>
      <c r="R516" s="8">
        <f t="shared" si="52"/>
        <v>0</v>
      </c>
      <c r="S516" s="15">
        <f t="shared" si="53"/>
        <v>0</v>
      </c>
    </row>
    <row r="517" spans="1:19" x14ac:dyDescent="0.25">
      <c r="A517" s="10" t="s">
        <v>1306</v>
      </c>
      <c r="B517" s="10">
        <v>85366</v>
      </c>
      <c r="C517" s="10">
        <v>96295</v>
      </c>
      <c r="D517" s="10" t="s">
        <v>1307</v>
      </c>
      <c r="E517" s="10" t="s">
        <v>1308</v>
      </c>
      <c r="F517" s="10" t="s">
        <v>22</v>
      </c>
      <c r="G517" s="10" t="s">
        <v>12</v>
      </c>
      <c r="H517" s="10" t="s">
        <v>41</v>
      </c>
      <c r="I517" s="11">
        <v>49</v>
      </c>
      <c r="J517" s="11"/>
      <c r="K517" s="11">
        <v>25</v>
      </c>
      <c r="L517" s="6">
        <f t="shared" si="48"/>
        <v>24</v>
      </c>
      <c r="M517" s="12">
        <v>12.577</v>
      </c>
      <c r="N517" s="13">
        <f t="shared" si="49"/>
        <v>616.27300000000002</v>
      </c>
      <c r="O517" s="13">
        <f t="shared" si="50"/>
        <v>314.42500000000001</v>
      </c>
      <c r="P517" s="14">
        <v>99.356886349999996</v>
      </c>
      <c r="Q517" s="8">
        <f t="shared" si="51"/>
        <v>4868.4874311499998</v>
      </c>
      <c r="R517" s="8">
        <f t="shared" si="52"/>
        <v>2483.9221587500001</v>
      </c>
      <c r="S517" s="15">
        <f t="shared" si="53"/>
        <v>0.51020408163265307</v>
      </c>
    </row>
    <row r="518" spans="1:19" x14ac:dyDescent="0.25">
      <c r="A518" s="10" t="s">
        <v>1309</v>
      </c>
      <c r="B518" s="10">
        <v>85366</v>
      </c>
      <c r="C518" s="10">
        <v>96295</v>
      </c>
      <c r="D518" s="10" t="s">
        <v>1307</v>
      </c>
      <c r="E518" s="10" t="s">
        <v>1310</v>
      </c>
      <c r="F518" s="10" t="s">
        <v>22</v>
      </c>
      <c r="G518" s="10" t="s">
        <v>12</v>
      </c>
      <c r="H518" s="10" t="s">
        <v>41</v>
      </c>
      <c r="I518" s="11">
        <v>154</v>
      </c>
      <c r="J518" s="11"/>
      <c r="K518" s="11">
        <v>0</v>
      </c>
      <c r="L518" s="6">
        <f t="shared" si="48"/>
        <v>154</v>
      </c>
      <c r="M518" s="12">
        <v>12.577</v>
      </c>
      <c r="N518" s="13">
        <f t="shared" si="49"/>
        <v>1936.8579999999999</v>
      </c>
      <c r="O518" s="13">
        <f t="shared" si="50"/>
        <v>0</v>
      </c>
      <c r="P518" s="14">
        <v>115.9640819</v>
      </c>
      <c r="Q518" s="8">
        <f t="shared" si="51"/>
        <v>17858.468612599998</v>
      </c>
      <c r="R518" s="8">
        <f t="shared" si="52"/>
        <v>0</v>
      </c>
      <c r="S518" s="15">
        <f t="shared" si="53"/>
        <v>0</v>
      </c>
    </row>
    <row r="519" spans="1:19" x14ac:dyDescent="0.25">
      <c r="A519" s="10" t="s">
        <v>1311</v>
      </c>
      <c r="B519" s="10">
        <v>85366</v>
      </c>
      <c r="C519" s="10">
        <v>96295</v>
      </c>
      <c r="D519" s="10" t="s">
        <v>1307</v>
      </c>
      <c r="E519" s="10" t="s">
        <v>1312</v>
      </c>
      <c r="F519" s="10" t="s">
        <v>22</v>
      </c>
      <c r="G519" s="10" t="s">
        <v>12</v>
      </c>
      <c r="H519" s="10" t="s">
        <v>41</v>
      </c>
      <c r="I519" s="11">
        <v>211</v>
      </c>
      <c r="J519" s="11"/>
      <c r="K519" s="11">
        <v>172</v>
      </c>
      <c r="L519" s="6">
        <f t="shared" si="48"/>
        <v>39</v>
      </c>
      <c r="M519" s="12">
        <v>12.577</v>
      </c>
      <c r="N519" s="13">
        <f t="shared" si="49"/>
        <v>2653.7469999999998</v>
      </c>
      <c r="O519" s="13">
        <f t="shared" si="50"/>
        <v>2163.2440000000001</v>
      </c>
      <c r="P519" s="14">
        <v>108.94226447</v>
      </c>
      <c r="Q519" s="8">
        <f t="shared" si="51"/>
        <v>22986.817803170001</v>
      </c>
      <c r="R519" s="8">
        <f t="shared" si="52"/>
        <v>18738.069488839999</v>
      </c>
      <c r="S519" s="15">
        <f t="shared" si="53"/>
        <v>0.81516587677725116</v>
      </c>
    </row>
    <row r="520" spans="1:19" x14ac:dyDescent="0.25">
      <c r="A520" s="10" t="s">
        <v>1313</v>
      </c>
      <c r="B520" s="10">
        <v>85366</v>
      </c>
      <c r="C520" s="10">
        <v>96295</v>
      </c>
      <c r="D520" s="10" t="s">
        <v>1307</v>
      </c>
      <c r="E520" s="10" t="s">
        <v>1314</v>
      </c>
      <c r="F520" s="10" t="s">
        <v>22</v>
      </c>
      <c r="G520" s="10" t="s">
        <v>12</v>
      </c>
      <c r="H520" s="10" t="s">
        <v>41</v>
      </c>
      <c r="I520" s="11">
        <v>180</v>
      </c>
      <c r="J520" s="11"/>
      <c r="K520" s="11">
        <v>144</v>
      </c>
      <c r="L520" s="6">
        <f t="shared" si="48"/>
        <v>36</v>
      </c>
      <c r="M520" s="12">
        <v>12.577</v>
      </c>
      <c r="N520" s="13">
        <f t="shared" si="49"/>
        <v>2263.86</v>
      </c>
      <c r="O520" s="13">
        <f t="shared" si="50"/>
        <v>1811.088</v>
      </c>
      <c r="P520" s="14">
        <v>94.323855069999993</v>
      </c>
      <c r="Q520" s="8">
        <f t="shared" si="51"/>
        <v>16978.293912599998</v>
      </c>
      <c r="R520" s="8">
        <f t="shared" si="52"/>
        <v>13582.63513008</v>
      </c>
      <c r="S520" s="15">
        <f t="shared" si="53"/>
        <v>0.8</v>
      </c>
    </row>
    <row r="521" spans="1:19" x14ac:dyDescent="0.25">
      <c r="A521" s="10" t="s">
        <v>1315</v>
      </c>
      <c r="B521" s="10">
        <v>85366</v>
      </c>
      <c r="C521" s="10">
        <v>96295</v>
      </c>
      <c r="D521" s="10" t="s">
        <v>1307</v>
      </c>
      <c r="E521" s="10" t="s">
        <v>1316</v>
      </c>
      <c r="F521" s="10" t="s">
        <v>22</v>
      </c>
      <c r="G521" s="10" t="s">
        <v>12</v>
      </c>
      <c r="H521" s="10" t="s">
        <v>41</v>
      </c>
      <c r="I521" s="11">
        <v>108</v>
      </c>
      <c r="J521" s="11"/>
      <c r="K521" s="11">
        <v>108</v>
      </c>
      <c r="L521" s="6">
        <f t="shared" si="48"/>
        <v>0</v>
      </c>
      <c r="M521" s="12">
        <v>12.577</v>
      </c>
      <c r="N521" s="13">
        <f t="shared" si="49"/>
        <v>1358.316</v>
      </c>
      <c r="O521" s="13">
        <f t="shared" si="50"/>
        <v>1358.316</v>
      </c>
      <c r="P521" s="14">
        <v>93.129960990000001</v>
      </c>
      <c r="Q521" s="8">
        <f t="shared" si="51"/>
        <v>10058.03578692</v>
      </c>
      <c r="R521" s="8">
        <f t="shared" si="52"/>
        <v>10058.03578692</v>
      </c>
      <c r="S521" s="15">
        <f t="shared" si="53"/>
        <v>1</v>
      </c>
    </row>
    <row r="522" spans="1:19" x14ac:dyDescent="0.25">
      <c r="A522" s="10" t="s">
        <v>1317</v>
      </c>
      <c r="B522" s="10">
        <v>85366</v>
      </c>
      <c r="C522" s="10">
        <v>96295</v>
      </c>
      <c r="D522" s="10" t="s">
        <v>1307</v>
      </c>
      <c r="E522" s="10" t="s">
        <v>1318</v>
      </c>
      <c r="F522" s="10" t="s">
        <v>22</v>
      </c>
      <c r="G522" s="10" t="s">
        <v>12</v>
      </c>
      <c r="H522" s="10" t="s">
        <v>41</v>
      </c>
      <c r="I522" s="11">
        <v>0</v>
      </c>
      <c r="J522" s="11"/>
      <c r="K522" s="11">
        <v>0</v>
      </c>
      <c r="L522" s="6">
        <f t="shared" si="48"/>
        <v>0</v>
      </c>
      <c r="M522" s="12">
        <v>12.577</v>
      </c>
      <c r="N522" s="13">
        <f t="shared" si="49"/>
        <v>0</v>
      </c>
      <c r="O522" s="13">
        <f t="shared" si="50"/>
        <v>0</v>
      </c>
      <c r="P522" s="14">
        <v>99.439951300000004</v>
      </c>
      <c r="Q522" s="8">
        <f t="shared" si="51"/>
        <v>0</v>
      </c>
      <c r="R522" s="8">
        <f t="shared" si="52"/>
        <v>0</v>
      </c>
      <c r="S522" s="15">
        <f t="shared" si="53"/>
        <v>0</v>
      </c>
    </row>
    <row r="523" spans="1:19" x14ac:dyDescent="0.25">
      <c r="A523" s="10" t="s">
        <v>1319</v>
      </c>
      <c r="B523" s="10">
        <v>85366</v>
      </c>
      <c r="C523" s="10">
        <v>96295</v>
      </c>
      <c r="D523" s="10" t="s">
        <v>1307</v>
      </c>
      <c r="E523" s="10" t="s">
        <v>1320</v>
      </c>
      <c r="F523" s="10" t="s">
        <v>22</v>
      </c>
      <c r="G523" s="10" t="s">
        <v>12</v>
      </c>
      <c r="H523" s="10" t="s">
        <v>41</v>
      </c>
      <c r="I523" s="11">
        <v>96</v>
      </c>
      <c r="J523" s="11"/>
      <c r="K523" s="11">
        <v>94</v>
      </c>
      <c r="L523" s="6">
        <f t="shared" si="48"/>
        <v>2</v>
      </c>
      <c r="M523" s="12">
        <v>12.577</v>
      </c>
      <c r="N523" s="13">
        <f t="shared" si="49"/>
        <v>1207.3920000000001</v>
      </c>
      <c r="O523" s="13">
        <f t="shared" si="50"/>
        <v>1182.2380000000001</v>
      </c>
      <c r="P523" s="14">
        <v>88.850199829999994</v>
      </c>
      <c r="Q523" s="8">
        <f t="shared" si="51"/>
        <v>8529.619183679999</v>
      </c>
      <c r="R523" s="8">
        <f t="shared" si="52"/>
        <v>8351.9187840199993</v>
      </c>
      <c r="S523" s="15">
        <f t="shared" si="53"/>
        <v>0.97916666666666663</v>
      </c>
    </row>
    <row r="524" spans="1:19" x14ac:dyDescent="0.25">
      <c r="A524" s="10" t="s">
        <v>1321</v>
      </c>
      <c r="B524" s="10">
        <v>85436</v>
      </c>
      <c r="C524" s="10">
        <v>97774</v>
      </c>
      <c r="D524" s="10" t="s">
        <v>1322</v>
      </c>
      <c r="E524" s="10" t="s">
        <v>1323</v>
      </c>
      <c r="F524" s="10" t="s">
        <v>22</v>
      </c>
      <c r="G524" s="10" t="s">
        <v>12</v>
      </c>
      <c r="H524" s="10" t="s">
        <v>41</v>
      </c>
      <c r="I524" s="11">
        <v>164</v>
      </c>
      <c r="J524" s="11"/>
      <c r="K524" s="11">
        <v>130</v>
      </c>
      <c r="L524" s="6">
        <f t="shared" si="48"/>
        <v>34</v>
      </c>
      <c r="M524" s="12">
        <v>18.183</v>
      </c>
      <c r="N524" s="13">
        <f t="shared" si="49"/>
        <v>2982.0120000000002</v>
      </c>
      <c r="O524" s="13">
        <f t="shared" si="50"/>
        <v>2363.79</v>
      </c>
      <c r="P524" s="14">
        <v>128.23128840000001</v>
      </c>
      <c r="Q524" s="8">
        <f t="shared" si="51"/>
        <v>21029.9312976</v>
      </c>
      <c r="R524" s="8">
        <f t="shared" si="52"/>
        <v>16670.067492000002</v>
      </c>
      <c r="S524" s="15">
        <f t="shared" si="53"/>
        <v>0.79268292682926833</v>
      </c>
    </row>
    <row r="525" spans="1:19" x14ac:dyDescent="0.25">
      <c r="A525" s="10" t="s">
        <v>1324</v>
      </c>
      <c r="B525" s="10">
        <v>85436</v>
      </c>
      <c r="C525" s="10">
        <v>97774</v>
      </c>
      <c r="D525" s="10" t="s">
        <v>1322</v>
      </c>
      <c r="E525" s="10" t="s">
        <v>1325</v>
      </c>
      <c r="F525" s="10" t="s">
        <v>22</v>
      </c>
      <c r="G525" s="10" t="s">
        <v>12</v>
      </c>
      <c r="H525" s="10" t="s">
        <v>41</v>
      </c>
      <c r="I525" s="11">
        <v>0</v>
      </c>
      <c r="J525" s="11"/>
      <c r="K525" s="11">
        <v>0</v>
      </c>
      <c r="L525" s="6">
        <f t="shared" si="48"/>
        <v>0</v>
      </c>
      <c r="M525" s="12">
        <v>18.183</v>
      </c>
      <c r="N525" s="13">
        <f t="shared" si="49"/>
        <v>0</v>
      </c>
      <c r="O525" s="13">
        <f t="shared" si="50"/>
        <v>0</v>
      </c>
      <c r="P525" s="14">
        <v>121.07797701</v>
      </c>
      <c r="Q525" s="8">
        <f t="shared" si="51"/>
        <v>0</v>
      </c>
      <c r="R525" s="8">
        <f t="shared" si="52"/>
        <v>0</v>
      </c>
      <c r="S525" s="15">
        <f t="shared" si="53"/>
        <v>0</v>
      </c>
    </row>
    <row r="526" spans="1:19" x14ac:dyDescent="0.25">
      <c r="A526" s="10" t="s">
        <v>1326</v>
      </c>
      <c r="B526" s="10">
        <v>85462</v>
      </c>
      <c r="C526" s="10">
        <v>97813</v>
      </c>
      <c r="D526" s="10" t="s">
        <v>1327</v>
      </c>
      <c r="E526" s="10" t="s">
        <v>1328</v>
      </c>
      <c r="F526" s="10" t="s">
        <v>22</v>
      </c>
      <c r="G526" s="10" t="s">
        <v>12</v>
      </c>
      <c r="H526" s="10" t="s">
        <v>41</v>
      </c>
      <c r="I526" s="11">
        <v>1650</v>
      </c>
      <c r="J526" s="11"/>
      <c r="K526" s="11">
        <v>879</v>
      </c>
      <c r="L526" s="6">
        <f t="shared" si="48"/>
        <v>771</v>
      </c>
      <c r="M526" s="12">
        <v>20.962</v>
      </c>
      <c r="N526" s="13">
        <f t="shared" si="49"/>
        <v>34587.300000000003</v>
      </c>
      <c r="O526" s="13">
        <f t="shared" si="50"/>
        <v>18425.597999999998</v>
      </c>
      <c r="P526" s="14">
        <v>174.97042395</v>
      </c>
      <c r="Q526" s="8">
        <f t="shared" si="51"/>
        <v>288701.1995175</v>
      </c>
      <c r="R526" s="8">
        <f t="shared" si="52"/>
        <v>153799.00265205</v>
      </c>
      <c r="S526" s="15">
        <f t="shared" si="53"/>
        <v>0.53272727272727272</v>
      </c>
    </row>
    <row r="527" spans="1:19" x14ac:dyDescent="0.25">
      <c r="A527" s="10" t="s">
        <v>1329</v>
      </c>
      <c r="B527" s="10">
        <v>85462</v>
      </c>
      <c r="C527" s="10">
        <v>97813</v>
      </c>
      <c r="D527" s="10" t="s">
        <v>1327</v>
      </c>
      <c r="E527" s="10" t="s">
        <v>1330</v>
      </c>
      <c r="F527" s="10" t="s">
        <v>22</v>
      </c>
      <c r="G527" s="10" t="s">
        <v>12</v>
      </c>
      <c r="H527" s="10" t="s">
        <v>41</v>
      </c>
      <c r="I527" s="11">
        <v>0</v>
      </c>
      <c r="J527" s="11"/>
      <c r="K527" s="11">
        <v>0</v>
      </c>
      <c r="L527" s="6">
        <f t="shared" si="48"/>
        <v>0</v>
      </c>
      <c r="M527" s="12">
        <v>20.962</v>
      </c>
      <c r="N527" s="13">
        <f t="shared" si="49"/>
        <v>0</v>
      </c>
      <c r="O527" s="13">
        <f t="shared" si="50"/>
        <v>0</v>
      </c>
      <c r="P527" s="14">
        <v>135.51249361000001</v>
      </c>
      <c r="Q527" s="8">
        <f t="shared" si="51"/>
        <v>0</v>
      </c>
      <c r="R527" s="8">
        <f t="shared" si="52"/>
        <v>0</v>
      </c>
      <c r="S527" s="15">
        <f t="shared" si="53"/>
        <v>0</v>
      </c>
    </row>
    <row r="528" spans="1:19" x14ac:dyDescent="0.25">
      <c r="A528" s="10" t="s">
        <v>1331</v>
      </c>
      <c r="B528" s="10">
        <v>85474</v>
      </c>
      <c r="C528" s="10">
        <v>97851</v>
      </c>
      <c r="D528" s="10" t="s">
        <v>1332</v>
      </c>
      <c r="E528" s="10" t="s">
        <v>1333</v>
      </c>
      <c r="F528" s="10" t="s">
        <v>22</v>
      </c>
      <c r="G528" s="10" t="s">
        <v>12</v>
      </c>
      <c r="H528" s="10" t="s">
        <v>41</v>
      </c>
      <c r="I528" s="11">
        <v>30</v>
      </c>
      <c r="J528" s="11"/>
      <c r="K528" s="11">
        <v>0</v>
      </c>
      <c r="L528" s="6">
        <f t="shared" si="48"/>
        <v>30</v>
      </c>
      <c r="M528" s="12">
        <v>19.207000000000001</v>
      </c>
      <c r="N528" s="13">
        <f t="shared" si="49"/>
        <v>576.21</v>
      </c>
      <c r="O528" s="13">
        <f t="shared" si="50"/>
        <v>0</v>
      </c>
      <c r="P528" s="14">
        <v>117.37360158</v>
      </c>
      <c r="Q528" s="8">
        <f t="shared" si="51"/>
        <v>3521.2080473999999</v>
      </c>
      <c r="R528" s="8">
        <f t="shared" si="52"/>
        <v>0</v>
      </c>
      <c r="S528" s="15">
        <f t="shared" si="53"/>
        <v>0</v>
      </c>
    </row>
    <row r="529" spans="1:19" x14ac:dyDescent="0.25">
      <c r="A529" s="10" t="s">
        <v>1334</v>
      </c>
      <c r="B529" s="10">
        <v>85507</v>
      </c>
      <c r="C529" s="10">
        <v>97866</v>
      </c>
      <c r="D529" s="10" t="s">
        <v>1335</v>
      </c>
      <c r="E529" s="10" t="s">
        <v>1336</v>
      </c>
      <c r="F529" s="10" t="s">
        <v>22</v>
      </c>
      <c r="G529" s="10" t="s">
        <v>12</v>
      </c>
      <c r="H529" s="10" t="s">
        <v>41</v>
      </c>
      <c r="I529" s="11">
        <v>27</v>
      </c>
      <c r="J529" s="11"/>
      <c r="K529" s="11">
        <v>0</v>
      </c>
      <c r="L529" s="6">
        <f t="shared" si="48"/>
        <v>27</v>
      </c>
      <c r="M529" s="12">
        <v>20.376999999999999</v>
      </c>
      <c r="N529" s="13">
        <f t="shared" si="49"/>
        <v>550.17899999999997</v>
      </c>
      <c r="O529" s="13">
        <f t="shared" si="50"/>
        <v>0</v>
      </c>
      <c r="P529" s="14">
        <v>131.22312169</v>
      </c>
      <c r="Q529" s="8">
        <f t="shared" si="51"/>
        <v>3543.0242856300001</v>
      </c>
      <c r="R529" s="8">
        <f t="shared" si="52"/>
        <v>0</v>
      </c>
      <c r="S529" s="15">
        <f t="shared" si="53"/>
        <v>0</v>
      </c>
    </row>
    <row r="530" spans="1:19" x14ac:dyDescent="0.25">
      <c r="A530" s="10" t="s">
        <v>1337</v>
      </c>
      <c r="B530" s="10">
        <v>85507</v>
      </c>
      <c r="C530" s="10">
        <v>97866</v>
      </c>
      <c r="D530" s="10" t="s">
        <v>1335</v>
      </c>
      <c r="E530" s="10" t="s">
        <v>1338</v>
      </c>
      <c r="F530" s="10" t="s">
        <v>22</v>
      </c>
      <c r="G530" s="10" t="s">
        <v>12</v>
      </c>
      <c r="H530" s="10" t="s">
        <v>41</v>
      </c>
      <c r="I530" s="11">
        <v>4</v>
      </c>
      <c r="J530" s="11"/>
      <c r="K530" s="11">
        <v>0</v>
      </c>
      <c r="L530" s="6">
        <f t="shared" si="48"/>
        <v>4</v>
      </c>
      <c r="M530" s="12">
        <v>20.376999999999999</v>
      </c>
      <c r="N530" s="13">
        <f t="shared" si="49"/>
        <v>81.507999999999996</v>
      </c>
      <c r="O530" s="13">
        <f t="shared" si="50"/>
        <v>0</v>
      </c>
      <c r="P530" s="14">
        <v>131.47312169</v>
      </c>
      <c r="Q530" s="8">
        <f t="shared" si="51"/>
        <v>525.89248676</v>
      </c>
      <c r="R530" s="8">
        <f t="shared" si="52"/>
        <v>0</v>
      </c>
      <c r="S530" s="15">
        <f t="shared" si="53"/>
        <v>0</v>
      </c>
    </row>
    <row r="531" spans="1:19" x14ac:dyDescent="0.25">
      <c r="A531" s="10" t="s">
        <v>1339</v>
      </c>
      <c r="B531" s="10">
        <v>85524</v>
      </c>
      <c r="C531" s="10">
        <v>97858</v>
      </c>
      <c r="D531" s="10" t="s">
        <v>1340</v>
      </c>
      <c r="E531" s="10" t="s">
        <v>1341</v>
      </c>
      <c r="F531" s="10" t="s">
        <v>22</v>
      </c>
      <c r="G531" s="10" t="s">
        <v>12</v>
      </c>
      <c r="H531" s="10" t="s">
        <v>41</v>
      </c>
      <c r="I531" s="11">
        <v>0</v>
      </c>
      <c r="J531" s="11"/>
      <c r="K531" s="11">
        <v>0</v>
      </c>
      <c r="L531" s="6">
        <f t="shared" si="48"/>
        <v>0</v>
      </c>
      <c r="M531" s="12">
        <v>22.425000000000001</v>
      </c>
      <c r="N531" s="13">
        <f t="shared" si="49"/>
        <v>0</v>
      </c>
      <c r="O531" s="13">
        <f t="shared" si="50"/>
        <v>0</v>
      </c>
      <c r="P531" s="14">
        <v>136.0659234</v>
      </c>
      <c r="Q531" s="8">
        <f t="shared" si="51"/>
        <v>0</v>
      </c>
      <c r="R531" s="8">
        <f t="shared" si="52"/>
        <v>0</v>
      </c>
      <c r="S531" s="15">
        <f t="shared" si="53"/>
        <v>0</v>
      </c>
    </row>
    <row r="532" spans="1:19" x14ac:dyDescent="0.25">
      <c r="A532" s="10" t="s">
        <v>1342</v>
      </c>
      <c r="B532" s="10">
        <v>85543</v>
      </c>
      <c r="C532" s="10">
        <v>98497</v>
      </c>
      <c r="D532" s="10" t="s">
        <v>1343</v>
      </c>
      <c r="E532" s="10" t="s">
        <v>1344</v>
      </c>
      <c r="F532" s="10" t="s">
        <v>22</v>
      </c>
      <c r="G532" s="10" t="s">
        <v>12</v>
      </c>
      <c r="H532" s="10" t="s">
        <v>41</v>
      </c>
      <c r="I532" s="11">
        <v>491</v>
      </c>
      <c r="J532" s="11"/>
      <c r="K532" s="11">
        <v>206</v>
      </c>
      <c r="L532" s="6">
        <f t="shared" si="48"/>
        <v>285</v>
      </c>
      <c r="M532" s="12">
        <v>24.861999999999998</v>
      </c>
      <c r="N532" s="13">
        <f t="shared" si="49"/>
        <v>12207.241999999998</v>
      </c>
      <c r="O532" s="13">
        <f t="shared" si="50"/>
        <v>5121.5719999999992</v>
      </c>
      <c r="P532" s="14">
        <v>188.5256747</v>
      </c>
      <c r="Q532" s="8">
        <f t="shared" si="51"/>
        <v>92566.106277700004</v>
      </c>
      <c r="R532" s="8">
        <f t="shared" si="52"/>
        <v>38836.288988200002</v>
      </c>
      <c r="S532" s="15">
        <f t="shared" si="53"/>
        <v>0.41955193482688391</v>
      </c>
    </row>
    <row r="533" spans="1:19" x14ac:dyDescent="0.25">
      <c r="A533" s="10" t="s">
        <v>1345</v>
      </c>
      <c r="B533" s="10">
        <v>85553</v>
      </c>
      <c r="C533" s="10">
        <v>98502</v>
      </c>
      <c r="D533" s="10" t="s">
        <v>1346</v>
      </c>
      <c r="E533" s="10" t="s">
        <v>1347</v>
      </c>
      <c r="F533" s="10" t="s">
        <v>22</v>
      </c>
      <c r="G533" s="10" t="s">
        <v>12</v>
      </c>
      <c r="H533" s="10" t="s">
        <v>41</v>
      </c>
      <c r="I533" s="11">
        <v>108</v>
      </c>
      <c r="J533" s="11"/>
      <c r="K533" s="11">
        <v>20</v>
      </c>
      <c r="L533" s="6">
        <f t="shared" si="48"/>
        <v>88</v>
      </c>
      <c r="M533" s="12">
        <v>37.195999999999998</v>
      </c>
      <c r="N533" s="13">
        <f t="shared" si="49"/>
        <v>4017.1679999999997</v>
      </c>
      <c r="O533" s="13">
        <f t="shared" si="50"/>
        <v>743.92</v>
      </c>
      <c r="P533" s="14">
        <v>279.10465625000001</v>
      </c>
      <c r="Q533" s="8">
        <f t="shared" si="51"/>
        <v>30143.302875000001</v>
      </c>
      <c r="R533" s="8">
        <f t="shared" si="52"/>
        <v>5582.0931250000003</v>
      </c>
      <c r="S533" s="15">
        <f t="shared" si="53"/>
        <v>0.18518518518518517</v>
      </c>
    </row>
    <row r="534" spans="1:19" x14ac:dyDescent="0.25">
      <c r="A534" s="10" t="s">
        <v>1348</v>
      </c>
      <c r="B534" s="10">
        <v>85553</v>
      </c>
      <c r="C534" s="10">
        <v>98502</v>
      </c>
      <c r="D534" s="10" t="s">
        <v>1346</v>
      </c>
      <c r="E534" s="10" t="s">
        <v>1349</v>
      </c>
      <c r="F534" s="10" t="s">
        <v>22</v>
      </c>
      <c r="G534" s="10" t="s">
        <v>12</v>
      </c>
      <c r="H534" s="10" t="s">
        <v>41</v>
      </c>
      <c r="I534" s="11">
        <v>6</v>
      </c>
      <c r="J534" s="11"/>
      <c r="K534" s="11">
        <v>0</v>
      </c>
      <c r="L534" s="6">
        <f t="shared" si="48"/>
        <v>6</v>
      </c>
      <c r="M534" s="12">
        <v>37.195999999999998</v>
      </c>
      <c r="N534" s="13">
        <f t="shared" si="49"/>
        <v>223.17599999999999</v>
      </c>
      <c r="O534" s="13">
        <f t="shared" si="50"/>
        <v>0</v>
      </c>
      <c r="P534" s="14">
        <v>205.11256424000001</v>
      </c>
      <c r="Q534" s="8">
        <f t="shared" si="51"/>
        <v>1230.6753854400001</v>
      </c>
      <c r="R534" s="8">
        <f t="shared" si="52"/>
        <v>0</v>
      </c>
      <c r="S534" s="15">
        <f t="shared" si="53"/>
        <v>0</v>
      </c>
    </row>
    <row r="535" spans="1:19" x14ac:dyDescent="0.25">
      <c r="A535" s="10" t="s">
        <v>1350</v>
      </c>
      <c r="B535" s="10">
        <v>85594</v>
      </c>
      <c r="C535" s="10">
        <v>99610</v>
      </c>
      <c r="D535" s="10" t="s">
        <v>1351</v>
      </c>
      <c r="E535" s="10" t="s">
        <v>1352</v>
      </c>
      <c r="F535" s="10" t="s">
        <v>22</v>
      </c>
      <c r="G535" s="10" t="s">
        <v>12</v>
      </c>
      <c r="H535" s="10" t="s">
        <v>41</v>
      </c>
      <c r="I535" s="11">
        <v>73</v>
      </c>
      <c r="J535" s="11"/>
      <c r="K535" s="11">
        <v>35</v>
      </c>
      <c r="L535" s="6">
        <f t="shared" si="48"/>
        <v>38</v>
      </c>
      <c r="M535" s="12">
        <v>24.375</v>
      </c>
      <c r="N535" s="13">
        <f t="shared" si="49"/>
        <v>1779.375</v>
      </c>
      <c r="O535" s="13">
        <f t="shared" si="50"/>
        <v>853.125</v>
      </c>
      <c r="P535" s="14">
        <v>137.17278855000001</v>
      </c>
      <c r="Q535" s="8">
        <f t="shared" si="51"/>
        <v>10013.61356415</v>
      </c>
      <c r="R535" s="8">
        <f t="shared" si="52"/>
        <v>4801.0475992500005</v>
      </c>
      <c r="S535" s="15">
        <f t="shared" si="53"/>
        <v>0.47945205479452052</v>
      </c>
    </row>
    <row r="536" spans="1:19" x14ac:dyDescent="0.25">
      <c r="A536" s="10" t="s">
        <v>1353</v>
      </c>
      <c r="B536" s="10">
        <v>85594</v>
      </c>
      <c r="C536" s="10">
        <v>99610</v>
      </c>
      <c r="D536" s="10" t="s">
        <v>1351</v>
      </c>
      <c r="E536" s="10" t="s">
        <v>1354</v>
      </c>
      <c r="F536" s="10" t="s">
        <v>22</v>
      </c>
      <c r="G536" s="10" t="s">
        <v>12</v>
      </c>
      <c r="H536" s="10" t="s">
        <v>41</v>
      </c>
      <c r="I536" s="11">
        <v>71</v>
      </c>
      <c r="J536" s="11"/>
      <c r="K536" s="11">
        <v>35</v>
      </c>
      <c r="L536" s="6">
        <f t="shared" si="48"/>
        <v>36</v>
      </c>
      <c r="M536" s="12">
        <v>24.375</v>
      </c>
      <c r="N536" s="13">
        <f t="shared" si="49"/>
        <v>1730.625</v>
      </c>
      <c r="O536" s="13">
        <f t="shared" si="50"/>
        <v>853.125</v>
      </c>
      <c r="P536" s="14">
        <v>165.94952455000001</v>
      </c>
      <c r="Q536" s="8">
        <f t="shared" si="51"/>
        <v>11782.41624305</v>
      </c>
      <c r="R536" s="8">
        <f t="shared" si="52"/>
        <v>5808.2333592499999</v>
      </c>
      <c r="S536" s="15">
        <f t="shared" si="53"/>
        <v>0.49295774647887325</v>
      </c>
    </row>
    <row r="537" spans="1:19" x14ac:dyDescent="0.25">
      <c r="A537" s="10" t="s">
        <v>1355</v>
      </c>
      <c r="B537" s="10">
        <v>85594</v>
      </c>
      <c r="C537" s="10">
        <v>99610</v>
      </c>
      <c r="D537" s="10" t="s">
        <v>1351</v>
      </c>
      <c r="E537" s="10" t="s">
        <v>1356</v>
      </c>
      <c r="F537" s="10" t="s">
        <v>22</v>
      </c>
      <c r="G537" s="10" t="s">
        <v>12</v>
      </c>
      <c r="H537" s="10" t="s">
        <v>41</v>
      </c>
      <c r="I537" s="11">
        <v>464</v>
      </c>
      <c r="J537" s="11"/>
      <c r="K537" s="11">
        <v>465</v>
      </c>
      <c r="L537" s="6">
        <f t="shared" si="48"/>
        <v>-1</v>
      </c>
      <c r="M537" s="12">
        <v>24.375</v>
      </c>
      <c r="N537" s="13">
        <f t="shared" si="49"/>
        <v>11310</v>
      </c>
      <c r="O537" s="13">
        <f t="shared" si="50"/>
        <v>11334.375</v>
      </c>
      <c r="P537" s="14">
        <v>143.95858853999999</v>
      </c>
      <c r="Q537" s="8">
        <f t="shared" si="51"/>
        <v>66796.785082560004</v>
      </c>
      <c r="R537" s="8">
        <f t="shared" si="52"/>
        <v>66940.74367109999</v>
      </c>
      <c r="S537" s="15">
        <f t="shared" si="53"/>
        <v>1.0021551724137931</v>
      </c>
    </row>
    <row r="538" spans="1:19" x14ac:dyDescent="0.25">
      <c r="A538" s="10" t="s">
        <v>1357</v>
      </c>
      <c r="B538" s="10">
        <v>85640</v>
      </c>
      <c r="C538" s="10">
        <v>99899</v>
      </c>
      <c r="D538" s="10" t="s">
        <v>1358</v>
      </c>
      <c r="E538" s="10" t="s">
        <v>1359</v>
      </c>
      <c r="F538" s="10" t="s">
        <v>22</v>
      </c>
      <c r="G538" s="10" t="s">
        <v>12</v>
      </c>
      <c r="H538" s="10" t="s">
        <v>41</v>
      </c>
      <c r="I538" s="11">
        <v>41</v>
      </c>
      <c r="J538" s="11"/>
      <c r="K538" s="11">
        <v>41</v>
      </c>
      <c r="L538" s="6">
        <f t="shared" si="48"/>
        <v>0</v>
      </c>
      <c r="M538" s="12">
        <v>10.725</v>
      </c>
      <c r="N538" s="13">
        <f t="shared" si="49"/>
        <v>439.72499999999997</v>
      </c>
      <c r="O538" s="13">
        <f t="shared" si="50"/>
        <v>439.72499999999997</v>
      </c>
      <c r="P538" s="14">
        <v>170.28898563999999</v>
      </c>
      <c r="Q538" s="8">
        <f t="shared" si="51"/>
        <v>6981.8484112400001</v>
      </c>
      <c r="R538" s="8">
        <f t="shared" si="52"/>
        <v>6981.8484112400001</v>
      </c>
      <c r="S538" s="15">
        <f t="shared" si="53"/>
        <v>1</v>
      </c>
    </row>
    <row r="539" spans="1:19" x14ac:dyDescent="0.25">
      <c r="A539" s="10" t="s">
        <v>1360</v>
      </c>
      <c r="B539" s="10">
        <v>85644</v>
      </c>
      <c r="C539" s="10">
        <v>99901</v>
      </c>
      <c r="D539" s="10" t="s">
        <v>1361</v>
      </c>
      <c r="E539" s="10" t="s">
        <v>1362</v>
      </c>
      <c r="F539" s="10" t="s">
        <v>22</v>
      </c>
      <c r="G539" s="10" t="s">
        <v>12</v>
      </c>
      <c r="H539" s="10" t="s">
        <v>41</v>
      </c>
      <c r="I539" s="11">
        <v>109</v>
      </c>
      <c r="J539" s="11"/>
      <c r="K539" s="11">
        <v>109</v>
      </c>
      <c r="L539" s="6">
        <f t="shared" si="48"/>
        <v>0</v>
      </c>
      <c r="M539" s="12">
        <v>16.574999999999999</v>
      </c>
      <c r="N539" s="13">
        <f t="shared" si="49"/>
        <v>1806.675</v>
      </c>
      <c r="O539" s="13">
        <f t="shared" si="50"/>
        <v>1806.675</v>
      </c>
      <c r="P539" s="14">
        <v>255.97944491999999</v>
      </c>
      <c r="Q539" s="8">
        <f t="shared" si="51"/>
        <v>27901.759496279999</v>
      </c>
      <c r="R539" s="8">
        <f t="shared" si="52"/>
        <v>27901.759496279999</v>
      </c>
      <c r="S539" s="15">
        <f t="shared" si="53"/>
        <v>1</v>
      </c>
    </row>
    <row r="540" spans="1:19" x14ac:dyDescent="0.25">
      <c r="A540" s="10" t="s">
        <v>1363</v>
      </c>
      <c r="B540" s="10">
        <v>85648</v>
      </c>
      <c r="C540" s="10">
        <v>99953</v>
      </c>
      <c r="D540" s="10" t="s">
        <v>1364</v>
      </c>
      <c r="E540" s="10" t="s">
        <v>1365</v>
      </c>
      <c r="F540" s="10" t="s">
        <v>22</v>
      </c>
      <c r="G540" s="10" t="s">
        <v>12</v>
      </c>
      <c r="H540" s="10" t="s">
        <v>41</v>
      </c>
      <c r="I540" s="11">
        <v>139</v>
      </c>
      <c r="J540" s="11"/>
      <c r="K540" s="11">
        <v>84</v>
      </c>
      <c r="L540" s="6">
        <f t="shared" si="48"/>
        <v>55</v>
      </c>
      <c r="M540" s="12">
        <v>11.358000000000001</v>
      </c>
      <c r="N540" s="13">
        <f t="shared" si="49"/>
        <v>1578.7620000000002</v>
      </c>
      <c r="O540" s="13">
        <f t="shared" si="50"/>
        <v>954.072</v>
      </c>
      <c r="P540" s="14">
        <v>159.80117881999999</v>
      </c>
      <c r="Q540" s="8">
        <f t="shared" si="51"/>
        <v>22212.363855979998</v>
      </c>
      <c r="R540" s="8">
        <f t="shared" si="52"/>
        <v>13423.299020879998</v>
      </c>
      <c r="S540" s="15">
        <f t="shared" si="53"/>
        <v>0.60431654676258995</v>
      </c>
    </row>
    <row r="541" spans="1:19" x14ac:dyDescent="0.25">
      <c r="A541" s="10" t="s">
        <v>1366</v>
      </c>
      <c r="B541" s="10">
        <v>85651</v>
      </c>
      <c r="C541" s="10">
        <v>100115</v>
      </c>
      <c r="D541" s="10" t="s">
        <v>1367</v>
      </c>
      <c r="E541" s="10" t="s">
        <v>1368</v>
      </c>
      <c r="F541" s="10" t="s">
        <v>21</v>
      </c>
      <c r="G541" s="10" t="s">
        <v>12</v>
      </c>
      <c r="H541" s="10" t="s">
        <v>41</v>
      </c>
      <c r="I541" s="11">
        <v>180</v>
      </c>
      <c r="J541" s="11"/>
      <c r="K541" s="11">
        <v>49</v>
      </c>
      <c r="L541" s="6">
        <f t="shared" si="48"/>
        <v>131</v>
      </c>
      <c r="M541" s="12">
        <v>34.125</v>
      </c>
      <c r="N541" s="13">
        <f t="shared" si="49"/>
        <v>6142.5</v>
      </c>
      <c r="O541" s="13">
        <f t="shared" si="50"/>
        <v>1672.125</v>
      </c>
      <c r="P541" s="14">
        <v>122.98011332</v>
      </c>
      <c r="Q541" s="8">
        <f t="shared" si="51"/>
        <v>22136.420397599999</v>
      </c>
      <c r="R541" s="8">
        <f t="shared" si="52"/>
        <v>6026.0255526800001</v>
      </c>
      <c r="S541" s="15">
        <f t="shared" si="53"/>
        <v>0.2722222222222222</v>
      </c>
    </row>
    <row r="542" spans="1:19" x14ac:dyDescent="0.25">
      <c r="A542" s="10" t="s">
        <v>1369</v>
      </c>
      <c r="B542" s="10">
        <v>85654</v>
      </c>
      <c r="C542" s="10">
        <v>100116</v>
      </c>
      <c r="D542" s="10" t="s">
        <v>1370</v>
      </c>
      <c r="E542" s="10" t="s">
        <v>1371</v>
      </c>
      <c r="F542" s="10" t="s">
        <v>21</v>
      </c>
      <c r="G542" s="10" t="s">
        <v>12</v>
      </c>
      <c r="H542" s="10" t="s">
        <v>41</v>
      </c>
      <c r="I542" s="11">
        <v>94</v>
      </c>
      <c r="J542" s="11"/>
      <c r="K542" s="11">
        <v>49</v>
      </c>
      <c r="L542" s="6">
        <f t="shared" si="48"/>
        <v>45</v>
      </c>
      <c r="M542" s="12">
        <v>36.075000000000003</v>
      </c>
      <c r="N542" s="13">
        <f t="shared" si="49"/>
        <v>3391.05</v>
      </c>
      <c r="O542" s="13">
        <f t="shared" si="50"/>
        <v>1767.6750000000002</v>
      </c>
      <c r="P542" s="14">
        <v>241.88778300999999</v>
      </c>
      <c r="Q542" s="8">
        <f t="shared" si="51"/>
        <v>22737.45160294</v>
      </c>
      <c r="R542" s="8">
        <f t="shared" si="52"/>
        <v>11852.50136749</v>
      </c>
      <c r="S542" s="15">
        <f t="shared" si="53"/>
        <v>0.52127659574468088</v>
      </c>
    </row>
    <row r="543" spans="1:19" x14ac:dyDescent="0.25">
      <c r="A543" s="10" t="s">
        <v>1372</v>
      </c>
      <c r="B543" s="10">
        <v>85670</v>
      </c>
      <c r="C543" s="10">
        <v>100117</v>
      </c>
      <c r="D543" s="10" t="s">
        <v>1373</v>
      </c>
      <c r="E543" s="10" t="s">
        <v>1374</v>
      </c>
      <c r="F543" s="10" t="s">
        <v>21</v>
      </c>
      <c r="G543" s="10" t="s">
        <v>12</v>
      </c>
      <c r="H543" s="10" t="s">
        <v>41</v>
      </c>
      <c r="I543" s="11">
        <v>80</v>
      </c>
      <c r="J543" s="11"/>
      <c r="K543" s="11">
        <v>0</v>
      </c>
      <c r="L543" s="6">
        <f t="shared" si="48"/>
        <v>80</v>
      </c>
      <c r="M543" s="12">
        <v>36.075000000000003</v>
      </c>
      <c r="N543" s="13">
        <f t="shared" si="49"/>
        <v>2886</v>
      </c>
      <c r="O543" s="13">
        <f t="shared" si="50"/>
        <v>0</v>
      </c>
      <c r="P543" s="14">
        <v>144.17979756</v>
      </c>
      <c r="Q543" s="8">
        <f t="shared" si="51"/>
        <v>11534.3838048</v>
      </c>
      <c r="R543" s="8">
        <f t="shared" si="52"/>
        <v>0</v>
      </c>
      <c r="S543" s="15">
        <f t="shared" si="53"/>
        <v>0</v>
      </c>
    </row>
    <row r="544" spans="1:19" x14ac:dyDescent="0.25">
      <c r="A544" s="10" t="s">
        <v>1375</v>
      </c>
      <c r="B544" s="10">
        <v>86071</v>
      </c>
      <c r="C544" s="10">
        <v>100691</v>
      </c>
      <c r="D544" s="10" t="s">
        <v>1376</v>
      </c>
      <c r="E544" s="10" t="s">
        <v>1377</v>
      </c>
      <c r="F544" s="10" t="s">
        <v>22</v>
      </c>
      <c r="G544" s="10" t="s">
        <v>12</v>
      </c>
      <c r="H544" s="10" t="s">
        <v>41</v>
      </c>
      <c r="I544" s="11">
        <v>145</v>
      </c>
      <c r="J544" s="11"/>
      <c r="K544" s="11">
        <v>66</v>
      </c>
      <c r="L544" s="6">
        <f t="shared" si="48"/>
        <v>79</v>
      </c>
      <c r="M544" s="12">
        <v>14.625</v>
      </c>
      <c r="N544" s="13">
        <f t="shared" si="49"/>
        <v>2120.625</v>
      </c>
      <c r="O544" s="13">
        <f t="shared" si="50"/>
        <v>965.25</v>
      </c>
      <c r="P544" s="14">
        <v>223.45286403</v>
      </c>
      <c r="Q544" s="8">
        <f t="shared" si="51"/>
        <v>32400.665284350001</v>
      </c>
      <c r="R544" s="8">
        <f t="shared" si="52"/>
        <v>14747.889025979999</v>
      </c>
      <c r="S544" s="15">
        <f t="shared" si="53"/>
        <v>0.45517241379310347</v>
      </c>
    </row>
    <row r="545" spans="1:19" x14ac:dyDescent="0.25">
      <c r="A545" s="10" t="s">
        <v>1378</v>
      </c>
      <c r="B545" s="10">
        <v>86204</v>
      </c>
      <c r="C545" s="10">
        <v>99703</v>
      </c>
      <c r="D545" s="10" t="s">
        <v>1379</v>
      </c>
      <c r="E545" s="10" t="s">
        <v>1380</v>
      </c>
      <c r="F545" s="10" t="s">
        <v>23</v>
      </c>
      <c r="G545" s="10" t="s">
        <v>12</v>
      </c>
      <c r="H545" s="10" t="s">
        <v>41</v>
      </c>
      <c r="I545" s="11">
        <v>30</v>
      </c>
      <c r="J545" s="11"/>
      <c r="K545" s="11">
        <v>17</v>
      </c>
      <c r="L545" s="6">
        <f t="shared" si="48"/>
        <v>13</v>
      </c>
      <c r="M545" s="12">
        <v>30.663</v>
      </c>
      <c r="N545" s="13">
        <f t="shared" si="49"/>
        <v>919.89</v>
      </c>
      <c r="O545" s="13">
        <f t="shared" si="50"/>
        <v>521.27099999999996</v>
      </c>
      <c r="P545" s="14">
        <v>185.30161593</v>
      </c>
      <c r="Q545" s="8">
        <f t="shared" si="51"/>
        <v>5559.0484778999999</v>
      </c>
      <c r="R545" s="8">
        <f t="shared" si="52"/>
        <v>3150.12747081</v>
      </c>
      <c r="S545" s="15">
        <f t="shared" si="53"/>
        <v>0.56666666666666665</v>
      </c>
    </row>
    <row r="546" spans="1:19" x14ac:dyDescent="0.25">
      <c r="A546" s="10" t="s">
        <v>1381</v>
      </c>
      <c r="B546" s="10">
        <v>86265</v>
      </c>
      <c r="C546" s="10">
        <v>100433</v>
      </c>
      <c r="D546" s="10" t="s">
        <v>1382</v>
      </c>
      <c r="E546" s="10" t="s">
        <v>1383</v>
      </c>
      <c r="F546" s="10" t="s">
        <v>23</v>
      </c>
      <c r="G546" s="10" t="s">
        <v>12</v>
      </c>
      <c r="H546" s="10" t="s">
        <v>41</v>
      </c>
      <c r="I546" s="11">
        <v>29</v>
      </c>
      <c r="J546" s="11"/>
      <c r="K546" s="11">
        <v>17</v>
      </c>
      <c r="L546" s="6">
        <f t="shared" si="48"/>
        <v>12</v>
      </c>
      <c r="M546" s="12">
        <v>47.725999999999999</v>
      </c>
      <c r="N546" s="13">
        <f t="shared" si="49"/>
        <v>1384.0540000000001</v>
      </c>
      <c r="O546" s="13">
        <f t="shared" si="50"/>
        <v>811.34199999999998</v>
      </c>
      <c r="P546" s="14">
        <v>161.11214362000001</v>
      </c>
      <c r="Q546" s="8">
        <f t="shared" si="51"/>
        <v>4672.2521649800001</v>
      </c>
      <c r="R546" s="8">
        <f t="shared" si="52"/>
        <v>2738.9064415400003</v>
      </c>
      <c r="S546" s="15">
        <f t="shared" si="53"/>
        <v>0.58620689655172409</v>
      </c>
    </row>
    <row r="547" spans="1:19" x14ac:dyDescent="0.25">
      <c r="A547" s="10" t="s">
        <v>1384</v>
      </c>
      <c r="B547" s="10">
        <v>86318</v>
      </c>
      <c r="C547" s="10">
        <v>99705</v>
      </c>
      <c r="D547" s="10" t="s">
        <v>1385</v>
      </c>
      <c r="E547" s="10" t="s">
        <v>1386</v>
      </c>
      <c r="F547" s="10" t="s">
        <v>23</v>
      </c>
      <c r="G547" s="10" t="s">
        <v>12</v>
      </c>
      <c r="H547" s="10" t="s">
        <v>41</v>
      </c>
      <c r="I547" s="11">
        <v>12</v>
      </c>
      <c r="J547" s="11"/>
      <c r="K547" s="11">
        <v>12</v>
      </c>
      <c r="L547" s="6">
        <f t="shared" si="48"/>
        <v>0</v>
      </c>
      <c r="M547" s="12">
        <v>28.908000000000001</v>
      </c>
      <c r="N547" s="13">
        <f t="shared" si="49"/>
        <v>346.89600000000002</v>
      </c>
      <c r="O547" s="13">
        <f t="shared" si="50"/>
        <v>346.89600000000002</v>
      </c>
      <c r="P547" s="14">
        <v>141.46852204000001</v>
      </c>
      <c r="Q547" s="8">
        <f t="shared" si="51"/>
        <v>1697.62226448</v>
      </c>
      <c r="R547" s="8">
        <f t="shared" si="52"/>
        <v>1697.62226448</v>
      </c>
      <c r="S547" s="15">
        <f t="shared" si="53"/>
        <v>1</v>
      </c>
    </row>
    <row r="548" spans="1:19" x14ac:dyDescent="0.25">
      <c r="A548" s="10" t="s">
        <v>1387</v>
      </c>
      <c r="B548" s="10">
        <v>86324</v>
      </c>
      <c r="C548" s="10">
        <v>100435</v>
      </c>
      <c r="D548" s="10" t="s">
        <v>1388</v>
      </c>
      <c r="E548" s="10" t="s">
        <v>1389</v>
      </c>
      <c r="F548" s="10" t="s">
        <v>23</v>
      </c>
      <c r="G548" s="10" t="s">
        <v>12</v>
      </c>
      <c r="H548" s="10" t="s">
        <v>41</v>
      </c>
      <c r="I548" s="11">
        <v>15</v>
      </c>
      <c r="J548" s="11"/>
      <c r="K548" s="11">
        <v>15</v>
      </c>
      <c r="L548" s="6">
        <f t="shared" si="48"/>
        <v>0</v>
      </c>
      <c r="M548" s="12">
        <v>15.161</v>
      </c>
      <c r="N548" s="13">
        <f t="shared" si="49"/>
        <v>227.41499999999999</v>
      </c>
      <c r="O548" s="13">
        <f t="shared" si="50"/>
        <v>227.41499999999999</v>
      </c>
      <c r="P548" s="14">
        <v>70.733066769999994</v>
      </c>
      <c r="Q548" s="8">
        <f t="shared" si="51"/>
        <v>1060.9960015499998</v>
      </c>
      <c r="R548" s="8">
        <f t="shared" si="52"/>
        <v>1060.9960015499998</v>
      </c>
      <c r="S548" s="15">
        <f t="shared" si="53"/>
        <v>1</v>
      </c>
    </row>
    <row r="549" spans="1:19" x14ac:dyDescent="0.25">
      <c r="A549" s="10" t="s">
        <v>1390</v>
      </c>
      <c r="B549" s="10">
        <v>86327</v>
      </c>
      <c r="C549" s="10">
        <v>100437</v>
      </c>
      <c r="D549" s="10" t="s">
        <v>1391</v>
      </c>
      <c r="E549" s="10"/>
      <c r="F549" s="10" t="s">
        <v>23</v>
      </c>
      <c r="G549" s="10" t="s">
        <v>12</v>
      </c>
      <c r="H549" s="10" t="s">
        <v>41</v>
      </c>
      <c r="I549" s="11">
        <v>312</v>
      </c>
      <c r="J549" s="11"/>
      <c r="K549" s="11">
        <v>0</v>
      </c>
      <c r="L549" s="6">
        <f t="shared" si="48"/>
        <v>312</v>
      </c>
      <c r="M549" s="12">
        <v>14.186</v>
      </c>
      <c r="N549" s="13">
        <f t="shared" si="49"/>
        <v>4426.0320000000002</v>
      </c>
      <c r="O549" s="13">
        <f t="shared" si="50"/>
        <v>0</v>
      </c>
      <c r="P549" s="14">
        <v>191.60401526000001</v>
      </c>
      <c r="Q549" s="8">
        <f t="shared" si="51"/>
        <v>59780.452761120003</v>
      </c>
      <c r="R549" s="8">
        <f t="shared" si="52"/>
        <v>0</v>
      </c>
      <c r="S549" s="15">
        <f t="shared" si="53"/>
        <v>0</v>
      </c>
    </row>
    <row r="550" spans="1:19" x14ac:dyDescent="0.25">
      <c r="A550" s="10" t="s">
        <v>1392</v>
      </c>
      <c r="B550" s="10">
        <v>86332</v>
      </c>
      <c r="C550" s="10">
        <v>99778</v>
      </c>
      <c r="D550" s="10" t="s">
        <v>1393</v>
      </c>
      <c r="E550" s="10" t="s">
        <v>1394</v>
      </c>
      <c r="F550" s="10" t="s">
        <v>23</v>
      </c>
      <c r="G550" s="10" t="s">
        <v>12</v>
      </c>
      <c r="H550" s="10" t="s">
        <v>41</v>
      </c>
      <c r="I550" s="11">
        <v>136</v>
      </c>
      <c r="J550" s="11"/>
      <c r="K550" s="11">
        <v>112</v>
      </c>
      <c r="L550" s="6">
        <f t="shared" si="48"/>
        <v>24</v>
      </c>
      <c r="M550" s="12">
        <v>47.335999999999999</v>
      </c>
      <c r="N550" s="13">
        <f t="shared" si="49"/>
        <v>6437.6959999999999</v>
      </c>
      <c r="O550" s="13">
        <f t="shared" si="50"/>
        <v>5301.6319999999996</v>
      </c>
      <c r="P550" s="14">
        <v>261.11940042999998</v>
      </c>
      <c r="Q550" s="8">
        <f t="shared" si="51"/>
        <v>35512.238458479995</v>
      </c>
      <c r="R550" s="8">
        <f t="shared" si="52"/>
        <v>29245.372848159997</v>
      </c>
      <c r="S550" s="15">
        <f t="shared" si="53"/>
        <v>0.82352941176470584</v>
      </c>
    </row>
    <row r="551" spans="1:19" x14ac:dyDescent="0.25">
      <c r="A551" s="10" t="s">
        <v>1395</v>
      </c>
      <c r="B551" s="10">
        <v>86373</v>
      </c>
      <c r="C551" s="10">
        <v>99779</v>
      </c>
      <c r="D551" s="10" t="s">
        <v>1396</v>
      </c>
      <c r="E551" s="10" t="s">
        <v>1397</v>
      </c>
      <c r="F551" s="10" t="s">
        <v>23</v>
      </c>
      <c r="G551" s="10" t="s">
        <v>12</v>
      </c>
      <c r="H551" s="10" t="s">
        <v>41</v>
      </c>
      <c r="I551" s="11">
        <v>138</v>
      </c>
      <c r="J551" s="11"/>
      <c r="K551" s="11">
        <v>112</v>
      </c>
      <c r="L551" s="6">
        <f t="shared" si="48"/>
        <v>26</v>
      </c>
      <c r="M551" s="12">
        <v>63.472000000000001</v>
      </c>
      <c r="N551" s="13">
        <f t="shared" si="49"/>
        <v>8759.1360000000004</v>
      </c>
      <c r="O551" s="13">
        <f t="shared" si="50"/>
        <v>7108.8640000000005</v>
      </c>
      <c r="P551" s="14">
        <v>218.05015520000001</v>
      </c>
      <c r="Q551" s="8">
        <f t="shared" si="51"/>
        <v>30090.921417600002</v>
      </c>
      <c r="R551" s="8">
        <f t="shared" si="52"/>
        <v>24421.6173824</v>
      </c>
      <c r="S551" s="15">
        <f t="shared" si="53"/>
        <v>0.81159420289855078</v>
      </c>
    </row>
    <row r="552" spans="1:19" x14ac:dyDescent="0.25">
      <c r="A552" s="10" t="s">
        <v>1398</v>
      </c>
      <c r="B552" s="10">
        <v>86383</v>
      </c>
      <c r="C552" s="10">
        <v>99780</v>
      </c>
      <c r="D552" s="10" t="s">
        <v>1399</v>
      </c>
      <c r="E552" s="10" t="s">
        <v>1400</v>
      </c>
      <c r="F552" s="10" t="s">
        <v>23</v>
      </c>
      <c r="G552" s="10" t="s">
        <v>12</v>
      </c>
      <c r="H552" s="10" t="s">
        <v>41</v>
      </c>
      <c r="I552" s="11">
        <v>140</v>
      </c>
      <c r="J552" s="11"/>
      <c r="K552" s="11">
        <v>102</v>
      </c>
      <c r="L552" s="6">
        <f t="shared" si="48"/>
        <v>38</v>
      </c>
      <c r="M552" s="12">
        <v>42.411999999999999</v>
      </c>
      <c r="N552" s="13">
        <f t="shared" si="49"/>
        <v>5937.68</v>
      </c>
      <c r="O552" s="13">
        <f t="shared" si="50"/>
        <v>4326.0240000000003</v>
      </c>
      <c r="P552" s="14">
        <v>178.13334234999999</v>
      </c>
      <c r="Q552" s="8">
        <f t="shared" si="51"/>
        <v>24938.667928999999</v>
      </c>
      <c r="R552" s="8">
        <f t="shared" si="52"/>
        <v>18169.600919699998</v>
      </c>
      <c r="S552" s="15">
        <f t="shared" si="53"/>
        <v>0.72857142857142854</v>
      </c>
    </row>
    <row r="553" spans="1:19" x14ac:dyDescent="0.25">
      <c r="A553" s="10" t="s">
        <v>1401</v>
      </c>
      <c r="B553" s="10">
        <v>86392</v>
      </c>
      <c r="C553" s="10">
        <v>102105</v>
      </c>
      <c r="D553" s="10" t="s">
        <v>1402</v>
      </c>
      <c r="E553" s="10" t="s">
        <v>1403</v>
      </c>
      <c r="F553" s="10" t="s">
        <v>22</v>
      </c>
      <c r="G553" s="10" t="s">
        <v>12</v>
      </c>
      <c r="H553" s="10" t="s">
        <v>41</v>
      </c>
      <c r="I553" s="11">
        <v>126</v>
      </c>
      <c r="J553" s="11"/>
      <c r="K553" s="11">
        <v>77</v>
      </c>
      <c r="L553" s="6">
        <f t="shared" si="48"/>
        <v>49</v>
      </c>
      <c r="M553" s="12">
        <v>15.015000000000001</v>
      </c>
      <c r="N553" s="13">
        <f t="shared" si="49"/>
        <v>1891.89</v>
      </c>
      <c r="O553" s="13">
        <f t="shared" si="50"/>
        <v>1156.155</v>
      </c>
      <c r="P553" s="14">
        <v>93.853065200000003</v>
      </c>
      <c r="Q553" s="8">
        <f t="shared" si="51"/>
        <v>11825.486215200001</v>
      </c>
      <c r="R553" s="8">
        <f t="shared" si="52"/>
        <v>7226.6860204000004</v>
      </c>
      <c r="S553" s="15">
        <f t="shared" si="53"/>
        <v>0.61111111111111116</v>
      </c>
    </row>
    <row r="554" spans="1:19" x14ac:dyDescent="0.25">
      <c r="A554" s="10" t="s">
        <v>1404</v>
      </c>
      <c r="B554" s="10">
        <v>86513</v>
      </c>
      <c r="C554" s="10">
        <v>99967</v>
      </c>
      <c r="D554" s="10" t="s">
        <v>1405</v>
      </c>
      <c r="E554" s="10" t="s">
        <v>1406</v>
      </c>
      <c r="F554" s="10" t="s">
        <v>21</v>
      </c>
      <c r="G554" s="10" t="s">
        <v>12</v>
      </c>
      <c r="H554" s="10" t="s">
        <v>41</v>
      </c>
      <c r="I554" s="11">
        <v>91</v>
      </c>
      <c r="J554" s="11"/>
      <c r="K554" s="11">
        <v>50</v>
      </c>
      <c r="L554" s="6">
        <f t="shared" si="48"/>
        <v>41</v>
      </c>
      <c r="M554" s="12">
        <v>27.3</v>
      </c>
      <c r="N554" s="13">
        <f t="shared" si="49"/>
        <v>2484.3000000000002</v>
      </c>
      <c r="O554" s="13">
        <f t="shared" si="50"/>
        <v>1365</v>
      </c>
      <c r="P554" s="14">
        <v>98.158672179999996</v>
      </c>
      <c r="Q554" s="8">
        <f t="shared" si="51"/>
        <v>8932.4391683800004</v>
      </c>
      <c r="R554" s="8">
        <f t="shared" si="52"/>
        <v>4907.9336089999997</v>
      </c>
      <c r="S554" s="15">
        <f t="shared" si="53"/>
        <v>0.5494505494505495</v>
      </c>
    </row>
    <row r="555" spans="1:19" x14ac:dyDescent="0.25">
      <c r="A555" s="10" t="s">
        <v>1407</v>
      </c>
      <c r="B555" s="10">
        <v>86513</v>
      </c>
      <c r="C555" s="10">
        <v>99967</v>
      </c>
      <c r="D555" s="10" t="s">
        <v>1405</v>
      </c>
      <c r="E555" s="10" t="s">
        <v>1408</v>
      </c>
      <c r="F555" s="10" t="s">
        <v>21</v>
      </c>
      <c r="G555" s="10" t="s">
        <v>12</v>
      </c>
      <c r="H555" s="10" t="s">
        <v>41</v>
      </c>
      <c r="I555" s="11">
        <v>21</v>
      </c>
      <c r="J555" s="11"/>
      <c r="K555" s="11">
        <v>0</v>
      </c>
      <c r="L555" s="6">
        <f t="shared" si="48"/>
        <v>21</v>
      </c>
      <c r="M555" s="12">
        <v>27.3</v>
      </c>
      <c r="N555" s="13">
        <f t="shared" si="49"/>
        <v>573.30000000000007</v>
      </c>
      <c r="O555" s="13">
        <f t="shared" si="50"/>
        <v>0</v>
      </c>
      <c r="P555" s="14">
        <v>96.705583540000006</v>
      </c>
      <c r="Q555" s="8">
        <f t="shared" si="51"/>
        <v>2030.8172543400001</v>
      </c>
      <c r="R555" s="8">
        <f t="shared" si="52"/>
        <v>0</v>
      </c>
      <c r="S555" s="15">
        <f t="shared" si="53"/>
        <v>0</v>
      </c>
    </row>
    <row r="556" spans="1:19" x14ac:dyDescent="0.25">
      <c r="A556" s="10" t="s">
        <v>1409</v>
      </c>
      <c r="B556" s="10">
        <v>86514</v>
      </c>
      <c r="C556" s="10">
        <v>99968</v>
      </c>
      <c r="D556" s="10" t="s">
        <v>1410</v>
      </c>
      <c r="E556" s="10" t="s">
        <v>1411</v>
      </c>
      <c r="F556" s="10" t="s">
        <v>21</v>
      </c>
      <c r="G556" s="10" t="s">
        <v>12</v>
      </c>
      <c r="H556" s="10" t="s">
        <v>41</v>
      </c>
      <c r="I556" s="11">
        <v>16</v>
      </c>
      <c r="J556" s="11"/>
      <c r="K556" s="11">
        <v>0</v>
      </c>
      <c r="L556" s="6">
        <f t="shared" si="48"/>
        <v>16</v>
      </c>
      <c r="M556" s="12">
        <v>44.85</v>
      </c>
      <c r="N556" s="13">
        <f t="shared" si="49"/>
        <v>717.6</v>
      </c>
      <c r="O556" s="13">
        <f t="shared" si="50"/>
        <v>0</v>
      </c>
      <c r="P556" s="14">
        <v>218.73977836</v>
      </c>
      <c r="Q556" s="8">
        <f t="shared" si="51"/>
        <v>3499.83645376</v>
      </c>
      <c r="R556" s="8">
        <f t="shared" si="52"/>
        <v>0</v>
      </c>
      <c r="S556" s="15">
        <f t="shared" si="53"/>
        <v>0</v>
      </c>
    </row>
    <row r="557" spans="1:19" x14ac:dyDescent="0.25">
      <c r="A557" s="10" t="s">
        <v>1412</v>
      </c>
      <c r="B557" s="10">
        <v>86514</v>
      </c>
      <c r="C557" s="10">
        <v>99968</v>
      </c>
      <c r="D557" s="10" t="s">
        <v>1410</v>
      </c>
      <c r="E557" s="10" t="s">
        <v>1413</v>
      </c>
      <c r="F557" s="10" t="s">
        <v>21</v>
      </c>
      <c r="G557" s="10" t="s">
        <v>12</v>
      </c>
      <c r="H557" s="10" t="s">
        <v>41</v>
      </c>
      <c r="I557" s="11">
        <v>92</v>
      </c>
      <c r="J557" s="11"/>
      <c r="K557" s="11">
        <v>50</v>
      </c>
      <c r="L557" s="6">
        <f t="shared" si="48"/>
        <v>42</v>
      </c>
      <c r="M557" s="12">
        <v>44.85</v>
      </c>
      <c r="N557" s="13">
        <f t="shared" si="49"/>
        <v>4126.2</v>
      </c>
      <c r="O557" s="13">
        <f t="shared" si="50"/>
        <v>2242.5</v>
      </c>
      <c r="P557" s="14">
        <v>222.16598368999999</v>
      </c>
      <c r="Q557" s="8">
        <f t="shared" si="51"/>
        <v>20439.270499480001</v>
      </c>
      <c r="R557" s="8">
        <f t="shared" si="52"/>
        <v>11108.2991845</v>
      </c>
      <c r="S557" s="15">
        <f t="shared" si="53"/>
        <v>0.54347826086956519</v>
      </c>
    </row>
    <row r="558" spans="1:19" x14ac:dyDescent="0.25">
      <c r="A558" s="10" t="s">
        <v>1414</v>
      </c>
      <c r="B558" s="10">
        <v>86837</v>
      </c>
      <c r="C558" s="10">
        <v>97969</v>
      </c>
      <c r="D558" s="10" t="s">
        <v>1415</v>
      </c>
      <c r="E558" s="10" t="s">
        <v>1416</v>
      </c>
      <c r="F558" s="10" t="s">
        <v>22</v>
      </c>
      <c r="G558" s="10" t="s">
        <v>12</v>
      </c>
      <c r="H558" s="10" t="s">
        <v>41</v>
      </c>
      <c r="I558" s="11">
        <v>5</v>
      </c>
      <c r="J558" s="11"/>
      <c r="K558" s="11">
        <v>0</v>
      </c>
      <c r="L558" s="6">
        <f t="shared" si="48"/>
        <v>5</v>
      </c>
      <c r="M558" s="12">
        <v>15.6</v>
      </c>
      <c r="N558" s="13">
        <f t="shared" si="49"/>
        <v>78</v>
      </c>
      <c r="O558" s="13">
        <f t="shared" si="50"/>
        <v>0</v>
      </c>
      <c r="P558" s="14">
        <v>76.983251060000001</v>
      </c>
      <c r="Q558" s="8">
        <f t="shared" si="51"/>
        <v>384.91625529999999</v>
      </c>
      <c r="R558" s="8">
        <f t="shared" si="52"/>
        <v>0</v>
      </c>
      <c r="S558" s="15">
        <f t="shared" si="53"/>
        <v>0</v>
      </c>
    </row>
    <row r="559" spans="1:19" x14ac:dyDescent="0.25">
      <c r="A559" s="10" t="s">
        <v>1417</v>
      </c>
      <c r="B559" s="10">
        <v>87023</v>
      </c>
      <c r="C559" s="10">
        <v>102956</v>
      </c>
      <c r="D559" s="10" t="s">
        <v>1418</v>
      </c>
      <c r="E559" s="10" t="s">
        <v>1419</v>
      </c>
      <c r="F559" s="10" t="s">
        <v>21</v>
      </c>
      <c r="G559" s="10" t="s">
        <v>12</v>
      </c>
      <c r="H559" s="10" t="s">
        <v>41</v>
      </c>
      <c r="I559" s="11">
        <v>2</v>
      </c>
      <c r="J559" s="11"/>
      <c r="K559" s="11">
        <v>0</v>
      </c>
      <c r="L559" s="6">
        <f t="shared" si="48"/>
        <v>2</v>
      </c>
      <c r="M559" s="12">
        <v>34.125</v>
      </c>
      <c r="N559" s="13">
        <f t="shared" si="49"/>
        <v>68.25</v>
      </c>
      <c r="O559" s="13">
        <f t="shared" si="50"/>
        <v>0</v>
      </c>
      <c r="P559" s="14">
        <v>192.56198366000001</v>
      </c>
      <c r="Q559" s="8">
        <f t="shared" si="51"/>
        <v>385.12396732000002</v>
      </c>
      <c r="R559" s="8">
        <f t="shared" si="52"/>
        <v>0</v>
      </c>
      <c r="S559" s="15">
        <f t="shared" si="53"/>
        <v>0</v>
      </c>
    </row>
    <row r="560" spans="1:19" x14ac:dyDescent="0.25">
      <c r="A560" s="10" t="s">
        <v>1420</v>
      </c>
      <c r="B560" s="10">
        <v>87023</v>
      </c>
      <c r="C560" s="10">
        <v>102956</v>
      </c>
      <c r="D560" s="10" t="s">
        <v>1418</v>
      </c>
      <c r="E560" s="10" t="s">
        <v>1421</v>
      </c>
      <c r="F560" s="10" t="s">
        <v>21</v>
      </c>
      <c r="G560" s="10" t="s">
        <v>12</v>
      </c>
      <c r="H560" s="10" t="s">
        <v>41</v>
      </c>
      <c r="I560" s="11">
        <v>2</v>
      </c>
      <c r="J560" s="11"/>
      <c r="K560" s="11">
        <v>0</v>
      </c>
      <c r="L560" s="6">
        <f t="shared" si="48"/>
        <v>2</v>
      </c>
      <c r="M560" s="12">
        <v>34.125</v>
      </c>
      <c r="N560" s="13">
        <f t="shared" si="49"/>
        <v>68.25</v>
      </c>
      <c r="O560" s="13">
        <f t="shared" si="50"/>
        <v>0</v>
      </c>
      <c r="P560" s="14">
        <v>188.88345733</v>
      </c>
      <c r="Q560" s="8">
        <f t="shared" si="51"/>
        <v>377.76691466</v>
      </c>
      <c r="R560" s="8">
        <f t="shared" si="52"/>
        <v>0</v>
      </c>
      <c r="S560" s="15">
        <f t="shared" si="53"/>
        <v>0</v>
      </c>
    </row>
    <row r="561" spans="1:19" x14ac:dyDescent="0.25">
      <c r="A561" s="10" t="s">
        <v>1422</v>
      </c>
      <c r="B561" s="10">
        <v>87025</v>
      </c>
      <c r="C561" s="10">
        <v>102955</v>
      </c>
      <c r="D561" s="10" t="s">
        <v>1423</v>
      </c>
      <c r="E561" s="10" t="s">
        <v>1424</v>
      </c>
      <c r="F561" s="10" t="s">
        <v>21</v>
      </c>
      <c r="G561" s="10" t="s">
        <v>12</v>
      </c>
      <c r="H561" s="10" t="s">
        <v>41</v>
      </c>
      <c r="I561" s="11">
        <v>2</v>
      </c>
      <c r="J561" s="11"/>
      <c r="K561" s="11">
        <v>0</v>
      </c>
      <c r="L561" s="6">
        <f t="shared" si="48"/>
        <v>2</v>
      </c>
      <c r="M561" s="12">
        <v>39</v>
      </c>
      <c r="N561" s="13">
        <f t="shared" si="49"/>
        <v>78</v>
      </c>
      <c r="O561" s="13">
        <f t="shared" si="50"/>
        <v>0</v>
      </c>
      <c r="P561" s="14">
        <v>206.72334298999999</v>
      </c>
      <c r="Q561" s="8">
        <f t="shared" si="51"/>
        <v>413.44668597999998</v>
      </c>
      <c r="R561" s="8">
        <f t="shared" si="52"/>
        <v>0</v>
      </c>
      <c r="S561" s="15">
        <f t="shared" si="53"/>
        <v>0</v>
      </c>
    </row>
    <row r="562" spans="1:19" x14ac:dyDescent="0.25">
      <c r="A562" s="10" t="s">
        <v>1425</v>
      </c>
      <c r="B562" s="10">
        <v>87025</v>
      </c>
      <c r="C562" s="10">
        <v>102955</v>
      </c>
      <c r="D562" s="10" t="s">
        <v>1423</v>
      </c>
      <c r="E562" s="10" t="s">
        <v>1426</v>
      </c>
      <c r="F562" s="10" t="s">
        <v>21</v>
      </c>
      <c r="G562" s="10" t="s">
        <v>12</v>
      </c>
      <c r="H562" s="10" t="s">
        <v>41</v>
      </c>
      <c r="I562" s="11">
        <v>2</v>
      </c>
      <c r="J562" s="11"/>
      <c r="K562" s="11">
        <v>0</v>
      </c>
      <c r="L562" s="6">
        <f t="shared" si="48"/>
        <v>2</v>
      </c>
      <c r="M562" s="12">
        <v>39</v>
      </c>
      <c r="N562" s="13">
        <f t="shared" si="49"/>
        <v>78</v>
      </c>
      <c r="O562" s="13">
        <f t="shared" si="50"/>
        <v>0</v>
      </c>
      <c r="P562" s="14">
        <v>206.22667168000001</v>
      </c>
      <c r="Q562" s="8">
        <f t="shared" si="51"/>
        <v>412.45334336000002</v>
      </c>
      <c r="R562" s="8">
        <f t="shared" si="52"/>
        <v>0</v>
      </c>
      <c r="S562" s="15">
        <f t="shared" si="53"/>
        <v>0</v>
      </c>
    </row>
    <row r="563" spans="1:19" x14ac:dyDescent="0.25">
      <c r="A563" s="10" t="s">
        <v>1427</v>
      </c>
      <c r="B563" s="10">
        <v>87100</v>
      </c>
      <c r="C563" s="10">
        <v>104348</v>
      </c>
      <c r="D563" s="10" t="s">
        <v>1428</v>
      </c>
      <c r="E563" s="10" t="s">
        <v>1429</v>
      </c>
      <c r="F563" s="10" t="s">
        <v>23</v>
      </c>
      <c r="G563" s="10" t="s">
        <v>12</v>
      </c>
      <c r="H563" s="10" t="s">
        <v>41</v>
      </c>
      <c r="I563" s="11">
        <v>168</v>
      </c>
      <c r="J563" s="11"/>
      <c r="K563" s="11">
        <v>0</v>
      </c>
      <c r="L563" s="6">
        <f t="shared" si="48"/>
        <v>168</v>
      </c>
      <c r="M563" s="12">
        <v>46.8</v>
      </c>
      <c r="N563" s="13">
        <f t="shared" si="49"/>
        <v>7862.4</v>
      </c>
      <c r="O563" s="13">
        <f t="shared" si="50"/>
        <v>0</v>
      </c>
      <c r="P563" s="14">
        <v>229.36888299</v>
      </c>
      <c r="Q563" s="8">
        <f t="shared" si="51"/>
        <v>38533.972342319998</v>
      </c>
      <c r="R563" s="8">
        <f t="shared" si="52"/>
        <v>0</v>
      </c>
      <c r="S563" s="15">
        <f t="shared" si="53"/>
        <v>0</v>
      </c>
    </row>
    <row r="564" spans="1:19" x14ac:dyDescent="0.25">
      <c r="A564" s="10" t="s">
        <v>1430</v>
      </c>
      <c r="B564" s="10">
        <v>87100</v>
      </c>
      <c r="C564" s="10">
        <v>104348</v>
      </c>
      <c r="D564" s="10" t="s">
        <v>1428</v>
      </c>
      <c r="E564" s="10" t="s">
        <v>1431</v>
      </c>
      <c r="F564" s="10" t="s">
        <v>23</v>
      </c>
      <c r="G564" s="10" t="s">
        <v>12</v>
      </c>
      <c r="H564" s="10" t="s">
        <v>41</v>
      </c>
      <c r="I564" s="11">
        <v>186</v>
      </c>
      <c r="J564" s="11"/>
      <c r="K564" s="11">
        <v>1</v>
      </c>
      <c r="L564" s="6">
        <f t="shared" si="48"/>
        <v>185</v>
      </c>
      <c r="M564" s="12">
        <v>46.8</v>
      </c>
      <c r="N564" s="13">
        <f t="shared" si="49"/>
        <v>8704.7999999999993</v>
      </c>
      <c r="O564" s="13">
        <f t="shared" si="50"/>
        <v>46.8</v>
      </c>
      <c r="P564" s="14">
        <v>211.01848186000001</v>
      </c>
      <c r="Q564" s="8">
        <f t="shared" si="51"/>
        <v>39249.437625960003</v>
      </c>
      <c r="R564" s="8">
        <f t="shared" si="52"/>
        <v>211.01848186000001</v>
      </c>
      <c r="S564" s="15">
        <f t="shared" si="53"/>
        <v>5.3763440860215058E-3</v>
      </c>
    </row>
    <row r="565" spans="1:19" x14ac:dyDescent="0.25">
      <c r="A565" s="10" t="s">
        <v>1432</v>
      </c>
      <c r="B565" s="10">
        <v>87103</v>
      </c>
      <c r="C565" s="10">
        <v>104349</v>
      </c>
      <c r="D565" s="10" t="s">
        <v>1433</v>
      </c>
      <c r="E565" s="10" t="s">
        <v>1434</v>
      </c>
      <c r="F565" s="10" t="s">
        <v>23</v>
      </c>
      <c r="G565" s="10" t="s">
        <v>12</v>
      </c>
      <c r="H565" s="10" t="s">
        <v>41</v>
      </c>
      <c r="I565" s="11">
        <v>151</v>
      </c>
      <c r="J565" s="11"/>
      <c r="K565" s="11">
        <v>1</v>
      </c>
      <c r="L565" s="6">
        <f t="shared" si="48"/>
        <v>150</v>
      </c>
      <c r="M565" s="12">
        <v>37.536999999999999</v>
      </c>
      <c r="N565" s="13">
        <f t="shared" si="49"/>
        <v>5668.0869999999995</v>
      </c>
      <c r="O565" s="13">
        <f t="shared" si="50"/>
        <v>37.536999999999999</v>
      </c>
      <c r="P565" s="14">
        <v>166.91445535</v>
      </c>
      <c r="Q565" s="8">
        <f t="shared" si="51"/>
        <v>25204.082757849999</v>
      </c>
      <c r="R565" s="8">
        <f t="shared" si="52"/>
        <v>166.91445535</v>
      </c>
      <c r="S565" s="15">
        <f t="shared" si="53"/>
        <v>6.6225165562913907E-3</v>
      </c>
    </row>
    <row r="566" spans="1:19" x14ac:dyDescent="0.25">
      <c r="A566" s="10" t="s">
        <v>1435</v>
      </c>
      <c r="B566" s="10">
        <v>87103</v>
      </c>
      <c r="C566" s="10">
        <v>104349</v>
      </c>
      <c r="D566" s="10" t="s">
        <v>1433</v>
      </c>
      <c r="E566" s="10" t="s">
        <v>1436</v>
      </c>
      <c r="F566" s="10" t="s">
        <v>23</v>
      </c>
      <c r="G566" s="10" t="s">
        <v>12</v>
      </c>
      <c r="H566" s="10" t="s">
        <v>41</v>
      </c>
      <c r="I566" s="11">
        <v>337</v>
      </c>
      <c r="J566" s="11"/>
      <c r="K566" s="11">
        <v>5</v>
      </c>
      <c r="L566" s="6">
        <f t="shared" si="48"/>
        <v>332</v>
      </c>
      <c r="M566" s="12">
        <v>37.536999999999999</v>
      </c>
      <c r="N566" s="13">
        <f t="shared" si="49"/>
        <v>12649.968999999999</v>
      </c>
      <c r="O566" s="13">
        <f t="shared" si="50"/>
        <v>187.685</v>
      </c>
      <c r="P566" s="14">
        <v>181.76986962000001</v>
      </c>
      <c r="Q566" s="8">
        <f t="shared" si="51"/>
        <v>61256.446061940005</v>
      </c>
      <c r="R566" s="8">
        <f t="shared" si="52"/>
        <v>908.84934810000004</v>
      </c>
      <c r="S566" s="15">
        <f t="shared" si="53"/>
        <v>1.483679525222552E-2</v>
      </c>
    </row>
    <row r="567" spans="1:19" x14ac:dyDescent="0.25">
      <c r="A567" s="10" t="s">
        <v>1437</v>
      </c>
      <c r="B567" s="10">
        <v>87105</v>
      </c>
      <c r="C567" s="10">
        <v>104350</v>
      </c>
      <c r="D567" s="10" t="s">
        <v>1438</v>
      </c>
      <c r="E567" s="10" t="s">
        <v>1439</v>
      </c>
      <c r="F567" s="10" t="s">
        <v>23</v>
      </c>
      <c r="G567" s="10" t="s">
        <v>12</v>
      </c>
      <c r="H567" s="10" t="s">
        <v>41</v>
      </c>
      <c r="I567" s="11">
        <v>146</v>
      </c>
      <c r="J567" s="11"/>
      <c r="K567" s="11">
        <v>1</v>
      </c>
      <c r="L567" s="6">
        <f t="shared" si="48"/>
        <v>145</v>
      </c>
      <c r="M567" s="12">
        <v>24.375</v>
      </c>
      <c r="N567" s="13">
        <f t="shared" si="49"/>
        <v>3558.75</v>
      </c>
      <c r="O567" s="13">
        <f t="shared" si="50"/>
        <v>24.375</v>
      </c>
      <c r="P567" s="14">
        <v>71.124168080000004</v>
      </c>
      <c r="Q567" s="8">
        <f t="shared" si="51"/>
        <v>10384.128539680001</v>
      </c>
      <c r="R567" s="8">
        <f t="shared" si="52"/>
        <v>71.124168080000004</v>
      </c>
      <c r="S567" s="15">
        <f t="shared" si="53"/>
        <v>6.8493150684931503E-3</v>
      </c>
    </row>
    <row r="568" spans="1:19" x14ac:dyDescent="0.25">
      <c r="A568" s="10" t="s">
        <v>1440</v>
      </c>
      <c r="B568" s="10">
        <v>87105</v>
      </c>
      <c r="C568" s="10">
        <v>104350</v>
      </c>
      <c r="D568" s="10" t="s">
        <v>1438</v>
      </c>
      <c r="E568" s="10" t="s">
        <v>1441</v>
      </c>
      <c r="F568" s="10" t="s">
        <v>23</v>
      </c>
      <c r="G568" s="10" t="s">
        <v>12</v>
      </c>
      <c r="H568" s="10" t="s">
        <v>41</v>
      </c>
      <c r="I568" s="11">
        <v>67</v>
      </c>
      <c r="J568" s="11"/>
      <c r="K568" s="11">
        <v>1</v>
      </c>
      <c r="L568" s="6">
        <f t="shared" si="48"/>
        <v>66</v>
      </c>
      <c r="M568" s="12">
        <v>24.375</v>
      </c>
      <c r="N568" s="13">
        <f t="shared" si="49"/>
        <v>1633.125</v>
      </c>
      <c r="O568" s="13">
        <f t="shared" si="50"/>
        <v>24.375</v>
      </c>
      <c r="P568" s="14">
        <v>89.158372970000002</v>
      </c>
      <c r="Q568" s="8">
        <f t="shared" si="51"/>
        <v>5973.6109889899999</v>
      </c>
      <c r="R568" s="8">
        <f t="shared" si="52"/>
        <v>89.158372970000002</v>
      </c>
      <c r="S568" s="15">
        <f t="shared" si="53"/>
        <v>1.4925373134328358E-2</v>
      </c>
    </row>
    <row r="569" spans="1:19" x14ac:dyDescent="0.25">
      <c r="A569" s="10" t="s">
        <v>1442</v>
      </c>
      <c r="B569" s="10">
        <v>87107</v>
      </c>
      <c r="C569" s="10">
        <v>104351</v>
      </c>
      <c r="D569" s="10" t="s">
        <v>1443</v>
      </c>
      <c r="E569" s="10" t="s">
        <v>1444</v>
      </c>
      <c r="F569" s="10" t="s">
        <v>23</v>
      </c>
      <c r="G569" s="10" t="s">
        <v>12</v>
      </c>
      <c r="H569" s="10" t="s">
        <v>41</v>
      </c>
      <c r="I569" s="11">
        <v>14</v>
      </c>
      <c r="J569" s="11"/>
      <c r="K569" s="11">
        <v>1</v>
      </c>
      <c r="L569" s="6">
        <f t="shared" si="48"/>
        <v>13</v>
      </c>
      <c r="M569" s="12">
        <v>23.4</v>
      </c>
      <c r="N569" s="13">
        <f t="shared" si="49"/>
        <v>327.59999999999997</v>
      </c>
      <c r="O569" s="13">
        <f t="shared" si="50"/>
        <v>23.4</v>
      </c>
      <c r="P569" s="14">
        <v>99.966639860000001</v>
      </c>
      <c r="Q569" s="8">
        <f t="shared" si="51"/>
        <v>1399.53295804</v>
      </c>
      <c r="R569" s="8">
        <f t="shared" si="52"/>
        <v>99.966639860000001</v>
      </c>
      <c r="S569" s="15">
        <f t="shared" si="53"/>
        <v>7.1428571428571425E-2</v>
      </c>
    </row>
    <row r="570" spans="1:19" x14ac:dyDescent="0.25">
      <c r="A570" s="10" t="s">
        <v>1445</v>
      </c>
      <c r="B570" s="10">
        <v>87107</v>
      </c>
      <c r="C570" s="10">
        <v>104351</v>
      </c>
      <c r="D570" s="10" t="s">
        <v>1443</v>
      </c>
      <c r="E570" s="10" t="s">
        <v>1446</v>
      </c>
      <c r="F570" s="10" t="s">
        <v>23</v>
      </c>
      <c r="G570" s="10" t="s">
        <v>12</v>
      </c>
      <c r="H570" s="10" t="s">
        <v>41</v>
      </c>
      <c r="I570" s="11">
        <v>0</v>
      </c>
      <c r="J570" s="11"/>
      <c r="K570" s="11">
        <v>0</v>
      </c>
      <c r="L570" s="6">
        <f t="shared" si="48"/>
        <v>0</v>
      </c>
      <c r="M570" s="12">
        <v>23.4</v>
      </c>
      <c r="N570" s="13">
        <f t="shared" si="49"/>
        <v>0</v>
      </c>
      <c r="O570" s="13">
        <f t="shared" si="50"/>
        <v>0</v>
      </c>
      <c r="P570" s="14">
        <v>108.19219655000001</v>
      </c>
      <c r="Q570" s="8">
        <f t="shared" si="51"/>
        <v>0</v>
      </c>
      <c r="R570" s="8">
        <f t="shared" si="52"/>
        <v>0</v>
      </c>
      <c r="S570" s="15">
        <f t="shared" si="53"/>
        <v>0</v>
      </c>
    </row>
    <row r="571" spans="1:19" x14ac:dyDescent="0.25">
      <c r="A571" s="10" t="s">
        <v>1447</v>
      </c>
      <c r="B571" s="10">
        <v>87110</v>
      </c>
      <c r="C571" s="10">
        <v>104352</v>
      </c>
      <c r="D571" s="10" t="s">
        <v>1448</v>
      </c>
      <c r="E571" s="10" t="s">
        <v>1449</v>
      </c>
      <c r="F571" s="10" t="s">
        <v>23</v>
      </c>
      <c r="G571" s="10" t="s">
        <v>12</v>
      </c>
      <c r="H571" s="10" t="s">
        <v>41</v>
      </c>
      <c r="I571" s="11">
        <v>147</v>
      </c>
      <c r="J571" s="11"/>
      <c r="K571" s="11">
        <v>1</v>
      </c>
      <c r="L571" s="6">
        <f t="shared" si="48"/>
        <v>146</v>
      </c>
      <c r="M571" s="12">
        <v>16.331</v>
      </c>
      <c r="N571" s="13">
        <f t="shared" si="49"/>
        <v>2400.6570000000002</v>
      </c>
      <c r="O571" s="13">
        <f t="shared" si="50"/>
        <v>16.331</v>
      </c>
      <c r="P571" s="14">
        <v>52.68797094</v>
      </c>
      <c r="Q571" s="8">
        <f t="shared" si="51"/>
        <v>7745.1317281800002</v>
      </c>
      <c r="R571" s="8">
        <f t="shared" si="52"/>
        <v>52.68797094</v>
      </c>
      <c r="S571" s="15">
        <f t="shared" si="53"/>
        <v>6.8027210884353739E-3</v>
      </c>
    </row>
    <row r="572" spans="1:19" x14ac:dyDescent="0.25">
      <c r="A572" s="10" t="s">
        <v>1450</v>
      </c>
      <c r="B572" s="10">
        <v>87110</v>
      </c>
      <c r="C572" s="10">
        <v>104352</v>
      </c>
      <c r="D572" s="10" t="s">
        <v>1448</v>
      </c>
      <c r="E572" s="10" t="s">
        <v>1451</v>
      </c>
      <c r="F572" s="10" t="s">
        <v>23</v>
      </c>
      <c r="G572" s="10" t="s">
        <v>12</v>
      </c>
      <c r="H572" s="10" t="s">
        <v>41</v>
      </c>
      <c r="I572" s="11">
        <v>67</v>
      </c>
      <c r="J572" s="11"/>
      <c r="K572" s="11">
        <v>1</v>
      </c>
      <c r="L572" s="6">
        <f t="shared" si="48"/>
        <v>66</v>
      </c>
      <c r="M572" s="12">
        <v>16.331</v>
      </c>
      <c r="N572" s="13">
        <f t="shared" si="49"/>
        <v>1094.1769999999999</v>
      </c>
      <c r="O572" s="13">
        <f t="shared" si="50"/>
        <v>16.331</v>
      </c>
      <c r="P572" s="14">
        <v>46.612388860000003</v>
      </c>
      <c r="Q572" s="8">
        <f t="shared" si="51"/>
        <v>3123.0300536200002</v>
      </c>
      <c r="R572" s="8">
        <f t="shared" si="52"/>
        <v>46.612388860000003</v>
      </c>
      <c r="S572" s="15">
        <f t="shared" si="53"/>
        <v>1.4925373134328358E-2</v>
      </c>
    </row>
    <row r="573" spans="1:19" x14ac:dyDescent="0.25">
      <c r="A573" s="10" t="s">
        <v>1452</v>
      </c>
      <c r="B573" s="10">
        <v>87112</v>
      </c>
      <c r="C573" s="10">
        <v>104353</v>
      </c>
      <c r="D573" s="10" t="s">
        <v>1453</v>
      </c>
      <c r="E573" s="10" t="s">
        <v>1454</v>
      </c>
      <c r="F573" s="10" t="s">
        <v>23</v>
      </c>
      <c r="G573" s="10" t="s">
        <v>12</v>
      </c>
      <c r="H573" s="10" t="s">
        <v>41</v>
      </c>
      <c r="I573" s="11">
        <v>51</v>
      </c>
      <c r="J573" s="11"/>
      <c r="K573" s="11">
        <v>0</v>
      </c>
      <c r="L573" s="6">
        <f t="shared" si="48"/>
        <v>51</v>
      </c>
      <c r="M573" s="12">
        <v>9.5549999999999997</v>
      </c>
      <c r="N573" s="13">
        <f t="shared" si="49"/>
        <v>487.30500000000001</v>
      </c>
      <c r="O573" s="13">
        <f t="shared" si="50"/>
        <v>0</v>
      </c>
      <c r="P573" s="14">
        <v>34.779663040000003</v>
      </c>
      <c r="Q573" s="8">
        <f t="shared" si="51"/>
        <v>1773.7628150400001</v>
      </c>
      <c r="R573" s="8">
        <f t="shared" si="52"/>
        <v>0</v>
      </c>
      <c r="S573" s="15">
        <f t="shared" si="53"/>
        <v>0</v>
      </c>
    </row>
    <row r="574" spans="1:19" x14ac:dyDescent="0.25">
      <c r="A574" s="10" t="s">
        <v>1455</v>
      </c>
      <c r="B574" s="10">
        <v>87112</v>
      </c>
      <c r="C574" s="10">
        <v>104353</v>
      </c>
      <c r="D574" s="10" t="s">
        <v>1453</v>
      </c>
      <c r="E574" s="10" t="s">
        <v>1456</v>
      </c>
      <c r="F574" s="10" t="s">
        <v>23</v>
      </c>
      <c r="G574" s="10" t="s">
        <v>12</v>
      </c>
      <c r="H574" s="10" t="s">
        <v>41</v>
      </c>
      <c r="I574" s="11">
        <v>112</v>
      </c>
      <c r="J574" s="11"/>
      <c r="K574" s="11">
        <v>1</v>
      </c>
      <c r="L574" s="6">
        <f t="shared" si="48"/>
        <v>111</v>
      </c>
      <c r="M574" s="12">
        <v>9.5549999999999997</v>
      </c>
      <c r="N574" s="13">
        <f t="shared" si="49"/>
        <v>1070.1599999999999</v>
      </c>
      <c r="O574" s="13">
        <f t="shared" si="50"/>
        <v>9.5549999999999997</v>
      </c>
      <c r="P574" s="14">
        <v>40.498458220000003</v>
      </c>
      <c r="Q574" s="8">
        <f t="shared" si="51"/>
        <v>4535.8273206400008</v>
      </c>
      <c r="R574" s="8">
        <f t="shared" si="52"/>
        <v>40.498458220000003</v>
      </c>
      <c r="S574" s="15">
        <f t="shared" si="53"/>
        <v>8.9285714285714281E-3</v>
      </c>
    </row>
    <row r="575" spans="1:19" x14ac:dyDescent="0.25">
      <c r="A575" s="10" t="s">
        <v>1457</v>
      </c>
      <c r="B575" s="10">
        <v>87121</v>
      </c>
      <c r="C575" s="10">
        <v>104474</v>
      </c>
      <c r="D575" s="10" t="s">
        <v>1458</v>
      </c>
      <c r="E575" s="10" t="s">
        <v>1459</v>
      </c>
      <c r="F575" s="10" t="s">
        <v>23</v>
      </c>
      <c r="G575" s="10" t="s">
        <v>12</v>
      </c>
      <c r="H575" s="10" t="s">
        <v>41</v>
      </c>
      <c r="I575" s="11">
        <v>118</v>
      </c>
      <c r="J575" s="11"/>
      <c r="K575" s="11">
        <v>0</v>
      </c>
      <c r="L575" s="6">
        <f t="shared" si="48"/>
        <v>118</v>
      </c>
      <c r="M575" s="12">
        <v>49.725000000000001</v>
      </c>
      <c r="N575" s="13">
        <f t="shared" si="49"/>
        <v>5867.55</v>
      </c>
      <c r="O575" s="13">
        <f t="shared" si="50"/>
        <v>0</v>
      </c>
      <c r="P575" s="14">
        <v>172.76027096000001</v>
      </c>
      <c r="Q575" s="8">
        <f t="shared" si="51"/>
        <v>20385.711973280002</v>
      </c>
      <c r="R575" s="8">
        <f t="shared" si="52"/>
        <v>0</v>
      </c>
      <c r="S575" s="15">
        <f t="shared" si="53"/>
        <v>0</v>
      </c>
    </row>
    <row r="576" spans="1:19" x14ac:dyDescent="0.25">
      <c r="A576" s="10" t="s">
        <v>1460</v>
      </c>
      <c r="B576" s="10">
        <v>87121</v>
      </c>
      <c r="C576" s="10">
        <v>104474</v>
      </c>
      <c r="D576" s="10" t="s">
        <v>1458</v>
      </c>
      <c r="E576" s="10" t="s">
        <v>1461</v>
      </c>
      <c r="F576" s="10" t="s">
        <v>23</v>
      </c>
      <c r="G576" s="10" t="s">
        <v>12</v>
      </c>
      <c r="H576" s="10" t="s">
        <v>41</v>
      </c>
      <c r="I576" s="11">
        <v>92</v>
      </c>
      <c r="J576" s="11"/>
      <c r="K576" s="11">
        <v>65</v>
      </c>
      <c r="L576" s="6">
        <f t="shared" si="48"/>
        <v>27</v>
      </c>
      <c r="M576" s="12">
        <v>49.725000000000001</v>
      </c>
      <c r="N576" s="13">
        <f t="shared" si="49"/>
        <v>4574.7</v>
      </c>
      <c r="O576" s="13">
        <f t="shared" si="50"/>
        <v>3232.125</v>
      </c>
      <c r="P576" s="14">
        <v>178.25646164</v>
      </c>
      <c r="Q576" s="8">
        <f t="shared" si="51"/>
        <v>16399.594470880002</v>
      </c>
      <c r="R576" s="8">
        <f t="shared" si="52"/>
        <v>11586.670006599999</v>
      </c>
      <c r="S576" s="15">
        <f t="shared" si="53"/>
        <v>0.70652173913043481</v>
      </c>
    </row>
    <row r="577" spans="1:19" x14ac:dyDescent="0.25">
      <c r="A577" s="10" t="s">
        <v>1462</v>
      </c>
      <c r="B577" s="10">
        <v>87123</v>
      </c>
      <c r="C577" s="10">
        <v>104475</v>
      </c>
      <c r="D577" s="10" t="s">
        <v>1463</v>
      </c>
      <c r="E577" s="10" t="s">
        <v>1464</v>
      </c>
      <c r="F577" s="10" t="s">
        <v>23</v>
      </c>
      <c r="G577" s="10" t="s">
        <v>12</v>
      </c>
      <c r="H577" s="10" t="s">
        <v>41</v>
      </c>
      <c r="I577" s="11">
        <v>54</v>
      </c>
      <c r="J577" s="11"/>
      <c r="K577" s="11">
        <v>49</v>
      </c>
      <c r="L577" s="6">
        <f t="shared" si="48"/>
        <v>5</v>
      </c>
      <c r="M577" s="12">
        <v>55.575000000000003</v>
      </c>
      <c r="N577" s="13">
        <f t="shared" si="49"/>
        <v>3001.05</v>
      </c>
      <c r="O577" s="13">
        <f t="shared" si="50"/>
        <v>2723.1750000000002</v>
      </c>
      <c r="P577" s="14">
        <v>318.61987625</v>
      </c>
      <c r="Q577" s="8">
        <f t="shared" si="51"/>
        <v>17205.4733175</v>
      </c>
      <c r="R577" s="8">
        <f t="shared" si="52"/>
        <v>15612.37393625</v>
      </c>
      <c r="S577" s="15">
        <f t="shared" si="53"/>
        <v>0.90740740740740744</v>
      </c>
    </row>
    <row r="578" spans="1:19" x14ac:dyDescent="0.25">
      <c r="A578" s="10" t="s">
        <v>1465</v>
      </c>
      <c r="B578" s="10">
        <v>87123</v>
      </c>
      <c r="C578" s="10">
        <v>104475</v>
      </c>
      <c r="D578" s="10" t="s">
        <v>1463</v>
      </c>
      <c r="E578" s="10" t="s">
        <v>1466</v>
      </c>
      <c r="F578" s="10" t="s">
        <v>23</v>
      </c>
      <c r="G578" s="10" t="s">
        <v>12</v>
      </c>
      <c r="H578" s="10" t="s">
        <v>41</v>
      </c>
      <c r="I578" s="11">
        <v>51</v>
      </c>
      <c r="J578" s="11"/>
      <c r="K578" s="11">
        <v>51</v>
      </c>
      <c r="L578" s="6">
        <f t="shared" ref="L578:L641" si="54">I578-K578</f>
        <v>0</v>
      </c>
      <c r="M578" s="12">
        <v>55.575000000000003</v>
      </c>
      <c r="N578" s="13">
        <f t="shared" ref="N578:N641" si="55">I578*M578</f>
        <v>2834.3250000000003</v>
      </c>
      <c r="O578" s="13">
        <f t="shared" ref="O578:O641" si="56">K578*M578</f>
        <v>2834.3250000000003</v>
      </c>
      <c r="P578" s="14">
        <v>321.17586507999999</v>
      </c>
      <c r="Q578" s="8">
        <f t="shared" ref="Q578:Q641" si="57">I578*P578</f>
        <v>16379.96911908</v>
      </c>
      <c r="R578" s="8">
        <f t="shared" ref="R578:R641" si="58">K578*P578</f>
        <v>16379.96911908</v>
      </c>
      <c r="S578" s="15">
        <f t="shared" ref="S578:S641" si="59">IF(I578=0,0,K578/I578)</f>
        <v>1</v>
      </c>
    </row>
    <row r="579" spans="1:19" x14ac:dyDescent="0.25">
      <c r="A579" s="10" t="s">
        <v>1467</v>
      </c>
      <c r="B579" s="10">
        <v>87123</v>
      </c>
      <c r="C579" s="10">
        <v>104475</v>
      </c>
      <c r="D579" s="10" t="s">
        <v>1463</v>
      </c>
      <c r="E579" s="10" t="s">
        <v>1468</v>
      </c>
      <c r="F579" s="10" t="s">
        <v>23</v>
      </c>
      <c r="G579" s="10" t="s">
        <v>12</v>
      </c>
      <c r="H579" s="10" t="s">
        <v>41</v>
      </c>
      <c r="I579" s="11">
        <v>88</v>
      </c>
      <c r="J579" s="11"/>
      <c r="K579" s="11">
        <v>65</v>
      </c>
      <c r="L579" s="6">
        <f t="shared" si="54"/>
        <v>23</v>
      </c>
      <c r="M579" s="12">
        <v>55.575000000000003</v>
      </c>
      <c r="N579" s="13">
        <f t="shared" si="55"/>
        <v>4890.6000000000004</v>
      </c>
      <c r="O579" s="13">
        <f t="shared" si="56"/>
        <v>3612.375</v>
      </c>
      <c r="P579" s="14">
        <v>317.74454716000002</v>
      </c>
      <c r="Q579" s="8">
        <f t="shared" si="57"/>
        <v>27961.520150080003</v>
      </c>
      <c r="R579" s="8">
        <f t="shared" si="58"/>
        <v>20653.395565400002</v>
      </c>
      <c r="S579" s="15">
        <f t="shared" si="59"/>
        <v>0.73863636363636365</v>
      </c>
    </row>
    <row r="580" spans="1:19" x14ac:dyDescent="0.25">
      <c r="A580" s="10" t="s">
        <v>1469</v>
      </c>
      <c r="B580" s="10">
        <v>87126</v>
      </c>
      <c r="C580" s="10">
        <v>104476</v>
      </c>
      <c r="D580" s="10" t="s">
        <v>1470</v>
      </c>
      <c r="E580" s="10" t="s">
        <v>1471</v>
      </c>
      <c r="F580" s="10" t="s">
        <v>23</v>
      </c>
      <c r="G580" s="10" t="s">
        <v>12</v>
      </c>
      <c r="H580" s="10" t="s">
        <v>41</v>
      </c>
      <c r="I580" s="11">
        <v>67</v>
      </c>
      <c r="J580" s="11"/>
      <c r="K580" s="11">
        <v>49</v>
      </c>
      <c r="L580" s="6">
        <f t="shared" si="54"/>
        <v>18</v>
      </c>
      <c r="M580" s="12">
        <v>47.774999999999999</v>
      </c>
      <c r="N580" s="13">
        <f t="shared" si="55"/>
        <v>3200.9249999999997</v>
      </c>
      <c r="O580" s="13">
        <f t="shared" si="56"/>
        <v>2340.9749999999999</v>
      </c>
      <c r="P580" s="14">
        <v>229.90240312</v>
      </c>
      <c r="Q580" s="8">
        <f t="shared" si="57"/>
        <v>15403.46100904</v>
      </c>
      <c r="R580" s="8">
        <f t="shared" si="58"/>
        <v>11265.21775288</v>
      </c>
      <c r="S580" s="15">
        <f t="shared" si="59"/>
        <v>0.73134328358208955</v>
      </c>
    </row>
    <row r="581" spans="1:19" x14ac:dyDescent="0.25">
      <c r="A581" s="10" t="s">
        <v>1472</v>
      </c>
      <c r="B581" s="10">
        <v>87126</v>
      </c>
      <c r="C581" s="10">
        <v>104476</v>
      </c>
      <c r="D581" s="10" t="s">
        <v>1470</v>
      </c>
      <c r="E581" s="10" t="s">
        <v>1473</v>
      </c>
      <c r="F581" s="10" t="s">
        <v>23</v>
      </c>
      <c r="G581" s="10" t="s">
        <v>12</v>
      </c>
      <c r="H581" s="10" t="s">
        <v>41</v>
      </c>
      <c r="I581" s="11">
        <v>61</v>
      </c>
      <c r="J581" s="11"/>
      <c r="K581" s="11">
        <v>51</v>
      </c>
      <c r="L581" s="6">
        <f t="shared" si="54"/>
        <v>10</v>
      </c>
      <c r="M581" s="12">
        <v>47.774999999999999</v>
      </c>
      <c r="N581" s="13">
        <f t="shared" si="55"/>
        <v>2914.2750000000001</v>
      </c>
      <c r="O581" s="13">
        <f t="shared" si="56"/>
        <v>2436.5250000000001</v>
      </c>
      <c r="P581" s="14">
        <v>226.56494538000001</v>
      </c>
      <c r="Q581" s="8">
        <f t="shared" si="57"/>
        <v>13820.46166818</v>
      </c>
      <c r="R581" s="8">
        <f t="shared" si="58"/>
        <v>11554.812214380001</v>
      </c>
      <c r="S581" s="15">
        <f t="shared" si="59"/>
        <v>0.83606557377049184</v>
      </c>
    </row>
    <row r="582" spans="1:19" x14ac:dyDescent="0.25">
      <c r="A582" s="10" t="s">
        <v>1474</v>
      </c>
      <c r="B582" s="10">
        <v>87126</v>
      </c>
      <c r="C582" s="10">
        <v>104476</v>
      </c>
      <c r="D582" s="10" t="s">
        <v>1470</v>
      </c>
      <c r="E582" s="10" t="s">
        <v>1475</v>
      </c>
      <c r="F582" s="10" t="s">
        <v>23</v>
      </c>
      <c r="G582" s="10" t="s">
        <v>12</v>
      </c>
      <c r="H582" s="10" t="s">
        <v>41</v>
      </c>
      <c r="I582" s="11">
        <v>99</v>
      </c>
      <c r="J582" s="11"/>
      <c r="K582" s="11">
        <v>65</v>
      </c>
      <c r="L582" s="6">
        <f t="shared" si="54"/>
        <v>34</v>
      </c>
      <c r="M582" s="12">
        <v>47.774999999999999</v>
      </c>
      <c r="N582" s="13">
        <f t="shared" si="55"/>
        <v>4729.7249999999995</v>
      </c>
      <c r="O582" s="13">
        <f t="shared" si="56"/>
        <v>3105.375</v>
      </c>
      <c r="P582" s="14">
        <v>214.66488659999999</v>
      </c>
      <c r="Q582" s="8">
        <f t="shared" si="57"/>
        <v>21251.823773399999</v>
      </c>
      <c r="R582" s="8">
        <f t="shared" si="58"/>
        <v>13953.217628999999</v>
      </c>
      <c r="S582" s="15">
        <f t="shared" si="59"/>
        <v>0.65656565656565657</v>
      </c>
    </row>
    <row r="583" spans="1:19" x14ac:dyDescent="0.25">
      <c r="A583" s="10" t="s">
        <v>1476</v>
      </c>
      <c r="B583" s="10">
        <v>87128</v>
      </c>
      <c r="C583" s="10">
        <v>104477</v>
      </c>
      <c r="D583" s="10" t="s">
        <v>1477</v>
      </c>
      <c r="E583" s="10" t="s">
        <v>1478</v>
      </c>
      <c r="F583" s="10" t="s">
        <v>23</v>
      </c>
      <c r="G583" s="10" t="s">
        <v>12</v>
      </c>
      <c r="H583" s="10" t="s">
        <v>41</v>
      </c>
      <c r="I583" s="11">
        <v>99</v>
      </c>
      <c r="J583" s="11"/>
      <c r="K583" s="11">
        <v>0</v>
      </c>
      <c r="L583" s="6">
        <f t="shared" si="54"/>
        <v>99</v>
      </c>
      <c r="M583" s="12">
        <v>8.7750000000000004</v>
      </c>
      <c r="N583" s="13">
        <f t="shared" si="55"/>
        <v>868.72500000000002</v>
      </c>
      <c r="O583" s="13">
        <f t="shared" si="56"/>
        <v>0</v>
      </c>
      <c r="P583" s="14">
        <v>22.051668150000001</v>
      </c>
      <c r="Q583" s="8">
        <f t="shared" si="57"/>
        <v>2183.1151468500002</v>
      </c>
      <c r="R583" s="8">
        <f t="shared" si="58"/>
        <v>0</v>
      </c>
      <c r="S583" s="15">
        <f t="shared" si="59"/>
        <v>0</v>
      </c>
    </row>
    <row r="584" spans="1:19" x14ac:dyDescent="0.25">
      <c r="A584" s="10" t="s">
        <v>1479</v>
      </c>
      <c r="B584" s="10">
        <v>87128</v>
      </c>
      <c r="C584" s="10">
        <v>104477</v>
      </c>
      <c r="D584" s="10" t="s">
        <v>1477</v>
      </c>
      <c r="E584" s="10" t="s">
        <v>1480</v>
      </c>
      <c r="F584" s="10" t="s">
        <v>23</v>
      </c>
      <c r="G584" s="10" t="s">
        <v>12</v>
      </c>
      <c r="H584" s="10" t="s">
        <v>41</v>
      </c>
      <c r="I584" s="11">
        <v>74</v>
      </c>
      <c r="J584" s="11"/>
      <c r="K584" s="11">
        <v>65</v>
      </c>
      <c r="L584" s="6">
        <f t="shared" si="54"/>
        <v>9</v>
      </c>
      <c r="M584" s="12">
        <v>8.7750000000000004</v>
      </c>
      <c r="N584" s="13">
        <f t="shared" si="55"/>
        <v>649.35</v>
      </c>
      <c r="O584" s="13">
        <f t="shared" si="56"/>
        <v>570.375</v>
      </c>
      <c r="P584" s="14">
        <v>32.089064299999997</v>
      </c>
      <c r="Q584" s="8">
        <f t="shared" si="57"/>
        <v>2374.5907582</v>
      </c>
      <c r="R584" s="8">
        <f t="shared" si="58"/>
        <v>2085.7891794999996</v>
      </c>
      <c r="S584" s="15">
        <f t="shared" si="59"/>
        <v>0.8783783783783784</v>
      </c>
    </row>
    <row r="585" spans="1:19" x14ac:dyDescent="0.25">
      <c r="A585" s="10" t="s">
        <v>1481</v>
      </c>
      <c r="B585" s="10">
        <v>87130</v>
      </c>
      <c r="C585" s="10">
        <v>104501</v>
      </c>
      <c r="D585" s="10" t="s">
        <v>1482</v>
      </c>
      <c r="E585" s="10" t="s">
        <v>1483</v>
      </c>
      <c r="F585" s="10" t="s">
        <v>23</v>
      </c>
      <c r="G585" s="10" t="s">
        <v>12</v>
      </c>
      <c r="H585" s="10" t="s">
        <v>41</v>
      </c>
      <c r="I585" s="11">
        <v>173</v>
      </c>
      <c r="J585" s="11"/>
      <c r="K585" s="11">
        <v>20</v>
      </c>
      <c r="L585" s="6">
        <f t="shared" si="54"/>
        <v>153</v>
      </c>
      <c r="M585" s="12">
        <v>0.54600000000000004</v>
      </c>
      <c r="N585" s="13">
        <f t="shared" si="55"/>
        <v>94.458000000000013</v>
      </c>
      <c r="O585" s="13">
        <f t="shared" si="56"/>
        <v>10.920000000000002</v>
      </c>
      <c r="P585" s="14">
        <v>6.1486819500000003</v>
      </c>
      <c r="Q585" s="8">
        <f t="shared" si="57"/>
        <v>1063.7219773500001</v>
      </c>
      <c r="R585" s="8">
        <f t="shared" si="58"/>
        <v>122.97363900000001</v>
      </c>
      <c r="S585" s="15">
        <f t="shared" si="59"/>
        <v>0.11560693641618497</v>
      </c>
    </row>
    <row r="586" spans="1:19" x14ac:dyDescent="0.25">
      <c r="A586" s="10" t="s">
        <v>1484</v>
      </c>
      <c r="B586" s="10">
        <v>87130</v>
      </c>
      <c r="C586" s="10">
        <v>104501</v>
      </c>
      <c r="D586" s="10" t="s">
        <v>1482</v>
      </c>
      <c r="E586" s="10" t="s">
        <v>1485</v>
      </c>
      <c r="F586" s="10" t="s">
        <v>23</v>
      </c>
      <c r="G586" s="10" t="s">
        <v>12</v>
      </c>
      <c r="H586" s="10" t="s">
        <v>41</v>
      </c>
      <c r="I586" s="11">
        <v>59</v>
      </c>
      <c r="J586" s="11"/>
      <c r="K586" s="11">
        <v>20</v>
      </c>
      <c r="L586" s="6">
        <f t="shared" si="54"/>
        <v>39</v>
      </c>
      <c r="M586" s="12">
        <v>0.54600000000000004</v>
      </c>
      <c r="N586" s="13">
        <f t="shared" si="55"/>
        <v>32.214000000000006</v>
      </c>
      <c r="O586" s="13">
        <f t="shared" si="56"/>
        <v>10.920000000000002</v>
      </c>
      <c r="P586" s="14">
        <v>5.4656553900000002</v>
      </c>
      <c r="Q586" s="8">
        <f t="shared" si="57"/>
        <v>322.47366801000004</v>
      </c>
      <c r="R586" s="8">
        <f t="shared" si="58"/>
        <v>109.31310780000001</v>
      </c>
      <c r="S586" s="15">
        <f t="shared" si="59"/>
        <v>0.33898305084745761</v>
      </c>
    </row>
    <row r="587" spans="1:19" x14ac:dyDescent="0.25">
      <c r="A587" s="10" t="s">
        <v>1486</v>
      </c>
      <c r="B587" s="10">
        <v>87139</v>
      </c>
      <c r="C587" s="10">
        <v>104504</v>
      </c>
      <c r="D587" s="10" t="s">
        <v>1487</v>
      </c>
      <c r="E587" s="10" t="s">
        <v>1488</v>
      </c>
      <c r="F587" s="10" t="s">
        <v>23</v>
      </c>
      <c r="G587" s="10" t="s">
        <v>12</v>
      </c>
      <c r="H587" s="10" t="s">
        <v>41</v>
      </c>
      <c r="I587" s="11">
        <v>259</v>
      </c>
      <c r="J587" s="11"/>
      <c r="K587" s="11">
        <v>20</v>
      </c>
      <c r="L587" s="6">
        <f t="shared" si="54"/>
        <v>239</v>
      </c>
      <c r="M587" s="12">
        <v>41.924999999999997</v>
      </c>
      <c r="N587" s="13">
        <f t="shared" si="55"/>
        <v>10858.574999999999</v>
      </c>
      <c r="O587" s="13">
        <f t="shared" si="56"/>
        <v>838.5</v>
      </c>
      <c r="P587" s="14">
        <v>137.03859752</v>
      </c>
      <c r="Q587" s="8">
        <f t="shared" si="57"/>
        <v>35492.996757679997</v>
      </c>
      <c r="R587" s="8">
        <f t="shared" si="58"/>
        <v>2740.7719503999997</v>
      </c>
      <c r="S587" s="15">
        <f t="shared" si="59"/>
        <v>7.7220077220077218E-2</v>
      </c>
    </row>
    <row r="588" spans="1:19" x14ac:dyDescent="0.25">
      <c r="A588" s="10" t="s">
        <v>1489</v>
      </c>
      <c r="B588" s="10">
        <v>87139</v>
      </c>
      <c r="C588" s="10">
        <v>104504</v>
      </c>
      <c r="D588" s="10" t="s">
        <v>1487</v>
      </c>
      <c r="E588" s="10" t="s">
        <v>1490</v>
      </c>
      <c r="F588" s="10" t="s">
        <v>23</v>
      </c>
      <c r="G588" s="10" t="s">
        <v>12</v>
      </c>
      <c r="H588" s="10" t="s">
        <v>41</v>
      </c>
      <c r="I588" s="11">
        <v>46</v>
      </c>
      <c r="J588" s="11"/>
      <c r="K588" s="11">
        <v>0</v>
      </c>
      <c r="L588" s="6">
        <f t="shared" si="54"/>
        <v>46</v>
      </c>
      <c r="M588" s="12">
        <v>41.924999999999997</v>
      </c>
      <c r="N588" s="13">
        <f t="shared" si="55"/>
        <v>1928.55</v>
      </c>
      <c r="O588" s="13">
        <f t="shared" si="56"/>
        <v>0</v>
      </c>
      <c r="P588" s="14">
        <v>150.47856909000001</v>
      </c>
      <c r="Q588" s="8">
        <f t="shared" si="57"/>
        <v>6922.0141781400007</v>
      </c>
      <c r="R588" s="8">
        <f t="shared" si="58"/>
        <v>0</v>
      </c>
      <c r="S588" s="15">
        <f t="shared" si="59"/>
        <v>0</v>
      </c>
    </row>
    <row r="589" spans="1:19" x14ac:dyDescent="0.25">
      <c r="A589" s="10" t="s">
        <v>1491</v>
      </c>
      <c r="B589" s="10">
        <v>87140</v>
      </c>
      <c r="C589" s="10"/>
      <c r="D589" s="10" t="s">
        <v>1492</v>
      </c>
      <c r="E589" s="10" t="s">
        <v>1493</v>
      </c>
      <c r="F589" s="10" t="s">
        <v>23</v>
      </c>
      <c r="G589" s="10" t="s">
        <v>12</v>
      </c>
      <c r="H589" s="10" t="s">
        <v>41</v>
      </c>
      <c r="I589" s="11">
        <v>234</v>
      </c>
      <c r="J589" s="11"/>
      <c r="K589" s="11">
        <v>20</v>
      </c>
      <c r="L589" s="6">
        <f t="shared" si="54"/>
        <v>214</v>
      </c>
      <c r="M589" s="12">
        <v>46.311999999999998</v>
      </c>
      <c r="N589" s="13">
        <f t="shared" si="55"/>
        <v>10837.008</v>
      </c>
      <c r="O589" s="13">
        <f t="shared" si="56"/>
        <v>926.24</v>
      </c>
      <c r="P589" s="14">
        <v>166.23005699999999</v>
      </c>
      <c r="Q589" s="8">
        <f t="shared" si="57"/>
        <v>38897.833337999997</v>
      </c>
      <c r="R589" s="8">
        <f t="shared" si="58"/>
        <v>3324.6011399999998</v>
      </c>
      <c r="S589" s="15">
        <f t="shared" si="59"/>
        <v>8.5470085470085472E-2</v>
      </c>
    </row>
    <row r="590" spans="1:19" x14ac:dyDescent="0.25">
      <c r="A590" s="10" t="s">
        <v>1494</v>
      </c>
      <c r="B590" s="10">
        <v>87140</v>
      </c>
      <c r="C590" s="10"/>
      <c r="D590" s="10" t="s">
        <v>1492</v>
      </c>
      <c r="E590" s="10" t="s">
        <v>1495</v>
      </c>
      <c r="F590" s="10" t="s">
        <v>23</v>
      </c>
      <c r="G590" s="10" t="s">
        <v>12</v>
      </c>
      <c r="H590" s="10" t="s">
        <v>41</v>
      </c>
      <c r="I590" s="11">
        <v>22</v>
      </c>
      <c r="J590" s="11"/>
      <c r="K590" s="11">
        <v>0</v>
      </c>
      <c r="L590" s="6">
        <f t="shared" si="54"/>
        <v>22</v>
      </c>
      <c r="M590" s="12">
        <v>46.311999999999998</v>
      </c>
      <c r="N590" s="13">
        <f t="shared" si="55"/>
        <v>1018.8639999999999</v>
      </c>
      <c r="O590" s="13">
        <f t="shared" si="56"/>
        <v>0</v>
      </c>
      <c r="P590" s="14">
        <v>126.05220362</v>
      </c>
      <c r="Q590" s="8">
        <f t="shared" si="57"/>
        <v>2773.14847964</v>
      </c>
      <c r="R590" s="8">
        <f t="shared" si="58"/>
        <v>0</v>
      </c>
      <c r="S590" s="15">
        <f t="shared" si="59"/>
        <v>0</v>
      </c>
    </row>
    <row r="591" spans="1:19" x14ac:dyDescent="0.25">
      <c r="A591" s="10" t="s">
        <v>1496</v>
      </c>
      <c r="B591" s="10">
        <v>87140</v>
      </c>
      <c r="C591" s="10"/>
      <c r="D591" s="10" t="s">
        <v>1492</v>
      </c>
      <c r="E591" s="10" t="s">
        <v>1497</v>
      </c>
      <c r="F591" s="10" t="s">
        <v>23</v>
      </c>
      <c r="G591" s="10" t="s">
        <v>12</v>
      </c>
      <c r="H591" s="10" t="s">
        <v>41</v>
      </c>
      <c r="I591" s="11">
        <v>50</v>
      </c>
      <c r="J591" s="11"/>
      <c r="K591" s="11">
        <v>46</v>
      </c>
      <c r="L591" s="6">
        <f t="shared" si="54"/>
        <v>4</v>
      </c>
      <c r="M591" s="12">
        <v>46.311999999999998</v>
      </c>
      <c r="N591" s="13">
        <f t="shared" si="55"/>
        <v>2315.6</v>
      </c>
      <c r="O591" s="13">
        <f t="shared" si="56"/>
        <v>2130.3519999999999</v>
      </c>
      <c r="P591" s="14">
        <v>165.66808384000001</v>
      </c>
      <c r="Q591" s="8">
        <f t="shared" si="57"/>
        <v>8283.404192</v>
      </c>
      <c r="R591" s="8">
        <f t="shared" si="58"/>
        <v>7620.7318566400008</v>
      </c>
      <c r="S591" s="15">
        <f t="shared" si="59"/>
        <v>0.92</v>
      </c>
    </row>
    <row r="592" spans="1:19" x14ac:dyDescent="0.25">
      <c r="A592" s="10" t="s">
        <v>1498</v>
      </c>
      <c r="B592" s="10">
        <v>87142</v>
      </c>
      <c r="C592" s="10">
        <v>104883</v>
      </c>
      <c r="D592" s="10" t="s">
        <v>1499</v>
      </c>
      <c r="E592" s="10" t="s">
        <v>1500</v>
      </c>
      <c r="F592" s="10" t="s">
        <v>21</v>
      </c>
      <c r="G592" s="10" t="s">
        <v>12</v>
      </c>
      <c r="H592" s="10" t="s">
        <v>41</v>
      </c>
      <c r="I592" s="11">
        <v>570</v>
      </c>
      <c r="J592" s="11"/>
      <c r="K592" s="11">
        <v>5</v>
      </c>
      <c r="L592" s="6">
        <f t="shared" si="54"/>
        <v>565</v>
      </c>
      <c r="M592" s="12">
        <v>38.024999999999999</v>
      </c>
      <c r="N592" s="13">
        <f t="shared" si="55"/>
        <v>21674.25</v>
      </c>
      <c r="O592" s="13">
        <f t="shared" si="56"/>
        <v>190.125</v>
      </c>
      <c r="P592" s="14">
        <v>232.04091615999999</v>
      </c>
      <c r="Q592" s="8">
        <f t="shared" si="57"/>
        <v>132263.32221119999</v>
      </c>
      <c r="R592" s="8">
        <f t="shared" si="58"/>
        <v>1160.2045808</v>
      </c>
      <c r="S592" s="15">
        <f t="shared" si="59"/>
        <v>8.771929824561403E-3</v>
      </c>
    </row>
    <row r="593" spans="1:19" x14ac:dyDescent="0.25">
      <c r="A593" s="10" t="s">
        <v>1501</v>
      </c>
      <c r="B593" s="10">
        <v>87143</v>
      </c>
      <c r="C593" s="10">
        <v>104980</v>
      </c>
      <c r="D593" s="10" t="s">
        <v>1502</v>
      </c>
      <c r="E593" s="10"/>
      <c r="F593" s="10" t="s">
        <v>21</v>
      </c>
      <c r="G593" s="10" t="s">
        <v>12</v>
      </c>
      <c r="H593" s="10" t="s">
        <v>41</v>
      </c>
      <c r="I593" s="11">
        <v>604</v>
      </c>
      <c r="J593" s="11"/>
      <c r="K593" s="11">
        <v>0</v>
      </c>
      <c r="L593" s="6">
        <f t="shared" si="54"/>
        <v>604</v>
      </c>
      <c r="M593" s="12">
        <v>17.55</v>
      </c>
      <c r="N593" s="13">
        <f t="shared" si="55"/>
        <v>10600.2</v>
      </c>
      <c r="O593" s="13">
        <f t="shared" si="56"/>
        <v>0</v>
      </c>
      <c r="P593" s="14">
        <v>48.588428550000003</v>
      </c>
      <c r="Q593" s="8">
        <f t="shared" si="57"/>
        <v>29347.410844200003</v>
      </c>
      <c r="R593" s="8">
        <f t="shared" si="58"/>
        <v>0</v>
      </c>
      <c r="S593" s="15">
        <f t="shared" si="59"/>
        <v>0</v>
      </c>
    </row>
    <row r="594" spans="1:19" x14ac:dyDescent="0.25">
      <c r="A594" s="10" t="s">
        <v>1503</v>
      </c>
      <c r="B594" s="10">
        <v>87164</v>
      </c>
      <c r="C594" s="10">
        <v>104989</v>
      </c>
      <c r="D594" s="10" t="s">
        <v>1504</v>
      </c>
      <c r="E594" s="10" t="s">
        <v>1505</v>
      </c>
      <c r="F594" s="10" t="s">
        <v>21</v>
      </c>
      <c r="G594" s="10" t="s">
        <v>12</v>
      </c>
      <c r="H594" s="10" t="s">
        <v>41</v>
      </c>
      <c r="I594" s="11">
        <v>143</v>
      </c>
      <c r="J594" s="11"/>
      <c r="K594" s="11">
        <v>143</v>
      </c>
      <c r="L594" s="6">
        <f t="shared" si="54"/>
        <v>0</v>
      </c>
      <c r="M594" s="12">
        <v>27.347999999999999</v>
      </c>
      <c r="N594" s="13">
        <f t="shared" si="55"/>
        <v>3910.7639999999997</v>
      </c>
      <c r="O594" s="13">
        <f t="shared" si="56"/>
        <v>3910.7639999999997</v>
      </c>
      <c r="P594" s="14">
        <v>110.78518415000001</v>
      </c>
      <c r="Q594" s="8">
        <f t="shared" si="57"/>
        <v>15842.281333450001</v>
      </c>
      <c r="R594" s="8">
        <f t="shared" si="58"/>
        <v>15842.281333450001</v>
      </c>
      <c r="S594" s="15">
        <f t="shared" si="59"/>
        <v>1</v>
      </c>
    </row>
    <row r="595" spans="1:19" x14ac:dyDescent="0.25">
      <c r="A595" s="10" t="s">
        <v>1506</v>
      </c>
      <c r="B595" s="10">
        <v>87164</v>
      </c>
      <c r="C595" s="10">
        <v>104989</v>
      </c>
      <c r="D595" s="10" t="s">
        <v>1504</v>
      </c>
      <c r="E595" s="10" t="s">
        <v>1507</v>
      </c>
      <c r="F595" s="10" t="s">
        <v>21</v>
      </c>
      <c r="G595" s="10" t="s">
        <v>12</v>
      </c>
      <c r="H595" s="10" t="s">
        <v>41</v>
      </c>
      <c r="I595" s="11">
        <v>189</v>
      </c>
      <c r="J595" s="11"/>
      <c r="K595" s="11">
        <v>45</v>
      </c>
      <c r="L595" s="6">
        <f t="shared" si="54"/>
        <v>144</v>
      </c>
      <c r="M595" s="12">
        <v>27.347999999999999</v>
      </c>
      <c r="N595" s="13">
        <f t="shared" si="55"/>
        <v>5168.7719999999999</v>
      </c>
      <c r="O595" s="13">
        <f t="shared" si="56"/>
        <v>1230.6599999999999</v>
      </c>
      <c r="P595" s="14">
        <v>113.54707865</v>
      </c>
      <c r="Q595" s="8">
        <f t="shared" si="57"/>
        <v>21460.397864850001</v>
      </c>
      <c r="R595" s="8">
        <f t="shared" si="58"/>
        <v>5109.6185392500001</v>
      </c>
      <c r="S595" s="15">
        <f t="shared" si="59"/>
        <v>0.23809523809523808</v>
      </c>
    </row>
    <row r="596" spans="1:19" x14ac:dyDescent="0.25">
      <c r="A596" s="10" t="s">
        <v>1508</v>
      </c>
      <c r="B596" s="10">
        <v>87164</v>
      </c>
      <c r="C596" s="10">
        <v>104989</v>
      </c>
      <c r="D596" s="10" t="s">
        <v>1504</v>
      </c>
      <c r="E596" s="10" t="s">
        <v>1509</v>
      </c>
      <c r="F596" s="10" t="s">
        <v>21</v>
      </c>
      <c r="G596" s="10" t="s">
        <v>12</v>
      </c>
      <c r="H596" s="10" t="s">
        <v>41</v>
      </c>
      <c r="I596" s="11">
        <v>241</v>
      </c>
      <c r="J596" s="11"/>
      <c r="K596" s="11">
        <v>83</v>
      </c>
      <c r="L596" s="6">
        <f t="shared" si="54"/>
        <v>158</v>
      </c>
      <c r="M596" s="12">
        <v>27.347999999999999</v>
      </c>
      <c r="N596" s="13">
        <f t="shared" si="55"/>
        <v>6590.8679999999995</v>
      </c>
      <c r="O596" s="13">
        <f t="shared" si="56"/>
        <v>2269.884</v>
      </c>
      <c r="P596" s="14">
        <v>105.06292544</v>
      </c>
      <c r="Q596" s="8">
        <f t="shared" si="57"/>
        <v>25320.16503104</v>
      </c>
      <c r="R596" s="8">
        <f t="shared" si="58"/>
        <v>8720.2228115199996</v>
      </c>
      <c r="S596" s="15">
        <f t="shared" si="59"/>
        <v>0.34439834024896265</v>
      </c>
    </row>
    <row r="597" spans="1:19" x14ac:dyDescent="0.25">
      <c r="A597" s="10" t="s">
        <v>1510</v>
      </c>
      <c r="B597" s="10">
        <v>87168</v>
      </c>
      <c r="C597" s="10">
        <v>104830</v>
      </c>
      <c r="D597" s="10" t="s">
        <v>1511</v>
      </c>
      <c r="E597" s="10" t="s">
        <v>1512</v>
      </c>
      <c r="F597" s="10" t="s">
        <v>21</v>
      </c>
      <c r="G597" s="10" t="s">
        <v>12</v>
      </c>
      <c r="H597" s="10" t="s">
        <v>41</v>
      </c>
      <c r="I597" s="11">
        <v>270</v>
      </c>
      <c r="J597" s="11"/>
      <c r="K597" s="11">
        <v>126</v>
      </c>
      <c r="L597" s="6">
        <f t="shared" si="54"/>
        <v>144</v>
      </c>
      <c r="M597" s="12">
        <v>36.366999999999997</v>
      </c>
      <c r="N597" s="13">
        <f t="shared" si="55"/>
        <v>9819.09</v>
      </c>
      <c r="O597" s="13">
        <f t="shared" si="56"/>
        <v>4582.2419999999993</v>
      </c>
      <c r="P597" s="14">
        <v>147.23599156</v>
      </c>
      <c r="Q597" s="8">
        <f t="shared" si="57"/>
        <v>39753.717721200002</v>
      </c>
      <c r="R597" s="8">
        <f t="shared" si="58"/>
        <v>18551.734936560002</v>
      </c>
      <c r="S597" s="15">
        <f t="shared" si="59"/>
        <v>0.46666666666666667</v>
      </c>
    </row>
    <row r="598" spans="1:19" x14ac:dyDescent="0.25">
      <c r="A598" s="10" t="s">
        <v>1513</v>
      </c>
      <c r="B598" s="10">
        <v>87168</v>
      </c>
      <c r="C598" s="10">
        <v>104830</v>
      </c>
      <c r="D598" s="10" t="s">
        <v>1511</v>
      </c>
      <c r="E598" s="10" t="s">
        <v>1514</v>
      </c>
      <c r="F598" s="10" t="s">
        <v>21</v>
      </c>
      <c r="G598" s="10" t="s">
        <v>12</v>
      </c>
      <c r="H598" s="10" t="s">
        <v>41</v>
      </c>
      <c r="I598" s="11">
        <v>240</v>
      </c>
      <c r="J598" s="11"/>
      <c r="K598" s="11">
        <v>88</v>
      </c>
      <c r="L598" s="6">
        <f t="shared" si="54"/>
        <v>152</v>
      </c>
      <c r="M598" s="12">
        <v>36.366999999999997</v>
      </c>
      <c r="N598" s="13">
        <f t="shared" si="55"/>
        <v>8728.08</v>
      </c>
      <c r="O598" s="13">
        <f t="shared" si="56"/>
        <v>3200.2959999999998</v>
      </c>
      <c r="P598" s="14">
        <v>153.13529101</v>
      </c>
      <c r="Q598" s="8">
        <f t="shared" si="57"/>
        <v>36752.469842400002</v>
      </c>
      <c r="R598" s="8">
        <f t="shared" si="58"/>
        <v>13475.905608880001</v>
      </c>
      <c r="S598" s="15">
        <f t="shared" si="59"/>
        <v>0.36666666666666664</v>
      </c>
    </row>
    <row r="599" spans="1:19" x14ac:dyDescent="0.25">
      <c r="A599" s="10" t="s">
        <v>1515</v>
      </c>
      <c r="B599" s="10">
        <v>87376</v>
      </c>
      <c r="C599" s="10">
        <v>104732</v>
      </c>
      <c r="D599" s="10" t="s">
        <v>1516</v>
      </c>
      <c r="E599" s="10" t="s">
        <v>1517</v>
      </c>
      <c r="F599" s="10" t="s">
        <v>21</v>
      </c>
      <c r="G599" s="10" t="s">
        <v>12</v>
      </c>
      <c r="H599" s="10" t="s">
        <v>41</v>
      </c>
      <c r="I599" s="11">
        <v>10</v>
      </c>
      <c r="J599" s="11"/>
      <c r="K599" s="11">
        <v>0</v>
      </c>
      <c r="L599" s="6">
        <f t="shared" si="54"/>
        <v>10</v>
      </c>
      <c r="M599" s="12">
        <v>14.965999999999999</v>
      </c>
      <c r="N599" s="13">
        <f t="shared" si="55"/>
        <v>149.66</v>
      </c>
      <c r="O599" s="13">
        <f t="shared" si="56"/>
        <v>0</v>
      </c>
      <c r="P599" s="14">
        <v>64.791632149999998</v>
      </c>
      <c r="Q599" s="8">
        <f t="shared" si="57"/>
        <v>647.91632149999998</v>
      </c>
      <c r="R599" s="8">
        <f t="shared" si="58"/>
        <v>0</v>
      </c>
      <c r="S599" s="15">
        <f t="shared" si="59"/>
        <v>0</v>
      </c>
    </row>
    <row r="600" spans="1:19" x14ac:dyDescent="0.25">
      <c r="A600" s="10" t="s">
        <v>1518</v>
      </c>
      <c r="B600" s="10">
        <v>87376</v>
      </c>
      <c r="C600" s="10">
        <v>104732</v>
      </c>
      <c r="D600" s="10" t="s">
        <v>1516</v>
      </c>
      <c r="E600" s="10" t="s">
        <v>1519</v>
      </c>
      <c r="F600" s="10" t="s">
        <v>21</v>
      </c>
      <c r="G600" s="10" t="s">
        <v>12</v>
      </c>
      <c r="H600" s="10" t="s">
        <v>41</v>
      </c>
      <c r="I600" s="11">
        <v>10</v>
      </c>
      <c r="J600" s="11"/>
      <c r="K600" s="11">
        <v>0</v>
      </c>
      <c r="L600" s="6">
        <f t="shared" si="54"/>
        <v>10</v>
      </c>
      <c r="M600" s="12">
        <v>14.965999999999999</v>
      </c>
      <c r="N600" s="13">
        <f t="shared" si="55"/>
        <v>149.66</v>
      </c>
      <c r="O600" s="13">
        <f t="shared" si="56"/>
        <v>0</v>
      </c>
      <c r="P600" s="14">
        <v>64.803602760000004</v>
      </c>
      <c r="Q600" s="8">
        <f t="shared" si="57"/>
        <v>648.03602760000001</v>
      </c>
      <c r="R600" s="8">
        <f t="shared" si="58"/>
        <v>0</v>
      </c>
      <c r="S600" s="15">
        <f t="shared" si="59"/>
        <v>0</v>
      </c>
    </row>
    <row r="601" spans="1:19" x14ac:dyDescent="0.25">
      <c r="A601" s="10" t="s">
        <v>1520</v>
      </c>
      <c r="B601" s="10">
        <v>87460</v>
      </c>
      <c r="C601" s="10">
        <v>99440</v>
      </c>
      <c r="D601" s="10" t="s">
        <v>1521</v>
      </c>
      <c r="E601" s="10" t="s">
        <v>1522</v>
      </c>
      <c r="F601" s="10" t="s">
        <v>23</v>
      </c>
      <c r="G601" s="10" t="s">
        <v>12</v>
      </c>
      <c r="H601" s="10" t="s">
        <v>41</v>
      </c>
      <c r="I601" s="11">
        <v>618</v>
      </c>
      <c r="J601" s="11"/>
      <c r="K601" s="11">
        <v>476</v>
      </c>
      <c r="L601" s="6">
        <f t="shared" si="54"/>
        <v>142</v>
      </c>
      <c r="M601" s="12">
        <v>50.7</v>
      </c>
      <c r="N601" s="13">
        <f t="shared" si="55"/>
        <v>31332.600000000002</v>
      </c>
      <c r="O601" s="13">
        <f t="shared" si="56"/>
        <v>24133.200000000001</v>
      </c>
      <c r="P601" s="14">
        <v>237.52229978</v>
      </c>
      <c r="Q601" s="8">
        <f t="shared" si="57"/>
        <v>146788.78126404001</v>
      </c>
      <c r="R601" s="8">
        <f t="shared" si="58"/>
        <v>113060.61469528</v>
      </c>
      <c r="S601" s="15">
        <f t="shared" si="59"/>
        <v>0.77022653721682843</v>
      </c>
    </row>
    <row r="602" spans="1:19" x14ac:dyDescent="0.25">
      <c r="A602" s="10" t="s">
        <v>1523</v>
      </c>
      <c r="B602" s="10">
        <v>87460</v>
      </c>
      <c r="C602" s="10">
        <v>99440</v>
      </c>
      <c r="D602" s="10" t="s">
        <v>1521</v>
      </c>
      <c r="E602" s="10" t="s">
        <v>1524</v>
      </c>
      <c r="F602" s="10" t="s">
        <v>23</v>
      </c>
      <c r="G602" s="10" t="s">
        <v>12</v>
      </c>
      <c r="H602" s="10" t="s">
        <v>41</v>
      </c>
      <c r="I602" s="11">
        <v>63</v>
      </c>
      <c r="J602" s="11"/>
      <c r="K602" s="11">
        <v>0</v>
      </c>
      <c r="L602" s="6">
        <f t="shared" si="54"/>
        <v>63</v>
      </c>
      <c r="M602" s="12">
        <v>50.7</v>
      </c>
      <c r="N602" s="13">
        <f t="shared" si="55"/>
        <v>3194.1000000000004</v>
      </c>
      <c r="O602" s="13">
        <f t="shared" si="56"/>
        <v>0</v>
      </c>
      <c r="P602" s="14">
        <v>214.00892521</v>
      </c>
      <c r="Q602" s="8">
        <f t="shared" si="57"/>
        <v>13482.562288229999</v>
      </c>
      <c r="R602" s="8">
        <f t="shared" si="58"/>
        <v>0</v>
      </c>
      <c r="S602" s="15">
        <f t="shared" si="59"/>
        <v>0</v>
      </c>
    </row>
    <row r="603" spans="1:19" x14ac:dyDescent="0.25">
      <c r="A603" s="10" t="s">
        <v>1525</v>
      </c>
      <c r="B603" s="10">
        <v>87462</v>
      </c>
      <c r="C603" s="10">
        <v>99469</v>
      </c>
      <c r="D603" s="10" t="s">
        <v>1526</v>
      </c>
      <c r="E603" s="10" t="s">
        <v>1527</v>
      </c>
      <c r="F603" s="10" t="s">
        <v>23</v>
      </c>
      <c r="G603" s="10" t="s">
        <v>12</v>
      </c>
      <c r="H603" s="10" t="s">
        <v>41</v>
      </c>
      <c r="I603" s="11">
        <v>621</v>
      </c>
      <c r="J603" s="11"/>
      <c r="K603" s="11">
        <v>476</v>
      </c>
      <c r="L603" s="6">
        <f t="shared" si="54"/>
        <v>145</v>
      </c>
      <c r="M603" s="12">
        <v>48.262</v>
      </c>
      <c r="N603" s="13">
        <f t="shared" si="55"/>
        <v>29970.702000000001</v>
      </c>
      <c r="O603" s="13">
        <f t="shared" si="56"/>
        <v>22972.712</v>
      </c>
      <c r="P603" s="14">
        <v>160.3224146</v>
      </c>
      <c r="Q603" s="8">
        <f t="shared" si="57"/>
        <v>99560.2194666</v>
      </c>
      <c r="R603" s="8">
        <f t="shared" si="58"/>
        <v>76313.469349599996</v>
      </c>
      <c r="S603" s="15">
        <f t="shared" si="59"/>
        <v>0.76650563607085342</v>
      </c>
    </row>
    <row r="604" spans="1:19" x14ac:dyDescent="0.25">
      <c r="A604" s="10" t="s">
        <v>1528</v>
      </c>
      <c r="B604" s="10">
        <v>87462</v>
      </c>
      <c r="C604" s="10">
        <v>99469</v>
      </c>
      <c r="D604" s="10" t="s">
        <v>1526</v>
      </c>
      <c r="E604" s="10" t="s">
        <v>1529</v>
      </c>
      <c r="F604" s="10" t="s">
        <v>23</v>
      </c>
      <c r="G604" s="10" t="s">
        <v>12</v>
      </c>
      <c r="H604" s="10" t="s">
        <v>41</v>
      </c>
      <c r="I604" s="11">
        <v>71</v>
      </c>
      <c r="J604" s="11"/>
      <c r="K604" s="11">
        <v>63</v>
      </c>
      <c r="L604" s="6">
        <f t="shared" si="54"/>
        <v>8</v>
      </c>
      <c r="M604" s="12">
        <v>48.262</v>
      </c>
      <c r="N604" s="13">
        <f t="shared" si="55"/>
        <v>3426.6019999999999</v>
      </c>
      <c r="O604" s="13">
        <f t="shared" si="56"/>
        <v>3040.5059999999999</v>
      </c>
      <c r="P604" s="14">
        <v>156.98642652999999</v>
      </c>
      <c r="Q604" s="8">
        <f t="shared" si="57"/>
        <v>11146.036283629999</v>
      </c>
      <c r="R604" s="8">
        <f t="shared" si="58"/>
        <v>9890.144871389999</v>
      </c>
      <c r="S604" s="15">
        <f t="shared" si="59"/>
        <v>0.88732394366197187</v>
      </c>
    </row>
    <row r="605" spans="1:19" x14ac:dyDescent="0.25">
      <c r="A605" s="10" t="s">
        <v>1530</v>
      </c>
      <c r="B605" s="10">
        <v>87469</v>
      </c>
      <c r="C605" s="10">
        <v>104712</v>
      </c>
      <c r="D605" s="10" t="s">
        <v>1531</v>
      </c>
      <c r="E605" s="10" t="s">
        <v>1532</v>
      </c>
      <c r="F605" s="10" t="s">
        <v>23</v>
      </c>
      <c r="G605" s="10" t="s">
        <v>12</v>
      </c>
      <c r="H605" s="10" t="s">
        <v>41</v>
      </c>
      <c r="I605" s="11">
        <v>271</v>
      </c>
      <c r="J605" s="11"/>
      <c r="K605" s="11">
        <v>195</v>
      </c>
      <c r="L605" s="6">
        <f t="shared" si="54"/>
        <v>76</v>
      </c>
      <c r="M605" s="12">
        <v>46.847999999999999</v>
      </c>
      <c r="N605" s="13">
        <f t="shared" si="55"/>
        <v>12695.807999999999</v>
      </c>
      <c r="O605" s="13">
        <f t="shared" si="56"/>
        <v>9135.36</v>
      </c>
      <c r="P605" s="14">
        <v>162.03243039</v>
      </c>
      <c r="Q605" s="8">
        <f t="shared" si="57"/>
        <v>43910.788635689998</v>
      </c>
      <c r="R605" s="8">
        <f t="shared" si="58"/>
        <v>31596.323926050001</v>
      </c>
      <c r="S605" s="15">
        <f t="shared" si="59"/>
        <v>0.71955719557195574</v>
      </c>
    </row>
    <row r="606" spans="1:19" x14ac:dyDescent="0.25">
      <c r="A606" s="10" t="s">
        <v>1533</v>
      </c>
      <c r="B606" s="10">
        <v>87469</v>
      </c>
      <c r="C606" s="10">
        <v>104712</v>
      </c>
      <c r="D606" s="10" t="s">
        <v>1531</v>
      </c>
      <c r="E606" s="10" t="s">
        <v>1534</v>
      </c>
      <c r="F606" s="10" t="s">
        <v>23</v>
      </c>
      <c r="G606" s="10" t="s">
        <v>12</v>
      </c>
      <c r="H606" s="10" t="s">
        <v>41</v>
      </c>
      <c r="I606" s="11">
        <v>85</v>
      </c>
      <c r="J606" s="11"/>
      <c r="K606" s="11">
        <v>63</v>
      </c>
      <c r="L606" s="6">
        <f t="shared" si="54"/>
        <v>22</v>
      </c>
      <c r="M606" s="12">
        <v>46.847999999999999</v>
      </c>
      <c r="N606" s="13">
        <f t="shared" si="55"/>
        <v>3982.08</v>
      </c>
      <c r="O606" s="13">
        <f t="shared" si="56"/>
        <v>2951.424</v>
      </c>
      <c r="P606" s="14">
        <v>159.04869596</v>
      </c>
      <c r="Q606" s="8">
        <f t="shared" si="57"/>
        <v>13519.1391566</v>
      </c>
      <c r="R606" s="8">
        <f t="shared" si="58"/>
        <v>10020.06784548</v>
      </c>
      <c r="S606" s="15">
        <f t="shared" si="59"/>
        <v>0.74117647058823533</v>
      </c>
    </row>
    <row r="607" spans="1:19" x14ac:dyDescent="0.25">
      <c r="A607" s="10" t="s">
        <v>1535</v>
      </c>
      <c r="B607" s="10">
        <v>87469</v>
      </c>
      <c r="C607" s="10">
        <v>104712</v>
      </c>
      <c r="D607" s="10" t="s">
        <v>1531</v>
      </c>
      <c r="E607" s="10" t="s">
        <v>1536</v>
      </c>
      <c r="F607" s="10" t="s">
        <v>23</v>
      </c>
      <c r="G607" s="10" t="s">
        <v>12</v>
      </c>
      <c r="H607" s="10" t="s">
        <v>41</v>
      </c>
      <c r="I607" s="11">
        <v>371</v>
      </c>
      <c r="J607" s="11"/>
      <c r="K607" s="11">
        <v>281</v>
      </c>
      <c r="L607" s="6">
        <f t="shared" si="54"/>
        <v>90</v>
      </c>
      <c r="M607" s="12">
        <v>46.847999999999999</v>
      </c>
      <c r="N607" s="13">
        <f t="shared" si="55"/>
        <v>17380.608</v>
      </c>
      <c r="O607" s="13">
        <f t="shared" si="56"/>
        <v>13164.288</v>
      </c>
      <c r="P607" s="14">
        <v>169.1183355</v>
      </c>
      <c r="Q607" s="8">
        <f t="shared" si="57"/>
        <v>62742.902470499997</v>
      </c>
      <c r="R607" s="8">
        <f t="shared" si="58"/>
        <v>47522.252275500003</v>
      </c>
      <c r="S607" s="15">
        <f t="shared" si="59"/>
        <v>0.75741239892183287</v>
      </c>
    </row>
    <row r="608" spans="1:19" x14ac:dyDescent="0.25">
      <c r="A608" s="10" t="s">
        <v>1537</v>
      </c>
      <c r="B608" s="10">
        <v>87470</v>
      </c>
      <c r="C608" s="10">
        <v>105148</v>
      </c>
      <c r="D608" s="10" t="s">
        <v>1538</v>
      </c>
      <c r="E608" s="10" t="s">
        <v>1539</v>
      </c>
      <c r="F608" s="10" t="s">
        <v>23</v>
      </c>
      <c r="G608" s="10" t="s">
        <v>12</v>
      </c>
      <c r="H608" s="10" t="s">
        <v>41</v>
      </c>
      <c r="I608" s="11">
        <v>771</v>
      </c>
      <c r="J608" s="11"/>
      <c r="K608" s="11">
        <v>476</v>
      </c>
      <c r="L608" s="6">
        <f t="shared" si="54"/>
        <v>295</v>
      </c>
      <c r="M608" s="12">
        <v>0.70199999999999996</v>
      </c>
      <c r="N608" s="13">
        <f t="shared" si="55"/>
        <v>541.24199999999996</v>
      </c>
      <c r="O608" s="13">
        <f t="shared" si="56"/>
        <v>334.15199999999999</v>
      </c>
      <c r="P608" s="14">
        <v>27.518921580000001</v>
      </c>
      <c r="Q608" s="8">
        <f t="shared" si="57"/>
        <v>21217.08853818</v>
      </c>
      <c r="R608" s="8">
        <f t="shared" si="58"/>
        <v>13099.00667208</v>
      </c>
      <c r="S608" s="15">
        <f t="shared" si="59"/>
        <v>0.61738002594033725</v>
      </c>
    </row>
    <row r="609" spans="1:19" x14ac:dyDescent="0.25">
      <c r="A609" s="10" t="s">
        <v>1540</v>
      </c>
      <c r="B609" s="10">
        <v>87470</v>
      </c>
      <c r="C609" s="10">
        <v>105148</v>
      </c>
      <c r="D609" s="10" t="s">
        <v>1538</v>
      </c>
      <c r="E609" s="10" t="s">
        <v>1541</v>
      </c>
      <c r="F609" s="10" t="s">
        <v>23</v>
      </c>
      <c r="G609" s="10" t="s">
        <v>12</v>
      </c>
      <c r="H609" s="10" t="s">
        <v>41</v>
      </c>
      <c r="I609" s="11">
        <v>82</v>
      </c>
      <c r="J609" s="11"/>
      <c r="K609" s="11">
        <v>63</v>
      </c>
      <c r="L609" s="6">
        <f t="shared" si="54"/>
        <v>19</v>
      </c>
      <c r="M609" s="12">
        <v>0.70199999999999996</v>
      </c>
      <c r="N609" s="13">
        <f t="shared" si="55"/>
        <v>57.563999999999993</v>
      </c>
      <c r="O609" s="13">
        <f t="shared" si="56"/>
        <v>44.225999999999999</v>
      </c>
      <c r="P609" s="14">
        <v>26.74605901</v>
      </c>
      <c r="Q609" s="8">
        <f t="shared" si="57"/>
        <v>2193.1768388199998</v>
      </c>
      <c r="R609" s="8">
        <f t="shared" si="58"/>
        <v>1685.00171763</v>
      </c>
      <c r="S609" s="15">
        <f t="shared" si="59"/>
        <v>0.76829268292682928</v>
      </c>
    </row>
    <row r="610" spans="1:19" x14ac:dyDescent="0.25">
      <c r="A610" s="10" t="s">
        <v>1542</v>
      </c>
      <c r="B610" s="10">
        <v>87472</v>
      </c>
      <c r="C610" s="10">
        <v>105015</v>
      </c>
      <c r="D610" s="10" t="s">
        <v>1543</v>
      </c>
      <c r="E610" s="10" t="s">
        <v>1544</v>
      </c>
      <c r="F610" s="10" t="s">
        <v>22</v>
      </c>
      <c r="G610" s="10" t="s">
        <v>12</v>
      </c>
      <c r="H610" s="10" t="s">
        <v>41</v>
      </c>
      <c r="I610" s="11">
        <v>180</v>
      </c>
      <c r="J610" s="11"/>
      <c r="K610" s="11">
        <v>146</v>
      </c>
      <c r="L610" s="6">
        <f t="shared" si="54"/>
        <v>34</v>
      </c>
      <c r="M610" s="12">
        <v>39</v>
      </c>
      <c r="N610" s="13">
        <f t="shared" si="55"/>
        <v>7020</v>
      </c>
      <c r="O610" s="13">
        <f t="shared" si="56"/>
        <v>5694</v>
      </c>
      <c r="P610" s="14">
        <v>224.0666875</v>
      </c>
      <c r="Q610" s="8">
        <f t="shared" si="57"/>
        <v>40332.003750000003</v>
      </c>
      <c r="R610" s="8">
        <f t="shared" si="58"/>
        <v>32713.736375</v>
      </c>
      <c r="S610" s="15">
        <f t="shared" si="59"/>
        <v>0.81111111111111112</v>
      </c>
    </row>
    <row r="611" spans="1:19" x14ac:dyDescent="0.25">
      <c r="A611" s="10" t="s">
        <v>1545</v>
      </c>
      <c r="B611" s="10">
        <v>87553</v>
      </c>
      <c r="C611" s="10">
        <v>105089</v>
      </c>
      <c r="D611" s="10" t="s">
        <v>1546</v>
      </c>
      <c r="E611" s="10" t="s">
        <v>1547</v>
      </c>
      <c r="F611" s="10" t="s">
        <v>23</v>
      </c>
      <c r="G611" s="10" t="s">
        <v>12</v>
      </c>
      <c r="H611" s="10" t="s">
        <v>41</v>
      </c>
      <c r="I611" s="11">
        <v>685</v>
      </c>
      <c r="J611" s="11"/>
      <c r="K611" s="11">
        <v>372</v>
      </c>
      <c r="L611" s="6">
        <f t="shared" si="54"/>
        <v>313</v>
      </c>
      <c r="M611" s="12">
        <v>46.8</v>
      </c>
      <c r="N611" s="13">
        <f t="shared" si="55"/>
        <v>32057.999999999996</v>
      </c>
      <c r="O611" s="13">
        <f t="shared" si="56"/>
        <v>17409.599999999999</v>
      </c>
      <c r="P611" s="14">
        <v>176.31999413</v>
      </c>
      <c r="Q611" s="8">
        <f t="shared" si="57"/>
        <v>120779.19597905</v>
      </c>
      <c r="R611" s="8">
        <f t="shared" si="58"/>
        <v>65591.037816359996</v>
      </c>
      <c r="S611" s="15">
        <f t="shared" si="59"/>
        <v>0.54306569343065692</v>
      </c>
    </row>
    <row r="612" spans="1:19" x14ac:dyDescent="0.25">
      <c r="A612" s="10" t="s">
        <v>1548</v>
      </c>
      <c r="B612" s="10">
        <v>87559</v>
      </c>
      <c r="C612" s="10">
        <v>105090</v>
      </c>
      <c r="D612" s="10" t="s">
        <v>1549</v>
      </c>
      <c r="E612" s="10" t="s">
        <v>1550</v>
      </c>
      <c r="F612" s="10" t="s">
        <v>23</v>
      </c>
      <c r="G612" s="10" t="s">
        <v>12</v>
      </c>
      <c r="H612" s="10" t="s">
        <v>41</v>
      </c>
      <c r="I612" s="11">
        <v>683</v>
      </c>
      <c r="J612" s="11"/>
      <c r="K612" s="11">
        <v>372</v>
      </c>
      <c r="L612" s="6">
        <f t="shared" si="54"/>
        <v>311</v>
      </c>
      <c r="M612" s="12">
        <v>44.85</v>
      </c>
      <c r="N612" s="13">
        <f t="shared" si="55"/>
        <v>30632.55</v>
      </c>
      <c r="O612" s="13">
        <f t="shared" si="56"/>
        <v>16684.2</v>
      </c>
      <c r="P612" s="14">
        <v>148.77606802</v>
      </c>
      <c r="Q612" s="8">
        <f t="shared" si="57"/>
        <v>101614.05445765999</v>
      </c>
      <c r="R612" s="8">
        <f t="shared" si="58"/>
        <v>55344.69730344</v>
      </c>
      <c r="S612" s="15">
        <f t="shared" si="59"/>
        <v>0.54465592972181553</v>
      </c>
    </row>
    <row r="613" spans="1:19" x14ac:dyDescent="0.25">
      <c r="A613" s="10" t="s">
        <v>1551</v>
      </c>
      <c r="B613" s="10">
        <v>87560</v>
      </c>
      <c r="C613" s="10">
        <v>105091</v>
      </c>
      <c r="D613" s="10" t="s">
        <v>1552</v>
      </c>
      <c r="E613" s="10" t="s">
        <v>1553</v>
      </c>
      <c r="F613" s="10" t="s">
        <v>23</v>
      </c>
      <c r="G613" s="10" t="s">
        <v>12</v>
      </c>
      <c r="H613" s="10" t="s">
        <v>41</v>
      </c>
      <c r="I613" s="11">
        <v>660</v>
      </c>
      <c r="J613" s="11"/>
      <c r="K613" s="11">
        <v>372</v>
      </c>
      <c r="L613" s="6">
        <f t="shared" si="54"/>
        <v>288</v>
      </c>
      <c r="M613" s="12">
        <v>51.186999999999998</v>
      </c>
      <c r="N613" s="13">
        <f t="shared" si="55"/>
        <v>33783.42</v>
      </c>
      <c r="O613" s="13">
        <f t="shared" si="56"/>
        <v>19041.563999999998</v>
      </c>
      <c r="P613" s="14">
        <v>140.33024229</v>
      </c>
      <c r="Q613" s="8">
        <f t="shared" si="57"/>
        <v>92617.959911400001</v>
      </c>
      <c r="R613" s="8">
        <f t="shared" si="58"/>
        <v>52202.850131879997</v>
      </c>
      <c r="S613" s="15">
        <f t="shared" si="59"/>
        <v>0.5636363636363636</v>
      </c>
    </row>
    <row r="614" spans="1:19" x14ac:dyDescent="0.25">
      <c r="A614" s="10" t="s">
        <v>1554</v>
      </c>
      <c r="B614" s="10">
        <v>87562</v>
      </c>
      <c r="C614" s="10">
        <v>105092</v>
      </c>
      <c r="D614" s="10" t="s">
        <v>1555</v>
      </c>
      <c r="E614" s="10" t="s">
        <v>1556</v>
      </c>
      <c r="F614" s="10" t="s">
        <v>23</v>
      </c>
      <c r="G614" s="10" t="s">
        <v>12</v>
      </c>
      <c r="H614" s="10" t="s">
        <v>41</v>
      </c>
      <c r="I614" s="11">
        <v>289</v>
      </c>
      <c r="J614" s="11"/>
      <c r="K614" s="11">
        <v>81</v>
      </c>
      <c r="L614" s="6">
        <f t="shared" si="54"/>
        <v>208</v>
      </c>
      <c r="M614" s="12">
        <v>61.424999999999997</v>
      </c>
      <c r="N614" s="13">
        <f t="shared" si="55"/>
        <v>17751.825000000001</v>
      </c>
      <c r="O614" s="13">
        <f t="shared" si="56"/>
        <v>4975.4250000000002</v>
      </c>
      <c r="P614" s="14">
        <v>212.52788659000001</v>
      </c>
      <c r="Q614" s="8">
        <f t="shared" si="57"/>
        <v>61420.559224510005</v>
      </c>
      <c r="R614" s="8">
        <f t="shared" si="58"/>
        <v>17214.758813790002</v>
      </c>
      <c r="S614" s="15">
        <f t="shared" si="59"/>
        <v>0.28027681660899656</v>
      </c>
    </row>
    <row r="615" spans="1:19" x14ac:dyDescent="0.25">
      <c r="A615" s="10" t="s">
        <v>1557</v>
      </c>
      <c r="B615" s="10">
        <v>87562</v>
      </c>
      <c r="C615" s="10">
        <v>105092</v>
      </c>
      <c r="D615" s="10" t="s">
        <v>1555</v>
      </c>
      <c r="E615" s="10" t="s">
        <v>1558</v>
      </c>
      <c r="F615" s="10" t="s">
        <v>23</v>
      </c>
      <c r="G615" s="10" t="s">
        <v>12</v>
      </c>
      <c r="H615" s="10" t="s">
        <v>41</v>
      </c>
      <c r="I615" s="11">
        <v>226</v>
      </c>
      <c r="J615" s="11"/>
      <c r="K615" s="11">
        <v>208</v>
      </c>
      <c r="L615" s="6">
        <f t="shared" si="54"/>
        <v>18</v>
      </c>
      <c r="M615" s="12">
        <v>61.424999999999997</v>
      </c>
      <c r="N615" s="13">
        <f t="shared" si="55"/>
        <v>13882.05</v>
      </c>
      <c r="O615" s="13">
        <f t="shared" si="56"/>
        <v>12776.4</v>
      </c>
      <c r="P615" s="14">
        <v>210.46821739000001</v>
      </c>
      <c r="Q615" s="8">
        <f t="shared" si="57"/>
        <v>47565.81713014</v>
      </c>
      <c r="R615" s="8">
        <f t="shared" si="58"/>
        <v>43777.389217119999</v>
      </c>
      <c r="S615" s="15">
        <f t="shared" si="59"/>
        <v>0.92035398230088494</v>
      </c>
    </row>
    <row r="616" spans="1:19" x14ac:dyDescent="0.25">
      <c r="A616" s="10" t="s">
        <v>1559</v>
      </c>
      <c r="B616" s="10">
        <v>87563</v>
      </c>
      <c r="C616" s="10">
        <v>105324</v>
      </c>
      <c r="D616" s="10" t="s">
        <v>1560</v>
      </c>
      <c r="E616" s="10" t="s">
        <v>1561</v>
      </c>
      <c r="F616" s="10" t="s">
        <v>23</v>
      </c>
      <c r="G616" s="10" t="s">
        <v>12</v>
      </c>
      <c r="H616" s="10" t="s">
        <v>41</v>
      </c>
      <c r="I616" s="11">
        <v>907</v>
      </c>
      <c r="J616" s="11"/>
      <c r="K616" s="11">
        <v>289</v>
      </c>
      <c r="L616" s="6">
        <f t="shared" si="54"/>
        <v>618</v>
      </c>
      <c r="M616" s="12">
        <v>1.41</v>
      </c>
      <c r="N616" s="13">
        <f t="shared" si="55"/>
        <v>1278.8699999999999</v>
      </c>
      <c r="O616" s="13">
        <f t="shared" si="56"/>
        <v>407.48999999999995</v>
      </c>
      <c r="P616" s="14">
        <v>45.860816710000002</v>
      </c>
      <c r="Q616" s="8">
        <f t="shared" si="57"/>
        <v>41595.760755970005</v>
      </c>
      <c r="R616" s="8">
        <f t="shared" si="58"/>
        <v>13253.776029190001</v>
      </c>
      <c r="S616" s="15">
        <f t="shared" si="59"/>
        <v>0.31863285556780596</v>
      </c>
    </row>
    <row r="617" spans="1:19" x14ac:dyDescent="0.25">
      <c r="A617" s="10" t="s">
        <v>1562</v>
      </c>
      <c r="B617" s="10">
        <v>87563</v>
      </c>
      <c r="C617" s="10">
        <v>105324</v>
      </c>
      <c r="D617" s="10" t="s">
        <v>1560</v>
      </c>
      <c r="E617" s="10" t="s">
        <v>1563</v>
      </c>
      <c r="F617" s="10" t="s">
        <v>23</v>
      </c>
      <c r="G617" s="10" t="s">
        <v>12</v>
      </c>
      <c r="H617" s="10" t="s">
        <v>41</v>
      </c>
      <c r="I617" s="11">
        <v>1</v>
      </c>
      <c r="J617" s="11"/>
      <c r="K617" s="11">
        <v>0</v>
      </c>
      <c r="L617" s="6">
        <f t="shared" si="54"/>
        <v>1</v>
      </c>
      <c r="M617" s="12">
        <v>1.41</v>
      </c>
      <c r="N617" s="13">
        <f t="shared" si="55"/>
        <v>1.41</v>
      </c>
      <c r="O617" s="13">
        <f t="shared" si="56"/>
        <v>0</v>
      </c>
      <c r="P617" s="14">
        <v>1.10800104</v>
      </c>
      <c r="Q617" s="8">
        <f t="shared" si="57"/>
        <v>1.10800104</v>
      </c>
      <c r="R617" s="8">
        <f t="shared" si="58"/>
        <v>0</v>
      </c>
      <c r="S617" s="15">
        <f t="shared" si="59"/>
        <v>0</v>
      </c>
    </row>
    <row r="618" spans="1:19" x14ac:dyDescent="0.25">
      <c r="A618" s="10" t="s">
        <v>1564</v>
      </c>
      <c r="B618" s="10">
        <v>87564</v>
      </c>
      <c r="C618" s="10">
        <v>105093</v>
      </c>
      <c r="D618" s="10" t="s">
        <v>1565</v>
      </c>
      <c r="E618" s="10" t="s">
        <v>1566</v>
      </c>
      <c r="F618" s="10" t="s">
        <v>22</v>
      </c>
      <c r="G618" s="10" t="s">
        <v>12</v>
      </c>
      <c r="H618" s="10" t="s">
        <v>41</v>
      </c>
      <c r="I618" s="11">
        <v>313</v>
      </c>
      <c r="J618" s="11"/>
      <c r="K618" s="11">
        <v>166</v>
      </c>
      <c r="L618" s="6">
        <f t="shared" si="54"/>
        <v>147</v>
      </c>
      <c r="M618" s="12">
        <v>34.125</v>
      </c>
      <c r="N618" s="13">
        <f t="shared" si="55"/>
        <v>10681.125</v>
      </c>
      <c r="O618" s="13">
        <f t="shared" si="56"/>
        <v>5664.75</v>
      </c>
      <c r="P618" s="14">
        <v>373.10067758999998</v>
      </c>
      <c r="Q618" s="8">
        <f t="shared" si="57"/>
        <v>116780.51208566999</v>
      </c>
      <c r="R618" s="8">
        <f t="shared" si="58"/>
        <v>61934.712479939997</v>
      </c>
      <c r="S618" s="15">
        <f t="shared" si="59"/>
        <v>0.53035143769968052</v>
      </c>
    </row>
    <row r="619" spans="1:19" x14ac:dyDescent="0.25">
      <c r="A619" s="10" t="s">
        <v>1567</v>
      </c>
      <c r="B619" s="10">
        <v>87565</v>
      </c>
      <c r="C619" s="10">
        <v>105325</v>
      </c>
      <c r="D619" s="10" t="s">
        <v>1568</v>
      </c>
      <c r="E619" s="10" t="s">
        <v>1569</v>
      </c>
      <c r="F619" s="10" t="s">
        <v>23</v>
      </c>
      <c r="G619" s="10" t="s">
        <v>12</v>
      </c>
      <c r="H619" s="10" t="s">
        <v>41</v>
      </c>
      <c r="I619" s="11">
        <v>210</v>
      </c>
      <c r="J619" s="11"/>
      <c r="K619" s="11">
        <v>83</v>
      </c>
      <c r="L619" s="6">
        <f t="shared" si="54"/>
        <v>127</v>
      </c>
      <c r="M619" s="12">
        <v>1.413</v>
      </c>
      <c r="N619" s="13">
        <f t="shared" si="55"/>
        <v>296.73</v>
      </c>
      <c r="O619" s="13">
        <f t="shared" si="56"/>
        <v>117.279</v>
      </c>
      <c r="P619" s="14">
        <v>46.119645040000002</v>
      </c>
      <c r="Q619" s="8">
        <f t="shared" si="57"/>
        <v>9685.1254583999998</v>
      </c>
      <c r="R619" s="8">
        <f t="shared" si="58"/>
        <v>3827.9305383200003</v>
      </c>
      <c r="S619" s="15">
        <f t="shared" si="59"/>
        <v>0.39523809523809522</v>
      </c>
    </row>
    <row r="620" spans="1:19" x14ac:dyDescent="0.25">
      <c r="A620" s="10" t="s">
        <v>1570</v>
      </c>
      <c r="B620" s="10">
        <v>87566</v>
      </c>
      <c r="C620" s="10">
        <v>105094</v>
      </c>
      <c r="D620" s="10" t="s">
        <v>1571</v>
      </c>
      <c r="E620" s="10"/>
      <c r="F620" s="10" t="s">
        <v>23</v>
      </c>
      <c r="G620" s="10" t="s">
        <v>12</v>
      </c>
      <c r="H620" s="10" t="s">
        <v>41</v>
      </c>
      <c r="I620" s="11">
        <v>312</v>
      </c>
      <c r="J620" s="11"/>
      <c r="K620" s="11">
        <v>0</v>
      </c>
      <c r="L620" s="6">
        <f t="shared" si="54"/>
        <v>312</v>
      </c>
      <c r="M620" s="12">
        <v>11.7</v>
      </c>
      <c r="N620" s="13">
        <f t="shared" si="55"/>
        <v>3650.3999999999996</v>
      </c>
      <c r="O620" s="13">
        <f t="shared" si="56"/>
        <v>0</v>
      </c>
      <c r="P620" s="14">
        <v>89.022160159999999</v>
      </c>
      <c r="Q620" s="8">
        <f t="shared" si="57"/>
        <v>27774.913969919999</v>
      </c>
      <c r="R620" s="8">
        <f t="shared" si="58"/>
        <v>0</v>
      </c>
      <c r="S620" s="15">
        <f t="shared" si="59"/>
        <v>0</v>
      </c>
    </row>
    <row r="621" spans="1:19" x14ac:dyDescent="0.25">
      <c r="A621" s="10" t="s">
        <v>1572</v>
      </c>
      <c r="B621" s="10">
        <v>87626</v>
      </c>
      <c r="C621" s="10"/>
      <c r="D621" s="10" t="s">
        <v>1573</v>
      </c>
      <c r="E621" s="10" t="s">
        <v>1574</v>
      </c>
      <c r="F621" s="10" t="s">
        <v>22</v>
      </c>
      <c r="G621" s="10" t="s">
        <v>12</v>
      </c>
      <c r="H621" s="10" t="s">
        <v>41</v>
      </c>
      <c r="I621" s="11">
        <v>481</v>
      </c>
      <c r="J621" s="11"/>
      <c r="K621" s="11">
        <v>114</v>
      </c>
      <c r="L621" s="6">
        <f t="shared" si="54"/>
        <v>367</v>
      </c>
      <c r="M621" s="12">
        <v>11.51</v>
      </c>
      <c r="N621" s="13">
        <f t="shared" si="55"/>
        <v>5536.3099999999995</v>
      </c>
      <c r="O621" s="13">
        <f t="shared" si="56"/>
        <v>1312.1399999999999</v>
      </c>
      <c r="P621" s="14">
        <v>56.100988979999997</v>
      </c>
      <c r="Q621" s="8">
        <f t="shared" si="57"/>
        <v>26984.575699379999</v>
      </c>
      <c r="R621" s="8">
        <f t="shared" si="58"/>
        <v>6395.5127437199999</v>
      </c>
      <c r="S621" s="15">
        <f t="shared" si="59"/>
        <v>0.23700623700623702</v>
      </c>
    </row>
    <row r="622" spans="1:19" x14ac:dyDescent="0.25">
      <c r="A622" s="10" t="s">
        <v>1575</v>
      </c>
      <c r="B622" s="10">
        <v>87626</v>
      </c>
      <c r="C622" s="10"/>
      <c r="D622" s="10" t="s">
        <v>1573</v>
      </c>
      <c r="E622" s="10" t="s">
        <v>1576</v>
      </c>
      <c r="F622" s="10" t="s">
        <v>22</v>
      </c>
      <c r="G622" s="10" t="s">
        <v>12</v>
      </c>
      <c r="H622" s="10" t="s">
        <v>41</v>
      </c>
      <c r="I622" s="11">
        <v>70</v>
      </c>
      <c r="J622" s="11"/>
      <c r="K622" s="11">
        <v>20</v>
      </c>
      <c r="L622" s="6">
        <f t="shared" si="54"/>
        <v>50</v>
      </c>
      <c r="M622" s="12">
        <v>11.51</v>
      </c>
      <c r="N622" s="13">
        <f t="shared" si="55"/>
        <v>805.69999999999993</v>
      </c>
      <c r="O622" s="13">
        <f t="shared" si="56"/>
        <v>230.2</v>
      </c>
      <c r="P622" s="14">
        <v>61.257294979999998</v>
      </c>
      <c r="Q622" s="8">
        <f t="shared" si="57"/>
        <v>4288.0106485999995</v>
      </c>
      <c r="R622" s="8">
        <f t="shared" si="58"/>
        <v>1225.1458995999999</v>
      </c>
      <c r="S622" s="15">
        <f t="shared" si="59"/>
        <v>0.2857142857142857</v>
      </c>
    </row>
    <row r="623" spans="1:19" x14ac:dyDescent="0.25">
      <c r="A623" s="10" t="s">
        <v>1577</v>
      </c>
      <c r="B623" s="10">
        <v>87646</v>
      </c>
      <c r="C623" s="10">
        <v>32316</v>
      </c>
      <c r="D623" s="10" t="s">
        <v>1578</v>
      </c>
      <c r="E623" s="10" t="s">
        <v>1579</v>
      </c>
      <c r="F623" s="10" t="s">
        <v>22</v>
      </c>
      <c r="G623" s="10" t="s">
        <v>12</v>
      </c>
      <c r="H623" s="10" t="s">
        <v>41</v>
      </c>
      <c r="I623" s="11">
        <v>467</v>
      </c>
      <c r="J623" s="11"/>
      <c r="K623" s="11">
        <v>114</v>
      </c>
      <c r="L623" s="6">
        <f t="shared" si="54"/>
        <v>353</v>
      </c>
      <c r="M623" s="12">
        <v>6.63</v>
      </c>
      <c r="N623" s="13">
        <f t="shared" si="55"/>
        <v>3096.21</v>
      </c>
      <c r="O623" s="13">
        <f t="shared" si="56"/>
        <v>755.81999999999994</v>
      </c>
      <c r="P623" s="14">
        <v>49.411264260000003</v>
      </c>
      <c r="Q623" s="8">
        <f t="shared" si="57"/>
        <v>23075.060409420003</v>
      </c>
      <c r="R623" s="8">
        <f t="shared" si="58"/>
        <v>5632.8841256400001</v>
      </c>
      <c r="S623" s="15">
        <f t="shared" si="59"/>
        <v>0.24411134903640258</v>
      </c>
    </row>
    <row r="624" spans="1:19" x14ac:dyDescent="0.25">
      <c r="A624" s="10" t="s">
        <v>1580</v>
      </c>
      <c r="B624" s="10">
        <v>87812</v>
      </c>
      <c r="C624" s="10"/>
      <c r="D624" s="10" t="s">
        <v>1581</v>
      </c>
      <c r="E624" s="10" t="s">
        <v>1582</v>
      </c>
      <c r="F624" s="10" t="s">
        <v>22</v>
      </c>
      <c r="G624" s="10" t="s">
        <v>12</v>
      </c>
      <c r="H624" s="10" t="s">
        <v>41</v>
      </c>
      <c r="I624" s="11">
        <v>71</v>
      </c>
      <c r="J624" s="11"/>
      <c r="K624" s="11">
        <v>21</v>
      </c>
      <c r="L624" s="6">
        <f t="shared" si="54"/>
        <v>50</v>
      </c>
      <c r="M624" s="12">
        <v>13.65</v>
      </c>
      <c r="N624" s="13">
        <f t="shared" si="55"/>
        <v>969.15</v>
      </c>
      <c r="O624" s="13">
        <f t="shared" si="56"/>
        <v>286.65000000000003</v>
      </c>
      <c r="P624" s="14">
        <v>82.976436160000006</v>
      </c>
      <c r="Q624" s="8">
        <f t="shared" si="57"/>
        <v>5891.3269673600007</v>
      </c>
      <c r="R624" s="8">
        <f t="shared" si="58"/>
        <v>1742.5051593600001</v>
      </c>
      <c r="S624" s="15">
        <f t="shared" si="59"/>
        <v>0.29577464788732394</v>
      </c>
    </row>
    <row r="625" spans="1:19" x14ac:dyDescent="0.25">
      <c r="A625" s="10" t="s">
        <v>1583</v>
      </c>
      <c r="B625" s="10">
        <v>94924</v>
      </c>
      <c r="C625" s="10"/>
      <c r="D625" s="10" t="s">
        <v>1584</v>
      </c>
      <c r="E625" s="10"/>
      <c r="F625" s="10" t="s">
        <v>23</v>
      </c>
      <c r="G625" s="10" t="s">
        <v>12</v>
      </c>
      <c r="H625" s="10" t="s">
        <v>41</v>
      </c>
      <c r="I625" s="11">
        <v>201</v>
      </c>
      <c r="J625" s="11"/>
      <c r="K625" s="11">
        <v>0</v>
      </c>
      <c r="L625" s="6">
        <f t="shared" si="54"/>
        <v>201</v>
      </c>
      <c r="M625" s="12">
        <v>1.17</v>
      </c>
      <c r="N625" s="13">
        <f t="shared" si="55"/>
        <v>235.17</v>
      </c>
      <c r="O625" s="13">
        <f t="shared" si="56"/>
        <v>0</v>
      </c>
      <c r="P625" s="14">
        <v>130.44025396999999</v>
      </c>
      <c r="Q625" s="8">
        <f t="shared" si="57"/>
        <v>26218.491047969997</v>
      </c>
      <c r="R625" s="8">
        <f t="shared" si="58"/>
        <v>0</v>
      </c>
      <c r="S625" s="15">
        <f t="shared" si="59"/>
        <v>0</v>
      </c>
    </row>
    <row r="626" spans="1:19" x14ac:dyDescent="0.25">
      <c r="A626" s="10" t="s">
        <v>1585</v>
      </c>
      <c r="B626" s="10">
        <v>95029</v>
      </c>
      <c r="C626" s="10"/>
      <c r="D626" s="10" t="s">
        <v>1586</v>
      </c>
      <c r="E626" s="10" t="s">
        <v>1587</v>
      </c>
      <c r="F626" s="10" t="s">
        <v>22</v>
      </c>
      <c r="G626" s="10" t="s">
        <v>12</v>
      </c>
      <c r="H626" s="10" t="s">
        <v>41</v>
      </c>
      <c r="I626" s="11">
        <v>44</v>
      </c>
      <c r="J626" s="11"/>
      <c r="K626" s="11">
        <v>0</v>
      </c>
      <c r="L626" s="6">
        <f t="shared" si="54"/>
        <v>44</v>
      </c>
      <c r="M626" s="12">
        <v>13.308</v>
      </c>
      <c r="N626" s="13">
        <f t="shared" si="55"/>
        <v>585.55200000000002</v>
      </c>
      <c r="O626" s="13">
        <f t="shared" si="56"/>
        <v>0</v>
      </c>
      <c r="P626" s="14">
        <v>76.808179480000007</v>
      </c>
      <c r="Q626" s="8">
        <f t="shared" si="57"/>
        <v>3379.5598971200002</v>
      </c>
      <c r="R626" s="8">
        <f t="shared" si="58"/>
        <v>0</v>
      </c>
      <c r="S626" s="15">
        <f t="shared" si="59"/>
        <v>0</v>
      </c>
    </row>
    <row r="627" spans="1:19" x14ac:dyDescent="0.25">
      <c r="A627" s="10" t="s">
        <v>1588</v>
      </c>
      <c r="B627" s="10">
        <v>95040</v>
      </c>
      <c r="C627" s="10"/>
      <c r="D627" s="10" t="s">
        <v>1589</v>
      </c>
      <c r="E627" s="10" t="s">
        <v>1590</v>
      </c>
      <c r="F627" s="10" t="s">
        <v>22</v>
      </c>
      <c r="G627" s="10" t="s">
        <v>12</v>
      </c>
      <c r="H627" s="10" t="s">
        <v>41</v>
      </c>
      <c r="I627" s="11">
        <v>0</v>
      </c>
      <c r="J627" s="11"/>
      <c r="K627" s="11">
        <v>0</v>
      </c>
      <c r="L627" s="6">
        <f t="shared" si="54"/>
        <v>0</v>
      </c>
      <c r="M627" s="12">
        <v>20.962</v>
      </c>
      <c r="N627" s="13">
        <f t="shared" si="55"/>
        <v>0</v>
      </c>
      <c r="O627" s="13">
        <f t="shared" si="56"/>
        <v>0</v>
      </c>
      <c r="P627" s="14">
        <v>112.36226608</v>
      </c>
      <c r="Q627" s="8">
        <f t="shared" si="57"/>
        <v>0</v>
      </c>
      <c r="R627" s="8">
        <f t="shared" si="58"/>
        <v>0</v>
      </c>
      <c r="S627" s="15">
        <f t="shared" si="59"/>
        <v>0</v>
      </c>
    </row>
    <row r="628" spans="1:19" x14ac:dyDescent="0.25">
      <c r="A628" s="10" t="s">
        <v>1591</v>
      </c>
      <c r="B628" s="10">
        <v>97189</v>
      </c>
      <c r="C628" s="10"/>
      <c r="D628" s="10" t="s">
        <v>1592</v>
      </c>
      <c r="E628" s="10" t="s">
        <v>1593</v>
      </c>
      <c r="F628" s="10" t="s">
        <v>23</v>
      </c>
      <c r="G628" s="10" t="s">
        <v>12</v>
      </c>
      <c r="H628" s="10" t="s">
        <v>41</v>
      </c>
      <c r="I628" s="11">
        <v>574</v>
      </c>
      <c r="J628" s="11"/>
      <c r="K628" s="11">
        <v>373</v>
      </c>
      <c r="L628" s="6">
        <f t="shared" si="54"/>
        <v>201</v>
      </c>
      <c r="M628" s="12">
        <v>15.6</v>
      </c>
      <c r="N628" s="13">
        <f t="shared" si="55"/>
        <v>8954.4</v>
      </c>
      <c r="O628" s="13">
        <f t="shared" si="56"/>
        <v>5818.8</v>
      </c>
      <c r="P628" s="14">
        <v>48.405005269999997</v>
      </c>
      <c r="Q628" s="8">
        <f t="shared" si="57"/>
        <v>27784.473024979998</v>
      </c>
      <c r="R628" s="8">
        <f t="shared" si="58"/>
        <v>18055.066965709997</v>
      </c>
      <c r="S628" s="15">
        <f t="shared" si="59"/>
        <v>0.64982578397212543</v>
      </c>
    </row>
    <row r="629" spans="1:19" x14ac:dyDescent="0.25">
      <c r="A629" s="10" t="s">
        <v>1594</v>
      </c>
      <c r="B629" s="10">
        <v>97299</v>
      </c>
      <c r="C629" s="10"/>
      <c r="D629" s="10" t="s">
        <v>1595</v>
      </c>
      <c r="E629" s="10" t="s">
        <v>1596</v>
      </c>
      <c r="F629" s="10" t="s">
        <v>21</v>
      </c>
      <c r="G629" s="10" t="s">
        <v>12</v>
      </c>
      <c r="H629" s="10" t="s">
        <v>41</v>
      </c>
      <c r="I629" s="11">
        <v>2</v>
      </c>
      <c r="J629" s="11"/>
      <c r="K629" s="11">
        <v>0</v>
      </c>
      <c r="L629" s="6">
        <f t="shared" si="54"/>
        <v>2</v>
      </c>
      <c r="M629" s="12">
        <v>25.35</v>
      </c>
      <c r="N629" s="13">
        <f t="shared" si="55"/>
        <v>50.7</v>
      </c>
      <c r="O629" s="13">
        <f t="shared" si="56"/>
        <v>0</v>
      </c>
      <c r="P629" s="14">
        <v>82.504226509999995</v>
      </c>
      <c r="Q629" s="8">
        <f t="shared" si="57"/>
        <v>165.00845301999999</v>
      </c>
      <c r="R629" s="8">
        <f t="shared" si="58"/>
        <v>0</v>
      </c>
      <c r="S629" s="15">
        <f t="shared" si="59"/>
        <v>0</v>
      </c>
    </row>
    <row r="630" spans="1:19" x14ac:dyDescent="0.25">
      <c r="A630" s="10" t="s">
        <v>1597</v>
      </c>
      <c r="B630" s="10">
        <v>97299</v>
      </c>
      <c r="C630" s="10"/>
      <c r="D630" s="10" t="s">
        <v>1595</v>
      </c>
      <c r="E630" s="10" t="s">
        <v>1598</v>
      </c>
      <c r="F630" s="10" t="s">
        <v>21</v>
      </c>
      <c r="G630" s="10" t="s">
        <v>12</v>
      </c>
      <c r="H630" s="10" t="s">
        <v>41</v>
      </c>
      <c r="I630" s="11">
        <v>0</v>
      </c>
      <c r="J630" s="11"/>
      <c r="K630" s="11">
        <v>0</v>
      </c>
      <c r="L630" s="6">
        <f t="shared" si="54"/>
        <v>0</v>
      </c>
      <c r="M630" s="12">
        <v>25.35</v>
      </c>
      <c r="N630" s="13">
        <f t="shared" si="55"/>
        <v>0</v>
      </c>
      <c r="O630" s="13">
        <f t="shared" si="56"/>
        <v>0</v>
      </c>
      <c r="P630" s="14">
        <v>67.555712850000006</v>
      </c>
      <c r="Q630" s="8">
        <f t="shared" si="57"/>
        <v>0</v>
      </c>
      <c r="R630" s="8">
        <f t="shared" si="58"/>
        <v>0</v>
      </c>
      <c r="S630" s="15">
        <f t="shared" si="59"/>
        <v>0</v>
      </c>
    </row>
    <row r="631" spans="1:19" x14ac:dyDescent="0.25">
      <c r="A631" s="10" t="s">
        <v>1599</v>
      </c>
      <c r="B631" s="10">
        <v>97300</v>
      </c>
      <c r="C631" s="10"/>
      <c r="D631" s="10" t="s">
        <v>1600</v>
      </c>
      <c r="E631" s="10" t="s">
        <v>1601</v>
      </c>
      <c r="F631" s="10" t="s">
        <v>21</v>
      </c>
      <c r="G631" s="10" t="s">
        <v>12</v>
      </c>
      <c r="H631" s="10" t="s">
        <v>41</v>
      </c>
      <c r="I631" s="11">
        <v>2</v>
      </c>
      <c r="J631" s="11"/>
      <c r="K631" s="11">
        <v>0</v>
      </c>
      <c r="L631" s="6">
        <f t="shared" si="54"/>
        <v>2</v>
      </c>
      <c r="M631" s="12">
        <v>12.96</v>
      </c>
      <c r="N631" s="13">
        <f t="shared" si="55"/>
        <v>25.92</v>
      </c>
      <c r="O631" s="13">
        <f t="shared" si="56"/>
        <v>0</v>
      </c>
      <c r="P631" s="14">
        <v>45.455544969999998</v>
      </c>
      <c r="Q631" s="8">
        <f t="shared" si="57"/>
        <v>90.911089939999997</v>
      </c>
      <c r="R631" s="8">
        <f t="shared" si="58"/>
        <v>0</v>
      </c>
      <c r="S631" s="15">
        <f t="shared" si="59"/>
        <v>0</v>
      </c>
    </row>
    <row r="632" spans="1:19" x14ac:dyDescent="0.25">
      <c r="A632" s="10" t="s">
        <v>1602</v>
      </c>
      <c r="B632" s="10">
        <v>97300</v>
      </c>
      <c r="C632" s="10"/>
      <c r="D632" s="10" t="s">
        <v>1600</v>
      </c>
      <c r="E632" s="10" t="s">
        <v>1603</v>
      </c>
      <c r="F632" s="10" t="s">
        <v>21</v>
      </c>
      <c r="G632" s="10" t="s">
        <v>12</v>
      </c>
      <c r="H632" s="10" t="s">
        <v>41</v>
      </c>
      <c r="I632" s="11">
        <v>86</v>
      </c>
      <c r="J632" s="11"/>
      <c r="K632" s="11">
        <v>0</v>
      </c>
      <c r="L632" s="6">
        <f t="shared" si="54"/>
        <v>86</v>
      </c>
      <c r="M632" s="12">
        <v>12.96</v>
      </c>
      <c r="N632" s="13">
        <f t="shared" si="55"/>
        <v>1114.5600000000002</v>
      </c>
      <c r="O632" s="13">
        <f t="shared" si="56"/>
        <v>0</v>
      </c>
      <c r="P632" s="14">
        <v>48.525956569999998</v>
      </c>
      <c r="Q632" s="8">
        <f t="shared" si="57"/>
        <v>4173.2322650199994</v>
      </c>
      <c r="R632" s="8">
        <f t="shared" si="58"/>
        <v>0</v>
      </c>
      <c r="S632" s="15">
        <f t="shared" si="59"/>
        <v>0</v>
      </c>
    </row>
    <row r="633" spans="1:19" x14ac:dyDescent="0.25">
      <c r="A633" s="10" t="s">
        <v>1604</v>
      </c>
      <c r="B633" s="10">
        <v>97301</v>
      </c>
      <c r="C633" s="10"/>
      <c r="D633" s="10" t="s">
        <v>1605</v>
      </c>
      <c r="E633" s="10" t="s">
        <v>1606</v>
      </c>
      <c r="F633" s="10" t="s">
        <v>21</v>
      </c>
      <c r="G633" s="10" t="s">
        <v>12</v>
      </c>
      <c r="H633" s="10" t="s">
        <v>41</v>
      </c>
      <c r="I633" s="11">
        <v>2</v>
      </c>
      <c r="J633" s="11"/>
      <c r="K633" s="11">
        <v>0</v>
      </c>
      <c r="L633" s="6">
        <f t="shared" si="54"/>
        <v>2</v>
      </c>
      <c r="M633" s="12">
        <v>17.940000000000001</v>
      </c>
      <c r="N633" s="13">
        <f t="shared" si="55"/>
        <v>35.880000000000003</v>
      </c>
      <c r="O633" s="13">
        <f t="shared" si="56"/>
        <v>0</v>
      </c>
      <c r="P633" s="14">
        <v>80.881586010000007</v>
      </c>
      <c r="Q633" s="8">
        <f t="shared" si="57"/>
        <v>161.76317202000001</v>
      </c>
      <c r="R633" s="8">
        <f t="shared" si="58"/>
        <v>0</v>
      </c>
      <c r="S633" s="15">
        <f t="shared" si="59"/>
        <v>0</v>
      </c>
    </row>
    <row r="634" spans="1:19" x14ac:dyDescent="0.25">
      <c r="A634" s="10" t="s">
        <v>1607</v>
      </c>
      <c r="B634" s="10">
        <v>97301</v>
      </c>
      <c r="C634" s="10"/>
      <c r="D634" s="10" t="s">
        <v>1605</v>
      </c>
      <c r="E634" s="10" t="s">
        <v>1608</v>
      </c>
      <c r="F634" s="10" t="s">
        <v>21</v>
      </c>
      <c r="G634" s="10" t="s">
        <v>12</v>
      </c>
      <c r="H634" s="10" t="s">
        <v>41</v>
      </c>
      <c r="I634" s="11">
        <v>86</v>
      </c>
      <c r="J634" s="11"/>
      <c r="K634" s="11">
        <v>0</v>
      </c>
      <c r="L634" s="6">
        <f t="shared" si="54"/>
        <v>86</v>
      </c>
      <c r="M634" s="12">
        <v>17.940000000000001</v>
      </c>
      <c r="N634" s="13">
        <f t="shared" si="55"/>
        <v>1542.8400000000001</v>
      </c>
      <c r="O634" s="13">
        <f t="shared" si="56"/>
        <v>0</v>
      </c>
      <c r="P634" s="14">
        <v>121.54245435999999</v>
      </c>
      <c r="Q634" s="8">
        <f t="shared" si="57"/>
        <v>10452.65107496</v>
      </c>
      <c r="R634" s="8">
        <f t="shared" si="58"/>
        <v>0</v>
      </c>
      <c r="S634" s="15">
        <f t="shared" si="59"/>
        <v>0</v>
      </c>
    </row>
    <row r="635" spans="1:19" x14ac:dyDescent="0.25">
      <c r="A635" s="10" t="s">
        <v>1609</v>
      </c>
      <c r="B635" s="10">
        <v>97305</v>
      </c>
      <c r="C635" s="10">
        <v>98348</v>
      </c>
      <c r="D635" s="10" t="s">
        <v>1610</v>
      </c>
      <c r="E635" s="10" t="s">
        <v>1611</v>
      </c>
      <c r="F635" s="10" t="s">
        <v>21</v>
      </c>
      <c r="G635" s="10" t="s">
        <v>12</v>
      </c>
      <c r="H635" s="10" t="s">
        <v>41</v>
      </c>
      <c r="I635" s="11">
        <v>2</v>
      </c>
      <c r="J635" s="11"/>
      <c r="K635" s="11">
        <v>0</v>
      </c>
      <c r="L635" s="6">
        <f t="shared" si="54"/>
        <v>2</v>
      </c>
      <c r="M635" s="12">
        <v>19.5</v>
      </c>
      <c r="N635" s="13">
        <f t="shared" si="55"/>
        <v>39</v>
      </c>
      <c r="O635" s="13">
        <f t="shared" si="56"/>
        <v>0</v>
      </c>
      <c r="P635" s="14">
        <v>44.270129740000002</v>
      </c>
      <c r="Q635" s="8">
        <f t="shared" si="57"/>
        <v>88.540259480000003</v>
      </c>
      <c r="R635" s="8">
        <f t="shared" si="58"/>
        <v>0</v>
      </c>
      <c r="S635" s="15">
        <f t="shared" si="59"/>
        <v>0</v>
      </c>
    </row>
    <row r="636" spans="1:19" x14ac:dyDescent="0.25">
      <c r="A636" s="10" t="s">
        <v>1612</v>
      </c>
      <c r="B636" s="10">
        <v>97308</v>
      </c>
      <c r="C636" s="10">
        <v>79071</v>
      </c>
      <c r="D636" s="10" t="s">
        <v>1613</v>
      </c>
      <c r="E636" s="10" t="s">
        <v>1614</v>
      </c>
      <c r="F636" s="10" t="s">
        <v>21</v>
      </c>
      <c r="G636" s="10" t="s">
        <v>12</v>
      </c>
      <c r="H636" s="10" t="s">
        <v>41</v>
      </c>
      <c r="I636" s="11">
        <v>2</v>
      </c>
      <c r="J636" s="11"/>
      <c r="K636" s="11">
        <v>0</v>
      </c>
      <c r="L636" s="6">
        <f t="shared" si="54"/>
        <v>2</v>
      </c>
      <c r="M636" s="12">
        <v>14.87</v>
      </c>
      <c r="N636" s="13">
        <f t="shared" si="55"/>
        <v>29.74</v>
      </c>
      <c r="O636" s="13">
        <f t="shared" si="56"/>
        <v>0</v>
      </c>
      <c r="P636" s="14">
        <v>60.355191169999998</v>
      </c>
      <c r="Q636" s="8">
        <f t="shared" si="57"/>
        <v>120.71038234</v>
      </c>
      <c r="R636" s="8">
        <f t="shared" si="58"/>
        <v>0</v>
      </c>
      <c r="S636" s="15">
        <f t="shared" si="59"/>
        <v>0</v>
      </c>
    </row>
    <row r="637" spans="1:19" x14ac:dyDescent="0.25">
      <c r="A637" s="10" t="s">
        <v>1615</v>
      </c>
      <c r="B637" s="10">
        <v>97308</v>
      </c>
      <c r="C637" s="10">
        <v>79071</v>
      </c>
      <c r="D637" s="10" t="s">
        <v>1613</v>
      </c>
      <c r="E637" s="10" t="s">
        <v>1616</v>
      </c>
      <c r="F637" s="10" t="s">
        <v>21</v>
      </c>
      <c r="G637" s="10" t="s">
        <v>12</v>
      </c>
      <c r="H637" s="10" t="s">
        <v>41</v>
      </c>
      <c r="I637" s="11">
        <v>2</v>
      </c>
      <c r="J637" s="11"/>
      <c r="K637" s="11">
        <v>0</v>
      </c>
      <c r="L637" s="6">
        <f t="shared" si="54"/>
        <v>2</v>
      </c>
      <c r="M637" s="12">
        <v>14.87</v>
      </c>
      <c r="N637" s="13">
        <f t="shared" si="55"/>
        <v>29.74</v>
      </c>
      <c r="O637" s="13">
        <f t="shared" si="56"/>
        <v>0</v>
      </c>
      <c r="P637" s="14">
        <v>60.499853760000001</v>
      </c>
      <c r="Q637" s="8">
        <f t="shared" si="57"/>
        <v>120.99970752</v>
      </c>
      <c r="R637" s="8">
        <f t="shared" si="58"/>
        <v>0</v>
      </c>
      <c r="S637" s="15">
        <f t="shared" si="59"/>
        <v>0</v>
      </c>
    </row>
    <row r="638" spans="1:19" x14ac:dyDescent="0.25">
      <c r="A638" s="10" t="s">
        <v>1617</v>
      </c>
      <c r="B638" s="10">
        <v>97308</v>
      </c>
      <c r="C638" s="10">
        <v>79071</v>
      </c>
      <c r="D638" s="10" t="s">
        <v>1613</v>
      </c>
      <c r="E638" s="10" t="s">
        <v>1618</v>
      </c>
      <c r="F638" s="10" t="s">
        <v>21</v>
      </c>
      <c r="G638" s="10" t="s">
        <v>12</v>
      </c>
      <c r="H638" s="10" t="s">
        <v>41</v>
      </c>
      <c r="I638" s="11">
        <v>2</v>
      </c>
      <c r="J638" s="11"/>
      <c r="K638" s="11">
        <v>0</v>
      </c>
      <c r="L638" s="6">
        <f t="shared" si="54"/>
        <v>2</v>
      </c>
      <c r="M638" s="12">
        <v>14.87</v>
      </c>
      <c r="N638" s="13">
        <f t="shared" si="55"/>
        <v>29.74</v>
      </c>
      <c r="O638" s="13">
        <f t="shared" si="56"/>
        <v>0</v>
      </c>
      <c r="P638" s="14">
        <v>63.942300340000003</v>
      </c>
      <c r="Q638" s="8">
        <f t="shared" si="57"/>
        <v>127.88460068000001</v>
      </c>
      <c r="R638" s="8">
        <f t="shared" si="58"/>
        <v>0</v>
      </c>
      <c r="S638" s="15">
        <f t="shared" si="59"/>
        <v>0</v>
      </c>
    </row>
    <row r="639" spans="1:19" x14ac:dyDescent="0.25">
      <c r="A639" s="10" t="s">
        <v>1619</v>
      </c>
      <c r="B639" s="10">
        <v>2102</v>
      </c>
      <c r="C639" s="10">
        <v>59624</v>
      </c>
      <c r="D639" s="10" t="s">
        <v>163</v>
      </c>
      <c r="E639" s="10" t="s">
        <v>1620</v>
      </c>
      <c r="F639" s="10" t="s">
        <v>23</v>
      </c>
      <c r="G639" s="10" t="s">
        <v>13</v>
      </c>
      <c r="H639" s="10" t="s">
        <v>18</v>
      </c>
      <c r="I639" s="11">
        <v>5</v>
      </c>
      <c r="J639" s="11">
        <v>5</v>
      </c>
      <c r="K639" s="11">
        <v>0</v>
      </c>
      <c r="L639" s="6">
        <f t="shared" si="54"/>
        <v>5</v>
      </c>
      <c r="M639" s="12">
        <v>50.018000000000001</v>
      </c>
      <c r="N639" s="13">
        <f t="shared" si="55"/>
        <v>250.09</v>
      </c>
      <c r="O639" s="13">
        <f t="shared" si="56"/>
        <v>0</v>
      </c>
      <c r="P639" s="14">
        <v>212.85310627999999</v>
      </c>
      <c r="Q639" s="8">
        <f t="shared" si="57"/>
        <v>1064.2655313999999</v>
      </c>
      <c r="R639" s="8">
        <f t="shared" si="58"/>
        <v>0</v>
      </c>
      <c r="S639" s="15">
        <f t="shared" si="59"/>
        <v>0</v>
      </c>
    </row>
    <row r="640" spans="1:19" x14ac:dyDescent="0.25">
      <c r="A640" s="10" t="s">
        <v>1621</v>
      </c>
      <c r="B640" s="10">
        <v>2103</v>
      </c>
      <c r="C640" s="10">
        <v>59623</v>
      </c>
      <c r="D640" s="10" t="s">
        <v>166</v>
      </c>
      <c r="E640" s="10" t="s">
        <v>1622</v>
      </c>
      <c r="F640" s="10" t="s">
        <v>23</v>
      </c>
      <c r="G640" s="10" t="s">
        <v>13</v>
      </c>
      <c r="H640" s="10" t="s">
        <v>18</v>
      </c>
      <c r="I640" s="11">
        <v>0</v>
      </c>
      <c r="J640" s="11">
        <v>1</v>
      </c>
      <c r="K640" s="11">
        <v>0</v>
      </c>
      <c r="L640" s="6">
        <f t="shared" si="54"/>
        <v>0</v>
      </c>
      <c r="M640" s="12">
        <v>34.173999999999999</v>
      </c>
      <c r="N640" s="13">
        <f t="shared" si="55"/>
        <v>0</v>
      </c>
      <c r="O640" s="13">
        <f t="shared" si="56"/>
        <v>0</v>
      </c>
      <c r="P640" s="14">
        <v>109.68776649</v>
      </c>
      <c r="Q640" s="8">
        <f t="shared" si="57"/>
        <v>0</v>
      </c>
      <c r="R640" s="8">
        <f t="shared" si="58"/>
        <v>0</v>
      </c>
      <c r="S640" s="15">
        <f t="shared" si="59"/>
        <v>0</v>
      </c>
    </row>
    <row r="641" spans="1:19" x14ac:dyDescent="0.25">
      <c r="A641" s="10" t="s">
        <v>1623</v>
      </c>
      <c r="B641" s="10">
        <v>2104</v>
      </c>
      <c r="C641" s="10">
        <v>59625</v>
      </c>
      <c r="D641" s="10" t="s">
        <v>169</v>
      </c>
      <c r="E641" s="10" t="s">
        <v>1624</v>
      </c>
      <c r="F641" s="10" t="s">
        <v>23</v>
      </c>
      <c r="G641" s="10" t="s">
        <v>13</v>
      </c>
      <c r="H641" s="10" t="s">
        <v>18</v>
      </c>
      <c r="I641" s="11">
        <v>12</v>
      </c>
      <c r="J641" s="11">
        <v>12</v>
      </c>
      <c r="K641" s="11">
        <v>0</v>
      </c>
      <c r="L641" s="6">
        <f t="shared" si="54"/>
        <v>12</v>
      </c>
      <c r="M641" s="12">
        <v>51.674999999999997</v>
      </c>
      <c r="N641" s="13">
        <f t="shared" si="55"/>
        <v>620.09999999999991</v>
      </c>
      <c r="O641" s="13">
        <f t="shared" si="56"/>
        <v>0</v>
      </c>
      <c r="P641" s="14">
        <v>143.33117659000001</v>
      </c>
      <c r="Q641" s="8">
        <f t="shared" si="57"/>
        <v>1719.97411908</v>
      </c>
      <c r="R641" s="8">
        <f t="shared" si="58"/>
        <v>0</v>
      </c>
      <c r="S641" s="15">
        <f t="shared" si="59"/>
        <v>0</v>
      </c>
    </row>
    <row r="642" spans="1:19" x14ac:dyDescent="0.25">
      <c r="A642" s="10" t="s">
        <v>1625</v>
      </c>
      <c r="B642" s="10">
        <v>2246</v>
      </c>
      <c r="C642" s="10">
        <v>87025</v>
      </c>
      <c r="D642" s="10" t="s">
        <v>287</v>
      </c>
      <c r="E642" s="10" t="s">
        <v>1626</v>
      </c>
      <c r="F642" s="10" t="s">
        <v>23</v>
      </c>
      <c r="G642" s="10" t="s">
        <v>13</v>
      </c>
      <c r="H642" s="10" t="s">
        <v>18</v>
      </c>
      <c r="I642" s="11">
        <v>495</v>
      </c>
      <c r="J642" s="11">
        <v>523</v>
      </c>
      <c r="K642" s="11">
        <v>461</v>
      </c>
      <c r="L642" s="6">
        <f t="shared" ref="L642:L705" si="60">I642-K642</f>
        <v>34</v>
      </c>
      <c r="M642" s="12">
        <v>15.307</v>
      </c>
      <c r="N642" s="13">
        <f t="shared" ref="N642:N705" si="61">I642*M642</f>
        <v>7576.9650000000001</v>
      </c>
      <c r="O642" s="13">
        <f t="shared" ref="O642:O705" si="62">K642*M642</f>
        <v>7056.527</v>
      </c>
      <c r="P642" s="14">
        <v>34.195326799999997</v>
      </c>
      <c r="Q642" s="8">
        <f t="shared" ref="Q642:Q705" si="63">I642*P642</f>
        <v>16926.686765999999</v>
      </c>
      <c r="R642" s="8">
        <f t="shared" ref="R642:R705" si="64">K642*P642</f>
        <v>15764.045654799998</v>
      </c>
      <c r="S642" s="15">
        <f t="shared" ref="S642:S705" si="65">IF(I642=0,0,K642/I642)</f>
        <v>0.93131313131313131</v>
      </c>
    </row>
    <row r="643" spans="1:19" x14ac:dyDescent="0.25">
      <c r="A643" s="10" t="s">
        <v>1627</v>
      </c>
      <c r="B643" s="10">
        <v>2275</v>
      </c>
      <c r="C643" s="10">
        <v>86813</v>
      </c>
      <c r="D643" s="10" t="s">
        <v>1628</v>
      </c>
      <c r="E643" s="10" t="s">
        <v>1629</v>
      </c>
      <c r="F643" s="10" t="s">
        <v>23</v>
      </c>
      <c r="G643" s="10" t="s">
        <v>13</v>
      </c>
      <c r="H643" s="10" t="s">
        <v>18</v>
      </c>
      <c r="I643" s="11">
        <v>0</v>
      </c>
      <c r="J643" s="11">
        <v>0</v>
      </c>
      <c r="K643" s="11">
        <v>0</v>
      </c>
      <c r="L643" s="6">
        <f t="shared" si="60"/>
        <v>0</v>
      </c>
      <c r="M643" s="12">
        <v>59.475000000000001</v>
      </c>
      <c r="N643" s="13">
        <f t="shared" si="61"/>
        <v>0</v>
      </c>
      <c r="O643" s="13">
        <f t="shared" si="62"/>
        <v>0</v>
      </c>
      <c r="P643" s="14">
        <v>178.00257371000001</v>
      </c>
      <c r="Q643" s="8">
        <f t="shared" si="63"/>
        <v>0</v>
      </c>
      <c r="R643" s="8">
        <f t="shared" si="64"/>
        <v>0</v>
      </c>
      <c r="S643" s="15">
        <f t="shared" si="65"/>
        <v>0</v>
      </c>
    </row>
    <row r="644" spans="1:19" x14ac:dyDescent="0.25">
      <c r="A644" s="10" t="s">
        <v>1630</v>
      </c>
      <c r="B644" s="10">
        <v>2318</v>
      </c>
      <c r="C644" s="10">
        <v>73371</v>
      </c>
      <c r="D644" s="10" t="s">
        <v>314</v>
      </c>
      <c r="E644" s="10" t="s">
        <v>1631</v>
      </c>
      <c r="F644" s="10" t="s">
        <v>23</v>
      </c>
      <c r="G644" s="10" t="s">
        <v>13</v>
      </c>
      <c r="H644" s="10" t="s">
        <v>18</v>
      </c>
      <c r="I644" s="11">
        <v>6</v>
      </c>
      <c r="J644" s="11">
        <v>6</v>
      </c>
      <c r="K644" s="11">
        <v>1</v>
      </c>
      <c r="L644" s="6">
        <f t="shared" si="60"/>
        <v>5</v>
      </c>
      <c r="M644" s="12">
        <v>38.170999999999999</v>
      </c>
      <c r="N644" s="13">
        <f t="shared" si="61"/>
        <v>229.02600000000001</v>
      </c>
      <c r="O644" s="13">
        <f t="shared" si="62"/>
        <v>38.170999999999999</v>
      </c>
      <c r="P644" s="14">
        <v>119.41141994</v>
      </c>
      <c r="Q644" s="8">
        <f t="shared" si="63"/>
        <v>716.46851964000007</v>
      </c>
      <c r="R644" s="8">
        <f t="shared" si="64"/>
        <v>119.41141994</v>
      </c>
      <c r="S644" s="15">
        <f t="shared" si="65"/>
        <v>0.16666666666666666</v>
      </c>
    </row>
    <row r="645" spans="1:19" x14ac:dyDescent="0.25">
      <c r="A645" s="10" t="s">
        <v>1632</v>
      </c>
      <c r="B645" s="10">
        <v>2319</v>
      </c>
      <c r="C645" s="10">
        <v>73372</v>
      </c>
      <c r="D645" s="10" t="s">
        <v>317</v>
      </c>
      <c r="E645" s="10" t="s">
        <v>1633</v>
      </c>
      <c r="F645" s="10" t="s">
        <v>23</v>
      </c>
      <c r="G645" s="10" t="s">
        <v>13</v>
      </c>
      <c r="H645" s="10" t="s">
        <v>18</v>
      </c>
      <c r="I645" s="11">
        <v>5</v>
      </c>
      <c r="J645" s="11">
        <v>5</v>
      </c>
      <c r="K645" s="11">
        <v>1</v>
      </c>
      <c r="L645" s="6">
        <f t="shared" si="60"/>
        <v>4</v>
      </c>
      <c r="M645" s="12">
        <v>47.58</v>
      </c>
      <c r="N645" s="13">
        <f t="shared" si="61"/>
        <v>237.89999999999998</v>
      </c>
      <c r="O645" s="13">
        <f t="shared" si="62"/>
        <v>47.58</v>
      </c>
      <c r="P645" s="14">
        <v>139.91977118</v>
      </c>
      <c r="Q645" s="8">
        <f t="shared" si="63"/>
        <v>699.59885589999999</v>
      </c>
      <c r="R645" s="8">
        <f t="shared" si="64"/>
        <v>139.91977118</v>
      </c>
      <c r="S645" s="15">
        <f t="shared" si="65"/>
        <v>0.2</v>
      </c>
    </row>
    <row r="646" spans="1:19" x14ac:dyDescent="0.25">
      <c r="A646" s="10" t="s">
        <v>1634</v>
      </c>
      <c r="B646" s="10">
        <v>2320</v>
      </c>
      <c r="C646" s="10">
        <v>73373</v>
      </c>
      <c r="D646" s="10" t="s">
        <v>320</v>
      </c>
      <c r="E646" s="10" t="s">
        <v>1635</v>
      </c>
      <c r="F646" s="10" t="s">
        <v>23</v>
      </c>
      <c r="G646" s="10" t="s">
        <v>13</v>
      </c>
      <c r="H646" s="10" t="s">
        <v>18</v>
      </c>
      <c r="I646" s="11">
        <v>11</v>
      </c>
      <c r="J646" s="11">
        <v>11</v>
      </c>
      <c r="K646" s="11">
        <v>1</v>
      </c>
      <c r="L646" s="6">
        <f t="shared" si="60"/>
        <v>10</v>
      </c>
      <c r="M646" s="12">
        <v>57.622</v>
      </c>
      <c r="N646" s="13">
        <f t="shared" si="61"/>
        <v>633.84199999999998</v>
      </c>
      <c r="O646" s="13">
        <f t="shared" si="62"/>
        <v>57.622</v>
      </c>
      <c r="P646" s="14">
        <v>184.12453920999999</v>
      </c>
      <c r="Q646" s="8">
        <f t="shared" si="63"/>
        <v>2025.3699313099999</v>
      </c>
      <c r="R646" s="8">
        <f t="shared" si="64"/>
        <v>184.12453920999999</v>
      </c>
      <c r="S646" s="15">
        <f t="shared" si="65"/>
        <v>9.0909090909090912E-2</v>
      </c>
    </row>
    <row r="647" spans="1:19" x14ac:dyDescent="0.25">
      <c r="A647" s="10" t="s">
        <v>1636</v>
      </c>
      <c r="B647" s="10">
        <v>75841</v>
      </c>
      <c r="C647" s="10">
        <v>91882</v>
      </c>
      <c r="D647" s="10" t="s">
        <v>1637</v>
      </c>
      <c r="E647" s="10" t="s">
        <v>1638</v>
      </c>
      <c r="F647" s="10" t="s">
        <v>23</v>
      </c>
      <c r="G647" s="10" t="s">
        <v>13</v>
      </c>
      <c r="H647" s="10" t="s">
        <v>18</v>
      </c>
      <c r="I647" s="11">
        <v>0</v>
      </c>
      <c r="J647" s="11">
        <v>0</v>
      </c>
      <c r="K647" s="11">
        <v>0</v>
      </c>
      <c r="L647" s="6">
        <f t="shared" si="60"/>
        <v>0</v>
      </c>
      <c r="M647" s="12">
        <v>55.671999999999997</v>
      </c>
      <c r="N647" s="13">
        <f t="shared" si="61"/>
        <v>0</v>
      </c>
      <c r="O647" s="13">
        <f t="shared" si="62"/>
        <v>0</v>
      </c>
      <c r="P647" s="14">
        <v>273.12165506999997</v>
      </c>
      <c r="Q647" s="8">
        <f t="shared" si="63"/>
        <v>0</v>
      </c>
      <c r="R647" s="8">
        <f t="shared" si="64"/>
        <v>0</v>
      </c>
      <c r="S647" s="15">
        <f t="shared" si="65"/>
        <v>0</v>
      </c>
    </row>
    <row r="648" spans="1:19" x14ac:dyDescent="0.25">
      <c r="A648" s="10" t="s">
        <v>1639</v>
      </c>
      <c r="B648" s="10">
        <v>75868</v>
      </c>
      <c r="C648" s="10">
        <v>91884</v>
      </c>
      <c r="D648" s="10" t="s">
        <v>1017</v>
      </c>
      <c r="E648" s="10" t="s">
        <v>1640</v>
      </c>
      <c r="F648" s="10" t="s">
        <v>23</v>
      </c>
      <c r="G648" s="10" t="s">
        <v>13</v>
      </c>
      <c r="H648" s="10" t="s">
        <v>18</v>
      </c>
      <c r="I648" s="11">
        <v>0</v>
      </c>
      <c r="J648" s="11">
        <v>25</v>
      </c>
      <c r="K648" s="11">
        <v>0</v>
      </c>
      <c r="L648" s="6">
        <f t="shared" si="60"/>
        <v>0</v>
      </c>
      <c r="M648" s="12">
        <v>59.942999999999998</v>
      </c>
      <c r="N648" s="13">
        <f t="shared" si="61"/>
        <v>0</v>
      </c>
      <c r="O648" s="13">
        <f t="shared" si="62"/>
        <v>0</v>
      </c>
      <c r="P648" s="14">
        <v>209.48730216000001</v>
      </c>
      <c r="Q648" s="8">
        <f t="shared" si="63"/>
        <v>0</v>
      </c>
      <c r="R648" s="8">
        <f t="shared" si="64"/>
        <v>0</v>
      </c>
      <c r="S648" s="15">
        <f t="shared" si="65"/>
        <v>0</v>
      </c>
    </row>
    <row r="649" spans="1:19" x14ac:dyDescent="0.25">
      <c r="A649" s="10" t="s">
        <v>1641</v>
      </c>
      <c r="B649" s="10">
        <v>75871</v>
      </c>
      <c r="C649" s="10">
        <v>91885</v>
      </c>
      <c r="D649" s="10" t="s">
        <v>1024</v>
      </c>
      <c r="E649" s="10" t="s">
        <v>1642</v>
      </c>
      <c r="F649" s="10" t="s">
        <v>23</v>
      </c>
      <c r="G649" s="10" t="s">
        <v>13</v>
      </c>
      <c r="H649" s="10" t="s">
        <v>18</v>
      </c>
      <c r="I649" s="11">
        <v>23</v>
      </c>
      <c r="J649" s="11">
        <v>26</v>
      </c>
      <c r="K649" s="11">
        <v>0</v>
      </c>
      <c r="L649" s="6">
        <f t="shared" si="60"/>
        <v>23</v>
      </c>
      <c r="M649" s="12">
        <v>17.062000000000001</v>
      </c>
      <c r="N649" s="13">
        <f t="shared" si="61"/>
        <v>392.42600000000004</v>
      </c>
      <c r="O649" s="13">
        <f t="shared" si="62"/>
        <v>0</v>
      </c>
      <c r="P649" s="14">
        <v>52.091558030000002</v>
      </c>
      <c r="Q649" s="8">
        <f t="shared" si="63"/>
        <v>1198.1058346899999</v>
      </c>
      <c r="R649" s="8">
        <f t="shared" si="64"/>
        <v>0</v>
      </c>
      <c r="S649" s="15">
        <f t="shared" si="65"/>
        <v>0</v>
      </c>
    </row>
    <row r="650" spans="1:19" x14ac:dyDescent="0.25">
      <c r="A650" s="10" t="s">
        <v>1643</v>
      </c>
      <c r="B650" s="10">
        <v>76348</v>
      </c>
      <c r="C650" s="10">
        <v>91883</v>
      </c>
      <c r="D650" s="10" t="s">
        <v>1029</v>
      </c>
      <c r="E650" s="10" t="s">
        <v>1644</v>
      </c>
      <c r="F650" s="10" t="s">
        <v>23</v>
      </c>
      <c r="G650" s="10" t="s">
        <v>13</v>
      </c>
      <c r="H650" s="10" t="s">
        <v>18</v>
      </c>
      <c r="I650" s="11">
        <v>0</v>
      </c>
      <c r="J650" s="11">
        <v>0</v>
      </c>
      <c r="K650" s="11">
        <v>0</v>
      </c>
      <c r="L650" s="6">
        <f t="shared" si="60"/>
        <v>0</v>
      </c>
      <c r="M650" s="12">
        <v>52.161999999999999</v>
      </c>
      <c r="N650" s="13">
        <f t="shared" si="61"/>
        <v>0</v>
      </c>
      <c r="O650" s="13">
        <f t="shared" si="62"/>
        <v>0</v>
      </c>
      <c r="P650" s="14">
        <v>175.95619170000001</v>
      </c>
      <c r="Q650" s="8">
        <f t="shared" si="63"/>
        <v>0</v>
      </c>
      <c r="R650" s="8">
        <f t="shared" si="64"/>
        <v>0</v>
      </c>
      <c r="S650" s="15">
        <f t="shared" si="65"/>
        <v>0</v>
      </c>
    </row>
    <row r="651" spans="1:19" x14ac:dyDescent="0.25">
      <c r="A651" s="10" t="s">
        <v>1645</v>
      </c>
      <c r="B651" s="10">
        <v>84635</v>
      </c>
      <c r="C651" s="10">
        <v>96483</v>
      </c>
      <c r="D651" s="10" t="s">
        <v>1646</v>
      </c>
      <c r="E651" s="10" t="s">
        <v>1647</v>
      </c>
      <c r="F651" s="10" t="s">
        <v>23</v>
      </c>
      <c r="G651" s="10" t="s">
        <v>13</v>
      </c>
      <c r="H651" s="10" t="s">
        <v>18</v>
      </c>
      <c r="I651" s="11">
        <v>0</v>
      </c>
      <c r="J651" s="11">
        <v>20</v>
      </c>
      <c r="K651" s="11">
        <v>0</v>
      </c>
      <c r="L651" s="6">
        <f t="shared" si="60"/>
        <v>0</v>
      </c>
      <c r="M651" s="12">
        <v>47.97</v>
      </c>
      <c r="N651" s="13">
        <f t="shared" si="61"/>
        <v>0</v>
      </c>
      <c r="O651" s="13">
        <f t="shared" si="62"/>
        <v>0</v>
      </c>
      <c r="P651" s="14">
        <v>220.14466601000001</v>
      </c>
      <c r="Q651" s="8">
        <f t="shared" si="63"/>
        <v>0</v>
      </c>
      <c r="R651" s="8">
        <f t="shared" si="64"/>
        <v>0</v>
      </c>
      <c r="S651" s="15">
        <f t="shared" si="65"/>
        <v>0</v>
      </c>
    </row>
    <row r="652" spans="1:19" x14ac:dyDescent="0.25">
      <c r="A652" s="10" t="s">
        <v>1648</v>
      </c>
      <c r="B652" s="10">
        <v>84688</v>
      </c>
      <c r="C652" s="10">
        <v>96484</v>
      </c>
      <c r="D652" s="10" t="s">
        <v>1649</v>
      </c>
      <c r="E652" s="10" t="s">
        <v>1650</v>
      </c>
      <c r="F652" s="10" t="s">
        <v>23</v>
      </c>
      <c r="G652" s="10" t="s">
        <v>13</v>
      </c>
      <c r="H652" s="10" t="s">
        <v>18</v>
      </c>
      <c r="I652" s="11">
        <v>0</v>
      </c>
      <c r="J652" s="11">
        <v>20</v>
      </c>
      <c r="K652" s="11">
        <v>0</v>
      </c>
      <c r="L652" s="6">
        <f t="shared" si="60"/>
        <v>0</v>
      </c>
      <c r="M652" s="12">
        <v>49.92</v>
      </c>
      <c r="N652" s="13">
        <f t="shared" si="61"/>
        <v>0</v>
      </c>
      <c r="O652" s="13">
        <f t="shared" si="62"/>
        <v>0</v>
      </c>
      <c r="P652" s="14">
        <v>168.95770121000001</v>
      </c>
      <c r="Q652" s="8">
        <f t="shared" si="63"/>
        <v>0</v>
      </c>
      <c r="R652" s="8">
        <f t="shared" si="64"/>
        <v>0</v>
      </c>
      <c r="S652" s="15">
        <f t="shared" si="65"/>
        <v>0</v>
      </c>
    </row>
    <row r="653" spans="1:19" x14ac:dyDescent="0.25">
      <c r="A653" s="10" t="s">
        <v>1651</v>
      </c>
      <c r="B653" s="10">
        <v>84701</v>
      </c>
      <c r="C653" s="10">
        <v>96490</v>
      </c>
      <c r="D653" s="10" t="s">
        <v>1652</v>
      </c>
      <c r="E653" s="10" t="s">
        <v>1653</v>
      </c>
      <c r="F653" s="10" t="s">
        <v>23</v>
      </c>
      <c r="G653" s="10" t="s">
        <v>13</v>
      </c>
      <c r="H653" s="10" t="s">
        <v>18</v>
      </c>
      <c r="I653" s="11">
        <v>0</v>
      </c>
      <c r="J653" s="11">
        <v>20</v>
      </c>
      <c r="K653" s="11">
        <v>0</v>
      </c>
      <c r="L653" s="6">
        <f t="shared" si="60"/>
        <v>0</v>
      </c>
      <c r="M653" s="12">
        <v>44.313000000000002</v>
      </c>
      <c r="N653" s="13">
        <f t="shared" si="61"/>
        <v>0</v>
      </c>
      <c r="O653" s="13">
        <f t="shared" si="62"/>
        <v>0</v>
      </c>
      <c r="P653" s="14">
        <v>148.846475</v>
      </c>
      <c r="Q653" s="8">
        <f t="shared" si="63"/>
        <v>0</v>
      </c>
      <c r="R653" s="8">
        <f t="shared" si="64"/>
        <v>0</v>
      </c>
      <c r="S653" s="15">
        <f t="shared" si="65"/>
        <v>0</v>
      </c>
    </row>
    <row r="654" spans="1:19" x14ac:dyDescent="0.25">
      <c r="A654" s="10" t="s">
        <v>1654</v>
      </c>
      <c r="B654" s="10">
        <v>84712</v>
      </c>
      <c r="C654" s="10">
        <v>96491</v>
      </c>
      <c r="D654" s="10" t="s">
        <v>1655</v>
      </c>
      <c r="E654" s="10" t="s">
        <v>1656</v>
      </c>
      <c r="F654" s="10" t="s">
        <v>23</v>
      </c>
      <c r="G654" s="10" t="s">
        <v>13</v>
      </c>
      <c r="H654" s="10" t="s">
        <v>18</v>
      </c>
      <c r="I654" s="11">
        <v>0</v>
      </c>
      <c r="J654" s="11">
        <v>20</v>
      </c>
      <c r="K654" s="11">
        <v>0</v>
      </c>
      <c r="L654" s="6">
        <f t="shared" si="60"/>
        <v>0</v>
      </c>
      <c r="M654" s="12">
        <v>16.672000000000001</v>
      </c>
      <c r="N654" s="13">
        <f t="shared" si="61"/>
        <v>0</v>
      </c>
      <c r="O654" s="13">
        <f t="shared" si="62"/>
        <v>0</v>
      </c>
      <c r="P654" s="14">
        <v>46.080950989999998</v>
      </c>
      <c r="Q654" s="8">
        <f t="shared" si="63"/>
        <v>0</v>
      </c>
      <c r="R654" s="8">
        <f t="shared" si="64"/>
        <v>0</v>
      </c>
      <c r="S654" s="15">
        <f t="shared" si="65"/>
        <v>0</v>
      </c>
    </row>
    <row r="655" spans="1:19" x14ac:dyDescent="0.25">
      <c r="A655" s="10" t="s">
        <v>1657</v>
      </c>
      <c r="B655" s="10">
        <v>84715</v>
      </c>
      <c r="C655" s="10">
        <v>96485</v>
      </c>
      <c r="D655" s="10" t="s">
        <v>1658</v>
      </c>
      <c r="E655" s="10" t="s">
        <v>1659</v>
      </c>
      <c r="F655" s="10" t="s">
        <v>23</v>
      </c>
      <c r="G655" s="10" t="s">
        <v>13</v>
      </c>
      <c r="H655" s="10" t="s">
        <v>18</v>
      </c>
      <c r="I655" s="11">
        <v>0</v>
      </c>
      <c r="J655" s="11">
        <v>0</v>
      </c>
      <c r="K655" s="11">
        <v>0</v>
      </c>
      <c r="L655" s="6">
        <f t="shared" si="60"/>
        <v>0</v>
      </c>
      <c r="M655" s="12">
        <v>53.625</v>
      </c>
      <c r="N655" s="13">
        <f t="shared" si="61"/>
        <v>0</v>
      </c>
      <c r="O655" s="13">
        <f t="shared" si="62"/>
        <v>0</v>
      </c>
      <c r="P655" s="14">
        <v>177.45346810000001</v>
      </c>
      <c r="Q655" s="8">
        <f t="shared" si="63"/>
        <v>0</v>
      </c>
      <c r="R655" s="8">
        <f t="shared" si="64"/>
        <v>0</v>
      </c>
      <c r="S655" s="15">
        <f t="shared" si="65"/>
        <v>0</v>
      </c>
    </row>
    <row r="656" spans="1:19" x14ac:dyDescent="0.25">
      <c r="A656" s="10" t="s">
        <v>1660</v>
      </c>
      <c r="B656" s="10">
        <v>84800</v>
      </c>
      <c r="C656" s="10">
        <v>96519</v>
      </c>
      <c r="D656" s="10" t="s">
        <v>1145</v>
      </c>
      <c r="E656" s="10" t="s">
        <v>1661</v>
      </c>
      <c r="F656" s="10" t="s">
        <v>23</v>
      </c>
      <c r="G656" s="10" t="s">
        <v>13</v>
      </c>
      <c r="H656" s="10" t="s">
        <v>18</v>
      </c>
      <c r="I656" s="11">
        <v>21</v>
      </c>
      <c r="J656" s="11">
        <v>21</v>
      </c>
      <c r="K656" s="11">
        <v>0</v>
      </c>
      <c r="L656" s="6">
        <f t="shared" si="60"/>
        <v>21</v>
      </c>
      <c r="M656" s="12">
        <v>58.5</v>
      </c>
      <c r="N656" s="13">
        <f t="shared" si="61"/>
        <v>1228.5</v>
      </c>
      <c r="O656" s="13">
        <f t="shared" si="62"/>
        <v>0</v>
      </c>
      <c r="P656" s="14">
        <v>189.34105611000001</v>
      </c>
      <c r="Q656" s="8">
        <f t="shared" si="63"/>
        <v>3976.1621783100004</v>
      </c>
      <c r="R656" s="8">
        <f t="shared" si="64"/>
        <v>0</v>
      </c>
      <c r="S656" s="15">
        <f t="shared" si="65"/>
        <v>0</v>
      </c>
    </row>
    <row r="657" spans="1:19" x14ac:dyDescent="0.25">
      <c r="A657" s="10" t="s">
        <v>1662</v>
      </c>
      <c r="B657" s="10">
        <v>84809</v>
      </c>
      <c r="C657" s="10">
        <v>96520</v>
      </c>
      <c r="D657" s="10" t="s">
        <v>1150</v>
      </c>
      <c r="E657" s="10" t="s">
        <v>1663</v>
      </c>
      <c r="F657" s="10" t="s">
        <v>23</v>
      </c>
      <c r="G657" s="10" t="s">
        <v>13</v>
      </c>
      <c r="H657" s="10" t="s">
        <v>18</v>
      </c>
      <c r="I657" s="11">
        <v>0</v>
      </c>
      <c r="J657" s="11">
        <v>0</v>
      </c>
      <c r="K657" s="11">
        <v>0</v>
      </c>
      <c r="L657" s="6">
        <f t="shared" si="60"/>
        <v>0</v>
      </c>
      <c r="M657" s="12">
        <v>67.665000000000006</v>
      </c>
      <c r="N657" s="13">
        <f t="shared" si="61"/>
        <v>0</v>
      </c>
      <c r="O657" s="13">
        <f t="shared" si="62"/>
        <v>0</v>
      </c>
      <c r="P657" s="14">
        <v>210.88532157</v>
      </c>
      <c r="Q657" s="8">
        <f t="shared" si="63"/>
        <v>0</v>
      </c>
      <c r="R657" s="8">
        <f t="shared" si="64"/>
        <v>0</v>
      </c>
      <c r="S657" s="15">
        <f t="shared" si="65"/>
        <v>0</v>
      </c>
    </row>
    <row r="658" spans="1:19" x14ac:dyDescent="0.25">
      <c r="A658" s="10" t="s">
        <v>1664</v>
      </c>
      <c r="B658" s="10">
        <v>84836</v>
      </c>
      <c r="C658" s="10">
        <v>96576</v>
      </c>
      <c r="D658" s="10" t="s">
        <v>1158</v>
      </c>
      <c r="E658" s="10" t="s">
        <v>1665</v>
      </c>
      <c r="F658" s="10" t="s">
        <v>23</v>
      </c>
      <c r="G658" s="10" t="s">
        <v>13</v>
      </c>
      <c r="H658" s="10" t="s">
        <v>18</v>
      </c>
      <c r="I658" s="11">
        <v>547</v>
      </c>
      <c r="J658" s="11">
        <v>578</v>
      </c>
      <c r="K658" s="11">
        <v>461</v>
      </c>
      <c r="L658" s="6">
        <f t="shared" si="60"/>
        <v>86</v>
      </c>
      <c r="M658" s="12">
        <v>51.674999999999997</v>
      </c>
      <c r="N658" s="13">
        <f t="shared" si="61"/>
        <v>28266.224999999999</v>
      </c>
      <c r="O658" s="13">
        <f t="shared" si="62"/>
        <v>23822.174999999999</v>
      </c>
      <c r="P658" s="14">
        <v>174.15502015999999</v>
      </c>
      <c r="Q658" s="8">
        <f t="shared" si="63"/>
        <v>95262.796027520002</v>
      </c>
      <c r="R658" s="8">
        <f t="shared" si="64"/>
        <v>80285.46429376</v>
      </c>
      <c r="S658" s="15">
        <f t="shared" si="65"/>
        <v>0.84277879341864714</v>
      </c>
    </row>
    <row r="659" spans="1:19" x14ac:dyDescent="0.25">
      <c r="A659" s="10" t="s">
        <v>1666</v>
      </c>
      <c r="B659" s="10">
        <v>84860</v>
      </c>
      <c r="C659" s="10">
        <v>96613</v>
      </c>
      <c r="D659" s="10" t="s">
        <v>1667</v>
      </c>
      <c r="E659" s="10" t="s">
        <v>1668</v>
      </c>
      <c r="F659" s="10" t="s">
        <v>23</v>
      </c>
      <c r="G659" s="10" t="s">
        <v>13</v>
      </c>
      <c r="H659" s="10" t="s">
        <v>18</v>
      </c>
      <c r="I659" s="11">
        <v>81</v>
      </c>
      <c r="J659" s="11">
        <v>74</v>
      </c>
      <c r="K659" s="11">
        <v>31</v>
      </c>
      <c r="L659" s="6">
        <f t="shared" si="60"/>
        <v>50</v>
      </c>
      <c r="M659" s="12">
        <v>58.5</v>
      </c>
      <c r="N659" s="13">
        <f t="shared" si="61"/>
        <v>4738.5</v>
      </c>
      <c r="O659" s="13">
        <f t="shared" si="62"/>
        <v>1813.5</v>
      </c>
      <c r="P659" s="14">
        <v>305.66135344000003</v>
      </c>
      <c r="Q659" s="8">
        <f t="shared" si="63"/>
        <v>24758.569628640002</v>
      </c>
      <c r="R659" s="8">
        <f t="shared" si="64"/>
        <v>9475.5019566400006</v>
      </c>
      <c r="S659" s="15">
        <f t="shared" si="65"/>
        <v>0.38271604938271603</v>
      </c>
    </row>
    <row r="660" spans="1:19" x14ac:dyDescent="0.25">
      <c r="A660" s="10" t="s">
        <v>1669</v>
      </c>
      <c r="B660" s="10">
        <v>84866</v>
      </c>
      <c r="C660" s="10">
        <v>96617</v>
      </c>
      <c r="D660" s="10" t="s">
        <v>1670</v>
      </c>
      <c r="E660" s="10" t="s">
        <v>1671</v>
      </c>
      <c r="F660" s="10" t="s">
        <v>23</v>
      </c>
      <c r="G660" s="10" t="s">
        <v>13</v>
      </c>
      <c r="H660" s="10" t="s">
        <v>18</v>
      </c>
      <c r="I660" s="11">
        <v>98</v>
      </c>
      <c r="J660" s="11">
        <v>98</v>
      </c>
      <c r="K660" s="11">
        <v>31</v>
      </c>
      <c r="L660" s="6">
        <f t="shared" si="60"/>
        <v>67</v>
      </c>
      <c r="M660" s="12">
        <v>48.75</v>
      </c>
      <c r="N660" s="13">
        <f t="shared" si="61"/>
        <v>4777.5</v>
      </c>
      <c r="O660" s="13">
        <f t="shared" si="62"/>
        <v>1511.25</v>
      </c>
      <c r="P660" s="14">
        <v>87.31064078</v>
      </c>
      <c r="Q660" s="8">
        <f t="shared" si="63"/>
        <v>8556.4427964400002</v>
      </c>
      <c r="R660" s="8">
        <f t="shared" si="64"/>
        <v>2706.6298641799999</v>
      </c>
      <c r="S660" s="15">
        <f t="shared" si="65"/>
        <v>0.31632653061224492</v>
      </c>
    </row>
    <row r="661" spans="1:19" x14ac:dyDescent="0.25">
      <c r="A661" s="10" t="s">
        <v>1672</v>
      </c>
      <c r="B661" s="10">
        <v>86204</v>
      </c>
      <c r="C661" s="10">
        <v>99703</v>
      </c>
      <c r="D661" s="10" t="s">
        <v>1379</v>
      </c>
      <c r="E661" s="10" t="s">
        <v>1673</v>
      </c>
      <c r="F661" s="10" t="s">
        <v>23</v>
      </c>
      <c r="G661" s="10" t="s">
        <v>13</v>
      </c>
      <c r="H661" s="10" t="s">
        <v>18</v>
      </c>
      <c r="I661" s="11">
        <v>25</v>
      </c>
      <c r="J661" s="11">
        <v>25</v>
      </c>
      <c r="K661" s="11">
        <v>0</v>
      </c>
      <c r="L661" s="6">
        <f t="shared" si="60"/>
        <v>25</v>
      </c>
      <c r="M661" s="12">
        <v>30.663</v>
      </c>
      <c r="N661" s="13">
        <f t="shared" si="61"/>
        <v>766.57500000000005</v>
      </c>
      <c r="O661" s="13">
        <f t="shared" si="62"/>
        <v>0</v>
      </c>
      <c r="P661" s="14">
        <v>147.00522857999999</v>
      </c>
      <c r="Q661" s="8">
        <f t="shared" si="63"/>
        <v>3675.1307145000001</v>
      </c>
      <c r="R661" s="8">
        <f t="shared" si="64"/>
        <v>0</v>
      </c>
      <c r="S661" s="15">
        <f t="shared" si="65"/>
        <v>0</v>
      </c>
    </row>
    <row r="662" spans="1:19" x14ac:dyDescent="0.25">
      <c r="A662" s="10" t="s">
        <v>1674</v>
      </c>
      <c r="B662" s="10">
        <v>86265</v>
      </c>
      <c r="C662" s="10">
        <v>100433</v>
      </c>
      <c r="D662" s="10" t="s">
        <v>1382</v>
      </c>
      <c r="E662" s="10" t="s">
        <v>1675</v>
      </c>
      <c r="F662" s="10" t="s">
        <v>23</v>
      </c>
      <c r="G662" s="10" t="s">
        <v>13</v>
      </c>
      <c r="H662" s="10" t="s">
        <v>18</v>
      </c>
      <c r="I662" s="11">
        <v>24</v>
      </c>
      <c r="J662" s="11">
        <v>23</v>
      </c>
      <c r="K662" s="11">
        <v>0</v>
      </c>
      <c r="L662" s="6">
        <f t="shared" si="60"/>
        <v>24</v>
      </c>
      <c r="M662" s="12">
        <v>47.725999999999999</v>
      </c>
      <c r="N662" s="13">
        <f t="shared" si="61"/>
        <v>1145.424</v>
      </c>
      <c r="O662" s="13">
        <f t="shared" si="62"/>
        <v>0</v>
      </c>
      <c r="P662" s="14">
        <v>158.98678661</v>
      </c>
      <c r="Q662" s="8">
        <f t="shared" si="63"/>
        <v>3815.6828786400001</v>
      </c>
      <c r="R662" s="8">
        <f t="shared" si="64"/>
        <v>0</v>
      </c>
      <c r="S662" s="15">
        <f t="shared" si="65"/>
        <v>0</v>
      </c>
    </row>
    <row r="663" spans="1:19" x14ac:dyDescent="0.25">
      <c r="A663" s="10" t="s">
        <v>1676</v>
      </c>
      <c r="B663" s="10">
        <v>86318</v>
      </c>
      <c r="C663" s="10">
        <v>99705</v>
      </c>
      <c r="D663" s="10" t="s">
        <v>1385</v>
      </c>
      <c r="E663" s="10" t="s">
        <v>1677</v>
      </c>
      <c r="F663" s="10" t="s">
        <v>23</v>
      </c>
      <c r="G663" s="10" t="s">
        <v>13</v>
      </c>
      <c r="H663" s="10" t="s">
        <v>18</v>
      </c>
      <c r="I663" s="11">
        <v>4</v>
      </c>
      <c r="J663" s="11">
        <v>5</v>
      </c>
      <c r="K663" s="11">
        <v>0</v>
      </c>
      <c r="L663" s="6">
        <f t="shared" si="60"/>
        <v>4</v>
      </c>
      <c r="M663" s="12">
        <v>28.908000000000001</v>
      </c>
      <c r="N663" s="13">
        <f t="shared" si="61"/>
        <v>115.63200000000001</v>
      </c>
      <c r="O663" s="13">
        <f t="shared" si="62"/>
        <v>0</v>
      </c>
      <c r="P663" s="14">
        <v>129.96249689000001</v>
      </c>
      <c r="Q663" s="8">
        <f t="shared" si="63"/>
        <v>519.84998756000005</v>
      </c>
      <c r="R663" s="8">
        <f t="shared" si="64"/>
        <v>0</v>
      </c>
      <c r="S663" s="15">
        <f t="shared" si="65"/>
        <v>0</v>
      </c>
    </row>
    <row r="664" spans="1:19" x14ac:dyDescent="0.25">
      <c r="A664" s="10" t="s">
        <v>1678</v>
      </c>
      <c r="B664" s="10">
        <v>86324</v>
      </c>
      <c r="C664" s="10">
        <v>100435</v>
      </c>
      <c r="D664" s="10" t="s">
        <v>1388</v>
      </c>
      <c r="E664" s="10" t="s">
        <v>1679</v>
      </c>
      <c r="F664" s="10" t="s">
        <v>23</v>
      </c>
      <c r="G664" s="10" t="s">
        <v>13</v>
      </c>
      <c r="H664" s="10" t="s">
        <v>18</v>
      </c>
      <c r="I664" s="11">
        <v>0</v>
      </c>
      <c r="J664" s="11">
        <v>0</v>
      </c>
      <c r="K664" s="11">
        <v>0</v>
      </c>
      <c r="L664" s="6">
        <f t="shared" si="60"/>
        <v>0</v>
      </c>
      <c r="M664" s="12">
        <v>15.161</v>
      </c>
      <c r="N664" s="13">
        <f t="shared" si="61"/>
        <v>0</v>
      </c>
      <c r="O664" s="13">
        <f t="shared" si="62"/>
        <v>0</v>
      </c>
      <c r="P664" s="14">
        <v>76.736098709999993</v>
      </c>
      <c r="Q664" s="8">
        <f t="shared" si="63"/>
        <v>0</v>
      </c>
      <c r="R664" s="8">
        <f t="shared" si="64"/>
        <v>0</v>
      </c>
      <c r="S664" s="15">
        <f t="shared" si="65"/>
        <v>0</v>
      </c>
    </row>
    <row r="665" spans="1:19" x14ac:dyDescent="0.25">
      <c r="A665" s="10" t="s">
        <v>1680</v>
      </c>
      <c r="B665" s="10">
        <v>86332</v>
      </c>
      <c r="C665" s="10">
        <v>99778</v>
      </c>
      <c r="D665" s="10" t="s">
        <v>1393</v>
      </c>
      <c r="E665" s="10" t="s">
        <v>1681</v>
      </c>
      <c r="F665" s="10" t="s">
        <v>23</v>
      </c>
      <c r="G665" s="10" t="s">
        <v>13</v>
      </c>
      <c r="H665" s="10" t="s">
        <v>18</v>
      </c>
      <c r="I665" s="11">
        <v>0</v>
      </c>
      <c r="J665" s="11">
        <v>2</v>
      </c>
      <c r="K665" s="11">
        <v>0</v>
      </c>
      <c r="L665" s="6">
        <f t="shared" si="60"/>
        <v>0</v>
      </c>
      <c r="M665" s="12">
        <v>47.335999999999999</v>
      </c>
      <c r="N665" s="13">
        <f t="shared" si="61"/>
        <v>0</v>
      </c>
      <c r="O665" s="13">
        <f t="shared" si="62"/>
        <v>0</v>
      </c>
      <c r="P665" s="14">
        <v>216.42617956999999</v>
      </c>
      <c r="Q665" s="8">
        <f t="shared" si="63"/>
        <v>0</v>
      </c>
      <c r="R665" s="8">
        <f t="shared" si="64"/>
        <v>0</v>
      </c>
      <c r="S665" s="15">
        <f t="shared" si="65"/>
        <v>0</v>
      </c>
    </row>
    <row r="666" spans="1:19" x14ac:dyDescent="0.25">
      <c r="A666" s="10" t="s">
        <v>1682</v>
      </c>
      <c r="B666" s="10">
        <v>86373</v>
      </c>
      <c r="C666" s="10">
        <v>99779</v>
      </c>
      <c r="D666" s="10" t="s">
        <v>1396</v>
      </c>
      <c r="E666" s="10" t="s">
        <v>1683</v>
      </c>
      <c r="F666" s="10" t="s">
        <v>23</v>
      </c>
      <c r="G666" s="10" t="s">
        <v>13</v>
      </c>
      <c r="H666" s="10" t="s">
        <v>18</v>
      </c>
      <c r="I666" s="11">
        <v>13</v>
      </c>
      <c r="J666" s="11">
        <v>1</v>
      </c>
      <c r="K666" s="11">
        <v>0</v>
      </c>
      <c r="L666" s="6">
        <f t="shared" si="60"/>
        <v>13</v>
      </c>
      <c r="M666" s="12">
        <v>63.472000000000001</v>
      </c>
      <c r="N666" s="13">
        <f t="shared" si="61"/>
        <v>825.13599999999997</v>
      </c>
      <c r="O666" s="13">
        <f t="shared" si="62"/>
        <v>0</v>
      </c>
      <c r="P666" s="14">
        <v>215.65379587999999</v>
      </c>
      <c r="Q666" s="8">
        <f t="shared" si="63"/>
        <v>2803.49934644</v>
      </c>
      <c r="R666" s="8">
        <f t="shared" si="64"/>
        <v>0</v>
      </c>
      <c r="S666" s="15">
        <f t="shared" si="65"/>
        <v>0</v>
      </c>
    </row>
    <row r="667" spans="1:19" x14ac:dyDescent="0.25">
      <c r="A667" s="10" t="s">
        <v>1684</v>
      </c>
      <c r="B667" s="10">
        <v>2406</v>
      </c>
      <c r="C667" s="10">
        <v>45889</v>
      </c>
      <c r="D667" s="10" t="s">
        <v>377</v>
      </c>
      <c r="E667" s="10" t="s">
        <v>1685</v>
      </c>
      <c r="F667" s="10" t="s">
        <v>23</v>
      </c>
      <c r="G667" s="10" t="s">
        <v>13</v>
      </c>
      <c r="H667" s="10" t="s">
        <v>17</v>
      </c>
      <c r="I667" s="11">
        <v>68</v>
      </c>
      <c r="J667" s="11">
        <v>64</v>
      </c>
      <c r="K667" s="11">
        <v>63</v>
      </c>
      <c r="L667" s="6">
        <f t="shared" si="60"/>
        <v>5</v>
      </c>
      <c r="M667" s="12">
        <v>64.349999999999994</v>
      </c>
      <c r="N667" s="13">
        <f t="shared" si="61"/>
        <v>4375.7999999999993</v>
      </c>
      <c r="O667" s="13">
        <f t="shared" si="62"/>
        <v>4054.0499999999997</v>
      </c>
      <c r="P667" s="14">
        <v>329.15523363</v>
      </c>
      <c r="Q667" s="8">
        <f t="shared" si="63"/>
        <v>22382.55588684</v>
      </c>
      <c r="R667" s="8">
        <f t="shared" si="64"/>
        <v>20736.779718689999</v>
      </c>
      <c r="S667" s="15">
        <f t="shared" si="65"/>
        <v>0.92647058823529416</v>
      </c>
    </row>
    <row r="668" spans="1:19" x14ac:dyDescent="0.25">
      <c r="A668" s="10" t="s">
        <v>1686</v>
      </c>
      <c r="B668" s="10">
        <v>2407</v>
      </c>
      <c r="C668" s="10">
        <v>45891</v>
      </c>
      <c r="D668" s="10" t="s">
        <v>380</v>
      </c>
      <c r="E668" s="10" t="s">
        <v>1687</v>
      </c>
      <c r="F668" s="10" t="s">
        <v>23</v>
      </c>
      <c r="G668" s="10" t="s">
        <v>13</v>
      </c>
      <c r="H668" s="10" t="s">
        <v>17</v>
      </c>
      <c r="I668" s="11">
        <v>74</v>
      </c>
      <c r="J668" s="11">
        <v>76</v>
      </c>
      <c r="K668" s="11">
        <v>63</v>
      </c>
      <c r="L668" s="6">
        <f t="shared" si="60"/>
        <v>11</v>
      </c>
      <c r="M668" s="12">
        <v>55.185000000000002</v>
      </c>
      <c r="N668" s="13">
        <f t="shared" si="61"/>
        <v>4083.69</v>
      </c>
      <c r="O668" s="13">
        <f t="shared" si="62"/>
        <v>3476.6550000000002</v>
      </c>
      <c r="P668" s="14">
        <v>185.04313647000001</v>
      </c>
      <c r="Q668" s="8">
        <f t="shared" si="63"/>
        <v>13693.19209878</v>
      </c>
      <c r="R668" s="8">
        <f t="shared" si="64"/>
        <v>11657.717597610001</v>
      </c>
      <c r="S668" s="15">
        <f t="shared" si="65"/>
        <v>0.85135135135135132</v>
      </c>
    </row>
    <row r="669" spans="1:19" x14ac:dyDescent="0.25">
      <c r="A669" s="10" t="s">
        <v>1688</v>
      </c>
      <c r="B669" s="10">
        <v>2408</v>
      </c>
      <c r="C669" s="10">
        <v>45892</v>
      </c>
      <c r="D669" s="10" t="s">
        <v>383</v>
      </c>
      <c r="E669" s="10" t="s">
        <v>1689</v>
      </c>
      <c r="F669" s="10" t="s">
        <v>23</v>
      </c>
      <c r="G669" s="10" t="s">
        <v>13</v>
      </c>
      <c r="H669" s="10" t="s">
        <v>17</v>
      </c>
      <c r="I669" s="11">
        <v>63</v>
      </c>
      <c r="J669" s="11">
        <v>66</v>
      </c>
      <c r="K669" s="11">
        <v>63</v>
      </c>
      <c r="L669" s="6">
        <f t="shared" si="60"/>
        <v>0</v>
      </c>
      <c r="M669" s="12">
        <v>56.55</v>
      </c>
      <c r="N669" s="13">
        <f t="shared" si="61"/>
        <v>3562.6499999999996</v>
      </c>
      <c r="O669" s="13">
        <f t="shared" si="62"/>
        <v>3562.6499999999996</v>
      </c>
      <c r="P669" s="14">
        <v>227.21346363999999</v>
      </c>
      <c r="Q669" s="8">
        <f t="shared" si="63"/>
        <v>14314.448209319999</v>
      </c>
      <c r="R669" s="8">
        <f t="shared" si="64"/>
        <v>14314.448209319999</v>
      </c>
      <c r="S669" s="15">
        <f t="shared" si="65"/>
        <v>1</v>
      </c>
    </row>
    <row r="670" spans="1:19" x14ac:dyDescent="0.25">
      <c r="A670" s="10" t="s">
        <v>1690</v>
      </c>
      <c r="B670" s="10">
        <v>72777</v>
      </c>
      <c r="C670" s="10">
        <v>87556</v>
      </c>
      <c r="D670" s="10" t="s">
        <v>480</v>
      </c>
      <c r="E670" s="10" t="s">
        <v>1691</v>
      </c>
      <c r="F670" s="10" t="s">
        <v>23</v>
      </c>
      <c r="G670" s="10" t="s">
        <v>13</v>
      </c>
      <c r="H670" s="10" t="s">
        <v>17</v>
      </c>
      <c r="I670" s="11">
        <v>44</v>
      </c>
      <c r="J670" s="11">
        <v>43</v>
      </c>
      <c r="K670" s="11">
        <v>30</v>
      </c>
      <c r="L670" s="6">
        <f t="shared" si="60"/>
        <v>14</v>
      </c>
      <c r="M670" s="12">
        <v>39</v>
      </c>
      <c r="N670" s="13">
        <f t="shared" si="61"/>
        <v>1716</v>
      </c>
      <c r="O670" s="13">
        <f t="shared" si="62"/>
        <v>1170</v>
      </c>
      <c r="P670" s="14">
        <v>90.224754439999998</v>
      </c>
      <c r="Q670" s="8">
        <f t="shared" si="63"/>
        <v>3969.88919536</v>
      </c>
      <c r="R670" s="8">
        <f t="shared" si="64"/>
        <v>2706.7426332</v>
      </c>
      <c r="S670" s="15">
        <f t="shared" si="65"/>
        <v>0.68181818181818177</v>
      </c>
    </row>
    <row r="671" spans="1:19" x14ac:dyDescent="0.25">
      <c r="A671" s="10" t="s">
        <v>1692</v>
      </c>
      <c r="B671" s="10">
        <v>72777</v>
      </c>
      <c r="C671" s="10">
        <v>87556</v>
      </c>
      <c r="D671" s="10" t="s">
        <v>480</v>
      </c>
      <c r="E671" s="10" t="s">
        <v>1693</v>
      </c>
      <c r="F671" s="10" t="s">
        <v>23</v>
      </c>
      <c r="G671" s="10" t="s">
        <v>13</v>
      </c>
      <c r="H671" s="10" t="s">
        <v>17</v>
      </c>
      <c r="I671" s="11">
        <v>65</v>
      </c>
      <c r="J671" s="11">
        <v>65</v>
      </c>
      <c r="K671" s="11">
        <v>1</v>
      </c>
      <c r="L671" s="6">
        <f t="shared" si="60"/>
        <v>64</v>
      </c>
      <c r="M671" s="12">
        <v>39</v>
      </c>
      <c r="N671" s="13">
        <f t="shared" si="61"/>
        <v>2535</v>
      </c>
      <c r="O671" s="13">
        <f t="shared" si="62"/>
        <v>39</v>
      </c>
      <c r="P671" s="14">
        <v>79.973107990000003</v>
      </c>
      <c r="Q671" s="8">
        <f t="shared" si="63"/>
        <v>5198.2520193500004</v>
      </c>
      <c r="R671" s="8">
        <f t="shared" si="64"/>
        <v>79.973107990000003</v>
      </c>
      <c r="S671" s="15">
        <f t="shared" si="65"/>
        <v>1.5384615384615385E-2</v>
      </c>
    </row>
    <row r="672" spans="1:19" x14ac:dyDescent="0.25">
      <c r="A672" s="10" t="s">
        <v>1694</v>
      </c>
      <c r="B672" s="10">
        <v>72829</v>
      </c>
      <c r="C672" s="10">
        <v>89017</v>
      </c>
      <c r="D672" s="10" t="s">
        <v>488</v>
      </c>
      <c r="E672" s="10" t="s">
        <v>1695</v>
      </c>
      <c r="F672" s="10" t="s">
        <v>21</v>
      </c>
      <c r="G672" s="10" t="s">
        <v>13</v>
      </c>
      <c r="H672" s="10" t="s">
        <v>17</v>
      </c>
      <c r="I672" s="11">
        <v>0</v>
      </c>
      <c r="J672" s="11">
        <v>23</v>
      </c>
      <c r="K672" s="11">
        <v>0</v>
      </c>
      <c r="L672" s="6">
        <f t="shared" si="60"/>
        <v>0</v>
      </c>
      <c r="M672" s="12">
        <v>40.033000000000001</v>
      </c>
      <c r="N672" s="13">
        <f t="shared" si="61"/>
        <v>0</v>
      </c>
      <c r="O672" s="13">
        <f t="shared" si="62"/>
        <v>0</v>
      </c>
      <c r="P672" s="14">
        <v>187.97989607</v>
      </c>
      <c r="Q672" s="8">
        <f t="shared" si="63"/>
        <v>0</v>
      </c>
      <c r="R672" s="8">
        <f t="shared" si="64"/>
        <v>0</v>
      </c>
      <c r="S672" s="15">
        <f t="shared" si="65"/>
        <v>0</v>
      </c>
    </row>
    <row r="673" spans="1:19" x14ac:dyDescent="0.25">
      <c r="A673" s="10" t="s">
        <v>1696</v>
      </c>
      <c r="B673" s="10">
        <v>72879</v>
      </c>
      <c r="C673" s="10">
        <v>89019</v>
      </c>
      <c r="D673" s="10" t="s">
        <v>501</v>
      </c>
      <c r="E673" s="10" t="s">
        <v>1697</v>
      </c>
      <c r="F673" s="10" t="s">
        <v>21</v>
      </c>
      <c r="G673" s="10" t="s">
        <v>13</v>
      </c>
      <c r="H673" s="10" t="s">
        <v>17</v>
      </c>
      <c r="I673" s="11">
        <v>0</v>
      </c>
      <c r="J673" s="11">
        <v>23</v>
      </c>
      <c r="K673" s="11">
        <v>0</v>
      </c>
      <c r="L673" s="6">
        <f t="shared" si="60"/>
        <v>0</v>
      </c>
      <c r="M673" s="12">
        <v>32.174999999999997</v>
      </c>
      <c r="N673" s="13">
        <f t="shared" si="61"/>
        <v>0</v>
      </c>
      <c r="O673" s="13">
        <f t="shared" si="62"/>
        <v>0</v>
      </c>
      <c r="P673" s="14">
        <v>139.34745665</v>
      </c>
      <c r="Q673" s="8">
        <f t="shared" si="63"/>
        <v>0</v>
      </c>
      <c r="R673" s="8">
        <f t="shared" si="64"/>
        <v>0</v>
      </c>
      <c r="S673" s="15">
        <f t="shared" si="65"/>
        <v>0</v>
      </c>
    </row>
    <row r="674" spans="1:19" x14ac:dyDescent="0.25">
      <c r="A674" s="10" t="s">
        <v>1698</v>
      </c>
      <c r="B674" s="10">
        <v>73166</v>
      </c>
      <c r="C674" s="10">
        <v>87577</v>
      </c>
      <c r="D674" s="10" t="s">
        <v>589</v>
      </c>
      <c r="E674" s="10" t="s">
        <v>1699</v>
      </c>
      <c r="F674" s="10" t="s">
        <v>21</v>
      </c>
      <c r="G674" s="10" t="s">
        <v>13</v>
      </c>
      <c r="H674" s="10" t="s">
        <v>17</v>
      </c>
      <c r="I674" s="11">
        <v>21</v>
      </c>
      <c r="J674" s="11">
        <v>21</v>
      </c>
      <c r="K674" s="11">
        <v>11</v>
      </c>
      <c r="L674" s="6">
        <f t="shared" si="60"/>
        <v>10</v>
      </c>
      <c r="M674" s="12">
        <v>19.5</v>
      </c>
      <c r="N674" s="13">
        <f t="shared" si="61"/>
        <v>409.5</v>
      </c>
      <c r="O674" s="13">
        <f t="shared" si="62"/>
        <v>214.5</v>
      </c>
      <c r="P674" s="14">
        <v>89.339973729999997</v>
      </c>
      <c r="Q674" s="8">
        <f t="shared" si="63"/>
        <v>1876.1394483300001</v>
      </c>
      <c r="R674" s="8">
        <f t="shared" si="64"/>
        <v>982.73971102999997</v>
      </c>
      <c r="S674" s="15">
        <f t="shared" si="65"/>
        <v>0.52380952380952384</v>
      </c>
    </row>
    <row r="675" spans="1:19" x14ac:dyDescent="0.25">
      <c r="A675" s="10" t="s">
        <v>1700</v>
      </c>
      <c r="B675" s="10">
        <v>73233</v>
      </c>
      <c r="C675" s="10">
        <v>87247</v>
      </c>
      <c r="D675" s="10" t="s">
        <v>1701</v>
      </c>
      <c r="E675" s="10" t="s">
        <v>1702</v>
      </c>
      <c r="F675" s="10" t="s">
        <v>22</v>
      </c>
      <c r="G675" s="10" t="s">
        <v>13</v>
      </c>
      <c r="H675" s="10" t="s">
        <v>17</v>
      </c>
      <c r="I675" s="11">
        <v>0</v>
      </c>
      <c r="J675" s="11">
        <v>0</v>
      </c>
      <c r="K675" s="11">
        <v>0</v>
      </c>
      <c r="L675" s="6">
        <f t="shared" si="60"/>
        <v>0</v>
      </c>
      <c r="M675" s="12">
        <v>15.327</v>
      </c>
      <c r="N675" s="13">
        <f t="shared" si="61"/>
        <v>0</v>
      </c>
      <c r="O675" s="13">
        <f t="shared" si="62"/>
        <v>0</v>
      </c>
      <c r="P675" s="14">
        <v>60.711879349999997</v>
      </c>
      <c r="Q675" s="8">
        <f t="shared" si="63"/>
        <v>0</v>
      </c>
      <c r="R675" s="8">
        <f t="shared" si="64"/>
        <v>0</v>
      </c>
      <c r="S675" s="15">
        <f t="shared" si="65"/>
        <v>0</v>
      </c>
    </row>
    <row r="676" spans="1:19" x14ac:dyDescent="0.25">
      <c r="A676" s="10" t="s">
        <v>1703</v>
      </c>
      <c r="B676" s="10">
        <v>73233</v>
      </c>
      <c r="C676" s="10">
        <v>87247</v>
      </c>
      <c r="D676" s="10" t="s">
        <v>1701</v>
      </c>
      <c r="E676" s="10" t="s">
        <v>1704</v>
      </c>
      <c r="F676" s="10" t="s">
        <v>22</v>
      </c>
      <c r="G676" s="10" t="s">
        <v>13</v>
      </c>
      <c r="H676" s="10" t="s">
        <v>17</v>
      </c>
      <c r="I676" s="11">
        <v>1</v>
      </c>
      <c r="J676" s="11">
        <v>0</v>
      </c>
      <c r="K676" s="11">
        <v>1</v>
      </c>
      <c r="L676" s="6">
        <f t="shared" si="60"/>
        <v>0</v>
      </c>
      <c r="M676" s="12">
        <v>15.327</v>
      </c>
      <c r="N676" s="13">
        <f t="shared" si="61"/>
        <v>15.327</v>
      </c>
      <c r="O676" s="13">
        <f t="shared" si="62"/>
        <v>15.327</v>
      </c>
      <c r="P676" s="14">
        <v>63.331879350000001</v>
      </c>
      <c r="Q676" s="8">
        <f t="shared" si="63"/>
        <v>63.331879350000001</v>
      </c>
      <c r="R676" s="8">
        <f t="shared" si="64"/>
        <v>63.331879350000001</v>
      </c>
      <c r="S676" s="15">
        <f t="shared" si="65"/>
        <v>1</v>
      </c>
    </row>
    <row r="677" spans="1:19" x14ac:dyDescent="0.25">
      <c r="A677" s="10" t="s">
        <v>1705</v>
      </c>
      <c r="B677" s="10">
        <v>73255</v>
      </c>
      <c r="C677" s="10">
        <v>87326</v>
      </c>
      <c r="D677" s="10" t="s">
        <v>1706</v>
      </c>
      <c r="E677" s="10" t="s">
        <v>1707</v>
      </c>
      <c r="F677" s="10" t="s">
        <v>22</v>
      </c>
      <c r="G677" s="10" t="s">
        <v>13</v>
      </c>
      <c r="H677" s="10" t="s">
        <v>17</v>
      </c>
      <c r="I677" s="11">
        <v>0</v>
      </c>
      <c r="J677" s="11">
        <v>0</v>
      </c>
      <c r="K677" s="11">
        <v>0</v>
      </c>
      <c r="L677" s="6">
        <f t="shared" si="60"/>
        <v>0</v>
      </c>
      <c r="M677" s="12">
        <v>15.834</v>
      </c>
      <c r="N677" s="13">
        <f t="shared" si="61"/>
        <v>0</v>
      </c>
      <c r="O677" s="13">
        <f t="shared" si="62"/>
        <v>0</v>
      </c>
      <c r="P677" s="14">
        <v>98.909778669999994</v>
      </c>
      <c r="Q677" s="8">
        <f t="shared" si="63"/>
        <v>0</v>
      </c>
      <c r="R677" s="8">
        <f t="shared" si="64"/>
        <v>0</v>
      </c>
      <c r="S677" s="15">
        <f t="shared" si="65"/>
        <v>0</v>
      </c>
    </row>
    <row r="678" spans="1:19" x14ac:dyDescent="0.25">
      <c r="A678" s="10" t="s">
        <v>1708</v>
      </c>
      <c r="B678" s="10">
        <v>73276</v>
      </c>
      <c r="C678" s="10">
        <v>41596</v>
      </c>
      <c r="D678" s="10" t="s">
        <v>629</v>
      </c>
      <c r="E678" s="10" t="s">
        <v>1709</v>
      </c>
      <c r="F678" s="10" t="s">
        <v>21</v>
      </c>
      <c r="G678" s="10" t="s">
        <v>13</v>
      </c>
      <c r="H678" s="10" t="s">
        <v>17</v>
      </c>
      <c r="I678" s="11">
        <v>76</v>
      </c>
      <c r="J678" s="11">
        <v>62</v>
      </c>
      <c r="K678" s="11">
        <v>43</v>
      </c>
      <c r="L678" s="6">
        <f t="shared" si="60"/>
        <v>33</v>
      </c>
      <c r="M678" s="12">
        <v>29.766999999999999</v>
      </c>
      <c r="N678" s="13">
        <f t="shared" si="61"/>
        <v>2262.2919999999999</v>
      </c>
      <c r="O678" s="13">
        <f t="shared" si="62"/>
        <v>1279.981</v>
      </c>
      <c r="P678" s="14">
        <v>99.512419559999998</v>
      </c>
      <c r="Q678" s="8">
        <f t="shared" si="63"/>
        <v>7562.9438865599996</v>
      </c>
      <c r="R678" s="8">
        <f t="shared" si="64"/>
        <v>4279.03404108</v>
      </c>
      <c r="S678" s="15">
        <f t="shared" si="65"/>
        <v>0.56578947368421051</v>
      </c>
    </row>
    <row r="679" spans="1:19" x14ac:dyDescent="0.25">
      <c r="A679" s="10" t="s">
        <v>1710</v>
      </c>
      <c r="B679" s="10">
        <v>73277</v>
      </c>
      <c r="C679" s="10">
        <v>41597</v>
      </c>
      <c r="D679" s="10" t="s">
        <v>634</v>
      </c>
      <c r="E679" s="10" t="s">
        <v>1711</v>
      </c>
      <c r="F679" s="10" t="s">
        <v>21</v>
      </c>
      <c r="G679" s="10" t="s">
        <v>13</v>
      </c>
      <c r="H679" s="10" t="s">
        <v>17</v>
      </c>
      <c r="I679" s="11">
        <v>59</v>
      </c>
      <c r="J679" s="11">
        <v>50</v>
      </c>
      <c r="K679" s="11">
        <v>28</v>
      </c>
      <c r="L679" s="6">
        <f t="shared" si="60"/>
        <v>31</v>
      </c>
      <c r="M679" s="12">
        <v>41.710999999999999</v>
      </c>
      <c r="N679" s="13">
        <f t="shared" si="61"/>
        <v>2460.9490000000001</v>
      </c>
      <c r="O679" s="13">
        <f t="shared" si="62"/>
        <v>1167.9079999999999</v>
      </c>
      <c r="P679" s="14">
        <v>178.85991421</v>
      </c>
      <c r="Q679" s="8">
        <f t="shared" si="63"/>
        <v>10552.73493839</v>
      </c>
      <c r="R679" s="8">
        <f t="shared" si="64"/>
        <v>5008.0775978800002</v>
      </c>
      <c r="S679" s="15">
        <f t="shared" si="65"/>
        <v>0.47457627118644069</v>
      </c>
    </row>
    <row r="680" spans="1:19" x14ac:dyDescent="0.25">
      <c r="A680" s="10" t="s">
        <v>1712</v>
      </c>
      <c r="B680" s="10">
        <v>73277</v>
      </c>
      <c r="C680" s="10">
        <v>41597</v>
      </c>
      <c r="D680" s="10" t="s">
        <v>634</v>
      </c>
      <c r="E680" s="10" t="s">
        <v>1713</v>
      </c>
      <c r="F680" s="10" t="s">
        <v>21</v>
      </c>
      <c r="G680" s="10" t="s">
        <v>13</v>
      </c>
      <c r="H680" s="10" t="s">
        <v>17</v>
      </c>
      <c r="I680" s="11">
        <v>15</v>
      </c>
      <c r="J680" s="11">
        <v>16</v>
      </c>
      <c r="K680" s="11">
        <v>15</v>
      </c>
      <c r="L680" s="6">
        <f t="shared" si="60"/>
        <v>0</v>
      </c>
      <c r="M680" s="12">
        <v>41.710999999999999</v>
      </c>
      <c r="N680" s="13">
        <f t="shared" si="61"/>
        <v>625.66499999999996</v>
      </c>
      <c r="O680" s="13">
        <f t="shared" si="62"/>
        <v>625.66499999999996</v>
      </c>
      <c r="P680" s="14">
        <v>173.82900708</v>
      </c>
      <c r="Q680" s="8">
        <f t="shared" si="63"/>
        <v>2607.4351062000001</v>
      </c>
      <c r="R680" s="8">
        <f t="shared" si="64"/>
        <v>2607.4351062000001</v>
      </c>
      <c r="S680" s="15">
        <f t="shared" si="65"/>
        <v>1</v>
      </c>
    </row>
    <row r="681" spans="1:19" x14ac:dyDescent="0.25">
      <c r="A681" s="10" t="s">
        <v>1714</v>
      </c>
      <c r="B681" s="10">
        <v>73285</v>
      </c>
      <c r="C681" s="10">
        <v>76416</v>
      </c>
      <c r="D681" s="10" t="s">
        <v>669</v>
      </c>
      <c r="E681" s="10" t="s">
        <v>1715</v>
      </c>
      <c r="F681" s="10" t="s">
        <v>21</v>
      </c>
      <c r="G681" s="10" t="s">
        <v>13</v>
      </c>
      <c r="H681" s="10" t="s">
        <v>17</v>
      </c>
      <c r="I681" s="11">
        <v>24</v>
      </c>
      <c r="J681" s="11">
        <v>23</v>
      </c>
      <c r="K681" s="11">
        <v>24</v>
      </c>
      <c r="L681" s="6">
        <f t="shared" si="60"/>
        <v>0</v>
      </c>
      <c r="M681" s="12">
        <v>43.241</v>
      </c>
      <c r="N681" s="13">
        <f t="shared" si="61"/>
        <v>1037.7840000000001</v>
      </c>
      <c r="O681" s="13">
        <f t="shared" si="62"/>
        <v>1037.7840000000001</v>
      </c>
      <c r="P681" s="14">
        <v>179.99544021</v>
      </c>
      <c r="Q681" s="8">
        <f t="shared" si="63"/>
        <v>4319.8905650400002</v>
      </c>
      <c r="R681" s="8">
        <f t="shared" si="64"/>
        <v>4319.8905650400002</v>
      </c>
      <c r="S681" s="15">
        <f t="shared" si="65"/>
        <v>1</v>
      </c>
    </row>
    <row r="682" spans="1:19" x14ac:dyDescent="0.25">
      <c r="A682" s="10" t="s">
        <v>1716</v>
      </c>
      <c r="B682" s="10">
        <v>73285</v>
      </c>
      <c r="C682" s="10">
        <v>76416</v>
      </c>
      <c r="D682" s="10" t="s">
        <v>669</v>
      </c>
      <c r="E682" s="10" t="s">
        <v>1717</v>
      </c>
      <c r="F682" s="10" t="s">
        <v>21</v>
      </c>
      <c r="G682" s="10" t="s">
        <v>13</v>
      </c>
      <c r="H682" s="10" t="s">
        <v>17</v>
      </c>
      <c r="I682" s="11">
        <v>72</v>
      </c>
      <c r="J682" s="11">
        <v>74</v>
      </c>
      <c r="K682" s="11">
        <v>45</v>
      </c>
      <c r="L682" s="6">
        <f t="shared" si="60"/>
        <v>27</v>
      </c>
      <c r="M682" s="12">
        <v>43.241</v>
      </c>
      <c r="N682" s="13">
        <f t="shared" si="61"/>
        <v>3113.3519999999999</v>
      </c>
      <c r="O682" s="13">
        <f t="shared" si="62"/>
        <v>1945.845</v>
      </c>
      <c r="P682" s="14">
        <v>177.29686649000001</v>
      </c>
      <c r="Q682" s="8">
        <f t="shared" si="63"/>
        <v>12765.374387280001</v>
      </c>
      <c r="R682" s="8">
        <f t="shared" si="64"/>
        <v>7978.3589920500008</v>
      </c>
      <c r="S682" s="15">
        <f t="shared" si="65"/>
        <v>0.625</v>
      </c>
    </row>
    <row r="683" spans="1:19" x14ac:dyDescent="0.25">
      <c r="A683" s="10" t="s">
        <v>1718</v>
      </c>
      <c r="B683" s="10">
        <v>73286</v>
      </c>
      <c r="C683" s="10">
        <v>76418</v>
      </c>
      <c r="D683" s="10" t="s">
        <v>676</v>
      </c>
      <c r="E683" s="10" t="s">
        <v>1719</v>
      </c>
      <c r="F683" s="10" t="s">
        <v>21</v>
      </c>
      <c r="G683" s="10" t="s">
        <v>13</v>
      </c>
      <c r="H683" s="10" t="s">
        <v>17</v>
      </c>
      <c r="I683" s="11">
        <v>24</v>
      </c>
      <c r="J683" s="11">
        <v>43</v>
      </c>
      <c r="K683" s="11">
        <v>24</v>
      </c>
      <c r="L683" s="6">
        <f t="shared" si="60"/>
        <v>0</v>
      </c>
      <c r="M683" s="12">
        <v>41.046999999999997</v>
      </c>
      <c r="N683" s="13">
        <f t="shared" si="61"/>
        <v>985.12799999999993</v>
      </c>
      <c r="O683" s="13">
        <f t="shared" si="62"/>
        <v>985.12799999999993</v>
      </c>
      <c r="P683" s="14">
        <v>147.65987486</v>
      </c>
      <c r="Q683" s="8">
        <f t="shared" si="63"/>
        <v>3543.8369966400001</v>
      </c>
      <c r="R683" s="8">
        <f t="shared" si="64"/>
        <v>3543.8369966400001</v>
      </c>
      <c r="S683" s="15">
        <f t="shared" si="65"/>
        <v>1</v>
      </c>
    </row>
    <row r="684" spans="1:19" x14ac:dyDescent="0.25">
      <c r="A684" s="10" t="s">
        <v>1720</v>
      </c>
      <c r="B684" s="10">
        <v>73286</v>
      </c>
      <c r="C684" s="10">
        <v>76418</v>
      </c>
      <c r="D684" s="10" t="s">
        <v>676</v>
      </c>
      <c r="E684" s="10" t="s">
        <v>1721</v>
      </c>
      <c r="F684" s="10" t="s">
        <v>21</v>
      </c>
      <c r="G684" s="10" t="s">
        <v>13</v>
      </c>
      <c r="H684" s="10" t="s">
        <v>17</v>
      </c>
      <c r="I684" s="11">
        <v>72</v>
      </c>
      <c r="J684" s="11">
        <v>74</v>
      </c>
      <c r="K684" s="11">
        <v>45</v>
      </c>
      <c r="L684" s="6">
        <f t="shared" si="60"/>
        <v>27</v>
      </c>
      <c r="M684" s="12">
        <v>41.046999999999997</v>
      </c>
      <c r="N684" s="13">
        <f t="shared" si="61"/>
        <v>2955.384</v>
      </c>
      <c r="O684" s="13">
        <f t="shared" si="62"/>
        <v>1847.1149999999998</v>
      </c>
      <c r="P684" s="14">
        <v>147.4863354</v>
      </c>
      <c r="Q684" s="8">
        <f t="shared" si="63"/>
        <v>10619.016148799999</v>
      </c>
      <c r="R684" s="8">
        <f t="shared" si="64"/>
        <v>6636.8850929999999</v>
      </c>
      <c r="S684" s="15">
        <f t="shared" si="65"/>
        <v>0.625</v>
      </c>
    </row>
    <row r="685" spans="1:19" x14ac:dyDescent="0.25">
      <c r="A685" s="10" t="s">
        <v>1722</v>
      </c>
      <c r="B685" s="10">
        <v>73350</v>
      </c>
      <c r="C685" s="10">
        <v>76877</v>
      </c>
      <c r="D685" s="10" t="s">
        <v>1723</v>
      </c>
      <c r="E685" s="10" t="s">
        <v>1724</v>
      </c>
      <c r="F685" s="10" t="s">
        <v>22</v>
      </c>
      <c r="G685" s="10" t="s">
        <v>13</v>
      </c>
      <c r="H685" s="10" t="s">
        <v>17</v>
      </c>
      <c r="I685" s="11">
        <v>92</v>
      </c>
      <c r="J685" s="11">
        <v>171</v>
      </c>
      <c r="K685" s="11">
        <v>80</v>
      </c>
      <c r="L685" s="6">
        <f t="shared" si="60"/>
        <v>12</v>
      </c>
      <c r="M685" s="12">
        <v>33.267000000000003</v>
      </c>
      <c r="N685" s="13">
        <f t="shared" si="61"/>
        <v>3060.5640000000003</v>
      </c>
      <c r="O685" s="13">
        <f t="shared" si="62"/>
        <v>2661.36</v>
      </c>
      <c r="P685" s="14">
        <v>175.92886027</v>
      </c>
      <c r="Q685" s="8">
        <f t="shared" si="63"/>
        <v>16185.45514484</v>
      </c>
      <c r="R685" s="8">
        <f t="shared" si="64"/>
        <v>14074.3088216</v>
      </c>
      <c r="S685" s="15">
        <f t="shared" si="65"/>
        <v>0.86956521739130432</v>
      </c>
    </row>
    <row r="686" spans="1:19" x14ac:dyDescent="0.25">
      <c r="A686" s="10" t="s">
        <v>1725</v>
      </c>
      <c r="B686" s="10">
        <v>73534</v>
      </c>
      <c r="C686" s="10">
        <v>65348</v>
      </c>
      <c r="D686" s="10" t="s">
        <v>763</v>
      </c>
      <c r="E686" s="10" t="s">
        <v>1726</v>
      </c>
      <c r="F686" s="10" t="s">
        <v>22</v>
      </c>
      <c r="G686" s="10" t="s">
        <v>13</v>
      </c>
      <c r="H686" s="10" t="s">
        <v>17</v>
      </c>
      <c r="I686" s="11">
        <v>2</v>
      </c>
      <c r="J686" s="11">
        <v>3</v>
      </c>
      <c r="K686" s="11">
        <v>0</v>
      </c>
      <c r="L686" s="6">
        <f t="shared" si="60"/>
        <v>2</v>
      </c>
      <c r="M686" s="12">
        <v>11.358000000000001</v>
      </c>
      <c r="N686" s="13">
        <f t="shared" si="61"/>
        <v>22.716000000000001</v>
      </c>
      <c r="O686" s="13">
        <f t="shared" si="62"/>
        <v>0</v>
      </c>
      <c r="P686" s="14">
        <v>88.254590530000002</v>
      </c>
      <c r="Q686" s="8">
        <f t="shared" si="63"/>
        <v>176.50918106</v>
      </c>
      <c r="R686" s="8">
        <f t="shared" si="64"/>
        <v>0</v>
      </c>
      <c r="S686" s="15">
        <f t="shared" si="65"/>
        <v>0</v>
      </c>
    </row>
    <row r="687" spans="1:19" x14ac:dyDescent="0.25">
      <c r="A687" s="10" t="s">
        <v>1727</v>
      </c>
      <c r="B687" s="10">
        <v>73534</v>
      </c>
      <c r="C687" s="10">
        <v>65348</v>
      </c>
      <c r="D687" s="10" t="s">
        <v>763</v>
      </c>
      <c r="E687" s="10" t="s">
        <v>1728</v>
      </c>
      <c r="F687" s="10" t="s">
        <v>22</v>
      </c>
      <c r="G687" s="10" t="s">
        <v>13</v>
      </c>
      <c r="H687" s="10" t="s">
        <v>17</v>
      </c>
      <c r="I687" s="11">
        <v>1</v>
      </c>
      <c r="J687" s="11">
        <v>0</v>
      </c>
      <c r="K687" s="11">
        <v>0</v>
      </c>
      <c r="L687" s="6">
        <f t="shared" si="60"/>
        <v>1</v>
      </c>
      <c r="M687" s="12">
        <v>11.358000000000001</v>
      </c>
      <c r="N687" s="13">
        <f t="shared" si="61"/>
        <v>11.358000000000001</v>
      </c>
      <c r="O687" s="13">
        <f t="shared" si="62"/>
        <v>0</v>
      </c>
      <c r="P687" s="14">
        <v>94.386972180000001</v>
      </c>
      <c r="Q687" s="8">
        <f t="shared" si="63"/>
        <v>94.386972180000001</v>
      </c>
      <c r="R687" s="8">
        <f t="shared" si="64"/>
        <v>0</v>
      </c>
      <c r="S687" s="15">
        <f t="shared" si="65"/>
        <v>0</v>
      </c>
    </row>
    <row r="688" spans="1:19" x14ac:dyDescent="0.25">
      <c r="A688" s="10" t="s">
        <v>1729</v>
      </c>
      <c r="B688" s="10">
        <v>73534</v>
      </c>
      <c r="C688" s="10">
        <v>65348</v>
      </c>
      <c r="D688" s="10" t="s">
        <v>763</v>
      </c>
      <c r="E688" s="10" t="s">
        <v>1730</v>
      </c>
      <c r="F688" s="10" t="s">
        <v>22</v>
      </c>
      <c r="G688" s="10" t="s">
        <v>13</v>
      </c>
      <c r="H688" s="10" t="s">
        <v>17</v>
      </c>
      <c r="I688" s="11">
        <v>0</v>
      </c>
      <c r="J688" s="11">
        <v>0</v>
      </c>
      <c r="K688" s="11">
        <v>0</v>
      </c>
      <c r="L688" s="6">
        <f t="shared" si="60"/>
        <v>0</v>
      </c>
      <c r="M688" s="12">
        <v>11.358000000000001</v>
      </c>
      <c r="N688" s="13">
        <f t="shared" si="61"/>
        <v>0</v>
      </c>
      <c r="O688" s="13">
        <f t="shared" si="62"/>
        <v>0</v>
      </c>
      <c r="P688" s="14">
        <v>95.707911330000002</v>
      </c>
      <c r="Q688" s="8">
        <f t="shared" si="63"/>
        <v>0</v>
      </c>
      <c r="R688" s="8">
        <f t="shared" si="64"/>
        <v>0</v>
      </c>
      <c r="S688" s="15">
        <f t="shared" si="65"/>
        <v>0</v>
      </c>
    </row>
    <row r="689" spans="1:19" x14ac:dyDescent="0.25">
      <c r="A689" s="10" t="s">
        <v>1731</v>
      </c>
      <c r="B689" s="10">
        <v>73534</v>
      </c>
      <c r="C689" s="10">
        <v>65348</v>
      </c>
      <c r="D689" s="10" t="s">
        <v>763</v>
      </c>
      <c r="E689" s="10" t="s">
        <v>1732</v>
      </c>
      <c r="F689" s="10" t="s">
        <v>22</v>
      </c>
      <c r="G689" s="10" t="s">
        <v>13</v>
      </c>
      <c r="H689" s="10" t="s">
        <v>17</v>
      </c>
      <c r="I689" s="11">
        <v>0</v>
      </c>
      <c r="J689" s="11">
        <v>0</v>
      </c>
      <c r="K689" s="11">
        <v>0</v>
      </c>
      <c r="L689" s="6">
        <f t="shared" si="60"/>
        <v>0</v>
      </c>
      <c r="M689" s="12">
        <v>11.358000000000001</v>
      </c>
      <c r="N689" s="13">
        <f t="shared" si="61"/>
        <v>0</v>
      </c>
      <c r="O689" s="13">
        <f t="shared" si="62"/>
        <v>0</v>
      </c>
      <c r="P689" s="14">
        <v>96.712096540000005</v>
      </c>
      <c r="Q689" s="8">
        <f t="shared" si="63"/>
        <v>0</v>
      </c>
      <c r="R689" s="8">
        <f t="shared" si="64"/>
        <v>0</v>
      </c>
      <c r="S689" s="15">
        <f t="shared" si="65"/>
        <v>0</v>
      </c>
    </row>
    <row r="690" spans="1:19" x14ac:dyDescent="0.25">
      <c r="A690" s="10" t="s">
        <v>1733</v>
      </c>
      <c r="B690" s="10">
        <v>73534</v>
      </c>
      <c r="C690" s="10">
        <v>65348</v>
      </c>
      <c r="D690" s="10" t="s">
        <v>763</v>
      </c>
      <c r="E690" s="10" t="s">
        <v>1734</v>
      </c>
      <c r="F690" s="10" t="s">
        <v>22</v>
      </c>
      <c r="G690" s="10" t="s">
        <v>13</v>
      </c>
      <c r="H690" s="10" t="s">
        <v>17</v>
      </c>
      <c r="I690" s="11">
        <v>5</v>
      </c>
      <c r="J690" s="11">
        <v>88</v>
      </c>
      <c r="K690" s="11">
        <v>0</v>
      </c>
      <c r="L690" s="6">
        <f t="shared" si="60"/>
        <v>5</v>
      </c>
      <c r="M690" s="12">
        <v>11.358000000000001</v>
      </c>
      <c r="N690" s="13">
        <f t="shared" si="61"/>
        <v>56.790000000000006</v>
      </c>
      <c r="O690" s="13">
        <f t="shared" si="62"/>
        <v>0</v>
      </c>
      <c r="P690" s="14">
        <v>106.77392042</v>
      </c>
      <c r="Q690" s="8">
        <f t="shared" si="63"/>
        <v>533.86960209999995</v>
      </c>
      <c r="R690" s="8">
        <f t="shared" si="64"/>
        <v>0</v>
      </c>
      <c r="S690" s="15">
        <f t="shared" si="65"/>
        <v>0</v>
      </c>
    </row>
    <row r="691" spans="1:19" x14ac:dyDescent="0.25">
      <c r="A691" s="10" t="s">
        <v>1735</v>
      </c>
      <c r="B691" s="10">
        <v>74551</v>
      </c>
      <c r="C691" s="10">
        <v>82383</v>
      </c>
      <c r="D691" s="10" t="s">
        <v>974</v>
      </c>
      <c r="E691" s="10" t="s">
        <v>1736</v>
      </c>
      <c r="F691" s="10" t="s">
        <v>22</v>
      </c>
      <c r="G691" s="10" t="s">
        <v>13</v>
      </c>
      <c r="H691" s="10" t="s">
        <v>17</v>
      </c>
      <c r="I691" s="11">
        <v>0</v>
      </c>
      <c r="J691" s="11">
        <v>0</v>
      </c>
      <c r="K691" s="11">
        <v>0</v>
      </c>
      <c r="L691" s="6">
        <f t="shared" si="60"/>
        <v>0</v>
      </c>
      <c r="M691" s="12">
        <v>53.274000000000001</v>
      </c>
      <c r="N691" s="13">
        <f t="shared" si="61"/>
        <v>0</v>
      </c>
      <c r="O691" s="13">
        <f t="shared" si="62"/>
        <v>0</v>
      </c>
      <c r="P691" s="14">
        <v>247.09772823</v>
      </c>
      <c r="Q691" s="8">
        <f t="shared" si="63"/>
        <v>0</v>
      </c>
      <c r="R691" s="8">
        <f t="shared" si="64"/>
        <v>0</v>
      </c>
      <c r="S691" s="15">
        <f t="shared" si="65"/>
        <v>0</v>
      </c>
    </row>
    <row r="692" spans="1:19" x14ac:dyDescent="0.25">
      <c r="A692" s="10" t="s">
        <v>1737</v>
      </c>
      <c r="B692" s="10">
        <v>74552</v>
      </c>
      <c r="C692" s="10">
        <v>82384</v>
      </c>
      <c r="D692" s="10" t="s">
        <v>979</v>
      </c>
      <c r="E692" s="10" t="s">
        <v>1738</v>
      </c>
      <c r="F692" s="10" t="s">
        <v>22</v>
      </c>
      <c r="G692" s="10" t="s">
        <v>13</v>
      </c>
      <c r="H692" s="10" t="s">
        <v>17</v>
      </c>
      <c r="I692" s="11">
        <v>0</v>
      </c>
      <c r="J692" s="11">
        <v>0</v>
      </c>
      <c r="K692" s="11">
        <v>0</v>
      </c>
      <c r="L692" s="6">
        <f t="shared" si="60"/>
        <v>0</v>
      </c>
      <c r="M692" s="12">
        <v>50.543999999999997</v>
      </c>
      <c r="N692" s="13">
        <f t="shared" si="61"/>
        <v>0</v>
      </c>
      <c r="O692" s="13">
        <f t="shared" si="62"/>
        <v>0</v>
      </c>
      <c r="P692" s="14">
        <v>218.33673191</v>
      </c>
      <c r="Q692" s="8">
        <f t="shared" si="63"/>
        <v>0</v>
      </c>
      <c r="R692" s="8">
        <f t="shared" si="64"/>
        <v>0</v>
      </c>
      <c r="S692" s="15">
        <f t="shared" si="65"/>
        <v>0</v>
      </c>
    </row>
    <row r="693" spans="1:19" x14ac:dyDescent="0.25">
      <c r="A693" s="10" t="s">
        <v>1739</v>
      </c>
      <c r="B693" s="10">
        <v>77197</v>
      </c>
      <c r="C693" s="10">
        <v>91522</v>
      </c>
      <c r="D693" s="10" t="s">
        <v>1740</v>
      </c>
      <c r="E693" s="10" t="s">
        <v>1741</v>
      </c>
      <c r="F693" s="10" t="s">
        <v>23</v>
      </c>
      <c r="G693" s="10" t="s">
        <v>13</v>
      </c>
      <c r="H693" s="10" t="s">
        <v>17</v>
      </c>
      <c r="I693" s="11">
        <v>88</v>
      </c>
      <c r="J693" s="11">
        <v>87</v>
      </c>
      <c r="K693" s="11">
        <v>31</v>
      </c>
      <c r="L693" s="6">
        <f t="shared" si="60"/>
        <v>57</v>
      </c>
      <c r="M693" s="12">
        <v>28.27</v>
      </c>
      <c r="N693" s="13">
        <f t="shared" si="61"/>
        <v>2487.7599999999998</v>
      </c>
      <c r="O693" s="13">
        <f t="shared" si="62"/>
        <v>876.37</v>
      </c>
      <c r="P693" s="14">
        <v>121.14239032</v>
      </c>
      <c r="Q693" s="8">
        <f t="shared" si="63"/>
        <v>10660.53034816</v>
      </c>
      <c r="R693" s="8">
        <f t="shared" si="64"/>
        <v>3755.4140999199999</v>
      </c>
      <c r="S693" s="15">
        <f t="shared" si="65"/>
        <v>0.35227272727272729</v>
      </c>
    </row>
    <row r="694" spans="1:19" x14ac:dyDescent="0.25">
      <c r="A694" s="10" t="s">
        <v>1742</v>
      </c>
      <c r="B694" s="10">
        <v>81941</v>
      </c>
      <c r="C694" s="10">
        <v>93691</v>
      </c>
      <c r="D694" s="10" t="s">
        <v>1077</v>
      </c>
      <c r="E694" s="10" t="s">
        <v>1743</v>
      </c>
      <c r="F694" s="10" t="s">
        <v>21</v>
      </c>
      <c r="G694" s="10" t="s">
        <v>13</v>
      </c>
      <c r="H694" s="10" t="s">
        <v>17</v>
      </c>
      <c r="I694" s="11">
        <v>0</v>
      </c>
      <c r="J694" s="11">
        <v>0</v>
      </c>
      <c r="K694" s="11">
        <v>0</v>
      </c>
      <c r="L694" s="6">
        <f t="shared" si="60"/>
        <v>0</v>
      </c>
      <c r="M694" s="12">
        <v>44.85</v>
      </c>
      <c r="N694" s="13">
        <f t="shared" si="61"/>
        <v>0</v>
      </c>
      <c r="O694" s="13">
        <f t="shared" si="62"/>
        <v>0</v>
      </c>
      <c r="P694" s="14">
        <v>181.94493958000001</v>
      </c>
      <c r="Q694" s="8">
        <f t="shared" si="63"/>
        <v>0</v>
      </c>
      <c r="R694" s="8">
        <f t="shared" si="64"/>
        <v>0</v>
      </c>
      <c r="S694" s="15">
        <f t="shared" si="65"/>
        <v>0</v>
      </c>
    </row>
    <row r="695" spans="1:19" x14ac:dyDescent="0.25">
      <c r="A695" s="10" t="s">
        <v>1744</v>
      </c>
      <c r="B695" s="10">
        <v>81942</v>
      </c>
      <c r="C695" s="10">
        <v>93692</v>
      </c>
      <c r="D695" s="10" t="s">
        <v>1080</v>
      </c>
      <c r="E695" s="10" t="s">
        <v>1745</v>
      </c>
      <c r="F695" s="10" t="s">
        <v>21</v>
      </c>
      <c r="G695" s="10" t="s">
        <v>13</v>
      </c>
      <c r="H695" s="10" t="s">
        <v>17</v>
      </c>
      <c r="I695" s="11">
        <v>0</v>
      </c>
      <c r="J695" s="11">
        <v>0</v>
      </c>
      <c r="K695" s="11">
        <v>0</v>
      </c>
      <c r="L695" s="6">
        <f t="shared" si="60"/>
        <v>0</v>
      </c>
      <c r="M695" s="12">
        <v>24.861999999999998</v>
      </c>
      <c r="N695" s="13">
        <f t="shared" si="61"/>
        <v>0</v>
      </c>
      <c r="O695" s="13">
        <f t="shared" si="62"/>
        <v>0</v>
      </c>
      <c r="P695" s="14">
        <v>87.421216509999994</v>
      </c>
      <c r="Q695" s="8">
        <f t="shared" si="63"/>
        <v>0</v>
      </c>
      <c r="R695" s="8">
        <f t="shared" si="64"/>
        <v>0</v>
      </c>
      <c r="S695" s="15">
        <f t="shared" si="65"/>
        <v>0</v>
      </c>
    </row>
    <row r="696" spans="1:19" x14ac:dyDescent="0.25">
      <c r="A696" s="10" t="s">
        <v>1746</v>
      </c>
      <c r="B696" s="10">
        <v>83251</v>
      </c>
      <c r="C696" s="10">
        <v>92251</v>
      </c>
      <c r="D696" s="10" t="s">
        <v>1083</v>
      </c>
      <c r="E696" s="10" t="s">
        <v>1747</v>
      </c>
      <c r="F696" s="10" t="s">
        <v>22</v>
      </c>
      <c r="G696" s="10" t="s">
        <v>13</v>
      </c>
      <c r="H696" s="10" t="s">
        <v>17</v>
      </c>
      <c r="I696" s="11">
        <v>21</v>
      </c>
      <c r="J696" s="11">
        <v>21</v>
      </c>
      <c r="K696" s="11">
        <v>21</v>
      </c>
      <c r="L696" s="6">
        <f t="shared" si="60"/>
        <v>0</v>
      </c>
      <c r="M696" s="12">
        <v>15.834</v>
      </c>
      <c r="N696" s="13">
        <f t="shared" si="61"/>
        <v>332.51400000000001</v>
      </c>
      <c r="O696" s="13">
        <f t="shared" si="62"/>
        <v>332.51400000000001</v>
      </c>
      <c r="P696" s="14">
        <v>98.759778670000003</v>
      </c>
      <c r="Q696" s="8">
        <f t="shared" si="63"/>
        <v>2073.9553520700001</v>
      </c>
      <c r="R696" s="8">
        <f t="shared" si="64"/>
        <v>2073.9553520700001</v>
      </c>
      <c r="S696" s="15">
        <f t="shared" si="65"/>
        <v>1</v>
      </c>
    </row>
    <row r="697" spans="1:19" x14ac:dyDescent="0.25">
      <c r="A697" s="10" t="s">
        <v>1748</v>
      </c>
      <c r="B697" s="10">
        <v>83251</v>
      </c>
      <c r="C697" s="10">
        <v>92251</v>
      </c>
      <c r="D697" s="10" t="s">
        <v>1083</v>
      </c>
      <c r="E697" s="10" t="s">
        <v>1749</v>
      </c>
      <c r="F697" s="10" t="s">
        <v>22</v>
      </c>
      <c r="G697" s="10" t="s">
        <v>13</v>
      </c>
      <c r="H697" s="10" t="s">
        <v>17</v>
      </c>
      <c r="I697" s="11">
        <v>120</v>
      </c>
      <c r="J697" s="11">
        <v>120</v>
      </c>
      <c r="K697" s="11">
        <v>120</v>
      </c>
      <c r="L697" s="6">
        <f t="shared" si="60"/>
        <v>0</v>
      </c>
      <c r="M697" s="12">
        <v>15.834</v>
      </c>
      <c r="N697" s="13">
        <f t="shared" si="61"/>
        <v>1900.08</v>
      </c>
      <c r="O697" s="13">
        <f t="shared" si="62"/>
        <v>1900.08</v>
      </c>
      <c r="P697" s="14">
        <v>98.799778669999995</v>
      </c>
      <c r="Q697" s="8">
        <f t="shared" si="63"/>
        <v>11855.973440399999</v>
      </c>
      <c r="R697" s="8">
        <f t="shared" si="64"/>
        <v>11855.973440399999</v>
      </c>
      <c r="S697" s="15">
        <f t="shared" si="65"/>
        <v>1</v>
      </c>
    </row>
    <row r="698" spans="1:19" x14ac:dyDescent="0.25">
      <c r="A698" s="10" t="s">
        <v>1750</v>
      </c>
      <c r="B698" s="10">
        <v>84901</v>
      </c>
      <c r="C698" s="10">
        <v>96436</v>
      </c>
      <c r="D698" s="10" t="s">
        <v>1177</v>
      </c>
      <c r="E698" s="10" t="s">
        <v>1751</v>
      </c>
      <c r="F698" s="10" t="s">
        <v>21</v>
      </c>
      <c r="G698" s="10" t="s">
        <v>13</v>
      </c>
      <c r="H698" s="10" t="s">
        <v>17</v>
      </c>
      <c r="I698" s="11">
        <v>78</v>
      </c>
      <c r="J698" s="11">
        <v>78</v>
      </c>
      <c r="K698" s="11">
        <v>0</v>
      </c>
      <c r="L698" s="6">
        <f t="shared" si="60"/>
        <v>78</v>
      </c>
      <c r="M698" s="12">
        <v>36.659999999999997</v>
      </c>
      <c r="N698" s="13">
        <f t="shared" si="61"/>
        <v>2859.4799999999996</v>
      </c>
      <c r="O698" s="13">
        <f t="shared" si="62"/>
        <v>0</v>
      </c>
      <c r="P698" s="14">
        <v>158.90195061</v>
      </c>
      <c r="Q698" s="8">
        <f t="shared" si="63"/>
        <v>12394.352147580001</v>
      </c>
      <c r="R698" s="8">
        <f t="shared" si="64"/>
        <v>0</v>
      </c>
      <c r="S698" s="15">
        <f t="shared" si="65"/>
        <v>0</v>
      </c>
    </row>
    <row r="699" spans="1:19" x14ac:dyDescent="0.25">
      <c r="A699" s="10" t="s">
        <v>1752</v>
      </c>
      <c r="B699" s="10">
        <v>84911</v>
      </c>
      <c r="C699" s="10">
        <v>96437</v>
      </c>
      <c r="D699" s="10" t="s">
        <v>1182</v>
      </c>
      <c r="E699" s="10" t="s">
        <v>1753</v>
      </c>
      <c r="F699" s="10" t="s">
        <v>21</v>
      </c>
      <c r="G699" s="10" t="s">
        <v>13</v>
      </c>
      <c r="H699" s="10" t="s">
        <v>17</v>
      </c>
      <c r="I699" s="11">
        <v>0</v>
      </c>
      <c r="J699" s="11">
        <v>0</v>
      </c>
      <c r="K699" s="11">
        <v>0</v>
      </c>
      <c r="L699" s="6">
        <f t="shared" si="60"/>
        <v>0</v>
      </c>
      <c r="M699" s="12">
        <v>34.222000000000001</v>
      </c>
      <c r="N699" s="13">
        <f t="shared" si="61"/>
        <v>0</v>
      </c>
      <c r="O699" s="13">
        <f t="shared" si="62"/>
        <v>0</v>
      </c>
      <c r="P699" s="14">
        <v>136.22320389999999</v>
      </c>
      <c r="Q699" s="8">
        <f t="shared" si="63"/>
        <v>0</v>
      </c>
      <c r="R699" s="8">
        <f t="shared" si="64"/>
        <v>0</v>
      </c>
      <c r="S699" s="15">
        <f t="shared" si="65"/>
        <v>0</v>
      </c>
    </row>
    <row r="700" spans="1:19" x14ac:dyDescent="0.25">
      <c r="A700" s="10" t="s">
        <v>1754</v>
      </c>
      <c r="B700" s="10">
        <v>84941</v>
      </c>
      <c r="C700" s="10">
        <v>96462</v>
      </c>
      <c r="D700" s="10" t="s">
        <v>1222</v>
      </c>
      <c r="E700" s="10" t="s">
        <v>1755</v>
      </c>
      <c r="F700" s="10" t="s">
        <v>21</v>
      </c>
      <c r="G700" s="10" t="s">
        <v>13</v>
      </c>
      <c r="H700" s="10" t="s">
        <v>17</v>
      </c>
      <c r="I700" s="11">
        <v>30</v>
      </c>
      <c r="J700" s="11">
        <v>22</v>
      </c>
      <c r="K700" s="11">
        <v>30</v>
      </c>
      <c r="L700" s="6">
        <f t="shared" si="60"/>
        <v>0</v>
      </c>
      <c r="M700" s="12">
        <v>22.425000000000001</v>
      </c>
      <c r="N700" s="13">
        <f t="shared" si="61"/>
        <v>672.75</v>
      </c>
      <c r="O700" s="13">
        <f t="shared" si="62"/>
        <v>672.75</v>
      </c>
      <c r="P700" s="14">
        <v>92.522469790000002</v>
      </c>
      <c r="Q700" s="8">
        <f t="shared" si="63"/>
        <v>2775.6740937</v>
      </c>
      <c r="R700" s="8">
        <f t="shared" si="64"/>
        <v>2775.6740937</v>
      </c>
      <c r="S700" s="15">
        <f t="shared" si="65"/>
        <v>1</v>
      </c>
    </row>
    <row r="701" spans="1:19" x14ac:dyDescent="0.25">
      <c r="A701" s="10" t="s">
        <v>1756</v>
      </c>
      <c r="B701" s="10">
        <v>84946</v>
      </c>
      <c r="C701" s="10">
        <v>96465</v>
      </c>
      <c r="D701" s="10" t="s">
        <v>1757</v>
      </c>
      <c r="E701" s="10" t="s">
        <v>1758</v>
      </c>
      <c r="F701" s="10" t="s">
        <v>21</v>
      </c>
      <c r="G701" s="10" t="s">
        <v>13</v>
      </c>
      <c r="H701" s="10" t="s">
        <v>17</v>
      </c>
      <c r="I701" s="11">
        <v>6</v>
      </c>
      <c r="J701" s="11">
        <v>6</v>
      </c>
      <c r="K701" s="11">
        <v>4</v>
      </c>
      <c r="L701" s="6">
        <f t="shared" si="60"/>
        <v>2</v>
      </c>
      <c r="M701" s="12">
        <v>39.954999999999998</v>
      </c>
      <c r="N701" s="13">
        <f t="shared" si="61"/>
        <v>239.73</v>
      </c>
      <c r="O701" s="13">
        <f t="shared" si="62"/>
        <v>159.82</v>
      </c>
      <c r="P701" s="14">
        <v>157.02329617000001</v>
      </c>
      <c r="Q701" s="8">
        <f t="shared" si="63"/>
        <v>942.13977702000011</v>
      </c>
      <c r="R701" s="8">
        <f t="shared" si="64"/>
        <v>628.09318468000004</v>
      </c>
      <c r="S701" s="15">
        <f t="shared" si="65"/>
        <v>0.66666666666666663</v>
      </c>
    </row>
    <row r="702" spans="1:19" x14ac:dyDescent="0.25">
      <c r="A702" s="10" t="s">
        <v>1759</v>
      </c>
      <c r="B702" s="10">
        <v>84946</v>
      </c>
      <c r="C702" s="10">
        <v>96465</v>
      </c>
      <c r="D702" s="10" t="s">
        <v>1757</v>
      </c>
      <c r="E702" s="10" t="s">
        <v>1760</v>
      </c>
      <c r="F702" s="10" t="s">
        <v>21</v>
      </c>
      <c r="G702" s="10" t="s">
        <v>13</v>
      </c>
      <c r="H702" s="10" t="s">
        <v>17</v>
      </c>
      <c r="I702" s="11">
        <v>2</v>
      </c>
      <c r="J702" s="11">
        <v>3</v>
      </c>
      <c r="K702" s="11">
        <v>2</v>
      </c>
      <c r="L702" s="6">
        <f t="shared" si="60"/>
        <v>0</v>
      </c>
      <c r="M702" s="12">
        <v>39.954999999999998</v>
      </c>
      <c r="N702" s="13">
        <f t="shared" si="61"/>
        <v>79.91</v>
      </c>
      <c r="O702" s="13">
        <f t="shared" si="62"/>
        <v>79.91</v>
      </c>
      <c r="P702" s="14">
        <v>138.28351429</v>
      </c>
      <c r="Q702" s="8">
        <f t="shared" si="63"/>
        <v>276.56702858</v>
      </c>
      <c r="R702" s="8">
        <f t="shared" si="64"/>
        <v>276.56702858</v>
      </c>
      <c r="S702" s="15">
        <f t="shared" si="65"/>
        <v>1</v>
      </c>
    </row>
    <row r="703" spans="1:19" x14ac:dyDescent="0.25">
      <c r="A703" s="10" t="s">
        <v>1761</v>
      </c>
      <c r="B703" s="10">
        <v>84946</v>
      </c>
      <c r="C703" s="10">
        <v>96465</v>
      </c>
      <c r="D703" s="10" t="s">
        <v>1757</v>
      </c>
      <c r="E703" s="10" t="s">
        <v>1762</v>
      </c>
      <c r="F703" s="10" t="s">
        <v>21</v>
      </c>
      <c r="G703" s="10" t="s">
        <v>13</v>
      </c>
      <c r="H703" s="10" t="s">
        <v>17</v>
      </c>
      <c r="I703" s="11">
        <v>27</v>
      </c>
      <c r="J703" s="11">
        <v>27</v>
      </c>
      <c r="K703" s="11">
        <v>27</v>
      </c>
      <c r="L703" s="6">
        <f t="shared" si="60"/>
        <v>0</v>
      </c>
      <c r="M703" s="12">
        <v>39.954999999999998</v>
      </c>
      <c r="N703" s="13">
        <f t="shared" si="61"/>
        <v>1078.7849999999999</v>
      </c>
      <c r="O703" s="13">
        <f t="shared" si="62"/>
        <v>1078.7849999999999</v>
      </c>
      <c r="P703" s="14">
        <v>161.12329617</v>
      </c>
      <c r="Q703" s="8">
        <f t="shared" si="63"/>
        <v>4350.3289965900003</v>
      </c>
      <c r="R703" s="8">
        <f t="shared" si="64"/>
        <v>4350.3289965900003</v>
      </c>
      <c r="S703" s="15">
        <f t="shared" si="65"/>
        <v>1</v>
      </c>
    </row>
    <row r="704" spans="1:19" x14ac:dyDescent="0.25">
      <c r="A704" s="10" t="s">
        <v>1763</v>
      </c>
      <c r="B704" s="10">
        <v>84946</v>
      </c>
      <c r="C704" s="10">
        <v>96465</v>
      </c>
      <c r="D704" s="10" t="s">
        <v>1757</v>
      </c>
      <c r="E704" s="10" t="s">
        <v>1764</v>
      </c>
      <c r="F704" s="10" t="s">
        <v>21</v>
      </c>
      <c r="G704" s="10" t="s">
        <v>13</v>
      </c>
      <c r="H704" s="10" t="s">
        <v>17</v>
      </c>
      <c r="I704" s="11">
        <v>0</v>
      </c>
      <c r="J704" s="11">
        <v>0</v>
      </c>
      <c r="K704" s="11">
        <v>0</v>
      </c>
      <c r="L704" s="6">
        <f t="shared" si="60"/>
        <v>0</v>
      </c>
      <c r="M704" s="12">
        <v>39.954999999999998</v>
      </c>
      <c r="N704" s="13">
        <f t="shared" si="61"/>
        <v>0</v>
      </c>
      <c r="O704" s="13">
        <f t="shared" si="62"/>
        <v>0</v>
      </c>
      <c r="P704" s="14">
        <v>157.61329617000001</v>
      </c>
      <c r="Q704" s="8">
        <f t="shared" si="63"/>
        <v>0</v>
      </c>
      <c r="R704" s="8">
        <f t="shared" si="64"/>
        <v>0</v>
      </c>
      <c r="S704" s="15">
        <f t="shared" si="65"/>
        <v>0</v>
      </c>
    </row>
    <row r="705" spans="1:19" x14ac:dyDescent="0.25">
      <c r="A705" s="10" t="s">
        <v>1765</v>
      </c>
      <c r="B705" s="10">
        <v>85315</v>
      </c>
      <c r="C705" s="10">
        <v>97857</v>
      </c>
      <c r="D705" s="10" t="s">
        <v>1294</v>
      </c>
      <c r="E705" s="10" t="s">
        <v>1766</v>
      </c>
      <c r="F705" s="10" t="s">
        <v>22</v>
      </c>
      <c r="G705" s="10" t="s">
        <v>13</v>
      </c>
      <c r="H705" s="10" t="s">
        <v>17</v>
      </c>
      <c r="I705" s="11">
        <v>1</v>
      </c>
      <c r="J705" s="11">
        <v>1</v>
      </c>
      <c r="K705" s="11">
        <v>0</v>
      </c>
      <c r="L705" s="6">
        <f t="shared" si="60"/>
        <v>1</v>
      </c>
      <c r="M705" s="12">
        <v>14.625</v>
      </c>
      <c r="N705" s="13">
        <f t="shared" si="61"/>
        <v>14.625</v>
      </c>
      <c r="O705" s="13">
        <f t="shared" si="62"/>
        <v>0</v>
      </c>
      <c r="P705" s="14">
        <v>92.257231579999996</v>
      </c>
      <c r="Q705" s="8">
        <f t="shared" si="63"/>
        <v>92.257231579999996</v>
      </c>
      <c r="R705" s="8">
        <f t="shared" si="64"/>
        <v>0</v>
      </c>
      <c r="S705" s="15">
        <f t="shared" si="65"/>
        <v>0</v>
      </c>
    </row>
    <row r="706" spans="1:19" x14ac:dyDescent="0.25">
      <c r="A706" s="10" t="s">
        <v>1767</v>
      </c>
      <c r="B706" s="10">
        <v>85524</v>
      </c>
      <c r="C706" s="10">
        <v>97858</v>
      </c>
      <c r="D706" s="10" t="s">
        <v>1340</v>
      </c>
      <c r="E706" s="10" t="s">
        <v>1768</v>
      </c>
      <c r="F706" s="10" t="s">
        <v>22</v>
      </c>
      <c r="G706" s="10" t="s">
        <v>13</v>
      </c>
      <c r="H706" s="10" t="s">
        <v>17</v>
      </c>
      <c r="I706" s="11">
        <v>42</v>
      </c>
      <c r="J706" s="11">
        <v>42</v>
      </c>
      <c r="K706" s="11">
        <v>0</v>
      </c>
      <c r="L706" s="6">
        <f t="shared" ref="L706:L769" si="66">I706-K706</f>
        <v>42</v>
      </c>
      <c r="M706" s="12">
        <v>22.425000000000001</v>
      </c>
      <c r="N706" s="13">
        <f t="shared" ref="N706:N769" si="67">I706*M706</f>
        <v>941.85</v>
      </c>
      <c r="O706" s="13">
        <f t="shared" ref="O706:O769" si="68">K706*M706</f>
        <v>0</v>
      </c>
      <c r="P706" s="14">
        <v>137.14754861</v>
      </c>
      <c r="Q706" s="8">
        <f t="shared" ref="Q706:Q769" si="69">I706*P706</f>
        <v>5760.1970416200002</v>
      </c>
      <c r="R706" s="8">
        <f t="shared" ref="R706:R769" si="70">K706*P706</f>
        <v>0</v>
      </c>
      <c r="S706" s="15">
        <f t="shared" ref="S706:S769" si="71">IF(I706=0,0,K706/I706)</f>
        <v>0</v>
      </c>
    </row>
    <row r="707" spans="1:19" x14ac:dyDescent="0.25">
      <c r="A707" s="10" t="s">
        <v>1769</v>
      </c>
      <c r="B707" s="10">
        <v>101</v>
      </c>
      <c r="C707" s="10">
        <v>59618</v>
      </c>
      <c r="D707" s="10" t="s">
        <v>39</v>
      </c>
      <c r="E707" s="10" t="s">
        <v>1770</v>
      </c>
      <c r="F707" s="10" t="s">
        <v>23</v>
      </c>
      <c r="G707" s="10" t="s">
        <v>13</v>
      </c>
      <c r="H707" s="10" t="s">
        <v>16</v>
      </c>
      <c r="I707" s="11">
        <v>0</v>
      </c>
      <c r="J707" s="11">
        <v>0</v>
      </c>
      <c r="K707" s="11">
        <v>0</v>
      </c>
      <c r="L707" s="6">
        <f t="shared" si="66"/>
        <v>0</v>
      </c>
      <c r="M707" s="12">
        <v>66.787000000000006</v>
      </c>
      <c r="N707" s="13">
        <f t="shared" si="67"/>
        <v>0</v>
      </c>
      <c r="O707" s="13">
        <f t="shared" si="68"/>
        <v>0</v>
      </c>
      <c r="P707" s="14">
        <v>219.00895573</v>
      </c>
      <c r="Q707" s="8">
        <f t="shared" si="69"/>
        <v>0</v>
      </c>
      <c r="R707" s="8">
        <f t="shared" si="70"/>
        <v>0</v>
      </c>
      <c r="S707" s="15">
        <f t="shared" si="71"/>
        <v>0</v>
      </c>
    </row>
    <row r="708" spans="1:19" x14ac:dyDescent="0.25">
      <c r="A708" s="10" t="s">
        <v>1771</v>
      </c>
      <c r="B708" s="10">
        <v>154</v>
      </c>
      <c r="C708" s="10">
        <v>591</v>
      </c>
      <c r="D708" s="10" t="s">
        <v>56</v>
      </c>
      <c r="E708" s="10" t="s">
        <v>1772</v>
      </c>
      <c r="F708" s="10" t="s">
        <v>20</v>
      </c>
      <c r="G708" s="10" t="s">
        <v>13</v>
      </c>
      <c r="H708" s="10" t="s">
        <v>16</v>
      </c>
      <c r="I708" s="11">
        <v>252</v>
      </c>
      <c r="J708" s="11">
        <v>252</v>
      </c>
      <c r="K708" s="11">
        <v>55</v>
      </c>
      <c r="L708" s="6">
        <f t="shared" si="66"/>
        <v>197</v>
      </c>
      <c r="M708" s="12">
        <v>0.70199999999999996</v>
      </c>
      <c r="N708" s="13">
        <f t="shared" si="67"/>
        <v>176.904</v>
      </c>
      <c r="O708" s="13">
        <f t="shared" si="68"/>
        <v>38.61</v>
      </c>
      <c r="P708" s="14">
        <v>7.0497643999999999</v>
      </c>
      <c r="Q708" s="8">
        <f t="shared" si="69"/>
        <v>1776.5406287999999</v>
      </c>
      <c r="R708" s="8">
        <f t="shared" si="70"/>
        <v>387.73704199999997</v>
      </c>
      <c r="S708" s="15">
        <f t="shared" si="71"/>
        <v>0.21825396825396826</v>
      </c>
    </row>
    <row r="709" spans="1:19" x14ac:dyDescent="0.25">
      <c r="A709" s="10" t="s">
        <v>1773</v>
      </c>
      <c r="B709" s="10">
        <v>185</v>
      </c>
      <c r="C709" s="10">
        <v>39082</v>
      </c>
      <c r="D709" s="10" t="s">
        <v>80</v>
      </c>
      <c r="E709" s="10" t="s">
        <v>1774</v>
      </c>
      <c r="F709" s="10" t="s">
        <v>23</v>
      </c>
      <c r="G709" s="10" t="s">
        <v>13</v>
      </c>
      <c r="H709" s="10" t="s">
        <v>16</v>
      </c>
      <c r="I709" s="11">
        <v>0</v>
      </c>
      <c r="J709" s="11">
        <v>0</v>
      </c>
      <c r="K709" s="11">
        <v>0</v>
      </c>
      <c r="L709" s="6">
        <f t="shared" si="66"/>
        <v>0</v>
      </c>
      <c r="M709" s="12">
        <v>28.08</v>
      </c>
      <c r="N709" s="13">
        <f t="shared" si="67"/>
        <v>0</v>
      </c>
      <c r="O709" s="13">
        <f t="shared" si="68"/>
        <v>0</v>
      </c>
      <c r="P709" s="14">
        <v>95.203706929999996</v>
      </c>
      <c r="Q709" s="8">
        <f t="shared" si="69"/>
        <v>0</v>
      </c>
      <c r="R709" s="8">
        <f t="shared" si="70"/>
        <v>0</v>
      </c>
      <c r="S709" s="15">
        <f t="shared" si="71"/>
        <v>0</v>
      </c>
    </row>
    <row r="710" spans="1:19" x14ac:dyDescent="0.25">
      <c r="A710" s="10" t="s">
        <v>1775</v>
      </c>
      <c r="B710" s="10">
        <v>2104</v>
      </c>
      <c r="C710" s="10">
        <v>59625</v>
      </c>
      <c r="D710" s="10" t="s">
        <v>169</v>
      </c>
      <c r="E710" s="10" t="s">
        <v>1776</v>
      </c>
      <c r="F710" s="10" t="s">
        <v>23</v>
      </c>
      <c r="G710" s="10" t="s">
        <v>13</v>
      </c>
      <c r="H710" s="10" t="s">
        <v>16</v>
      </c>
      <c r="I710" s="11">
        <v>0</v>
      </c>
      <c r="J710" s="11">
        <v>0</v>
      </c>
      <c r="K710" s="11">
        <v>0</v>
      </c>
      <c r="L710" s="6">
        <f t="shared" si="66"/>
        <v>0</v>
      </c>
      <c r="M710" s="12">
        <v>51.674999999999997</v>
      </c>
      <c r="N710" s="13">
        <f t="shared" si="67"/>
        <v>0</v>
      </c>
      <c r="O710" s="13">
        <f t="shared" si="68"/>
        <v>0</v>
      </c>
      <c r="P710" s="14">
        <v>141.94043289999999</v>
      </c>
      <c r="Q710" s="8">
        <f t="shared" si="69"/>
        <v>0</v>
      </c>
      <c r="R710" s="8">
        <f t="shared" si="70"/>
        <v>0</v>
      </c>
      <c r="S710" s="15">
        <f t="shared" si="71"/>
        <v>0</v>
      </c>
    </row>
    <row r="711" spans="1:19" x14ac:dyDescent="0.25">
      <c r="A711" s="10" t="s">
        <v>1777</v>
      </c>
      <c r="B711" s="10">
        <v>2105</v>
      </c>
      <c r="C711" s="10">
        <v>51224</v>
      </c>
      <c r="D711" s="10" t="s">
        <v>172</v>
      </c>
      <c r="E711" s="10" t="s">
        <v>1778</v>
      </c>
      <c r="F711" s="10" t="s">
        <v>23</v>
      </c>
      <c r="G711" s="10" t="s">
        <v>13</v>
      </c>
      <c r="H711" s="10" t="s">
        <v>16</v>
      </c>
      <c r="I711" s="11">
        <v>0</v>
      </c>
      <c r="J711" s="11">
        <v>0</v>
      </c>
      <c r="K711" s="11">
        <v>0</v>
      </c>
      <c r="L711" s="6">
        <f t="shared" si="66"/>
        <v>0</v>
      </c>
      <c r="M711" s="12">
        <v>49.384</v>
      </c>
      <c r="N711" s="13">
        <f t="shared" si="67"/>
        <v>0</v>
      </c>
      <c r="O711" s="13">
        <f t="shared" si="68"/>
        <v>0</v>
      </c>
      <c r="P711" s="14">
        <v>149.01436652999999</v>
      </c>
      <c r="Q711" s="8">
        <f t="shared" si="69"/>
        <v>0</v>
      </c>
      <c r="R711" s="8">
        <f t="shared" si="70"/>
        <v>0</v>
      </c>
      <c r="S711" s="15">
        <f t="shared" si="71"/>
        <v>0</v>
      </c>
    </row>
    <row r="712" spans="1:19" x14ac:dyDescent="0.25">
      <c r="A712" s="10" t="s">
        <v>1779</v>
      </c>
      <c r="B712" s="10">
        <v>2107</v>
      </c>
      <c r="C712" s="10">
        <v>72913</v>
      </c>
      <c r="D712" s="10" t="s">
        <v>179</v>
      </c>
      <c r="E712" s="10" t="s">
        <v>1780</v>
      </c>
      <c r="F712" s="10" t="s">
        <v>23</v>
      </c>
      <c r="G712" s="10" t="s">
        <v>13</v>
      </c>
      <c r="H712" s="10" t="s">
        <v>16</v>
      </c>
      <c r="I712" s="11">
        <v>14</v>
      </c>
      <c r="J712" s="11">
        <v>14</v>
      </c>
      <c r="K712" s="11">
        <v>0</v>
      </c>
      <c r="L712" s="6">
        <f t="shared" si="66"/>
        <v>14</v>
      </c>
      <c r="M712" s="12">
        <v>50.991999999999997</v>
      </c>
      <c r="N712" s="13">
        <f t="shared" si="67"/>
        <v>713.88799999999992</v>
      </c>
      <c r="O712" s="13">
        <f t="shared" si="68"/>
        <v>0</v>
      </c>
      <c r="P712" s="14">
        <v>147.24930251999999</v>
      </c>
      <c r="Q712" s="8">
        <f t="shared" si="69"/>
        <v>2061.49023528</v>
      </c>
      <c r="R712" s="8">
        <f t="shared" si="70"/>
        <v>0</v>
      </c>
      <c r="S712" s="15">
        <f t="shared" si="71"/>
        <v>0</v>
      </c>
    </row>
    <row r="713" spans="1:19" x14ac:dyDescent="0.25">
      <c r="A713" s="10" t="s">
        <v>1781</v>
      </c>
      <c r="B713" s="10">
        <v>2108</v>
      </c>
      <c r="C713" s="10">
        <v>72914</v>
      </c>
      <c r="D713" s="10" t="s">
        <v>182</v>
      </c>
      <c r="E713" s="10" t="s">
        <v>1782</v>
      </c>
      <c r="F713" s="10" t="s">
        <v>23</v>
      </c>
      <c r="G713" s="10" t="s">
        <v>13</v>
      </c>
      <c r="H713" s="10" t="s">
        <v>16</v>
      </c>
      <c r="I713" s="11">
        <v>0</v>
      </c>
      <c r="J713" s="11">
        <v>0</v>
      </c>
      <c r="K713" s="11">
        <v>0</v>
      </c>
      <c r="L713" s="6">
        <f t="shared" si="66"/>
        <v>0</v>
      </c>
      <c r="M713" s="12">
        <v>48.555</v>
      </c>
      <c r="N713" s="13">
        <f t="shared" si="67"/>
        <v>0</v>
      </c>
      <c r="O713" s="13">
        <f t="shared" si="68"/>
        <v>0</v>
      </c>
      <c r="P713" s="14">
        <v>150.86226493000001</v>
      </c>
      <c r="Q713" s="8">
        <f t="shared" si="69"/>
        <v>0</v>
      </c>
      <c r="R713" s="8">
        <f t="shared" si="70"/>
        <v>0</v>
      </c>
      <c r="S713" s="15">
        <f t="shared" si="71"/>
        <v>0</v>
      </c>
    </row>
    <row r="714" spans="1:19" x14ac:dyDescent="0.25">
      <c r="A714" s="10" t="s">
        <v>1783</v>
      </c>
      <c r="B714" s="10">
        <v>2109</v>
      </c>
      <c r="C714" s="10">
        <v>72915</v>
      </c>
      <c r="D714" s="10" t="s">
        <v>185</v>
      </c>
      <c r="E714" s="10" t="s">
        <v>1784</v>
      </c>
      <c r="F714" s="10" t="s">
        <v>23</v>
      </c>
      <c r="G714" s="10" t="s">
        <v>13</v>
      </c>
      <c r="H714" s="10" t="s">
        <v>16</v>
      </c>
      <c r="I714" s="11">
        <v>16</v>
      </c>
      <c r="J714" s="11">
        <v>16</v>
      </c>
      <c r="K714" s="11">
        <v>0</v>
      </c>
      <c r="L714" s="6">
        <f t="shared" si="66"/>
        <v>16</v>
      </c>
      <c r="M714" s="12">
        <v>44.167000000000002</v>
      </c>
      <c r="N714" s="13">
        <f t="shared" si="67"/>
        <v>706.67200000000003</v>
      </c>
      <c r="O714" s="13">
        <f t="shared" si="68"/>
        <v>0</v>
      </c>
      <c r="P714" s="14">
        <v>167.01883303</v>
      </c>
      <c r="Q714" s="8">
        <f t="shared" si="69"/>
        <v>2672.3013284799999</v>
      </c>
      <c r="R714" s="8">
        <f t="shared" si="70"/>
        <v>0</v>
      </c>
      <c r="S714" s="15">
        <f t="shared" si="71"/>
        <v>0</v>
      </c>
    </row>
    <row r="715" spans="1:19" x14ac:dyDescent="0.25">
      <c r="A715" s="10" t="s">
        <v>1785</v>
      </c>
      <c r="B715" s="10">
        <v>2176</v>
      </c>
      <c r="C715" s="10">
        <v>81670</v>
      </c>
      <c r="D715" s="10" t="s">
        <v>220</v>
      </c>
      <c r="E715" s="10" t="s">
        <v>1786</v>
      </c>
      <c r="F715" s="10" t="s">
        <v>23</v>
      </c>
      <c r="G715" s="10" t="s">
        <v>13</v>
      </c>
      <c r="H715" s="10" t="s">
        <v>16</v>
      </c>
      <c r="I715" s="11">
        <v>7</v>
      </c>
      <c r="J715" s="11">
        <v>6</v>
      </c>
      <c r="K715" s="11">
        <v>5</v>
      </c>
      <c r="L715" s="6">
        <f t="shared" si="66"/>
        <v>2</v>
      </c>
      <c r="M715" s="12">
        <v>57.036999999999999</v>
      </c>
      <c r="N715" s="13">
        <f t="shared" si="67"/>
        <v>399.25900000000001</v>
      </c>
      <c r="O715" s="13">
        <f t="shared" si="68"/>
        <v>285.185</v>
      </c>
      <c r="P715" s="14">
        <v>168.05589644</v>
      </c>
      <c r="Q715" s="8">
        <f t="shared" si="69"/>
        <v>1176.39127508</v>
      </c>
      <c r="R715" s="8">
        <f t="shared" si="70"/>
        <v>840.27948219999996</v>
      </c>
      <c r="S715" s="15">
        <f t="shared" si="71"/>
        <v>0.7142857142857143</v>
      </c>
    </row>
    <row r="716" spans="1:19" x14ac:dyDescent="0.25">
      <c r="A716" s="10" t="s">
        <v>1787</v>
      </c>
      <c r="B716" s="10">
        <v>2179</v>
      </c>
      <c r="C716" s="10">
        <v>81671</v>
      </c>
      <c r="D716" s="10" t="s">
        <v>225</v>
      </c>
      <c r="E716" s="10" t="s">
        <v>1788</v>
      </c>
      <c r="F716" s="10" t="s">
        <v>23</v>
      </c>
      <c r="G716" s="10" t="s">
        <v>13</v>
      </c>
      <c r="H716" s="10" t="s">
        <v>16</v>
      </c>
      <c r="I716" s="11">
        <v>7</v>
      </c>
      <c r="J716" s="11">
        <v>6</v>
      </c>
      <c r="K716" s="11">
        <v>5</v>
      </c>
      <c r="L716" s="6">
        <f t="shared" si="66"/>
        <v>2</v>
      </c>
      <c r="M716" s="12">
        <v>58.5</v>
      </c>
      <c r="N716" s="13">
        <f t="shared" si="67"/>
        <v>409.5</v>
      </c>
      <c r="O716" s="13">
        <f t="shared" si="68"/>
        <v>292.5</v>
      </c>
      <c r="P716" s="14">
        <v>242.99775742</v>
      </c>
      <c r="Q716" s="8">
        <f t="shared" si="69"/>
        <v>1700.98430194</v>
      </c>
      <c r="R716" s="8">
        <f t="shared" si="70"/>
        <v>1214.9887871000001</v>
      </c>
      <c r="S716" s="15">
        <f t="shared" si="71"/>
        <v>0.7142857142857143</v>
      </c>
    </row>
    <row r="717" spans="1:19" x14ac:dyDescent="0.25">
      <c r="A717" s="10" t="s">
        <v>1789</v>
      </c>
      <c r="B717" s="10">
        <v>2183</v>
      </c>
      <c r="C717" s="10">
        <v>81873</v>
      </c>
      <c r="D717" s="10" t="s">
        <v>237</v>
      </c>
      <c r="E717" s="10" t="s">
        <v>1790</v>
      </c>
      <c r="F717" s="10" t="s">
        <v>23</v>
      </c>
      <c r="G717" s="10" t="s">
        <v>13</v>
      </c>
      <c r="H717" s="10" t="s">
        <v>16</v>
      </c>
      <c r="I717" s="11">
        <v>5</v>
      </c>
      <c r="J717" s="11">
        <v>4</v>
      </c>
      <c r="K717" s="11">
        <v>5</v>
      </c>
      <c r="L717" s="6">
        <f t="shared" si="66"/>
        <v>0</v>
      </c>
      <c r="M717" s="12">
        <v>62.4</v>
      </c>
      <c r="N717" s="13">
        <f t="shared" si="67"/>
        <v>312</v>
      </c>
      <c r="O717" s="13">
        <f t="shared" si="68"/>
        <v>312</v>
      </c>
      <c r="P717" s="14">
        <v>283.53835226000001</v>
      </c>
      <c r="Q717" s="8">
        <f t="shared" si="69"/>
        <v>1417.6917613000001</v>
      </c>
      <c r="R717" s="8">
        <f t="shared" si="70"/>
        <v>1417.6917613000001</v>
      </c>
      <c r="S717" s="15">
        <f t="shared" si="71"/>
        <v>1</v>
      </c>
    </row>
    <row r="718" spans="1:19" x14ac:dyDescent="0.25">
      <c r="A718" s="10" t="s">
        <v>1791</v>
      </c>
      <c r="B718" s="10">
        <v>2185</v>
      </c>
      <c r="C718" s="10">
        <v>81673</v>
      </c>
      <c r="D718" s="10" t="s">
        <v>242</v>
      </c>
      <c r="E718" s="10" t="s">
        <v>1792</v>
      </c>
      <c r="F718" s="10" t="s">
        <v>23</v>
      </c>
      <c r="G718" s="10" t="s">
        <v>13</v>
      </c>
      <c r="H718" s="10" t="s">
        <v>16</v>
      </c>
      <c r="I718" s="11">
        <v>6</v>
      </c>
      <c r="J718" s="11">
        <v>0</v>
      </c>
      <c r="K718" s="11">
        <v>5</v>
      </c>
      <c r="L718" s="6">
        <f t="shared" si="66"/>
        <v>1</v>
      </c>
      <c r="M718" s="12">
        <v>63.375</v>
      </c>
      <c r="N718" s="13">
        <f t="shared" si="67"/>
        <v>380.25</v>
      </c>
      <c r="O718" s="13">
        <f t="shared" si="68"/>
        <v>316.875</v>
      </c>
      <c r="P718" s="14">
        <v>235.38467906</v>
      </c>
      <c r="Q718" s="8">
        <f t="shared" si="69"/>
        <v>1412.3080743599999</v>
      </c>
      <c r="R718" s="8">
        <f t="shared" si="70"/>
        <v>1176.9233953</v>
      </c>
      <c r="S718" s="15">
        <f t="shared" si="71"/>
        <v>0.83333333333333337</v>
      </c>
    </row>
    <row r="719" spans="1:19" x14ac:dyDescent="0.25">
      <c r="A719" s="10" t="s">
        <v>1793</v>
      </c>
      <c r="B719" s="10">
        <v>2190</v>
      </c>
      <c r="C719" s="10">
        <v>82388</v>
      </c>
      <c r="D719" s="10" t="s">
        <v>253</v>
      </c>
      <c r="E719" s="10" t="s">
        <v>1794</v>
      </c>
      <c r="F719" s="10" t="s">
        <v>23</v>
      </c>
      <c r="G719" s="10" t="s">
        <v>13</v>
      </c>
      <c r="H719" s="10" t="s">
        <v>16</v>
      </c>
      <c r="I719" s="11">
        <v>17</v>
      </c>
      <c r="J719" s="11">
        <v>41</v>
      </c>
      <c r="K719" s="11">
        <v>0</v>
      </c>
      <c r="L719" s="6">
        <f t="shared" si="66"/>
        <v>17</v>
      </c>
      <c r="M719" s="12">
        <v>10.725</v>
      </c>
      <c r="N719" s="13">
        <f t="shared" si="67"/>
        <v>182.32499999999999</v>
      </c>
      <c r="O719" s="13">
        <f t="shared" si="68"/>
        <v>0</v>
      </c>
      <c r="P719" s="14">
        <v>72.003133869999999</v>
      </c>
      <c r="Q719" s="8">
        <f t="shared" si="69"/>
        <v>1224.05327579</v>
      </c>
      <c r="R719" s="8">
        <f t="shared" si="70"/>
        <v>0</v>
      </c>
      <c r="S719" s="15">
        <f t="shared" si="71"/>
        <v>0</v>
      </c>
    </row>
    <row r="720" spans="1:19" x14ac:dyDescent="0.25">
      <c r="A720" s="10" t="s">
        <v>1795</v>
      </c>
      <c r="B720" s="10">
        <v>2192</v>
      </c>
      <c r="C720" s="10">
        <v>55521</v>
      </c>
      <c r="D720" s="10" t="s">
        <v>258</v>
      </c>
      <c r="E720" s="10" t="s">
        <v>1796</v>
      </c>
      <c r="F720" s="10" t="s">
        <v>23</v>
      </c>
      <c r="G720" s="10" t="s">
        <v>13</v>
      </c>
      <c r="H720" s="10" t="s">
        <v>16</v>
      </c>
      <c r="I720" s="11">
        <v>11</v>
      </c>
      <c r="J720" s="11">
        <v>11</v>
      </c>
      <c r="K720" s="11">
        <v>0</v>
      </c>
      <c r="L720" s="6">
        <f t="shared" si="66"/>
        <v>11</v>
      </c>
      <c r="M720" s="12">
        <v>13.162000000000001</v>
      </c>
      <c r="N720" s="13">
        <f t="shared" si="67"/>
        <v>144.78200000000001</v>
      </c>
      <c r="O720" s="13">
        <f t="shared" si="68"/>
        <v>0</v>
      </c>
      <c r="P720" s="14">
        <v>50.785487629999999</v>
      </c>
      <c r="Q720" s="8">
        <f t="shared" si="69"/>
        <v>558.64036393000003</v>
      </c>
      <c r="R720" s="8">
        <f t="shared" si="70"/>
        <v>0</v>
      </c>
      <c r="S720" s="15">
        <f t="shared" si="71"/>
        <v>0</v>
      </c>
    </row>
    <row r="721" spans="1:19" x14ac:dyDescent="0.25">
      <c r="A721" s="10" t="s">
        <v>1797</v>
      </c>
      <c r="B721" s="10">
        <v>2194</v>
      </c>
      <c r="C721" s="10">
        <v>7558</v>
      </c>
      <c r="D721" s="10" t="s">
        <v>263</v>
      </c>
      <c r="E721" s="10" t="s">
        <v>1798</v>
      </c>
      <c r="F721" s="10" t="s">
        <v>20</v>
      </c>
      <c r="G721" s="10" t="s">
        <v>13</v>
      </c>
      <c r="H721" s="10" t="s">
        <v>16</v>
      </c>
      <c r="I721" s="11">
        <v>52</v>
      </c>
      <c r="J721" s="11">
        <v>56</v>
      </c>
      <c r="K721" s="11">
        <v>0</v>
      </c>
      <c r="L721" s="6">
        <f t="shared" si="66"/>
        <v>52</v>
      </c>
      <c r="M721" s="12">
        <v>1.0920000000000001</v>
      </c>
      <c r="N721" s="13">
        <f t="shared" si="67"/>
        <v>56.784000000000006</v>
      </c>
      <c r="O721" s="13">
        <f t="shared" si="68"/>
        <v>0</v>
      </c>
      <c r="P721" s="14">
        <v>8.8942714400000007</v>
      </c>
      <c r="Q721" s="8">
        <f t="shared" si="69"/>
        <v>462.50211488000002</v>
      </c>
      <c r="R721" s="8">
        <f t="shared" si="70"/>
        <v>0</v>
      </c>
      <c r="S721" s="15">
        <f t="shared" si="71"/>
        <v>0</v>
      </c>
    </row>
    <row r="722" spans="1:19" x14ac:dyDescent="0.25">
      <c r="A722" s="10" t="s">
        <v>1799</v>
      </c>
      <c r="B722" s="10">
        <v>2246</v>
      </c>
      <c r="C722" s="10">
        <v>87025</v>
      </c>
      <c r="D722" s="10" t="s">
        <v>287</v>
      </c>
      <c r="E722" s="10" t="s">
        <v>1800</v>
      </c>
      <c r="F722" s="10" t="s">
        <v>23</v>
      </c>
      <c r="G722" s="10" t="s">
        <v>13</v>
      </c>
      <c r="H722" s="10" t="s">
        <v>16</v>
      </c>
      <c r="I722" s="11">
        <v>0</v>
      </c>
      <c r="J722" s="11">
        <v>0</v>
      </c>
      <c r="K722" s="11">
        <v>0</v>
      </c>
      <c r="L722" s="6">
        <f t="shared" si="66"/>
        <v>0</v>
      </c>
      <c r="M722" s="12">
        <v>15.307</v>
      </c>
      <c r="N722" s="13">
        <f t="shared" si="67"/>
        <v>0</v>
      </c>
      <c r="O722" s="13">
        <f t="shared" si="68"/>
        <v>0</v>
      </c>
      <c r="P722" s="14">
        <v>50.458826350000002</v>
      </c>
      <c r="Q722" s="8">
        <f t="shared" si="69"/>
        <v>0</v>
      </c>
      <c r="R722" s="8">
        <f t="shared" si="70"/>
        <v>0</v>
      </c>
      <c r="S722" s="15">
        <f t="shared" si="71"/>
        <v>0</v>
      </c>
    </row>
    <row r="723" spans="1:19" x14ac:dyDescent="0.25">
      <c r="A723" s="10" t="s">
        <v>1801</v>
      </c>
      <c r="B723" s="10">
        <v>2253</v>
      </c>
      <c r="C723" s="10">
        <v>86810</v>
      </c>
      <c r="D723" s="10" t="s">
        <v>290</v>
      </c>
      <c r="E723" s="10" t="s">
        <v>1802</v>
      </c>
      <c r="F723" s="10" t="s">
        <v>23</v>
      </c>
      <c r="G723" s="10" t="s">
        <v>13</v>
      </c>
      <c r="H723" s="10" t="s">
        <v>16</v>
      </c>
      <c r="I723" s="11">
        <v>0</v>
      </c>
      <c r="J723" s="11">
        <v>0</v>
      </c>
      <c r="K723" s="11">
        <v>0</v>
      </c>
      <c r="L723" s="6">
        <f t="shared" si="66"/>
        <v>0</v>
      </c>
      <c r="M723" s="12">
        <v>55.671999999999997</v>
      </c>
      <c r="N723" s="13">
        <f t="shared" si="67"/>
        <v>0</v>
      </c>
      <c r="O723" s="13">
        <f t="shared" si="68"/>
        <v>0</v>
      </c>
      <c r="P723" s="14">
        <v>272.46165506</v>
      </c>
      <c r="Q723" s="8">
        <f t="shared" si="69"/>
        <v>0</v>
      </c>
      <c r="R723" s="8">
        <f t="shared" si="70"/>
        <v>0</v>
      </c>
      <c r="S723" s="15">
        <f t="shared" si="71"/>
        <v>0</v>
      </c>
    </row>
    <row r="724" spans="1:19" x14ac:dyDescent="0.25">
      <c r="A724" s="10" t="s">
        <v>1803</v>
      </c>
      <c r="B724" s="10">
        <v>2253</v>
      </c>
      <c r="C724" s="10">
        <v>86810</v>
      </c>
      <c r="D724" s="10" t="s">
        <v>290</v>
      </c>
      <c r="E724" s="10" t="s">
        <v>1804</v>
      </c>
      <c r="F724" s="10" t="s">
        <v>23</v>
      </c>
      <c r="G724" s="10" t="s">
        <v>13</v>
      </c>
      <c r="H724" s="10" t="s">
        <v>16</v>
      </c>
      <c r="I724" s="11">
        <v>0</v>
      </c>
      <c r="J724" s="11">
        <v>0</v>
      </c>
      <c r="K724" s="11">
        <v>0</v>
      </c>
      <c r="L724" s="6">
        <f t="shared" si="66"/>
        <v>0</v>
      </c>
      <c r="M724" s="12">
        <v>55.671999999999997</v>
      </c>
      <c r="N724" s="13">
        <f t="shared" si="67"/>
        <v>0</v>
      </c>
      <c r="O724" s="13">
        <f t="shared" si="68"/>
        <v>0</v>
      </c>
      <c r="P724" s="14">
        <v>272.54165505999998</v>
      </c>
      <c r="Q724" s="8">
        <f t="shared" si="69"/>
        <v>0</v>
      </c>
      <c r="R724" s="8">
        <f t="shared" si="70"/>
        <v>0</v>
      </c>
      <c r="S724" s="15">
        <f t="shared" si="71"/>
        <v>0</v>
      </c>
    </row>
    <row r="725" spans="1:19" x14ac:dyDescent="0.25">
      <c r="A725" s="10" t="s">
        <v>1805</v>
      </c>
      <c r="B725" s="10">
        <v>2280</v>
      </c>
      <c r="C725" s="10">
        <v>86814</v>
      </c>
      <c r="D725" s="10" t="s">
        <v>296</v>
      </c>
      <c r="E725" s="10" t="s">
        <v>1806</v>
      </c>
      <c r="F725" s="10" t="s">
        <v>23</v>
      </c>
      <c r="G725" s="10" t="s">
        <v>13</v>
      </c>
      <c r="H725" s="10" t="s">
        <v>16</v>
      </c>
      <c r="I725" s="11">
        <v>0</v>
      </c>
      <c r="J725" s="11">
        <v>0</v>
      </c>
      <c r="K725" s="11">
        <v>0</v>
      </c>
      <c r="L725" s="6">
        <f t="shared" si="66"/>
        <v>0</v>
      </c>
      <c r="M725" s="12">
        <v>59.942999999999998</v>
      </c>
      <c r="N725" s="13">
        <f t="shared" si="67"/>
        <v>0</v>
      </c>
      <c r="O725" s="13">
        <f t="shared" si="68"/>
        <v>0</v>
      </c>
      <c r="P725" s="14">
        <v>219.29730215999999</v>
      </c>
      <c r="Q725" s="8">
        <f t="shared" si="69"/>
        <v>0</v>
      </c>
      <c r="R725" s="8">
        <f t="shared" si="70"/>
        <v>0</v>
      </c>
      <c r="S725" s="15">
        <f t="shared" si="71"/>
        <v>0</v>
      </c>
    </row>
    <row r="726" spans="1:19" x14ac:dyDescent="0.25">
      <c r="A726" s="10" t="s">
        <v>1807</v>
      </c>
      <c r="B726" s="10">
        <v>2284</v>
      </c>
      <c r="C726" s="10">
        <v>86875</v>
      </c>
      <c r="D726" s="10" t="s">
        <v>299</v>
      </c>
      <c r="E726" s="10" t="s">
        <v>1808</v>
      </c>
      <c r="F726" s="10" t="s">
        <v>23</v>
      </c>
      <c r="G726" s="10" t="s">
        <v>13</v>
      </c>
      <c r="H726" s="10" t="s">
        <v>16</v>
      </c>
      <c r="I726" s="11">
        <v>1</v>
      </c>
      <c r="J726" s="11">
        <v>0</v>
      </c>
      <c r="K726" s="11">
        <v>0</v>
      </c>
      <c r="L726" s="6">
        <f t="shared" si="66"/>
        <v>1</v>
      </c>
      <c r="M726" s="12">
        <v>17.062000000000001</v>
      </c>
      <c r="N726" s="13">
        <f t="shared" si="67"/>
        <v>17.062000000000001</v>
      </c>
      <c r="O726" s="13">
        <f t="shared" si="68"/>
        <v>0</v>
      </c>
      <c r="P726" s="14">
        <v>57.951558030000001</v>
      </c>
      <c r="Q726" s="8">
        <f t="shared" si="69"/>
        <v>57.951558030000001</v>
      </c>
      <c r="R726" s="8">
        <f t="shared" si="70"/>
        <v>0</v>
      </c>
      <c r="S726" s="15">
        <f t="shared" si="71"/>
        <v>0</v>
      </c>
    </row>
    <row r="727" spans="1:19" x14ac:dyDescent="0.25">
      <c r="A727" s="10" t="s">
        <v>1809</v>
      </c>
      <c r="B727" s="10">
        <v>2344</v>
      </c>
      <c r="C727" s="10">
        <v>81974</v>
      </c>
      <c r="D727" s="10" t="s">
        <v>325</v>
      </c>
      <c r="E727" s="10" t="s">
        <v>1810</v>
      </c>
      <c r="F727" s="10" t="s">
        <v>23</v>
      </c>
      <c r="G727" s="10" t="s">
        <v>13</v>
      </c>
      <c r="H727" s="10" t="s">
        <v>16</v>
      </c>
      <c r="I727" s="11">
        <v>0</v>
      </c>
      <c r="J727" s="11">
        <v>0</v>
      </c>
      <c r="K727" s="11">
        <v>0</v>
      </c>
      <c r="L727" s="6">
        <f t="shared" si="66"/>
        <v>0</v>
      </c>
      <c r="M727" s="12">
        <v>50.21</v>
      </c>
      <c r="N727" s="13">
        <f t="shared" si="67"/>
        <v>0</v>
      </c>
      <c r="O727" s="13">
        <f t="shared" si="68"/>
        <v>0</v>
      </c>
      <c r="P727" s="14">
        <v>202.02315648999999</v>
      </c>
      <c r="Q727" s="8">
        <f t="shared" si="69"/>
        <v>0</v>
      </c>
      <c r="R727" s="8">
        <f t="shared" si="70"/>
        <v>0</v>
      </c>
      <c r="S727" s="15">
        <f t="shared" si="71"/>
        <v>0</v>
      </c>
    </row>
    <row r="728" spans="1:19" x14ac:dyDescent="0.25">
      <c r="A728" s="10" t="s">
        <v>1811</v>
      </c>
      <c r="B728" s="10">
        <v>2345</v>
      </c>
      <c r="C728" s="10">
        <v>73906</v>
      </c>
      <c r="D728" s="10" t="s">
        <v>330</v>
      </c>
      <c r="E728" s="10" t="s">
        <v>1812</v>
      </c>
      <c r="F728" s="10" t="s">
        <v>23</v>
      </c>
      <c r="G728" s="10" t="s">
        <v>13</v>
      </c>
      <c r="H728" s="10" t="s">
        <v>16</v>
      </c>
      <c r="I728" s="11">
        <v>0</v>
      </c>
      <c r="J728" s="11">
        <v>0</v>
      </c>
      <c r="K728" s="11">
        <v>0</v>
      </c>
      <c r="L728" s="6">
        <f t="shared" si="66"/>
        <v>0</v>
      </c>
      <c r="M728" s="12">
        <v>55.38</v>
      </c>
      <c r="N728" s="13">
        <f t="shared" si="67"/>
        <v>0</v>
      </c>
      <c r="O728" s="13">
        <f t="shared" si="68"/>
        <v>0</v>
      </c>
      <c r="P728" s="14">
        <v>170.89619977999999</v>
      </c>
      <c r="Q728" s="8">
        <f t="shared" si="69"/>
        <v>0</v>
      </c>
      <c r="R728" s="8">
        <f t="shared" si="70"/>
        <v>0</v>
      </c>
      <c r="S728" s="15">
        <f t="shared" si="71"/>
        <v>0</v>
      </c>
    </row>
    <row r="729" spans="1:19" x14ac:dyDescent="0.25">
      <c r="A729" s="10" t="s">
        <v>1813</v>
      </c>
      <c r="B729" s="10">
        <v>2350</v>
      </c>
      <c r="C729" s="10">
        <v>81985</v>
      </c>
      <c r="D729" s="10" t="s">
        <v>343</v>
      </c>
      <c r="E729" s="10" t="s">
        <v>1814</v>
      </c>
      <c r="F729" s="10" t="s">
        <v>23</v>
      </c>
      <c r="G729" s="10" t="s">
        <v>13</v>
      </c>
      <c r="H729" s="10" t="s">
        <v>16</v>
      </c>
      <c r="I729" s="11">
        <v>0</v>
      </c>
      <c r="J729" s="11">
        <v>0</v>
      </c>
      <c r="K729" s="11">
        <v>0</v>
      </c>
      <c r="L729" s="6">
        <f t="shared" si="66"/>
        <v>0</v>
      </c>
      <c r="M729" s="12">
        <v>28.323</v>
      </c>
      <c r="N729" s="13">
        <f t="shared" si="67"/>
        <v>0</v>
      </c>
      <c r="O729" s="13">
        <f t="shared" si="68"/>
        <v>0</v>
      </c>
      <c r="P729" s="14">
        <v>104.64158633</v>
      </c>
      <c r="Q729" s="8">
        <f t="shared" si="69"/>
        <v>0</v>
      </c>
      <c r="R729" s="8">
        <f t="shared" si="70"/>
        <v>0</v>
      </c>
      <c r="S729" s="15">
        <f t="shared" si="71"/>
        <v>0</v>
      </c>
    </row>
    <row r="730" spans="1:19" x14ac:dyDescent="0.25">
      <c r="A730" s="10" t="s">
        <v>1815</v>
      </c>
      <c r="B730" s="10">
        <v>2353</v>
      </c>
      <c r="C730" s="10">
        <v>82936</v>
      </c>
      <c r="D730" s="10" t="s">
        <v>1816</v>
      </c>
      <c r="E730" s="10" t="s">
        <v>1817</v>
      </c>
      <c r="F730" s="10" t="s">
        <v>23</v>
      </c>
      <c r="G730" s="10" t="s">
        <v>13</v>
      </c>
      <c r="H730" s="10" t="s">
        <v>16</v>
      </c>
      <c r="I730" s="11">
        <v>0</v>
      </c>
      <c r="J730" s="11">
        <v>0</v>
      </c>
      <c r="K730" s="11">
        <v>0</v>
      </c>
      <c r="L730" s="6">
        <f t="shared" si="66"/>
        <v>0</v>
      </c>
      <c r="M730" s="12">
        <v>51.674999999999997</v>
      </c>
      <c r="N730" s="13">
        <f t="shared" si="67"/>
        <v>0</v>
      </c>
      <c r="O730" s="13">
        <f t="shared" si="68"/>
        <v>0</v>
      </c>
      <c r="P730" s="14">
        <v>407.4004329</v>
      </c>
      <c r="Q730" s="8">
        <f t="shared" si="69"/>
        <v>0</v>
      </c>
      <c r="R730" s="8">
        <f t="shared" si="70"/>
        <v>0</v>
      </c>
      <c r="S730" s="15">
        <f t="shared" si="71"/>
        <v>0</v>
      </c>
    </row>
    <row r="731" spans="1:19" x14ac:dyDescent="0.25">
      <c r="A731" s="10" t="s">
        <v>1818</v>
      </c>
      <c r="B731" s="10">
        <v>2355</v>
      </c>
      <c r="C731" s="10">
        <v>82939</v>
      </c>
      <c r="D731" s="10" t="s">
        <v>1819</v>
      </c>
      <c r="E731" s="10" t="s">
        <v>1820</v>
      </c>
      <c r="F731" s="10" t="s">
        <v>23</v>
      </c>
      <c r="G731" s="10" t="s">
        <v>13</v>
      </c>
      <c r="H731" s="10" t="s">
        <v>16</v>
      </c>
      <c r="I731" s="11">
        <v>8</v>
      </c>
      <c r="J731" s="11">
        <v>8</v>
      </c>
      <c r="K731" s="11">
        <v>0</v>
      </c>
      <c r="L731" s="6">
        <f t="shared" si="66"/>
        <v>8</v>
      </c>
      <c r="M731" s="12">
        <v>70.394999999999996</v>
      </c>
      <c r="N731" s="13">
        <f t="shared" si="67"/>
        <v>563.16</v>
      </c>
      <c r="O731" s="13">
        <f t="shared" si="68"/>
        <v>0</v>
      </c>
      <c r="P731" s="14">
        <v>254.62209139999999</v>
      </c>
      <c r="Q731" s="8">
        <f t="shared" si="69"/>
        <v>2036.9767311999999</v>
      </c>
      <c r="R731" s="8">
        <f t="shared" si="70"/>
        <v>0</v>
      </c>
      <c r="S731" s="15">
        <f t="shared" si="71"/>
        <v>0</v>
      </c>
    </row>
    <row r="732" spans="1:19" x14ac:dyDescent="0.25">
      <c r="A732" s="10" t="s">
        <v>1821</v>
      </c>
      <c r="B732" s="10">
        <v>2403</v>
      </c>
      <c r="C732" s="10">
        <v>42510</v>
      </c>
      <c r="D732" s="10" t="s">
        <v>371</v>
      </c>
      <c r="E732" s="10" t="s">
        <v>1822</v>
      </c>
      <c r="F732" s="10" t="s">
        <v>23</v>
      </c>
      <c r="G732" s="10" t="s">
        <v>13</v>
      </c>
      <c r="H732" s="10" t="s">
        <v>16</v>
      </c>
      <c r="I732" s="11">
        <v>0</v>
      </c>
      <c r="J732" s="11">
        <v>0</v>
      </c>
      <c r="K732" s="11">
        <v>0</v>
      </c>
      <c r="L732" s="6">
        <f t="shared" si="66"/>
        <v>0</v>
      </c>
      <c r="M732" s="12">
        <v>58.968000000000004</v>
      </c>
      <c r="N732" s="13">
        <f t="shared" si="67"/>
        <v>0</v>
      </c>
      <c r="O732" s="13">
        <f t="shared" si="68"/>
        <v>0</v>
      </c>
      <c r="P732" s="14">
        <v>286.47578456000002</v>
      </c>
      <c r="Q732" s="8">
        <f t="shared" si="69"/>
        <v>0</v>
      </c>
      <c r="R732" s="8">
        <f t="shared" si="70"/>
        <v>0</v>
      </c>
      <c r="S732" s="15">
        <f t="shared" si="71"/>
        <v>0</v>
      </c>
    </row>
    <row r="733" spans="1:19" x14ac:dyDescent="0.25">
      <c r="A733" s="10" t="s">
        <v>1823</v>
      </c>
      <c r="B733" s="10">
        <v>2408</v>
      </c>
      <c r="C733" s="10">
        <v>45892</v>
      </c>
      <c r="D733" s="10" t="s">
        <v>383</v>
      </c>
      <c r="E733" s="10" t="s">
        <v>1824</v>
      </c>
      <c r="F733" s="10" t="s">
        <v>23</v>
      </c>
      <c r="G733" s="10" t="s">
        <v>13</v>
      </c>
      <c r="H733" s="10" t="s">
        <v>16</v>
      </c>
      <c r="I733" s="11">
        <v>0</v>
      </c>
      <c r="J733" s="11">
        <v>0</v>
      </c>
      <c r="K733" s="11">
        <v>0</v>
      </c>
      <c r="L733" s="6">
        <f t="shared" si="66"/>
        <v>0</v>
      </c>
      <c r="M733" s="12">
        <v>56.55</v>
      </c>
      <c r="N733" s="13">
        <f t="shared" si="67"/>
        <v>0</v>
      </c>
      <c r="O733" s="13">
        <f t="shared" si="68"/>
        <v>0</v>
      </c>
      <c r="P733" s="14">
        <v>186.32802090999999</v>
      </c>
      <c r="Q733" s="8">
        <f t="shared" si="69"/>
        <v>0</v>
      </c>
      <c r="R733" s="8">
        <f t="shared" si="70"/>
        <v>0</v>
      </c>
      <c r="S733" s="15">
        <f t="shared" si="71"/>
        <v>0</v>
      </c>
    </row>
    <row r="734" spans="1:19" x14ac:dyDescent="0.25">
      <c r="A734" s="10" t="s">
        <v>1825</v>
      </c>
      <c r="B734" s="10">
        <v>2409</v>
      </c>
      <c r="C734" s="10">
        <v>45893</v>
      </c>
      <c r="D734" s="10" t="s">
        <v>386</v>
      </c>
      <c r="E734" s="10" t="s">
        <v>1826</v>
      </c>
      <c r="F734" s="10" t="s">
        <v>23</v>
      </c>
      <c r="G734" s="10" t="s">
        <v>13</v>
      </c>
      <c r="H734" s="10" t="s">
        <v>16</v>
      </c>
      <c r="I734" s="11">
        <v>0</v>
      </c>
      <c r="J734" s="11">
        <v>0</v>
      </c>
      <c r="K734" s="11">
        <v>0</v>
      </c>
      <c r="L734" s="6">
        <f t="shared" si="66"/>
        <v>0</v>
      </c>
      <c r="M734" s="12">
        <v>57.036999999999999</v>
      </c>
      <c r="N734" s="13">
        <f t="shared" si="67"/>
        <v>0</v>
      </c>
      <c r="O734" s="13">
        <f t="shared" si="68"/>
        <v>0</v>
      </c>
      <c r="P734" s="14">
        <v>189.86377970999999</v>
      </c>
      <c r="Q734" s="8">
        <f t="shared" si="69"/>
        <v>0</v>
      </c>
      <c r="R734" s="8">
        <f t="shared" si="70"/>
        <v>0</v>
      </c>
      <c r="S734" s="15">
        <f t="shared" si="71"/>
        <v>0</v>
      </c>
    </row>
    <row r="735" spans="1:19" x14ac:dyDescent="0.25">
      <c r="A735" s="10" t="s">
        <v>1827</v>
      </c>
      <c r="B735" s="10">
        <v>72567</v>
      </c>
      <c r="C735" s="10">
        <v>88120</v>
      </c>
      <c r="D735" s="10" t="s">
        <v>403</v>
      </c>
      <c r="E735" s="10" t="s">
        <v>1828</v>
      </c>
      <c r="F735" s="10" t="s">
        <v>23</v>
      </c>
      <c r="G735" s="10" t="s">
        <v>13</v>
      </c>
      <c r="H735" s="10" t="s">
        <v>16</v>
      </c>
      <c r="I735" s="11">
        <v>0</v>
      </c>
      <c r="J735" s="11">
        <v>0</v>
      </c>
      <c r="K735" s="11">
        <v>0</v>
      </c>
      <c r="L735" s="6">
        <f t="shared" si="66"/>
        <v>0</v>
      </c>
      <c r="M735" s="12">
        <v>32.659999999999997</v>
      </c>
      <c r="N735" s="13">
        <f t="shared" si="67"/>
        <v>0</v>
      </c>
      <c r="O735" s="13">
        <f t="shared" si="68"/>
        <v>0</v>
      </c>
      <c r="P735" s="14">
        <v>142.05583966</v>
      </c>
      <c r="Q735" s="8">
        <f t="shared" si="69"/>
        <v>0</v>
      </c>
      <c r="R735" s="8">
        <f t="shared" si="70"/>
        <v>0</v>
      </c>
      <c r="S735" s="15">
        <f t="shared" si="71"/>
        <v>0</v>
      </c>
    </row>
    <row r="736" spans="1:19" x14ac:dyDescent="0.25">
      <c r="A736" s="10" t="s">
        <v>1829</v>
      </c>
      <c r="B736" s="10">
        <v>72645</v>
      </c>
      <c r="C736" s="10">
        <v>87845</v>
      </c>
      <c r="D736" s="10" t="s">
        <v>442</v>
      </c>
      <c r="E736" s="10" t="s">
        <v>1830</v>
      </c>
      <c r="F736" s="10" t="s">
        <v>23</v>
      </c>
      <c r="G736" s="10" t="s">
        <v>13</v>
      </c>
      <c r="H736" s="10" t="s">
        <v>16</v>
      </c>
      <c r="I736" s="11">
        <v>0</v>
      </c>
      <c r="J736" s="11">
        <v>0</v>
      </c>
      <c r="K736" s="11">
        <v>0</v>
      </c>
      <c r="L736" s="6">
        <f t="shared" si="66"/>
        <v>0</v>
      </c>
      <c r="M736" s="12">
        <v>45.805</v>
      </c>
      <c r="N736" s="13">
        <f t="shared" si="67"/>
        <v>0</v>
      </c>
      <c r="O736" s="13">
        <f t="shared" si="68"/>
        <v>0</v>
      </c>
      <c r="P736" s="14">
        <v>136.17029693000001</v>
      </c>
      <c r="Q736" s="8">
        <f t="shared" si="69"/>
        <v>0</v>
      </c>
      <c r="R736" s="8">
        <f t="shared" si="70"/>
        <v>0</v>
      </c>
      <c r="S736" s="15">
        <f t="shared" si="71"/>
        <v>0</v>
      </c>
    </row>
    <row r="737" spans="1:19" x14ac:dyDescent="0.25">
      <c r="A737" s="10" t="s">
        <v>1831</v>
      </c>
      <c r="B737" s="10">
        <v>72661</v>
      </c>
      <c r="C737" s="10">
        <v>87914</v>
      </c>
      <c r="D737" s="10" t="s">
        <v>450</v>
      </c>
      <c r="E737" s="10" t="s">
        <v>1832</v>
      </c>
      <c r="F737" s="10" t="s">
        <v>23</v>
      </c>
      <c r="G737" s="10" t="s">
        <v>13</v>
      </c>
      <c r="H737" s="10" t="s">
        <v>16</v>
      </c>
      <c r="I737" s="11">
        <v>698</v>
      </c>
      <c r="J737" s="11">
        <v>713</v>
      </c>
      <c r="K737" s="11">
        <v>112</v>
      </c>
      <c r="L737" s="6">
        <f t="shared" si="66"/>
        <v>586</v>
      </c>
      <c r="M737" s="12">
        <v>19.986999999999998</v>
      </c>
      <c r="N737" s="13">
        <f t="shared" si="67"/>
        <v>13950.925999999999</v>
      </c>
      <c r="O737" s="13">
        <f t="shared" si="68"/>
        <v>2238.5439999999999</v>
      </c>
      <c r="P737" s="14">
        <v>164.40112106000001</v>
      </c>
      <c r="Q737" s="8">
        <f t="shared" si="69"/>
        <v>114751.98249988</v>
      </c>
      <c r="R737" s="8">
        <f t="shared" si="70"/>
        <v>18412.925558720002</v>
      </c>
      <c r="S737" s="15">
        <f t="shared" si="71"/>
        <v>0.16045845272206305</v>
      </c>
    </row>
    <row r="738" spans="1:19" x14ac:dyDescent="0.25">
      <c r="A738" s="10" t="s">
        <v>1833</v>
      </c>
      <c r="B738" s="10">
        <v>72663</v>
      </c>
      <c r="C738" s="10">
        <v>87849</v>
      </c>
      <c r="D738" s="10" t="s">
        <v>456</v>
      </c>
      <c r="E738" s="10" t="s">
        <v>1834</v>
      </c>
      <c r="F738" s="10" t="s">
        <v>23</v>
      </c>
      <c r="G738" s="10" t="s">
        <v>13</v>
      </c>
      <c r="H738" s="10" t="s">
        <v>16</v>
      </c>
      <c r="I738" s="11">
        <v>56</v>
      </c>
      <c r="J738" s="11">
        <v>58</v>
      </c>
      <c r="K738" s="11">
        <v>0</v>
      </c>
      <c r="L738" s="6">
        <f t="shared" si="66"/>
        <v>56</v>
      </c>
      <c r="M738" s="12">
        <v>39.468000000000004</v>
      </c>
      <c r="N738" s="13">
        <f t="shared" si="67"/>
        <v>2210.2080000000001</v>
      </c>
      <c r="O738" s="13">
        <f t="shared" si="68"/>
        <v>0</v>
      </c>
      <c r="P738" s="14">
        <v>160.64536629</v>
      </c>
      <c r="Q738" s="8">
        <f t="shared" si="69"/>
        <v>8996.1405122399992</v>
      </c>
      <c r="R738" s="8">
        <f t="shared" si="70"/>
        <v>0</v>
      </c>
      <c r="S738" s="15">
        <f t="shared" si="71"/>
        <v>0</v>
      </c>
    </row>
    <row r="739" spans="1:19" x14ac:dyDescent="0.25">
      <c r="A739" s="10" t="s">
        <v>1835</v>
      </c>
      <c r="B739" s="10">
        <v>72761</v>
      </c>
      <c r="C739" s="10">
        <v>75047</v>
      </c>
      <c r="D739" s="10" t="s">
        <v>471</v>
      </c>
      <c r="E739" s="10" t="s">
        <v>1836</v>
      </c>
      <c r="F739" s="10" t="s">
        <v>23</v>
      </c>
      <c r="G739" s="10" t="s">
        <v>13</v>
      </c>
      <c r="H739" s="10" t="s">
        <v>16</v>
      </c>
      <c r="I739" s="11">
        <v>61</v>
      </c>
      <c r="J739" s="11">
        <v>25</v>
      </c>
      <c r="K739" s="11">
        <v>0</v>
      </c>
      <c r="L739" s="6">
        <f t="shared" si="66"/>
        <v>61</v>
      </c>
      <c r="M739" s="12">
        <v>9.4570000000000007</v>
      </c>
      <c r="N739" s="13">
        <f t="shared" si="67"/>
        <v>576.87700000000007</v>
      </c>
      <c r="O739" s="13">
        <f t="shared" si="68"/>
        <v>0</v>
      </c>
      <c r="P739" s="14">
        <v>35.729720739999998</v>
      </c>
      <c r="Q739" s="8">
        <f t="shared" si="69"/>
        <v>2179.5129651399998</v>
      </c>
      <c r="R739" s="8">
        <f t="shared" si="70"/>
        <v>0</v>
      </c>
      <c r="S739" s="15">
        <f t="shared" si="71"/>
        <v>0</v>
      </c>
    </row>
    <row r="740" spans="1:19" x14ac:dyDescent="0.25">
      <c r="A740" s="10" t="s">
        <v>1837</v>
      </c>
      <c r="B740" s="10">
        <v>72764</v>
      </c>
      <c r="C740" s="10">
        <v>87846</v>
      </c>
      <c r="D740" s="10" t="s">
        <v>474</v>
      </c>
      <c r="E740" s="10" t="s">
        <v>1838</v>
      </c>
      <c r="F740" s="10" t="s">
        <v>23</v>
      </c>
      <c r="G740" s="10" t="s">
        <v>13</v>
      </c>
      <c r="H740" s="10" t="s">
        <v>16</v>
      </c>
      <c r="I740" s="11">
        <v>0</v>
      </c>
      <c r="J740" s="11">
        <v>0</v>
      </c>
      <c r="K740" s="11">
        <v>0</v>
      </c>
      <c r="L740" s="6">
        <f t="shared" si="66"/>
        <v>0</v>
      </c>
      <c r="M740" s="12">
        <v>8.9700000000000006</v>
      </c>
      <c r="N740" s="13">
        <f t="shared" si="67"/>
        <v>0</v>
      </c>
      <c r="O740" s="13">
        <f t="shared" si="68"/>
        <v>0</v>
      </c>
      <c r="P740" s="14">
        <v>86.523961940000007</v>
      </c>
      <c r="Q740" s="8">
        <f t="shared" si="69"/>
        <v>0</v>
      </c>
      <c r="R740" s="8">
        <f t="shared" si="70"/>
        <v>0</v>
      </c>
      <c r="S740" s="15">
        <f t="shared" si="71"/>
        <v>0</v>
      </c>
    </row>
    <row r="741" spans="1:19" x14ac:dyDescent="0.25">
      <c r="A741" s="10" t="s">
        <v>1839</v>
      </c>
      <c r="B741" s="10">
        <v>72765</v>
      </c>
      <c r="C741" s="10">
        <v>87850</v>
      </c>
      <c r="D741" s="10" t="s">
        <v>477</v>
      </c>
      <c r="E741" s="10" t="s">
        <v>1840</v>
      </c>
      <c r="F741" s="10" t="s">
        <v>23</v>
      </c>
      <c r="G741" s="10" t="s">
        <v>13</v>
      </c>
      <c r="H741" s="10" t="s">
        <v>16</v>
      </c>
      <c r="I741" s="11">
        <v>0</v>
      </c>
      <c r="J741" s="11">
        <v>0</v>
      </c>
      <c r="K741" s="11">
        <v>0</v>
      </c>
      <c r="L741" s="6">
        <f t="shared" si="66"/>
        <v>0</v>
      </c>
      <c r="M741" s="12">
        <v>26.637</v>
      </c>
      <c r="N741" s="13">
        <f t="shared" si="67"/>
        <v>0</v>
      </c>
      <c r="O741" s="13">
        <f t="shared" si="68"/>
        <v>0</v>
      </c>
      <c r="P741" s="14">
        <v>153.47746088</v>
      </c>
      <c r="Q741" s="8">
        <f t="shared" si="69"/>
        <v>0</v>
      </c>
      <c r="R741" s="8">
        <f t="shared" si="70"/>
        <v>0</v>
      </c>
      <c r="S741" s="15">
        <f t="shared" si="71"/>
        <v>0</v>
      </c>
    </row>
    <row r="742" spans="1:19" x14ac:dyDescent="0.25">
      <c r="A742" s="10" t="s">
        <v>1841</v>
      </c>
      <c r="B742" s="10">
        <v>72777</v>
      </c>
      <c r="C742" s="10">
        <v>87556</v>
      </c>
      <c r="D742" s="10" t="s">
        <v>480</v>
      </c>
      <c r="E742" s="10" t="s">
        <v>1842</v>
      </c>
      <c r="F742" s="10" t="s">
        <v>23</v>
      </c>
      <c r="G742" s="10" t="s">
        <v>13</v>
      </c>
      <c r="H742" s="10" t="s">
        <v>16</v>
      </c>
      <c r="I742" s="11">
        <v>0</v>
      </c>
      <c r="J742" s="11">
        <v>0</v>
      </c>
      <c r="K742" s="11">
        <v>0</v>
      </c>
      <c r="L742" s="6">
        <f t="shared" si="66"/>
        <v>0</v>
      </c>
      <c r="M742" s="12">
        <v>39</v>
      </c>
      <c r="N742" s="13">
        <f t="shared" si="67"/>
        <v>0</v>
      </c>
      <c r="O742" s="13">
        <f t="shared" si="68"/>
        <v>0</v>
      </c>
      <c r="P742" s="14">
        <v>142.24070406999999</v>
      </c>
      <c r="Q742" s="8">
        <f t="shared" si="69"/>
        <v>0</v>
      </c>
      <c r="R742" s="8">
        <f t="shared" si="70"/>
        <v>0</v>
      </c>
      <c r="S742" s="15">
        <f t="shared" si="71"/>
        <v>0</v>
      </c>
    </row>
    <row r="743" spans="1:19" x14ac:dyDescent="0.25">
      <c r="A743" s="10" t="s">
        <v>1843</v>
      </c>
      <c r="B743" s="10">
        <v>73026</v>
      </c>
      <c r="C743" s="10">
        <v>5102</v>
      </c>
      <c r="D743" s="10" t="s">
        <v>504</v>
      </c>
      <c r="E743" s="10" t="s">
        <v>1844</v>
      </c>
      <c r="F743" s="10" t="s">
        <v>20</v>
      </c>
      <c r="G743" s="10" t="s">
        <v>13</v>
      </c>
      <c r="H743" s="10" t="s">
        <v>16</v>
      </c>
      <c r="I743" s="11">
        <v>16</v>
      </c>
      <c r="J743" s="11">
        <v>16</v>
      </c>
      <c r="K743" s="11">
        <v>3</v>
      </c>
      <c r="L743" s="6">
        <f t="shared" si="66"/>
        <v>13</v>
      </c>
      <c r="M743" s="12">
        <v>0.39</v>
      </c>
      <c r="N743" s="13">
        <f t="shared" si="67"/>
        <v>6.24</v>
      </c>
      <c r="O743" s="13">
        <f t="shared" si="68"/>
        <v>1.17</v>
      </c>
      <c r="P743" s="14">
        <v>3.67943351</v>
      </c>
      <c r="Q743" s="8">
        <f t="shared" si="69"/>
        <v>58.870936159999999</v>
      </c>
      <c r="R743" s="8">
        <f t="shared" si="70"/>
        <v>11.038300530000001</v>
      </c>
      <c r="S743" s="15">
        <f t="shared" si="71"/>
        <v>0.1875</v>
      </c>
    </row>
    <row r="744" spans="1:19" x14ac:dyDescent="0.25">
      <c r="A744" s="10" t="s">
        <v>1845</v>
      </c>
      <c r="B744" s="10">
        <v>74610</v>
      </c>
      <c r="C744" s="10">
        <v>80748</v>
      </c>
      <c r="D744" s="10" t="s">
        <v>984</v>
      </c>
      <c r="E744" s="10" t="s">
        <v>1846</v>
      </c>
      <c r="F744" s="10" t="s">
        <v>23</v>
      </c>
      <c r="G744" s="10" t="s">
        <v>13</v>
      </c>
      <c r="H744" s="10" t="s">
        <v>16</v>
      </c>
      <c r="I744" s="11">
        <v>0</v>
      </c>
      <c r="J744" s="11">
        <v>0</v>
      </c>
      <c r="K744" s="11">
        <v>0</v>
      </c>
      <c r="L744" s="6">
        <f t="shared" si="66"/>
        <v>0</v>
      </c>
      <c r="M744" s="12">
        <v>43.68</v>
      </c>
      <c r="N744" s="13">
        <f t="shared" si="67"/>
        <v>0</v>
      </c>
      <c r="O744" s="13">
        <f t="shared" si="68"/>
        <v>0</v>
      </c>
      <c r="P744" s="14">
        <v>133.55798856000001</v>
      </c>
      <c r="Q744" s="8">
        <f t="shared" si="69"/>
        <v>0</v>
      </c>
      <c r="R744" s="8">
        <f t="shared" si="70"/>
        <v>0</v>
      </c>
      <c r="S744" s="15">
        <f t="shared" si="71"/>
        <v>0</v>
      </c>
    </row>
    <row r="745" spans="1:19" x14ac:dyDescent="0.25">
      <c r="A745" s="10" t="s">
        <v>1847</v>
      </c>
      <c r="B745" s="10">
        <v>74613</v>
      </c>
      <c r="C745" s="10">
        <v>80749</v>
      </c>
      <c r="D745" s="10" t="s">
        <v>987</v>
      </c>
      <c r="E745" s="10" t="s">
        <v>1848</v>
      </c>
      <c r="F745" s="10" t="s">
        <v>23</v>
      </c>
      <c r="G745" s="10" t="s">
        <v>13</v>
      </c>
      <c r="H745" s="10" t="s">
        <v>16</v>
      </c>
      <c r="I745" s="11">
        <v>0</v>
      </c>
      <c r="J745" s="11">
        <v>0</v>
      </c>
      <c r="K745" s="11">
        <v>0</v>
      </c>
      <c r="L745" s="6">
        <f t="shared" si="66"/>
        <v>0</v>
      </c>
      <c r="M745" s="12">
        <v>32.661999999999999</v>
      </c>
      <c r="N745" s="13">
        <f t="shared" si="67"/>
        <v>0</v>
      </c>
      <c r="O745" s="13">
        <f t="shared" si="68"/>
        <v>0</v>
      </c>
      <c r="P745" s="14">
        <v>108.56583965999999</v>
      </c>
      <c r="Q745" s="8">
        <f t="shared" si="69"/>
        <v>0</v>
      </c>
      <c r="R745" s="8">
        <f t="shared" si="70"/>
        <v>0</v>
      </c>
      <c r="S745" s="15">
        <f t="shared" si="71"/>
        <v>0</v>
      </c>
    </row>
    <row r="746" spans="1:19" x14ac:dyDescent="0.25">
      <c r="A746" s="10" t="s">
        <v>1849</v>
      </c>
      <c r="B746" s="10">
        <v>74614</v>
      </c>
      <c r="C746" s="10">
        <v>80751</v>
      </c>
      <c r="D746" s="10" t="s">
        <v>992</v>
      </c>
      <c r="E746" s="10" t="s">
        <v>1850</v>
      </c>
      <c r="F746" s="10" t="s">
        <v>23</v>
      </c>
      <c r="G746" s="10" t="s">
        <v>13</v>
      </c>
      <c r="H746" s="10" t="s">
        <v>16</v>
      </c>
      <c r="I746" s="11">
        <v>0</v>
      </c>
      <c r="J746" s="11">
        <v>0</v>
      </c>
      <c r="K746" s="11">
        <v>0</v>
      </c>
      <c r="L746" s="6">
        <f t="shared" si="66"/>
        <v>0</v>
      </c>
      <c r="M746" s="12">
        <v>36.317999999999998</v>
      </c>
      <c r="N746" s="13">
        <f t="shared" si="67"/>
        <v>0</v>
      </c>
      <c r="O746" s="13">
        <f t="shared" si="68"/>
        <v>0</v>
      </c>
      <c r="P746" s="14">
        <v>102.19403067</v>
      </c>
      <c r="Q746" s="8">
        <f t="shared" si="69"/>
        <v>0</v>
      </c>
      <c r="R746" s="8">
        <f t="shared" si="70"/>
        <v>0</v>
      </c>
      <c r="S746" s="15">
        <f t="shared" si="71"/>
        <v>0</v>
      </c>
    </row>
    <row r="747" spans="1:19" x14ac:dyDescent="0.25">
      <c r="A747" s="10" t="s">
        <v>1851</v>
      </c>
      <c r="B747" s="10">
        <v>74668</v>
      </c>
      <c r="C747" s="10">
        <v>80654</v>
      </c>
      <c r="D747" s="10" t="s">
        <v>1852</v>
      </c>
      <c r="E747" s="10" t="s">
        <v>1853</v>
      </c>
      <c r="F747" s="10" t="s">
        <v>23</v>
      </c>
      <c r="G747" s="10" t="s">
        <v>13</v>
      </c>
      <c r="H747" s="10" t="s">
        <v>16</v>
      </c>
      <c r="I747" s="11">
        <v>0</v>
      </c>
      <c r="J747" s="11">
        <v>0</v>
      </c>
      <c r="K747" s="11">
        <v>0</v>
      </c>
      <c r="L747" s="6">
        <f t="shared" si="66"/>
        <v>0</v>
      </c>
      <c r="M747" s="12">
        <v>28.274999999999999</v>
      </c>
      <c r="N747" s="13">
        <f t="shared" si="67"/>
        <v>0</v>
      </c>
      <c r="O747" s="13">
        <f t="shared" si="68"/>
        <v>0</v>
      </c>
      <c r="P747" s="14">
        <v>97.554010450000007</v>
      </c>
      <c r="Q747" s="8">
        <f t="shared" si="69"/>
        <v>0</v>
      </c>
      <c r="R747" s="8">
        <f t="shared" si="70"/>
        <v>0</v>
      </c>
      <c r="S747" s="15">
        <f t="shared" si="71"/>
        <v>0</v>
      </c>
    </row>
    <row r="748" spans="1:19" x14ac:dyDescent="0.25">
      <c r="A748" s="10" t="s">
        <v>1854</v>
      </c>
      <c r="B748" s="10">
        <v>74669</v>
      </c>
      <c r="C748" s="10">
        <v>80655</v>
      </c>
      <c r="D748" s="10" t="s">
        <v>1855</v>
      </c>
      <c r="E748" s="10" t="s">
        <v>1856</v>
      </c>
      <c r="F748" s="10" t="s">
        <v>23</v>
      </c>
      <c r="G748" s="10" t="s">
        <v>13</v>
      </c>
      <c r="H748" s="10" t="s">
        <v>16</v>
      </c>
      <c r="I748" s="11">
        <v>0</v>
      </c>
      <c r="J748" s="11">
        <v>0</v>
      </c>
      <c r="K748" s="11">
        <v>0</v>
      </c>
      <c r="L748" s="6">
        <f t="shared" si="66"/>
        <v>0</v>
      </c>
      <c r="M748" s="12">
        <v>47.335999999999999</v>
      </c>
      <c r="N748" s="13">
        <f t="shared" si="67"/>
        <v>0</v>
      </c>
      <c r="O748" s="13">
        <f t="shared" si="68"/>
        <v>0</v>
      </c>
      <c r="P748" s="14">
        <v>154.65617957000001</v>
      </c>
      <c r="Q748" s="8">
        <f t="shared" si="69"/>
        <v>0</v>
      </c>
      <c r="R748" s="8">
        <f t="shared" si="70"/>
        <v>0</v>
      </c>
      <c r="S748" s="15">
        <f t="shared" si="71"/>
        <v>0</v>
      </c>
    </row>
    <row r="749" spans="1:19" x14ac:dyDescent="0.25">
      <c r="A749" s="10" t="s">
        <v>1857</v>
      </c>
      <c r="B749" s="10">
        <v>74670</v>
      </c>
      <c r="C749" s="10">
        <v>80734</v>
      </c>
      <c r="D749" s="10" t="s">
        <v>1007</v>
      </c>
      <c r="E749" s="10" t="s">
        <v>1858</v>
      </c>
      <c r="F749" s="10" t="s">
        <v>23</v>
      </c>
      <c r="G749" s="10" t="s">
        <v>13</v>
      </c>
      <c r="H749" s="10" t="s">
        <v>16</v>
      </c>
      <c r="I749" s="11">
        <v>0</v>
      </c>
      <c r="J749" s="11">
        <v>0</v>
      </c>
      <c r="K749" s="11">
        <v>0</v>
      </c>
      <c r="L749" s="6">
        <f t="shared" si="66"/>
        <v>0</v>
      </c>
      <c r="M749" s="12">
        <v>38.805</v>
      </c>
      <c r="N749" s="13">
        <f t="shared" si="67"/>
        <v>0</v>
      </c>
      <c r="O749" s="13">
        <f t="shared" si="68"/>
        <v>0</v>
      </c>
      <c r="P749" s="14">
        <v>120.87040055</v>
      </c>
      <c r="Q749" s="8">
        <f t="shared" si="69"/>
        <v>0</v>
      </c>
      <c r="R749" s="8">
        <f t="shared" si="70"/>
        <v>0</v>
      </c>
      <c r="S749" s="15">
        <f t="shared" si="71"/>
        <v>0</v>
      </c>
    </row>
    <row r="750" spans="1:19" x14ac:dyDescent="0.25">
      <c r="A750" s="10" t="s">
        <v>1859</v>
      </c>
      <c r="B750" s="10">
        <v>74671</v>
      </c>
      <c r="C750" s="10">
        <v>80735</v>
      </c>
      <c r="D750" s="10" t="s">
        <v>1012</v>
      </c>
      <c r="E750" s="10" t="s">
        <v>1860</v>
      </c>
      <c r="F750" s="10" t="s">
        <v>23</v>
      </c>
      <c r="G750" s="10" t="s">
        <v>13</v>
      </c>
      <c r="H750" s="10" t="s">
        <v>16</v>
      </c>
      <c r="I750" s="11">
        <v>0</v>
      </c>
      <c r="J750" s="11">
        <v>0</v>
      </c>
      <c r="K750" s="11">
        <v>0</v>
      </c>
      <c r="L750" s="6">
        <f t="shared" si="66"/>
        <v>0</v>
      </c>
      <c r="M750" s="12">
        <v>42.606999999999999</v>
      </c>
      <c r="N750" s="13">
        <f t="shared" si="67"/>
        <v>0</v>
      </c>
      <c r="O750" s="13">
        <f t="shared" si="68"/>
        <v>0</v>
      </c>
      <c r="P750" s="14">
        <v>148.10131920000001</v>
      </c>
      <c r="Q750" s="8">
        <f t="shared" si="69"/>
        <v>0</v>
      </c>
      <c r="R750" s="8">
        <f t="shared" si="70"/>
        <v>0</v>
      </c>
      <c r="S750" s="15">
        <f t="shared" si="71"/>
        <v>0</v>
      </c>
    </row>
    <row r="751" spans="1:19" x14ac:dyDescent="0.25">
      <c r="A751" s="10" t="s">
        <v>1861</v>
      </c>
      <c r="B751" s="10">
        <v>75841</v>
      </c>
      <c r="C751" s="10">
        <v>91882</v>
      </c>
      <c r="D751" s="10" t="s">
        <v>1637</v>
      </c>
      <c r="E751" s="10" t="s">
        <v>1862</v>
      </c>
      <c r="F751" s="10" t="s">
        <v>23</v>
      </c>
      <c r="G751" s="10" t="s">
        <v>13</v>
      </c>
      <c r="H751" s="10" t="s">
        <v>16</v>
      </c>
      <c r="I751" s="11">
        <v>0</v>
      </c>
      <c r="J751" s="11">
        <v>0</v>
      </c>
      <c r="K751" s="11">
        <v>0</v>
      </c>
      <c r="L751" s="6">
        <f t="shared" si="66"/>
        <v>0</v>
      </c>
      <c r="M751" s="12">
        <v>55.671999999999997</v>
      </c>
      <c r="N751" s="13">
        <f t="shared" si="67"/>
        <v>0</v>
      </c>
      <c r="O751" s="13">
        <f t="shared" si="68"/>
        <v>0</v>
      </c>
      <c r="P751" s="14">
        <v>272.79165505999998</v>
      </c>
      <c r="Q751" s="8">
        <f t="shared" si="69"/>
        <v>0</v>
      </c>
      <c r="R751" s="8">
        <f t="shared" si="70"/>
        <v>0</v>
      </c>
      <c r="S751" s="15">
        <f t="shared" si="71"/>
        <v>0</v>
      </c>
    </row>
    <row r="752" spans="1:19" x14ac:dyDescent="0.25">
      <c r="A752" s="10" t="s">
        <v>1863</v>
      </c>
      <c r="B752" s="10">
        <v>77197</v>
      </c>
      <c r="C752" s="10">
        <v>91522</v>
      </c>
      <c r="D752" s="10" t="s">
        <v>1740</v>
      </c>
      <c r="E752" s="10" t="s">
        <v>1864</v>
      </c>
      <c r="F752" s="10" t="s">
        <v>23</v>
      </c>
      <c r="G752" s="10" t="s">
        <v>13</v>
      </c>
      <c r="H752" s="10" t="s">
        <v>16</v>
      </c>
      <c r="I752" s="11">
        <v>0</v>
      </c>
      <c r="J752" s="11">
        <v>0</v>
      </c>
      <c r="K752" s="11">
        <v>0</v>
      </c>
      <c r="L752" s="6">
        <f t="shared" si="66"/>
        <v>0</v>
      </c>
      <c r="M752" s="12">
        <v>28.27</v>
      </c>
      <c r="N752" s="13">
        <f t="shared" si="67"/>
        <v>0</v>
      </c>
      <c r="O752" s="13">
        <f t="shared" si="68"/>
        <v>0</v>
      </c>
      <c r="P752" s="14">
        <v>154.05401044999999</v>
      </c>
      <c r="Q752" s="8">
        <f t="shared" si="69"/>
        <v>0</v>
      </c>
      <c r="R752" s="8">
        <f t="shared" si="70"/>
        <v>0</v>
      </c>
      <c r="S752" s="15">
        <f t="shared" si="71"/>
        <v>0</v>
      </c>
    </row>
    <row r="753" spans="1:19" x14ac:dyDescent="0.25">
      <c r="A753" s="10" t="s">
        <v>1865</v>
      </c>
      <c r="B753" s="10">
        <v>81844</v>
      </c>
      <c r="C753" s="10">
        <v>93641</v>
      </c>
      <c r="D753" s="10" t="s">
        <v>1048</v>
      </c>
      <c r="E753" s="10" t="s">
        <v>1866</v>
      </c>
      <c r="F753" s="10" t="s">
        <v>23</v>
      </c>
      <c r="G753" s="10" t="s">
        <v>13</v>
      </c>
      <c r="H753" s="10" t="s">
        <v>16</v>
      </c>
      <c r="I753" s="11">
        <v>0</v>
      </c>
      <c r="J753" s="11">
        <v>0</v>
      </c>
      <c r="K753" s="11">
        <v>0</v>
      </c>
      <c r="L753" s="6">
        <f t="shared" si="66"/>
        <v>0</v>
      </c>
      <c r="M753" s="12">
        <v>47.024000000000001</v>
      </c>
      <c r="N753" s="13">
        <f t="shared" si="67"/>
        <v>0</v>
      </c>
      <c r="O753" s="13">
        <f t="shared" si="68"/>
        <v>0</v>
      </c>
      <c r="P753" s="14">
        <v>148.36969393999999</v>
      </c>
      <c r="Q753" s="8">
        <f t="shared" si="69"/>
        <v>0</v>
      </c>
      <c r="R753" s="8">
        <f t="shared" si="70"/>
        <v>0</v>
      </c>
      <c r="S753" s="15">
        <f t="shared" si="71"/>
        <v>0</v>
      </c>
    </row>
    <row r="754" spans="1:19" x14ac:dyDescent="0.25">
      <c r="A754" s="10" t="s">
        <v>1867</v>
      </c>
      <c r="B754" s="10">
        <v>84498</v>
      </c>
      <c r="C754" s="10">
        <v>96469</v>
      </c>
      <c r="D754" s="10" t="s">
        <v>1111</v>
      </c>
      <c r="E754" s="10" t="s">
        <v>1868</v>
      </c>
      <c r="F754" s="10" t="s">
        <v>23</v>
      </c>
      <c r="G754" s="10" t="s">
        <v>13</v>
      </c>
      <c r="H754" s="10" t="s">
        <v>16</v>
      </c>
      <c r="I754" s="11">
        <v>0</v>
      </c>
      <c r="J754" s="11">
        <v>0</v>
      </c>
      <c r="K754" s="11">
        <v>0</v>
      </c>
      <c r="L754" s="6">
        <f t="shared" si="66"/>
        <v>0</v>
      </c>
      <c r="M754" s="12">
        <v>45.22</v>
      </c>
      <c r="N754" s="13">
        <f t="shared" si="67"/>
        <v>0</v>
      </c>
      <c r="O754" s="13">
        <f t="shared" si="68"/>
        <v>0</v>
      </c>
      <c r="P754" s="14">
        <v>219.17938637</v>
      </c>
      <c r="Q754" s="8">
        <f t="shared" si="69"/>
        <v>0</v>
      </c>
      <c r="R754" s="8">
        <f t="shared" si="70"/>
        <v>0</v>
      </c>
      <c r="S754" s="15">
        <f t="shared" si="71"/>
        <v>0</v>
      </c>
    </row>
    <row r="755" spans="1:19" x14ac:dyDescent="0.25">
      <c r="A755" s="10" t="s">
        <v>1869</v>
      </c>
      <c r="B755" s="10">
        <v>84537</v>
      </c>
      <c r="C755" s="10">
        <v>96471</v>
      </c>
      <c r="D755" s="10" t="s">
        <v>1114</v>
      </c>
      <c r="E755" s="10" t="s">
        <v>1870</v>
      </c>
      <c r="F755" s="10" t="s">
        <v>23</v>
      </c>
      <c r="G755" s="10" t="s">
        <v>13</v>
      </c>
      <c r="H755" s="10" t="s">
        <v>16</v>
      </c>
      <c r="I755" s="11">
        <v>0</v>
      </c>
      <c r="J755" s="11">
        <v>0</v>
      </c>
      <c r="K755" s="11">
        <v>0</v>
      </c>
      <c r="L755" s="6">
        <f t="shared" si="66"/>
        <v>0</v>
      </c>
      <c r="M755" s="12">
        <v>49.091000000000001</v>
      </c>
      <c r="N755" s="13">
        <f t="shared" si="67"/>
        <v>0</v>
      </c>
      <c r="O755" s="13">
        <f t="shared" si="68"/>
        <v>0</v>
      </c>
      <c r="P755" s="14">
        <v>167.05891124999999</v>
      </c>
      <c r="Q755" s="8">
        <f t="shared" si="69"/>
        <v>0</v>
      </c>
      <c r="R755" s="8">
        <f t="shared" si="70"/>
        <v>0</v>
      </c>
      <c r="S755" s="15">
        <f t="shared" si="71"/>
        <v>0</v>
      </c>
    </row>
    <row r="756" spans="1:19" x14ac:dyDescent="0.25">
      <c r="A756" s="10" t="s">
        <v>1871</v>
      </c>
      <c r="B756" s="10">
        <v>84550</v>
      </c>
      <c r="C756" s="10">
        <v>96488</v>
      </c>
      <c r="D756" s="10" t="s">
        <v>1117</v>
      </c>
      <c r="E756" s="10" t="s">
        <v>1872</v>
      </c>
      <c r="F756" s="10" t="s">
        <v>23</v>
      </c>
      <c r="G756" s="10" t="s">
        <v>13</v>
      </c>
      <c r="H756" s="10" t="s">
        <v>16</v>
      </c>
      <c r="I756" s="11">
        <v>0</v>
      </c>
      <c r="J756" s="11">
        <v>0</v>
      </c>
      <c r="K756" s="11">
        <v>0</v>
      </c>
      <c r="L756" s="6">
        <f t="shared" si="66"/>
        <v>0</v>
      </c>
      <c r="M756" s="12">
        <v>39.097000000000001</v>
      </c>
      <c r="N756" s="13">
        <f t="shared" si="67"/>
        <v>0</v>
      </c>
      <c r="O756" s="13">
        <f t="shared" si="68"/>
        <v>0</v>
      </c>
      <c r="P756" s="14">
        <v>130.02585583000001</v>
      </c>
      <c r="Q756" s="8">
        <f t="shared" si="69"/>
        <v>0</v>
      </c>
      <c r="R756" s="8">
        <f t="shared" si="70"/>
        <v>0</v>
      </c>
      <c r="S756" s="15">
        <f t="shared" si="71"/>
        <v>0</v>
      </c>
    </row>
    <row r="757" spans="1:19" x14ac:dyDescent="0.25">
      <c r="A757" s="10" t="s">
        <v>1873</v>
      </c>
      <c r="B757" s="10">
        <v>84586</v>
      </c>
      <c r="C757" s="10">
        <v>96478</v>
      </c>
      <c r="D757" s="10" t="s">
        <v>1123</v>
      </c>
      <c r="E757" s="10" t="s">
        <v>1874</v>
      </c>
      <c r="F757" s="10" t="s">
        <v>23</v>
      </c>
      <c r="G757" s="10" t="s">
        <v>13</v>
      </c>
      <c r="H757" s="10" t="s">
        <v>16</v>
      </c>
      <c r="I757" s="11">
        <v>10</v>
      </c>
      <c r="J757" s="11">
        <v>10</v>
      </c>
      <c r="K757" s="11">
        <v>0</v>
      </c>
      <c r="L757" s="6">
        <f t="shared" si="66"/>
        <v>10</v>
      </c>
      <c r="M757" s="12">
        <v>47.238</v>
      </c>
      <c r="N757" s="13">
        <f t="shared" si="67"/>
        <v>472.38</v>
      </c>
      <c r="O757" s="13">
        <f t="shared" si="68"/>
        <v>0</v>
      </c>
      <c r="P757" s="14">
        <v>184.06102781000001</v>
      </c>
      <c r="Q757" s="8">
        <f t="shared" si="69"/>
        <v>1840.6102781000002</v>
      </c>
      <c r="R757" s="8">
        <f t="shared" si="70"/>
        <v>0</v>
      </c>
      <c r="S757" s="15">
        <f t="shared" si="71"/>
        <v>0</v>
      </c>
    </row>
    <row r="758" spans="1:19" x14ac:dyDescent="0.25">
      <c r="A758" s="10" t="s">
        <v>1875</v>
      </c>
      <c r="B758" s="10">
        <v>84588</v>
      </c>
      <c r="C758" s="10">
        <v>96480</v>
      </c>
      <c r="D758" s="10" t="s">
        <v>1126</v>
      </c>
      <c r="E758" s="10" t="s">
        <v>1876</v>
      </c>
      <c r="F758" s="10" t="s">
        <v>23</v>
      </c>
      <c r="G758" s="10" t="s">
        <v>13</v>
      </c>
      <c r="H758" s="10" t="s">
        <v>16</v>
      </c>
      <c r="I758" s="11">
        <v>3</v>
      </c>
      <c r="J758" s="11">
        <v>3</v>
      </c>
      <c r="K758" s="11">
        <v>1</v>
      </c>
      <c r="L758" s="6">
        <f t="shared" si="66"/>
        <v>2</v>
      </c>
      <c r="M758" s="12">
        <v>17.149999999999999</v>
      </c>
      <c r="N758" s="13">
        <f t="shared" si="67"/>
        <v>51.449999999999996</v>
      </c>
      <c r="O758" s="13">
        <f t="shared" si="68"/>
        <v>17.149999999999999</v>
      </c>
      <c r="P758" s="14">
        <v>53.16671264</v>
      </c>
      <c r="Q758" s="8">
        <f t="shared" si="69"/>
        <v>159.50013791999999</v>
      </c>
      <c r="R758" s="8">
        <f t="shared" si="70"/>
        <v>53.16671264</v>
      </c>
      <c r="S758" s="15">
        <f t="shared" si="71"/>
        <v>0.33333333333333331</v>
      </c>
    </row>
    <row r="759" spans="1:19" x14ac:dyDescent="0.25">
      <c r="A759" s="10" t="s">
        <v>1877</v>
      </c>
      <c r="B759" s="10">
        <v>84635</v>
      </c>
      <c r="C759" s="10">
        <v>96483</v>
      </c>
      <c r="D759" s="10" t="s">
        <v>1646</v>
      </c>
      <c r="E759" s="10" t="s">
        <v>1878</v>
      </c>
      <c r="F759" s="10" t="s">
        <v>23</v>
      </c>
      <c r="G759" s="10" t="s">
        <v>13</v>
      </c>
      <c r="H759" s="10" t="s">
        <v>16</v>
      </c>
      <c r="I759" s="11">
        <v>0</v>
      </c>
      <c r="J759" s="11">
        <v>0</v>
      </c>
      <c r="K759" s="11">
        <v>0</v>
      </c>
      <c r="L759" s="6">
        <f t="shared" si="66"/>
        <v>0</v>
      </c>
      <c r="M759" s="12">
        <v>47.97</v>
      </c>
      <c r="N759" s="13">
        <f t="shared" si="67"/>
        <v>0</v>
      </c>
      <c r="O759" s="13">
        <f t="shared" si="68"/>
        <v>0</v>
      </c>
      <c r="P759" s="14">
        <v>218.19563009999999</v>
      </c>
      <c r="Q759" s="8">
        <f t="shared" si="69"/>
        <v>0</v>
      </c>
      <c r="R759" s="8">
        <f t="shared" si="70"/>
        <v>0</v>
      </c>
      <c r="S759" s="15">
        <f t="shared" si="71"/>
        <v>0</v>
      </c>
    </row>
    <row r="760" spans="1:19" x14ac:dyDescent="0.25">
      <c r="A760" s="10" t="s">
        <v>1879</v>
      </c>
      <c r="B760" s="10">
        <v>84688</v>
      </c>
      <c r="C760" s="10">
        <v>96484</v>
      </c>
      <c r="D760" s="10" t="s">
        <v>1649</v>
      </c>
      <c r="E760" s="10" t="s">
        <v>1880</v>
      </c>
      <c r="F760" s="10" t="s">
        <v>23</v>
      </c>
      <c r="G760" s="10" t="s">
        <v>13</v>
      </c>
      <c r="H760" s="10" t="s">
        <v>16</v>
      </c>
      <c r="I760" s="11">
        <v>0</v>
      </c>
      <c r="J760" s="11">
        <v>0</v>
      </c>
      <c r="K760" s="11">
        <v>0</v>
      </c>
      <c r="L760" s="6">
        <f t="shared" si="66"/>
        <v>0</v>
      </c>
      <c r="M760" s="12">
        <v>49.92</v>
      </c>
      <c r="N760" s="13">
        <f t="shared" si="67"/>
        <v>0</v>
      </c>
      <c r="O760" s="13">
        <f t="shared" si="68"/>
        <v>0</v>
      </c>
      <c r="P760" s="14">
        <v>150.47007020999999</v>
      </c>
      <c r="Q760" s="8">
        <f t="shared" si="69"/>
        <v>0</v>
      </c>
      <c r="R760" s="8">
        <f t="shared" si="70"/>
        <v>0</v>
      </c>
      <c r="S760" s="15">
        <f t="shared" si="71"/>
        <v>0</v>
      </c>
    </row>
    <row r="761" spans="1:19" x14ac:dyDescent="0.25">
      <c r="A761" s="10" t="s">
        <v>1881</v>
      </c>
      <c r="B761" s="10">
        <v>84701</v>
      </c>
      <c r="C761" s="10">
        <v>96490</v>
      </c>
      <c r="D761" s="10" t="s">
        <v>1652</v>
      </c>
      <c r="E761" s="10" t="s">
        <v>1882</v>
      </c>
      <c r="F761" s="10" t="s">
        <v>23</v>
      </c>
      <c r="G761" s="10" t="s">
        <v>13</v>
      </c>
      <c r="H761" s="10" t="s">
        <v>16</v>
      </c>
      <c r="I761" s="11">
        <v>0</v>
      </c>
      <c r="J761" s="11">
        <v>0</v>
      </c>
      <c r="K761" s="11">
        <v>0</v>
      </c>
      <c r="L761" s="6">
        <f t="shared" si="66"/>
        <v>0</v>
      </c>
      <c r="M761" s="12">
        <v>44.313000000000002</v>
      </c>
      <c r="N761" s="13">
        <f t="shared" si="67"/>
        <v>0</v>
      </c>
      <c r="O761" s="13">
        <f t="shared" si="68"/>
        <v>0</v>
      </c>
      <c r="P761" s="14">
        <v>151.99707900999999</v>
      </c>
      <c r="Q761" s="8">
        <f t="shared" si="69"/>
        <v>0</v>
      </c>
      <c r="R761" s="8">
        <f t="shared" si="70"/>
        <v>0</v>
      </c>
      <c r="S761" s="15">
        <f t="shared" si="71"/>
        <v>0</v>
      </c>
    </row>
    <row r="762" spans="1:19" x14ac:dyDescent="0.25">
      <c r="A762" s="10" t="s">
        <v>1883</v>
      </c>
      <c r="B762" s="10">
        <v>84712</v>
      </c>
      <c r="C762" s="10">
        <v>96491</v>
      </c>
      <c r="D762" s="10" t="s">
        <v>1655</v>
      </c>
      <c r="E762" s="10" t="s">
        <v>1884</v>
      </c>
      <c r="F762" s="10" t="s">
        <v>23</v>
      </c>
      <c r="G762" s="10" t="s">
        <v>13</v>
      </c>
      <c r="H762" s="10" t="s">
        <v>16</v>
      </c>
      <c r="I762" s="11">
        <v>0</v>
      </c>
      <c r="J762" s="11">
        <v>0</v>
      </c>
      <c r="K762" s="11">
        <v>0</v>
      </c>
      <c r="L762" s="6">
        <f t="shared" si="66"/>
        <v>0</v>
      </c>
      <c r="M762" s="12">
        <v>16.672000000000001</v>
      </c>
      <c r="N762" s="13">
        <f t="shared" si="67"/>
        <v>0</v>
      </c>
      <c r="O762" s="13">
        <f t="shared" si="68"/>
        <v>0</v>
      </c>
      <c r="P762" s="14">
        <v>45.850950990000001</v>
      </c>
      <c r="Q762" s="8">
        <f t="shared" si="69"/>
        <v>0</v>
      </c>
      <c r="R762" s="8">
        <f t="shared" si="70"/>
        <v>0</v>
      </c>
      <c r="S762" s="15">
        <f t="shared" si="71"/>
        <v>0</v>
      </c>
    </row>
    <row r="763" spans="1:19" x14ac:dyDescent="0.25">
      <c r="A763" s="10" t="s">
        <v>1885</v>
      </c>
      <c r="B763" s="10">
        <v>84715</v>
      </c>
      <c r="C763" s="10">
        <v>96485</v>
      </c>
      <c r="D763" s="10" t="s">
        <v>1658</v>
      </c>
      <c r="E763" s="10" t="s">
        <v>1886</v>
      </c>
      <c r="F763" s="10" t="s">
        <v>23</v>
      </c>
      <c r="G763" s="10" t="s">
        <v>13</v>
      </c>
      <c r="H763" s="10" t="s">
        <v>16</v>
      </c>
      <c r="I763" s="11">
        <v>0</v>
      </c>
      <c r="J763" s="11">
        <v>0</v>
      </c>
      <c r="K763" s="11">
        <v>0</v>
      </c>
      <c r="L763" s="6">
        <f t="shared" si="66"/>
        <v>0</v>
      </c>
      <c r="M763" s="12">
        <v>53.625</v>
      </c>
      <c r="N763" s="13">
        <f t="shared" si="67"/>
        <v>0</v>
      </c>
      <c r="O763" s="13">
        <f t="shared" si="68"/>
        <v>0</v>
      </c>
      <c r="P763" s="14">
        <v>168.83187756000001</v>
      </c>
      <c r="Q763" s="8">
        <f t="shared" si="69"/>
        <v>0</v>
      </c>
      <c r="R763" s="8">
        <f t="shared" si="70"/>
        <v>0</v>
      </c>
      <c r="S763" s="15">
        <f t="shared" si="71"/>
        <v>0</v>
      </c>
    </row>
    <row r="764" spans="1:19" x14ac:dyDescent="0.25">
      <c r="A764" s="10" t="s">
        <v>1887</v>
      </c>
      <c r="B764" s="10">
        <v>84715</v>
      </c>
      <c r="C764" s="10">
        <v>96485</v>
      </c>
      <c r="D764" s="10" t="s">
        <v>1658</v>
      </c>
      <c r="E764" s="10" t="s">
        <v>1888</v>
      </c>
      <c r="F764" s="10" t="s">
        <v>23</v>
      </c>
      <c r="G764" s="10" t="s">
        <v>13</v>
      </c>
      <c r="H764" s="10" t="s">
        <v>16</v>
      </c>
      <c r="I764" s="11">
        <v>0</v>
      </c>
      <c r="J764" s="11">
        <v>16</v>
      </c>
      <c r="K764" s="11">
        <v>0</v>
      </c>
      <c r="L764" s="6">
        <f t="shared" si="66"/>
        <v>0</v>
      </c>
      <c r="M764" s="12">
        <v>53.625</v>
      </c>
      <c r="N764" s="13">
        <f t="shared" si="67"/>
        <v>0</v>
      </c>
      <c r="O764" s="13">
        <f t="shared" si="68"/>
        <v>0</v>
      </c>
      <c r="P764" s="14">
        <v>180.47346809999999</v>
      </c>
      <c r="Q764" s="8">
        <f t="shared" si="69"/>
        <v>0</v>
      </c>
      <c r="R764" s="8">
        <f t="shared" si="70"/>
        <v>0</v>
      </c>
      <c r="S764" s="15">
        <f t="shared" si="71"/>
        <v>0</v>
      </c>
    </row>
    <row r="765" spans="1:19" x14ac:dyDescent="0.25">
      <c r="A765" s="10" t="s">
        <v>1889</v>
      </c>
      <c r="B765" s="10">
        <v>84724</v>
      </c>
      <c r="C765" s="10">
        <v>96500</v>
      </c>
      <c r="D765" s="10" t="s">
        <v>1890</v>
      </c>
      <c r="E765" s="10" t="s">
        <v>1891</v>
      </c>
      <c r="F765" s="10" t="s">
        <v>23</v>
      </c>
      <c r="G765" s="10" t="s">
        <v>13</v>
      </c>
      <c r="H765" s="10" t="s">
        <v>16</v>
      </c>
      <c r="I765" s="11">
        <v>41</v>
      </c>
      <c r="J765" s="11">
        <v>39</v>
      </c>
      <c r="K765" s="11">
        <v>0</v>
      </c>
      <c r="L765" s="6">
        <f t="shared" si="66"/>
        <v>41</v>
      </c>
      <c r="M765" s="12">
        <v>61.27</v>
      </c>
      <c r="N765" s="13">
        <f t="shared" si="67"/>
        <v>2512.0700000000002</v>
      </c>
      <c r="O765" s="13">
        <f t="shared" si="68"/>
        <v>0</v>
      </c>
      <c r="P765" s="14">
        <v>311.63935585000002</v>
      </c>
      <c r="Q765" s="8">
        <f t="shared" si="69"/>
        <v>12777.21358985</v>
      </c>
      <c r="R765" s="8">
        <f t="shared" si="70"/>
        <v>0</v>
      </c>
      <c r="S765" s="15">
        <f t="shared" si="71"/>
        <v>0</v>
      </c>
    </row>
    <row r="766" spans="1:19" x14ac:dyDescent="0.25">
      <c r="A766" s="10" t="s">
        <v>1892</v>
      </c>
      <c r="B766" s="10">
        <v>84724</v>
      </c>
      <c r="C766" s="10">
        <v>96500</v>
      </c>
      <c r="D766" s="10" t="s">
        <v>1890</v>
      </c>
      <c r="E766" s="10" t="s">
        <v>1893</v>
      </c>
      <c r="F766" s="10" t="s">
        <v>23</v>
      </c>
      <c r="G766" s="10" t="s">
        <v>13</v>
      </c>
      <c r="H766" s="10" t="s">
        <v>16</v>
      </c>
      <c r="I766" s="11">
        <v>67</v>
      </c>
      <c r="J766" s="11">
        <v>67</v>
      </c>
      <c r="K766" s="11">
        <v>0</v>
      </c>
      <c r="L766" s="6">
        <f t="shared" si="66"/>
        <v>67</v>
      </c>
      <c r="M766" s="12">
        <v>61.27</v>
      </c>
      <c r="N766" s="13">
        <f t="shared" si="67"/>
        <v>4105.09</v>
      </c>
      <c r="O766" s="13">
        <f t="shared" si="68"/>
        <v>0</v>
      </c>
      <c r="P766" s="14">
        <v>316.03190561000002</v>
      </c>
      <c r="Q766" s="8">
        <f t="shared" si="69"/>
        <v>21174.137675870003</v>
      </c>
      <c r="R766" s="8">
        <f t="shared" si="70"/>
        <v>0</v>
      </c>
      <c r="S766" s="15">
        <f t="shared" si="71"/>
        <v>0</v>
      </c>
    </row>
    <row r="767" spans="1:19" x14ac:dyDescent="0.25">
      <c r="A767" s="10" t="s">
        <v>1894</v>
      </c>
      <c r="B767" s="10">
        <v>84745</v>
      </c>
      <c r="C767" s="10">
        <v>96501</v>
      </c>
      <c r="D767" s="10" t="s">
        <v>1131</v>
      </c>
      <c r="E767" s="10" t="s">
        <v>1895</v>
      </c>
      <c r="F767" s="10" t="s">
        <v>23</v>
      </c>
      <c r="G767" s="10" t="s">
        <v>13</v>
      </c>
      <c r="H767" s="10" t="s">
        <v>16</v>
      </c>
      <c r="I767" s="11">
        <v>67</v>
      </c>
      <c r="J767" s="11">
        <v>67</v>
      </c>
      <c r="K767" s="11">
        <v>0</v>
      </c>
      <c r="L767" s="6">
        <f t="shared" si="66"/>
        <v>67</v>
      </c>
      <c r="M767" s="12">
        <v>58.5</v>
      </c>
      <c r="N767" s="13">
        <f t="shared" si="67"/>
        <v>3919.5</v>
      </c>
      <c r="O767" s="13">
        <f t="shared" si="68"/>
        <v>0</v>
      </c>
      <c r="P767" s="14">
        <v>208.01001549</v>
      </c>
      <c r="Q767" s="8">
        <f t="shared" si="69"/>
        <v>13936.671037829999</v>
      </c>
      <c r="R767" s="8">
        <f t="shared" si="70"/>
        <v>0</v>
      </c>
      <c r="S767" s="15">
        <f t="shared" si="71"/>
        <v>0</v>
      </c>
    </row>
    <row r="768" spans="1:19" x14ac:dyDescent="0.25">
      <c r="A768" s="10" t="s">
        <v>1896</v>
      </c>
      <c r="B768" s="10">
        <v>84755</v>
      </c>
      <c r="C768" s="10">
        <v>96502</v>
      </c>
      <c r="D768" s="10" t="s">
        <v>1897</v>
      </c>
      <c r="E768" s="10" t="s">
        <v>1898</v>
      </c>
      <c r="F768" s="10" t="s">
        <v>23</v>
      </c>
      <c r="G768" s="10" t="s">
        <v>13</v>
      </c>
      <c r="H768" s="10" t="s">
        <v>16</v>
      </c>
      <c r="I768" s="11">
        <v>38</v>
      </c>
      <c r="J768" s="11">
        <v>40</v>
      </c>
      <c r="K768" s="11">
        <v>0</v>
      </c>
      <c r="L768" s="6">
        <f t="shared" si="66"/>
        <v>38</v>
      </c>
      <c r="M768" s="12">
        <v>52.825000000000003</v>
      </c>
      <c r="N768" s="13">
        <f t="shared" si="67"/>
        <v>2007.3500000000001</v>
      </c>
      <c r="O768" s="13">
        <f t="shared" si="68"/>
        <v>0</v>
      </c>
      <c r="P768" s="14">
        <v>162.16632426999999</v>
      </c>
      <c r="Q768" s="8">
        <f t="shared" si="69"/>
        <v>6162.3203222599996</v>
      </c>
      <c r="R768" s="8">
        <f t="shared" si="70"/>
        <v>0</v>
      </c>
      <c r="S768" s="15">
        <f t="shared" si="71"/>
        <v>0</v>
      </c>
    </row>
    <row r="769" spans="1:19" x14ac:dyDescent="0.25">
      <c r="A769" s="10" t="s">
        <v>1899</v>
      </c>
      <c r="B769" s="10">
        <v>84755</v>
      </c>
      <c r="C769" s="10">
        <v>96502</v>
      </c>
      <c r="D769" s="10" t="s">
        <v>1897</v>
      </c>
      <c r="E769" s="10" t="s">
        <v>1900</v>
      </c>
      <c r="F769" s="10" t="s">
        <v>23</v>
      </c>
      <c r="G769" s="10" t="s">
        <v>13</v>
      </c>
      <c r="H769" s="10" t="s">
        <v>16</v>
      </c>
      <c r="I769" s="11">
        <v>67</v>
      </c>
      <c r="J769" s="11">
        <v>68</v>
      </c>
      <c r="K769" s="11">
        <v>0</v>
      </c>
      <c r="L769" s="6">
        <f t="shared" si="66"/>
        <v>67</v>
      </c>
      <c r="M769" s="12">
        <v>52.825000000000003</v>
      </c>
      <c r="N769" s="13">
        <f t="shared" si="67"/>
        <v>3539.2750000000001</v>
      </c>
      <c r="O769" s="13">
        <f t="shared" si="68"/>
        <v>0</v>
      </c>
      <c r="P769" s="14">
        <v>177.09816287000001</v>
      </c>
      <c r="Q769" s="8">
        <f t="shared" si="69"/>
        <v>11865.57691229</v>
      </c>
      <c r="R769" s="8">
        <f t="shared" si="70"/>
        <v>0</v>
      </c>
      <c r="S769" s="15">
        <f t="shared" si="71"/>
        <v>0</v>
      </c>
    </row>
    <row r="770" spans="1:19" x14ac:dyDescent="0.25">
      <c r="A770" s="10" t="s">
        <v>1901</v>
      </c>
      <c r="B770" s="10">
        <v>84773</v>
      </c>
      <c r="C770" s="10">
        <v>96503</v>
      </c>
      <c r="D770" s="10" t="s">
        <v>1902</v>
      </c>
      <c r="E770" s="10" t="s">
        <v>1903</v>
      </c>
      <c r="F770" s="10" t="s">
        <v>23</v>
      </c>
      <c r="G770" s="10" t="s">
        <v>13</v>
      </c>
      <c r="H770" s="10" t="s">
        <v>16</v>
      </c>
      <c r="I770" s="11">
        <v>44</v>
      </c>
      <c r="J770" s="11">
        <v>46</v>
      </c>
      <c r="K770" s="11">
        <v>0</v>
      </c>
      <c r="L770" s="6">
        <f t="shared" ref="L770:L785" si="72">I770-K770</f>
        <v>44</v>
      </c>
      <c r="M770" s="12">
        <v>33.978000000000002</v>
      </c>
      <c r="N770" s="13">
        <f t="shared" ref="N770:N785" si="73">I770*M770</f>
        <v>1495.0320000000002</v>
      </c>
      <c r="O770" s="13">
        <f t="shared" ref="O770:O785" si="74">K770*M770</f>
        <v>0</v>
      </c>
      <c r="P770" s="14">
        <v>117.74712289999999</v>
      </c>
      <c r="Q770" s="8">
        <f t="shared" ref="Q770:Q785" si="75">I770*P770</f>
        <v>5180.8734076000001</v>
      </c>
      <c r="R770" s="8">
        <f t="shared" ref="R770:R785" si="76">K770*P770</f>
        <v>0</v>
      </c>
      <c r="S770" s="15">
        <f t="shared" ref="S770:S785" si="77">IF(I770=0,0,K770/I770)</f>
        <v>0</v>
      </c>
    </row>
    <row r="771" spans="1:19" x14ac:dyDescent="0.25">
      <c r="A771" s="10" t="s">
        <v>1904</v>
      </c>
      <c r="B771" s="10">
        <v>84773</v>
      </c>
      <c r="C771" s="10">
        <v>96503</v>
      </c>
      <c r="D771" s="10" t="s">
        <v>1902</v>
      </c>
      <c r="E771" s="10" t="s">
        <v>1905</v>
      </c>
      <c r="F771" s="10" t="s">
        <v>23</v>
      </c>
      <c r="G771" s="10" t="s">
        <v>13</v>
      </c>
      <c r="H771" s="10" t="s">
        <v>16</v>
      </c>
      <c r="I771" s="11">
        <v>69</v>
      </c>
      <c r="J771" s="11">
        <v>69</v>
      </c>
      <c r="K771" s="11">
        <v>0</v>
      </c>
      <c r="L771" s="6">
        <f t="shared" si="72"/>
        <v>69</v>
      </c>
      <c r="M771" s="12">
        <v>33.978000000000002</v>
      </c>
      <c r="N771" s="13">
        <f t="shared" si="73"/>
        <v>2344.482</v>
      </c>
      <c r="O771" s="13">
        <f t="shared" si="74"/>
        <v>0</v>
      </c>
      <c r="P771" s="14">
        <v>117.61505390000001</v>
      </c>
      <c r="Q771" s="8">
        <f t="shared" si="75"/>
        <v>8115.4387191000005</v>
      </c>
      <c r="R771" s="8">
        <f t="shared" si="76"/>
        <v>0</v>
      </c>
      <c r="S771" s="15">
        <f t="shared" si="77"/>
        <v>0</v>
      </c>
    </row>
    <row r="772" spans="1:19" x14ac:dyDescent="0.25">
      <c r="A772" s="10" t="s">
        <v>1906</v>
      </c>
      <c r="B772" s="10">
        <v>84779</v>
      </c>
      <c r="C772" s="10">
        <v>96504</v>
      </c>
      <c r="D772" s="10" t="s">
        <v>1907</v>
      </c>
      <c r="E772" s="10" t="s">
        <v>1908</v>
      </c>
      <c r="F772" s="10" t="s">
        <v>23</v>
      </c>
      <c r="G772" s="10" t="s">
        <v>13</v>
      </c>
      <c r="H772" s="10" t="s">
        <v>16</v>
      </c>
      <c r="I772" s="11">
        <v>0</v>
      </c>
      <c r="J772" s="11">
        <v>1</v>
      </c>
      <c r="K772" s="11">
        <v>0</v>
      </c>
      <c r="L772" s="6">
        <f t="shared" si="72"/>
        <v>0</v>
      </c>
      <c r="M772" s="12">
        <v>61.99</v>
      </c>
      <c r="N772" s="13">
        <f t="shared" si="73"/>
        <v>0</v>
      </c>
      <c r="O772" s="13">
        <f t="shared" si="74"/>
        <v>0</v>
      </c>
      <c r="P772" s="14">
        <v>232.40015973999999</v>
      </c>
      <c r="Q772" s="8">
        <f t="shared" si="75"/>
        <v>0</v>
      </c>
      <c r="R772" s="8">
        <f t="shared" si="76"/>
        <v>0</v>
      </c>
      <c r="S772" s="15">
        <f t="shared" si="77"/>
        <v>0</v>
      </c>
    </row>
    <row r="773" spans="1:19" x14ac:dyDescent="0.25">
      <c r="A773" s="10" t="s">
        <v>1909</v>
      </c>
      <c r="B773" s="10">
        <v>84779</v>
      </c>
      <c r="C773" s="10">
        <v>96504</v>
      </c>
      <c r="D773" s="10" t="s">
        <v>1907</v>
      </c>
      <c r="E773" s="10" t="s">
        <v>1910</v>
      </c>
      <c r="F773" s="10" t="s">
        <v>23</v>
      </c>
      <c r="G773" s="10" t="s">
        <v>13</v>
      </c>
      <c r="H773" s="10" t="s">
        <v>16</v>
      </c>
      <c r="I773" s="11">
        <v>16</v>
      </c>
      <c r="J773" s="11">
        <v>17</v>
      </c>
      <c r="K773" s="11">
        <v>0</v>
      </c>
      <c r="L773" s="6">
        <f t="shared" si="72"/>
        <v>16</v>
      </c>
      <c r="M773" s="12">
        <v>61.99</v>
      </c>
      <c r="N773" s="13">
        <f t="shared" si="73"/>
        <v>991.84</v>
      </c>
      <c r="O773" s="13">
        <f t="shared" si="74"/>
        <v>0</v>
      </c>
      <c r="P773" s="14">
        <v>214.14683188000001</v>
      </c>
      <c r="Q773" s="8">
        <f t="shared" si="75"/>
        <v>3426.3493100800001</v>
      </c>
      <c r="R773" s="8">
        <f t="shared" si="76"/>
        <v>0</v>
      </c>
      <c r="S773" s="15">
        <f t="shared" si="77"/>
        <v>0</v>
      </c>
    </row>
    <row r="774" spans="1:19" x14ac:dyDescent="0.25">
      <c r="A774" s="10" t="s">
        <v>1911</v>
      </c>
      <c r="B774" s="10">
        <v>84779</v>
      </c>
      <c r="C774" s="10">
        <v>96504</v>
      </c>
      <c r="D774" s="10" t="s">
        <v>1907</v>
      </c>
      <c r="E774" s="10" t="s">
        <v>1912</v>
      </c>
      <c r="F774" s="10" t="s">
        <v>23</v>
      </c>
      <c r="G774" s="10" t="s">
        <v>13</v>
      </c>
      <c r="H774" s="10" t="s">
        <v>16</v>
      </c>
      <c r="I774" s="11">
        <v>73</v>
      </c>
      <c r="J774" s="11">
        <v>73</v>
      </c>
      <c r="K774" s="11">
        <v>0</v>
      </c>
      <c r="L774" s="6">
        <f t="shared" si="72"/>
        <v>73</v>
      </c>
      <c r="M774" s="12">
        <v>61.99</v>
      </c>
      <c r="N774" s="13">
        <f t="shared" si="73"/>
        <v>4525.2700000000004</v>
      </c>
      <c r="O774" s="13">
        <f t="shared" si="74"/>
        <v>0</v>
      </c>
      <c r="P774" s="14">
        <v>182.05469288</v>
      </c>
      <c r="Q774" s="8">
        <f t="shared" si="75"/>
        <v>13289.992580240001</v>
      </c>
      <c r="R774" s="8">
        <f t="shared" si="76"/>
        <v>0</v>
      </c>
      <c r="S774" s="15">
        <f t="shared" si="77"/>
        <v>0</v>
      </c>
    </row>
    <row r="775" spans="1:19" x14ac:dyDescent="0.25">
      <c r="A775" s="10" t="s">
        <v>1913</v>
      </c>
      <c r="B775" s="10">
        <v>84795</v>
      </c>
      <c r="C775" s="10">
        <v>96518</v>
      </c>
      <c r="D775" s="10" t="s">
        <v>1136</v>
      </c>
      <c r="E775" s="10" t="s">
        <v>1914</v>
      </c>
      <c r="F775" s="10" t="s">
        <v>23</v>
      </c>
      <c r="G775" s="10" t="s">
        <v>13</v>
      </c>
      <c r="H775" s="10" t="s">
        <v>16</v>
      </c>
      <c r="I775" s="11">
        <v>0</v>
      </c>
      <c r="J775" s="11">
        <v>28</v>
      </c>
      <c r="K775" s="11">
        <v>0</v>
      </c>
      <c r="L775" s="6">
        <f t="shared" si="72"/>
        <v>0</v>
      </c>
      <c r="M775" s="12">
        <v>58.792000000000002</v>
      </c>
      <c r="N775" s="13">
        <f t="shared" si="73"/>
        <v>0</v>
      </c>
      <c r="O775" s="13">
        <f t="shared" si="74"/>
        <v>0</v>
      </c>
      <c r="P775" s="14">
        <v>289.48651138999998</v>
      </c>
      <c r="Q775" s="8">
        <f t="shared" si="75"/>
        <v>0</v>
      </c>
      <c r="R775" s="8">
        <f t="shared" si="76"/>
        <v>0</v>
      </c>
      <c r="S775" s="15">
        <f t="shared" si="77"/>
        <v>0</v>
      </c>
    </row>
    <row r="776" spans="1:19" x14ac:dyDescent="0.25">
      <c r="A776" s="10" t="s">
        <v>1915</v>
      </c>
      <c r="B776" s="10">
        <v>84822</v>
      </c>
      <c r="C776" s="10">
        <v>96575</v>
      </c>
      <c r="D776" s="10" t="s">
        <v>1155</v>
      </c>
      <c r="E776" s="10" t="s">
        <v>1916</v>
      </c>
      <c r="F776" s="10" t="s">
        <v>23</v>
      </c>
      <c r="G776" s="10" t="s">
        <v>13</v>
      </c>
      <c r="H776" s="10" t="s">
        <v>16</v>
      </c>
      <c r="I776" s="11">
        <v>274</v>
      </c>
      <c r="J776" s="11">
        <v>279</v>
      </c>
      <c r="K776" s="11">
        <v>55</v>
      </c>
      <c r="L776" s="6">
        <f t="shared" si="72"/>
        <v>219</v>
      </c>
      <c r="M776" s="12">
        <v>54.6</v>
      </c>
      <c r="N776" s="13">
        <f t="shared" si="73"/>
        <v>14960.4</v>
      </c>
      <c r="O776" s="13">
        <f t="shared" si="74"/>
        <v>3003</v>
      </c>
      <c r="P776" s="14">
        <v>262.63351900999999</v>
      </c>
      <c r="Q776" s="8">
        <f t="shared" si="75"/>
        <v>71961.584208739994</v>
      </c>
      <c r="R776" s="8">
        <f t="shared" si="76"/>
        <v>14444.843545549998</v>
      </c>
      <c r="S776" s="15">
        <f t="shared" si="77"/>
        <v>0.20072992700729927</v>
      </c>
    </row>
    <row r="777" spans="1:19" x14ac:dyDescent="0.25">
      <c r="A777" s="10" t="s">
        <v>1917</v>
      </c>
      <c r="B777" s="10">
        <v>84847</v>
      </c>
      <c r="C777" s="10">
        <v>96577</v>
      </c>
      <c r="D777" s="10" t="s">
        <v>1161</v>
      </c>
      <c r="E777" s="10" t="s">
        <v>1918</v>
      </c>
      <c r="F777" s="10" t="s">
        <v>23</v>
      </c>
      <c r="G777" s="10" t="s">
        <v>13</v>
      </c>
      <c r="H777" s="10" t="s">
        <v>16</v>
      </c>
      <c r="I777" s="11">
        <v>276</v>
      </c>
      <c r="J777" s="11">
        <v>280</v>
      </c>
      <c r="K777" s="11">
        <v>55</v>
      </c>
      <c r="L777" s="6">
        <f t="shared" si="72"/>
        <v>221</v>
      </c>
      <c r="M777" s="12">
        <v>44.85</v>
      </c>
      <c r="N777" s="13">
        <f t="shared" si="73"/>
        <v>12378.6</v>
      </c>
      <c r="O777" s="13">
        <f t="shared" si="74"/>
        <v>2466.75</v>
      </c>
      <c r="P777" s="14">
        <v>165.31911977999999</v>
      </c>
      <c r="Q777" s="8">
        <f t="shared" si="75"/>
        <v>45628.077059279996</v>
      </c>
      <c r="R777" s="8">
        <f t="shared" si="76"/>
        <v>9092.5515878999995</v>
      </c>
      <c r="S777" s="15">
        <f t="shared" si="77"/>
        <v>0.19927536231884058</v>
      </c>
    </row>
    <row r="778" spans="1:19" x14ac:dyDescent="0.25">
      <c r="A778" s="10" t="s">
        <v>1919</v>
      </c>
      <c r="B778" s="10">
        <v>84860</v>
      </c>
      <c r="C778" s="10">
        <v>96613</v>
      </c>
      <c r="D778" s="10" t="s">
        <v>1667</v>
      </c>
      <c r="E778" s="10" t="s">
        <v>1920</v>
      </c>
      <c r="F778" s="10" t="s">
        <v>23</v>
      </c>
      <c r="G778" s="10" t="s">
        <v>13</v>
      </c>
      <c r="H778" s="10" t="s">
        <v>16</v>
      </c>
      <c r="I778" s="11">
        <v>0</v>
      </c>
      <c r="J778" s="11">
        <v>0</v>
      </c>
      <c r="K778" s="11">
        <v>0</v>
      </c>
      <c r="L778" s="6">
        <f t="shared" si="72"/>
        <v>0</v>
      </c>
      <c r="M778" s="12">
        <v>58.5</v>
      </c>
      <c r="N778" s="13">
        <f t="shared" si="73"/>
        <v>0</v>
      </c>
      <c r="O778" s="13">
        <f t="shared" si="74"/>
        <v>0</v>
      </c>
      <c r="P778" s="14">
        <v>277.89105611000002</v>
      </c>
      <c r="Q778" s="8">
        <f t="shared" si="75"/>
        <v>0</v>
      </c>
      <c r="R778" s="8">
        <f t="shared" si="76"/>
        <v>0</v>
      </c>
      <c r="S778" s="15">
        <f t="shared" si="77"/>
        <v>0</v>
      </c>
    </row>
    <row r="779" spans="1:19" x14ac:dyDescent="0.25">
      <c r="A779" s="10" t="s">
        <v>1921</v>
      </c>
      <c r="B779" s="10">
        <v>84866</v>
      </c>
      <c r="C779" s="10">
        <v>96617</v>
      </c>
      <c r="D779" s="10" t="s">
        <v>1670</v>
      </c>
      <c r="E779" s="10" t="s">
        <v>1922</v>
      </c>
      <c r="F779" s="10" t="s">
        <v>23</v>
      </c>
      <c r="G779" s="10" t="s">
        <v>13</v>
      </c>
      <c r="H779" s="10" t="s">
        <v>16</v>
      </c>
      <c r="I779" s="11">
        <v>0</v>
      </c>
      <c r="J779" s="11">
        <v>0</v>
      </c>
      <c r="K779" s="11">
        <v>0</v>
      </c>
      <c r="L779" s="6">
        <f t="shared" si="72"/>
        <v>0</v>
      </c>
      <c r="M779" s="12">
        <v>48.75</v>
      </c>
      <c r="N779" s="13">
        <f t="shared" si="73"/>
        <v>0</v>
      </c>
      <c r="O779" s="13">
        <f t="shared" si="74"/>
        <v>0</v>
      </c>
      <c r="P779" s="14">
        <v>162.28588009000001</v>
      </c>
      <c r="Q779" s="8">
        <f t="shared" si="75"/>
        <v>0</v>
      </c>
      <c r="R779" s="8">
        <f t="shared" si="76"/>
        <v>0</v>
      </c>
      <c r="S779" s="15">
        <f t="shared" si="77"/>
        <v>0</v>
      </c>
    </row>
    <row r="780" spans="1:19" x14ac:dyDescent="0.25">
      <c r="A780" s="10" t="s">
        <v>1923</v>
      </c>
      <c r="B780" s="10">
        <v>84875</v>
      </c>
      <c r="C780" s="10">
        <v>96633</v>
      </c>
      <c r="D780" s="10" t="s">
        <v>1164</v>
      </c>
      <c r="E780" s="10" t="s">
        <v>1924</v>
      </c>
      <c r="F780" s="10" t="s">
        <v>23</v>
      </c>
      <c r="G780" s="10" t="s">
        <v>13</v>
      </c>
      <c r="H780" s="10" t="s">
        <v>16</v>
      </c>
      <c r="I780" s="11">
        <v>0</v>
      </c>
      <c r="J780" s="11">
        <v>24</v>
      </c>
      <c r="K780" s="11">
        <v>0</v>
      </c>
      <c r="L780" s="6">
        <f t="shared" si="72"/>
        <v>0</v>
      </c>
      <c r="M780" s="12">
        <v>52.161999999999999</v>
      </c>
      <c r="N780" s="13">
        <f t="shared" si="73"/>
        <v>0</v>
      </c>
      <c r="O780" s="13">
        <f t="shared" si="74"/>
        <v>0</v>
      </c>
      <c r="P780" s="14">
        <v>194.57619170000001</v>
      </c>
      <c r="Q780" s="8">
        <f t="shared" si="75"/>
        <v>0</v>
      </c>
      <c r="R780" s="8">
        <f t="shared" si="76"/>
        <v>0</v>
      </c>
      <c r="S780" s="15">
        <f t="shared" si="77"/>
        <v>0</v>
      </c>
    </row>
    <row r="781" spans="1:19" x14ac:dyDescent="0.25">
      <c r="A781" s="10" t="s">
        <v>1925</v>
      </c>
      <c r="B781" s="10">
        <v>84877</v>
      </c>
      <c r="C781" s="10">
        <v>96634</v>
      </c>
      <c r="D781" s="10" t="s">
        <v>1926</v>
      </c>
      <c r="E781" s="10" t="s">
        <v>1927</v>
      </c>
      <c r="F781" s="10" t="s">
        <v>23</v>
      </c>
      <c r="G781" s="10" t="s">
        <v>13</v>
      </c>
      <c r="H781" s="10" t="s">
        <v>16</v>
      </c>
      <c r="I781" s="11">
        <v>0</v>
      </c>
      <c r="J781" s="11">
        <v>24</v>
      </c>
      <c r="K781" s="11">
        <v>0</v>
      </c>
      <c r="L781" s="6">
        <f t="shared" si="72"/>
        <v>0</v>
      </c>
      <c r="M781" s="12">
        <v>54.97</v>
      </c>
      <c r="N781" s="13">
        <f t="shared" si="73"/>
        <v>0</v>
      </c>
      <c r="O781" s="13">
        <f t="shared" si="74"/>
        <v>0</v>
      </c>
      <c r="P781" s="14">
        <v>182.79456239000001</v>
      </c>
      <c r="Q781" s="8">
        <f t="shared" si="75"/>
        <v>0</v>
      </c>
      <c r="R781" s="8">
        <f t="shared" si="76"/>
        <v>0</v>
      </c>
      <c r="S781" s="15">
        <f t="shared" si="77"/>
        <v>0</v>
      </c>
    </row>
    <row r="782" spans="1:19" x14ac:dyDescent="0.25">
      <c r="A782" s="10" t="s">
        <v>1928</v>
      </c>
      <c r="B782" s="10">
        <v>84877</v>
      </c>
      <c r="C782" s="10">
        <v>96634</v>
      </c>
      <c r="D782" s="10" t="s">
        <v>1926</v>
      </c>
      <c r="E782" s="10" t="s">
        <v>1929</v>
      </c>
      <c r="F782" s="10" t="s">
        <v>23</v>
      </c>
      <c r="G782" s="10" t="s">
        <v>13</v>
      </c>
      <c r="H782" s="10" t="s">
        <v>16</v>
      </c>
      <c r="I782" s="11">
        <v>2</v>
      </c>
      <c r="J782" s="11">
        <v>0</v>
      </c>
      <c r="K782" s="11">
        <v>0</v>
      </c>
      <c r="L782" s="6">
        <f t="shared" si="72"/>
        <v>2</v>
      </c>
      <c r="M782" s="12">
        <v>54.97</v>
      </c>
      <c r="N782" s="13">
        <f t="shared" si="73"/>
        <v>109.94</v>
      </c>
      <c r="O782" s="13">
        <f t="shared" si="74"/>
        <v>0</v>
      </c>
      <c r="P782" s="14">
        <v>186.92456239000001</v>
      </c>
      <c r="Q782" s="8">
        <f t="shared" si="75"/>
        <v>373.84912478000001</v>
      </c>
      <c r="R782" s="8">
        <f t="shared" si="76"/>
        <v>0</v>
      </c>
      <c r="S782" s="15">
        <f t="shared" si="77"/>
        <v>0</v>
      </c>
    </row>
    <row r="783" spans="1:19" x14ac:dyDescent="0.25">
      <c r="A783" s="10" t="s">
        <v>1930</v>
      </c>
      <c r="B783" s="10">
        <v>84885</v>
      </c>
      <c r="C783" s="10">
        <v>96635</v>
      </c>
      <c r="D783" s="10" t="s">
        <v>1931</v>
      </c>
      <c r="E783" s="10" t="s">
        <v>1932</v>
      </c>
      <c r="F783" s="10" t="s">
        <v>23</v>
      </c>
      <c r="G783" s="10" t="s">
        <v>13</v>
      </c>
      <c r="H783" s="10" t="s">
        <v>16</v>
      </c>
      <c r="I783" s="11">
        <v>0</v>
      </c>
      <c r="J783" s="11">
        <v>20</v>
      </c>
      <c r="K783" s="11">
        <v>0</v>
      </c>
      <c r="L783" s="6">
        <f t="shared" si="72"/>
        <v>0</v>
      </c>
      <c r="M783" s="12">
        <v>66.748000000000005</v>
      </c>
      <c r="N783" s="13">
        <f t="shared" si="73"/>
        <v>0</v>
      </c>
      <c r="O783" s="13">
        <f t="shared" si="74"/>
        <v>0</v>
      </c>
      <c r="P783" s="14">
        <v>255.28689502</v>
      </c>
      <c r="Q783" s="8">
        <f t="shared" si="75"/>
        <v>0</v>
      </c>
      <c r="R783" s="8">
        <f t="shared" si="76"/>
        <v>0</v>
      </c>
      <c r="S783" s="15">
        <f t="shared" si="77"/>
        <v>0</v>
      </c>
    </row>
    <row r="784" spans="1:19" x14ac:dyDescent="0.25">
      <c r="A784" s="10" t="s">
        <v>1933</v>
      </c>
      <c r="B784" s="10">
        <v>84885</v>
      </c>
      <c r="C784" s="10">
        <v>96635</v>
      </c>
      <c r="D784" s="10" t="s">
        <v>1931</v>
      </c>
      <c r="E784" s="10" t="s">
        <v>1934</v>
      </c>
      <c r="F784" s="10" t="s">
        <v>23</v>
      </c>
      <c r="G784" s="10" t="s">
        <v>13</v>
      </c>
      <c r="H784" s="10" t="s">
        <v>16</v>
      </c>
      <c r="I784" s="11">
        <v>0</v>
      </c>
      <c r="J784" s="11">
        <v>0</v>
      </c>
      <c r="K784" s="11">
        <v>0</v>
      </c>
      <c r="L784" s="6">
        <f t="shared" si="72"/>
        <v>0</v>
      </c>
      <c r="M784" s="12">
        <v>66.748000000000005</v>
      </c>
      <c r="N784" s="13">
        <f t="shared" si="73"/>
        <v>0</v>
      </c>
      <c r="O784" s="13">
        <f t="shared" si="74"/>
        <v>0</v>
      </c>
      <c r="P784" s="14">
        <v>256.20689501999999</v>
      </c>
      <c r="Q784" s="8">
        <f t="shared" si="75"/>
        <v>0</v>
      </c>
      <c r="R784" s="8">
        <f t="shared" si="76"/>
        <v>0</v>
      </c>
      <c r="S784" s="15">
        <f t="shared" si="77"/>
        <v>0</v>
      </c>
    </row>
    <row r="785" spans="1:19" x14ac:dyDescent="0.25">
      <c r="A785" s="10" t="s">
        <v>1935</v>
      </c>
      <c r="B785" s="10">
        <v>86383</v>
      </c>
      <c r="C785" s="10">
        <v>99780</v>
      </c>
      <c r="D785" s="10" t="s">
        <v>1399</v>
      </c>
      <c r="E785" s="10" t="s">
        <v>1936</v>
      </c>
      <c r="F785" s="10" t="s">
        <v>23</v>
      </c>
      <c r="G785" s="10" t="s">
        <v>13</v>
      </c>
      <c r="H785" s="10" t="s">
        <v>16</v>
      </c>
      <c r="I785" s="11">
        <v>0</v>
      </c>
      <c r="J785" s="11">
        <v>10</v>
      </c>
      <c r="K785" s="11">
        <v>0</v>
      </c>
      <c r="L785" s="6">
        <f t="shared" si="72"/>
        <v>0</v>
      </c>
      <c r="M785" s="12">
        <v>42.411999999999999</v>
      </c>
      <c r="N785" s="13">
        <f t="shared" si="73"/>
        <v>0</v>
      </c>
      <c r="O785" s="13">
        <f t="shared" si="74"/>
        <v>0</v>
      </c>
      <c r="P785" s="14">
        <v>191.07101567999999</v>
      </c>
      <c r="Q785" s="8">
        <f t="shared" si="75"/>
        <v>0</v>
      </c>
      <c r="R785" s="8">
        <f t="shared" si="76"/>
        <v>0</v>
      </c>
      <c r="S785" s="15">
        <f t="shared" si="77"/>
        <v>0</v>
      </c>
    </row>
  </sheetData>
  <autoFilter ref="A1:S785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1"/>
  <sheetViews>
    <sheetView zoomScaleNormal="100" workbookViewId="0">
      <pane ySplit="3" topLeftCell="A4" activePane="bottomLeft" state="frozen"/>
      <selection pane="bottomLeft"/>
    </sheetView>
  </sheetViews>
  <sheetFormatPr defaultColWidth="8.5703125" defaultRowHeight="15" customHeight="1" x14ac:dyDescent="0.25"/>
  <cols>
    <col min="1" max="1" width="14" customWidth="1"/>
    <col min="2" max="2" width="10" customWidth="1"/>
    <col min="3" max="3" width="52" customWidth="1"/>
    <col min="4" max="4" width="26" customWidth="1"/>
    <col min="5" max="5" width="24" customWidth="1"/>
    <col min="6" max="6" width="16" customWidth="1"/>
    <col min="7" max="7" width="13" customWidth="1"/>
    <col min="8" max="8" width="12" customWidth="1"/>
    <col min="9" max="9" width="11" customWidth="1"/>
    <col min="10" max="10" width="12" customWidth="1"/>
    <col min="11" max="11" width="15" customWidth="1"/>
    <col min="12" max="12" width="17" customWidth="1"/>
    <col min="13" max="14" width="16" customWidth="1"/>
  </cols>
  <sheetData>
    <row r="1" spans="1:14" ht="18" x14ac:dyDescent="0.25">
      <c r="A1" s="1" t="s">
        <v>1937</v>
      </c>
    </row>
    <row r="3" spans="1:14" ht="25.5" x14ac:dyDescent="0.25">
      <c r="A3" s="4" t="s">
        <v>25</v>
      </c>
      <c r="B3" s="4" t="s">
        <v>26</v>
      </c>
      <c r="C3" s="4" t="s">
        <v>28</v>
      </c>
      <c r="D3" s="4" t="s">
        <v>29</v>
      </c>
      <c r="E3" s="4" t="s">
        <v>30</v>
      </c>
      <c r="F3" s="4" t="s">
        <v>32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34</v>
      </c>
      <c r="L3" s="4" t="s">
        <v>35</v>
      </c>
      <c r="M3" s="4" t="s">
        <v>10</v>
      </c>
      <c r="N3" s="4" t="s">
        <v>11</v>
      </c>
    </row>
    <row r="4" spans="1:14" x14ac:dyDescent="0.25">
      <c r="A4" s="10" t="s">
        <v>1619</v>
      </c>
      <c r="B4" s="10">
        <v>2102</v>
      </c>
      <c r="C4" s="10" t="s">
        <v>163</v>
      </c>
      <c r="D4" s="10" t="s">
        <v>1620</v>
      </c>
      <c r="E4" s="10" t="s">
        <v>23</v>
      </c>
      <c r="F4" s="10" t="s">
        <v>18</v>
      </c>
      <c r="G4" s="6">
        <v>5</v>
      </c>
      <c r="H4" s="6">
        <v>5</v>
      </c>
      <c r="I4" s="6">
        <v>0</v>
      </c>
      <c r="J4" s="6">
        <v>5</v>
      </c>
      <c r="K4" s="13">
        <v>250.09</v>
      </c>
      <c r="L4" s="13">
        <v>0</v>
      </c>
      <c r="M4" s="8">
        <v>1064.2655314000001</v>
      </c>
      <c r="N4" s="8">
        <v>0</v>
      </c>
    </row>
    <row r="5" spans="1:14" x14ac:dyDescent="0.25">
      <c r="A5" s="10" t="s">
        <v>1621</v>
      </c>
      <c r="B5" s="10">
        <v>2103</v>
      </c>
      <c r="C5" s="10" t="s">
        <v>166</v>
      </c>
      <c r="D5" s="10" t="s">
        <v>1622</v>
      </c>
      <c r="E5" s="10" t="s">
        <v>23</v>
      </c>
      <c r="F5" s="10" t="s">
        <v>18</v>
      </c>
      <c r="G5" s="6">
        <v>0</v>
      </c>
      <c r="H5" s="6">
        <v>1</v>
      </c>
      <c r="I5" s="6">
        <v>0</v>
      </c>
      <c r="J5" s="6">
        <v>0</v>
      </c>
      <c r="K5" s="13">
        <v>0</v>
      </c>
      <c r="L5" s="13">
        <v>0</v>
      </c>
      <c r="M5" s="8">
        <v>0</v>
      </c>
      <c r="N5" s="8">
        <v>0</v>
      </c>
    </row>
    <row r="6" spans="1:14" x14ac:dyDescent="0.25">
      <c r="A6" s="10" t="s">
        <v>1623</v>
      </c>
      <c r="B6" s="10">
        <v>2104</v>
      </c>
      <c r="C6" s="10" t="s">
        <v>169</v>
      </c>
      <c r="D6" s="10" t="s">
        <v>1624</v>
      </c>
      <c r="E6" s="10" t="s">
        <v>23</v>
      </c>
      <c r="F6" s="10" t="s">
        <v>18</v>
      </c>
      <c r="G6" s="6">
        <v>12</v>
      </c>
      <c r="H6" s="6">
        <v>12</v>
      </c>
      <c r="I6" s="6">
        <v>0</v>
      </c>
      <c r="J6" s="6">
        <v>12</v>
      </c>
      <c r="K6" s="13">
        <v>620.1</v>
      </c>
      <c r="L6" s="13">
        <v>0</v>
      </c>
      <c r="M6" s="8">
        <v>1719.97411908</v>
      </c>
      <c r="N6" s="8">
        <v>0</v>
      </c>
    </row>
    <row r="7" spans="1:14" x14ac:dyDescent="0.25">
      <c r="A7" s="10" t="s">
        <v>1625</v>
      </c>
      <c r="B7" s="10">
        <v>2246</v>
      </c>
      <c r="C7" s="10" t="s">
        <v>287</v>
      </c>
      <c r="D7" s="10" t="s">
        <v>1626</v>
      </c>
      <c r="E7" s="10" t="s">
        <v>23</v>
      </c>
      <c r="F7" s="10" t="s">
        <v>18</v>
      </c>
      <c r="G7" s="6">
        <v>495</v>
      </c>
      <c r="H7" s="6">
        <v>523</v>
      </c>
      <c r="I7" s="6">
        <v>461</v>
      </c>
      <c r="J7" s="6">
        <v>34</v>
      </c>
      <c r="K7" s="13">
        <v>7576.9650000000001</v>
      </c>
      <c r="L7" s="13">
        <v>7056.527</v>
      </c>
      <c r="M7" s="8">
        <v>16926.686765999999</v>
      </c>
      <c r="N7" s="8">
        <v>15764.0456548</v>
      </c>
    </row>
    <row r="8" spans="1:14" x14ac:dyDescent="0.25">
      <c r="A8" s="10" t="s">
        <v>1627</v>
      </c>
      <c r="B8" s="10">
        <v>2275</v>
      </c>
      <c r="C8" s="10" t="s">
        <v>1628</v>
      </c>
      <c r="D8" s="10" t="s">
        <v>1629</v>
      </c>
      <c r="E8" s="10" t="s">
        <v>23</v>
      </c>
      <c r="F8" s="10" t="s">
        <v>18</v>
      </c>
      <c r="G8" s="6">
        <v>0</v>
      </c>
      <c r="H8" s="6">
        <v>0</v>
      </c>
      <c r="I8" s="6">
        <v>0</v>
      </c>
      <c r="J8" s="6">
        <v>0</v>
      </c>
      <c r="K8" s="13">
        <v>0</v>
      </c>
      <c r="L8" s="13">
        <v>0</v>
      </c>
      <c r="M8" s="8">
        <v>0</v>
      </c>
      <c r="N8" s="8">
        <v>0</v>
      </c>
    </row>
    <row r="9" spans="1:14" x14ac:dyDescent="0.25">
      <c r="A9" s="10" t="s">
        <v>1630</v>
      </c>
      <c r="B9" s="10">
        <v>2318</v>
      </c>
      <c r="C9" s="10" t="s">
        <v>314</v>
      </c>
      <c r="D9" s="10" t="s">
        <v>1631</v>
      </c>
      <c r="E9" s="10" t="s">
        <v>23</v>
      </c>
      <c r="F9" s="10" t="s">
        <v>18</v>
      </c>
      <c r="G9" s="6">
        <v>6</v>
      </c>
      <c r="H9" s="6">
        <v>6</v>
      </c>
      <c r="I9" s="6">
        <v>1</v>
      </c>
      <c r="J9" s="6">
        <v>5</v>
      </c>
      <c r="K9" s="13">
        <v>229.02600000000001</v>
      </c>
      <c r="L9" s="13">
        <v>38.170999999999999</v>
      </c>
      <c r="M9" s="8">
        <v>716.46851963999995</v>
      </c>
      <c r="N9" s="8">
        <v>119.41141994</v>
      </c>
    </row>
    <row r="10" spans="1:14" x14ac:dyDescent="0.25">
      <c r="A10" s="10" t="s">
        <v>1632</v>
      </c>
      <c r="B10" s="10">
        <v>2319</v>
      </c>
      <c r="C10" s="10" t="s">
        <v>317</v>
      </c>
      <c r="D10" s="10" t="s">
        <v>1633</v>
      </c>
      <c r="E10" s="10" t="s">
        <v>23</v>
      </c>
      <c r="F10" s="10" t="s">
        <v>18</v>
      </c>
      <c r="G10" s="6">
        <v>5</v>
      </c>
      <c r="H10" s="6">
        <v>5</v>
      </c>
      <c r="I10" s="6">
        <v>1</v>
      </c>
      <c r="J10" s="6">
        <v>4</v>
      </c>
      <c r="K10" s="13">
        <v>237.9</v>
      </c>
      <c r="L10" s="13">
        <v>47.58</v>
      </c>
      <c r="M10" s="8">
        <v>699.59885589999999</v>
      </c>
      <c r="N10" s="8">
        <v>139.91977118</v>
      </c>
    </row>
    <row r="11" spans="1:14" x14ac:dyDescent="0.25">
      <c r="A11" s="10" t="s">
        <v>1634</v>
      </c>
      <c r="B11" s="10">
        <v>2320</v>
      </c>
      <c r="C11" s="10" t="s">
        <v>320</v>
      </c>
      <c r="D11" s="10" t="s">
        <v>1635</v>
      </c>
      <c r="E11" s="10" t="s">
        <v>23</v>
      </c>
      <c r="F11" s="10" t="s">
        <v>18</v>
      </c>
      <c r="G11" s="6">
        <v>11</v>
      </c>
      <c r="H11" s="6">
        <v>11</v>
      </c>
      <c r="I11" s="6">
        <v>1</v>
      </c>
      <c r="J11" s="6">
        <v>10</v>
      </c>
      <c r="K11" s="13">
        <v>633.84199999999998</v>
      </c>
      <c r="L11" s="13">
        <v>57.622</v>
      </c>
      <c r="M11" s="8">
        <v>2025.3699313100001</v>
      </c>
      <c r="N11" s="8">
        <v>184.12453920999999</v>
      </c>
    </row>
    <row r="12" spans="1:14" x14ac:dyDescent="0.25">
      <c r="A12" s="10" t="s">
        <v>1636</v>
      </c>
      <c r="B12" s="10">
        <v>75841</v>
      </c>
      <c r="C12" s="10" t="s">
        <v>1637</v>
      </c>
      <c r="D12" s="10" t="s">
        <v>1638</v>
      </c>
      <c r="E12" s="10" t="s">
        <v>23</v>
      </c>
      <c r="F12" s="10" t="s">
        <v>18</v>
      </c>
      <c r="G12" s="6">
        <v>0</v>
      </c>
      <c r="H12" s="6">
        <v>0</v>
      </c>
      <c r="I12" s="6">
        <v>0</v>
      </c>
      <c r="J12" s="6">
        <v>0</v>
      </c>
      <c r="K12" s="13">
        <v>0</v>
      </c>
      <c r="L12" s="13">
        <v>0</v>
      </c>
      <c r="M12" s="8">
        <v>0</v>
      </c>
      <c r="N12" s="8">
        <v>0</v>
      </c>
    </row>
    <row r="13" spans="1:14" x14ac:dyDescent="0.25">
      <c r="A13" s="10" t="s">
        <v>1639</v>
      </c>
      <c r="B13" s="10">
        <v>75868</v>
      </c>
      <c r="C13" s="10" t="s">
        <v>1017</v>
      </c>
      <c r="D13" s="10" t="s">
        <v>1640</v>
      </c>
      <c r="E13" s="10" t="s">
        <v>23</v>
      </c>
      <c r="F13" s="10" t="s">
        <v>18</v>
      </c>
      <c r="G13" s="6">
        <v>0</v>
      </c>
      <c r="H13" s="6">
        <v>25</v>
      </c>
      <c r="I13" s="6">
        <v>0</v>
      </c>
      <c r="J13" s="6">
        <v>0</v>
      </c>
      <c r="K13" s="13">
        <v>0</v>
      </c>
      <c r="L13" s="13">
        <v>0</v>
      </c>
      <c r="M13" s="8">
        <v>0</v>
      </c>
      <c r="N13" s="8">
        <v>0</v>
      </c>
    </row>
    <row r="14" spans="1:14" x14ac:dyDescent="0.25">
      <c r="A14" s="10" t="s">
        <v>1641</v>
      </c>
      <c r="B14" s="10">
        <v>75871</v>
      </c>
      <c r="C14" s="10" t="s">
        <v>1024</v>
      </c>
      <c r="D14" s="10" t="s">
        <v>1642</v>
      </c>
      <c r="E14" s="10" t="s">
        <v>23</v>
      </c>
      <c r="F14" s="10" t="s">
        <v>18</v>
      </c>
      <c r="G14" s="6">
        <v>23</v>
      </c>
      <c r="H14" s="6">
        <v>26</v>
      </c>
      <c r="I14" s="6">
        <v>0</v>
      </c>
      <c r="J14" s="6">
        <v>23</v>
      </c>
      <c r="K14" s="13">
        <v>392.42599999999999</v>
      </c>
      <c r="L14" s="13">
        <v>0</v>
      </c>
      <c r="M14" s="8">
        <v>1198.1058346899999</v>
      </c>
      <c r="N14" s="8">
        <v>0</v>
      </c>
    </row>
    <row r="15" spans="1:14" x14ac:dyDescent="0.25">
      <c r="A15" s="10" t="s">
        <v>1643</v>
      </c>
      <c r="B15" s="10">
        <v>76348</v>
      </c>
      <c r="C15" s="10" t="s">
        <v>1029</v>
      </c>
      <c r="D15" s="10" t="s">
        <v>1644</v>
      </c>
      <c r="E15" s="10" t="s">
        <v>23</v>
      </c>
      <c r="F15" s="10" t="s">
        <v>18</v>
      </c>
      <c r="G15" s="6">
        <v>0</v>
      </c>
      <c r="H15" s="6">
        <v>0</v>
      </c>
      <c r="I15" s="6">
        <v>0</v>
      </c>
      <c r="J15" s="6">
        <v>0</v>
      </c>
      <c r="K15" s="13">
        <v>0</v>
      </c>
      <c r="L15" s="13">
        <v>0</v>
      </c>
      <c r="M15" s="8">
        <v>0</v>
      </c>
      <c r="N15" s="8">
        <v>0</v>
      </c>
    </row>
    <row r="16" spans="1:14" x14ac:dyDescent="0.25">
      <c r="A16" s="10" t="s">
        <v>1645</v>
      </c>
      <c r="B16" s="10">
        <v>84635</v>
      </c>
      <c r="C16" s="10" t="s">
        <v>1646</v>
      </c>
      <c r="D16" s="10" t="s">
        <v>1647</v>
      </c>
      <c r="E16" s="10" t="s">
        <v>23</v>
      </c>
      <c r="F16" s="10" t="s">
        <v>18</v>
      </c>
      <c r="G16" s="6">
        <v>0</v>
      </c>
      <c r="H16" s="6">
        <v>20</v>
      </c>
      <c r="I16" s="6">
        <v>0</v>
      </c>
      <c r="J16" s="6">
        <v>0</v>
      </c>
      <c r="K16" s="13">
        <v>0</v>
      </c>
      <c r="L16" s="13">
        <v>0</v>
      </c>
      <c r="M16" s="8">
        <v>0</v>
      </c>
      <c r="N16" s="8">
        <v>0</v>
      </c>
    </row>
    <row r="17" spans="1:14" x14ac:dyDescent="0.25">
      <c r="A17" s="10" t="s">
        <v>1648</v>
      </c>
      <c r="B17" s="10">
        <v>84688</v>
      </c>
      <c r="C17" s="10" t="s">
        <v>1649</v>
      </c>
      <c r="D17" s="10" t="s">
        <v>1650</v>
      </c>
      <c r="E17" s="10" t="s">
        <v>23</v>
      </c>
      <c r="F17" s="10" t="s">
        <v>18</v>
      </c>
      <c r="G17" s="6">
        <v>0</v>
      </c>
      <c r="H17" s="6">
        <v>20</v>
      </c>
      <c r="I17" s="6">
        <v>0</v>
      </c>
      <c r="J17" s="6">
        <v>0</v>
      </c>
      <c r="K17" s="13">
        <v>0</v>
      </c>
      <c r="L17" s="13">
        <v>0</v>
      </c>
      <c r="M17" s="8">
        <v>0</v>
      </c>
      <c r="N17" s="8">
        <v>0</v>
      </c>
    </row>
    <row r="18" spans="1:14" x14ac:dyDescent="0.25">
      <c r="A18" s="10" t="s">
        <v>1651</v>
      </c>
      <c r="B18" s="10">
        <v>84701</v>
      </c>
      <c r="C18" s="10" t="s">
        <v>1652</v>
      </c>
      <c r="D18" s="10" t="s">
        <v>1653</v>
      </c>
      <c r="E18" s="10" t="s">
        <v>23</v>
      </c>
      <c r="F18" s="10" t="s">
        <v>18</v>
      </c>
      <c r="G18" s="6">
        <v>0</v>
      </c>
      <c r="H18" s="6">
        <v>20</v>
      </c>
      <c r="I18" s="6">
        <v>0</v>
      </c>
      <c r="J18" s="6">
        <v>0</v>
      </c>
      <c r="K18" s="13">
        <v>0</v>
      </c>
      <c r="L18" s="13">
        <v>0</v>
      </c>
      <c r="M18" s="8">
        <v>0</v>
      </c>
      <c r="N18" s="8">
        <v>0</v>
      </c>
    </row>
    <row r="19" spans="1:14" x14ac:dyDescent="0.25">
      <c r="A19" s="10" t="s">
        <v>1654</v>
      </c>
      <c r="B19" s="10">
        <v>84712</v>
      </c>
      <c r="C19" s="10" t="s">
        <v>1655</v>
      </c>
      <c r="D19" s="10" t="s">
        <v>1656</v>
      </c>
      <c r="E19" s="10" t="s">
        <v>23</v>
      </c>
      <c r="F19" s="10" t="s">
        <v>18</v>
      </c>
      <c r="G19" s="6">
        <v>0</v>
      </c>
      <c r="H19" s="6">
        <v>20</v>
      </c>
      <c r="I19" s="6">
        <v>0</v>
      </c>
      <c r="J19" s="6">
        <v>0</v>
      </c>
      <c r="K19" s="13">
        <v>0</v>
      </c>
      <c r="L19" s="13">
        <v>0</v>
      </c>
      <c r="M19" s="8">
        <v>0</v>
      </c>
      <c r="N19" s="8">
        <v>0</v>
      </c>
    </row>
    <row r="20" spans="1:14" x14ac:dyDescent="0.25">
      <c r="A20" s="10" t="s">
        <v>1657</v>
      </c>
      <c r="B20" s="10">
        <v>84715</v>
      </c>
      <c r="C20" s="10" t="s">
        <v>1658</v>
      </c>
      <c r="D20" s="10" t="s">
        <v>1659</v>
      </c>
      <c r="E20" s="10" t="s">
        <v>23</v>
      </c>
      <c r="F20" s="10" t="s">
        <v>18</v>
      </c>
      <c r="G20" s="6">
        <v>0</v>
      </c>
      <c r="H20" s="6">
        <v>0</v>
      </c>
      <c r="I20" s="6">
        <v>0</v>
      </c>
      <c r="J20" s="6">
        <v>0</v>
      </c>
      <c r="K20" s="13">
        <v>0</v>
      </c>
      <c r="L20" s="13">
        <v>0</v>
      </c>
      <c r="M20" s="8">
        <v>0</v>
      </c>
      <c r="N20" s="8">
        <v>0</v>
      </c>
    </row>
    <row r="21" spans="1:14" x14ac:dyDescent="0.25">
      <c r="A21" s="10" t="s">
        <v>1660</v>
      </c>
      <c r="B21" s="10">
        <v>84800</v>
      </c>
      <c r="C21" s="10" t="s">
        <v>1145</v>
      </c>
      <c r="D21" s="10" t="s">
        <v>1661</v>
      </c>
      <c r="E21" s="10" t="s">
        <v>23</v>
      </c>
      <c r="F21" s="10" t="s">
        <v>18</v>
      </c>
      <c r="G21" s="6">
        <v>21</v>
      </c>
      <c r="H21" s="6">
        <v>21</v>
      </c>
      <c r="I21" s="6">
        <v>0</v>
      </c>
      <c r="J21" s="6">
        <v>21</v>
      </c>
      <c r="K21" s="13">
        <v>1228.5</v>
      </c>
      <c r="L21" s="13">
        <v>0</v>
      </c>
      <c r="M21" s="8">
        <v>3976.1621783099999</v>
      </c>
      <c r="N21" s="8">
        <v>0</v>
      </c>
    </row>
    <row r="22" spans="1:14" x14ac:dyDescent="0.25">
      <c r="A22" s="10" t="s">
        <v>1662</v>
      </c>
      <c r="B22" s="10">
        <v>84809</v>
      </c>
      <c r="C22" s="10" t="s">
        <v>1150</v>
      </c>
      <c r="D22" s="10" t="s">
        <v>1663</v>
      </c>
      <c r="E22" s="10" t="s">
        <v>23</v>
      </c>
      <c r="F22" s="10" t="s">
        <v>18</v>
      </c>
      <c r="G22" s="6">
        <v>0</v>
      </c>
      <c r="H22" s="6">
        <v>0</v>
      </c>
      <c r="I22" s="6">
        <v>0</v>
      </c>
      <c r="J22" s="6">
        <v>0</v>
      </c>
      <c r="K22" s="13">
        <v>0</v>
      </c>
      <c r="L22" s="13">
        <v>0</v>
      </c>
      <c r="M22" s="8">
        <v>0</v>
      </c>
      <c r="N22" s="8">
        <v>0</v>
      </c>
    </row>
    <row r="23" spans="1:14" x14ac:dyDescent="0.25">
      <c r="A23" s="10" t="s">
        <v>1664</v>
      </c>
      <c r="B23" s="10">
        <v>84836</v>
      </c>
      <c r="C23" s="10" t="s">
        <v>1158</v>
      </c>
      <c r="D23" s="10" t="s">
        <v>1665</v>
      </c>
      <c r="E23" s="10" t="s">
        <v>23</v>
      </c>
      <c r="F23" s="10" t="s">
        <v>18</v>
      </c>
      <c r="G23" s="6">
        <v>547</v>
      </c>
      <c r="H23" s="6">
        <v>578</v>
      </c>
      <c r="I23" s="6">
        <v>461</v>
      </c>
      <c r="J23" s="6">
        <v>86</v>
      </c>
      <c r="K23" s="13">
        <v>28266.224999999999</v>
      </c>
      <c r="L23" s="13">
        <v>23822.174999999999</v>
      </c>
      <c r="M23" s="8">
        <v>95262.796027520002</v>
      </c>
      <c r="N23" s="8">
        <v>80285.46429376</v>
      </c>
    </row>
    <row r="24" spans="1:14" x14ac:dyDescent="0.25">
      <c r="A24" s="10" t="s">
        <v>1666</v>
      </c>
      <c r="B24" s="10">
        <v>84860</v>
      </c>
      <c r="C24" s="10" t="s">
        <v>1667</v>
      </c>
      <c r="D24" s="10" t="s">
        <v>1668</v>
      </c>
      <c r="E24" s="10" t="s">
        <v>23</v>
      </c>
      <c r="F24" s="10" t="s">
        <v>18</v>
      </c>
      <c r="G24" s="6">
        <v>81</v>
      </c>
      <c r="H24" s="6">
        <v>74</v>
      </c>
      <c r="I24" s="6">
        <v>31</v>
      </c>
      <c r="J24" s="6">
        <v>50</v>
      </c>
      <c r="K24" s="13">
        <v>4738.5</v>
      </c>
      <c r="L24" s="13">
        <v>1813.5</v>
      </c>
      <c r="M24" s="8">
        <v>24758.569628640002</v>
      </c>
      <c r="N24" s="8">
        <v>9475.5019566400006</v>
      </c>
    </row>
    <row r="25" spans="1:14" x14ac:dyDescent="0.25">
      <c r="A25" s="10" t="s">
        <v>1669</v>
      </c>
      <c r="B25" s="10">
        <v>84866</v>
      </c>
      <c r="C25" s="10" t="s">
        <v>1670</v>
      </c>
      <c r="D25" s="10" t="s">
        <v>1671</v>
      </c>
      <c r="E25" s="10" t="s">
        <v>23</v>
      </c>
      <c r="F25" s="10" t="s">
        <v>18</v>
      </c>
      <c r="G25" s="6">
        <v>98</v>
      </c>
      <c r="H25" s="6">
        <v>98</v>
      </c>
      <c r="I25" s="6">
        <v>31</v>
      </c>
      <c r="J25" s="6">
        <v>67</v>
      </c>
      <c r="K25" s="13">
        <v>4777.5</v>
      </c>
      <c r="L25" s="13">
        <v>1511.25</v>
      </c>
      <c r="M25" s="8">
        <v>8556.4427964400002</v>
      </c>
      <c r="N25" s="8">
        <v>2706.6298641799999</v>
      </c>
    </row>
    <row r="26" spans="1:14" x14ac:dyDescent="0.25">
      <c r="A26" s="10" t="s">
        <v>1672</v>
      </c>
      <c r="B26" s="10">
        <v>86204</v>
      </c>
      <c r="C26" s="10" t="s">
        <v>1379</v>
      </c>
      <c r="D26" s="10" t="s">
        <v>1673</v>
      </c>
      <c r="E26" s="10" t="s">
        <v>23</v>
      </c>
      <c r="F26" s="10" t="s">
        <v>18</v>
      </c>
      <c r="G26" s="6">
        <v>25</v>
      </c>
      <c r="H26" s="6">
        <v>25</v>
      </c>
      <c r="I26" s="6">
        <v>0</v>
      </c>
      <c r="J26" s="6">
        <v>25</v>
      </c>
      <c r="K26" s="13">
        <v>766.57500000000005</v>
      </c>
      <c r="L26" s="13">
        <v>0</v>
      </c>
      <c r="M26" s="8">
        <v>3675.1307145000001</v>
      </c>
      <c r="N26" s="8">
        <v>0</v>
      </c>
    </row>
    <row r="27" spans="1:14" x14ac:dyDescent="0.25">
      <c r="A27" s="10" t="s">
        <v>1674</v>
      </c>
      <c r="B27" s="10">
        <v>86265</v>
      </c>
      <c r="C27" s="10" t="s">
        <v>1382</v>
      </c>
      <c r="D27" s="10" t="s">
        <v>1675</v>
      </c>
      <c r="E27" s="10" t="s">
        <v>23</v>
      </c>
      <c r="F27" s="10" t="s">
        <v>18</v>
      </c>
      <c r="G27" s="6">
        <v>24</v>
      </c>
      <c r="H27" s="6">
        <v>23</v>
      </c>
      <c r="I27" s="6">
        <v>0</v>
      </c>
      <c r="J27" s="6">
        <v>24</v>
      </c>
      <c r="K27" s="13">
        <v>1145.424</v>
      </c>
      <c r="L27" s="13">
        <v>0</v>
      </c>
      <c r="M27" s="8">
        <v>3815.6828786400001</v>
      </c>
      <c r="N27" s="8">
        <v>0</v>
      </c>
    </row>
    <row r="28" spans="1:14" x14ac:dyDescent="0.25">
      <c r="A28" s="10" t="s">
        <v>1676</v>
      </c>
      <c r="B28" s="10">
        <v>86318</v>
      </c>
      <c r="C28" s="10" t="s">
        <v>1385</v>
      </c>
      <c r="D28" s="10" t="s">
        <v>1677</v>
      </c>
      <c r="E28" s="10" t="s">
        <v>23</v>
      </c>
      <c r="F28" s="10" t="s">
        <v>18</v>
      </c>
      <c r="G28" s="6">
        <v>4</v>
      </c>
      <c r="H28" s="6">
        <v>5</v>
      </c>
      <c r="I28" s="6">
        <v>0</v>
      </c>
      <c r="J28" s="6">
        <v>4</v>
      </c>
      <c r="K28" s="13">
        <v>115.63200000000001</v>
      </c>
      <c r="L28" s="13">
        <v>0</v>
      </c>
      <c r="M28" s="8">
        <v>519.84998756000005</v>
      </c>
      <c r="N28" s="8">
        <v>0</v>
      </c>
    </row>
    <row r="29" spans="1:14" x14ac:dyDescent="0.25">
      <c r="A29" s="10" t="s">
        <v>1678</v>
      </c>
      <c r="B29" s="10">
        <v>86324</v>
      </c>
      <c r="C29" s="10" t="s">
        <v>1388</v>
      </c>
      <c r="D29" s="10" t="s">
        <v>1679</v>
      </c>
      <c r="E29" s="10" t="s">
        <v>23</v>
      </c>
      <c r="F29" s="10" t="s">
        <v>18</v>
      </c>
      <c r="G29" s="6">
        <v>0</v>
      </c>
      <c r="H29" s="6">
        <v>0</v>
      </c>
      <c r="I29" s="6">
        <v>0</v>
      </c>
      <c r="J29" s="6">
        <v>0</v>
      </c>
      <c r="K29" s="13">
        <v>0</v>
      </c>
      <c r="L29" s="13">
        <v>0</v>
      </c>
      <c r="M29" s="8">
        <v>0</v>
      </c>
      <c r="N29" s="8">
        <v>0</v>
      </c>
    </row>
    <row r="30" spans="1:14" x14ac:dyDescent="0.25">
      <c r="A30" s="10" t="s">
        <v>1680</v>
      </c>
      <c r="B30" s="10">
        <v>86332</v>
      </c>
      <c r="C30" s="10" t="s">
        <v>1393</v>
      </c>
      <c r="D30" s="10" t="s">
        <v>1681</v>
      </c>
      <c r="E30" s="10" t="s">
        <v>23</v>
      </c>
      <c r="F30" s="10" t="s">
        <v>18</v>
      </c>
      <c r="G30" s="6">
        <v>0</v>
      </c>
      <c r="H30" s="6">
        <v>2</v>
      </c>
      <c r="I30" s="6">
        <v>0</v>
      </c>
      <c r="J30" s="6">
        <v>0</v>
      </c>
      <c r="K30" s="13">
        <v>0</v>
      </c>
      <c r="L30" s="13">
        <v>0</v>
      </c>
      <c r="M30" s="8">
        <v>0</v>
      </c>
      <c r="N30" s="8">
        <v>0</v>
      </c>
    </row>
    <row r="31" spans="1:14" x14ac:dyDescent="0.25">
      <c r="A31" s="10" t="s">
        <v>1682</v>
      </c>
      <c r="B31" s="10">
        <v>86373</v>
      </c>
      <c r="C31" s="10" t="s">
        <v>1396</v>
      </c>
      <c r="D31" s="10" t="s">
        <v>1683</v>
      </c>
      <c r="E31" s="10" t="s">
        <v>23</v>
      </c>
      <c r="F31" s="10" t="s">
        <v>18</v>
      </c>
      <c r="G31" s="6">
        <v>13</v>
      </c>
      <c r="H31" s="6">
        <v>1</v>
      </c>
      <c r="I31" s="6">
        <v>0</v>
      </c>
      <c r="J31" s="6">
        <v>13</v>
      </c>
      <c r="K31" s="13">
        <v>825.13599999999997</v>
      </c>
      <c r="L31" s="13">
        <v>0</v>
      </c>
      <c r="M31" s="8">
        <v>2803.49934644</v>
      </c>
      <c r="N31" s="8">
        <v>0</v>
      </c>
    </row>
    <row r="32" spans="1:14" x14ac:dyDescent="0.25">
      <c r="A32" s="10" t="s">
        <v>1684</v>
      </c>
      <c r="B32" s="10">
        <v>2406</v>
      </c>
      <c r="C32" s="10" t="s">
        <v>377</v>
      </c>
      <c r="D32" s="10" t="s">
        <v>1685</v>
      </c>
      <c r="E32" s="10" t="s">
        <v>23</v>
      </c>
      <c r="F32" s="10" t="s">
        <v>17</v>
      </c>
      <c r="G32" s="6">
        <v>68</v>
      </c>
      <c r="H32" s="6">
        <v>64</v>
      </c>
      <c r="I32" s="6">
        <v>63</v>
      </c>
      <c r="J32" s="6">
        <v>5</v>
      </c>
      <c r="K32" s="13">
        <v>4375.8</v>
      </c>
      <c r="L32" s="13">
        <v>4054.05</v>
      </c>
      <c r="M32" s="8">
        <v>22382.55588684</v>
      </c>
      <c r="N32" s="8">
        <v>20736.779718689999</v>
      </c>
    </row>
    <row r="33" spans="1:14" x14ac:dyDescent="0.25">
      <c r="A33" s="10" t="s">
        <v>1686</v>
      </c>
      <c r="B33" s="10">
        <v>2407</v>
      </c>
      <c r="C33" s="10" t="s">
        <v>380</v>
      </c>
      <c r="D33" s="10" t="s">
        <v>1687</v>
      </c>
      <c r="E33" s="10" t="s">
        <v>23</v>
      </c>
      <c r="F33" s="10" t="s">
        <v>17</v>
      </c>
      <c r="G33" s="6">
        <v>74</v>
      </c>
      <c r="H33" s="6">
        <v>76</v>
      </c>
      <c r="I33" s="6">
        <v>63</v>
      </c>
      <c r="J33" s="6">
        <v>11</v>
      </c>
      <c r="K33" s="13">
        <v>4083.69</v>
      </c>
      <c r="L33" s="13">
        <v>3476.6550000000002</v>
      </c>
      <c r="M33" s="8">
        <v>13693.19209878</v>
      </c>
      <c r="N33" s="8">
        <v>11657.717597610001</v>
      </c>
    </row>
    <row r="34" spans="1:14" x14ac:dyDescent="0.25">
      <c r="A34" s="10" t="s">
        <v>1688</v>
      </c>
      <c r="B34" s="10">
        <v>2408</v>
      </c>
      <c r="C34" s="10" t="s">
        <v>383</v>
      </c>
      <c r="D34" s="10" t="s">
        <v>1689</v>
      </c>
      <c r="E34" s="10" t="s">
        <v>23</v>
      </c>
      <c r="F34" s="10" t="s">
        <v>17</v>
      </c>
      <c r="G34" s="6">
        <v>63</v>
      </c>
      <c r="H34" s="6">
        <v>66</v>
      </c>
      <c r="I34" s="6">
        <v>63</v>
      </c>
      <c r="J34" s="6">
        <v>0</v>
      </c>
      <c r="K34" s="13">
        <v>3562.65</v>
      </c>
      <c r="L34" s="13">
        <v>3562.65</v>
      </c>
      <c r="M34" s="8">
        <v>14314.44820932</v>
      </c>
      <c r="N34" s="8">
        <v>14314.44820932</v>
      </c>
    </row>
    <row r="35" spans="1:14" x14ac:dyDescent="0.25">
      <c r="A35" s="10" t="s">
        <v>1690</v>
      </c>
      <c r="B35" s="10">
        <v>72777</v>
      </c>
      <c r="C35" s="10" t="s">
        <v>480</v>
      </c>
      <c r="D35" s="10" t="s">
        <v>1691</v>
      </c>
      <c r="E35" s="10" t="s">
        <v>23</v>
      </c>
      <c r="F35" s="10" t="s">
        <v>17</v>
      </c>
      <c r="G35" s="6">
        <v>44</v>
      </c>
      <c r="H35" s="6">
        <v>43</v>
      </c>
      <c r="I35" s="6">
        <v>30</v>
      </c>
      <c r="J35" s="6">
        <v>14</v>
      </c>
      <c r="K35" s="13">
        <v>1716</v>
      </c>
      <c r="L35" s="13">
        <v>1170</v>
      </c>
      <c r="M35" s="8">
        <v>3969.88919536</v>
      </c>
      <c r="N35" s="8">
        <v>2706.7426332</v>
      </c>
    </row>
    <row r="36" spans="1:14" x14ac:dyDescent="0.25">
      <c r="A36" s="10" t="s">
        <v>1692</v>
      </c>
      <c r="B36" s="10">
        <v>72777</v>
      </c>
      <c r="C36" s="10" t="s">
        <v>480</v>
      </c>
      <c r="D36" s="10" t="s">
        <v>1693</v>
      </c>
      <c r="E36" s="10" t="s">
        <v>23</v>
      </c>
      <c r="F36" s="10" t="s">
        <v>17</v>
      </c>
      <c r="G36" s="6">
        <v>65</v>
      </c>
      <c r="H36" s="6">
        <v>65</v>
      </c>
      <c r="I36" s="6">
        <v>1</v>
      </c>
      <c r="J36" s="6">
        <v>64</v>
      </c>
      <c r="K36" s="13">
        <v>2535</v>
      </c>
      <c r="L36" s="13">
        <v>39</v>
      </c>
      <c r="M36" s="8">
        <v>5198.2520193500004</v>
      </c>
      <c r="N36" s="8">
        <v>79.973107990000003</v>
      </c>
    </row>
    <row r="37" spans="1:14" x14ac:dyDescent="0.25">
      <c r="A37" s="10" t="s">
        <v>1694</v>
      </c>
      <c r="B37" s="10">
        <v>72829</v>
      </c>
      <c r="C37" s="10" t="s">
        <v>488</v>
      </c>
      <c r="D37" s="10" t="s">
        <v>1695</v>
      </c>
      <c r="E37" s="10" t="s">
        <v>21</v>
      </c>
      <c r="F37" s="10" t="s">
        <v>17</v>
      </c>
      <c r="G37" s="6">
        <v>0</v>
      </c>
      <c r="H37" s="6">
        <v>23</v>
      </c>
      <c r="I37" s="6">
        <v>0</v>
      </c>
      <c r="J37" s="6">
        <v>0</v>
      </c>
      <c r="K37" s="13">
        <v>0</v>
      </c>
      <c r="L37" s="13">
        <v>0</v>
      </c>
      <c r="M37" s="8">
        <v>0</v>
      </c>
      <c r="N37" s="8">
        <v>0</v>
      </c>
    </row>
    <row r="38" spans="1:14" x14ac:dyDescent="0.25">
      <c r="A38" s="10" t="s">
        <v>1696</v>
      </c>
      <c r="B38" s="10">
        <v>72879</v>
      </c>
      <c r="C38" s="10" t="s">
        <v>501</v>
      </c>
      <c r="D38" s="10" t="s">
        <v>1697</v>
      </c>
      <c r="E38" s="10" t="s">
        <v>21</v>
      </c>
      <c r="F38" s="10" t="s">
        <v>17</v>
      </c>
      <c r="G38" s="6">
        <v>0</v>
      </c>
      <c r="H38" s="6">
        <v>23</v>
      </c>
      <c r="I38" s="6">
        <v>0</v>
      </c>
      <c r="J38" s="6">
        <v>0</v>
      </c>
      <c r="K38" s="13">
        <v>0</v>
      </c>
      <c r="L38" s="13">
        <v>0</v>
      </c>
      <c r="M38" s="8">
        <v>0</v>
      </c>
      <c r="N38" s="8">
        <v>0</v>
      </c>
    </row>
    <row r="39" spans="1:14" x14ac:dyDescent="0.25">
      <c r="A39" s="10" t="s">
        <v>1698</v>
      </c>
      <c r="B39" s="10">
        <v>73166</v>
      </c>
      <c r="C39" s="10" t="s">
        <v>589</v>
      </c>
      <c r="D39" s="10" t="s">
        <v>1699</v>
      </c>
      <c r="E39" s="10" t="s">
        <v>21</v>
      </c>
      <c r="F39" s="10" t="s">
        <v>17</v>
      </c>
      <c r="G39" s="6">
        <v>21</v>
      </c>
      <c r="H39" s="6">
        <v>21</v>
      </c>
      <c r="I39" s="6">
        <v>11</v>
      </c>
      <c r="J39" s="6">
        <v>10</v>
      </c>
      <c r="K39" s="13">
        <v>409.5</v>
      </c>
      <c r="L39" s="13">
        <v>214.5</v>
      </c>
      <c r="M39" s="8">
        <v>1876.1394483300001</v>
      </c>
      <c r="N39" s="8">
        <v>982.73971102999997</v>
      </c>
    </row>
    <row r="40" spans="1:14" x14ac:dyDescent="0.25">
      <c r="A40" s="10" t="s">
        <v>1700</v>
      </c>
      <c r="B40" s="10">
        <v>73233</v>
      </c>
      <c r="C40" s="10" t="s">
        <v>1701</v>
      </c>
      <c r="D40" s="10" t="s">
        <v>1702</v>
      </c>
      <c r="E40" s="10" t="s">
        <v>22</v>
      </c>
      <c r="F40" s="10" t="s">
        <v>17</v>
      </c>
      <c r="G40" s="6">
        <v>0</v>
      </c>
      <c r="H40" s="6">
        <v>0</v>
      </c>
      <c r="I40" s="6">
        <v>0</v>
      </c>
      <c r="J40" s="6">
        <v>0</v>
      </c>
      <c r="K40" s="13">
        <v>0</v>
      </c>
      <c r="L40" s="13">
        <v>0</v>
      </c>
      <c r="M40" s="8">
        <v>0</v>
      </c>
      <c r="N40" s="8">
        <v>0</v>
      </c>
    </row>
    <row r="41" spans="1:14" x14ac:dyDescent="0.25">
      <c r="A41" s="10" t="s">
        <v>1703</v>
      </c>
      <c r="B41" s="10">
        <v>73233</v>
      </c>
      <c r="C41" s="10" t="s">
        <v>1701</v>
      </c>
      <c r="D41" s="10" t="s">
        <v>1704</v>
      </c>
      <c r="E41" s="10" t="s">
        <v>22</v>
      </c>
      <c r="F41" s="10" t="s">
        <v>17</v>
      </c>
      <c r="G41" s="6">
        <v>1</v>
      </c>
      <c r="H41" s="6">
        <v>0</v>
      </c>
      <c r="I41" s="6">
        <v>1</v>
      </c>
      <c r="J41" s="6">
        <v>0</v>
      </c>
      <c r="K41" s="13">
        <v>15.327</v>
      </c>
      <c r="L41" s="13">
        <v>15.327</v>
      </c>
      <c r="M41" s="8">
        <v>63.331879350000001</v>
      </c>
      <c r="N41" s="8">
        <v>63.331879350000001</v>
      </c>
    </row>
    <row r="42" spans="1:14" x14ac:dyDescent="0.25">
      <c r="A42" s="10" t="s">
        <v>1705</v>
      </c>
      <c r="B42" s="10">
        <v>73255</v>
      </c>
      <c r="C42" s="10" t="s">
        <v>1706</v>
      </c>
      <c r="D42" s="10" t="s">
        <v>1707</v>
      </c>
      <c r="E42" s="10" t="s">
        <v>22</v>
      </c>
      <c r="F42" s="10" t="s">
        <v>17</v>
      </c>
      <c r="G42" s="6">
        <v>0</v>
      </c>
      <c r="H42" s="6">
        <v>0</v>
      </c>
      <c r="I42" s="6">
        <v>0</v>
      </c>
      <c r="J42" s="6">
        <v>0</v>
      </c>
      <c r="K42" s="13">
        <v>0</v>
      </c>
      <c r="L42" s="13">
        <v>0</v>
      </c>
      <c r="M42" s="8">
        <v>0</v>
      </c>
      <c r="N42" s="8">
        <v>0</v>
      </c>
    </row>
    <row r="43" spans="1:14" x14ac:dyDescent="0.25">
      <c r="A43" s="10" t="s">
        <v>1708</v>
      </c>
      <c r="B43" s="10">
        <v>73276</v>
      </c>
      <c r="C43" s="10" t="s">
        <v>629</v>
      </c>
      <c r="D43" s="10" t="s">
        <v>1709</v>
      </c>
      <c r="E43" s="10" t="s">
        <v>21</v>
      </c>
      <c r="F43" s="10" t="s">
        <v>17</v>
      </c>
      <c r="G43" s="6">
        <v>76</v>
      </c>
      <c r="H43" s="6">
        <v>62</v>
      </c>
      <c r="I43" s="6">
        <v>43</v>
      </c>
      <c r="J43" s="6">
        <v>33</v>
      </c>
      <c r="K43" s="13">
        <v>2262.2919999999999</v>
      </c>
      <c r="L43" s="13">
        <v>1279.981</v>
      </c>
      <c r="M43" s="8">
        <v>7562.9438865599996</v>
      </c>
      <c r="N43" s="8">
        <v>4279.03404108</v>
      </c>
    </row>
    <row r="44" spans="1:14" x14ac:dyDescent="0.25">
      <c r="A44" s="10" t="s">
        <v>1710</v>
      </c>
      <c r="B44" s="10">
        <v>73277</v>
      </c>
      <c r="C44" s="10" t="s">
        <v>634</v>
      </c>
      <c r="D44" s="10" t="s">
        <v>1711</v>
      </c>
      <c r="E44" s="10" t="s">
        <v>21</v>
      </c>
      <c r="F44" s="10" t="s">
        <v>17</v>
      </c>
      <c r="G44" s="6">
        <v>59</v>
      </c>
      <c r="H44" s="6">
        <v>50</v>
      </c>
      <c r="I44" s="6">
        <v>28</v>
      </c>
      <c r="J44" s="6">
        <v>31</v>
      </c>
      <c r="K44" s="13">
        <v>2460.9490000000001</v>
      </c>
      <c r="L44" s="13">
        <v>1167.9079999999999</v>
      </c>
      <c r="M44" s="8">
        <v>10552.73493839</v>
      </c>
      <c r="N44" s="8">
        <v>5008.0775978800002</v>
      </c>
    </row>
    <row r="45" spans="1:14" x14ac:dyDescent="0.25">
      <c r="A45" s="10" t="s">
        <v>1712</v>
      </c>
      <c r="B45" s="10">
        <v>73277</v>
      </c>
      <c r="C45" s="10" t="s">
        <v>634</v>
      </c>
      <c r="D45" s="10" t="s">
        <v>1713</v>
      </c>
      <c r="E45" s="10" t="s">
        <v>21</v>
      </c>
      <c r="F45" s="10" t="s">
        <v>17</v>
      </c>
      <c r="G45" s="6">
        <v>15</v>
      </c>
      <c r="H45" s="6">
        <v>16</v>
      </c>
      <c r="I45" s="6">
        <v>15</v>
      </c>
      <c r="J45" s="6">
        <v>0</v>
      </c>
      <c r="K45" s="13">
        <v>625.66499999999996</v>
      </c>
      <c r="L45" s="13">
        <v>625.66499999999996</v>
      </c>
      <c r="M45" s="8">
        <v>2607.4351062000001</v>
      </c>
      <c r="N45" s="8">
        <v>2607.4351062000001</v>
      </c>
    </row>
    <row r="46" spans="1:14" x14ac:dyDescent="0.25">
      <c r="A46" s="10" t="s">
        <v>1714</v>
      </c>
      <c r="B46" s="10">
        <v>73285</v>
      </c>
      <c r="C46" s="10" t="s">
        <v>669</v>
      </c>
      <c r="D46" s="10" t="s">
        <v>1715</v>
      </c>
      <c r="E46" s="10" t="s">
        <v>21</v>
      </c>
      <c r="F46" s="10" t="s">
        <v>17</v>
      </c>
      <c r="G46" s="6">
        <v>24</v>
      </c>
      <c r="H46" s="6">
        <v>23</v>
      </c>
      <c r="I46" s="6">
        <v>24</v>
      </c>
      <c r="J46" s="6">
        <v>0</v>
      </c>
      <c r="K46" s="13">
        <v>1037.7840000000001</v>
      </c>
      <c r="L46" s="13">
        <v>1037.7840000000001</v>
      </c>
      <c r="M46" s="8">
        <v>4319.8905650400002</v>
      </c>
      <c r="N46" s="8">
        <v>4319.8905650400002</v>
      </c>
    </row>
    <row r="47" spans="1:14" x14ac:dyDescent="0.25">
      <c r="A47" s="10" t="s">
        <v>1716</v>
      </c>
      <c r="B47" s="10">
        <v>73285</v>
      </c>
      <c r="C47" s="10" t="s">
        <v>669</v>
      </c>
      <c r="D47" s="10" t="s">
        <v>1717</v>
      </c>
      <c r="E47" s="10" t="s">
        <v>21</v>
      </c>
      <c r="F47" s="10" t="s">
        <v>17</v>
      </c>
      <c r="G47" s="6">
        <v>72</v>
      </c>
      <c r="H47" s="6">
        <v>74</v>
      </c>
      <c r="I47" s="6">
        <v>45</v>
      </c>
      <c r="J47" s="6">
        <v>27</v>
      </c>
      <c r="K47" s="13">
        <v>3113.3519999999999</v>
      </c>
      <c r="L47" s="13">
        <v>1945.845</v>
      </c>
      <c r="M47" s="8">
        <v>12765.374387280001</v>
      </c>
      <c r="N47" s="8">
        <v>7978.3589920499999</v>
      </c>
    </row>
    <row r="48" spans="1:14" x14ac:dyDescent="0.25">
      <c r="A48" s="10" t="s">
        <v>1718</v>
      </c>
      <c r="B48" s="10">
        <v>73286</v>
      </c>
      <c r="C48" s="10" t="s">
        <v>676</v>
      </c>
      <c r="D48" s="10" t="s">
        <v>1719</v>
      </c>
      <c r="E48" s="10" t="s">
        <v>21</v>
      </c>
      <c r="F48" s="10" t="s">
        <v>17</v>
      </c>
      <c r="G48" s="6">
        <v>24</v>
      </c>
      <c r="H48" s="6">
        <v>43</v>
      </c>
      <c r="I48" s="6">
        <v>24</v>
      </c>
      <c r="J48" s="6">
        <v>0</v>
      </c>
      <c r="K48" s="13">
        <v>985.12800000000004</v>
      </c>
      <c r="L48" s="13">
        <v>985.12800000000004</v>
      </c>
      <c r="M48" s="8">
        <v>3543.8369966400001</v>
      </c>
      <c r="N48" s="8">
        <v>3543.8369966400001</v>
      </c>
    </row>
    <row r="49" spans="1:14" x14ac:dyDescent="0.25">
      <c r="A49" s="10" t="s">
        <v>1720</v>
      </c>
      <c r="B49" s="10">
        <v>73286</v>
      </c>
      <c r="C49" s="10" t="s">
        <v>676</v>
      </c>
      <c r="D49" s="10" t="s">
        <v>1721</v>
      </c>
      <c r="E49" s="10" t="s">
        <v>21</v>
      </c>
      <c r="F49" s="10" t="s">
        <v>17</v>
      </c>
      <c r="G49" s="6">
        <v>72</v>
      </c>
      <c r="H49" s="6">
        <v>74</v>
      </c>
      <c r="I49" s="6">
        <v>45</v>
      </c>
      <c r="J49" s="6">
        <v>27</v>
      </c>
      <c r="K49" s="13">
        <v>2955.384</v>
      </c>
      <c r="L49" s="13">
        <v>1847.115</v>
      </c>
      <c r="M49" s="8">
        <v>10619.016148799999</v>
      </c>
      <c r="N49" s="8">
        <v>6636.8850929999999</v>
      </c>
    </row>
    <row r="50" spans="1:14" x14ac:dyDescent="0.25">
      <c r="A50" s="10" t="s">
        <v>1722</v>
      </c>
      <c r="B50" s="10">
        <v>73350</v>
      </c>
      <c r="C50" s="10" t="s">
        <v>1723</v>
      </c>
      <c r="D50" s="10" t="s">
        <v>1724</v>
      </c>
      <c r="E50" s="10" t="s">
        <v>22</v>
      </c>
      <c r="F50" s="10" t="s">
        <v>17</v>
      </c>
      <c r="G50" s="6">
        <v>92</v>
      </c>
      <c r="H50" s="6">
        <v>171</v>
      </c>
      <c r="I50" s="6">
        <v>80</v>
      </c>
      <c r="J50" s="6">
        <v>12</v>
      </c>
      <c r="K50" s="13">
        <v>3060.5639999999999</v>
      </c>
      <c r="L50" s="13">
        <v>2661.36</v>
      </c>
      <c r="M50" s="8">
        <v>16185.45514484</v>
      </c>
      <c r="N50" s="8">
        <v>14074.3088216</v>
      </c>
    </row>
    <row r="51" spans="1:14" x14ac:dyDescent="0.25">
      <c r="A51" s="10" t="s">
        <v>1725</v>
      </c>
      <c r="B51" s="10">
        <v>73534</v>
      </c>
      <c r="C51" s="10" t="s">
        <v>763</v>
      </c>
      <c r="D51" s="10" t="s">
        <v>1726</v>
      </c>
      <c r="E51" s="10" t="s">
        <v>22</v>
      </c>
      <c r="F51" s="10" t="s">
        <v>17</v>
      </c>
      <c r="G51" s="6">
        <v>2</v>
      </c>
      <c r="H51" s="6">
        <v>3</v>
      </c>
      <c r="I51" s="6">
        <v>0</v>
      </c>
      <c r="J51" s="6">
        <v>2</v>
      </c>
      <c r="K51" s="13">
        <v>22.716000000000001</v>
      </c>
      <c r="L51" s="13">
        <v>0</v>
      </c>
      <c r="M51" s="8">
        <v>176.50918106</v>
      </c>
      <c r="N51" s="8">
        <v>0</v>
      </c>
    </row>
    <row r="52" spans="1:14" x14ac:dyDescent="0.25">
      <c r="A52" s="10" t="s">
        <v>1727</v>
      </c>
      <c r="B52" s="10">
        <v>73534</v>
      </c>
      <c r="C52" s="10" t="s">
        <v>763</v>
      </c>
      <c r="D52" s="10" t="s">
        <v>1728</v>
      </c>
      <c r="E52" s="10" t="s">
        <v>22</v>
      </c>
      <c r="F52" s="10" t="s">
        <v>17</v>
      </c>
      <c r="G52" s="6">
        <v>1</v>
      </c>
      <c r="H52" s="6">
        <v>0</v>
      </c>
      <c r="I52" s="6">
        <v>0</v>
      </c>
      <c r="J52" s="6">
        <v>1</v>
      </c>
      <c r="K52" s="13">
        <v>11.358000000000001</v>
      </c>
      <c r="L52" s="13">
        <v>0</v>
      </c>
      <c r="M52" s="8">
        <v>94.386972180000001</v>
      </c>
      <c r="N52" s="8">
        <v>0</v>
      </c>
    </row>
    <row r="53" spans="1:14" x14ac:dyDescent="0.25">
      <c r="A53" s="10" t="s">
        <v>1729</v>
      </c>
      <c r="B53" s="10">
        <v>73534</v>
      </c>
      <c r="C53" s="10" t="s">
        <v>763</v>
      </c>
      <c r="D53" s="10" t="s">
        <v>1730</v>
      </c>
      <c r="E53" s="10" t="s">
        <v>22</v>
      </c>
      <c r="F53" s="10" t="s">
        <v>17</v>
      </c>
      <c r="G53" s="6">
        <v>0</v>
      </c>
      <c r="H53" s="6">
        <v>0</v>
      </c>
      <c r="I53" s="6">
        <v>0</v>
      </c>
      <c r="J53" s="6">
        <v>0</v>
      </c>
      <c r="K53" s="13">
        <v>0</v>
      </c>
      <c r="L53" s="13">
        <v>0</v>
      </c>
      <c r="M53" s="8">
        <v>0</v>
      </c>
      <c r="N53" s="8">
        <v>0</v>
      </c>
    </row>
    <row r="54" spans="1:14" x14ac:dyDescent="0.25">
      <c r="A54" s="10" t="s">
        <v>1731</v>
      </c>
      <c r="B54" s="10">
        <v>73534</v>
      </c>
      <c r="C54" s="10" t="s">
        <v>763</v>
      </c>
      <c r="D54" s="10" t="s">
        <v>1732</v>
      </c>
      <c r="E54" s="10" t="s">
        <v>22</v>
      </c>
      <c r="F54" s="10" t="s">
        <v>17</v>
      </c>
      <c r="G54" s="6">
        <v>0</v>
      </c>
      <c r="H54" s="6">
        <v>0</v>
      </c>
      <c r="I54" s="6">
        <v>0</v>
      </c>
      <c r="J54" s="6">
        <v>0</v>
      </c>
      <c r="K54" s="13">
        <v>0</v>
      </c>
      <c r="L54" s="13">
        <v>0</v>
      </c>
      <c r="M54" s="8">
        <v>0</v>
      </c>
      <c r="N54" s="8">
        <v>0</v>
      </c>
    </row>
    <row r="55" spans="1:14" x14ac:dyDescent="0.25">
      <c r="A55" s="10" t="s">
        <v>1733</v>
      </c>
      <c r="B55" s="10">
        <v>73534</v>
      </c>
      <c r="C55" s="10" t="s">
        <v>763</v>
      </c>
      <c r="D55" s="10" t="s">
        <v>1734</v>
      </c>
      <c r="E55" s="10" t="s">
        <v>22</v>
      </c>
      <c r="F55" s="10" t="s">
        <v>17</v>
      </c>
      <c r="G55" s="6">
        <v>5</v>
      </c>
      <c r="H55" s="6">
        <v>88</v>
      </c>
      <c r="I55" s="6">
        <v>0</v>
      </c>
      <c r="J55" s="6">
        <v>5</v>
      </c>
      <c r="K55" s="13">
        <v>56.79</v>
      </c>
      <c r="L55" s="13">
        <v>0</v>
      </c>
      <c r="M55" s="8">
        <v>533.86960209999995</v>
      </c>
      <c r="N55" s="8">
        <v>0</v>
      </c>
    </row>
    <row r="56" spans="1:14" x14ac:dyDescent="0.25">
      <c r="A56" s="10" t="s">
        <v>1735</v>
      </c>
      <c r="B56" s="10">
        <v>74551</v>
      </c>
      <c r="C56" s="10" t="s">
        <v>974</v>
      </c>
      <c r="D56" s="10" t="s">
        <v>1736</v>
      </c>
      <c r="E56" s="10" t="s">
        <v>22</v>
      </c>
      <c r="F56" s="10" t="s">
        <v>17</v>
      </c>
      <c r="G56" s="6">
        <v>0</v>
      </c>
      <c r="H56" s="6">
        <v>0</v>
      </c>
      <c r="I56" s="6">
        <v>0</v>
      </c>
      <c r="J56" s="6">
        <v>0</v>
      </c>
      <c r="K56" s="13">
        <v>0</v>
      </c>
      <c r="L56" s="13">
        <v>0</v>
      </c>
      <c r="M56" s="8">
        <v>0</v>
      </c>
      <c r="N56" s="8">
        <v>0</v>
      </c>
    </row>
    <row r="57" spans="1:14" x14ac:dyDescent="0.25">
      <c r="A57" s="10" t="s">
        <v>1737</v>
      </c>
      <c r="B57" s="10">
        <v>74552</v>
      </c>
      <c r="C57" s="10" t="s">
        <v>979</v>
      </c>
      <c r="D57" s="10" t="s">
        <v>1738</v>
      </c>
      <c r="E57" s="10" t="s">
        <v>22</v>
      </c>
      <c r="F57" s="10" t="s">
        <v>17</v>
      </c>
      <c r="G57" s="6">
        <v>0</v>
      </c>
      <c r="H57" s="6">
        <v>0</v>
      </c>
      <c r="I57" s="6">
        <v>0</v>
      </c>
      <c r="J57" s="6">
        <v>0</v>
      </c>
      <c r="K57" s="13">
        <v>0</v>
      </c>
      <c r="L57" s="13">
        <v>0</v>
      </c>
      <c r="M57" s="8">
        <v>0</v>
      </c>
      <c r="N57" s="8">
        <v>0</v>
      </c>
    </row>
    <row r="58" spans="1:14" x14ac:dyDescent="0.25">
      <c r="A58" s="10" t="s">
        <v>1739</v>
      </c>
      <c r="B58" s="10">
        <v>77197</v>
      </c>
      <c r="C58" s="10" t="s">
        <v>1740</v>
      </c>
      <c r="D58" s="10" t="s">
        <v>1741</v>
      </c>
      <c r="E58" s="10" t="s">
        <v>23</v>
      </c>
      <c r="F58" s="10" t="s">
        <v>17</v>
      </c>
      <c r="G58" s="6">
        <v>88</v>
      </c>
      <c r="H58" s="6">
        <v>87</v>
      </c>
      <c r="I58" s="6">
        <v>31</v>
      </c>
      <c r="J58" s="6">
        <v>57</v>
      </c>
      <c r="K58" s="13">
        <v>2487.7600000000002</v>
      </c>
      <c r="L58" s="13">
        <v>876.37</v>
      </c>
      <c r="M58" s="8">
        <v>10660.53034816</v>
      </c>
      <c r="N58" s="8">
        <v>3755.4140999199999</v>
      </c>
    </row>
    <row r="59" spans="1:14" x14ac:dyDescent="0.25">
      <c r="A59" s="10" t="s">
        <v>1742</v>
      </c>
      <c r="B59" s="10">
        <v>81941</v>
      </c>
      <c r="C59" s="10" t="s">
        <v>1077</v>
      </c>
      <c r="D59" s="10" t="s">
        <v>1743</v>
      </c>
      <c r="E59" s="10" t="s">
        <v>21</v>
      </c>
      <c r="F59" s="10" t="s">
        <v>17</v>
      </c>
      <c r="G59" s="6">
        <v>0</v>
      </c>
      <c r="H59" s="6">
        <v>0</v>
      </c>
      <c r="I59" s="6">
        <v>0</v>
      </c>
      <c r="J59" s="6">
        <v>0</v>
      </c>
      <c r="K59" s="13">
        <v>0</v>
      </c>
      <c r="L59" s="13">
        <v>0</v>
      </c>
      <c r="M59" s="8">
        <v>0</v>
      </c>
      <c r="N59" s="8">
        <v>0</v>
      </c>
    </row>
    <row r="60" spans="1:14" x14ac:dyDescent="0.25">
      <c r="A60" s="10" t="s">
        <v>1744</v>
      </c>
      <c r="B60" s="10">
        <v>81942</v>
      </c>
      <c r="C60" s="10" t="s">
        <v>1080</v>
      </c>
      <c r="D60" s="10" t="s">
        <v>1745</v>
      </c>
      <c r="E60" s="10" t="s">
        <v>21</v>
      </c>
      <c r="F60" s="10" t="s">
        <v>17</v>
      </c>
      <c r="G60" s="6">
        <v>0</v>
      </c>
      <c r="H60" s="6">
        <v>0</v>
      </c>
      <c r="I60" s="6">
        <v>0</v>
      </c>
      <c r="J60" s="6">
        <v>0</v>
      </c>
      <c r="K60" s="13">
        <v>0</v>
      </c>
      <c r="L60" s="13">
        <v>0</v>
      </c>
      <c r="M60" s="8">
        <v>0</v>
      </c>
      <c r="N60" s="8">
        <v>0</v>
      </c>
    </row>
    <row r="61" spans="1:14" x14ac:dyDescent="0.25">
      <c r="A61" s="10" t="s">
        <v>1746</v>
      </c>
      <c r="B61" s="10">
        <v>83251</v>
      </c>
      <c r="C61" s="10" t="s">
        <v>1083</v>
      </c>
      <c r="D61" s="10" t="s">
        <v>1747</v>
      </c>
      <c r="E61" s="10" t="s">
        <v>22</v>
      </c>
      <c r="F61" s="10" t="s">
        <v>17</v>
      </c>
      <c r="G61" s="6">
        <v>21</v>
      </c>
      <c r="H61" s="6">
        <v>21</v>
      </c>
      <c r="I61" s="6">
        <v>21</v>
      </c>
      <c r="J61" s="6">
        <v>0</v>
      </c>
      <c r="K61" s="13">
        <v>332.51400000000001</v>
      </c>
      <c r="L61" s="13">
        <v>332.51400000000001</v>
      </c>
      <c r="M61" s="8">
        <v>2073.9553520700001</v>
      </c>
      <c r="N61" s="8">
        <v>2073.9553520700001</v>
      </c>
    </row>
    <row r="62" spans="1:14" x14ac:dyDescent="0.25">
      <c r="A62" s="10" t="s">
        <v>1748</v>
      </c>
      <c r="B62" s="10">
        <v>83251</v>
      </c>
      <c r="C62" s="10" t="s">
        <v>1083</v>
      </c>
      <c r="D62" s="10" t="s">
        <v>1749</v>
      </c>
      <c r="E62" s="10" t="s">
        <v>22</v>
      </c>
      <c r="F62" s="10" t="s">
        <v>17</v>
      </c>
      <c r="G62" s="6">
        <v>120</v>
      </c>
      <c r="H62" s="6">
        <v>120</v>
      </c>
      <c r="I62" s="6">
        <v>120</v>
      </c>
      <c r="J62" s="6">
        <v>0</v>
      </c>
      <c r="K62" s="13">
        <v>1900.08</v>
      </c>
      <c r="L62" s="13">
        <v>1900.08</v>
      </c>
      <c r="M62" s="8">
        <v>11855.973440399999</v>
      </c>
      <c r="N62" s="8">
        <v>11855.973440399999</v>
      </c>
    </row>
    <row r="63" spans="1:14" x14ac:dyDescent="0.25">
      <c r="A63" s="10" t="s">
        <v>1750</v>
      </c>
      <c r="B63" s="10">
        <v>84901</v>
      </c>
      <c r="C63" s="10" t="s">
        <v>1177</v>
      </c>
      <c r="D63" s="10" t="s">
        <v>1751</v>
      </c>
      <c r="E63" s="10" t="s">
        <v>21</v>
      </c>
      <c r="F63" s="10" t="s">
        <v>17</v>
      </c>
      <c r="G63" s="6">
        <v>78</v>
      </c>
      <c r="H63" s="6">
        <v>78</v>
      </c>
      <c r="I63" s="6">
        <v>0</v>
      </c>
      <c r="J63" s="6">
        <v>78</v>
      </c>
      <c r="K63" s="13">
        <v>2859.48</v>
      </c>
      <c r="L63" s="13">
        <v>0</v>
      </c>
      <c r="M63" s="8">
        <v>12394.352147580001</v>
      </c>
      <c r="N63" s="8">
        <v>0</v>
      </c>
    </row>
    <row r="64" spans="1:14" x14ac:dyDescent="0.25">
      <c r="A64" s="10" t="s">
        <v>1752</v>
      </c>
      <c r="B64" s="10">
        <v>84911</v>
      </c>
      <c r="C64" s="10" t="s">
        <v>1182</v>
      </c>
      <c r="D64" s="10" t="s">
        <v>1753</v>
      </c>
      <c r="E64" s="10" t="s">
        <v>21</v>
      </c>
      <c r="F64" s="10" t="s">
        <v>17</v>
      </c>
      <c r="G64" s="6">
        <v>0</v>
      </c>
      <c r="H64" s="6">
        <v>0</v>
      </c>
      <c r="I64" s="6">
        <v>0</v>
      </c>
      <c r="J64" s="6">
        <v>0</v>
      </c>
      <c r="K64" s="13">
        <v>0</v>
      </c>
      <c r="L64" s="13">
        <v>0</v>
      </c>
      <c r="M64" s="8">
        <v>0</v>
      </c>
      <c r="N64" s="8">
        <v>0</v>
      </c>
    </row>
    <row r="65" spans="1:14" x14ac:dyDescent="0.25">
      <c r="A65" s="10" t="s">
        <v>1754</v>
      </c>
      <c r="B65" s="10">
        <v>84941</v>
      </c>
      <c r="C65" s="10" t="s">
        <v>1222</v>
      </c>
      <c r="D65" s="10" t="s">
        <v>1755</v>
      </c>
      <c r="E65" s="10" t="s">
        <v>21</v>
      </c>
      <c r="F65" s="10" t="s">
        <v>17</v>
      </c>
      <c r="G65" s="6">
        <v>30</v>
      </c>
      <c r="H65" s="6">
        <v>22</v>
      </c>
      <c r="I65" s="6">
        <v>30</v>
      </c>
      <c r="J65" s="6">
        <v>0</v>
      </c>
      <c r="K65" s="13">
        <v>672.75</v>
      </c>
      <c r="L65" s="13">
        <v>672.75</v>
      </c>
      <c r="M65" s="8">
        <v>2775.6740937</v>
      </c>
      <c r="N65" s="8">
        <v>2775.6740937</v>
      </c>
    </row>
    <row r="66" spans="1:14" x14ac:dyDescent="0.25">
      <c r="A66" s="10" t="s">
        <v>1756</v>
      </c>
      <c r="B66" s="10">
        <v>84946</v>
      </c>
      <c r="C66" s="10" t="s">
        <v>1757</v>
      </c>
      <c r="D66" s="10" t="s">
        <v>1758</v>
      </c>
      <c r="E66" s="10" t="s">
        <v>21</v>
      </c>
      <c r="F66" s="10" t="s">
        <v>17</v>
      </c>
      <c r="G66" s="6">
        <v>6</v>
      </c>
      <c r="H66" s="6">
        <v>6</v>
      </c>
      <c r="I66" s="6">
        <v>4</v>
      </c>
      <c r="J66" s="6">
        <v>2</v>
      </c>
      <c r="K66" s="13">
        <v>239.73</v>
      </c>
      <c r="L66" s="13">
        <v>159.82</v>
      </c>
      <c r="M66" s="8">
        <v>942.13977702</v>
      </c>
      <c r="N66" s="8">
        <v>628.09318468000004</v>
      </c>
    </row>
    <row r="67" spans="1:14" x14ac:dyDescent="0.25">
      <c r="A67" s="10" t="s">
        <v>1759</v>
      </c>
      <c r="B67" s="10">
        <v>84946</v>
      </c>
      <c r="C67" s="10" t="s">
        <v>1757</v>
      </c>
      <c r="D67" s="10" t="s">
        <v>1760</v>
      </c>
      <c r="E67" s="10" t="s">
        <v>21</v>
      </c>
      <c r="F67" s="10" t="s">
        <v>17</v>
      </c>
      <c r="G67" s="6">
        <v>2</v>
      </c>
      <c r="H67" s="6">
        <v>3</v>
      </c>
      <c r="I67" s="6">
        <v>2</v>
      </c>
      <c r="J67" s="6">
        <v>0</v>
      </c>
      <c r="K67" s="13">
        <v>79.91</v>
      </c>
      <c r="L67" s="13">
        <v>79.91</v>
      </c>
      <c r="M67" s="8">
        <v>276.56702858</v>
      </c>
      <c r="N67" s="8">
        <v>276.56702858</v>
      </c>
    </row>
    <row r="68" spans="1:14" x14ac:dyDescent="0.25">
      <c r="A68" s="10" t="s">
        <v>1761</v>
      </c>
      <c r="B68" s="10">
        <v>84946</v>
      </c>
      <c r="C68" s="10" t="s">
        <v>1757</v>
      </c>
      <c r="D68" s="10" t="s">
        <v>1762</v>
      </c>
      <c r="E68" s="10" t="s">
        <v>21</v>
      </c>
      <c r="F68" s="10" t="s">
        <v>17</v>
      </c>
      <c r="G68" s="6">
        <v>27</v>
      </c>
      <c r="H68" s="6">
        <v>27</v>
      </c>
      <c r="I68" s="6">
        <v>27</v>
      </c>
      <c r="J68" s="6">
        <v>0</v>
      </c>
      <c r="K68" s="13">
        <v>1078.7850000000001</v>
      </c>
      <c r="L68" s="13">
        <v>1078.7850000000001</v>
      </c>
      <c r="M68" s="8">
        <v>4350.3289965900003</v>
      </c>
      <c r="N68" s="8">
        <v>4350.3289965900003</v>
      </c>
    </row>
    <row r="69" spans="1:14" x14ac:dyDescent="0.25">
      <c r="A69" s="10" t="s">
        <v>1763</v>
      </c>
      <c r="B69" s="10">
        <v>84946</v>
      </c>
      <c r="C69" s="10" t="s">
        <v>1757</v>
      </c>
      <c r="D69" s="10" t="s">
        <v>1764</v>
      </c>
      <c r="E69" s="10" t="s">
        <v>21</v>
      </c>
      <c r="F69" s="10" t="s">
        <v>17</v>
      </c>
      <c r="G69" s="6">
        <v>0</v>
      </c>
      <c r="H69" s="6">
        <v>0</v>
      </c>
      <c r="I69" s="6">
        <v>0</v>
      </c>
      <c r="J69" s="6">
        <v>0</v>
      </c>
      <c r="K69" s="13">
        <v>0</v>
      </c>
      <c r="L69" s="13">
        <v>0</v>
      </c>
      <c r="M69" s="8">
        <v>0</v>
      </c>
      <c r="N69" s="8">
        <v>0</v>
      </c>
    </row>
    <row r="70" spans="1:14" x14ac:dyDescent="0.25">
      <c r="A70" s="10" t="s">
        <v>1765</v>
      </c>
      <c r="B70" s="10">
        <v>85315</v>
      </c>
      <c r="C70" s="10" t="s">
        <v>1294</v>
      </c>
      <c r="D70" s="10" t="s">
        <v>1766</v>
      </c>
      <c r="E70" s="10" t="s">
        <v>22</v>
      </c>
      <c r="F70" s="10" t="s">
        <v>17</v>
      </c>
      <c r="G70" s="6">
        <v>1</v>
      </c>
      <c r="H70" s="6">
        <v>1</v>
      </c>
      <c r="I70" s="6">
        <v>0</v>
      </c>
      <c r="J70" s="6">
        <v>1</v>
      </c>
      <c r="K70" s="13">
        <v>14.625</v>
      </c>
      <c r="L70" s="13">
        <v>0</v>
      </c>
      <c r="M70" s="8">
        <v>92.257231579999996</v>
      </c>
      <c r="N70" s="8">
        <v>0</v>
      </c>
    </row>
    <row r="71" spans="1:14" x14ac:dyDescent="0.25">
      <c r="A71" s="10" t="s">
        <v>1767</v>
      </c>
      <c r="B71" s="10">
        <v>85524</v>
      </c>
      <c r="C71" s="10" t="s">
        <v>1340</v>
      </c>
      <c r="D71" s="10" t="s">
        <v>1768</v>
      </c>
      <c r="E71" s="10" t="s">
        <v>22</v>
      </c>
      <c r="F71" s="10" t="s">
        <v>17</v>
      </c>
      <c r="G71" s="6">
        <v>42</v>
      </c>
      <c r="H71" s="6">
        <v>42</v>
      </c>
      <c r="I71" s="6">
        <v>0</v>
      </c>
      <c r="J71" s="6">
        <v>42</v>
      </c>
      <c r="K71" s="13">
        <v>941.85</v>
      </c>
      <c r="L71" s="13">
        <v>0</v>
      </c>
      <c r="M71" s="8">
        <v>5760.1970416200002</v>
      </c>
      <c r="N71" s="8">
        <v>0</v>
      </c>
    </row>
    <row r="72" spans="1:14" x14ac:dyDescent="0.25">
      <c r="A72" s="10" t="s">
        <v>1769</v>
      </c>
      <c r="B72" s="10">
        <v>101</v>
      </c>
      <c r="C72" s="10" t="s">
        <v>39</v>
      </c>
      <c r="D72" s="10" t="s">
        <v>1770</v>
      </c>
      <c r="E72" s="10" t="s">
        <v>23</v>
      </c>
      <c r="F72" s="10" t="s">
        <v>16</v>
      </c>
      <c r="G72" s="6">
        <v>0</v>
      </c>
      <c r="H72" s="6">
        <v>0</v>
      </c>
      <c r="I72" s="6">
        <v>0</v>
      </c>
      <c r="J72" s="6">
        <v>0</v>
      </c>
      <c r="K72" s="13">
        <v>0</v>
      </c>
      <c r="L72" s="13">
        <v>0</v>
      </c>
      <c r="M72" s="8">
        <v>0</v>
      </c>
      <c r="N72" s="8">
        <v>0</v>
      </c>
    </row>
    <row r="73" spans="1:14" x14ac:dyDescent="0.25">
      <c r="A73" s="10" t="s">
        <v>1771</v>
      </c>
      <c r="B73" s="10">
        <v>154</v>
      </c>
      <c r="C73" s="10" t="s">
        <v>56</v>
      </c>
      <c r="D73" s="10" t="s">
        <v>1772</v>
      </c>
      <c r="E73" s="10" t="s">
        <v>20</v>
      </c>
      <c r="F73" s="10" t="s">
        <v>16</v>
      </c>
      <c r="G73" s="6">
        <v>252</v>
      </c>
      <c r="H73" s="6">
        <v>252</v>
      </c>
      <c r="I73" s="6">
        <v>55</v>
      </c>
      <c r="J73" s="6">
        <v>197</v>
      </c>
      <c r="K73" s="13">
        <v>176.904</v>
      </c>
      <c r="L73" s="13">
        <v>38.61</v>
      </c>
      <c r="M73" s="8">
        <v>1776.5406287999999</v>
      </c>
      <c r="N73" s="8">
        <v>387.73704199999997</v>
      </c>
    </row>
    <row r="74" spans="1:14" x14ac:dyDescent="0.25">
      <c r="A74" s="10" t="s">
        <v>1773</v>
      </c>
      <c r="B74" s="10">
        <v>185</v>
      </c>
      <c r="C74" s="10" t="s">
        <v>80</v>
      </c>
      <c r="D74" s="10" t="s">
        <v>1774</v>
      </c>
      <c r="E74" s="10" t="s">
        <v>23</v>
      </c>
      <c r="F74" s="10" t="s">
        <v>16</v>
      </c>
      <c r="G74" s="6">
        <v>0</v>
      </c>
      <c r="H74" s="6">
        <v>0</v>
      </c>
      <c r="I74" s="6">
        <v>0</v>
      </c>
      <c r="J74" s="6">
        <v>0</v>
      </c>
      <c r="K74" s="13">
        <v>0</v>
      </c>
      <c r="L74" s="13">
        <v>0</v>
      </c>
      <c r="M74" s="8">
        <v>0</v>
      </c>
      <c r="N74" s="8">
        <v>0</v>
      </c>
    </row>
    <row r="75" spans="1:14" x14ac:dyDescent="0.25">
      <c r="A75" s="10" t="s">
        <v>1775</v>
      </c>
      <c r="B75" s="10">
        <v>2104</v>
      </c>
      <c r="C75" s="10" t="s">
        <v>169</v>
      </c>
      <c r="D75" s="10" t="s">
        <v>1776</v>
      </c>
      <c r="E75" s="10" t="s">
        <v>23</v>
      </c>
      <c r="F75" s="10" t="s">
        <v>16</v>
      </c>
      <c r="G75" s="6">
        <v>0</v>
      </c>
      <c r="H75" s="6">
        <v>0</v>
      </c>
      <c r="I75" s="6">
        <v>0</v>
      </c>
      <c r="J75" s="6">
        <v>0</v>
      </c>
      <c r="K75" s="13">
        <v>0</v>
      </c>
      <c r="L75" s="13">
        <v>0</v>
      </c>
      <c r="M75" s="8">
        <v>0</v>
      </c>
      <c r="N75" s="8">
        <v>0</v>
      </c>
    </row>
    <row r="76" spans="1:14" x14ac:dyDescent="0.25">
      <c r="A76" s="10" t="s">
        <v>1777</v>
      </c>
      <c r="B76" s="10">
        <v>2105</v>
      </c>
      <c r="C76" s="10" t="s">
        <v>172</v>
      </c>
      <c r="D76" s="10" t="s">
        <v>1778</v>
      </c>
      <c r="E76" s="10" t="s">
        <v>23</v>
      </c>
      <c r="F76" s="10" t="s">
        <v>16</v>
      </c>
      <c r="G76" s="6">
        <v>0</v>
      </c>
      <c r="H76" s="6">
        <v>0</v>
      </c>
      <c r="I76" s="6">
        <v>0</v>
      </c>
      <c r="J76" s="6">
        <v>0</v>
      </c>
      <c r="K76" s="13">
        <v>0</v>
      </c>
      <c r="L76" s="13">
        <v>0</v>
      </c>
      <c r="M76" s="8">
        <v>0</v>
      </c>
      <c r="N76" s="8">
        <v>0</v>
      </c>
    </row>
    <row r="77" spans="1:14" x14ac:dyDescent="0.25">
      <c r="A77" s="10" t="s">
        <v>1779</v>
      </c>
      <c r="B77" s="10">
        <v>2107</v>
      </c>
      <c r="C77" s="10" t="s">
        <v>179</v>
      </c>
      <c r="D77" s="10" t="s">
        <v>1780</v>
      </c>
      <c r="E77" s="10" t="s">
        <v>23</v>
      </c>
      <c r="F77" s="10" t="s">
        <v>16</v>
      </c>
      <c r="G77" s="6">
        <v>14</v>
      </c>
      <c r="H77" s="6">
        <v>14</v>
      </c>
      <c r="I77" s="6">
        <v>0</v>
      </c>
      <c r="J77" s="6">
        <v>14</v>
      </c>
      <c r="K77" s="13">
        <v>713.88800000000003</v>
      </c>
      <c r="L77" s="13">
        <v>0</v>
      </c>
      <c r="M77" s="8">
        <v>2061.49023528</v>
      </c>
      <c r="N77" s="8">
        <v>0</v>
      </c>
    </row>
    <row r="78" spans="1:14" x14ac:dyDescent="0.25">
      <c r="A78" s="10" t="s">
        <v>1781</v>
      </c>
      <c r="B78" s="10">
        <v>2108</v>
      </c>
      <c r="C78" s="10" t="s">
        <v>182</v>
      </c>
      <c r="D78" s="10" t="s">
        <v>1782</v>
      </c>
      <c r="E78" s="10" t="s">
        <v>23</v>
      </c>
      <c r="F78" s="10" t="s">
        <v>16</v>
      </c>
      <c r="G78" s="6">
        <v>0</v>
      </c>
      <c r="H78" s="6">
        <v>0</v>
      </c>
      <c r="I78" s="6">
        <v>0</v>
      </c>
      <c r="J78" s="6">
        <v>0</v>
      </c>
      <c r="K78" s="13">
        <v>0</v>
      </c>
      <c r="L78" s="13">
        <v>0</v>
      </c>
      <c r="M78" s="8">
        <v>0</v>
      </c>
      <c r="N78" s="8">
        <v>0</v>
      </c>
    </row>
    <row r="79" spans="1:14" x14ac:dyDescent="0.25">
      <c r="A79" s="10" t="s">
        <v>1783</v>
      </c>
      <c r="B79" s="10">
        <v>2109</v>
      </c>
      <c r="C79" s="10" t="s">
        <v>185</v>
      </c>
      <c r="D79" s="10" t="s">
        <v>1784</v>
      </c>
      <c r="E79" s="10" t="s">
        <v>23</v>
      </c>
      <c r="F79" s="10" t="s">
        <v>16</v>
      </c>
      <c r="G79" s="6">
        <v>16</v>
      </c>
      <c r="H79" s="6">
        <v>16</v>
      </c>
      <c r="I79" s="6">
        <v>0</v>
      </c>
      <c r="J79" s="6">
        <v>16</v>
      </c>
      <c r="K79" s="13">
        <v>706.67200000000003</v>
      </c>
      <c r="L79" s="13">
        <v>0</v>
      </c>
      <c r="M79" s="8">
        <v>2672.3013284799999</v>
      </c>
      <c r="N79" s="8">
        <v>0</v>
      </c>
    </row>
    <row r="80" spans="1:14" x14ac:dyDescent="0.25">
      <c r="A80" s="10" t="s">
        <v>1785</v>
      </c>
      <c r="B80" s="10">
        <v>2176</v>
      </c>
      <c r="C80" s="10" t="s">
        <v>220</v>
      </c>
      <c r="D80" s="10" t="s">
        <v>1786</v>
      </c>
      <c r="E80" s="10" t="s">
        <v>23</v>
      </c>
      <c r="F80" s="10" t="s">
        <v>16</v>
      </c>
      <c r="G80" s="6">
        <v>7</v>
      </c>
      <c r="H80" s="6">
        <v>6</v>
      </c>
      <c r="I80" s="6">
        <v>5</v>
      </c>
      <c r="J80" s="6">
        <v>2</v>
      </c>
      <c r="K80" s="13">
        <v>399.25900000000001</v>
      </c>
      <c r="L80" s="13">
        <v>285.185</v>
      </c>
      <c r="M80" s="8">
        <v>1176.39127508</v>
      </c>
      <c r="N80" s="8">
        <v>840.27948219999996</v>
      </c>
    </row>
    <row r="81" spans="1:14" x14ac:dyDescent="0.25">
      <c r="A81" s="10" t="s">
        <v>1787</v>
      </c>
      <c r="B81" s="10">
        <v>2179</v>
      </c>
      <c r="C81" s="10" t="s">
        <v>225</v>
      </c>
      <c r="D81" s="10" t="s">
        <v>1788</v>
      </c>
      <c r="E81" s="10" t="s">
        <v>23</v>
      </c>
      <c r="F81" s="10" t="s">
        <v>16</v>
      </c>
      <c r="G81" s="6">
        <v>7</v>
      </c>
      <c r="H81" s="6">
        <v>6</v>
      </c>
      <c r="I81" s="6">
        <v>5</v>
      </c>
      <c r="J81" s="6">
        <v>2</v>
      </c>
      <c r="K81" s="13">
        <v>409.5</v>
      </c>
      <c r="L81" s="13">
        <v>292.5</v>
      </c>
      <c r="M81" s="8">
        <v>1700.98430194</v>
      </c>
      <c r="N81" s="8">
        <v>1214.9887871000001</v>
      </c>
    </row>
    <row r="82" spans="1:14" x14ac:dyDescent="0.25">
      <c r="A82" s="10" t="s">
        <v>1789</v>
      </c>
      <c r="B82" s="10">
        <v>2183</v>
      </c>
      <c r="C82" s="10" t="s">
        <v>237</v>
      </c>
      <c r="D82" s="10" t="s">
        <v>1790</v>
      </c>
      <c r="E82" s="10" t="s">
        <v>23</v>
      </c>
      <c r="F82" s="10" t="s">
        <v>16</v>
      </c>
      <c r="G82" s="6">
        <v>5</v>
      </c>
      <c r="H82" s="6">
        <v>4</v>
      </c>
      <c r="I82" s="6">
        <v>5</v>
      </c>
      <c r="J82" s="6">
        <v>0</v>
      </c>
      <c r="K82" s="13">
        <v>312</v>
      </c>
      <c r="L82" s="13">
        <v>312</v>
      </c>
      <c r="M82" s="8">
        <v>1417.6917613000001</v>
      </c>
      <c r="N82" s="8">
        <v>1417.6917613000001</v>
      </c>
    </row>
    <row r="83" spans="1:14" x14ac:dyDescent="0.25">
      <c r="A83" s="10" t="s">
        <v>1791</v>
      </c>
      <c r="B83" s="10">
        <v>2185</v>
      </c>
      <c r="C83" s="10" t="s">
        <v>242</v>
      </c>
      <c r="D83" s="10" t="s">
        <v>1792</v>
      </c>
      <c r="E83" s="10" t="s">
        <v>23</v>
      </c>
      <c r="F83" s="10" t="s">
        <v>16</v>
      </c>
      <c r="G83" s="6">
        <v>6</v>
      </c>
      <c r="H83" s="6">
        <v>0</v>
      </c>
      <c r="I83" s="6">
        <v>5</v>
      </c>
      <c r="J83" s="6">
        <v>1</v>
      </c>
      <c r="K83" s="13">
        <v>380.25</v>
      </c>
      <c r="L83" s="13">
        <v>316.875</v>
      </c>
      <c r="M83" s="8">
        <v>1412.3080743600001</v>
      </c>
      <c r="N83" s="8">
        <v>1176.9233953</v>
      </c>
    </row>
    <row r="84" spans="1:14" x14ac:dyDescent="0.25">
      <c r="A84" s="10" t="s">
        <v>1793</v>
      </c>
      <c r="B84" s="10">
        <v>2190</v>
      </c>
      <c r="C84" s="10" t="s">
        <v>253</v>
      </c>
      <c r="D84" s="10" t="s">
        <v>1794</v>
      </c>
      <c r="E84" s="10" t="s">
        <v>23</v>
      </c>
      <c r="F84" s="10" t="s">
        <v>16</v>
      </c>
      <c r="G84" s="6">
        <v>17</v>
      </c>
      <c r="H84" s="6">
        <v>41</v>
      </c>
      <c r="I84" s="6">
        <v>0</v>
      </c>
      <c r="J84" s="6">
        <v>17</v>
      </c>
      <c r="K84" s="13">
        <v>182.32499999999999</v>
      </c>
      <c r="L84" s="13">
        <v>0</v>
      </c>
      <c r="M84" s="8">
        <v>1224.05327579</v>
      </c>
      <c r="N84" s="8">
        <v>0</v>
      </c>
    </row>
    <row r="85" spans="1:14" x14ac:dyDescent="0.25">
      <c r="A85" s="10" t="s">
        <v>1795</v>
      </c>
      <c r="B85" s="10">
        <v>2192</v>
      </c>
      <c r="C85" s="10" t="s">
        <v>258</v>
      </c>
      <c r="D85" s="10" t="s">
        <v>1796</v>
      </c>
      <c r="E85" s="10" t="s">
        <v>23</v>
      </c>
      <c r="F85" s="10" t="s">
        <v>16</v>
      </c>
      <c r="G85" s="6">
        <v>11</v>
      </c>
      <c r="H85" s="6">
        <v>11</v>
      </c>
      <c r="I85" s="6">
        <v>0</v>
      </c>
      <c r="J85" s="6">
        <v>11</v>
      </c>
      <c r="K85" s="13">
        <v>144.78200000000001</v>
      </c>
      <c r="L85" s="13">
        <v>0</v>
      </c>
      <c r="M85" s="8">
        <v>558.64036393000003</v>
      </c>
      <c r="N85" s="8">
        <v>0</v>
      </c>
    </row>
    <row r="86" spans="1:14" x14ac:dyDescent="0.25">
      <c r="A86" s="10" t="s">
        <v>1797</v>
      </c>
      <c r="B86" s="10">
        <v>2194</v>
      </c>
      <c r="C86" s="10" t="s">
        <v>263</v>
      </c>
      <c r="D86" s="10" t="s">
        <v>1798</v>
      </c>
      <c r="E86" s="10" t="s">
        <v>20</v>
      </c>
      <c r="F86" s="10" t="s">
        <v>16</v>
      </c>
      <c r="G86" s="6">
        <v>52</v>
      </c>
      <c r="H86" s="6">
        <v>56</v>
      </c>
      <c r="I86" s="6">
        <v>0</v>
      </c>
      <c r="J86" s="6">
        <v>52</v>
      </c>
      <c r="K86" s="13">
        <v>56.783999999999999</v>
      </c>
      <c r="L86" s="13">
        <v>0</v>
      </c>
      <c r="M86" s="8">
        <v>462.50211488000002</v>
      </c>
      <c r="N86" s="8">
        <v>0</v>
      </c>
    </row>
    <row r="87" spans="1:14" x14ac:dyDescent="0.25">
      <c r="A87" s="10" t="s">
        <v>1799</v>
      </c>
      <c r="B87" s="10">
        <v>2246</v>
      </c>
      <c r="C87" s="10" t="s">
        <v>287</v>
      </c>
      <c r="D87" s="10" t="s">
        <v>1800</v>
      </c>
      <c r="E87" s="10" t="s">
        <v>23</v>
      </c>
      <c r="F87" s="10" t="s">
        <v>16</v>
      </c>
      <c r="G87" s="6">
        <v>0</v>
      </c>
      <c r="H87" s="6">
        <v>0</v>
      </c>
      <c r="I87" s="6">
        <v>0</v>
      </c>
      <c r="J87" s="6">
        <v>0</v>
      </c>
      <c r="K87" s="13">
        <v>0</v>
      </c>
      <c r="L87" s="13">
        <v>0</v>
      </c>
      <c r="M87" s="8">
        <v>0</v>
      </c>
      <c r="N87" s="8">
        <v>0</v>
      </c>
    </row>
    <row r="88" spans="1:14" x14ac:dyDescent="0.25">
      <c r="A88" s="10" t="s">
        <v>1801</v>
      </c>
      <c r="B88" s="10">
        <v>2253</v>
      </c>
      <c r="C88" s="10" t="s">
        <v>290</v>
      </c>
      <c r="D88" s="10" t="s">
        <v>1802</v>
      </c>
      <c r="E88" s="10" t="s">
        <v>23</v>
      </c>
      <c r="F88" s="10" t="s">
        <v>16</v>
      </c>
      <c r="G88" s="6">
        <v>0</v>
      </c>
      <c r="H88" s="6">
        <v>0</v>
      </c>
      <c r="I88" s="6">
        <v>0</v>
      </c>
      <c r="J88" s="6">
        <v>0</v>
      </c>
      <c r="K88" s="13">
        <v>0</v>
      </c>
      <c r="L88" s="13">
        <v>0</v>
      </c>
      <c r="M88" s="8">
        <v>0</v>
      </c>
      <c r="N88" s="8">
        <v>0</v>
      </c>
    </row>
    <row r="89" spans="1:14" x14ac:dyDescent="0.25">
      <c r="A89" s="10" t="s">
        <v>1803</v>
      </c>
      <c r="B89" s="10">
        <v>2253</v>
      </c>
      <c r="C89" s="10" t="s">
        <v>290</v>
      </c>
      <c r="D89" s="10" t="s">
        <v>1804</v>
      </c>
      <c r="E89" s="10" t="s">
        <v>23</v>
      </c>
      <c r="F89" s="10" t="s">
        <v>16</v>
      </c>
      <c r="G89" s="6">
        <v>0</v>
      </c>
      <c r="H89" s="6">
        <v>0</v>
      </c>
      <c r="I89" s="6">
        <v>0</v>
      </c>
      <c r="J89" s="6">
        <v>0</v>
      </c>
      <c r="K89" s="13">
        <v>0</v>
      </c>
      <c r="L89" s="13">
        <v>0</v>
      </c>
      <c r="M89" s="8">
        <v>0</v>
      </c>
      <c r="N89" s="8">
        <v>0</v>
      </c>
    </row>
    <row r="90" spans="1:14" x14ac:dyDescent="0.25">
      <c r="A90" s="10" t="s">
        <v>1805</v>
      </c>
      <c r="B90" s="10">
        <v>2280</v>
      </c>
      <c r="C90" s="10" t="s">
        <v>296</v>
      </c>
      <c r="D90" s="10" t="s">
        <v>1806</v>
      </c>
      <c r="E90" s="10" t="s">
        <v>23</v>
      </c>
      <c r="F90" s="10" t="s">
        <v>16</v>
      </c>
      <c r="G90" s="6">
        <v>0</v>
      </c>
      <c r="H90" s="6">
        <v>0</v>
      </c>
      <c r="I90" s="6">
        <v>0</v>
      </c>
      <c r="J90" s="6">
        <v>0</v>
      </c>
      <c r="K90" s="13">
        <v>0</v>
      </c>
      <c r="L90" s="13">
        <v>0</v>
      </c>
      <c r="M90" s="8">
        <v>0</v>
      </c>
      <c r="N90" s="8">
        <v>0</v>
      </c>
    </row>
    <row r="91" spans="1:14" x14ac:dyDescent="0.25">
      <c r="A91" s="10" t="s">
        <v>1807</v>
      </c>
      <c r="B91" s="10">
        <v>2284</v>
      </c>
      <c r="C91" s="10" t="s">
        <v>299</v>
      </c>
      <c r="D91" s="10" t="s">
        <v>1808</v>
      </c>
      <c r="E91" s="10" t="s">
        <v>23</v>
      </c>
      <c r="F91" s="10" t="s">
        <v>16</v>
      </c>
      <c r="G91" s="6">
        <v>1</v>
      </c>
      <c r="H91" s="6">
        <v>0</v>
      </c>
      <c r="I91" s="6">
        <v>0</v>
      </c>
      <c r="J91" s="6">
        <v>1</v>
      </c>
      <c r="K91" s="13">
        <v>17.062000000000001</v>
      </c>
      <c r="L91" s="13">
        <v>0</v>
      </c>
      <c r="M91" s="8">
        <v>57.951558030000001</v>
      </c>
      <c r="N91" s="8">
        <v>0</v>
      </c>
    </row>
    <row r="92" spans="1:14" x14ac:dyDescent="0.25">
      <c r="A92" s="10" t="s">
        <v>1809</v>
      </c>
      <c r="B92" s="10">
        <v>2344</v>
      </c>
      <c r="C92" s="10" t="s">
        <v>325</v>
      </c>
      <c r="D92" s="10" t="s">
        <v>1810</v>
      </c>
      <c r="E92" s="10" t="s">
        <v>23</v>
      </c>
      <c r="F92" s="10" t="s">
        <v>16</v>
      </c>
      <c r="G92" s="6">
        <v>0</v>
      </c>
      <c r="H92" s="6">
        <v>0</v>
      </c>
      <c r="I92" s="6">
        <v>0</v>
      </c>
      <c r="J92" s="6">
        <v>0</v>
      </c>
      <c r="K92" s="13">
        <v>0</v>
      </c>
      <c r="L92" s="13">
        <v>0</v>
      </c>
      <c r="M92" s="8">
        <v>0</v>
      </c>
      <c r="N92" s="8">
        <v>0</v>
      </c>
    </row>
    <row r="93" spans="1:14" x14ac:dyDescent="0.25">
      <c r="A93" s="10" t="s">
        <v>1811</v>
      </c>
      <c r="B93" s="10">
        <v>2345</v>
      </c>
      <c r="C93" s="10" t="s">
        <v>330</v>
      </c>
      <c r="D93" s="10" t="s">
        <v>1812</v>
      </c>
      <c r="E93" s="10" t="s">
        <v>23</v>
      </c>
      <c r="F93" s="10" t="s">
        <v>16</v>
      </c>
      <c r="G93" s="6">
        <v>0</v>
      </c>
      <c r="H93" s="6">
        <v>0</v>
      </c>
      <c r="I93" s="6">
        <v>0</v>
      </c>
      <c r="J93" s="6">
        <v>0</v>
      </c>
      <c r="K93" s="13">
        <v>0</v>
      </c>
      <c r="L93" s="13">
        <v>0</v>
      </c>
      <c r="M93" s="8">
        <v>0</v>
      </c>
      <c r="N93" s="8">
        <v>0</v>
      </c>
    </row>
    <row r="94" spans="1:14" x14ac:dyDescent="0.25">
      <c r="A94" s="10" t="s">
        <v>1813</v>
      </c>
      <c r="B94" s="10">
        <v>2350</v>
      </c>
      <c r="C94" s="10" t="s">
        <v>343</v>
      </c>
      <c r="D94" s="10" t="s">
        <v>1814</v>
      </c>
      <c r="E94" s="10" t="s">
        <v>23</v>
      </c>
      <c r="F94" s="10" t="s">
        <v>16</v>
      </c>
      <c r="G94" s="6">
        <v>0</v>
      </c>
      <c r="H94" s="6">
        <v>0</v>
      </c>
      <c r="I94" s="6">
        <v>0</v>
      </c>
      <c r="J94" s="6">
        <v>0</v>
      </c>
      <c r="K94" s="13">
        <v>0</v>
      </c>
      <c r="L94" s="13">
        <v>0</v>
      </c>
      <c r="M94" s="8">
        <v>0</v>
      </c>
      <c r="N94" s="8">
        <v>0</v>
      </c>
    </row>
    <row r="95" spans="1:14" x14ac:dyDescent="0.25">
      <c r="A95" s="10" t="s">
        <v>1815</v>
      </c>
      <c r="B95" s="10">
        <v>2353</v>
      </c>
      <c r="C95" s="10" t="s">
        <v>1816</v>
      </c>
      <c r="D95" s="10" t="s">
        <v>1817</v>
      </c>
      <c r="E95" s="10" t="s">
        <v>23</v>
      </c>
      <c r="F95" s="10" t="s">
        <v>16</v>
      </c>
      <c r="G95" s="6">
        <v>0</v>
      </c>
      <c r="H95" s="6">
        <v>0</v>
      </c>
      <c r="I95" s="6">
        <v>0</v>
      </c>
      <c r="J95" s="6">
        <v>0</v>
      </c>
      <c r="K95" s="13">
        <v>0</v>
      </c>
      <c r="L95" s="13">
        <v>0</v>
      </c>
      <c r="M95" s="8">
        <v>0</v>
      </c>
      <c r="N95" s="8">
        <v>0</v>
      </c>
    </row>
    <row r="96" spans="1:14" x14ac:dyDescent="0.25">
      <c r="A96" s="10" t="s">
        <v>1818</v>
      </c>
      <c r="B96" s="10">
        <v>2355</v>
      </c>
      <c r="C96" s="10" t="s">
        <v>1819</v>
      </c>
      <c r="D96" s="10" t="s">
        <v>1820</v>
      </c>
      <c r="E96" s="10" t="s">
        <v>23</v>
      </c>
      <c r="F96" s="10" t="s">
        <v>16</v>
      </c>
      <c r="G96" s="6">
        <v>8</v>
      </c>
      <c r="H96" s="6">
        <v>8</v>
      </c>
      <c r="I96" s="6">
        <v>0</v>
      </c>
      <c r="J96" s="6">
        <v>8</v>
      </c>
      <c r="K96" s="13">
        <v>563.16</v>
      </c>
      <c r="L96" s="13">
        <v>0</v>
      </c>
      <c r="M96" s="8">
        <v>2036.9767311999999</v>
      </c>
      <c r="N96" s="8">
        <v>0</v>
      </c>
    </row>
    <row r="97" spans="1:14" x14ac:dyDescent="0.25">
      <c r="A97" s="10" t="s">
        <v>1821</v>
      </c>
      <c r="B97" s="10">
        <v>2403</v>
      </c>
      <c r="C97" s="10" t="s">
        <v>371</v>
      </c>
      <c r="D97" s="10" t="s">
        <v>1822</v>
      </c>
      <c r="E97" s="10" t="s">
        <v>23</v>
      </c>
      <c r="F97" s="10" t="s">
        <v>16</v>
      </c>
      <c r="G97" s="6">
        <v>0</v>
      </c>
      <c r="H97" s="6">
        <v>0</v>
      </c>
      <c r="I97" s="6">
        <v>0</v>
      </c>
      <c r="J97" s="6">
        <v>0</v>
      </c>
      <c r="K97" s="13">
        <v>0</v>
      </c>
      <c r="L97" s="13">
        <v>0</v>
      </c>
      <c r="M97" s="8">
        <v>0</v>
      </c>
      <c r="N97" s="8">
        <v>0</v>
      </c>
    </row>
    <row r="98" spans="1:14" x14ac:dyDescent="0.25">
      <c r="A98" s="10" t="s">
        <v>1823</v>
      </c>
      <c r="B98" s="10">
        <v>2408</v>
      </c>
      <c r="C98" s="10" t="s">
        <v>383</v>
      </c>
      <c r="D98" s="10" t="s">
        <v>1824</v>
      </c>
      <c r="E98" s="10" t="s">
        <v>23</v>
      </c>
      <c r="F98" s="10" t="s">
        <v>16</v>
      </c>
      <c r="G98" s="6">
        <v>0</v>
      </c>
      <c r="H98" s="6">
        <v>0</v>
      </c>
      <c r="I98" s="6">
        <v>0</v>
      </c>
      <c r="J98" s="6">
        <v>0</v>
      </c>
      <c r="K98" s="13">
        <v>0</v>
      </c>
      <c r="L98" s="13">
        <v>0</v>
      </c>
      <c r="M98" s="8">
        <v>0</v>
      </c>
      <c r="N98" s="8">
        <v>0</v>
      </c>
    </row>
    <row r="99" spans="1:14" x14ac:dyDescent="0.25">
      <c r="A99" s="10" t="s">
        <v>1825</v>
      </c>
      <c r="B99" s="10">
        <v>2409</v>
      </c>
      <c r="C99" s="10" t="s">
        <v>386</v>
      </c>
      <c r="D99" s="10" t="s">
        <v>1826</v>
      </c>
      <c r="E99" s="10" t="s">
        <v>23</v>
      </c>
      <c r="F99" s="10" t="s">
        <v>16</v>
      </c>
      <c r="G99" s="6">
        <v>0</v>
      </c>
      <c r="H99" s="6">
        <v>0</v>
      </c>
      <c r="I99" s="6">
        <v>0</v>
      </c>
      <c r="J99" s="6">
        <v>0</v>
      </c>
      <c r="K99" s="13">
        <v>0</v>
      </c>
      <c r="L99" s="13">
        <v>0</v>
      </c>
      <c r="M99" s="8">
        <v>0</v>
      </c>
      <c r="N99" s="8">
        <v>0</v>
      </c>
    </row>
    <row r="100" spans="1:14" x14ac:dyDescent="0.25">
      <c r="A100" s="10" t="s">
        <v>1827</v>
      </c>
      <c r="B100" s="10">
        <v>72567</v>
      </c>
      <c r="C100" s="10" t="s">
        <v>403</v>
      </c>
      <c r="D100" s="10" t="s">
        <v>1828</v>
      </c>
      <c r="E100" s="10" t="s">
        <v>23</v>
      </c>
      <c r="F100" s="10" t="s">
        <v>16</v>
      </c>
      <c r="G100" s="6">
        <v>0</v>
      </c>
      <c r="H100" s="6">
        <v>0</v>
      </c>
      <c r="I100" s="6">
        <v>0</v>
      </c>
      <c r="J100" s="6">
        <v>0</v>
      </c>
      <c r="K100" s="13">
        <v>0</v>
      </c>
      <c r="L100" s="13">
        <v>0</v>
      </c>
      <c r="M100" s="8">
        <v>0</v>
      </c>
      <c r="N100" s="8">
        <v>0</v>
      </c>
    </row>
    <row r="101" spans="1:14" x14ac:dyDescent="0.25">
      <c r="A101" s="10" t="s">
        <v>1829</v>
      </c>
      <c r="B101" s="10">
        <v>72645</v>
      </c>
      <c r="C101" s="10" t="s">
        <v>442</v>
      </c>
      <c r="D101" s="10" t="s">
        <v>1830</v>
      </c>
      <c r="E101" s="10" t="s">
        <v>23</v>
      </c>
      <c r="F101" s="10" t="s">
        <v>16</v>
      </c>
      <c r="G101" s="6">
        <v>0</v>
      </c>
      <c r="H101" s="6">
        <v>0</v>
      </c>
      <c r="I101" s="6">
        <v>0</v>
      </c>
      <c r="J101" s="6">
        <v>0</v>
      </c>
      <c r="K101" s="13">
        <v>0</v>
      </c>
      <c r="L101" s="13">
        <v>0</v>
      </c>
      <c r="M101" s="8">
        <v>0</v>
      </c>
      <c r="N101" s="8">
        <v>0</v>
      </c>
    </row>
    <row r="102" spans="1:14" x14ac:dyDescent="0.25">
      <c r="A102" s="10" t="s">
        <v>1831</v>
      </c>
      <c r="B102" s="10">
        <v>72661</v>
      </c>
      <c r="C102" s="10" t="s">
        <v>450</v>
      </c>
      <c r="D102" s="10" t="s">
        <v>1832</v>
      </c>
      <c r="E102" s="10" t="s">
        <v>23</v>
      </c>
      <c r="F102" s="10" t="s">
        <v>16</v>
      </c>
      <c r="G102" s="6">
        <v>698</v>
      </c>
      <c r="H102" s="6">
        <v>713</v>
      </c>
      <c r="I102" s="6">
        <v>112</v>
      </c>
      <c r="J102" s="6">
        <v>586</v>
      </c>
      <c r="K102" s="13">
        <v>13950.925999999999</v>
      </c>
      <c r="L102" s="13">
        <v>2238.5439999999999</v>
      </c>
      <c r="M102" s="8">
        <v>114751.98249988</v>
      </c>
      <c r="N102" s="8">
        <v>18412.925558719999</v>
      </c>
    </row>
    <row r="103" spans="1:14" x14ac:dyDescent="0.25">
      <c r="A103" s="10" t="s">
        <v>1833</v>
      </c>
      <c r="B103" s="10">
        <v>72663</v>
      </c>
      <c r="C103" s="10" t="s">
        <v>456</v>
      </c>
      <c r="D103" s="10" t="s">
        <v>1834</v>
      </c>
      <c r="E103" s="10" t="s">
        <v>23</v>
      </c>
      <c r="F103" s="10" t="s">
        <v>16</v>
      </c>
      <c r="G103" s="6">
        <v>56</v>
      </c>
      <c r="H103" s="6">
        <v>58</v>
      </c>
      <c r="I103" s="6">
        <v>0</v>
      </c>
      <c r="J103" s="6">
        <v>56</v>
      </c>
      <c r="K103" s="13">
        <v>2210.2080000000001</v>
      </c>
      <c r="L103" s="13">
        <v>0</v>
      </c>
      <c r="M103" s="8">
        <v>8996.1405122399992</v>
      </c>
      <c r="N103" s="8">
        <v>0</v>
      </c>
    </row>
    <row r="104" spans="1:14" x14ac:dyDescent="0.25">
      <c r="A104" s="10" t="s">
        <v>1835</v>
      </c>
      <c r="B104" s="10">
        <v>72761</v>
      </c>
      <c r="C104" s="10" t="s">
        <v>471</v>
      </c>
      <c r="D104" s="10" t="s">
        <v>1836</v>
      </c>
      <c r="E104" s="10" t="s">
        <v>23</v>
      </c>
      <c r="F104" s="10" t="s">
        <v>16</v>
      </c>
      <c r="G104" s="6">
        <v>61</v>
      </c>
      <c r="H104" s="6">
        <v>25</v>
      </c>
      <c r="I104" s="6">
        <v>0</v>
      </c>
      <c r="J104" s="6">
        <v>61</v>
      </c>
      <c r="K104" s="13">
        <v>576.87699999999995</v>
      </c>
      <c r="L104" s="13">
        <v>0</v>
      </c>
      <c r="M104" s="8">
        <v>2179.5129651399998</v>
      </c>
      <c r="N104" s="8">
        <v>0</v>
      </c>
    </row>
    <row r="105" spans="1:14" x14ac:dyDescent="0.25">
      <c r="A105" s="10" t="s">
        <v>1837</v>
      </c>
      <c r="B105" s="10">
        <v>72764</v>
      </c>
      <c r="C105" s="10" t="s">
        <v>474</v>
      </c>
      <c r="D105" s="10" t="s">
        <v>1838</v>
      </c>
      <c r="E105" s="10" t="s">
        <v>23</v>
      </c>
      <c r="F105" s="10" t="s">
        <v>16</v>
      </c>
      <c r="G105" s="6">
        <v>0</v>
      </c>
      <c r="H105" s="6">
        <v>0</v>
      </c>
      <c r="I105" s="6">
        <v>0</v>
      </c>
      <c r="J105" s="6">
        <v>0</v>
      </c>
      <c r="K105" s="13">
        <v>0</v>
      </c>
      <c r="L105" s="13">
        <v>0</v>
      </c>
      <c r="M105" s="8">
        <v>0</v>
      </c>
      <c r="N105" s="8">
        <v>0</v>
      </c>
    </row>
    <row r="106" spans="1:14" x14ac:dyDescent="0.25">
      <c r="A106" s="10" t="s">
        <v>1839</v>
      </c>
      <c r="B106" s="10">
        <v>72765</v>
      </c>
      <c r="C106" s="10" t="s">
        <v>477</v>
      </c>
      <c r="D106" s="10" t="s">
        <v>1840</v>
      </c>
      <c r="E106" s="10" t="s">
        <v>23</v>
      </c>
      <c r="F106" s="10" t="s">
        <v>16</v>
      </c>
      <c r="G106" s="6">
        <v>0</v>
      </c>
      <c r="H106" s="6">
        <v>0</v>
      </c>
      <c r="I106" s="6">
        <v>0</v>
      </c>
      <c r="J106" s="6">
        <v>0</v>
      </c>
      <c r="K106" s="13">
        <v>0</v>
      </c>
      <c r="L106" s="13">
        <v>0</v>
      </c>
      <c r="M106" s="8">
        <v>0</v>
      </c>
      <c r="N106" s="8">
        <v>0</v>
      </c>
    </row>
    <row r="107" spans="1:14" x14ac:dyDescent="0.25">
      <c r="A107" s="10" t="s">
        <v>1841</v>
      </c>
      <c r="B107" s="10">
        <v>72777</v>
      </c>
      <c r="C107" s="10" t="s">
        <v>480</v>
      </c>
      <c r="D107" s="10" t="s">
        <v>1842</v>
      </c>
      <c r="E107" s="10" t="s">
        <v>23</v>
      </c>
      <c r="F107" s="10" t="s">
        <v>16</v>
      </c>
      <c r="G107" s="6">
        <v>0</v>
      </c>
      <c r="H107" s="6">
        <v>0</v>
      </c>
      <c r="I107" s="6">
        <v>0</v>
      </c>
      <c r="J107" s="6">
        <v>0</v>
      </c>
      <c r="K107" s="13">
        <v>0</v>
      </c>
      <c r="L107" s="13">
        <v>0</v>
      </c>
      <c r="M107" s="8">
        <v>0</v>
      </c>
      <c r="N107" s="8">
        <v>0</v>
      </c>
    </row>
    <row r="108" spans="1:14" x14ac:dyDescent="0.25">
      <c r="A108" s="10" t="s">
        <v>1843</v>
      </c>
      <c r="B108" s="10">
        <v>73026</v>
      </c>
      <c r="C108" s="10" t="s">
        <v>504</v>
      </c>
      <c r="D108" s="10" t="s">
        <v>1844</v>
      </c>
      <c r="E108" s="10" t="s">
        <v>20</v>
      </c>
      <c r="F108" s="10" t="s">
        <v>16</v>
      </c>
      <c r="G108" s="6">
        <v>16</v>
      </c>
      <c r="H108" s="6">
        <v>16</v>
      </c>
      <c r="I108" s="6">
        <v>3</v>
      </c>
      <c r="J108" s="6">
        <v>13</v>
      </c>
      <c r="K108" s="13">
        <v>6.24</v>
      </c>
      <c r="L108" s="13">
        <v>1.17</v>
      </c>
      <c r="M108" s="8">
        <v>58.870936159999999</v>
      </c>
      <c r="N108" s="8">
        <v>11.038300530000001</v>
      </c>
    </row>
    <row r="109" spans="1:14" x14ac:dyDescent="0.25">
      <c r="A109" s="10" t="s">
        <v>1845</v>
      </c>
      <c r="B109" s="10">
        <v>74610</v>
      </c>
      <c r="C109" s="10" t="s">
        <v>984</v>
      </c>
      <c r="D109" s="10" t="s">
        <v>1846</v>
      </c>
      <c r="E109" s="10" t="s">
        <v>23</v>
      </c>
      <c r="F109" s="10" t="s">
        <v>16</v>
      </c>
      <c r="G109" s="6">
        <v>0</v>
      </c>
      <c r="H109" s="6">
        <v>0</v>
      </c>
      <c r="I109" s="6">
        <v>0</v>
      </c>
      <c r="J109" s="6">
        <v>0</v>
      </c>
      <c r="K109" s="13">
        <v>0</v>
      </c>
      <c r="L109" s="13">
        <v>0</v>
      </c>
      <c r="M109" s="8">
        <v>0</v>
      </c>
      <c r="N109" s="8">
        <v>0</v>
      </c>
    </row>
    <row r="110" spans="1:14" x14ac:dyDescent="0.25">
      <c r="A110" s="10" t="s">
        <v>1847</v>
      </c>
      <c r="B110" s="10">
        <v>74613</v>
      </c>
      <c r="C110" s="10" t="s">
        <v>987</v>
      </c>
      <c r="D110" s="10" t="s">
        <v>1848</v>
      </c>
      <c r="E110" s="10" t="s">
        <v>23</v>
      </c>
      <c r="F110" s="10" t="s">
        <v>16</v>
      </c>
      <c r="G110" s="6">
        <v>0</v>
      </c>
      <c r="H110" s="6">
        <v>0</v>
      </c>
      <c r="I110" s="6">
        <v>0</v>
      </c>
      <c r="J110" s="6">
        <v>0</v>
      </c>
      <c r="K110" s="13">
        <v>0</v>
      </c>
      <c r="L110" s="13">
        <v>0</v>
      </c>
      <c r="M110" s="8">
        <v>0</v>
      </c>
      <c r="N110" s="8">
        <v>0</v>
      </c>
    </row>
    <row r="111" spans="1:14" x14ac:dyDescent="0.25">
      <c r="A111" s="10" t="s">
        <v>1849</v>
      </c>
      <c r="B111" s="10">
        <v>74614</v>
      </c>
      <c r="C111" s="10" t="s">
        <v>992</v>
      </c>
      <c r="D111" s="10" t="s">
        <v>1850</v>
      </c>
      <c r="E111" s="10" t="s">
        <v>23</v>
      </c>
      <c r="F111" s="10" t="s">
        <v>16</v>
      </c>
      <c r="G111" s="6">
        <v>0</v>
      </c>
      <c r="H111" s="6">
        <v>0</v>
      </c>
      <c r="I111" s="6">
        <v>0</v>
      </c>
      <c r="J111" s="6">
        <v>0</v>
      </c>
      <c r="K111" s="13">
        <v>0</v>
      </c>
      <c r="L111" s="13">
        <v>0</v>
      </c>
      <c r="M111" s="8">
        <v>0</v>
      </c>
      <c r="N111" s="8">
        <v>0</v>
      </c>
    </row>
    <row r="112" spans="1:14" x14ac:dyDescent="0.25">
      <c r="A112" s="10" t="s">
        <v>1851</v>
      </c>
      <c r="B112" s="10">
        <v>74668</v>
      </c>
      <c r="C112" s="10" t="s">
        <v>1852</v>
      </c>
      <c r="D112" s="10" t="s">
        <v>1853</v>
      </c>
      <c r="E112" s="10" t="s">
        <v>23</v>
      </c>
      <c r="F112" s="10" t="s">
        <v>16</v>
      </c>
      <c r="G112" s="6">
        <v>0</v>
      </c>
      <c r="H112" s="6">
        <v>0</v>
      </c>
      <c r="I112" s="6">
        <v>0</v>
      </c>
      <c r="J112" s="6">
        <v>0</v>
      </c>
      <c r="K112" s="13">
        <v>0</v>
      </c>
      <c r="L112" s="13">
        <v>0</v>
      </c>
      <c r="M112" s="8">
        <v>0</v>
      </c>
      <c r="N112" s="8">
        <v>0</v>
      </c>
    </row>
    <row r="113" spans="1:14" x14ac:dyDescent="0.25">
      <c r="A113" s="10" t="s">
        <v>1854</v>
      </c>
      <c r="B113" s="10">
        <v>74669</v>
      </c>
      <c r="C113" s="10" t="s">
        <v>1855</v>
      </c>
      <c r="D113" s="10" t="s">
        <v>1856</v>
      </c>
      <c r="E113" s="10" t="s">
        <v>23</v>
      </c>
      <c r="F113" s="10" t="s">
        <v>16</v>
      </c>
      <c r="G113" s="6">
        <v>0</v>
      </c>
      <c r="H113" s="6">
        <v>0</v>
      </c>
      <c r="I113" s="6">
        <v>0</v>
      </c>
      <c r="J113" s="6">
        <v>0</v>
      </c>
      <c r="K113" s="13">
        <v>0</v>
      </c>
      <c r="L113" s="13">
        <v>0</v>
      </c>
      <c r="M113" s="8">
        <v>0</v>
      </c>
      <c r="N113" s="8">
        <v>0</v>
      </c>
    </row>
    <row r="114" spans="1:14" x14ac:dyDescent="0.25">
      <c r="A114" s="10" t="s">
        <v>1857</v>
      </c>
      <c r="B114" s="10">
        <v>74670</v>
      </c>
      <c r="C114" s="10" t="s">
        <v>1007</v>
      </c>
      <c r="D114" s="10" t="s">
        <v>1858</v>
      </c>
      <c r="E114" s="10" t="s">
        <v>23</v>
      </c>
      <c r="F114" s="10" t="s">
        <v>16</v>
      </c>
      <c r="G114" s="6">
        <v>0</v>
      </c>
      <c r="H114" s="6">
        <v>0</v>
      </c>
      <c r="I114" s="6">
        <v>0</v>
      </c>
      <c r="J114" s="6">
        <v>0</v>
      </c>
      <c r="K114" s="13">
        <v>0</v>
      </c>
      <c r="L114" s="13">
        <v>0</v>
      </c>
      <c r="M114" s="8">
        <v>0</v>
      </c>
      <c r="N114" s="8">
        <v>0</v>
      </c>
    </row>
    <row r="115" spans="1:14" x14ac:dyDescent="0.25">
      <c r="A115" s="10" t="s">
        <v>1859</v>
      </c>
      <c r="B115" s="10">
        <v>74671</v>
      </c>
      <c r="C115" s="10" t="s">
        <v>1012</v>
      </c>
      <c r="D115" s="10" t="s">
        <v>1860</v>
      </c>
      <c r="E115" s="10" t="s">
        <v>23</v>
      </c>
      <c r="F115" s="10" t="s">
        <v>16</v>
      </c>
      <c r="G115" s="6">
        <v>0</v>
      </c>
      <c r="H115" s="6">
        <v>0</v>
      </c>
      <c r="I115" s="6">
        <v>0</v>
      </c>
      <c r="J115" s="6">
        <v>0</v>
      </c>
      <c r="K115" s="13">
        <v>0</v>
      </c>
      <c r="L115" s="13">
        <v>0</v>
      </c>
      <c r="M115" s="8">
        <v>0</v>
      </c>
      <c r="N115" s="8">
        <v>0</v>
      </c>
    </row>
    <row r="116" spans="1:14" x14ac:dyDescent="0.25">
      <c r="A116" s="10" t="s">
        <v>1861</v>
      </c>
      <c r="B116" s="10">
        <v>75841</v>
      </c>
      <c r="C116" s="10" t="s">
        <v>1637</v>
      </c>
      <c r="D116" s="10" t="s">
        <v>1862</v>
      </c>
      <c r="E116" s="10" t="s">
        <v>23</v>
      </c>
      <c r="F116" s="10" t="s">
        <v>16</v>
      </c>
      <c r="G116" s="6">
        <v>0</v>
      </c>
      <c r="H116" s="6">
        <v>0</v>
      </c>
      <c r="I116" s="6">
        <v>0</v>
      </c>
      <c r="J116" s="6">
        <v>0</v>
      </c>
      <c r="K116" s="13">
        <v>0</v>
      </c>
      <c r="L116" s="13">
        <v>0</v>
      </c>
      <c r="M116" s="8">
        <v>0</v>
      </c>
      <c r="N116" s="8">
        <v>0</v>
      </c>
    </row>
    <row r="117" spans="1:14" x14ac:dyDescent="0.25">
      <c r="A117" s="10" t="s">
        <v>1863</v>
      </c>
      <c r="B117" s="10">
        <v>77197</v>
      </c>
      <c r="C117" s="10" t="s">
        <v>1740</v>
      </c>
      <c r="D117" s="10" t="s">
        <v>1864</v>
      </c>
      <c r="E117" s="10" t="s">
        <v>23</v>
      </c>
      <c r="F117" s="10" t="s">
        <v>16</v>
      </c>
      <c r="G117" s="6">
        <v>0</v>
      </c>
      <c r="H117" s="6">
        <v>0</v>
      </c>
      <c r="I117" s="6">
        <v>0</v>
      </c>
      <c r="J117" s="6">
        <v>0</v>
      </c>
      <c r="K117" s="13">
        <v>0</v>
      </c>
      <c r="L117" s="13">
        <v>0</v>
      </c>
      <c r="M117" s="8">
        <v>0</v>
      </c>
      <c r="N117" s="8">
        <v>0</v>
      </c>
    </row>
    <row r="118" spans="1:14" x14ac:dyDescent="0.25">
      <c r="A118" s="10" t="s">
        <v>1865</v>
      </c>
      <c r="B118" s="10">
        <v>81844</v>
      </c>
      <c r="C118" s="10" t="s">
        <v>1048</v>
      </c>
      <c r="D118" s="10" t="s">
        <v>1866</v>
      </c>
      <c r="E118" s="10" t="s">
        <v>23</v>
      </c>
      <c r="F118" s="10" t="s">
        <v>16</v>
      </c>
      <c r="G118" s="6">
        <v>0</v>
      </c>
      <c r="H118" s="6">
        <v>0</v>
      </c>
      <c r="I118" s="6">
        <v>0</v>
      </c>
      <c r="J118" s="6">
        <v>0</v>
      </c>
      <c r="K118" s="13">
        <v>0</v>
      </c>
      <c r="L118" s="13">
        <v>0</v>
      </c>
      <c r="M118" s="8">
        <v>0</v>
      </c>
      <c r="N118" s="8">
        <v>0</v>
      </c>
    </row>
    <row r="119" spans="1:14" x14ac:dyDescent="0.25">
      <c r="A119" s="10" t="s">
        <v>1867</v>
      </c>
      <c r="B119" s="10">
        <v>84498</v>
      </c>
      <c r="C119" s="10" t="s">
        <v>1111</v>
      </c>
      <c r="D119" s="10" t="s">
        <v>1868</v>
      </c>
      <c r="E119" s="10" t="s">
        <v>23</v>
      </c>
      <c r="F119" s="10" t="s">
        <v>16</v>
      </c>
      <c r="G119" s="6">
        <v>0</v>
      </c>
      <c r="H119" s="6">
        <v>0</v>
      </c>
      <c r="I119" s="6">
        <v>0</v>
      </c>
      <c r="J119" s="6">
        <v>0</v>
      </c>
      <c r="K119" s="13">
        <v>0</v>
      </c>
      <c r="L119" s="13">
        <v>0</v>
      </c>
      <c r="M119" s="8">
        <v>0</v>
      </c>
      <c r="N119" s="8">
        <v>0</v>
      </c>
    </row>
    <row r="120" spans="1:14" x14ac:dyDescent="0.25">
      <c r="A120" s="10" t="s">
        <v>1869</v>
      </c>
      <c r="B120" s="10">
        <v>84537</v>
      </c>
      <c r="C120" s="10" t="s">
        <v>1114</v>
      </c>
      <c r="D120" s="10" t="s">
        <v>1870</v>
      </c>
      <c r="E120" s="10" t="s">
        <v>23</v>
      </c>
      <c r="F120" s="10" t="s">
        <v>16</v>
      </c>
      <c r="G120" s="6">
        <v>0</v>
      </c>
      <c r="H120" s="6">
        <v>0</v>
      </c>
      <c r="I120" s="6">
        <v>0</v>
      </c>
      <c r="J120" s="6">
        <v>0</v>
      </c>
      <c r="K120" s="13">
        <v>0</v>
      </c>
      <c r="L120" s="13">
        <v>0</v>
      </c>
      <c r="M120" s="8">
        <v>0</v>
      </c>
      <c r="N120" s="8">
        <v>0</v>
      </c>
    </row>
    <row r="121" spans="1:14" x14ac:dyDescent="0.25">
      <c r="A121" s="10" t="s">
        <v>1871</v>
      </c>
      <c r="B121" s="10">
        <v>84550</v>
      </c>
      <c r="C121" s="10" t="s">
        <v>1117</v>
      </c>
      <c r="D121" s="10" t="s">
        <v>1872</v>
      </c>
      <c r="E121" s="10" t="s">
        <v>23</v>
      </c>
      <c r="F121" s="10" t="s">
        <v>16</v>
      </c>
      <c r="G121" s="6">
        <v>0</v>
      </c>
      <c r="H121" s="6">
        <v>0</v>
      </c>
      <c r="I121" s="6">
        <v>0</v>
      </c>
      <c r="J121" s="6">
        <v>0</v>
      </c>
      <c r="K121" s="13">
        <v>0</v>
      </c>
      <c r="L121" s="13">
        <v>0</v>
      </c>
      <c r="M121" s="8">
        <v>0</v>
      </c>
      <c r="N121" s="8">
        <v>0</v>
      </c>
    </row>
    <row r="122" spans="1:14" x14ac:dyDescent="0.25">
      <c r="A122" s="10" t="s">
        <v>1873</v>
      </c>
      <c r="B122" s="10">
        <v>84586</v>
      </c>
      <c r="C122" s="10" t="s">
        <v>1123</v>
      </c>
      <c r="D122" s="10" t="s">
        <v>1874</v>
      </c>
      <c r="E122" s="10" t="s">
        <v>23</v>
      </c>
      <c r="F122" s="10" t="s">
        <v>16</v>
      </c>
      <c r="G122" s="6">
        <v>10</v>
      </c>
      <c r="H122" s="6">
        <v>10</v>
      </c>
      <c r="I122" s="6">
        <v>0</v>
      </c>
      <c r="J122" s="6">
        <v>10</v>
      </c>
      <c r="K122" s="13">
        <v>472.38</v>
      </c>
      <c r="L122" s="13">
        <v>0</v>
      </c>
      <c r="M122" s="8">
        <v>1840.6102781</v>
      </c>
      <c r="N122" s="8">
        <v>0</v>
      </c>
    </row>
    <row r="123" spans="1:14" x14ac:dyDescent="0.25">
      <c r="A123" s="10" t="s">
        <v>1875</v>
      </c>
      <c r="B123" s="10">
        <v>84588</v>
      </c>
      <c r="C123" s="10" t="s">
        <v>1126</v>
      </c>
      <c r="D123" s="10" t="s">
        <v>1876</v>
      </c>
      <c r="E123" s="10" t="s">
        <v>23</v>
      </c>
      <c r="F123" s="10" t="s">
        <v>16</v>
      </c>
      <c r="G123" s="6">
        <v>3</v>
      </c>
      <c r="H123" s="6">
        <v>3</v>
      </c>
      <c r="I123" s="6">
        <v>1</v>
      </c>
      <c r="J123" s="6">
        <v>2</v>
      </c>
      <c r="K123" s="13">
        <v>51.45</v>
      </c>
      <c r="L123" s="13">
        <v>17.149999999999999</v>
      </c>
      <c r="M123" s="8">
        <v>159.50013791999999</v>
      </c>
      <c r="N123" s="8">
        <v>53.16671264</v>
      </c>
    </row>
    <row r="124" spans="1:14" x14ac:dyDescent="0.25">
      <c r="A124" s="10" t="s">
        <v>1877</v>
      </c>
      <c r="B124" s="10">
        <v>84635</v>
      </c>
      <c r="C124" s="10" t="s">
        <v>1646</v>
      </c>
      <c r="D124" s="10" t="s">
        <v>1878</v>
      </c>
      <c r="E124" s="10" t="s">
        <v>23</v>
      </c>
      <c r="F124" s="10" t="s">
        <v>16</v>
      </c>
      <c r="G124" s="6">
        <v>0</v>
      </c>
      <c r="H124" s="6">
        <v>0</v>
      </c>
      <c r="I124" s="6">
        <v>0</v>
      </c>
      <c r="J124" s="6">
        <v>0</v>
      </c>
      <c r="K124" s="13">
        <v>0</v>
      </c>
      <c r="L124" s="13">
        <v>0</v>
      </c>
      <c r="M124" s="8">
        <v>0</v>
      </c>
      <c r="N124" s="8">
        <v>0</v>
      </c>
    </row>
    <row r="125" spans="1:14" x14ac:dyDescent="0.25">
      <c r="A125" s="10" t="s">
        <v>1879</v>
      </c>
      <c r="B125" s="10">
        <v>84688</v>
      </c>
      <c r="C125" s="10" t="s">
        <v>1649</v>
      </c>
      <c r="D125" s="10" t="s">
        <v>1880</v>
      </c>
      <c r="E125" s="10" t="s">
        <v>23</v>
      </c>
      <c r="F125" s="10" t="s">
        <v>16</v>
      </c>
      <c r="G125" s="6">
        <v>0</v>
      </c>
      <c r="H125" s="6">
        <v>0</v>
      </c>
      <c r="I125" s="6">
        <v>0</v>
      </c>
      <c r="J125" s="6">
        <v>0</v>
      </c>
      <c r="K125" s="13">
        <v>0</v>
      </c>
      <c r="L125" s="13">
        <v>0</v>
      </c>
      <c r="M125" s="8">
        <v>0</v>
      </c>
      <c r="N125" s="8">
        <v>0</v>
      </c>
    </row>
    <row r="126" spans="1:14" x14ac:dyDescent="0.25">
      <c r="A126" s="10" t="s">
        <v>1881</v>
      </c>
      <c r="B126" s="10">
        <v>84701</v>
      </c>
      <c r="C126" s="10" t="s">
        <v>1652</v>
      </c>
      <c r="D126" s="10" t="s">
        <v>1882</v>
      </c>
      <c r="E126" s="10" t="s">
        <v>23</v>
      </c>
      <c r="F126" s="10" t="s">
        <v>16</v>
      </c>
      <c r="G126" s="6">
        <v>0</v>
      </c>
      <c r="H126" s="6">
        <v>0</v>
      </c>
      <c r="I126" s="6">
        <v>0</v>
      </c>
      <c r="J126" s="6">
        <v>0</v>
      </c>
      <c r="K126" s="13">
        <v>0</v>
      </c>
      <c r="L126" s="13">
        <v>0</v>
      </c>
      <c r="M126" s="8">
        <v>0</v>
      </c>
      <c r="N126" s="8">
        <v>0</v>
      </c>
    </row>
    <row r="127" spans="1:14" x14ac:dyDescent="0.25">
      <c r="A127" s="10" t="s">
        <v>1883</v>
      </c>
      <c r="B127" s="10">
        <v>84712</v>
      </c>
      <c r="C127" s="10" t="s">
        <v>1655</v>
      </c>
      <c r="D127" s="10" t="s">
        <v>1884</v>
      </c>
      <c r="E127" s="10" t="s">
        <v>23</v>
      </c>
      <c r="F127" s="10" t="s">
        <v>16</v>
      </c>
      <c r="G127" s="6">
        <v>0</v>
      </c>
      <c r="H127" s="6">
        <v>0</v>
      </c>
      <c r="I127" s="6">
        <v>0</v>
      </c>
      <c r="J127" s="6">
        <v>0</v>
      </c>
      <c r="K127" s="13">
        <v>0</v>
      </c>
      <c r="L127" s="13">
        <v>0</v>
      </c>
      <c r="M127" s="8">
        <v>0</v>
      </c>
      <c r="N127" s="8">
        <v>0</v>
      </c>
    </row>
    <row r="128" spans="1:14" x14ac:dyDescent="0.25">
      <c r="A128" s="10" t="s">
        <v>1885</v>
      </c>
      <c r="B128" s="10">
        <v>84715</v>
      </c>
      <c r="C128" s="10" t="s">
        <v>1658</v>
      </c>
      <c r="D128" s="10" t="s">
        <v>1886</v>
      </c>
      <c r="E128" s="10" t="s">
        <v>23</v>
      </c>
      <c r="F128" s="10" t="s">
        <v>16</v>
      </c>
      <c r="G128" s="6">
        <v>0</v>
      </c>
      <c r="H128" s="6">
        <v>0</v>
      </c>
      <c r="I128" s="6">
        <v>0</v>
      </c>
      <c r="J128" s="6">
        <v>0</v>
      </c>
      <c r="K128" s="13">
        <v>0</v>
      </c>
      <c r="L128" s="13">
        <v>0</v>
      </c>
      <c r="M128" s="8">
        <v>0</v>
      </c>
      <c r="N128" s="8">
        <v>0</v>
      </c>
    </row>
    <row r="129" spans="1:14" x14ac:dyDescent="0.25">
      <c r="A129" s="10" t="s">
        <v>1887</v>
      </c>
      <c r="B129" s="10">
        <v>84715</v>
      </c>
      <c r="C129" s="10" t="s">
        <v>1658</v>
      </c>
      <c r="D129" s="10" t="s">
        <v>1888</v>
      </c>
      <c r="E129" s="10" t="s">
        <v>23</v>
      </c>
      <c r="F129" s="10" t="s">
        <v>16</v>
      </c>
      <c r="G129" s="6">
        <v>0</v>
      </c>
      <c r="H129" s="6">
        <v>16</v>
      </c>
      <c r="I129" s="6">
        <v>0</v>
      </c>
      <c r="J129" s="6">
        <v>0</v>
      </c>
      <c r="K129" s="13">
        <v>0</v>
      </c>
      <c r="L129" s="13">
        <v>0</v>
      </c>
      <c r="M129" s="8">
        <v>0</v>
      </c>
      <c r="N129" s="8">
        <v>0</v>
      </c>
    </row>
    <row r="130" spans="1:14" x14ac:dyDescent="0.25">
      <c r="A130" s="10" t="s">
        <v>1889</v>
      </c>
      <c r="B130" s="10">
        <v>84724</v>
      </c>
      <c r="C130" s="10" t="s">
        <v>1890</v>
      </c>
      <c r="D130" s="10" t="s">
        <v>1891</v>
      </c>
      <c r="E130" s="10" t="s">
        <v>23</v>
      </c>
      <c r="F130" s="10" t="s">
        <v>16</v>
      </c>
      <c r="G130" s="6">
        <v>41</v>
      </c>
      <c r="H130" s="6">
        <v>39</v>
      </c>
      <c r="I130" s="6">
        <v>0</v>
      </c>
      <c r="J130" s="6">
        <v>41</v>
      </c>
      <c r="K130" s="13">
        <v>2512.0700000000002</v>
      </c>
      <c r="L130" s="13">
        <v>0</v>
      </c>
      <c r="M130" s="8">
        <v>12777.21358985</v>
      </c>
      <c r="N130" s="8">
        <v>0</v>
      </c>
    </row>
    <row r="131" spans="1:14" x14ac:dyDescent="0.25">
      <c r="A131" s="10" t="s">
        <v>1892</v>
      </c>
      <c r="B131" s="10">
        <v>84724</v>
      </c>
      <c r="C131" s="10" t="s">
        <v>1890</v>
      </c>
      <c r="D131" s="10" t="s">
        <v>1893</v>
      </c>
      <c r="E131" s="10" t="s">
        <v>23</v>
      </c>
      <c r="F131" s="10" t="s">
        <v>16</v>
      </c>
      <c r="G131" s="6">
        <v>67</v>
      </c>
      <c r="H131" s="6">
        <v>67</v>
      </c>
      <c r="I131" s="6">
        <v>0</v>
      </c>
      <c r="J131" s="6">
        <v>67</v>
      </c>
      <c r="K131" s="13">
        <v>4105.09</v>
      </c>
      <c r="L131" s="13">
        <v>0</v>
      </c>
      <c r="M131" s="8">
        <v>21174.137675869999</v>
      </c>
      <c r="N131" s="8">
        <v>0</v>
      </c>
    </row>
    <row r="132" spans="1:14" x14ac:dyDescent="0.25">
      <c r="A132" s="10" t="s">
        <v>1894</v>
      </c>
      <c r="B132" s="10">
        <v>84745</v>
      </c>
      <c r="C132" s="10" t="s">
        <v>1131</v>
      </c>
      <c r="D132" s="10" t="s">
        <v>1895</v>
      </c>
      <c r="E132" s="10" t="s">
        <v>23</v>
      </c>
      <c r="F132" s="10" t="s">
        <v>16</v>
      </c>
      <c r="G132" s="6">
        <v>67</v>
      </c>
      <c r="H132" s="6">
        <v>67</v>
      </c>
      <c r="I132" s="6">
        <v>0</v>
      </c>
      <c r="J132" s="6">
        <v>67</v>
      </c>
      <c r="K132" s="13">
        <v>3919.5</v>
      </c>
      <c r="L132" s="13">
        <v>0</v>
      </c>
      <c r="M132" s="8">
        <v>13936.671037829999</v>
      </c>
      <c r="N132" s="8">
        <v>0</v>
      </c>
    </row>
    <row r="133" spans="1:14" x14ac:dyDescent="0.25">
      <c r="A133" s="10" t="s">
        <v>1896</v>
      </c>
      <c r="B133" s="10">
        <v>84755</v>
      </c>
      <c r="C133" s="10" t="s">
        <v>1897</v>
      </c>
      <c r="D133" s="10" t="s">
        <v>1898</v>
      </c>
      <c r="E133" s="10" t="s">
        <v>23</v>
      </c>
      <c r="F133" s="10" t="s">
        <v>16</v>
      </c>
      <c r="G133" s="6">
        <v>38</v>
      </c>
      <c r="H133" s="6">
        <v>40</v>
      </c>
      <c r="I133" s="6">
        <v>0</v>
      </c>
      <c r="J133" s="6">
        <v>38</v>
      </c>
      <c r="K133" s="13">
        <v>2007.35</v>
      </c>
      <c r="L133" s="13">
        <v>0</v>
      </c>
      <c r="M133" s="8">
        <v>6162.3203222599996</v>
      </c>
      <c r="N133" s="8">
        <v>0</v>
      </c>
    </row>
    <row r="134" spans="1:14" x14ac:dyDescent="0.25">
      <c r="A134" s="10" t="s">
        <v>1899</v>
      </c>
      <c r="B134" s="10">
        <v>84755</v>
      </c>
      <c r="C134" s="10" t="s">
        <v>1897</v>
      </c>
      <c r="D134" s="10" t="s">
        <v>1900</v>
      </c>
      <c r="E134" s="10" t="s">
        <v>23</v>
      </c>
      <c r="F134" s="10" t="s">
        <v>16</v>
      </c>
      <c r="G134" s="6">
        <v>67</v>
      </c>
      <c r="H134" s="6">
        <v>68</v>
      </c>
      <c r="I134" s="6">
        <v>0</v>
      </c>
      <c r="J134" s="6">
        <v>67</v>
      </c>
      <c r="K134" s="13">
        <v>3539.2750000000001</v>
      </c>
      <c r="L134" s="13">
        <v>0</v>
      </c>
      <c r="M134" s="8">
        <v>11865.57691229</v>
      </c>
      <c r="N134" s="8">
        <v>0</v>
      </c>
    </row>
    <row r="135" spans="1:14" x14ac:dyDescent="0.25">
      <c r="A135" s="10" t="s">
        <v>1901</v>
      </c>
      <c r="B135" s="10">
        <v>84773</v>
      </c>
      <c r="C135" s="10" t="s">
        <v>1902</v>
      </c>
      <c r="D135" s="10" t="s">
        <v>1903</v>
      </c>
      <c r="E135" s="10" t="s">
        <v>23</v>
      </c>
      <c r="F135" s="10" t="s">
        <v>16</v>
      </c>
      <c r="G135" s="6">
        <v>44</v>
      </c>
      <c r="H135" s="6">
        <v>46</v>
      </c>
      <c r="I135" s="6">
        <v>0</v>
      </c>
      <c r="J135" s="6">
        <v>44</v>
      </c>
      <c r="K135" s="13">
        <v>1495.0319999999999</v>
      </c>
      <c r="L135" s="13">
        <v>0</v>
      </c>
      <c r="M135" s="8">
        <v>5180.8734076000001</v>
      </c>
      <c r="N135" s="8">
        <v>0</v>
      </c>
    </row>
    <row r="136" spans="1:14" x14ac:dyDescent="0.25">
      <c r="A136" s="10" t="s">
        <v>1904</v>
      </c>
      <c r="B136" s="10">
        <v>84773</v>
      </c>
      <c r="C136" s="10" t="s">
        <v>1902</v>
      </c>
      <c r="D136" s="10" t="s">
        <v>1905</v>
      </c>
      <c r="E136" s="10" t="s">
        <v>23</v>
      </c>
      <c r="F136" s="10" t="s">
        <v>16</v>
      </c>
      <c r="G136" s="6">
        <v>69</v>
      </c>
      <c r="H136" s="6">
        <v>69</v>
      </c>
      <c r="I136" s="6">
        <v>0</v>
      </c>
      <c r="J136" s="6">
        <v>69</v>
      </c>
      <c r="K136" s="13">
        <v>2344.482</v>
      </c>
      <c r="L136" s="13">
        <v>0</v>
      </c>
      <c r="M136" s="8">
        <v>8115.4387190999996</v>
      </c>
      <c r="N136" s="8">
        <v>0</v>
      </c>
    </row>
    <row r="137" spans="1:14" x14ac:dyDescent="0.25">
      <c r="A137" s="10" t="s">
        <v>1906</v>
      </c>
      <c r="B137" s="10">
        <v>84779</v>
      </c>
      <c r="C137" s="10" t="s">
        <v>1907</v>
      </c>
      <c r="D137" s="10" t="s">
        <v>1908</v>
      </c>
      <c r="E137" s="10" t="s">
        <v>23</v>
      </c>
      <c r="F137" s="10" t="s">
        <v>16</v>
      </c>
      <c r="G137" s="6">
        <v>0</v>
      </c>
      <c r="H137" s="6">
        <v>1</v>
      </c>
      <c r="I137" s="6">
        <v>0</v>
      </c>
      <c r="J137" s="6">
        <v>0</v>
      </c>
      <c r="K137" s="13">
        <v>0</v>
      </c>
      <c r="L137" s="13">
        <v>0</v>
      </c>
      <c r="M137" s="8">
        <v>0</v>
      </c>
      <c r="N137" s="8">
        <v>0</v>
      </c>
    </row>
    <row r="138" spans="1:14" x14ac:dyDescent="0.25">
      <c r="A138" s="10" t="s">
        <v>1909</v>
      </c>
      <c r="B138" s="10">
        <v>84779</v>
      </c>
      <c r="C138" s="10" t="s">
        <v>1907</v>
      </c>
      <c r="D138" s="10" t="s">
        <v>1910</v>
      </c>
      <c r="E138" s="10" t="s">
        <v>23</v>
      </c>
      <c r="F138" s="10" t="s">
        <v>16</v>
      </c>
      <c r="G138" s="6">
        <v>16</v>
      </c>
      <c r="H138" s="6">
        <v>17</v>
      </c>
      <c r="I138" s="6">
        <v>0</v>
      </c>
      <c r="J138" s="6">
        <v>16</v>
      </c>
      <c r="K138" s="13">
        <v>991.84</v>
      </c>
      <c r="L138" s="13">
        <v>0</v>
      </c>
      <c r="M138" s="8">
        <v>3426.3493100800001</v>
      </c>
      <c r="N138" s="8">
        <v>0</v>
      </c>
    </row>
    <row r="139" spans="1:14" x14ac:dyDescent="0.25">
      <c r="A139" s="10" t="s">
        <v>1911</v>
      </c>
      <c r="B139" s="10">
        <v>84779</v>
      </c>
      <c r="C139" s="10" t="s">
        <v>1907</v>
      </c>
      <c r="D139" s="10" t="s">
        <v>1912</v>
      </c>
      <c r="E139" s="10" t="s">
        <v>23</v>
      </c>
      <c r="F139" s="10" t="s">
        <v>16</v>
      </c>
      <c r="G139" s="6">
        <v>73</v>
      </c>
      <c r="H139" s="6">
        <v>73</v>
      </c>
      <c r="I139" s="6">
        <v>0</v>
      </c>
      <c r="J139" s="6">
        <v>73</v>
      </c>
      <c r="K139" s="13">
        <v>4525.2700000000004</v>
      </c>
      <c r="L139" s="13">
        <v>0</v>
      </c>
      <c r="M139" s="8">
        <v>13289.992580239999</v>
      </c>
      <c r="N139" s="8">
        <v>0</v>
      </c>
    </row>
    <row r="140" spans="1:14" x14ac:dyDescent="0.25">
      <c r="A140" s="10" t="s">
        <v>1913</v>
      </c>
      <c r="B140" s="10">
        <v>84795</v>
      </c>
      <c r="C140" s="10" t="s">
        <v>1136</v>
      </c>
      <c r="D140" s="10" t="s">
        <v>1914</v>
      </c>
      <c r="E140" s="10" t="s">
        <v>23</v>
      </c>
      <c r="F140" s="10" t="s">
        <v>16</v>
      </c>
      <c r="G140" s="6">
        <v>0</v>
      </c>
      <c r="H140" s="6">
        <v>28</v>
      </c>
      <c r="I140" s="6">
        <v>0</v>
      </c>
      <c r="J140" s="6">
        <v>0</v>
      </c>
      <c r="K140" s="13">
        <v>0</v>
      </c>
      <c r="L140" s="13">
        <v>0</v>
      </c>
      <c r="M140" s="8">
        <v>0</v>
      </c>
      <c r="N140" s="8">
        <v>0</v>
      </c>
    </row>
    <row r="141" spans="1:14" x14ac:dyDescent="0.25">
      <c r="A141" s="10" t="s">
        <v>1915</v>
      </c>
      <c r="B141" s="10">
        <v>84822</v>
      </c>
      <c r="C141" s="10" t="s">
        <v>1155</v>
      </c>
      <c r="D141" s="10" t="s">
        <v>1916</v>
      </c>
      <c r="E141" s="10" t="s">
        <v>23</v>
      </c>
      <c r="F141" s="10" t="s">
        <v>16</v>
      </c>
      <c r="G141" s="6">
        <v>274</v>
      </c>
      <c r="H141" s="6">
        <v>279</v>
      </c>
      <c r="I141" s="6">
        <v>55</v>
      </c>
      <c r="J141" s="6">
        <v>219</v>
      </c>
      <c r="K141" s="13">
        <v>14960.4</v>
      </c>
      <c r="L141" s="13">
        <v>3003</v>
      </c>
      <c r="M141" s="8">
        <v>71961.584208739994</v>
      </c>
      <c r="N141" s="8">
        <v>14444.84354555</v>
      </c>
    </row>
    <row r="142" spans="1:14" x14ac:dyDescent="0.25">
      <c r="A142" s="10" t="s">
        <v>1917</v>
      </c>
      <c r="B142" s="10">
        <v>84847</v>
      </c>
      <c r="C142" s="10" t="s">
        <v>1161</v>
      </c>
      <c r="D142" s="10" t="s">
        <v>1918</v>
      </c>
      <c r="E142" s="10" t="s">
        <v>23</v>
      </c>
      <c r="F142" s="10" t="s">
        <v>16</v>
      </c>
      <c r="G142" s="6">
        <v>276</v>
      </c>
      <c r="H142" s="6">
        <v>280</v>
      </c>
      <c r="I142" s="6">
        <v>55</v>
      </c>
      <c r="J142" s="6">
        <v>221</v>
      </c>
      <c r="K142" s="13">
        <v>12378.6</v>
      </c>
      <c r="L142" s="13">
        <v>2466.75</v>
      </c>
      <c r="M142" s="8">
        <v>45628.077059280004</v>
      </c>
      <c r="N142" s="8">
        <v>9092.5515878999995</v>
      </c>
    </row>
    <row r="143" spans="1:14" x14ac:dyDescent="0.25">
      <c r="A143" s="10" t="s">
        <v>1919</v>
      </c>
      <c r="B143" s="10">
        <v>84860</v>
      </c>
      <c r="C143" s="10" t="s">
        <v>1667</v>
      </c>
      <c r="D143" s="10" t="s">
        <v>1920</v>
      </c>
      <c r="E143" s="10" t="s">
        <v>23</v>
      </c>
      <c r="F143" s="10" t="s">
        <v>16</v>
      </c>
      <c r="G143" s="6">
        <v>0</v>
      </c>
      <c r="H143" s="6">
        <v>0</v>
      </c>
      <c r="I143" s="6">
        <v>0</v>
      </c>
      <c r="J143" s="6">
        <v>0</v>
      </c>
      <c r="K143" s="13">
        <v>0</v>
      </c>
      <c r="L143" s="13">
        <v>0</v>
      </c>
      <c r="M143" s="8">
        <v>0</v>
      </c>
      <c r="N143" s="8">
        <v>0</v>
      </c>
    </row>
    <row r="144" spans="1:14" x14ac:dyDescent="0.25">
      <c r="A144" s="10" t="s">
        <v>1921</v>
      </c>
      <c r="B144" s="10">
        <v>84866</v>
      </c>
      <c r="C144" s="10" t="s">
        <v>1670</v>
      </c>
      <c r="D144" s="10" t="s">
        <v>1922</v>
      </c>
      <c r="E144" s="10" t="s">
        <v>23</v>
      </c>
      <c r="F144" s="10" t="s">
        <v>16</v>
      </c>
      <c r="G144" s="6">
        <v>0</v>
      </c>
      <c r="H144" s="6">
        <v>0</v>
      </c>
      <c r="I144" s="6">
        <v>0</v>
      </c>
      <c r="J144" s="6">
        <v>0</v>
      </c>
      <c r="K144" s="13">
        <v>0</v>
      </c>
      <c r="L144" s="13">
        <v>0</v>
      </c>
      <c r="M144" s="8">
        <v>0</v>
      </c>
      <c r="N144" s="8">
        <v>0</v>
      </c>
    </row>
    <row r="145" spans="1:14" x14ac:dyDescent="0.25">
      <c r="A145" s="10" t="s">
        <v>1923</v>
      </c>
      <c r="B145" s="10">
        <v>84875</v>
      </c>
      <c r="C145" s="10" t="s">
        <v>1164</v>
      </c>
      <c r="D145" s="10" t="s">
        <v>1924</v>
      </c>
      <c r="E145" s="10" t="s">
        <v>23</v>
      </c>
      <c r="F145" s="10" t="s">
        <v>16</v>
      </c>
      <c r="G145" s="6">
        <v>0</v>
      </c>
      <c r="H145" s="6">
        <v>24</v>
      </c>
      <c r="I145" s="6">
        <v>0</v>
      </c>
      <c r="J145" s="6">
        <v>0</v>
      </c>
      <c r="K145" s="13">
        <v>0</v>
      </c>
      <c r="L145" s="13">
        <v>0</v>
      </c>
      <c r="M145" s="8">
        <v>0</v>
      </c>
      <c r="N145" s="8">
        <v>0</v>
      </c>
    </row>
    <row r="146" spans="1:14" x14ac:dyDescent="0.25">
      <c r="A146" s="10" t="s">
        <v>1925</v>
      </c>
      <c r="B146" s="10">
        <v>84877</v>
      </c>
      <c r="C146" s="10" t="s">
        <v>1926</v>
      </c>
      <c r="D146" s="10" t="s">
        <v>1927</v>
      </c>
      <c r="E146" s="10" t="s">
        <v>23</v>
      </c>
      <c r="F146" s="10" t="s">
        <v>16</v>
      </c>
      <c r="G146" s="6">
        <v>0</v>
      </c>
      <c r="H146" s="6">
        <v>24</v>
      </c>
      <c r="I146" s="6">
        <v>0</v>
      </c>
      <c r="J146" s="6">
        <v>0</v>
      </c>
      <c r="K146" s="13">
        <v>0</v>
      </c>
      <c r="L146" s="13">
        <v>0</v>
      </c>
      <c r="M146" s="8">
        <v>0</v>
      </c>
      <c r="N146" s="8">
        <v>0</v>
      </c>
    </row>
    <row r="147" spans="1:14" x14ac:dyDescent="0.25">
      <c r="A147" s="10" t="s">
        <v>1928</v>
      </c>
      <c r="B147" s="10">
        <v>84877</v>
      </c>
      <c r="C147" s="10" t="s">
        <v>1926</v>
      </c>
      <c r="D147" s="10" t="s">
        <v>1929</v>
      </c>
      <c r="E147" s="10" t="s">
        <v>23</v>
      </c>
      <c r="F147" s="10" t="s">
        <v>16</v>
      </c>
      <c r="G147" s="6">
        <v>2</v>
      </c>
      <c r="H147" s="6">
        <v>0</v>
      </c>
      <c r="I147" s="6">
        <v>0</v>
      </c>
      <c r="J147" s="6">
        <v>2</v>
      </c>
      <c r="K147" s="13">
        <v>109.94</v>
      </c>
      <c r="L147" s="13">
        <v>0</v>
      </c>
      <c r="M147" s="8">
        <v>373.84912478000001</v>
      </c>
      <c r="N147" s="8">
        <v>0</v>
      </c>
    </row>
    <row r="148" spans="1:14" x14ac:dyDescent="0.25">
      <c r="A148" s="10" t="s">
        <v>1930</v>
      </c>
      <c r="B148" s="10">
        <v>84885</v>
      </c>
      <c r="C148" s="10" t="s">
        <v>1931</v>
      </c>
      <c r="D148" s="10" t="s">
        <v>1932</v>
      </c>
      <c r="E148" s="10" t="s">
        <v>23</v>
      </c>
      <c r="F148" s="10" t="s">
        <v>16</v>
      </c>
      <c r="G148" s="6">
        <v>0</v>
      </c>
      <c r="H148" s="6">
        <v>20</v>
      </c>
      <c r="I148" s="6">
        <v>0</v>
      </c>
      <c r="J148" s="6">
        <v>0</v>
      </c>
      <c r="K148" s="13">
        <v>0</v>
      </c>
      <c r="L148" s="13">
        <v>0</v>
      </c>
      <c r="M148" s="8">
        <v>0</v>
      </c>
      <c r="N148" s="8">
        <v>0</v>
      </c>
    </row>
    <row r="149" spans="1:14" x14ac:dyDescent="0.25">
      <c r="A149" s="10" t="s">
        <v>1933</v>
      </c>
      <c r="B149" s="10">
        <v>84885</v>
      </c>
      <c r="C149" s="10" t="s">
        <v>1931</v>
      </c>
      <c r="D149" s="10" t="s">
        <v>1934</v>
      </c>
      <c r="E149" s="10" t="s">
        <v>23</v>
      </c>
      <c r="F149" s="10" t="s">
        <v>16</v>
      </c>
      <c r="G149" s="6">
        <v>0</v>
      </c>
      <c r="H149" s="6">
        <v>0</v>
      </c>
      <c r="I149" s="6">
        <v>0</v>
      </c>
      <c r="J149" s="6">
        <v>0</v>
      </c>
      <c r="K149" s="13">
        <v>0</v>
      </c>
      <c r="L149" s="13">
        <v>0</v>
      </c>
      <c r="M149" s="8">
        <v>0</v>
      </c>
      <c r="N149" s="8">
        <v>0</v>
      </c>
    </row>
    <row r="150" spans="1:14" x14ac:dyDescent="0.25">
      <c r="A150" s="10" t="s">
        <v>1935</v>
      </c>
      <c r="B150" s="10">
        <v>86383</v>
      </c>
      <c r="C150" s="10" t="s">
        <v>1399</v>
      </c>
      <c r="D150" s="10" t="s">
        <v>1936</v>
      </c>
      <c r="E150" s="10" t="s">
        <v>23</v>
      </c>
      <c r="F150" s="10" t="s">
        <v>16</v>
      </c>
      <c r="G150" s="6">
        <v>0</v>
      </c>
      <c r="H150" s="6">
        <v>10</v>
      </c>
      <c r="I150" s="6">
        <v>0</v>
      </c>
      <c r="J150" s="6">
        <v>0</v>
      </c>
      <c r="K150" s="13">
        <v>0</v>
      </c>
      <c r="L150" s="13">
        <v>0</v>
      </c>
      <c r="M150" s="8">
        <v>0</v>
      </c>
      <c r="N150" s="8">
        <v>0</v>
      </c>
    </row>
    <row r="151" spans="1:14" x14ac:dyDescent="0.25">
      <c r="A151" s="16" t="s">
        <v>1938</v>
      </c>
      <c r="G151" s="17">
        <f t="shared" ref="G151:N151" si="0">SUM(G4:G150)</f>
        <v>4837</v>
      </c>
      <c r="H151" s="17">
        <f t="shared" si="0"/>
        <v>5320</v>
      </c>
      <c r="I151" s="17">
        <f t="shared" si="0"/>
        <v>2059</v>
      </c>
      <c r="J151" s="17">
        <f t="shared" si="0"/>
        <v>2778</v>
      </c>
      <c r="K151" s="18">
        <f t="shared" si="0"/>
        <v>169920.78999999998</v>
      </c>
      <c r="L151" s="18">
        <f t="shared" si="0"/>
        <v>72501.805999999997</v>
      </c>
      <c r="M151" s="19">
        <f t="shared" si="0"/>
        <v>707796.37316622015</v>
      </c>
      <c r="N151" s="19">
        <f t="shared" si="0"/>
        <v>280432.80993956997</v>
      </c>
    </row>
  </sheetData>
  <autoFilter ref="A3:N15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41"/>
  <sheetViews>
    <sheetView zoomScaleNormal="100" workbookViewId="0">
      <pane ySplit="3" topLeftCell="A4" activePane="bottomLeft" state="frozen"/>
      <selection pane="bottomLeft"/>
    </sheetView>
  </sheetViews>
  <sheetFormatPr defaultColWidth="8.5703125" defaultRowHeight="15" customHeight="1" x14ac:dyDescent="0.25"/>
  <cols>
    <col min="1" max="1" width="14" customWidth="1"/>
    <col min="2" max="2" width="10" customWidth="1"/>
    <col min="3" max="3" width="52" customWidth="1"/>
    <col min="4" max="4" width="26" customWidth="1"/>
    <col min="5" max="5" width="24" customWidth="1"/>
    <col min="6" max="6" width="16" customWidth="1"/>
    <col min="7" max="7" width="13" customWidth="1"/>
    <col min="8" max="8" width="12" customWidth="1"/>
    <col min="9" max="9" width="11" customWidth="1"/>
    <col min="10" max="10" width="12" customWidth="1"/>
    <col min="11" max="11" width="15" customWidth="1"/>
    <col min="12" max="12" width="17" customWidth="1"/>
    <col min="13" max="14" width="16" customWidth="1"/>
  </cols>
  <sheetData>
    <row r="1" spans="1:14" ht="18" x14ac:dyDescent="0.25">
      <c r="A1" s="1" t="s">
        <v>1939</v>
      </c>
    </row>
    <row r="3" spans="1:14" ht="25.5" x14ac:dyDescent="0.25">
      <c r="A3" s="4" t="s">
        <v>25</v>
      </c>
      <c r="B3" s="4" t="s">
        <v>26</v>
      </c>
      <c r="C3" s="4" t="s">
        <v>28</v>
      </c>
      <c r="D3" s="4" t="s">
        <v>29</v>
      </c>
      <c r="E3" s="4" t="s">
        <v>30</v>
      </c>
      <c r="F3" s="4" t="s">
        <v>32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34</v>
      </c>
      <c r="L3" s="4" t="s">
        <v>35</v>
      </c>
      <c r="M3" s="4" t="s">
        <v>10</v>
      </c>
      <c r="N3" s="4" t="s">
        <v>11</v>
      </c>
    </row>
    <row r="4" spans="1:14" x14ac:dyDescent="0.25">
      <c r="A4" s="10" t="s">
        <v>38</v>
      </c>
      <c r="B4" s="10">
        <v>101</v>
      </c>
      <c r="C4" s="10" t="s">
        <v>39</v>
      </c>
      <c r="D4" s="10" t="s">
        <v>40</v>
      </c>
      <c r="E4" s="10" t="s">
        <v>23</v>
      </c>
      <c r="F4" s="10" t="s">
        <v>41</v>
      </c>
      <c r="G4" s="6">
        <v>52</v>
      </c>
      <c r="H4" s="6"/>
      <c r="I4" s="6">
        <v>24</v>
      </c>
      <c r="J4" s="6">
        <v>28</v>
      </c>
      <c r="K4" s="13">
        <v>3472.924</v>
      </c>
      <c r="L4" s="13">
        <v>1602.8879999999999</v>
      </c>
      <c r="M4" s="8">
        <v>10528.30766988</v>
      </c>
      <c r="N4" s="8">
        <v>4859.2189245600002</v>
      </c>
    </row>
    <row r="5" spans="1:14" x14ac:dyDescent="0.25">
      <c r="A5" s="10" t="s">
        <v>42</v>
      </c>
      <c r="B5" s="10">
        <v>101</v>
      </c>
      <c r="C5" s="10" t="s">
        <v>39</v>
      </c>
      <c r="D5" s="10" t="s">
        <v>43</v>
      </c>
      <c r="E5" s="10" t="s">
        <v>23</v>
      </c>
      <c r="F5" s="10" t="s">
        <v>41</v>
      </c>
      <c r="G5" s="6">
        <v>756</v>
      </c>
      <c r="H5" s="6"/>
      <c r="I5" s="6">
        <v>475</v>
      </c>
      <c r="J5" s="6">
        <v>281</v>
      </c>
      <c r="K5" s="13">
        <v>50490.972000000002</v>
      </c>
      <c r="L5" s="13">
        <v>31723.825000000001</v>
      </c>
      <c r="M5" s="8">
        <v>161853.85283508</v>
      </c>
      <c r="N5" s="8">
        <v>101693.88901675001</v>
      </c>
    </row>
    <row r="6" spans="1:14" x14ac:dyDescent="0.25">
      <c r="A6" s="10" t="s">
        <v>44</v>
      </c>
      <c r="B6" s="10">
        <v>102</v>
      </c>
      <c r="C6" s="10" t="s">
        <v>45</v>
      </c>
      <c r="D6" s="10" t="s">
        <v>46</v>
      </c>
      <c r="E6" s="10" t="s">
        <v>23</v>
      </c>
      <c r="F6" s="10" t="s">
        <v>41</v>
      </c>
      <c r="G6" s="6">
        <v>402</v>
      </c>
      <c r="H6" s="6"/>
      <c r="I6" s="6">
        <v>158</v>
      </c>
      <c r="J6" s="6">
        <v>244</v>
      </c>
      <c r="K6" s="13">
        <v>15521.22</v>
      </c>
      <c r="L6" s="13">
        <v>6100.38</v>
      </c>
      <c r="M6" s="8">
        <v>57783.7862838</v>
      </c>
      <c r="N6" s="8">
        <v>22711.0403802</v>
      </c>
    </row>
    <row r="7" spans="1:14" x14ac:dyDescent="0.25">
      <c r="A7" s="10" t="s">
        <v>47</v>
      </c>
      <c r="B7" s="10">
        <v>102</v>
      </c>
      <c r="C7" s="10" t="s">
        <v>45</v>
      </c>
      <c r="D7" s="10" t="s">
        <v>48</v>
      </c>
      <c r="E7" s="10" t="s">
        <v>23</v>
      </c>
      <c r="F7" s="10" t="s">
        <v>41</v>
      </c>
      <c r="G7" s="6">
        <v>107</v>
      </c>
      <c r="H7" s="6"/>
      <c r="I7" s="6">
        <v>0</v>
      </c>
      <c r="J7" s="6">
        <v>107</v>
      </c>
      <c r="K7" s="13">
        <v>4131.2700000000004</v>
      </c>
      <c r="L7" s="13">
        <v>0</v>
      </c>
      <c r="M7" s="8">
        <v>16010.24076773</v>
      </c>
      <c r="N7" s="8">
        <v>0</v>
      </c>
    </row>
    <row r="8" spans="1:14" x14ac:dyDescent="0.25">
      <c r="A8" s="10" t="s">
        <v>49</v>
      </c>
      <c r="B8" s="10">
        <v>102</v>
      </c>
      <c r="C8" s="10" t="s">
        <v>45</v>
      </c>
      <c r="D8" s="10" t="s">
        <v>50</v>
      </c>
      <c r="E8" s="10" t="s">
        <v>23</v>
      </c>
      <c r="F8" s="10" t="s">
        <v>41</v>
      </c>
      <c r="G8" s="6">
        <v>533</v>
      </c>
      <c r="H8" s="6"/>
      <c r="I8" s="6">
        <v>317</v>
      </c>
      <c r="J8" s="6">
        <v>216</v>
      </c>
      <c r="K8" s="13">
        <v>20579.13</v>
      </c>
      <c r="L8" s="13">
        <v>12239.37</v>
      </c>
      <c r="M8" s="8">
        <v>75101.784861480002</v>
      </c>
      <c r="N8" s="8">
        <v>44666.539964520001</v>
      </c>
    </row>
    <row r="9" spans="1:14" x14ac:dyDescent="0.25">
      <c r="A9" s="10" t="s">
        <v>51</v>
      </c>
      <c r="B9" s="10">
        <v>102</v>
      </c>
      <c r="C9" s="10" t="s">
        <v>45</v>
      </c>
      <c r="D9" s="10" t="s">
        <v>52</v>
      </c>
      <c r="E9" s="10" t="s">
        <v>23</v>
      </c>
      <c r="F9" s="10" t="s">
        <v>41</v>
      </c>
      <c r="G9" s="6">
        <v>1</v>
      </c>
      <c r="H9" s="6"/>
      <c r="I9" s="6">
        <v>0</v>
      </c>
      <c r="J9" s="6">
        <v>1</v>
      </c>
      <c r="K9" s="13">
        <v>38.61</v>
      </c>
      <c r="L9" s="13">
        <v>0</v>
      </c>
      <c r="M9" s="8">
        <v>126.24009703</v>
      </c>
      <c r="N9" s="8">
        <v>0</v>
      </c>
    </row>
    <row r="10" spans="1:14" x14ac:dyDescent="0.25">
      <c r="A10" s="10" t="s">
        <v>53</v>
      </c>
      <c r="B10" s="10">
        <v>153</v>
      </c>
      <c r="C10" s="10" t="s">
        <v>54</v>
      </c>
      <c r="D10" s="10"/>
      <c r="E10" s="10" t="s">
        <v>23</v>
      </c>
      <c r="F10" s="10" t="s">
        <v>41</v>
      </c>
      <c r="G10" s="6">
        <v>893</v>
      </c>
      <c r="H10" s="6"/>
      <c r="I10" s="6">
        <v>0</v>
      </c>
      <c r="J10" s="6">
        <v>893</v>
      </c>
      <c r="K10" s="13">
        <v>2786.16</v>
      </c>
      <c r="L10" s="13">
        <v>0</v>
      </c>
      <c r="M10" s="8">
        <v>23415.016526529998</v>
      </c>
      <c r="N10" s="8">
        <v>0</v>
      </c>
    </row>
    <row r="11" spans="1:14" x14ac:dyDescent="0.25">
      <c r="A11" s="10" t="s">
        <v>55</v>
      </c>
      <c r="B11" s="10">
        <v>154</v>
      </c>
      <c r="C11" s="10" t="s">
        <v>56</v>
      </c>
      <c r="D11" s="10" t="s">
        <v>57</v>
      </c>
      <c r="E11" s="10" t="s">
        <v>20</v>
      </c>
      <c r="F11" s="10" t="s">
        <v>41</v>
      </c>
      <c r="G11" s="6">
        <v>5139</v>
      </c>
      <c r="H11" s="6"/>
      <c r="I11" s="6">
        <v>1392</v>
      </c>
      <c r="J11" s="6">
        <v>3747</v>
      </c>
      <c r="K11" s="13">
        <v>3607.578</v>
      </c>
      <c r="L11" s="13">
        <v>977.18399999999997</v>
      </c>
      <c r="M11" s="8">
        <v>32472.260782199999</v>
      </c>
      <c r="N11" s="8">
        <v>8795.7554015999995</v>
      </c>
    </row>
    <row r="12" spans="1:14" x14ac:dyDescent="0.25">
      <c r="A12" s="10" t="s">
        <v>58</v>
      </c>
      <c r="B12" s="10">
        <v>154</v>
      </c>
      <c r="C12" s="10" t="s">
        <v>56</v>
      </c>
      <c r="D12" s="10" t="s">
        <v>59</v>
      </c>
      <c r="E12" s="10" t="s">
        <v>20</v>
      </c>
      <c r="F12" s="10" t="s">
        <v>41</v>
      </c>
      <c r="G12" s="6">
        <v>616</v>
      </c>
      <c r="H12" s="6"/>
      <c r="I12" s="6">
        <v>156</v>
      </c>
      <c r="J12" s="6">
        <v>460</v>
      </c>
      <c r="K12" s="13">
        <v>432.43200000000002</v>
      </c>
      <c r="L12" s="13">
        <v>109.512</v>
      </c>
      <c r="M12" s="8">
        <v>3934.3257060800001</v>
      </c>
      <c r="N12" s="8">
        <v>996.35521128000005</v>
      </c>
    </row>
    <row r="13" spans="1:14" x14ac:dyDescent="0.25">
      <c r="A13" s="10" t="s">
        <v>60</v>
      </c>
      <c r="B13" s="10">
        <v>156</v>
      </c>
      <c r="C13" s="10" t="s">
        <v>61</v>
      </c>
      <c r="D13" s="10" t="s">
        <v>62</v>
      </c>
      <c r="E13" s="10" t="s">
        <v>21</v>
      </c>
      <c r="F13" s="10" t="s">
        <v>41</v>
      </c>
      <c r="G13" s="6">
        <v>339</v>
      </c>
      <c r="H13" s="6"/>
      <c r="I13" s="6">
        <v>221</v>
      </c>
      <c r="J13" s="6">
        <v>118</v>
      </c>
      <c r="K13" s="13">
        <v>6048.777</v>
      </c>
      <c r="L13" s="13">
        <v>3943.3029999999999</v>
      </c>
      <c r="M13" s="8">
        <v>35743.503923130003</v>
      </c>
      <c r="N13" s="8">
        <v>23301.812292070001</v>
      </c>
    </row>
    <row r="14" spans="1:14" x14ac:dyDescent="0.25">
      <c r="A14" s="10" t="s">
        <v>63</v>
      </c>
      <c r="B14" s="10">
        <v>156</v>
      </c>
      <c r="C14" s="10" t="s">
        <v>61</v>
      </c>
      <c r="D14" s="10" t="s">
        <v>64</v>
      </c>
      <c r="E14" s="10" t="s">
        <v>21</v>
      </c>
      <c r="F14" s="10" t="s">
        <v>41</v>
      </c>
      <c r="G14" s="6">
        <v>379</v>
      </c>
      <c r="H14" s="6"/>
      <c r="I14" s="6">
        <v>206</v>
      </c>
      <c r="J14" s="6">
        <v>173</v>
      </c>
      <c r="K14" s="13">
        <v>6762.4970000000003</v>
      </c>
      <c r="L14" s="13">
        <v>3675.6579999999999</v>
      </c>
      <c r="M14" s="8">
        <v>39958.795139850001</v>
      </c>
      <c r="N14" s="8">
        <v>21719.028492900001</v>
      </c>
    </row>
    <row r="15" spans="1:14" x14ac:dyDescent="0.25">
      <c r="A15" s="10" t="s">
        <v>65</v>
      </c>
      <c r="B15" s="10">
        <v>156</v>
      </c>
      <c r="C15" s="10" t="s">
        <v>61</v>
      </c>
      <c r="D15" s="10" t="s">
        <v>66</v>
      </c>
      <c r="E15" s="10" t="s">
        <v>21</v>
      </c>
      <c r="F15" s="10" t="s">
        <v>41</v>
      </c>
      <c r="G15" s="6">
        <v>313</v>
      </c>
      <c r="H15" s="6"/>
      <c r="I15" s="6">
        <v>122</v>
      </c>
      <c r="J15" s="6">
        <v>191</v>
      </c>
      <c r="K15" s="13">
        <v>5584.8590000000004</v>
      </c>
      <c r="L15" s="13">
        <v>2176.846</v>
      </c>
      <c r="M15" s="8">
        <v>32307.575661409999</v>
      </c>
      <c r="N15" s="8">
        <v>12592.729171540001</v>
      </c>
    </row>
    <row r="16" spans="1:14" x14ac:dyDescent="0.25">
      <c r="A16" s="10" t="s">
        <v>67</v>
      </c>
      <c r="B16" s="10">
        <v>156</v>
      </c>
      <c r="C16" s="10" t="s">
        <v>61</v>
      </c>
      <c r="D16" s="10" t="s">
        <v>68</v>
      </c>
      <c r="E16" s="10" t="s">
        <v>21</v>
      </c>
      <c r="F16" s="10" t="s">
        <v>41</v>
      </c>
      <c r="G16" s="6">
        <v>19</v>
      </c>
      <c r="H16" s="6"/>
      <c r="I16" s="6">
        <v>0</v>
      </c>
      <c r="J16" s="6">
        <v>19</v>
      </c>
      <c r="K16" s="13">
        <v>339.017</v>
      </c>
      <c r="L16" s="13">
        <v>0</v>
      </c>
      <c r="M16" s="8">
        <v>1655.6888155900001</v>
      </c>
      <c r="N16" s="8">
        <v>0</v>
      </c>
    </row>
    <row r="17" spans="1:14" x14ac:dyDescent="0.25">
      <c r="A17" s="10" t="s">
        <v>69</v>
      </c>
      <c r="B17" s="10">
        <v>156</v>
      </c>
      <c r="C17" s="10" t="s">
        <v>61</v>
      </c>
      <c r="D17" s="10" t="s">
        <v>70</v>
      </c>
      <c r="E17" s="10" t="s">
        <v>21</v>
      </c>
      <c r="F17" s="10" t="s">
        <v>41</v>
      </c>
      <c r="G17" s="6">
        <v>29</v>
      </c>
      <c r="H17" s="6"/>
      <c r="I17" s="6">
        <v>0</v>
      </c>
      <c r="J17" s="6">
        <v>29</v>
      </c>
      <c r="K17" s="13">
        <v>517.447</v>
      </c>
      <c r="L17" s="13">
        <v>0</v>
      </c>
      <c r="M17" s="8">
        <v>2213.1995528399998</v>
      </c>
      <c r="N17" s="8">
        <v>0</v>
      </c>
    </row>
    <row r="18" spans="1:14" x14ac:dyDescent="0.25">
      <c r="A18" s="10" t="s">
        <v>71</v>
      </c>
      <c r="B18" s="10">
        <v>161</v>
      </c>
      <c r="C18" s="10" t="s">
        <v>72</v>
      </c>
      <c r="D18" s="10" t="s">
        <v>73</v>
      </c>
      <c r="E18" s="10" t="s">
        <v>22</v>
      </c>
      <c r="F18" s="10" t="s">
        <v>41</v>
      </c>
      <c r="G18" s="6">
        <v>110</v>
      </c>
      <c r="H18" s="6"/>
      <c r="I18" s="6">
        <v>45</v>
      </c>
      <c r="J18" s="6">
        <v>65</v>
      </c>
      <c r="K18" s="13">
        <v>4826.25</v>
      </c>
      <c r="L18" s="13">
        <v>1974.375</v>
      </c>
      <c r="M18" s="8">
        <v>18736.829538900001</v>
      </c>
      <c r="N18" s="8">
        <v>7665.0666295499996</v>
      </c>
    </row>
    <row r="19" spans="1:14" x14ac:dyDescent="0.25">
      <c r="A19" s="10" t="s">
        <v>74</v>
      </c>
      <c r="B19" s="10">
        <v>184</v>
      </c>
      <c r="C19" s="10" t="s">
        <v>75</v>
      </c>
      <c r="D19" s="10" t="s">
        <v>76</v>
      </c>
      <c r="E19" s="10" t="s">
        <v>23</v>
      </c>
      <c r="F19" s="10" t="s">
        <v>41</v>
      </c>
      <c r="G19" s="6">
        <v>201</v>
      </c>
      <c r="H19" s="6"/>
      <c r="I19" s="6">
        <v>109</v>
      </c>
      <c r="J19" s="6">
        <v>92</v>
      </c>
      <c r="K19" s="13">
        <v>9455.0400000000009</v>
      </c>
      <c r="L19" s="13">
        <v>5127.3599999999997</v>
      </c>
      <c r="M19" s="8">
        <v>29488.0915833</v>
      </c>
      <c r="N19" s="8">
        <v>15991.0546397</v>
      </c>
    </row>
    <row r="20" spans="1:14" x14ac:dyDescent="0.25">
      <c r="A20" s="10" t="s">
        <v>77</v>
      </c>
      <c r="B20" s="10">
        <v>184</v>
      </c>
      <c r="C20" s="10" t="s">
        <v>75</v>
      </c>
      <c r="D20" s="10" t="s">
        <v>78</v>
      </c>
      <c r="E20" s="10" t="s">
        <v>23</v>
      </c>
      <c r="F20" s="10" t="s">
        <v>41</v>
      </c>
      <c r="G20" s="6">
        <v>1025</v>
      </c>
      <c r="H20" s="6"/>
      <c r="I20" s="6">
        <v>575</v>
      </c>
      <c r="J20" s="6">
        <v>450</v>
      </c>
      <c r="K20" s="13">
        <v>48216</v>
      </c>
      <c r="L20" s="13">
        <v>27048</v>
      </c>
      <c r="M20" s="8">
        <v>151755.02982075</v>
      </c>
      <c r="N20" s="8">
        <v>85130.870387250005</v>
      </c>
    </row>
    <row r="21" spans="1:14" x14ac:dyDescent="0.25">
      <c r="A21" s="10" t="s">
        <v>79</v>
      </c>
      <c r="B21" s="10">
        <v>185</v>
      </c>
      <c r="C21" s="10" t="s">
        <v>80</v>
      </c>
      <c r="D21" s="10" t="s">
        <v>81</v>
      </c>
      <c r="E21" s="10" t="s">
        <v>23</v>
      </c>
      <c r="F21" s="10" t="s">
        <v>41</v>
      </c>
      <c r="G21" s="6">
        <v>208</v>
      </c>
      <c r="H21" s="6"/>
      <c r="I21" s="6">
        <v>109</v>
      </c>
      <c r="J21" s="6">
        <v>99</v>
      </c>
      <c r="K21" s="13">
        <v>5840.64</v>
      </c>
      <c r="L21" s="13">
        <v>3060.72</v>
      </c>
      <c r="M21" s="8">
        <v>22753.153858239999</v>
      </c>
      <c r="N21" s="8">
        <v>11923.52774302</v>
      </c>
    </row>
    <row r="22" spans="1:14" x14ac:dyDescent="0.25">
      <c r="A22" s="10" t="s">
        <v>82</v>
      </c>
      <c r="B22" s="10">
        <v>185</v>
      </c>
      <c r="C22" s="10" t="s">
        <v>80</v>
      </c>
      <c r="D22" s="10" t="s">
        <v>83</v>
      </c>
      <c r="E22" s="10" t="s">
        <v>23</v>
      </c>
      <c r="F22" s="10" t="s">
        <v>41</v>
      </c>
      <c r="G22" s="6">
        <v>0</v>
      </c>
      <c r="H22" s="6"/>
      <c r="I22" s="6">
        <v>0</v>
      </c>
      <c r="J22" s="6">
        <v>0</v>
      </c>
      <c r="K22" s="13">
        <v>0</v>
      </c>
      <c r="L22" s="13">
        <v>0</v>
      </c>
      <c r="M22" s="8">
        <v>0</v>
      </c>
      <c r="N22" s="8">
        <v>0</v>
      </c>
    </row>
    <row r="23" spans="1:14" x14ac:dyDescent="0.25">
      <c r="A23" s="10" t="s">
        <v>84</v>
      </c>
      <c r="B23" s="10">
        <v>185</v>
      </c>
      <c r="C23" s="10" t="s">
        <v>80</v>
      </c>
      <c r="D23" s="10" t="s">
        <v>85</v>
      </c>
      <c r="E23" s="10" t="s">
        <v>23</v>
      </c>
      <c r="F23" s="10" t="s">
        <v>41</v>
      </c>
      <c r="G23" s="6">
        <v>597</v>
      </c>
      <c r="H23" s="6"/>
      <c r="I23" s="6">
        <v>310</v>
      </c>
      <c r="J23" s="6">
        <v>287</v>
      </c>
      <c r="K23" s="13">
        <v>16763.759999999998</v>
      </c>
      <c r="L23" s="13">
        <v>8704.7999999999993</v>
      </c>
      <c r="M23" s="8">
        <v>62866.419410670002</v>
      </c>
      <c r="N23" s="8">
        <v>32644.204384100001</v>
      </c>
    </row>
    <row r="24" spans="1:14" x14ac:dyDescent="0.25">
      <c r="A24" s="10" t="s">
        <v>86</v>
      </c>
      <c r="B24" s="10">
        <v>185</v>
      </c>
      <c r="C24" s="10" t="s">
        <v>80</v>
      </c>
      <c r="D24" s="10" t="s">
        <v>87</v>
      </c>
      <c r="E24" s="10" t="s">
        <v>23</v>
      </c>
      <c r="F24" s="10" t="s">
        <v>41</v>
      </c>
      <c r="G24" s="6">
        <v>465</v>
      </c>
      <c r="H24" s="6"/>
      <c r="I24" s="6">
        <v>265</v>
      </c>
      <c r="J24" s="6">
        <v>200</v>
      </c>
      <c r="K24" s="13">
        <v>13057.2</v>
      </c>
      <c r="L24" s="13">
        <v>7441.2</v>
      </c>
      <c r="M24" s="8">
        <v>47951.609885849997</v>
      </c>
      <c r="N24" s="8">
        <v>27327.261547850001</v>
      </c>
    </row>
    <row r="25" spans="1:14" x14ac:dyDescent="0.25">
      <c r="A25" s="10" t="s">
        <v>88</v>
      </c>
      <c r="B25" s="10">
        <v>187</v>
      </c>
      <c r="C25" s="10" t="s">
        <v>89</v>
      </c>
      <c r="D25" s="10" t="s">
        <v>90</v>
      </c>
      <c r="E25" s="10" t="s">
        <v>20</v>
      </c>
      <c r="F25" s="10" t="s">
        <v>41</v>
      </c>
      <c r="G25" s="6">
        <v>2717</v>
      </c>
      <c r="H25" s="6"/>
      <c r="I25" s="6">
        <v>1091</v>
      </c>
      <c r="J25" s="6">
        <v>1626</v>
      </c>
      <c r="K25" s="13">
        <v>1483.482</v>
      </c>
      <c r="L25" s="13">
        <v>595.68600000000004</v>
      </c>
      <c r="M25" s="8">
        <v>12809.48364696</v>
      </c>
      <c r="N25" s="8">
        <v>5143.5946480800003</v>
      </c>
    </row>
    <row r="26" spans="1:14" x14ac:dyDescent="0.25">
      <c r="A26" s="10" t="s">
        <v>91</v>
      </c>
      <c r="B26" s="10">
        <v>187</v>
      </c>
      <c r="C26" s="10" t="s">
        <v>89</v>
      </c>
      <c r="D26" s="10" t="s">
        <v>92</v>
      </c>
      <c r="E26" s="10" t="s">
        <v>20</v>
      </c>
      <c r="F26" s="10" t="s">
        <v>41</v>
      </c>
      <c r="G26" s="6">
        <v>703</v>
      </c>
      <c r="H26" s="6"/>
      <c r="I26" s="6">
        <v>234</v>
      </c>
      <c r="J26" s="6">
        <v>469</v>
      </c>
      <c r="K26" s="13">
        <v>383.83800000000002</v>
      </c>
      <c r="L26" s="13">
        <v>127.764</v>
      </c>
      <c r="M26" s="8">
        <v>3473.06036976</v>
      </c>
      <c r="N26" s="8">
        <v>1156.04000928</v>
      </c>
    </row>
    <row r="27" spans="1:14" x14ac:dyDescent="0.25">
      <c r="A27" s="10" t="s">
        <v>93</v>
      </c>
      <c r="B27" s="10">
        <v>187</v>
      </c>
      <c r="C27" s="10" t="s">
        <v>89</v>
      </c>
      <c r="D27" s="10" t="s">
        <v>94</v>
      </c>
      <c r="E27" s="10" t="s">
        <v>20</v>
      </c>
      <c r="F27" s="10" t="s">
        <v>41</v>
      </c>
      <c r="G27" s="6">
        <v>49</v>
      </c>
      <c r="H27" s="6"/>
      <c r="I27" s="6">
        <v>0</v>
      </c>
      <c r="J27" s="6">
        <v>49</v>
      </c>
      <c r="K27" s="13">
        <v>26.754000000000001</v>
      </c>
      <c r="L27" s="13">
        <v>0</v>
      </c>
      <c r="M27" s="8">
        <v>263.86884405000001</v>
      </c>
      <c r="N27" s="8">
        <v>0</v>
      </c>
    </row>
    <row r="28" spans="1:14" x14ac:dyDescent="0.25">
      <c r="A28" s="10" t="s">
        <v>95</v>
      </c>
      <c r="B28" s="10">
        <v>216</v>
      </c>
      <c r="C28" s="10" t="s">
        <v>96</v>
      </c>
      <c r="D28" s="10" t="s">
        <v>97</v>
      </c>
      <c r="E28" s="10" t="s">
        <v>22</v>
      </c>
      <c r="F28" s="10" t="s">
        <v>41</v>
      </c>
      <c r="G28" s="6">
        <v>155</v>
      </c>
      <c r="H28" s="6"/>
      <c r="I28" s="6">
        <v>0</v>
      </c>
      <c r="J28" s="6">
        <v>155</v>
      </c>
      <c r="K28" s="13">
        <v>1027.6500000000001</v>
      </c>
      <c r="L28" s="13">
        <v>0</v>
      </c>
      <c r="M28" s="8">
        <v>7026.5966635000004</v>
      </c>
      <c r="N28" s="8">
        <v>0</v>
      </c>
    </row>
    <row r="29" spans="1:14" x14ac:dyDescent="0.25">
      <c r="A29" s="10" t="s">
        <v>98</v>
      </c>
      <c r="B29" s="10">
        <v>216</v>
      </c>
      <c r="C29" s="10" t="s">
        <v>96</v>
      </c>
      <c r="D29" s="10" t="s">
        <v>99</v>
      </c>
      <c r="E29" s="10" t="s">
        <v>22</v>
      </c>
      <c r="F29" s="10" t="s">
        <v>41</v>
      </c>
      <c r="G29" s="6">
        <v>147</v>
      </c>
      <c r="H29" s="6"/>
      <c r="I29" s="6">
        <v>0</v>
      </c>
      <c r="J29" s="6">
        <v>147</v>
      </c>
      <c r="K29" s="13">
        <v>974.61</v>
      </c>
      <c r="L29" s="13">
        <v>0</v>
      </c>
      <c r="M29" s="8">
        <v>6702.1536099000004</v>
      </c>
      <c r="N29" s="8">
        <v>0</v>
      </c>
    </row>
    <row r="30" spans="1:14" x14ac:dyDescent="0.25">
      <c r="A30" s="10" t="s">
        <v>100</v>
      </c>
      <c r="B30" s="10">
        <v>217</v>
      </c>
      <c r="C30" s="10" t="s">
        <v>101</v>
      </c>
      <c r="D30" s="10" t="s">
        <v>102</v>
      </c>
      <c r="E30" s="10" t="s">
        <v>22</v>
      </c>
      <c r="F30" s="10" t="s">
        <v>41</v>
      </c>
      <c r="G30" s="6">
        <v>236</v>
      </c>
      <c r="H30" s="6"/>
      <c r="I30" s="6">
        <v>0</v>
      </c>
      <c r="J30" s="6">
        <v>236</v>
      </c>
      <c r="K30" s="13">
        <v>2716.36</v>
      </c>
      <c r="L30" s="13">
        <v>0</v>
      </c>
      <c r="M30" s="8">
        <v>16290.3017074</v>
      </c>
      <c r="N30" s="8">
        <v>0</v>
      </c>
    </row>
    <row r="31" spans="1:14" x14ac:dyDescent="0.25">
      <c r="A31" s="10" t="s">
        <v>103</v>
      </c>
      <c r="B31" s="10">
        <v>217</v>
      </c>
      <c r="C31" s="10" t="s">
        <v>101</v>
      </c>
      <c r="D31" s="10" t="s">
        <v>104</v>
      </c>
      <c r="E31" s="10" t="s">
        <v>22</v>
      </c>
      <c r="F31" s="10" t="s">
        <v>41</v>
      </c>
      <c r="G31" s="6">
        <v>0</v>
      </c>
      <c r="H31" s="6"/>
      <c r="I31" s="6">
        <v>0</v>
      </c>
      <c r="J31" s="6">
        <v>0</v>
      </c>
      <c r="K31" s="13">
        <v>0</v>
      </c>
      <c r="L31" s="13">
        <v>0</v>
      </c>
      <c r="M31" s="8">
        <v>0</v>
      </c>
      <c r="N31" s="8">
        <v>0</v>
      </c>
    </row>
    <row r="32" spans="1:14" x14ac:dyDescent="0.25">
      <c r="A32" s="10" t="s">
        <v>105</v>
      </c>
      <c r="B32" s="10">
        <v>217</v>
      </c>
      <c r="C32" s="10" t="s">
        <v>101</v>
      </c>
      <c r="D32" s="10" t="s">
        <v>106</v>
      </c>
      <c r="E32" s="10" t="s">
        <v>22</v>
      </c>
      <c r="F32" s="10" t="s">
        <v>41</v>
      </c>
      <c r="G32" s="6">
        <v>2479</v>
      </c>
      <c r="H32" s="6"/>
      <c r="I32" s="6">
        <v>0</v>
      </c>
      <c r="J32" s="6">
        <v>2479</v>
      </c>
      <c r="K32" s="13">
        <v>28533.29</v>
      </c>
      <c r="L32" s="13">
        <v>0</v>
      </c>
      <c r="M32" s="8">
        <v>154812.47788208001</v>
      </c>
      <c r="N32" s="8">
        <v>0</v>
      </c>
    </row>
    <row r="33" spans="1:14" x14ac:dyDescent="0.25">
      <c r="A33" s="10" t="s">
        <v>107</v>
      </c>
      <c r="B33" s="10">
        <v>217</v>
      </c>
      <c r="C33" s="10" t="s">
        <v>101</v>
      </c>
      <c r="D33" s="10" t="s">
        <v>108</v>
      </c>
      <c r="E33" s="10" t="s">
        <v>22</v>
      </c>
      <c r="F33" s="10" t="s">
        <v>41</v>
      </c>
      <c r="G33" s="6">
        <v>1405</v>
      </c>
      <c r="H33" s="6"/>
      <c r="I33" s="6">
        <v>509</v>
      </c>
      <c r="J33" s="6">
        <v>896</v>
      </c>
      <c r="K33" s="13">
        <v>16171.55</v>
      </c>
      <c r="L33" s="13">
        <v>5858.59</v>
      </c>
      <c r="M33" s="8">
        <v>85277.486108249999</v>
      </c>
      <c r="N33" s="8">
        <v>30894.121301849998</v>
      </c>
    </row>
    <row r="34" spans="1:14" x14ac:dyDescent="0.25">
      <c r="A34" s="10" t="s">
        <v>109</v>
      </c>
      <c r="B34" s="10">
        <v>217</v>
      </c>
      <c r="C34" s="10" t="s">
        <v>101</v>
      </c>
      <c r="D34" s="10" t="s">
        <v>110</v>
      </c>
      <c r="E34" s="10" t="s">
        <v>22</v>
      </c>
      <c r="F34" s="10" t="s">
        <v>41</v>
      </c>
      <c r="G34" s="6">
        <v>2237</v>
      </c>
      <c r="H34" s="6"/>
      <c r="I34" s="6">
        <v>804</v>
      </c>
      <c r="J34" s="6">
        <v>1433</v>
      </c>
      <c r="K34" s="13">
        <v>25747.87</v>
      </c>
      <c r="L34" s="13">
        <v>9254.0400000000009</v>
      </c>
      <c r="M34" s="8">
        <v>137588.03968245999</v>
      </c>
      <c r="N34" s="8">
        <v>49450.506886319999</v>
      </c>
    </row>
    <row r="35" spans="1:14" x14ac:dyDescent="0.25">
      <c r="A35" s="10" t="s">
        <v>111</v>
      </c>
      <c r="B35" s="10">
        <v>217</v>
      </c>
      <c r="C35" s="10" t="s">
        <v>101</v>
      </c>
      <c r="D35" s="10" t="s">
        <v>112</v>
      </c>
      <c r="E35" s="10" t="s">
        <v>22</v>
      </c>
      <c r="F35" s="10" t="s">
        <v>41</v>
      </c>
      <c r="G35" s="6">
        <v>45</v>
      </c>
      <c r="H35" s="6"/>
      <c r="I35" s="6">
        <v>0</v>
      </c>
      <c r="J35" s="6">
        <v>45</v>
      </c>
      <c r="K35" s="13">
        <v>517.95000000000005</v>
      </c>
      <c r="L35" s="13">
        <v>0</v>
      </c>
      <c r="M35" s="8">
        <v>2888.4441442500001</v>
      </c>
      <c r="N35" s="8">
        <v>0</v>
      </c>
    </row>
    <row r="36" spans="1:14" x14ac:dyDescent="0.25">
      <c r="A36" s="10" t="s">
        <v>113</v>
      </c>
      <c r="B36" s="10">
        <v>217</v>
      </c>
      <c r="C36" s="10" t="s">
        <v>101</v>
      </c>
      <c r="D36" s="10" t="s">
        <v>114</v>
      </c>
      <c r="E36" s="10" t="s">
        <v>22</v>
      </c>
      <c r="F36" s="10" t="s">
        <v>41</v>
      </c>
      <c r="G36" s="6">
        <v>1312</v>
      </c>
      <c r="H36" s="6"/>
      <c r="I36" s="6">
        <v>545</v>
      </c>
      <c r="J36" s="6">
        <v>767</v>
      </c>
      <c r="K36" s="13">
        <v>15101.12</v>
      </c>
      <c r="L36" s="13">
        <v>6272.95</v>
      </c>
      <c r="M36" s="8">
        <v>83141.089053119998</v>
      </c>
      <c r="N36" s="8">
        <v>34536.504217950001</v>
      </c>
    </row>
    <row r="37" spans="1:14" x14ac:dyDescent="0.25">
      <c r="A37" s="10" t="s">
        <v>115</v>
      </c>
      <c r="B37" s="10">
        <v>217</v>
      </c>
      <c r="C37" s="10" t="s">
        <v>101</v>
      </c>
      <c r="D37" s="10" t="s">
        <v>116</v>
      </c>
      <c r="E37" s="10" t="s">
        <v>22</v>
      </c>
      <c r="F37" s="10" t="s">
        <v>41</v>
      </c>
      <c r="G37" s="6">
        <v>206</v>
      </c>
      <c r="H37" s="6"/>
      <c r="I37" s="6">
        <v>205</v>
      </c>
      <c r="J37" s="6">
        <v>1</v>
      </c>
      <c r="K37" s="13">
        <v>2371.06</v>
      </c>
      <c r="L37" s="13">
        <v>2359.5500000000002</v>
      </c>
      <c r="M37" s="8">
        <v>13921.15283698</v>
      </c>
      <c r="N37" s="8">
        <v>13853.57442515</v>
      </c>
    </row>
    <row r="38" spans="1:14" x14ac:dyDescent="0.25">
      <c r="A38" s="10" t="s">
        <v>117</v>
      </c>
      <c r="B38" s="10">
        <v>217</v>
      </c>
      <c r="C38" s="10" t="s">
        <v>101</v>
      </c>
      <c r="D38" s="10" t="s">
        <v>118</v>
      </c>
      <c r="E38" s="10" t="s">
        <v>22</v>
      </c>
      <c r="F38" s="10" t="s">
        <v>41</v>
      </c>
      <c r="G38" s="6">
        <v>460</v>
      </c>
      <c r="H38" s="6"/>
      <c r="I38" s="6">
        <v>200</v>
      </c>
      <c r="J38" s="6">
        <v>260</v>
      </c>
      <c r="K38" s="13">
        <v>5294.6</v>
      </c>
      <c r="L38" s="13">
        <v>2302</v>
      </c>
      <c r="M38" s="8">
        <v>30071.965806600001</v>
      </c>
      <c r="N38" s="8">
        <v>13074.767742</v>
      </c>
    </row>
    <row r="39" spans="1:14" x14ac:dyDescent="0.25">
      <c r="A39" s="10" t="s">
        <v>119</v>
      </c>
      <c r="B39" s="10">
        <v>264</v>
      </c>
      <c r="C39" s="10" t="s">
        <v>120</v>
      </c>
      <c r="D39" s="10" t="s">
        <v>121</v>
      </c>
      <c r="E39" s="10" t="s">
        <v>22</v>
      </c>
      <c r="F39" s="10" t="s">
        <v>41</v>
      </c>
      <c r="G39" s="6">
        <v>505</v>
      </c>
      <c r="H39" s="6"/>
      <c r="I39" s="6">
        <v>490</v>
      </c>
      <c r="J39" s="6">
        <v>15</v>
      </c>
      <c r="K39" s="13">
        <v>14130.91</v>
      </c>
      <c r="L39" s="13">
        <v>13711.18</v>
      </c>
      <c r="M39" s="8">
        <v>60305.01623365</v>
      </c>
      <c r="N39" s="8">
        <v>58513.778127700003</v>
      </c>
    </row>
    <row r="40" spans="1:14" x14ac:dyDescent="0.25">
      <c r="A40" s="10" t="s">
        <v>122</v>
      </c>
      <c r="B40" s="10">
        <v>274</v>
      </c>
      <c r="C40" s="10" t="s">
        <v>123</v>
      </c>
      <c r="D40" s="10" t="s">
        <v>124</v>
      </c>
      <c r="E40" s="10" t="s">
        <v>23</v>
      </c>
      <c r="F40" s="10" t="s">
        <v>41</v>
      </c>
      <c r="G40" s="6">
        <v>922</v>
      </c>
      <c r="H40" s="6"/>
      <c r="I40" s="6">
        <v>475</v>
      </c>
      <c r="J40" s="6">
        <v>447</v>
      </c>
      <c r="K40" s="13">
        <v>45846.45</v>
      </c>
      <c r="L40" s="13">
        <v>23619.375</v>
      </c>
      <c r="M40" s="8">
        <v>196556.33825530001</v>
      </c>
      <c r="N40" s="8">
        <v>101262.75560875</v>
      </c>
    </row>
    <row r="41" spans="1:14" x14ac:dyDescent="0.25">
      <c r="A41" s="10" t="s">
        <v>125</v>
      </c>
      <c r="B41" s="10">
        <v>274</v>
      </c>
      <c r="C41" s="10" t="s">
        <v>123</v>
      </c>
      <c r="D41" s="10" t="s">
        <v>126</v>
      </c>
      <c r="E41" s="10" t="s">
        <v>23</v>
      </c>
      <c r="F41" s="10" t="s">
        <v>41</v>
      </c>
      <c r="G41" s="6">
        <v>337</v>
      </c>
      <c r="H41" s="6"/>
      <c r="I41" s="6">
        <v>237</v>
      </c>
      <c r="J41" s="6">
        <v>100</v>
      </c>
      <c r="K41" s="13">
        <v>16757.325000000001</v>
      </c>
      <c r="L41" s="13">
        <v>11784.825000000001</v>
      </c>
      <c r="M41" s="8">
        <v>71275.455836149995</v>
      </c>
      <c r="N41" s="8">
        <v>50125.46894115</v>
      </c>
    </row>
    <row r="42" spans="1:14" x14ac:dyDescent="0.25">
      <c r="A42" s="10" t="s">
        <v>127</v>
      </c>
      <c r="B42" s="10">
        <v>275</v>
      </c>
      <c r="C42" s="10" t="s">
        <v>128</v>
      </c>
      <c r="D42" s="10" t="s">
        <v>129</v>
      </c>
      <c r="E42" s="10" t="s">
        <v>23</v>
      </c>
      <c r="F42" s="10" t="s">
        <v>41</v>
      </c>
      <c r="G42" s="6">
        <v>891</v>
      </c>
      <c r="H42" s="6"/>
      <c r="I42" s="6">
        <v>475</v>
      </c>
      <c r="J42" s="6">
        <v>416</v>
      </c>
      <c r="K42" s="13">
        <v>53165.97</v>
      </c>
      <c r="L42" s="13">
        <v>28343.25</v>
      </c>
      <c r="M42" s="8">
        <v>185370.85522890001</v>
      </c>
      <c r="N42" s="8">
        <v>98822.846502500004</v>
      </c>
    </row>
    <row r="43" spans="1:14" x14ac:dyDescent="0.25">
      <c r="A43" s="10" t="s">
        <v>130</v>
      </c>
      <c r="B43" s="10">
        <v>275</v>
      </c>
      <c r="C43" s="10" t="s">
        <v>128</v>
      </c>
      <c r="D43" s="10" t="s">
        <v>131</v>
      </c>
      <c r="E43" s="10" t="s">
        <v>23</v>
      </c>
      <c r="F43" s="10" t="s">
        <v>41</v>
      </c>
      <c r="G43" s="6">
        <v>322</v>
      </c>
      <c r="H43" s="6"/>
      <c r="I43" s="6">
        <v>237</v>
      </c>
      <c r="J43" s="6">
        <v>85</v>
      </c>
      <c r="K43" s="13">
        <v>19213.740000000002</v>
      </c>
      <c r="L43" s="13">
        <v>14141.79</v>
      </c>
      <c r="M43" s="8">
        <v>59149.134987600002</v>
      </c>
      <c r="N43" s="8">
        <v>43535.232894599998</v>
      </c>
    </row>
    <row r="44" spans="1:14" x14ac:dyDescent="0.25">
      <c r="A44" s="10" t="s">
        <v>132</v>
      </c>
      <c r="B44" s="10">
        <v>276</v>
      </c>
      <c r="C44" s="10" t="s">
        <v>133</v>
      </c>
      <c r="D44" s="10" t="s">
        <v>134</v>
      </c>
      <c r="E44" s="10" t="s">
        <v>23</v>
      </c>
      <c r="F44" s="10" t="s">
        <v>41</v>
      </c>
      <c r="G44" s="6">
        <v>711</v>
      </c>
      <c r="H44" s="6"/>
      <c r="I44" s="6">
        <v>286</v>
      </c>
      <c r="J44" s="6">
        <v>425</v>
      </c>
      <c r="K44" s="13">
        <v>36737.370000000003</v>
      </c>
      <c r="L44" s="13">
        <v>14777.62</v>
      </c>
      <c r="M44" s="8">
        <v>111618.36080964</v>
      </c>
      <c r="N44" s="8">
        <v>44898.524882639998</v>
      </c>
    </row>
    <row r="45" spans="1:14" x14ac:dyDescent="0.25">
      <c r="A45" s="10" t="s">
        <v>135</v>
      </c>
      <c r="B45" s="10">
        <v>276</v>
      </c>
      <c r="C45" s="10" t="s">
        <v>133</v>
      </c>
      <c r="D45" s="10" t="s">
        <v>136</v>
      </c>
      <c r="E45" s="10" t="s">
        <v>23</v>
      </c>
      <c r="F45" s="10" t="s">
        <v>41</v>
      </c>
      <c r="G45" s="6">
        <v>189</v>
      </c>
      <c r="H45" s="6"/>
      <c r="I45" s="6">
        <v>189</v>
      </c>
      <c r="J45" s="6">
        <v>0</v>
      </c>
      <c r="K45" s="13">
        <v>9765.6299999999992</v>
      </c>
      <c r="L45" s="13">
        <v>9765.6299999999992</v>
      </c>
      <c r="M45" s="8">
        <v>32603.027009490001</v>
      </c>
      <c r="N45" s="8">
        <v>32603.027009490001</v>
      </c>
    </row>
    <row r="46" spans="1:14" x14ac:dyDescent="0.25">
      <c r="A46" s="10" t="s">
        <v>137</v>
      </c>
      <c r="B46" s="10">
        <v>276</v>
      </c>
      <c r="C46" s="10" t="s">
        <v>133</v>
      </c>
      <c r="D46" s="10" t="s">
        <v>138</v>
      </c>
      <c r="E46" s="10" t="s">
        <v>23</v>
      </c>
      <c r="F46" s="10" t="s">
        <v>41</v>
      </c>
      <c r="G46" s="6">
        <v>348</v>
      </c>
      <c r="H46" s="6"/>
      <c r="I46" s="6">
        <v>237</v>
      </c>
      <c r="J46" s="6">
        <v>111</v>
      </c>
      <c r="K46" s="13">
        <v>17981.16</v>
      </c>
      <c r="L46" s="13">
        <v>12245.79</v>
      </c>
      <c r="M46" s="8">
        <v>55224.654266999998</v>
      </c>
      <c r="N46" s="8">
        <v>37609.893854249996</v>
      </c>
    </row>
    <row r="47" spans="1:14" x14ac:dyDescent="0.25">
      <c r="A47" s="10" t="s">
        <v>139</v>
      </c>
      <c r="B47" s="10">
        <v>308</v>
      </c>
      <c r="C47" s="10" t="s">
        <v>140</v>
      </c>
      <c r="D47" s="10"/>
      <c r="E47" s="10" t="s">
        <v>23</v>
      </c>
      <c r="F47" s="10" t="s">
        <v>41</v>
      </c>
      <c r="G47" s="6">
        <v>872</v>
      </c>
      <c r="H47" s="6"/>
      <c r="I47" s="6">
        <v>0</v>
      </c>
      <c r="J47" s="6">
        <v>872</v>
      </c>
      <c r="K47" s="13">
        <v>6971.64</v>
      </c>
      <c r="L47" s="13">
        <v>0</v>
      </c>
      <c r="M47" s="8">
        <v>53415.737707679997</v>
      </c>
      <c r="N47" s="8">
        <v>0</v>
      </c>
    </row>
    <row r="48" spans="1:14" x14ac:dyDescent="0.25">
      <c r="A48" s="10" t="s">
        <v>141</v>
      </c>
      <c r="B48" s="10">
        <v>2084</v>
      </c>
      <c r="C48" s="10" t="s">
        <v>142</v>
      </c>
      <c r="D48" s="10" t="s">
        <v>143</v>
      </c>
      <c r="E48" s="10" t="s">
        <v>23</v>
      </c>
      <c r="F48" s="10" t="s">
        <v>41</v>
      </c>
      <c r="G48" s="6">
        <v>752</v>
      </c>
      <c r="H48" s="6"/>
      <c r="I48" s="6">
        <v>686</v>
      </c>
      <c r="J48" s="6">
        <v>66</v>
      </c>
      <c r="K48" s="13">
        <v>26248.560000000001</v>
      </c>
      <c r="L48" s="13">
        <v>23944.83</v>
      </c>
      <c r="M48" s="8">
        <v>115778.45121280001</v>
      </c>
      <c r="N48" s="8">
        <v>105617.04459039999</v>
      </c>
    </row>
    <row r="49" spans="1:14" x14ac:dyDescent="0.25">
      <c r="A49" s="10" t="s">
        <v>144</v>
      </c>
      <c r="B49" s="10">
        <v>2084</v>
      </c>
      <c r="C49" s="10" t="s">
        <v>142</v>
      </c>
      <c r="D49" s="10" t="s">
        <v>145</v>
      </c>
      <c r="E49" s="10" t="s">
        <v>23</v>
      </c>
      <c r="F49" s="10" t="s">
        <v>41</v>
      </c>
      <c r="G49" s="6">
        <v>143</v>
      </c>
      <c r="H49" s="6"/>
      <c r="I49" s="6">
        <v>122</v>
      </c>
      <c r="J49" s="6">
        <v>21</v>
      </c>
      <c r="K49" s="13">
        <v>4991.415</v>
      </c>
      <c r="L49" s="13">
        <v>4258.41</v>
      </c>
      <c r="M49" s="8">
        <v>22055.247191120001</v>
      </c>
      <c r="N49" s="8">
        <v>18816.364736480002</v>
      </c>
    </row>
    <row r="50" spans="1:14" x14ac:dyDescent="0.25">
      <c r="A50" s="10" t="s">
        <v>146</v>
      </c>
      <c r="B50" s="10">
        <v>2085</v>
      </c>
      <c r="C50" s="10" t="s">
        <v>147</v>
      </c>
      <c r="D50" s="10" t="s">
        <v>148</v>
      </c>
      <c r="E50" s="10" t="s">
        <v>23</v>
      </c>
      <c r="F50" s="10" t="s">
        <v>41</v>
      </c>
      <c r="G50" s="6">
        <v>686</v>
      </c>
      <c r="H50" s="6"/>
      <c r="I50" s="6">
        <v>0</v>
      </c>
      <c r="J50" s="6">
        <v>686</v>
      </c>
      <c r="K50" s="13">
        <v>27422.85</v>
      </c>
      <c r="L50" s="13">
        <v>0</v>
      </c>
      <c r="M50" s="8">
        <v>112154.59257478001</v>
      </c>
      <c r="N50" s="8">
        <v>0</v>
      </c>
    </row>
    <row r="51" spans="1:14" x14ac:dyDescent="0.25">
      <c r="A51" s="10" t="s">
        <v>149</v>
      </c>
      <c r="B51" s="10">
        <v>2085</v>
      </c>
      <c r="C51" s="10" t="s">
        <v>147</v>
      </c>
      <c r="D51" s="10" t="s">
        <v>150</v>
      </c>
      <c r="E51" s="10" t="s">
        <v>23</v>
      </c>
      <c r="F51" s="10" t="s">
        <v>41</v>
      </c>
      <c r="G51" s="6">
        <v>122</v>
      </c>
      <c r="H51" s="6"/>
      <c r="I51" s="6">
        <v>122</v>
      </c>
      <c r="J51" s="6">
        <v>0</v>
      </c>
      <c r="K51" s="13">
        <v>4876.95</v>
      </c>
      <c r="L51" s="13">
        <v>4876.95</v>
      </c>
      <c r="M51" s="8">
        <v>17034.399844060001</v>
      </c>
      <c r="N51" s="8">
        <v>17034.399844060001</v>
      </c>
    </row>
    <row r="52" spans="1:14" x14ac:dyDescent="0.25">
      <c r="A52" s="10" t="s">
        <v>151</v>
      </c>
      <c r="B52" s="10">
        <v>2086</v>
      </c>
      <c r="C52" s="10" t="s">
        <v>152</v>
      </c>
      <c r="D52" s="10" t="s">
        <v>153</v>
      </c>
      <c r="E52" s="10" t="s">
        <v>23</v>
      </c>
      <c r="F52" s="10" t="s">
        <v>41</v>
      </c>
      <c r="G52" s="6">
        <v>162</v>
      </c>
      <c r="H52" s="6"/>
      <c r="I52" s="6">
        <v>138</v>
      </c>
      <c r="J52" s="6">
        <v>24</v>
      </c>
      <c r="K52" s="13">
        <v>5765.0940000000001</v>
      </c>
      <c r="L52" s="13">
        <v>4911.0060000000003</v>
      </c>
      <c r="M52" s="8">
        <v>18694.32755292</v>
      </c>
      <c r="N52" s="8">
        <v>15924.79754508</v>
      </c>
    </row>
    <row r="53" spans="1:14" x14ac:dyDescent="0.25">
      <c r="A53" s="10" t="s">
        <v>154</v>
      </c>
      <c r="B53" s="10">
        <v>2086</v>
      </c>
      <c r="C53" s="10" t="s">
        <v>152</v>
      </c>
      <c r="D53" s="10" t="s">
        <v>155</v>
      </c>
      <c r="E53" s="10" t="s">
        <v>23</v>
      </c>
      <c r="F53" s="10" t="s">
        <v>41</v>
      </c>
      <c r="G53" s="6">
        <v>204</v>
      </c>
      <c r="H53" s="6"/>
      <c r="I53" s="6">
        <v>197</v>
      </c>
      <c r="J53" s="6">
        <v>7</v>
      </c>
      <c r="K53" s="13">
        <v>7259.7479999999996</v>
      </c>
      <c r="L53" s="13">
        <v>7010.6390000000001</v>
      </c>
      <c r="M53" s="8">
        <v>22983.651366720002</v>
      </c>
      <c r="N53" s="8">
        <v>22194.996662959999</v>
      </c>
    </row>
    <row r="54" spans="1:14" x14ac:dyDescent="0.25">
      <c r="A54" s="10" t="s">
        <v>156</v>
      </c>
      <c r="B54" s="10">
        <v>2086</v>
      </c>
      <c r="C54" s="10" t="s">
        <v>152</v>
      </c>
      <c r="D54" s="10" t="s">
        <v>157</v>
      </c>
      <c r="E54" s="10" t="s">
        <v>23</v>
      </c>
      <c r="F54" s="10" t="s">
        <v>41</v>
      </c>
      <c r="G54" s="6">
        <v>351</v>
      </c>
      <c r="H54" s="6"/>
      <c r="I54" s="6">
        <v>0</v>
      </c>
      <c r="J54" s="6">
        <v>351</v>
      </c>
      <c r="K54" s="13">
        <v>12491.037</v>
      </c>
      <c r="L54" s="13">
        <v>0</v>
      </c>
      <c r="M54" s="8">
        <v>43729.892739000003</v>
      </c>
      <c r="N54" s="8">
        <v>0</v>
      </c>
    </row>
    <row r="55" spans="1:14" x14ac:dyDescent="0.25">
      <c r="A55" s="10" t="s">
        <v>158</v>
      </c>
      <c r="B55" s="10">
        <v>2086</v>
      </c>
      <c r="C55" s="10" t="s">
        <v>152</v>
      </c>
      <c r="D55" s="10" t="s">
        <v>159</v>
      </c>
      <c r="E55" s="10" t="s">
        <v>23</v>
      </c>
      <c r="F55" s="10" t="s">
        <v>41</v>
      </c>
      <c r="G55" s="6">
        <v>132</v>
      </c>
      <c r="H55" s="6"/>
      <c r="I55" s="6">
        <v>0</v>
      </c>
      <c r="J55" s="6">
        <v>132</v>
      </c>
      <c r="K55" s="13">
        <v>4697.4840000000004</v>
      </c>
      <c r="L55" s="13">
        <v>0</v>
      </c>
      <c r="M55" s="8">
        <v>14758.5006096</v>
      </c>
      <c r="N55" s="8">
        <v>0</v>
      </c>
    </row>
    <row r="56" spans="1:14" x14ac:dyDescent="0.25">
      <c r="A56" s="10" t="s">
        <v>160</v>
      </c>
      <c r="B56" s="10">
        <v>2096</v>
      </c>
      <c r="C56" s="10" t="s">
        <v>161</v>
      </c>
      <c r="D56" s="10"/>
      <c r="E56" s="10" t="s">
        <v>23</v>
      </c>
      <c r="F56" s="10" t="s">
        <v>41</v>
      </c>
      <c r="G56" s="6">
        <v>0</v>
      </c>
      <c r="H56" s="6"/>
      <c r="I56" s="6">
        <v>0</v>
      </c>
      <c r="J56" s="6">
        <v>0</v>
      </c>
      <c r="K56" s="13">
        <v>0</v>
      </c>
      <c r="L56" s="13">
        <v>0</v>
      </c>
      <c r="M56" s="8">
        <v>0</v>
      </c>
      <c r="N56" s="8">
        <v>0</v>
      </c>
    </row>
    <row r="57" spans="1:14" x14ac:dyDescent="0.25">
      <c r="A57" s="10" t="s">
        <v>162</v>
      </c>
      <c r="B57" s="10">
        <v>2102</v>
      </c>
      <c r="C57" s="10" t="s">
        <v>163</v>
      </c>
      <c r="D57" s="10" t="s">
        <v>164</v>
      </c>
      <c r="E57" s="10" t="s">
        <v>23</v>
      </c>
      <c r="F57" s="10" t="s">
        <v>41</v>
      </c>
      <c r="G57" s="6">
        <v>285</v>
      </c>
      <c r="H57" s="6"/>
      <c r="I57" s="6">
        <v>246</v>
      </c>
      <c r="J57" s="6">
        <v>39</v>
      </c>
      <c r="K57" s="13">
        <v>14255.13</v>
      </c>
      <c r="L57" s="13">
        <v>12304.428</v>
      </c>
      <c r="M57" s="8">
        <v>66840.96340275</v>
      </c>
      <c r="N57" s="8">
        <v>57694.305252899998</v>
      </c>
    </row>
    <row r="58" spans="1:14" x14ac:dyDescent="0.25">
      <c r="A58" s="10" t="s">
        <v>165</v>
      </c>
      <c r="B58" s="10">
        <v>2103</v>
      </c>
      <c r="C58" s="10" t="s">
        <v>166</v>
      </c>
      <c r="D58" s="10" t="s">
        <v>167</v>
      </c>
      <c r="E58" s="10" t="s">
        <v>23</v>
      </c>
      <c r="F58" s="10" t="s">
        <v>41</v>
      </c>
      <c r="G58" s="6">
        <v>302</v>
      </c>
      <c r="H58" s="6"/>
      <c r="I58" s="6">
        <v>245</v>
      </c>
      <c r="J58" s="6">
        <v>57</v>
      </c>
      <c r="K58" s="13">
        <v>10320.548000000001</v>
      </c>
      <c r="L58" s="13">
        <v>8372.6299999999992</v>
      </c>
      <c r="M58" s="8">
        <v>32627.954567320001</v>
      </c>
      <c r="N58" s="8">
        <v>26469.6982417</v>
      </c>
    </row>
    <row r="59" spans="1:14" x14ac:dyDescent="0.25">
      <c r="A59" s="10" t="s">
        <v>168</v>
      </c>
      <c r="B59" s="10">
        <v>2104</v>
      </c>
      <c r="C59" s="10" t="s">
        <v>169</v>
      </c>
      <c r="D59" s="10" t="s">
        <v>170</v>
      </c>
      <c r="E59" s="10" t="s">
        <v>23</v>
      </c>
      <c r="F59" s="10" t="s">
        <v>41</v>
      </c>
      <c r="G59" s="6">
        <v>245</v>
      </c>
      <c r="H59" s="6"/>
      <c r="I59" s="6">
        <v>245</v>
      </c>
      <c r="J59" s="6">
        <v>0</v>
      </c>
      <c r="K59" s="13">
        <v>12660.375</v>
      </c>
      <c r="L59" s="13">
        <v>12660.375</v>
      </c>
      <c r="M59" s="8">
        <v>40595.345351750002</v>
      </c>
      <c r="N59" s="8">
        <v>40595.345351750002</v>
      </c>
    </row>
    <row r="60" spans="1:14" x14ac:dyDescent="0.25">
      <c r="A60" s="10" t="s">
        <v>171</v>
      </c>
      <c r="B60" s="10">
        <v>2105</v>
      </c>
      <c r="C60" s="10" t="s">
        <v>172</v>
      </c>
      <c r="D60" s="10" t="s">
        <v>173</v>
      </c>
      <c r="E60" s="10" t="s">
        <v>23</v>
      </c>
      <c r="F60" s="10" t="s">
        <v>41</v>
      </c>
      <c r="G60" s="6">
        <v>267</v>
      </c>
      <c r="H60" s="6"/>
      <c r="I60" s="6">
        <v>222</v>
      </c>
      <c r="J60" s="6">
        <v>45</v>
      </c>
      <c r="K60" s="13">
        <v>13185.528</v>
      </c>
      <c r="L60" s="13">
        <v>10963.248</v>
      </c>
      <c r="M60" s="8">
        <v>41398.560609599997</v>
      </c>
      <c r="N60" s="8">
        <v>34421.275113600001</v>
      </c>
    </row>
    <row r="61" spans="1:14" x14ac:dyDescent="0.25">
      <c r="A61" s="10" t="s">
        <v>174</v>
      </c>
      <c r="B61" s="10">
        <v>2105</v>
      </c>
      <c r="C61" s="10" t="s">
        <v>172</v>
      </c>
      <c r="D61" s="10" t="s">
        <v>175</v>
      </c>
      <c r="E61" s="10" t="s">
        <v>23</v>
      </c>
      <c r="F61" s="10" t="s">
        <v>41</v>
      </c>
      <c r="G61" s="6">
        <v>8</v>
      </c>
      <c r="H61" s="6"/>
      <c r="I61" s="6">
        <v>0</v>
      </c>
      <c r="J61" s="6">
        <v>8</v>
      </c>
      <c r="K61" s="13">
        <v>395.072</v>
      </c>
      <c r="L61" s="13">
        <v>0</v>
      </c>
      <c r="M61" s="8">
        <v>1208.76817048</v>
      </c>
      <c r="N61" s="8">
        <v>0</v>
      </c>
    </row>
    <row r="62" spans="1:14" x14ac:dyDescent="0.25">
      <c r="A62" s="10" t="s">
        <v>176</v>
      </c>
      <c r="B62" s="10">
        <v>2105</v>
      </c>
      <c r="C62" s="10" t="s">
        <v>172</v>
      </c>
      <c r="D62" s="10" t="s">
        <v>177</v>
      </c>
      <c r="E62" s="10" t="s">
        <v>23</v>
      </c>
      <c r="F62" s="10" t="s">
        <v>41</v>
      </c>
      <c r="G62" s="6">
        <v>24</v>
      </c>
      <c r="H62" s="6"/>
      <c r="I62" s="6">
        <v>0</v>
      </c>
      <c r="J62" s="6">
        <v>24</v>
      </c>
      <c r="K62" s="13">
        <v>1185.2159999999999</v>
      </c>
      <c r="L62" s="13">
        <v>0</v>
      </c>
      <c r="M62" s="8">
        <v>3611.91151416</v>
      </c>
      <c r="N62" s="8">
        <v>0</v>
      </c>
    </row>
    <row r="63" spans="1:14" x14ac:dyDescent="0.25">
      <c r="A63" s="10" t="s">
        <v>178</v>
      </c>
      <c r="B63" s="10">
        <v>2107</v>
      </c>
      <c r="C63" s="10" t="s">
        <v>179</v>
      </c>
      <c r="D63" s="10" t="s">
        <v>180</v>
      </c>
      <c r="E63" s="10" t="s">
        <v>23</v>
      </c>
      <c r="F63" s="10" t="s">
        <v>41</v>
      </c>
      <c r="G63" s="6">
        <v>199</v>
      </c>
      <c r="H63" s="6"/>
      <c r="I63" s="6">
        <v>165</v>
      </c>
      <c r="J63" s="6">
        <v>34</v>
      </c>
      <c r="K63" s="13">
        <v>10147.407999999999</v>
      </c>
      <c r="L63" s="13">
        <v>8413.68</v>
      </c>
      <c r="M63" s="8">
        <v>31830.596450019999</v>
      </c>
      <c r="N63" s="8">
        <v>26392.203086699999</v>
      </c>
    </row>
    <row r="64" spans="1:14" x14ac:dyDescent="0.25">
      <c r="A64" s="10" t="s">
        <v>181</v>
      </c>
      <c r="B64" s="10">
        <v>2108</v>
      </c>
      <c r="C64" s="10" t="s">
        <v>182</v>
      </c>
      <c r="D64" s="10" t="s">
        <v>183</v>
      </c>
      <c r="E64" s="10" t="s">
        <v>23</v>
      </c>
      <c r="F64" s="10" t="s">
        <v>41</v>
      </c>
      <c r="G64" s="6">
        <v>168</v>
      </c>
      <c r="H64" s="6"/>
      <c r="I64" s="6">
        <v>168</v>
      </c>
      <c r="J64" s="6">
        <v>0</v>
      </c>
      <c r="K64" s="13">
        <v>8157.24</v>
      </c>
      <c r="L64" s="13">
        <v>8157.24</v>
      </c>
      <c r="M64" s="8">
        <v>26590.44689784</v>
      </c>
      <c r="N64" s="8">
        <v>26590.44689784</v>
      </c>
    </row>
    <row r="65" spans="1:14" x14ac:dyDescent="0.25">
      <c r="A65" s="10" t="s">
        <v>184</v>
      </c>
      <c r="B65" s="10">
        <v>2109</v>
      </c>
      <c r="C65" s="10" t="s">
        <v>185</v>
      </c>
      <c r="D65" s="10" t="s">
        <v>186</v>
      </c>
      <c r="E65" s="10" t="s">
        <v>23</v>
      </c>
      <c r="F65" s="10" t="s">
        <v>41</v>
      </c>
      <c r="G65" s="6">
        <v>181</v>
      </c>
      <c r="H65" s="6"/>
      <c r="I65" s="6">
        <v>165</v>
      </c>
      <c r="J65" s="6">
        <v>16</v>
      </c>
      <c r="K65" s="13">
        <v>7994.2269999999999</v>
      </c>
      <c r="L65" s="13">
        <v>7287.5550000000003</v>
      </c>
      <c r="M65" s="8">
        <v>32178.258367570001</v>
      </c>
      <c r="N65" s="8">
        <v>29333.771440050001</v>
      </c>
    </row>
    <row r="66" spans="1:14" x14ac:dyDescent="0.25">
      <c r="A66" s="10" t="s">
        <v>187</v>
      </c>
      <c r="B66" s="10">
        <v>2109</v>
      </c>
      <c r="C66" s="10" t="s">
        <v>185</v>
      </c>
      <c r="D66" s="10" t="s">
        <v>188</v>
      </c>
      <c r="E66" s="10" t="s">
        <v>23</v>
      </c>
      <c r="F66" s="10" t="s">
        <v>41</v>
      </c>
      <c r="G66" s="6">
        <v>1</v>
      </c>
      <c r="H66" s="6"/>
      <c r="I66" s="6">
        <v>0</v>
      </c>
      <c r="J66" s="6">
        <v>1</v>
      </c>
      <c r="K66" s="13">
        <v>44.167000000000002</v>
      </c>
      <c r="L66" s="13">
        <v>0</v>
      </c>
      <c r="M66" s="8">
        <v>160.50374736000001</v>
      </c>
      <c r="N66" s="8">
        <v>0</v>
      </c>
    </row>
    <row r="67" spans="1:14" x14ac:dyDescent="0.25">
      <c r="A67" s="10" t="s">
        <v>189</v>
      </c>
      <c r="B67" s="10">
        <v>2110</v>
      </c>
      <c r="C67" s="10" t="s">
        <v>190</v>
      </c>
      <c r="D67" s="10" t="s">
        <v>191</v>
      </c>
      <c r="E67" s="10" t="s">
        <v>23</v>
      </c>
      <c r="F67" s="10" t="s">
        <v>41</v>
      </c>
      <c r="G67" s="6">
        <v>305</v>
      </c>
      <c r="H67" s="6"/>
      <c r="I67" s="6">
        <v>77</v>
      </c>
      <c r="J67" s="6">
        <v>228</v>
      </c>
      <c r="K67" s="13">
        <v>16920.485000000001</v>
      </c>
      <c r="L67" s="13">
        <v>4271.7290000000003</v>
      </c>
      <c r="M67" s="8">
        <v>48060.6925233</v>
      </c>
      <c r="N67" s="8">
        <v>12133.35516162</v>
      </c>
    </row>
    <row r="68" spans="1:14" x14ac:dyDescent="0.25">
      <c r="A68" s="10" t="s">
        <v>192</v>
      </c>
      <c r="B68" s="10">
        <v>2110</v>
      </c>
      <c r="C68" s="10" t="s">
        <v>190</v>
      </c>
      <c r="D68" s="10" t="s">
        <v>193</v>
      </c>
      <c r="E68" s="10" t="s">
        <v>23</v>
      </c>
      <c r="F68" s="10" t="s">
        <v>41</v>
      </c>
      <c r="G68" s="6">
        <v>494</v>
      </c>
      <c r="H68" s="6"/>
      <c r="I68" s="6">
        <v>90</v>
      </c>
      <c r="J68" s="6">
        <v>404</v>
      </c>
      <c r="K68" s="13">
        <v>27405.637999999999</v>
      </c>
      <c r="L68" s="13">
        <v>4992.93</v>
      </c>
      <c r="M68" s="8">
        <v>81082.870947260002</v>
      </c>
      <c r="N68" s="8">
        <v>14772.182966099999</v>
      </c>
    </row>
    <row r="69" spans="1:14" x14ac:dyDescent="0.25">
      <c r="A69" s="10" t="s">
        <v>194</v>
      </c>
      <c r="B69" s="10">
        <v>2110</v>
      </c>
      <c r="C69" s="10" t="s">
        <v>190</v>
      </c>
      <c r="D69" s="10" t="s">
        <v>195</v>
      </c>
      <c r="E69" s="10" t="s">
        <v>23</v>
      </c>
      <c r="F69" s="10" t="s">
        <v>41</v>
      </c>
      <c r="G69" s="6">
        <v>0</v>
      </c>
      <c r="H69" s="6"/>
      <c r="I69" s="6">
        <v>0</v>
      </c>
      <c r="J69" s="6">
        <v>0</v>
      </c>
      <c r="K69" s="13">
        <v>0</v>
      </c>
      <c r="L69" s="13">
        <v>0</v>
      </c>
      <c r="M69" s="8">
        <v>0</v>
      </c>
      <c r="N69" s="8">
        <v>0</v>
      </c>
    </row>
    <row r="70" spans="1:14" x14ac:dyDescent="0.25">
      <c r="A70" s="10" t="s">
        <v>196</v>
      </c>
      <c r="B70" s="10">
        <v>2111</v>
      </c>
      <c r="C70" s="10" t="s">
        <v>197</v>
      </c>
      <c r="D70" s="10"/>
      <c r="E70" s="10" t="s">
        <v>23</v>
      </c>
      <c r="F70" s="10" t="s">
        <v>41</v>
      </c>
      <c r="G70" s="6">
        <v>348</v>
      </c>
      <c r="H70" s="6"/>
      <c r="I70" s="6">
        <v>0</v>
      </c>
      <c r="J70" s="6">
        <v>348</v>
      </c>
      <c r="K70" s="13">
        <v>3104.5079999999998</v>
      </c>
      <c r="L70" s="13">
        <v>0</v>
      </c>
      <c r="M70" s="8">
        <v>23599.759885560001</v>
      </c>
      <c r="N70" s="8">
        <v>0</v>
      </c>
    </row>
    <row r="71" spans="1:14" x14ac:dyDescent="0.25">
      <c r="A71" s="10" t="s">
        <v>198</v>
      </c>
      <c r="B71" s="10">
        <v>2161</v>
      </c>
      <c r="C71" s="10" t="s">
        <v>199</v>
      </c>
      <c r="D71" s="10" t="s">
        <v>200</v>
      </c>
      <c r="E71" s="10" t="s">
        <v>21</v>
      </c>
      <c r="F71" s="10" t="s">
        <v>41</v>
      </c>
      <c r="G71" s="6">
        <v>1072</v>
      </c>
      <c r="H71" s="6"/>
      <c r="I71" s="6">
        <v>398</v>
      </c>
      <c r="J71" s="6">
        <v>674</v>
      </c>
      <c r="K71" s="13">
        <v>27175.200000000001</v>
      </c>
      <c r="L71" s="13">
        <v>10089.299999999999</v>
      </c>
      <c r="M71" s="8">
        <v>85590.681041119999</v>
      </c>
      <c r="N71" s="8">
        <v>31777.13717758</v>
      </c>
    </row>
    <row r="72" spans="1:14" x14ac:dyDescent="0.25">
      <c r="A72" s="10" t="s">
        <v>201</v>
      </c>
      <c r="B72" s="10">
        <v>2161</v>
      </c>
      <c r="C72" s="10" t="s">
        <v>199</v>
      </c>
      <c r="D72" s="10" t="s">
        <v>202</v>
      </c>
      <c r="E72" s="10" t="s">
        <v>21</v>
      </c>
      <c r="F72" s="10" t="s">
        <v>41</v>
      </c>
      <c r="G72" s="6">
        <v>248</v>
      </c>
      <c r="H72" s="6"/>
      <c r="I72" s="6">
        <v>141</v>
      </c>
      <c r="J72" s="6">
        <v>107</v>
      </c>
      <c r="K72" s="13">
        <v>6286.8</v>
      </c>
      <c r="L72" s="13">
        <v>3574.35</v>
      </c>
      <c r="M72" s="8">
        <v>16717.297058240001</v>
      </c>
      <c r="N72" s="8">
        <v>9504.5922790799996</v>
      </c>
    </row>
    <row r="73" spans="1:14" x14ac:dyDescent="0.25">
      <c r="A73" s="10" t="s">
        <v>203</v>
      </c>
      <c r="B73" s="10">
        <v>2161</v>
      </c>
      <c r="C73" s="10" t="s">
        <v>199</v>
      </c>
      <c r="D73" s="10" t="s">
        <v>204</v>
      </c>
      <c r="E73" s="10" t="s">
        <v>21</v>
      </c>
      <c r="F73" s="10" t="s">
        <v>41</v>
      </c>
      <c r="G73" s="6">
        <v>4</v>
      </c>
      <c r="H73" s="6"/>
      <c r="I73" s="6">
        <v>0</v>
      </c>
      <c r="J73" s="6">
        <v>4</v>
      </c>
      <c r="K73" s="13">
        <v>101.4</v>
      </c>
      <c r="L73" s="13">
        <v>0</v>
      </c>
      <c r="M73" s="8">
        <v>296.10892264</v>
      </c>
      <c r="N73" s="8">
        <v>0</v>
      </c>
    </row>
    <row r="74" spans="1:14" x14ac:dyDescent="0.25">
      <c r="A74" s="10" t="s">
        <v>205</v>
      </c>
      <c r="B74" s="10">
        <v>2162</v>
      </c>
      <c r="C74" s="10" t="s">
        <v>206</v>
      </c>
      <c r="D74" s="10" t="s">
        <v>207</v>
      </c>
      <c r="E74" s="10" t="s">
        <v>21</v>
      </c>
      <c r="F74" s="10" t="s">
        <v>41</v>
      </c>
      <c r="G74" s="6">
        <v>1071</v>
      </c>
      <c r="H74" s="6"/>
      <c r="I74" s="6">
        <v>398</v>
      </c>
      <c r="J74" s="6">
        <v>673</v>
      </c>
      <c r="K74" s="13">
        <v>13880.16</v>
      </c>
      <c r="L74" s="13">
        <v>5158.08</v>
      </c>
      <c r="M74" s="8">
        <v>51081.538872420002</v>
      </c>
      <c r="N74" s="8">
        <v>18982.682045959999</v>
      </c>
    </row>
    <row r="75" spans="1:14" x14ac:dyDescent="0.25">
      <c r="A75" s="10" t="s">
        <v>208</v>
      </c>
      <c r="B75" s="10">
        <v>2162</v>
      </c>
      <c r="C75" s="10" t="s">
        <v>206</v>
      </c>
      <c r="D75" s="10" t="s">
        <v>209</v>
      </c>
      <c r="E75" s="10" t="s">
        <v>21</v>
      </c>
      <c r="F75" s="10" t="s">
        <v>41</v>
      </c>
      <c r="G75" s="6">
        <v>250</v>
      </c>
      <c r="H75" s="6"/>
      <c r="I75" s="6">
        <v>141</v>
      </c>
      <c r="J75" s="6">
        <v>109</v>
      </c>
      <c r="K75" s="13">
        <v>3240</v>
      </c>
      <c r="L75" s="13">
        <v>1827.36</v>
      </c>
      <c r="M75" s="8">
        <v>12079.8134125</v>
      </c>
      <c r="N75" s="8">
        <v>6813.01476465</v>
      </c>
    </row>
    <row r="76" spans="1:14" x14ac:dyDescent="0.25">
      <c r="A76" s="10" t="s">
        <v>210</v>
      </c>
      <c r="B76" s="10">
        <v>2162</v>
      </c>
      <c r="C76" s="10" t="s">
        <v>206</v>
      </c>
      <c r="D76" s="10" t="s">
        <v>211</v>
      </c>
      <c r="E76" s="10" t="s">
        <v>21</v>
      </c>
      <c r="F76" s="10" t="s">
        <v>41</v>
      </c>
      <c r="G76" s="6">
        <v>2</v>
      </c>
      <c r="H76" s="6"/>
      <c r="I76" s="6">
        <v>0</v>
      </c>
      <c r="J76" s="6">
        <v>2</v>
      </c>
      <c r="K76" s="13">
        <v>25.92</v>
      </c>
      <c r="L76" s="13">
        <v>0</v>
      </c>
      <c r="M76" s="8">
        <v>104.7064788</v>
      </c>
      <c r="N76" s="8">
        <v>0</v>
      </c>
    </row>
    <row r="77" spans="1:14" x14ac:dyDescent="0.25">
      <c r="A77" s="10" t="s">
        <v>212</v>
      </c>
      <c r="B77" s="10">
        <v>2163</v>
      </c>
      <c r="C77" s="10" t="s">
        <v>213</v>
      </c>
      <c r="D77" s="10" t="s">
        <v>214</v>
      </c>
      <c r="E77" s="10" t="s">
        <v>21</v>
      </c>
      <c r="F77" s="10" t="s">
        <v>41</v>
      </c>
      <c r="G77" s="6">
        <v>1070</v>
      </c>
      <c r="H77" s="6"/>
      <c r="I77" s="6">
        <v>398</v>
      </c>
      <c r="J77" s="6">
        <v>672</v>
      </c>
      <c r="K77" s="13">
        <v>19195.8</v>
      </c>
      <c r="L77" s="13">
        <v>7140.12</v>
      </c>
      <c r="M77" s="8">
        <v>87469.523078099999</v>
      </c>
      <c r="N77" s="8">
        <v>32535.392696340001</v>
      </c>
    </row>
    <row r="78" spans="1:14" x14ac:dyDescent="0.25">
      <c r="A78" s="10" t="s">
        <v>215</v>
      </c>
      <c r="B78" s="10">
        <v>2163</v>
      </c>
      <c r="C78" s="10" t="s">
        <v>213</v>
      </c>
      <c r="D78" s="10" t="s">
        <v>216</v>
      </c>
      <c r="E78" s="10" t="s">
        <v>21</v>
      </c>
      <c r="F78" s="10" t="s">
        <v>41</v>
      </c>
      <c r="G78" s="6">
        <v>246</v>
      </c>
      <c r="H78" s="6"/>
      <c r="I78" s="6">
        <v>141</v>
      </c>
      <c r="J78" s="6">
        <v>105</v>
      </c>
      <c r="K78" s="13">
        <v>4413.24</v>
      </c>
      <c r="L78" s="13">
        <v>2529.54</v>
      </c>
      <c r="M78" s="8">
        <v>20511.085551299999</v>
      </c>
      <c r="N78" s="8">
        <v>11756.35391355</v>
      </c>
    </row>
    <row r="79" spans="1:14" x14ac:dyDescent="0.25">
      <c r="A79" s="10" t="s">
        <v>217</v>
      </c>
      <c r="B79" s="10">
        <v>2163</v>
      </c>
      <c r="C79" s="10" t="s">
        <v>213</v>
      </c>
      <c r="D79" s="10" t="s">
        <v>218</v>
      </c>
      <c r="E79" s="10" t="s">
        <v>21</v>
      </c>
      <c r="F79" s="10" t="s">
        <v>41</v>
      </c>
      <c r="G79" s="6">
        <v>6</v>
      </c>
      <c r="H79" s="6"/>
      <c r="I79" s="6">
        <v>0</v>
      </c>
      <c r="J79" s="6">
        <v>6</v>
      </c>
      <c r="K79" s="13">
        <v>107.64</v>
      </c>
      <c r="L79" s="13">
        <v>0</v>
      </c>
      <c r="M79" s="8">
        <v>511.19047932000001</v>
      </c>
      <c r="N79" s="8">
        <v>0</v>
      </c>
    </row>
    <row r="80" spans="1:14" x14ac:dyDescent="0.25">
      <c r="A80" s="10" t="s">
        <v>219</v>
      </c>
      <c r="B80" s="10">
        <v>2176</v>
      </c>
      <c r="C80" s="10" t="s">
        <v>220</v>
      </c>
      <c r="D80" s="10" t="s">
        <v>221</v>
      </c>
      <c r="E80" s="10" t="s">
        <v>23</v>
      </c>
      <c r="F80" s="10" t="s">
        <v>41</v>
      </c>
      <c r="G80" s="6">
        <v>221</v>
      </c>
      <c r="H80" s="6"/>
      <c r="I80" s="6">
        <v>221</v>
      </c>
      <c r="J80" s="6">
        <v>0</v>
      </c>
      <c r="K80" s="13">
        <v>12605.177</v>
      </c>
      <c r="L80" s="13">
        <v>12605.177</v>
      </c>
      <c r="M80" s="8">
        <v>40668.432530700004</v>
      </c>
      <c r="N80" s="8">
        <v>40668.432530700004</v>
      </c>
    </row>
    <row r="81" spans="1:14" x14ac:dyDescent="0.25">
      <c r="A81" s="10" t="s">
        <v>222</v>
      </c>
      <c r="B81" s="10">
        <v>2176</v>
      </c>
      <c r="C81" s="10" t="s">
        <v>220</v>
      </c>
      <c r="D81" s="10" t="s">
        <v>223</v>
      </c>
      <c r="E81" s="10" t="s">
        <v>23</v>
      </c>
      <c r="F81" s="10" t="s">
        <v>41</v>
      </c>
      <c r="G81" s="6">
        <v>74</v>
      </c>
      <c r="H81" s="6"/>
      <c r="I81" s="6">
        <v>30</v>
      </c>
      <c r="J81" s="6">
        <v>44</v>
      </c>
      <c r="K81" s="13">
        <v>4220.7380000000003</v>
      </c>
      <c r="L81" s="13">
        <v>1711.11</v>
      </c>
      <c r="M81" s="8">
        <v>12609.68981084</v>
      </c>
      <c r="N81" s="8">
        <v>5112.0364098</v>
      </c>
    </row>
    <row r="82" spans="1:14" x14ac:dyDescent="0.25">
      <c r="A82" s="10" t="s">
        <v>224</v>
      </c>
      <c r="B82" s="10">
        <v>2179</v>
      </c>
      <c r="C82" s="10" t="s">
        <v>225</v>
      </c>
      <c r="D82" s="10" t="s">
        <v>226</v>
      </c>
      <c r="E82" s="10" t="s">
        <v>23</v>
      </c>
      <c r="F82" s="10" t="s">
        <v>41</v>
      </c>
      <c r="G82" s="6">
        <v>266</v>
      </c>
      <c r="H82" s="6"/>
      <c r="I82" s="6">
        <v>0</v>
      </c>
      <c r="J82" s="6">
        <v>266</v>
      </c>
      <c r="K82" s="13">
        <v>15561</v>
      </c>
      <c r="L82" s="13">
        <v>0</v>
      </c>
      <c r="M82" s="8">
        <v>58783.811309440003</v>
      </c>
      <c r="N82" s="8">
        <v>0</v>
      </c>
    </row>
    <row r="83" spans="1:14" x14ac:dyDescent="0.25">
      <c r="A83" s="10" t="s">
        <v>227</v>
      </c>
      <c r="B83" s="10">
        <v>2179</v>
      </c>
      <c r="C83" s="10" t="s">
        <v>225</v>
      </c>
      <c r="D83" s="10" t="s">
        <v>228</v>
      </c>
      <c r="E83" s="10" t="s">
        <v>23</v>
      </c>
      <c r="F83" s="10" t="s">
        <v>41</v>
      </c>
      <c r="G83" s="6">
        <v>68</v>
      </c>
      <c r="H83" s="6"/>
      <c r="I83" s="6">
        <v>30</v>
      </c>
      <c r="J83" s="6">
        <v>38</v>
      </c>
      <c r="K83" s="13">
        <v>3978</v>
      </c>
      <c r="L83" s="13">
        <v>1755</v>
      </c>
      <c r="M83" s="8">
        <v>15824.01051532</v>
      </c>
      <c r="N83" s="8">
        <v>6981.1811097</v>
      </c>
    </row>
    <row r="84" spans="1:14" x14ac:dyDescent="0.25">
      <c r="A84" s="10" t="s">
        <v>229</v>
      </c>
      <c r="B84" s="10">
        <v>2181</v>
      </c>
      <c r="C84" s="10" t="s">
        <v>230</v>
      </c>
      <c r="D84" s="10" t="s">
        <v>231</v>
      </c>
      <c r="E84" s="10" t="s">
        <v>23</v>
      </c>
      <c r="F84" s="10" t="s">
        <v>41</v>
      </c>
      <c r="G84" s="6">
        <v>227</v>
      </c>
      <c r="H84" s="6"/>
      <c r="I84" s="6">
        <v>220</v>
      </c>
      <c r="J84" s="6">
        <v>7</v>
      </c>
      <c r="K84" s="13">
        <v>11210.849</v>
      </c>
      <c r="L84" s="13">
        <v>10865.14</v>
      </c>
      <c r="M84" s="8">
        <v>37828.895547649998</v>
      </c>
      <c r="N84" s="8">
        <v>36662.365728999997</v>
      </c>
    </row>
    <row r="85" spans="1:14" x14ac:dyDescent="0.25">
      <c r="A85" s="10" t="s">
        <v>232</v>
      </c>
      <c r="B85" s="10">
        <v>2181</v>
      </c>
      <c r="C85" s="10" t="s">
        <v>230</v>
      </c>
      <c r="D85" s="10" t="s">
        <v>233</v>
      </c>
      <c r="E85" s="10" t="s">
        <v>23</v>
      </c>
      <c r="F85" s="10" t="s">
        <v>41</v>
      </c>
      <c r="G85" s="6">
        <v>49</v>
      </c>
      <c r="H85" s="6"/>
      <c r="I85" s="6">
        <v>30</v>
      </c>
      <c r="J85" s="6">
        <v>19</v>
      </c>
      <c r="K85" s="13">
        <v>2419.9630000000002</v>
      </c>
      <c r="L85" s="13">
        <v>1481.61</v>
      </c>
      <c r="M85" s="8">
        <v>9236.5976178000001</v>
      </c>
      <c r="N85" s="8">
        <v>5655.0597660000003</v>
      </c>
    </row>
    <row r="86" spans="1:14" x14ac:dyDescent="0.25">
      <c r="A86" s="10" t="s">
        <v>234</v>
      </c>
      <c r="B86" s="10">
        <v>2181</v>
      </c>
      <c r="C86" s="10" t="s">
        <v>230</v>
      </c>
      <c r="D86" s="10" t="s">
        <v>235</v>
      </c>
      <c r="E86" s="10" t="s">
        <v>23</v>
      </c>
      <c r="F86" s="10" t="s">
        <v>41</v>
      </c>
      <c r="G86" s="6">
        <v>6</v>
      </c>
      <c r="H86" s="6"/>
      <c r="I86" s="6">
        <v>0</v>
      </c>
      <c r="J86" s="6">
        <v>6</v>
      </c>
      <c r="K86" s="13">
        <v>296.322</v>
      </c>
      <c r="L86" s="13">
        <v>0</v>
      </c>
      <c r="M86" s="8">
        <v>1203.6789395400001</v>
      </c>
      <c r="N86" s="8">
        <v>0</v>
      </c>
    </row>
    <row r="87" spans="1:14" x14ac:dyDescent="0.25">
      <c r="A87" s="10" t="s">
        <v>236</v>
      </c>
      <c r="B87" s="10">
        <v>2183</v>
      </c>
      <c r="C87" s="10" t="s">
        <v>237</v>
      </c>
      <c r="D87" s="10" t="s">
        <v>238</v>
      </c>
      <c r="E87" s="10" t="s">
        <v>23</v>
      </c>
      <c r="F87" s="10" t="s">
        <v>41</v>
      </c>
      <c r="G87" s="6">
        <v>245</v>
      </c>
      <c r="H87" s="6"/>
      <c r="I87" s="6">
        <v>220</v>
      </c>
      <c r="J87" s="6">
        <v>25</v>
      </c>
      <c r="K87" s="13">
        <v>15288</v>
      </c>
      <c r="L87" s="13">
        <v>13728</v>
      </c>
      <c r="M87" s="8">
        <v>69499.563795199996</v>
      </c>
      <c r="N87" s="8">
        <v>62407.771571199999</v>
      </c>
    </row>
    <row r="88" spans="1:14" x14ac:dyDescent="0.25">
      <c r="A88" s="10" t="s">
        <v>239</v>
      </c>
      <c r="B88" s="10">
        <v>2183</v>
      </c>
      <c r="C88" s="10" t="s">
        <v>237</v>
      </c>
      <c r="D88" s="10" t="s">
        <v>240</v>
      </c>
      <c r="E88" s="10" t="s">
        <v>23</v>
      </c>
      <c r="F88" s="10" t="s">
        <v>41</v>
      </c>
      <c r="G88" s="6">
        <v>30</v>
      </c>
      <c r="H88" s="6"/>
      <c r="I88" s="6">
        <v>30</v>
      </c>
      <c r="J88" s="6">
        <v>0</v>
      </c>
      <c r="K88" s="13">
        <v>1872</v>
      </c>
      <c r="L88" s="13">
        <v>1872</v>
      </c>
      <c r="M88" s="8">
        <v>7800.4458807000001</v>
      </c>
      <c r="N88" s="8">
        <v>7800.4458807000001</v>
      </c>
    </row>
    <row r="89" spans="1:14" x14ac:dyDescent="0.25">
      <c r="A89" s="10" t="s">
        <v>241</v>
      </c>
      <c r="B89" s="10">
        <v>2185</v>
      </c>
      <c r="C89" s="10" t="s">
        <v>242</v>
      </c>
      <c r="D89" s="10" t="s">
        <v>243</v>
      </c>
      <c r="E89" s="10" t="s">
        <v>23</v>
      </c>
      <c r="F89" s="10" t="s">
        <v>41</v>
      </c>
      <c r="G89" s="6">
        <v>108</v>
      </c>
      <c r="H89" s="6"/>
      <c r="I89" s="6">
        <v>96</v>
      </c>
      <c r="J89" s="6">
        <v>12</v>
      </c>
      <c r="K89" s="13">
        <v>6844.5</v>
      </c>
      <c r="L89" s="13">
        <v>6084</v>
      </c>
      <c r="M89" s="8">
        <v>21897.0786186</v>
      </c>
      <c r="N89" s="8">
        <v>19464.069883200002</v>
      </c>
    </row>
    <row r="90" spans="1:14" x14ac:dyDescent="0.25">
      <c r="A90" s="10" t="s">
        <v>244</v>
      </c>
      <c r="B90" s="10">
        <v>2185</v>
      </c>
      <c r="C90" s="10" t="s">
        <v>242</v>
      </c>
      <c r="D90" s="10" t="s">
        <v>245</v>
      </c>
      <c r="E90" s="10" t="s">
        <v>23</v>
      </c>
      <c r="F90" s="10" t="s">
        <v>41</v>
      </c>
      <c r="G90" s="6">
        <v>44</v>
      </c>
      <c r="H90" s="6"/>
      <c r="I90" s="6">
        <v>30</v>
      </c>
      <c r="J90" s="6">
        <v>14</v>
      </c>
      <c r="K90" s="13">
        <v>2788.5</v>
      </c>
      <c r="L90" s="13">
        <v>1901.25</v>
      </c>
      <c r="M90" s="8">
        <v>9096.4358698399992</v>
      </c>
      <c r="N90" s="8">
        <v>6202.1153658000003</v>
      </c>
    </row>
    <row r="91" spans="1:14" x14ac:dyDescent="0.25">
      <c r="A91" s="10" t="s">
        <v>246</v>
      </c>
      <c r="B91" s="10">
        <v>2185</v>
      </c>
      <c r="C91" s="10" t="s">
        <v>242</v>
      </c>
      <c r="D91" s="10" t="s">
        <v>247</v>
      </c>
      <c r="E91" s="10" t="s">
        <v>23</v>
      </c>
      <c r="F91" s="10" t="s">
        <v>41</v>
      </c>
      <c r="G91" s="6">
        <v>125</v>
      </c>
      <c r="H91" s="6"/>
      <c r="I91" s="6">
        <v>125</v>
      </c>
      <c r="J91" s="6">
        <v>0</v>
      </c>
      <c r="K91" s="13">
        <v>7921.875</v>
      </c>
      <c r="L91" s="13">
        <v>7921.875</v>
      </c>
      <c r="M91" s="8">
        <v>27677.556323749999</v>
      </c>
      <c r="N91" s="8">
        <v>27677.556323749999</v>
      </c>
    </row>
    <row r="92" spans="1:14" x14ac:dyDescent="0.25">
      <c r="A92" s="10" t="s">
        <v>248</v>
      </c>
      <c r="B92" s="10">
        <v>2186</v>
      </c>
      <c r="C92" s="10" t="s">
        <v>249</v>
      </c>
      <c r="D92" s="10"/>
      <c r="E92" s="10" t="s">
        <v>23</v>
      </c>
      <c r="F92" s="10" t="s">
        <v>41</v>
      </c>
      <c r="G92" s="6">
        <v>336</v>
      </c>
      <c r="H92" s="6"/>
      <c r="I92" s="6">
        <v>0</v>
      </c>
      <c r="J92" s="6">
        <v>336</v>
      </c>
      <c r="K92" s="13">
        <v>1310.4000000000001</v>
      </c>
      <c r="L92" s="13">
        <v>0</v>
      </c>
      <c r="M92" s="8">
        <v>4994.5049548799998</v>
      </c>
      <c r="N92" s="8">
        <v>0</v>
      </c>
    </row>
    <row r="93" spans="1:14" x14ac:dyDescent="0.25">
      <c r="A93" s="10" t="s">
        <v>250</v>
      </c>
      <c r="B93" s="10">
        <v>2188</v>
      </c>
      <c r="C93" s="10" t="s">
        <v>251</v>
      </c>
      <c r="D93" s="10"/>
      <c r="E93" s="10" t="s">
        <v>23</v>
      </c>
      <c r="F93" s="10" t="s">
        <v>41</v>
      </c>
      <c r="G93" s="6">
        <v>91</v>
      </c>
      <c r="H93" s="6"/>
      <c r="I93" s="6">
        <v>0</v>
      </c>
      <c r="J93" s="6">
        <v>91</v>
      </c>
      <c r="K93" s="13">
        <v>1357.4469999999999</v>
      </c>
      <c r="L93" s="13">
        <v>0</v>
      </c>
      <c r="M93" s="8">
        <v>9427.2905872600004</v>
      </c>
      <c r="N93" s="8">
        <v>0</v>
      </c>
    </row>
    <row r="94" spans="1:14" x14ac:dyDescent="0.25">
      <c r="A94" s="10" t="s">
        <v>252</v>
      </c>
      <c r="B94" s="10">
        <v>2190</v>
      </c>
      <c r="C94" s="10" t="s">
        <v>253</v>
      </c>
      <c r="D94" s="10" t="s">
        <v>254</v>
      </c>
      <c r="E94" s="10" t="s">
        <v>23</v>
      </c>
      <c r="F94" s="10" t="s">
        <v>41</v>
      </c>
      <c r="G94" s="6">
        <v>139</v>
      </c>
      <c r="H94" s="6"/>
      <c r="I94" s="6">
        <v>25</v>
      </c>
      <c r="J94" s="6">
        <v>114</v>
      </c>
      <c r="K94" s="13">
        <v>1490.7750000000001</v>
      </c>
      <c r="L94" s="13">
        <v>268.125</v>
      </c>
      <c r="M94" s="8">
        <v>11374.056409049999</v>
      </c>
      <c r="N94" s="8">
        <v>2045.6935987500001</v>
      </c>
    </row>
    <row r="95" spans="1:14" x14ac:dyDescent="0.25">
      <c r="A95" s="10" t="s">
        <v>255</v>
      </c>
      <c r="B95" s="10">
        <v>2190</v>
      </c>
      <c r="C95" s="10" t="s">
        <v>253</v>
      </c>
      <c r="D95" s="10" t="s">
        <v>256</v>
      </c>
      <c r="E95" s="10" t="s">
        <v>23</v>
      </c>
      <c r="F95" s="10" t="s">
        <v>41</v>
      </c>
      <c r="G95" s="6">
        <v>124</v>
      </c>
      <c r="H95" s="6"/>
      <c r="I95" s="6">
        <v>0</v>
      </c>
      <c r="J95" s="6">
        <v>124</v>
      </c>
      <c r="K95" s="13">
        <v>1329.9</v>
      </c>
      <c r="L95" s="13">
        <v>0</v>
      </c>
      <c r="M95" s="8">
        <v>8088.75141128</v>
      </c>
      <c r="N95" s="8">
        <v>0</v>
      </c>
    </row>
    <row r="96" spans="1:14" x14ac:dyDescent="0.25">
      <c r="A96" s="10" t="s">
        <v>257</v>
      </c>
      <c r="B96" s="10">
        <v>2192</v>
      </c>
      <c r="C96" s="10" t="s">
        <v>258</v>
      </c>
      <c r="D96" s="10" t="s">
        <v>259</v>
      </c>
      <c r="E96" s="10" t="s">
        <v>23</v>
      </c>
      <c r="F96" s="10" t="s">
        <v>41</v>
      </c>
      <c r="G96" s="6">
        <v>46</v>
      </c>
      <c r="H96" s="6"/>
      <c r="I96" s="6">
        <v>0</v>
      </c>
      <c r="J96" s="6">
        <v>46</v>
      </c>
      <c r="K96" s="13">
        <v>605.452</v>
      </c>
      <c r="L96" s="13">
        <v>0</v>
      </c>
      <c r="M96" s="8">
        <v>2510.43897978</v>
      </c>
      <c r="N96" s="8">
        <v>0</v>
      </c>
    </row>
    <row r="97" spans="1:14" x14ac:dyDescent="0.25">
      <c r="A97" s="10" t="s">
        <v>260</v>
      </c>
      <c r="B97" s="10">
        <v>2192</v>
      </c>
      <c r="C97" s="10" t="s">
        <v>258</v>
      </c>
      <c r="D97" s="10" t="s">
        <v>261</v>
      </c>
      <c r="E97" s="10" t="s">
        <v>23</v>
      </c>
      <c r="F97" s="10" t="s">
        <v>41</v>
      </c>
      <c r="G97" s="6">
        <v>11</v>
      </c>
      <c r="H97" s="6"/>
      <c r="I97" s="6">
        <v>0</v>
      </c>
      <c r="J97" s="6">
        <v>11</v>
      </c>
      <c r="K97" s="13">
        <v>144.78200000000001</v>
      </c>
      <c r="L97" s="13">
        <v>0</v>
      </c>
      <c r="M97" s="8">
        <v>443.75026630000002</v>
      </c>
      <c r="N97" s="8">
        <v>0</v>
      </c>
    </row>
    <row r="98" spans="1:14" x14ac:dyDescent="0.25">
      <c r="A98" s="10" t="s">
        <v>262</v>
      </c>
      <c r="B98" s="10">
        <v>2194</v>
      </c>
      <c r="C98" s="10" t="s">
        <v>263</v>
      </c>
      <c r="D98" s="10" t="s">
        <v>264</v>
      </c>
      <c r="E98" s="10" t="s">
        <v>20</v>
      </c>
      <c r="F98" s="10" t="s">
        <v>41</v>
      </c>
      <c r="G98" s="6">
        <v>3976</v>
      </c>
      <c r="H98" s="6"/>
      <c r="I98" s="6">
        <v>1008</v>
      </c>
      <c r="J98" s="6">
        <v>2968</v>
      </c>
      <c r="K98" s="13">
        <v>4341.7920000000004</v>
      </c>
      <c r="L98" s="13">
        <v>1100.7360000000001</v>
      </c>
      <c r="M98" s="8">
        <v>31881.468170159998</v>
      </c>
      <c r="N98" s="8">
        <v>8082.6257332799996</v>
      </c>
    </row>
    <row r="99" spans="1:14" x14ac:dyDescent="0.25">
      <c r="A99" s="10" t="s">
        <v>265</v>
      </c>
      <c r="B99" s="10">
        <v>2194</v>
      </c>
      <c r="C99" s="10" t="s">
        <v>263</v>
      </c>
      <c r="D99" s="10" t="s">
        <v>266</v>
      </c>
      <c r="E99" s="10" t="s">
        <v>20</v>
      </c>
      <c r="F99" s="10" t="s">
        <v>41</v>
      </c>
      <c r="G99" s="6">
        <v>500</v>
      </c>
      <c r="H99" s="6"/>
      <c r="I99" s="6">
        <v>90</v>
      </c>
      <c r="J99" s="6">
        <v>410</v>
      </c>
      <c r="K99" s="13">
        <v>546</v>
      </c>
      <c r="L99" s="13">
        <v>98.28</v>
      </c>
      <c r="M99" s="8">
        <v>4027.3462500000001</v>
      </c>
      <c r="N99" s="8">
        <v>724.922325</v>
      </c>
    </row>
    <row r="100" spans="1:14" x14ac:dyDescent="0.25">
      <c r="A100" s="10" t="s">
        <v>267</v>
      </c>
      <c r="B100" s="10">
        <v>2237</v>
      </c>
      <c r="C100" s="10" t="s">
        <v>268</v>
      </c>
      <c r="D100" s="10" t="s">
        <v>269</v>
      </c>
      <c r="E100" s="10" t="s">
        <v>23</v>
      </c>
      <c r="F100" s="10" t="s">
        <v>41</v>
      </c>
      <c r="G100" s="6">
        <v>478</v>
      </c>
      <c r="H100" s="6"/>
      <c r="I100" s="6">
        <v>191</v>
      </c>
      <c r="J100" s="6">
        <v>287</v>
      </c>
      <c r="K100" s="13">
        <v>21906.74</v>
      </c>
      <c r="L100" s="13">
        <v>8753.5300000000007</v>
      </c>
      <c r="M100" s="8">
        <v>80155.048962100002</v>
      </c>
      <c r="N100" s="8">
        <v>32028.481907450001</v>
      </c>
    </row>
    <row r="101" spans="1:14" x14ac:dyDescent="0.25">
      <c r="A101" s="10" t="s">
        <v>270</v>
      </c>
      <c r="B101" s="10">
        <v>2237</v>
      </c>
      <c r="C101" s="10" t="s">
        <v>268</v>
      </c>
      <c r="D101" s="10" t="s">
        <v>271</v>
      </c>
      <c r="E101" s="10" t="s">
        <v>23</v>
      </c>
      <c r="F101" s="10" t="s">
        <v>41</v>
      </c>
      <c r="G101" s="6">
        <v>0</v>
      </c>
      <c r="H101" s="6"/>
      <c r="I101" s="6">
        <v>0</v>
      </c>
      <c r="J101" s="6">
        <v>0</v>
      </c>
      <c r="K101" s="13">
        <v>0</v>
      </c>
      <c r="L101" s="13">
        <v>0</v>
      </c>
      <c r="M101" s="8">
        <v>0</v>
      </c>
      <c r="N101" s="8">
        <v>0</v>
      </c>
    </row>
    <row r="102" spans="1:14" x14ac:dyDescent="0.25">
      <c r="A102" s="10" t="s">
        <v>272</v>
      </c>
      <c r="B102" s="10">
        <v>2238</v>
      </c>
      <c r="C102" s="10" t="s">
        <v>273</v>
      </c>
      <c r="D102" s="10" t="s">
        <v>274</v>
      </c>
      <c r="E102" s="10" t="s">
        <v>23</v>
      </c>
      <c r="F102" s="10" t="s">
        <v>41</v>
      </c>
      <c r="G102" s="6">
        <v>485</v>
      </c>
      <c r="H102" s="6"/>
      <c r="I102" s="6">
        <v>0</v>
      </c>
      <c r="J102" s="6">
        <v>485</v>
      </c>
      <c r="K102" s="13">
        <v>21281.8</v>
      </c>
      <c r="L102" s="13">
        <v>0</v>
      </c>
      <c r="M102" s="8">
        <v>69538.115489350006</v>
      </c>
      <c r="N102" s="8">
        <v>0</v>
      </c>
    </row>
    <row r="103" spans="1:14" x14ac:dyDescent="0.25">
      <c r="A103" s="10" t="s">
        <v>275</v>
      </c>
      <c r="B103" s="10">
        <v>2238</v>
      </c>
      <c r="C103" s="10" t="s">
        <v>273</v>
      </c>
      <c r="D103" s="10" t="s">
        <v>276</v>
      </c>
      <c r="E103" s="10" t="s">
        <v>23</v>
      </c>
      <c r="F103" s="10" t="s">
        <v>41</v>
      </c>
      <c r="G103" s="6">
        <v>12</v>
      </c>
      <c r="H103" s="6"/>
      <c r="I103" s="6">
        <v>0</v>
      </c>
      <c r="J103" s="6">
        <v>12</v>
      </c>
      <c r="K103" s="13">
        <v>526.55999999999995</v>
      </c>
      <c r="L103" s="13">
        <v>0</v>
      </c>
      <c r="M103" s="8">
        <v>2734.8142005599998</v>
      </c>
      <c r="N103" s="8">
        <v>0</v>
      </c>
    </row>
    <row r="104" spans="1:14" x14ac:dyDescent="0.25">
      <c r="A104" s="10" t="s">
        <v>277</v>
      </c>
      <c r="B104" s="10">
        <v>2239</v>
      </c>
      <c r="C104" s="10" t="s">
        <v>278</v>
      </c>
      <c r="D104" s="10" t="s">
        <v>279</v>
      </c>
      <c r="E104" s="10" t="s">
        <v>23</v>
      </c>
      <c r="F104" s="10" t="s">
        <v>41</v>
      </c>
      <c r="G104" s="6">
        <v>245</v>
      </c>
      <c r="H104" s="6"/>
      <c r="I104" s="6">
        <v>55</v>
      </c>
      <c r="J104" s="6">
        <v>190</v>
      </c>
      <c r="K104" s="13">
        <v>9675.0499999999993</v>
      </c>
      <c r="L104" s="13">
        <v>2171.9499999999998</v>
      </c>
      <c r="M104" s="8">
        <v>28780.320000600001</v>
      </c>
      <c r="N104" s="8">
        <v>6460.8881633999999</v>
      </c>
    </row>
    <row r="105" spans="1:14" x14ac:dyDescent="0.25">
      <c r="A105" s="10" t="s">
        <v>280</v>
      </c>
      <c r="B105" s="10">
        <v>2239</v>
      </c>
      <c r="C105" s="10" t="s">
        <v>278</v>
      </c>
      <c r="D105" s="10" t="s">
        <v>281</v>
      </c>
      <c r="E105" s="10" t="s">
        <v>23</v>
      </c>
      <c r="F105" s="10" t="s">
        <v>41</v>
      </c>
      <c r="G105" s="6">
        <v>261</v>
      </c>
      <c r="H105" s="6"/>
      <c r="I105" s="6">
        <v>136</v>
      </c>
      <c r="J105" s="6">
        <v>125</v>
      </c>
      <c r="K105" s="13">
        <v>10306.89</v>
      </c>
      <c r="L105" s="13">
        <v>5370.64</v>
      </c>
      <c r="M105" s="8">
        <v>31046.632916940001</v>
      </c>
      <c r="N105" s="8">
        <v>16177.555849439999</v>
      </c>
    </row>
    <row r="106" spans="1:14" x14ac:dyDescent="0.25">
      <c r="A106" s="10" t="s">
        <v>282</v>
      </c>
      <c r="B106" s="10">
        <v>2239</v>
      </c>
      <c r="C106" s="10" t="s">
        <v>278</v>
      </c>
      <c r="D106" s="10" t="s">
        <v>283</v>
      </c>
      <c r="E106" s="10" t="s">
        <v>23</v>
      </c>
      <c r="F106" s="10" t="s">
        <v>41</v>
      </c>
      <c r="G106" s="6">
        <v>2</v>
      </c>
      <c r="H106" s="6"/>
      <c r="I106" s="6">
        <v>0</v>
      </c>
      <c r="J106" s="6">
        <v>2</v>
      </c>
      <c r="K106" s="13">
        <v>78.98</v>
      </c>
      <c r="L106" s="13">
        <v>0</v>
      </c>
      <c r="M106" s="8">
        <v>178.69015555999999</v>
      </c>
      <c r="N106" s="8">
        <v>0</v>
      </c>
    </row>
    <row r="107" spans="1:14" x14ac:dyDescent="0.25">
      <c r="A107" s="10" t="s">
        <v>284</v>
      </c>
      <c r="B107" s="10">
        <v>2240</v>
      </c>
      <c r="C107" s="10" t="s">
        <v>285</v>
      </c>
      <c r="D107" s="10"/>
      <c r="E107" s="10" t="s">
        <v>23</v>
      </c>
      <c r="F107" s="10" t="s">
        <v>41</v>
      </c>
      <c r="G107" s="6">
        <v>436</v>
      </c>
      <c r="H107" s="6"/>
      <c r="I107" s="6">
        <v>0</v>
      </c>
      <c r="J107" s="6">
        <v>436</v>
      </c>
      <c r="K107" s="13">
        <v>2975.7</v>
      </c>
      <c r="L107" s="13">
        <v>0</v>
      </c>
      <c r="M107" s="8">
        <v>19836.756846280001</v>
      </c>
      <c r="N107" s="8">
        <v>0</v>
      </c>
    </row>
    <row r="108" spans="1:14" x14ac:dyDescent="0.25">
      <c r="A108" s="10" t="s">
        <v>286</v>
      </c>
      <c r="B108" s="10">
        <v>2246</v>
      </c>
      <c r="C108" s="10" t="s">
        <v>287</v>
      </c>
      <c r="D108" s="10" t="s">
        <v>288</v>
      </c>
      <c r="E108" s="10" t="s">
        <v>23</v>
      </c>
      <c r="F108" s="10" t="s">
        <v>41</v>
      </c>
      <c r="G108" s="6">
        <v>279</v>
      </c>
      <c r="H108" s="6"/>
      <c r="I108" s="6">
        <v>0</v>
      </c>
      <c r="J108" s="6">
        <v>279</v>
      </c>
      <c r="K108" s="13">
        <v>4270.6530000000002</v>
      </c>
      <c r="L108" s="13">
        <v>0</v>
      </c>
      <c r="M108" s="8">
        <v>11603.58861465</v>
      </c>
      <c r="N108" s="8">
        <v>0</v>
      </c>
    </row>
    <row r="109" spans="1:14" x14ac:dyDescent="0.25">
      <c r="A109" s="10" t="s">
        <v>289</v>
      </c>
      <c r="B109" s="10">
        <v>2253</v>
      </c>
      <c r="C109" s="10" t="s">
        <v>290</v>
      </c>
      <c r="D109" s="10" t="s">
        <v>291</v>
      </c>
      <c r="E109" s="10" t="s">
        <v>23</v>
      </c>
      <c r="F109" s="10" t="s">
        <v>41</v>
      </c>
      <c r="G109" s="6">
        <v>0</v>
      </c>
      <c r="H109" s="6"/>
      <c r="I109" s="6">
        <v>0</v>
      </c>
      <c r="J109" s="6">
        <v>0</v>
      </c>
      <c r="K109" s="13">
        <v>0</v>
      </c>
      <c r="L109" s="13">
        <v>0</v>
      </c>
      <c r="M109" s="8">
        <v>0</v>
      </c>
      <c r="N109" s="8">
        <v>0</v>
      </c>
    </row>
    <row r="110" spans="1:14" x14ac:dyDescent="0.25">
      <c r="A110" s="10" t="s">
        <v>292</v>
      </c>
      <c r="B110" s="10">
        <v>2262</v>
      </c>
      <c r="C110" s="10" t="s">
        <v>293</v>
      </c>
      <c r="D110" s="10" t="s">
        <v>294</v>
      </c>
      <c r="E110" s="10" t="s">
        <v>23</v>
      </c>
      <c r="F110" s="10" t="s">
        <v>41</v>
      </c>
      <c r="G110" s="6">
        <v>0</v>
      </c>
      <c r="H110" s="6"/>
      <c r="I110" s="6">
        <v>0</v>
      </c>
      <c r="J110" s="6">
        <v>0</v>
      </c>
      <c r="K110" s="13">
        <v>0</v>
      </c>
      <c r="L110" s="13">
        <v>0</v>
      </c>
      <c r="M110" s="8">
        <v>0</v>
      </c>
      <c r="N110" s="8">
        <v>0</v>
      </c>
    </row>
    <row r="111" spans="1:14" x14ac:dyDescent="0.25">
      <c r="A111" s="10" t="s">
        <v>295</v>
      </c>
      <c r="B111" s="10">
        <v>2280</v>
      </c>
      <c r="C111" s="10" t="s">
        <v>296</v>
      </c>
      <c r="D111" s="10" t="s">
        <v>297</v>
      </c>
      <c r="E111" s="10" t="s">
        <v>23</v>
      </c>
      <c r="F111" s="10" t="s">
        <v>41</v>
      </c>
      <c r="G111" s="6">
        <v>0</v>
      </c>
      <c r="H111" s="6"/>
      <c r="I111" s="6">
        <v>0</v>
      </c>
      <c r="J111" s="6">
        <v>0</v>
      </c>
      <c r="K111" s="13">
        <v>0</v>
      </c>
      <c r="L111" s="13">
        <v>0</v>
      </c>
      <c r="M111" s="8">
        <v>0</v>
      </c>
      <c r="N111" s="8">
        <v>0</v>
      </c>
    </row>
    <row r="112" spans="1:14" x14ac:dyDescent="0.25">
      <c r="A112" s="10" t="s">
        <v>298</v>
      </c>
      <c r="B112" s="10">
        <v>2284</v>
      </c>
      <c r="C112" s="10" t="s">
        <v>299</v>
      </c>
      <c r="D112" s="10" t="s">
        <v>300</v>
      </c>
      <c r="E112" s="10" t="s">
        <v>23</v>
      </c>
      <c r="F112" s="10" t="s">
        <v>41</v>
      </c>
      <c r="G112" s="6">
        <v>0</v>
      </c>
      <c r="H112" s="6"/>
      <c r="I112" s="6">
        <v>0</v>
      </c>
      <c r="J112" s="6">
        <v>0</v>
      </c>
      <c r="K112" s="13">
        <v>0</v>
      </c>
      <c r="L112" s="13">
        <v>0</v>
      </c>
      <c r="M112" s="8">
        <v>0</v>
      </c>
      <c r="N112" s="8">
        <v>0</v>
      </c>
    </row>
    <row r="113" spans="1:14" x14ac:dyDescent="0.25">
      <c r="A113" s="10" t="s">
        <v>301</v>
      </c>
      <c r="B113" s="10">
        <v>2308</v>
      </c>
      <c r="C113" s="10" t="s">
        <v>302</v>
      </c>
      <c r="D113" s="10" t="s">
        <v>303</v>
      </c>
      <c r="E113" s="10" t="s">
        <v>20</v>
      </c>
      <c r="F113" s="10" t="s">
        <v>41</v>
      </c>
      <c r="G113" s="6">
        <v>291</v>
      </c>
      <c r="H113" s="6"/>
      <c r="I113" s="6">
        <v>17</v>
      </c>
      <c r="J113" s="6">
        <v>274</v>
      </c>
      <c r="K113" s="13">
        <v>204.28200000000001</v>
      </c>
      <c r="L113" s="13">
        <v>11.933999999999999</v>
      </c>
      <c r="M113" s="8">
        <v>2421.9646275</v>
      </c>
      <c r="N113" s="8">
        <v>141.48934249999999</v>
      </c>
    </row>
    <row r="114" spans="1:14" x14ac:dyDescent="0.25">
      <c r="A114" s="10" t="s">
        <v>304</v>
      </c>
      <c r="B114" s="10">
        <v>2308</v>
      </c>
      <c r="C114" s="10" t="s">
        <v>302</v>
      </c>
      <c r="D114" s="10" t="s">
        <v>305</v>
      </c>
      <c r="E114" s="10" t="s">
        <v>20</v>
      </c>
      <c r="F114" s="10" t="s">
        <v>41</v>
      </c>
      <c r="G114" s="6">
        <v>53</v>
      </c>
      <c r="H114" s="6"/>
      <c r="I114" s="6">
        <v>0</v>
      </c>
      <c r="J114" s="6">
        <v>53</v>
      </c>
      <c r="K114" s="13">
        <v>37.206000000000003</v>
      </c>
      <c r="L114" s="13">
        <v>0</v>
      </c>
      <c r="M114" s="8">
        <v>2586.24591151</v>
      </c>
      <c r="N114" s="8">
        <v>0</v>
      </c>
    </row>
    <row r="115" spans="1:14" x14ac:dyDescent="0.25">
      <c r="A115" s="10" t="s">
        <v>306</v>
      </c>
      <c r="B115" s="10">
        <v>2308</v>
      </c>
      <c r="C115" s="10" t="s">
        <v>302</v>
      </c>
      <c r="D115" s="10" t="s">
        <v>307</v>
      </c>
      <c r="E115" s="10" t="s">
        <v>20</v>
      </c>
      <c r="F115" s="10" t="s">
        <v>41</v>
      </c>
      <c r="G115" s="6">
        <v>38</v>
      </c>
      <c r="H115" s="6"/>
      <c r="I115" s="6">
        <v>0</v>
      </c>
      <c r="J115" s="6">
        <v>38</v>
      </c>
      <c r="K115" s="13">
        <v>26.675999999999998</v>
      </c>
      <c r="L115" s="13">
        <v>0</v>
      </c>
      <c r="M115" s="8">
        <v>282.49084707999998</v>
      </c>
      <c r="N115" s="8">
        <v>0</v>
      </c>
    </row>
    <row r="116" spans="1:14" x14ac:dyDescent="0.25">
      <c r="A116" s="10" t="s">
        <v>308</v>
      </c>
      <c r="B116" s="10">
        <v>2317</v>
      </c>
      <c r="C116" s="10" t="s">
        <v>309</v>
      </c>
      <c r="D116" s="10" t="s">
        <v>310</v>
      </c>
      <c r="E116" s="10" t="s">
        <v>23</v>
      </c>
      <c r="F116" s="10" t="s">
        <v>41</v>
      </c>
      <c r="G116" s="6">
        <v>139</v>
      </c>
      <c r="H116" s="6"/>
      <c r="I116" s="6">
        <v>131</v>
      </c>
      <c r="J116" s="6">
        <v>8</v>
      </c>
      <c r="K116" s="13">
        <v>8253.4030000000002</v>
      </c>
      <c r="L116" s="13">
        <v>7778.3869999999997</v>
      </c>
      <c r="M116" s="8">
        <v>43666.684114620002</v>
      </c>
      <c r="N116" s="8">
        <v>41153.493661979999</v>
      </c>
    </row>
    <row r="117" spans="1:14" x14ac:dyDescent="0.25">
      <c r="A117" s="10" t="s">
        <v>311</v>
      </c>
      <c r="B117" s="10">
        <v>2317</v>
      </c>
      <c r="C117" s="10" t="s">
        <v>309</v>
      </c>
      <c r="D117" s="10" t="s">
        <v>312</v>
      </c>
      <c r="E117" s="10" t="s">
        <v>23</v>
      </c>
      <c r="F117" s="10" t="s">
        <v>41</v>
      </c>
      <c r="G117" s="6">
        <v>7</v>
      </c>
      <c r="H117" s="6"/>
      <c r="I117" s="6">
        <v>0</v>
      </c>
      <c r="J117" s="6">
        <v>7</v>
      </c>
      <c r="K117" s="13">
        <v>415.63900000000001</v>
      </c>
      <c r="L117" s="13">
        <v>0</v>
      </c>
      <c r="M117" s="8">
        <v>2041.0802310500001</v>
      </c>
      <c r="N117" s="8">
        <v>0</v>
      </c>
    </row>
    <row r="118" spans="1:14" x14ac:dyDescent="0.25">
      <c r="A118" s="10" t="s">
        <v>313</v>
      </c>
      <c r="B118" s="10">
        <v>2318</v>
      </c>
      <c r="C118" s="10" t="s">
        <v>314</v>
      </c>
      <c r="D118" s="10" t="s">
        <v>315</v>
      </c>
      <c r="E118" s="10" t="s">
        <v>23</v>
      </c>
      <c r="F118" s="10" t="s">
        <v>41</v>
      </c>
      <c r="G118" s="6">
        <v>151</v>
      </c>
      <c r="H118" s="6"/>
      <c r="I118" s="6">
        <v>131</v>
      </c>
      <c r="J118" s="6">
        <v>20</v>
      </c>
      <c r="K118" s="13">
        <v>5763.8209999999999</v>
      </c>
      <c r="L118" s="13">
        <v>5000.4009999999998</v>
      </c>
      <c r="M118" s="8">
        <v>18425.160079680001</v>
      </c>
      <c r="N118" s="8">
        <v>15984.741526080001</v>
      </c>
    </row>
    <row r="119" spans="1:14" x14ac:dyDescent="0.25">
      <c r="A119" s="10" t="s">
        <v>316</v>
      </c>
      <c r="B119" s="10">
        <v>2319</v>
      </c>
      <c r="C119" s="10" t="s">
        <v>317</v>
      </c>
      <c r="D119" s="10" t="s">
        <v>318</v>
      </c>
      <c r="E119" s="10" t="s">
        <v>23</v>
      </c>
      <c r="F119" s="10" t="s">
        <v>41</v>
      </c>
      <c r="G119" s="6">
        <v>158</v>
      </c>
      <c r="H119" s="6"/>
      <c r="I119" s="6">
        <v>131</v>
      </c>
      <c r="J119" s="6">
        <v>27</v>
      </c>
      <c r="K119" s="13">
        <v>7517.64</v>
      </c>
      <c r="L119" s="13">
        <v>6232.98</v>
      </c>
      <c r="M119" s="8">
        <v>25092.060847019999</v>
      </c>
      <c r="N119" s="8">
        <v>20804.177031390002</v>
      </c>
    </row>
    <row r="120" spans="1:14" x14ac:dyDescent="0.25">
      <c r="A120" s="10" t="s">
        <v>319</v>
      </c>
      <c r="B120" s="10">
        <v>2320</v>
      </c>
      <c r="C120" s="10" t="s">
        <v>320</v>
      </c>
      <c r="D120" s="10" t="s">
        <v>321</v>
      </c>
      <c r="E120" s="10" t="s">
        <v>23</v>
      </c>
      <c r="F120" s="10" t="s">
        <v>41</v>
      </c>
      <c r="G120" s="6">
        <v>132</v>
      </c>
      <c r="H120" s="6"/>
      <c r="I120" s="6">
        <v>132</v>
      </c>
      <c r="J120" s="6">
        <v>0</v>
      </c>
      <c r="K120" s="13">
        <v>7606.1040000000003</v>
      </c>
      <c r="L120" s="13">
        <v>7606.1040000000003</v>
      </c>
      <c r="M120" s="8">
        <v>25039.961598959999</v>
      </c>
      <c r="N120" s="8">
        <v>25039.961598959999</v>
      </c>
    </row>
    <row r="121" spans="1:14" x14ac:dyDescent="0.25">
      <c r="A121" s="10" t="s">
        <v>322</v>
      </c>
      <c r="B121" s="10">
        <v>2321</v>
      </c>
      <c r="C121" s="10" t="s">
        <v>323</v>
      </c>
      <c r="D121" s="10"/>
      <c r="E121" s="10" t="s">
        <v>23</v>
      </c>
      <c r="F121" s="10" t="s">
        <v>41</v>
      </c>
      <c r="G121" s="6">
        <v>541</v>
      </c>
      <c r="H121" s="6"/>
      <c r="I121" s="6">
        <v>0</v>
      </c>
      <c r="J121" s="6">
        <v>541</v>
      </c>
      <c r="K121" s="13">
        <v>8756.0849999999991</v>
      </c>
      <c r="L121" s="13">
        <v>0</v>
      </c>
      <c r="M121" s="8">
        <v>45687.863859589997</v>
      </c>
      <c r="N121" s="8">
        <v>0</v>
      </c>
    </row>
    <row r="122" spans="1:14" x14ac:dyDescent="0.25">
      <c r="A122" s="10" t="s">
        <v>324</v>
      </c>
      <c r="B122" s="10">
        <v>2344</v>
      </c>
      <c r="C122" s="10" t="s">
        <v>325</v>
      </c>
      <c r="D122" s="10" t="s">
        <v>326</v>
      </c>
      <c r="E122" s="10" t="s">
        <v>23</v>
      </c>
      <c r="F122" s="10" t="s">
        <v>41</v>
      </c>
      <c r="G122" s="6">
        <v>53</v>
      </c>
      <c r="H122" s="6"/>
      <c r="I122" s="6">
        <v>39</v>
      </c>
      <c r="J122" s="6">
        <v>14</v>
      </c>
      <c r="K122" s="13">
        <v>2661.13</v>
      </c>
      <c r="L122" s="13">
        <v>1958.19</v>
      </c>
      <c r="M122" s="8">
        <v>10909.20143343</v>
      </c>
      <c r="N122" s="8">
        <v>8027.5255830899996</v>
      </c>
    </row>
    <row r="123" spans="1:14" x14ac:dyDescent="0.25">
      <c r="A123" s="10" t="s">
        <v>327</v>
      </c>
      <c r="B123" s="10">
        <v>2344</v>
      </c>
      <c r="C123" s="10" t="s">
        <v>325</v>
      </c>
      <c r="D123" s="10" t="s">
        <v>328</v>
      </c>
      <c r="E123" s="10" t="s">
        <v>23</v>
      </c>
      <c r="F123" s="10" t="s">
        <v>41</v>
      </c>
      <c r="G123" s="6">
        <v>20</v>
      </c>
      <c r="H123" s="6"/>
      <c r="I123" s="6">
        <v>10</v>
      </c>
      <c r="J123" s="6">
        <v>10</v>
      </c>
      <c r="K123" s="13">
        <v>1004.2</v>
      </c>
      <c r="L123" s="13">
        <v>502.1</v>
      </c>
      <c r="M123" s="8">
        <v>3642.6373122</v>
      </c>
      <c r="N123" s="8">
        <v>1821.3186561</v>
      </c>
    </row>
    <row r="124" spans="1:14" x14ac:dyDescent="0.25">
      <c r="A124" s="10" t="s">
        <v>329</v>
      </c>
      <c r="B124" s="10">
        <v>2345</v>
      </c>
      <c r="C124" s="10" t="s">
        <v>330</v>
      </c>
      <c r="D124" s="10" t="s">
        <v>331</v>
      </c>
      <c r="E124" s="10" t="s">
        <v>23</v>
      </c>
      <c r="F124" s="10" t="s">
        <v>41</v>
      </c>
      <c r="G124" s="6">
        <v>63</v>
      </c>
      <c r="H124" s="6"/>
      <c r="I124" s="6">
        <v>39</v>
      </c>
      <c r="J124" s="6">
        <v>24</v>
      </c>
      <c r="K124" s="13">
        <v>3488.94</v>
      </c>
      <c r="L124" s="13">
        <v>2159.8200000000002</v>
      </c>
      <c r="M124" s="8">
        <v>9567.1363132799997</v>
      </c>
      <c r="N124" s="8">
        <v>5922.5129558400004</v>
      </c>
    </row>
    <row r="125" spans="1:14" x14ac:dyDescent="0.25">
      <c r="A125" s="10" t="s">
        <v>332</v>
      </c>
      <c r="B125" s="10">
        <v>2345</v>
      </c>
      <c r="C125" s="10" t="s">
        <v>330</v>
      </c>
      <c r="D125" s="10" t="s">
        <v>333</v>
      </c>
      <c r="E125" s="10" t="s">
        <v>23</v>
      </c>
      <c r="F125" s="10" t="s">
        <v>41</v>
      </c>
      <c r="G125" s="6">
        <v>37</v>
      </c>
      <c r="H125" s="6"/>
      <c r="I125" s="6">
        <v>10</v>
      </c>
      <c r="J125" s="6">
        <v>27</v>
      </c>
      <c r="K125" s="13">
        <v>2049.06</v>
      </c>
      <c r="L125" s="13">
        <v>553.79999999999995</v>
      </c>
      <c r="M125" s="8">
        <v>5504.7895072299998</v>
      </c>
      <c r="N125" s="8">
        <v>1487.7809479</v>
      </c>
    </row>
    <row r="126" spans="1:14" x14ac:dyDescent="0.25">
      <c r="A126" s="10" t="s">
        <v>334</v>
      </c>
      <c r="B126" s="10">
        <v>2346</v>
      </c>
      <c r="C126" s="10" t="s">
        <v>335</v>
      </c>
      <c r="D126" s="10" t="s">
        <v>336</v>
      </c>
      <c r="E126" s="10" t="s">
        <v>23</v>
      </c>
      <c r="F126" s="10" t="s">
        <v>41</v>
      </c>
      <c r="G126" s="6">
        <v>0</v>
      </c>
      <c r="H126" s="6"/>
      <c r="I126" s="6">
        <v>0</v>
      </c>
      <c r="J126" s="6">
        <v>0</v>
      </c>
      <c r="K126" s="13">
        <v>0</v>
      </c>
      <c r="L126" s="13">
        <v>0</v>
      </c>
      <c r="M126" s="8">
        <v>0</v>
      </c>
      <c r="N126" s="8">
        <v>0</v>
      </c>
    </row>
    <row r="127" spans="1:14" x14ac:dyDescent="0.25">
      <c r="A127" s="10" t="s">
        <v>337</v>
      </c>
      <c r="B127" s="10">
        <v>2348</v>
      </c>
      <c r="C127" s="10" t="s">
        <v>338</v>
      </c>
      <c r="D127" s="10" t="s">
        <v>339</v>
      </c>
      <c r="E127" s="10" t="s">
        <v>23</v>
      </c>
      <c r="F127" s="10" t="s">
        <v>41</v>
      </c>
      <c r="G127" s="6">
        <v>99</v>
      </c>
      <c r="H127" s="6"/>
      <c r="I127" s="6">
        <v>102</v>
      </c>
      <c r="J127" s="6">
        <v>-3</v>
      </c>
      <c r="K127" s="13">
        <v>1303.038</v>
      </c>
      <c r="L127" s="13">
        <v>1342.5239999999999</v>
      </c>
      <c r="M127" s="8">
        <v>12220.267756949999</v>
      </c>
      <c r="N127" s="8">
        <v>12590.5789011</v>
      </c>
    </row>
    <row r="128" spans="1:14" x14ac:dyDescent="0.25">
      <c r="A128" s="10" t="s">
        <v>340</v>
      </c>
      <c r="B128" s="10">
        <v>2348</v>
      </c>
      <c r="C128" s="10" t="s">
        <v>338</v>
      </c>
      <c r="D128" s="10" t="s">
        <v>341</v>
      </c>
      <c r="E128" s="10" t="s">
        <v>23</v>
      </c>
      <c r="F128" s="10" t="s">
        <v>41</v>
      </c>
      <c r="G128" s="6">
        <v>32</v>
      </c>
      <c r="H128" s="6"/>
      <c r="I128" s="6">
        <v>26</v>
      </c>
      <c r="J128" s="6">
        <v>6</v>
      </c>
      <c r="K128" s="13">
        <v>421.18400000000003</v>
      </c>
      <c r="L128" s="13">
        <v>342.21199999999999</v>
      </c>
      <c r="M128" s="8">
        <v>3965.8708265599998</v>
      </c>
      <c r="N128" s="8">
        <v>3222.2700465799999</v>
      </c>
    </row>
    <row r="129" spans="1:14" x14ac:dyDescent="0.25">
      <c r="A129" s="10" t="s">
        <v>342</v>
      </c>
      <c r="B129" s="10">
        <v>2350</v>
      </c>
      <c r="C129" s="10" t="s">
        <v>343</v>
      </c>
      <c r="D129" s="10" t="s">
        <v>344</v>
      </c>
      <c r="E129" s="10" t="s">
        <v>23</v>
      </c>
      <c r="F129" s="10" t="s">
        <v>41</v>
      </c>
      <c r="G129" s="6">
        <v>13</v>
      </c>
      <c r="H129" s="6"/>
      <c r="I129" s="6">
        <v>10</v>
      </c>
      <c r="J129" s="6">
        <v>3</v>
      </c>
      <c r="K129" s="13">
        <v>368.19900000000001</v>
      </c>
      <c r="L129" s="13">
        <v>283.23</v>
      </c>
      <c r="M129" s="8">
        <v>1376.26618818</v>
      </c>
      <c r="N129" s="8">
        <v>1058.6662985999999</v>
      </c>
    </row>
    <row r="130" spans="1:14" x14ac:dyDescent="0.25">
      <c r="A130" s="10" t="s">
        <v>345</v>
      </c>
      <c r="B130" s="10">
        <v>2350</v>
      </c>
      <c r="C130" s="10" t="s">
        <v>343</v>
      </c>
      <c r="D130" s="10" t="s">
        <v>346</v>
      </c>
      <c r="E130" s="10" t="s">
        <v>23</v>
      </c>
      <c r="F130" s="10" t="s">
        <v>41</v>
      </c>
      <c r="G130" s="6">
        <v>48</v>
      </c>
      <c r="H130" s="6"/>
      <c r="I130" s="6">
        <v>4</v>
      </c>
      <c r="J130" s="6">
        <v>44</v>
      </c>
      <c r="K130" s="13">
        <v>1359.5039999999999</v>
      </c>
      <c r="L130" s="13">
        <v>113.292</v>
      </c>
      <c r="M130" s="8">
        <v>5077.3211438400003</v>
      </c>
      <c r="N130" s="8">
        <v>423.11009532000003</v>
      </c>
    </row>
    <row r="131" spans="1:14" x14ac:dyDescent="0.25">
      <c r="A131" s="10" t="s">
        <v>347</v>
      </c>
      <c r="B131" s="10">
        <v>2354</v>
      </c>
      <c r="C131" s="10" t="s">
        <v>348</v>
      </c>
      <c r="D131" s="10" t="s">
        <v>349</v>
      </c>
      <c r="E131" s="10" t="s">
        <v>23</v>
      </c>
      <c r="F131" s="10" t="s">
        <v>41</v>
      </c>
      <c r="G131" s="6">
        <v>8</v>
      </c>
      <c r="H131" s="6"/>
      <c r="I131" s="6">
        <v>0</v>
      </c>
      <c r="J131" s="6">
        <v>8</v>
      </c>
      <c r="K131" s="13">
        <v>538.20000000000005</v>
      </c>
      <c r="L131" s="13">
        <v>0</v>
      </c>
      <c r="M131" s="8">
        <v>1923.8777162399999</v>
      </c>
      <c r="N131" s="8">
        <v>0</v>
      </c>
    </row>
    <row r="132" spans="1:14" x14ac:dyDescent="0.25">
      <c r="A132" s="10" t="s">
        <v>350</v>
      </c>
      <c r="B132" s="10">
        <v>2372</v>
      </c>
      <c r="C132" s="10" t="s">
        <v>351</v>
      </c>
      <c r="D132" s="10" t="s">
        <v>352</v>
      </c>
      <c r="E132" s="10" t="s">
        <v>22</v>
      </c>
      <c r="F132" s="10" t="s">
        <v>41</v>
      </c>
      <c r="G132" s="6">
        <v>0</v>
      </c>
      <c r="H132" s="6"/>
      <c r="I132" s="6">
        <v>0</v>
      </c>
      <c r="J132" s="6">
        <v>0</v>
      </c>
      <c r="K132" s="13">
        <v>0</v>
      </c>
      <c r="L132" s="13">
        <v>0</v>
      </c>
      <c r="M132" s="8">
        <v>0</v>
      </c>
      <c r="N132" s="8">
        <v>0</v>
      </c>
    </row>
    <row r="133" spans="1:14" x14ac:dyDescent="0.25">
      <c r="A133" s="10" t="s">
        <v>353</v>
      </c>
      <c r="B133" s="10">
        <v>2379</v>
      </c>
      <c r="C133" s="10" t="s">
        <v>354</v>
      </c>
      <c r="D133" s="10" t="s">
        <v>355</v>
      </c>
      <c r="E133" s="10" t="s">
        <v>21</v>
      </c>
      <c r="F133" s="10" t="s">
        <v>41</v>
      </c>
      <c r="G133" s="6">
        <v>18</v>
      </c>
      <c r="H133" s="6"/>
      <c r="I133" s="6">
        <v>0</v>
      </c>
      <c r="J133" s="6">
        <v>18</v>
      </c>
      <c r="K133" s="13">
        <v>623.01599999999996</v>
      </c>
      <c r="L133" s="13">
        <v>0</v>
      </c>
      <c r="M133" s="8">
        <v>2396.2716606600002</v>
      </c>
      <c r="N133" s="8">
        <v>0</v>
      </c>
    </row>
    <row r="134" spans="1:14" x14ac:dyDescent="0.25">
      <c r="A134" s="10" t="s">
        <v>356</v>
      </c>
      <c r="B134" s="10">
        <v>2391</v>
      </c>
      <c r="C134" s="10" t="s">
        <v>357</v>
      </c>
      <c r="D134" s="10" t="s">
        <v>358</v>
      </c>
      <c r="E134" s="10" t="s">
        <v>23</v>
      </c>
      <c r="F134" s="10" t="s">
        <v>41</v>
      </c>
      <c r="G134" s="6">
        <v>306</v>
      </c>
      <c r="H134" s="6"/>
      <c r="I134" s="6">
        <v>181</v>
      </c>
      <c r="J134" s="6">
        <v>125</v>
      </c>
      <c r="K134" s="13">
        <v>18796.05</v>
      </c>
      <c r="L134" s="13">
        <v>11117.924999999999</v>
      </c>
      <c r="M134" s="8">
        <v>75917.810012040005</v>
      </c>
      <c r="N134" s="8">
        <v>44905.632719540001</v>
      </c>
    </row>
    <row r="135" spans="1:14" x14ac:dyDescent="0.25">
      <c r="A135" s="10" t="s">
        <v>359</v>
      </c>
      <c r="B135" s="10">
        <v>2396</v>
      </c>
      <c r="C135" s="10" t="s">
        <v>360</v>
      </c>
      <c r="D135" s="10" t="s">
        <v>361</v>
      </c>
      <c r="E135" s="10" t="s">
        <v>23</v>
      </c>
      <c r="F135" s="10" t="s">
        <v>41</v>
      </c>
      <c r="G135" s="6">
        <v>311</v>
      </c>
      <c r="H135" s="6"/>
      <c r="I135" s="6">
        <v>181</v>
      </c>
      <c r="J135" s="6">
        <v>130</v>
      </c>
      <c r="K135" s="13">
        <v>12401.746999999999</v>
      </c>
      <c r="L135" s="13">
        <v>7217.7370000000001</v>
      </c>
      <c r="M135" s="8">
        <v>43873.660542279998</v>
      </c>
      <c r="N135" s="8">
        <v>25534.18828988</v>
      </c>
    </row>
    <row r="136" spans="1:14" x14ac:dyDescent="0.25">
      <c r="A136" s="10" t="s">
        <v>362</v>
      </c>
      <c r="B136" s="10">
        <v>2399</v>
      </c>
      <c r="C136" s="10" t="s">
        <v>363</v>
      </c>
      <c r="D136" s="10" t="s">
        <v>364</v>
      </c>
      <c r="E136" s="10" t="s">
        <v>23</v>
      </c>
      <c r="F136" s="10" t="s">
        <v>41</v>
      </c>
      <c r="G136" s="6">
        <v>298</v>
      </c>
      <c r="H136" s="6"/>
      <c r="I136" s="6">
        <v>0</v>
      </c>
      <c r="J136" s="6">
        <v>298</v>
      </c>
      <c r="K136" s="13">
        <v>13620.984</v>
      </c>
      <c r="L136" s="13">
        <v>0</v>
      </c>
      <c r="M136" s="8">
        <v>46762.212278140003</v>
      </c>
      <c r="N136" s="8">
        <v>0</v>
      </c>
    </row>
    <row r="137" spans="1:14" x14ac:dyDescent="0.25">
      <c r="A137" s="10" t="s">
        <v>365</v>
      </c>
      <c r="B137" s="10">
        <v>2400</v>
      </c>
      <c r="C137" s="10" t="s">
        <v>366</v>
      </c>
      <c r="D137" s="10" t="s">
        <v>367</v>
      </c>
      <c r="E137" s="10" t="s">
        <v>23</v>
      </c>
      <c r="F137" s="10" t="s">
        <v>41</v>
      </c>
      <c r="G137" s="6">
        <v>312</v>
      </c>
      <c r="H137" s="6"/>
      <c r="I137" s="6">
        <v>181</v>
      </c>
      <c r="J137" s="6">
        <v>131</v>
      </c>
      <c r="K137" s="13">
        <v>11839.464</v>
      </c>
      <c r="L137" s="13">
        <v>6868.4070000000002</v>
      </c>
      <c r="M137" s="8">
        <v>61847.434618320003</v>
      </c>
      <c r="N137" s="8">
        <v>35879.441236910003</v>
      </c>
    </row>
    <row r="138" spans="1:14" x14ac:dyDescent="0.25">
      <c r="A138" s="10" t="s">
        <v>368</v>
      </c>
      <c r="B138" s="10">
        <v>2401</v>
      </c>
      <c r="C138" s="10" t="s">
        <v>369</v>
      </c>
      <c r="D138" s="10"/>
      <c r="E138" s="10" t="s">
        <v>23</v>
      </c>
      <c r="F138" s="10" t="s">
        <v>41</v>
      </c>
      <c r="G138" s="6">
        <v>148</v>
      </c>
      <c r="H138" s="6"/>
      <c r="I138" s="6">
        <v>0</v>
      </c>
      <c r="J138" s="6">
        <v>148</v>
      </c>
      <c r="K138" s="13">
        <v>3976.9079999999999</v>
      </c>
      <c r="L138" s="13">
        <v>0</v>
      </c>
      <c r="M138" s="8">
        <v>29549.13377936</v>
      </c>
      <c r="N138" s="8">
        <v>0</v>
      </c>
    </row>
    <row r="139" spans="1:14" x14ac:dyDescent="0.25">
      <c r="A139" s="10" t="s">
        <v>370</v>
      </c>
      <c r="B139" s="10">
        <v>2403</v>
      </c>
      <c r="C139" s="10" t="s">
        <v>371</v>
      </c>
      <c r="D139" s="10" t="s">
        <v>372</v>
      </c>
      <c r="E139" s="10" t="s">
        <v>23</v>
      </c>
      <c r="F139" s="10" t="s">
        <v>41</v>
      </c>
      <c r="G139" s="6">
        <v>200</v>
      </c>
      <c r="H139" s="6"/>
      <c r="I139" s="6">
        <v>90</v>
      </c>
      <c r="J139" s="6">
        <v>110</v>
      </c>
      <c r="K139" s="13">
        <v>11793.6</v>
      </c>
      <c r="L139" s="13">
        <v>5307.12</v>
      </c>
      <c r="M139" s="8">
        <v>52222.083396000002</v>
      </c>
      <c r="N139" s="8">
        <v>23499.9375282</v>
      </c>
    </row>
    <row r="140" spans="1:14" x14ac:dyDescent="0.25">
      <c r="A140" s="10" t="s">
        <v>373</v>
      </c>
      <c r="B140" s="10">
        <v>2404</v>
      </c>
      <c r="C140" s="10" t="s">
        <v>374</v>
      </c>
      <c r="D140" s="10" t="s">
        <v>375</v>
      </c>
      <c r="E140" s="10" t="s">
        <v>23</v>
      </c>
      <c r="F140" s="10" t="s">
        <v>41</v>
      </c>
      <c r="G140" s="6">
        <v>99</v>
      </c>
      <c r="H140" s="6"/>
      <c r="I140" s="6">
        <v>64</v>
      </c>
      <c r="J140" s="6">
        <v>35</v>
      </c>
      <c r="K140" s="13">
        <v>4440.1499999999996</v>
      </c>
      <c r="L140" s="13">
        <v>2870.4</v>
      </c>
      <c r="M140" s="8">
        <v>19223.856653760002</v>
      </c>
      <c r="N140" s="8">
        <v>12427.54369536</v>
      </c>
    </row>
    <row r="141" spans="1:14" x14ac:dyDescent="0.25">
      <c r="A141" s="10" t="s">
        <v>376</v>
      </c>
      <c r="B141" s="10">
        <v>2406</v>
      </c>
      <c r="C141" s="10" t="s">
        <v>377</v>
      </c>
      <c r="D141" s="10" t="s">
        <v>378</v>
      </c>
      <c r="E141" s="10" t="s">
        <v>23</v>
      </c>
      <c r="F141" s="10" t="s">
        <v>41</v>
      </c>
      <c r="G141" s="6">
        <v>310</v>
      </c>
      <c r="H141" s="6"/>
      <c r="I141" s="6">
        <v>208</v>
      </c>
      <c r="J141" s="6">
        <v>102</v>
      </c>
      <c r="K141" s="13">
        <v>19948.5</v>
      </c>
      <c r="L141" s="13">
        <v>13384.8</v>
      </c>
      <c r="M141" s="8">
        <v>109196.7765809</v>
      </c>
      <c r="N141" s="8">
        <v>73267.51460912</v>
      </c>
    </row>
    <row r="142" spans="1:14" x14ac:dyDescent="0.25">
      <c r="A142" s="10" t="s">
        <v>379</v>
      </c>
      <c r="B142" s="10">
        <v>2407</v>
      </c>
      <c r="C142" s="10" t="s">
        <v>380</v>
      </c>
      <c r="D142" s="10" t="s">
        <v>381</v>
      </c>
      <c r="E142" s="10" t="s">
        <v>23</v>
      </c>
      <c r="F142" s="10" t="s">
        <v>41</v>
      </c>
      <c r="G142" s="6">
        <v>302</v>
      </c>
      <c r="H142" s="6"/>
      <c r="I142" s="6">
        <v>208</v>
      </c>
      <c r="J142" s="6">
        <v>94</v>
      </c>
      <c r="K142" s="13">
        <v>16665.87</v>
      </c>
      <c r="L142" s="13">
        <v>11478.48</v>
      </c>
      <c r="M142" s="8">
        <v>48516.286902259999</v>
      </c>
      <c r="N142" s="8">
        <v>33415.190979040002</v>
      </c>
    </row>
    <row r="143" spans="1:14" x14ac:dyDescent="0.25">
      <c r="A143" s="10" t="s">
        <v>382</v>
      </c>
      <c r="B143" s="10">
        <v>2408</v>
      </c>
      <c r="C143" s="10" t="s">
        <v>383</v>
      </c>
      <c r="D143" s="10" t="s">
        <v>384</v>
      </c>
      <c r="E143" s="10" t="s">
        <v>23</v>
      </c>
      <c r="F143" s="10" t="s">
        <v>41</v>
      </c>
      <c r="G143" s="6">
        <v>304</v>
      </c>
      <c r="H143" s="6"/>
      <c r="I143" s="6">
        <v>208</v>
      </c>
      <c r="J143" s="6">
        <v>96</v>
      </c>
      <c r="K143" s="13">
        <v>17191.2</v>
      </c>
      <c r="L143" s="13">
        <v>11762.4</v>
      </c>
      <c r="M143" s="8">
        <v>64846.044935359998</v>
      </c>
      <c r="N143" s="8">
        <v>44368.346534720004</v>
      </c>
    </row>
    <row r="144" spans="1:14" x14ac:dyDescent="0.25">
      <c r="A144" s="10" t="s">
        <v>385</v>
      </c>
      <c r="B144" s="10">
        <v>2409</v>
      </c>
      <c r="C144" s="10" t="s">
        <v>386</v>
      </c>
      <c r="D144" s="10" t="s">
        <v>387</v>
      </c>
      <c r="E144" s="10" t="s">
        <v>23</v>
      </c>
      <c r="F144" s="10" t="s">
        <v>41</v>
      </c>
      <c r="G144" s="6">
        <v>72</v>
      </c>
      <c r="H144" s="6"/>
      <c r="I144" s="6">
        <v>0</v>
      </c>
      <c r="J144" s="6">
        <v>72</v>
      </c>
      <c r="K144" s="13">
        <v>4106.6639999999998</v>
      </c>
      <c r="L144" s="13">
        <v>0</v>
      </c>
      <c r="M144" s="8">
        <v>11068.23690072</v>
      </c>
      <c r="N144" s="8">
        <v>0</v>
      </c>
    </row>
    <row r="145" spans="1:14" x14ac:dyDescent="0.25">
      <c r="A145" s="10" t="s">
        <v>388</v>
      </c>
      <c r="B145" s="10">
        <v>2409</v>
      </c>
      <c r="C145" s="10" t="s">
        <v>386</v>
      </c>
      <c r="D145" s="10" t="s">
        <v>389</v>
      </c>
      <c r="E145" s="10" t="s">
        <v>23</v>
      </c>
      <c r="F145" s="10" t="s">
        <v>41</v>
      </c>
      <c r="G145" s="6">
        <v>341</v>
      </c>
      <c r="H145" s="6"/>
      <c r="I145" s="6">
        <v>208</v>
      </c>
      <c r="J145" s="6">
        <v>133</v>
      </c>
      <c r="K145" s="13">
        <v>19449.616999999998</v>
      </c>
      <c r="L145" s="13">
        <v>11863.696</v>
      </c>
      <c r="M145" s="8">
        <v>63426.790618730003</v>
      </c>
      <c r="N145" s="8">
        <v>38688.48225424</v>
      </c>
    </row>
    <row r="146" spans="1:14" x14ac:dyDescent="0.25">
      <c r="A146" s="10" t="s">
        <v>390</v>
      </c>
      <c r="B146" s="10">
        <v>2410</v>
      </c>
      <c r="C146" s="10" t="s">
        <v>391</v>
      </c>
      <c r="D146" s="10"/>
      <c r="E146" s="10" t="s">
        <v>23</v>
      </c>
      <c r="F146" s="10" t="s">
        <v>41</v>
      </c>
      <c r="G146" s="6">
        <v>165</v>
      </c>
      <c r="H146" s="6"/>
      <c r="I146" s="6">
        <v>0</v>
      </c>
      <c r="J146" s="6">
        <v>165</v>
      </c>
      <c r="K146" s="13">
        <v>2477.4749999999999</v>
      </c>
      <c r="L146" s="13">
        <v>0</v>
      </c>
      <c r="M146" s="8">
        <v>18101.340693149999</v>
      </c>
      <c r="N146" s="8">
        <v>0</v>
      </c>
    </row>
    <row r="147" spans="1:14" x14ac:dyDescent="0.25">
      <c r="A147" s="10" t="s">
        <v>392</v>
      </c>
      <c r="B147" s="10">
        <v>2414</v>
      </c>
      <c r="C147" s="10" t="s">
        <v>393</v>
      </c>
      <c r="D147" s="10" t="s">
        <v>394</v>
      </c>
      <c r="E147" s="10" t="s">
        <v>23</v>
      </c>
      <c r="F147" s="10" t="s">
        <v>41</v>
      </c>
      <c r="G147" s="6">
        <v>0</v>
      </c>
      <c r="H147" s="6"/>
      <c r="I147" s="6">
        <v>0</v>
      </c>
      <c r="J147" s="6">
        <v>0</v>
      </c>
      <c r="K147" s="13">
        <v>0</v>
      </c>
      <c r="L147" s="13">
        <v>0</v>
      </c>
      <c r="M147" s="8">
        <v>0</v>
      </c>
      <c r="N147" s="8">
        <v>0</v>
      </c>
    </row>
    <row r="148" spans="1:14" x14ac:dyDescent="0.25">
      <c r="A148" s="10" t="s">
        <v>395</v>
      </c>
      <c r="B148" s="10">
        <v>2415</v>
      </c>
      <c r="C148" s="10" t="s">
        <v>396</v>
      </c>
      <c r="D148" s="10"/>
      <c r="E148" s="10" t="s">
        <v>23</v>
      </c>
      <c r="F148" s="10" t="s">
        <v>41</v>
      </c>
      <c r="G148" s="6">
        <v>0</v>
      </c>
      <c r="H148" s="6"/>
      <c r="I148" s="6">
        <v>0</v>
      </c>
      <c r="J148" s="6">
        <v>0</v>
      </c>
      <c r="K148" s="13">
        <v>0</v>
      </c>
      <c r="L148" s="13">
        <v>0</v>
      </c>
      <c r="M148" s="8">
        <v>0</v>
      </c>
      <c r="N148" s="8">
        <v>0</v>
      </c>
    </row>
    <row r="149" spans="1:14" x14ac:dyDescent="0.25">
      <c r="A149" s="10" t="s">
        <v>397</v>
      </c>
      <c r="B149" s="10">
        <v>72566</v>
      </c>
      <c r="C149" s="10" t="s">
        <v>398</v>
      </c>
      <c r="D149" s="10" t="s">
        <v>399</v>
      </c>
      <c r="E149" s="10" t="s">
        <v>23</v>
      </c>
      <c r="F149" s="10" t="s">
        <v>41</v>
      </c>
      <c r="G149" s="6">
        <v>853</v>
      </c>
      <c r="H149" s="6"/>
      <c r="I149" s="6">
        <v>649</v>
      </c>
      <c r="J149" s="6">
        <v>204</v>
      </c>
      <c r="K149" s="13">
        <v>39084.46</v>
      </c>
      <c r="L149" s="13">
        <v>29737.18</v>
      </c>
      <c r="M149" s="8">
        <v>115338.04549177999</v>
      </c>
      <c r="N149" s="8">
        <v>87754.269078740006</v>
      </c>
    </row>
    <row r="150" spans="1:14" x14ac:dyDescent="0.25">
      <c r="A150" s="10" t="s">
        <v>400</v>
      </c>
      <c r="B150" s="10">
        <v>72566</v>
      </c>
      <c r="C150" s="10" t="s">
        <v>398</v>
      </c>
      <c r="D150" s="10" t="s">
        <v>401</v>
      </c>
      <c r="E150" s="10" t="s">
        <v>23</v>
      </c>
      <c r="F150" s="10" t="s">
        <v>41</v>
      </c>
      <c r="G150" s="6">
        <v>390</v>
      </c>
      <c r="H150" s="6"/>
      <c r="I150" s="6">
        <v>0</v>
      </c>
      <c r="J150" s="6">
        <v>390</v>
      </c>
      <c r="K150" s="13">
        <v>17869.8</v>
      </c>
      <c r="L150" s="13">
        <v>0</v>
      </c>
      <c r="M150" s="8">
        <v>49024.865904300001</v>
      </c>
      <c r="N150" s="8">
        <v>0</v>
      </c>
    </row>
    <row r="151" spans="1:14" x14ac:dyDescent="0.25">
      <c r="A151" s="10" t="s">
        <v>402</v>
      </c>
      <c r="B151" s="10">
        <v>72567</v>
      </c>
      <c r="C151" s="10" t="s">
        <v>403</v>
      </c>
      <c r="D151" s="10" t="s">
        <v>404</v>
      </c>
      <c r="E151" s="10" t="s">
        <v>23</v>
      </c>
      <c r="F151" s="10" t="s">
        <v>41</v>
      </c>
      <c r="G151" s="6">
        <v>864</v>
      </c>
      <c r="H151" s="6"/>
      <c r="I151" s="6">
        <v>649</v>
      </c>
      <c r="J151" s="6">
        <v>215</v>
      </c>
      <c r="K151" s="13">
        <v>28218.240000000002</v>
      </c>
      <c r="L151" s="13">
        <v>21196.34</v>
      </c>
      <c r="M151" s="8">
        <v>113630.89828032001</v>
      </c>
      <c r="N151" s="8">
        <v>85354.690953619996</v>
      </c>
    </row>
    <row r="152" spans="1:14" x14ac:dyDescent="0.25">
      <c r="A152" s="10" t="s">
        <v>405</v>
      </c>
      <c r="B152" s="10">
        <v>72567</v>
      </c>
      <c r="C152" s="10" t="s">
        <v>403</v>
      </c>
      <c r="D152" s="10" t="s">
        <v>406</v>
      </c>
      <c r="E152" s="10" t="s">
        <v>23</v>
      </c>
      <c r="F152" s="10" t="s">
        <v>41</v>
      </c>
      <c r="G152" s="6">
        <v>378</v>
      </c>
      <c r="H152" s="6"/>
      <c r="I152" s="6">
        <v>338</v>
      </c>
      <c r="J152" s="6">
        <v>40</v>
      </c>
      <c r="K152" s="13">
        <v>12345.48</v>
      </c>
      <c r="L152" s="13">
        <v>11039.08</v>
      </c>
      <c r="M152" s="8">
        <v>52182.25978896</v>
      </c>
      <c r="N152" s="8">
        <v>46660.327536160003</v>
      </c>
    </row>
    <row r="153" spans="1:14" x14ac:dyDescent="0.25">
      <c r="A153" s="10" t="s">
        <v>407</v>
      </c>
      <c r="B153" s="10">
        <v>72568</v>
      </c>
      <c r="C153" s="10" t="s">
        <v>408</v>
      </c>
      <c r="D153" s="10" t="s">
        <v>409</v>
      </c>
      <c r="E153" s="10" t="s">
        <v>23</v>
      </c>
      <c r="F153" s="10" t="s">
        <v>41</v>
      </c>
      <c r="G153" s="6">
        <v>63</v>
      </c>
      <c r="H153" s="6"/>
      <c r="I153" s="6">
        <v>0</v>
      </c>
      <c r="J153" s="6">
        <v>63</v>
      </c>
      <c r="K153" s="13">
        <v>2395.2600000000002</v>
      </c>
      <c r="L153" s="13">
        <v>0</v>
      </c>
      <c r="M153" s="8">
        <v>11327.75495964</v>
      </c>
      <c r="N153" s="8">
        <v>0</v>
      </c>
    </row>
    <row r="154" spans="1:14" x14ac:dyDescent="0.25">
      <c r="A154" s="10" t="s">
        <v>410</v>
      </c>
      <c r="B154" s="10">
        <v>72568</v>
      </c>
      <c r="C154" s="10" t="s">
        <v>408</v>
      </c>
      <c r="D154" s="10" t="s">
        <v>411</v>
      </c>
      <c r="E154" s="10" t="s">
        <v>23</v>
      </c>
      <c r="F154" s="10" t="s">
        <v>41</v>
      </c>
      <c r="G154" s="6">
        <v>1</v>
      </c>
      <c r="H154" s="6"/>
      <c r="I154" s="6">
        <v>0</v>
      </c>
      <c r="J154" s="6">
        <v>1</v>
      </c>
      <c r="K154" s="13">
        <v>38.020000000000003</v>
      </c>
      <c r="L154" s="13">
        <v>0</v>
      </c>
      <c r="M154" s="8">
        <v>157.46918647000001</v>
      </c>
      <c r="N154" s="8">
        <v>0</v>
      </c>
    </row>
    <row r="155" spans="1:14" x14ac:dyDescent="0.25">
      <c r="A155" s="10" t="s">
        <v>412</v>
      </c>
      <c r="B155" s="10">
        <v>72569</v>
      </c>
      <c r="C155" s="10" t="s">
        <v>413</v>
      </c>
      <c r="D155" s="10" t="s">
        <v>414</v>
      </c>
      <c r="E155" s="10" t="s">
        <v>23</v>
      </c>
      <c r="F155" s="10" t="s">
        <v>41</v>
      </c>
      <c r="G155" s="6">
        <v>827</v>
      </c>
      <c r="H155" s="6"/>
      <c r="I155" s="6">
        <v>649</v>
      </c>
      <c r="J155" s="6">
        <v>178</v>
      </c>
      <c r="K155" s="13">
        <v>22974.06</v>
      </c>
      <c r="L155" s="13">
        <v>18029.22</v>
      </c>
      <c r="M155" s="8">
        <v>90743.702432560007</v>
      </c>
      <c r="N155" s="8">
        <v>71212.409768719997</v>
      </c>
    </row>
    <row r="156" spans="1:14" x14ac:dyDescent="0.25">
      <c r="A156" s="10" t="s">
        <v>415</v>
      </c>
      <c r="B156" s="10">
        <v>72569</v>
      </c>
      <c r="C156" s="10" t="s">
        <v>413</v>
      </c>
      <c r="D156" s="10" t="s">
        <v>416</v>
      </c>
      <c r="E156" s="10" t="s">
        <v>23</v>
      </c>
      <c r="F156" s="10" t="s">
        <v>41</v>
      </c>
      <c r="G156" s="6">
        <v>396</v>
      </c>
      <c r="H156" s="6"/>
      <c r="I156" s="6">
        <v>339</v>
      </c>
      <c r="J156" s="6">
        <v>57</v>
      </c>
      <c r="K156" s="13">
        <v>11000.88</v>
      </c>
      <c r="L156" s="13">
        <v>9417.42</v>
      </c>
      <c r="M156" s="8">
        <v>45624.576282119997</v>
      </c>
      <c r="N156" s="8">
        <v>39057.402423330001</v>
      </c>
    </row>
    <row r="157" spans="1:14" x14ac:dyDescent="0.25">
      <c r="A157" s="10" t="s">
        <v>417</v>
      </c>
      <c r="B157" s="10">
        <v>72572</v>
      </c>
      <c r="C157" s="10" t="s">
        <v>418</v>
      </c>
      <c r="D157" s="10" t="s">
        <v>419</v>
      </c>
      <c r="E157" s="10" t="s">
        <v>23</v>
      </c>
      <c r="F157" s="10" t="s">
        <v>41</v>
      </c>
      <c r="G157" s="6">
        <v>688</v>
      </c>
      <c r="H157" s="6"/>
      <c r="I157" s="6">
        <v>688</v>
      </c>
      <c r="J157" s="6">
        <v>0</v>
      </c>
      <c r="K157" s="13">
        <v>11779.248</v>
      </c>
      <c r="L157" s="13">
        <v>11779.248</v>
      </c>
      <c r="M157" s="8">
        <v>106300.18927328</v>
      </c>
      <c r="N157" s="8">
        <v>106300.18927328</v>
      </c>
    </row>
    <row r="158" spans="1:14" x14ac:dyDescent="0.25">
      <c r="A158" s="10" t="s">
        <v>420</v>
      </c>
      <c r="B158" s="10">
        <v>72572</v>
      </c>
      <c r="C158" s="10" t="s">
        <v>418</v>
      </c>
      <c r="D158" s="10" t="s">
        <v>421</v>
      </c>
      <c r="E158" s="10" t="s">
        <v>23</v>
      </c>
      <c r="F158" s="10" t="s">
        <v>41</v>
      </c>
      <c r="G158" s="6">
        <v>360</v>
      </c>
      <c r="H158" s="6"/>
      <c r="I158" s="6">
        <v>360</v>
      </c>
      <c r="J158" s="6">
        <v>0</v>
      </c>
      <c r="K158" s="13">
        <v>6163.56</v>
      </c>
      <c r="L158" s="13">
        <v>6163.56</v>
      </c>
      <c r="M158" s="8">
        <v>55846.824058799997</v>
      </c>
      <c r="N158" s="8">
        <v>55846.824058799997</v>
      </c>
    </row>
    <row r="159" spans="1:14" x14ac:dyDescent="0.25">
      <c r="A159" s="10" t="s">
        <v>422</v>
      </c>
      <c r="B159" s="10">
        <v>72594</v>
      </c>
      <c r="C159" s="10" t="s">
        <v>423</v>
      </c>
      <c r="D159" s="10" t="s">
        <v>424</v>
      </c>
      <c r="E159" s="10" t="s">
        <v>23</v>
      </c>
      <c r="F159" s="10" t="s">
        <v>41</v>
      </c>
      <c r="G159" s="6">
        <v>544</v>
      </c>
      <c r="H159" s="6"/>
      <c r="I159" s="6">
        <v>544</v>
      </c>
      <c r="J159" s="6">
        <v>0</v>
      </c>
      <c r="K159" s="13">
        <v>38613.120000000003</v>
      </c>
      <c r="L159" s="13">
        <v>38613.120000000003</v>
      </c>
      <c r="M159" s="8">
        <v>139744.82611776001</v>
      </c>
      <c r="N159" s="8">
        <v>139744.82611776001</v>
      </c>
    </row>
    <row r="160" spans="1:14" x14ac:dyDescent="0.25">
      <c r="A160" s="10" t="s">
        <v>425</v>
      </c>
      <c r="B160" s="10">
        <v>72594</v>
      </c>
      <c r="C160" s="10" t="s">
        <v>423</v>
      </c>
      <c r="D160" s="10" t="s">
        <v>426</v>
      </c>
      <c r="E160" s="10" t="s">
        <v>23</v>
      </c>
      <c r="F160" s="10" t="s">
        <v>41</v>
      </c>
      <c r="G160" s="6">
        <v>54</v>
      </c>
      <c r="H160" s="6"/>
      <c r="I160" s="6">
        <v>54</v>
      </c>
      <c r="J160" s="6">
        <v>0</v>
      </c>
      <c r="K160" s="13">
        <v>3832.92</v>
      </c>
      <c r="L160" s="13">
        <v>3832.92</v>
      </c>
      <c r="M160" s="8">
        <v>14046.060840120001</v>
      </c>
      <c r="N160" s="8">
        <v>14046.060840120001</v>
      </c>
    </row>
    <row r="161" spans="1:14" x14ac:dyDescent="0.25">
      <c r="A161" s="10" t="s">
        <v>427</v>
      </c>
      <c r="B161" s="10">
        <v>72595</v>
      </c>
      <c r="C161" s="10" t="s">
        <v>428</v>
      </c>
      <c r="D161" s="10" t="s">
        <v>429</v>
      </c>
      <c r="E161" s="10" t="s">
        <v>23</v>
      </c>
      <c r="F161" s="10" t="s">
        <v>41</v>
      </c>
      <c r="G161" s="6">
        <v>513</v>
      </c>
      <c r="H161" s="6"/>
      <c r="I161" s="6">
        <v>0</v>
      </c>
      <c r="J161" s="6">
        <v>513</v>
      </c>
      <c r="K161" s="13">
        <v>31860.891</v>
      </c>
      <c r="L161" s="13">
        <v>0</v>
      </c>
      <c r="M161" s="8">
        <v>100267.24484186999</v>
      </c>
      <c r="N161" s="8">
        <v>0</v>
      </c>
    </row>
    <row r="162" spans="1:14" x14ac:dyDescent="0.25">
      <c r="A162" s="10" t="s">
        <v>430</v>
      </c>
      <c r="B162" s="10">
        <v>72595</v>
      </c>
      <c r="C162" s="10" t="s">
        <v>428</v>
      </c>
      <c r="D162" s="10" t="s">
        <v>431</v>
      </c>
      <c r="E162" s="10" t="s">
        <v>23</v>
      </c>
      <c r="F162" s="10" t="s">
        <v>41</v>
      </c>
      <c r="G162" s="6">
        <v>896</v>
      </c>
      <c r="H162" s="6"/>
      <c r="I162" s="6">
        <v>476</v>
      </c>
      <c r="J162" s="6">
        <v>420</v>
      </c>
      <c r="K162" s="13">
        <v>55647.872000000003</v>
      </c>
      <c r="L162" s="13">
        <v>29562.932000000001</v>
      </c>
      <c r="M162" s="8">
        <v>181886.30128255999</v>
      </c>
      <c r="N162" s="8">
        <v>96627.097556359993</v>
      </c>
    </row>
    <row r="163" spans="1:14" x14ac:dyDescent="0.25">
      <c r="A163" s="10" t="s">
        <v>432</v>
      </c>
      <c r="B163" s="10">
        <v>72595</v>
      </c>
      <c r="C163" s="10" t="s">
        <v>428</v>
      </c>
      <c r="D163" s="10" t="s">
        <v>433</v>
      </c>
      <c r="E163" s="10" t="s">
        <v>23</v>
      </c>
      <c r="F163" s="10" t="s">
        <v>41</v>
      </c>
      <c r="G163" s="6">
        <v>269</v>
      </c>
      <c r="H163" s="6"/>
      <c r="I163" s="6">
        <v>269</v>
      </c>
      <c r="J163" s="6">
        <v>0</v>
      </c>
      <c r="K163" s="13">
        <v>16706.782999999999</v>
      </c>
      <c r="L163" s="13">
        <v>16706.782999999999</v>
      </c>
      <c r="M163" s="8">
        <v>59515.12259141</v>
      </c>
      <c r="N163" s="8">
        <v>59515.12259141</v>
      </c>
    </row>
    <row r="164" spans="1:14" x14ac:dyDescent="0.25">
      <c r="A164" s="10" t="s">
        <v>434</v>
      </c>
      <c r="B164" s="10">
        <v>72596</v>
      </c>
      <c r="C164" s="10" t="s">
        <v>435</v>
      </c>
      <c r="D164" s="10"/>
      <c r="E164" s="10" t="s">
        <v>23</v>
      </c>
      <c r="F164" s="10" t="s">
        <v>41</v>
      </c>
      <c r="G164" s="6">
        <v>2928</v>
      </c>
      <c r="H164" s="6"/>
      <c r="I164" s="6">
        <v>0</v>
      </c>
      <c r="J164" s="6">
        <v>2928</v>
      </c>
      <c r="K164" s="13">
        <v>17928.144</v>
      </c>
      <c r="L164" s="13">
        <v>0</v>
      </c>
      <c r="M164" s="8">
        <v>144517.54874495999</v>
      </c>
      <c r="N164" s="8">
        <v>0</v>
      </c>
    </row>
    <row r="165" spans="1:14" x14ac:dyDescent="0.25">
      <c r="A165" s="10" t="s">
        <v>436</v>
      </c>
      <c r="B165" s="10">
        <v>72623</v>
      </c>
      <c r="C165" s="10" t="s">
        <v>437</v>
      </c>
      <c r="D165" s="10"/>
      <c r="E165" s="10" t="s">
        <v>24</v>
      </c>
      <c r="F165" s="10" t="s">
        <v>41</v>
      </c>
      <c r="G165" s="6">
        <v>0</v>
      </c>
      <c r="H165" s="6"/>
      <c r="I165" s="6">
        <v>0</v>
      </c>
      <c r="J165" s="6">
        <v>0</v>
      </c>
      <c r="K165" s="13">
        <v>0</v>
      </c>
      <c r="L165" s="13">
        <v>0</v>
      </c>
      <c r="M165" s="8">
        <v>0</v>
      </c>
      <c r="N165" s="8">
        <v>0</v>
      </c>
    </row>
    <row r="166" spans="1:14" x14ac:dyDescent="0.25">
      <c r="A166" s="10" t="s">
        <v>438</v>
      </c>
      <c r="B166" s="10">
        <v>72643</v>
      </c>
      <c r="C166" s="10" t="s">
        <v>439</v>
      </c>
      <c r="D166" s="10" t="s">
        <v>440</v>
      </c>
      <c r="E166" s="10" t="s">
        <v>23</v>
      </c>
      <c r="F166" s="10" t="s">
        <v>41</v>
      </c>
      <c r="G166" s="6">
        <v>0</v>
      </c>
      <c r="H166" s="6"/>
      <c r="I166" s="6">
        <v>0</v>
      </c>
      <c r="J166" s="6">
        <v>0</v>
      </c>
      <c r="K166" s="13">
        <v>0</v>
      </c>
      <c r="L166" s="13">
        <v>0</v>
      </c>
      <c r="M166" s="8">
        <v>0</v>
      </c>
      <c r="N166" s="8">
        <v>0</v>
      </c>
    </row>
    <row r="167" spans="1:14" x14ac:dyDescent="0.25">
      <c r="A167" s="10" t="s">
        <v>441</v>
      </c>
      <c r="B167" s="10">
        <v>72645</v>
      </c>
      <c r="C167" s="10" t="s">
        <v>442</v>
      </c>
      <c r="D167" s="10" t="s">
        <v>443</v>
      </c>
      <c r="E167" s="10" t="s">
        <v>23</v>
      </c>
      <c r="F167" s="10" t="s">
        <v>41</v>
      </c>
      <c r="G167" s="6">
        <v>0</v>
      </c>
      <c r="H167" s="6"/>
      <c r="I167" s="6">
        <v>0</v>
      </c>
      <c r="J167" s="6">
        <v>0</v>
      </c>
      <c r="K167" s="13">
        <v>0</v>
      </c>
      <c r="L167" s="13">
        <v>0</v>
      </c>
      <c r="M167" s="8">
        <v>0</v>
      </c>
      <c r="N167" s="8">
        <v>0</v>
      </c>
    </row>
    <row r="168" spans="1:14" x14ac:dyDescent="0.25">
      <c r="A168" s="10" t="s">
        <v>444</v>
      </c>
      <c r="B168" s="10">
        <v>72645</v>
      </c>
      <c r="C168" s="10" t="s">
        <v>442</v>
      </c>
      <c r="D168" s="10" t="s">
        <v>445</v>
      </c>
      <c r="E168" s="10" t="s">
        <v>23</v>
      </c>
      <c r="F168" s="10" t="s">
        <v>41</v>
      </c>
      <c r="G168" s="6">
        <v>0</v>
      </c>
      <c r="H168" s="6"/>
      <c r="I168" s="6">
        <v>0</v>
      </c>
      <c r="J168" s="6">
        <v>0</v>
      </c>
      <c r="K168" s="13">
        <v>0</v>
      </c>
      <c r="L168" s="13">
        <v>0</v>
      </c>
      <c r="M168" s="8">
        <v>0</v>
      </c>
      <c r="N168" s="8">
        <v>0</v>
      </c>
    </row>
    <row r="169" spans="1:14" x14ac:dyDescent="0.25">
      <c r="A169" s="10" t="s">
        <v>446</v>
      </c>
      <c r="B169" s="10">
        <v>72659</v>
      </c>
      <c r="C169" s="10" t="s">
        <v>447</v>
      </c>
      <c r="D169" s="10" t="s">
        <v>448</v>
      </c>
      <c r="E169" s="10" t="s">
        <v>22</v>
      </c>
      <c r="F169" s="10" t="s">
        <v>41</v>
      </c>
      <c r="G169" s="6">
        <v>0</v>
      </c>
      <c r="H169" s="6"/>
      <c r="I169" s="6">
        <v>0</v>
      </c>
      <c r="J169" s="6">
        <v>0</v>
      </c>
      <c r="K169" s="13">
        <v>0</v>
      </c>
      <c r="L169" s="13">
        <v>0</v>
      </c>
      <c r="M169" s="8">
        <v>0</v>
      </c>
      <c r="N169" s="8">
        <v>0</v>
      </c>
    </row>
    <row r="170" spans="1:14" x14ac:dyDescent="0.25">
      <c r="A170" s="10" t="s">
        <v>449</v>
      </c>
      <c r="B170" s="10">
        <v>72661</v>
      </c>
      <c r="C170" s="10" t="s">
        <v>450</v>
      </c>
      <c r="D170" s="10" t="s">
        <v>451</v>
      </c>
      <c r="E170" s="10" t="s">
        <v>23</v>
      </c>
      <c r="F170" s="10" t="s">
        <v>41</v>
      </c>
      <c r="G170" s="6">
        <v>579</v>
      </c>
      <c r="H170" s="6"/>
      <c r="I170" s="6">
        <v>579</v>
      </c>
      <c r="J170" s="6">
        <v>0</v>
      </c>
      <c r="K170" s="13">
        <v>11572.473</v>
      </c>
      <c r="L170" s="13">
        <v>11572.473</v>
      </c>
      <c r="M170" s="8">
        <v>96283.977296340003</v>
      </c>
      <c r="N170" s="8">
        <v>96283.977296340003</v>
      </c>
    </row>
    <row r="171" spans="1:14" x14ac:dyDescent="0.25">
      <c r="A171" s="10" t="s">
        <v>452</v>
      </c>
      <c r="B171" s="10">
        <v>72662</v>
      </c>
      <c r="C171" s="10" t="s">
        <v>453</v>
      </c>
      <c r="D171" s="10" t="s">
        <v>454</v>
      </c>
      <c r="E171" s="10" t="s">
        <v>23</v>
      </c>
      <c r="F171" s="10" t="s">
        <v>41</v>
      </c>
      <c r="G171" s="6">
        <v>0</v>
      </c>
      <c r="H171" s="6"/>
      <c r="I171" s="6">
        <v>0</v>
      </c>
      <c r="J171" s="6">
        <v>0</v>
      </c>
      <c r="K171" s="13">
        <v>0</v>
      </c>
      <c r="L171" s="13">
        <v>0</v>
      </c>
      <c r="M171" s="8">
        <v>0</v>
      </c>
      <c r="N171" s="8">
        <v>0</v>
      </c>
    </row>
    <row r="172" spans="1:14" x14ac:dyDescent="0.25">
      <c r="A172" s="10" t="s">
        <v>455</v>
      </c>
      <c r="B172" s="10">
        <v>72663</v>
      </c>
      <c r="C172" s="10" t="s">
        <v>456</v>
      </c>
      <c r="D172" s="10" t="s">
        <v>457</v>
      </c>
      <c r="E172" s="10" t="s">
        <v>23</v>
      </c>
      <c r="F172" s="10" t="s">
        <v>41</v>
      </c>
      <c r="G172" s="6">
        <v>177</v>
      </c>
      <c r="H172" s="6"/>
      <c r="I172" s="6">
        <v>144</v>
      </c>
      <c r="J172" s="6">
        <v>33</v>
      </c>
      <c r="K172" s="13">
        <v>6985.8360000000002</v>
      </c>
      <c r="L172" s="13">
        <v>5683.3919999999998</v>
      </c>
      <c r="M172" s="8">
        <v>30206.955746610001</v>
      </c>
      <c r="N172" s="8">
        <v>24575.150437920001</v>
      </c>
    </row>
    <row r="173" spans="1:14" x14ac:dyDescent="0.25">
      <c r="A173" s="10" t="s">
        <v>458</v>
      </c>
      <c r="B173" s="10">
        <v>72728</v>
      </c>
      <c r="C173" s="10" t="s">
        <v>459</v>
      </c>
      <c r="D173" s="10" t="s">
        <v>460</v>
      </c>
      <c r="E173" s="10" t="s">
        <v>23</v>
      </c>
      <c r="F173" s="10" t="s">
        <v>41</v>
      </c>
      <c r="G173" s="6">
        <v>0</v>
      </c>
      <c r="H173" s="6"/>
      <c r="I173" s="6">
        <v>0</v>
      </c>
      <c r="J173" s="6">
        <v>0</v>
      </c>
      <c r="K173" s="13">
        <v>0</v>
      </c>
      <c r="L173" s="13">
        <v>0</v>
      </c>
      <c r="M173" s="8">
        <v>0</v>
      </c>
      <c r="N173" s="8">
        <v>0</v>
      </c>
    </row>
    <row r="174" spans="1:14" x14ac:dyDescent="0.25">
      <c r="A174" s="10" t="s">
        <v>461</v>
      </c>
      <c r="B174" s="10">
        <v>72734</v>
      </c>
      <c r="C174" s="10" t="s">
        <v>462</v>
      </c>
      <c r="D174" s="10" t="s">
        <v>463</v>
      </c>
      <c r="E174" s="10" t="s">
        <v>23</v>
      </c>
      <c r="F174" s="10" t="s">
        <v>41</v>
      </c>
      <c r="G174" s="6">
        <v>0</v>
      </c>
      <c r="H174" s="6"/>
      <c r="I174" s="6">
        <v>0</v>
      </c>
      <c r="J174" s="6">
        <v>0</v>
      </c>
      <c r="K174" s="13">
        <v>0</v>
      </c>
      <c r="L174" s="13">
        <v>0</v>
      </c>
      <c r="M174" s="8">
        <v>0</v>
      </c>
      <c r="N174" s="8">
        <v>0</v>
      </c>
    </row>
    <row r="175" spans="1:14" x14ac:dyDescent="0.25">
      <c r="A175" s="10" t="s">
        <v>464</v>
      </c>
      <c r="B175" s="10">
        <v>72737</v>
      </c>
      <c r="C175" s="10" t="s">
        <v>465</v>
      </c>
      <c r="D175" s="10" t="s">
        <v>466</v>
      </c>
      <c r="E175" s="10" t="s">
        <v>23</v>
      </c>
      <c r="F175" s="10" t="s">
        <v>41</v>
      </c>
      <c r="G175" s="6">
        <v>0</v>
      </c>
      <c r="H175" s="6"/>
      <c r="I175" s="6">
        <v>0</v>
      </c>
      <c r="J175" s="6">
        <v>0</v>
      </c>
      <c r="K175" s="13">
        <v>0</v>
      </c>
      <c r="L175" s="13">
        <v>0</v>
      </c>
      <c r="M175" s="8">
        <v>0</v>
      </c>
      <c r="N175" s="8">
        <v>0</v>
      </c>
    </row>
    <row r="176" spans="1:14" x14ac:dyDescent="0.25">
      <c r="A176" s="10" t="s">
        <v>467</v>
      </c>
      <c r="B176" s="10">
        <v>72758</v>
      </c>
      <c r="C176" s="10" t="s">
        <v>468</v>
      </c>
      <c r="D176" s="10" t="s">
        <v>469</v>
      </c>
      <c r="E176" s="10" t="s">
        <v>22</v>
      </c>
      <c r="F176" s="10" t="s">
        <v>41</v>
      </c>
      <c r="G176" s="6">
        <v>0</v>
      </c>
      <c r="H176" s="6"/>
      <c r="I176" s="6">
        <v>0</v>
      </c>
      <c r="J176" s="6">
        <v>0</v>
      </c>
      <c r="K176" s="13">
        <v>0</v>
      </c>
      <c r="L176" s="13">
        <v>0</v>
      </c>
      <c r="M176" s="8">
        <v>0</v>
      </c>
      <c r="N176" s="8">
        <v>0</v>
      </c>
    </row>
    <row r="177" spans="1:14" x14ac:dyDescent="0.25">
      <c r="A177" s="10" t="s">
        <v>470</v>
      </c>
      <c r="B177" s="10">
        <v>72761</v>
      </c>
      <c r="C177" s="10" t="s">
        <v>471</v>
      </c>
      <c r="D177" s="10" t="s">
        <v>472</v>
      </c>
      <c r="E177" s="10" t="s">
        <v>23</v>
      </c>
      <c r="F177" s="10" t="s">
        <v>41</v>
      </c>
      <c r="G177" s="6">
        <v>518</v>
      </c>
      <c r="H177" s="6"/>
      <c r="I177" s="6">
        <v>74</v>
      </c>
      <c r="J177" s="6">
        <v>444</v>
      </c>
      <c r="K177" s="13">
        <v>4898.7259999999997</v>
      </c>
      <c r="L177" s="13">
        <v>699.81799999999998</v>
      </c>
      <c r="M177" s="8">
        <v>24332.286597499999</v>
      </c>
      <c r="N177" s="8">
        <v>3476.0409424999998</v>
      </c>
    </row>
    <row r="178" spans="1:14" x14ac:dyDescent="0.25">
      <c r="A178" s="10" t="s">
        <v>473</v>
      </c>
      <c r="B178" s="10">
        <v>72764</v>
      </c>
      <c r="C178" s="10" t="s">
        <v>474</v>
      </c>
      <c r="D178" s="10" t="s">
        <v>475</v>
      </c>
      <c r="E178" s="10" t="s">
        <v>23</v>
      </c>
      <c r="F178" s="10" t="s">
        <v>41</v>
      </c>
      <c r="G178" s="6">
        <v>0</v>
      </c>
      <c r="H178" s="6"/>
      <c r="I178" s="6">
        <v>0</v>
      </c>
      <c r="J178" s="6">
        <v>0</v>
      </c>
      <c r="K178" s="13">
        <v>0</v>
      </c>
      <c r="L178" s="13">
        <v>0</v>
      </c>
      <c r="M178" s="8">
        <v>0</v>
      </c>
      <c r="N178" s="8">
        <v>0</v>
      </c>
    </row>
    <row r="179" spans="1:14" x14ac:dyDescent="0.25">
      <c r="A179" s="10" t="s">
        <v>476</v>
      </c>
      <c r="B179" s="10">
        <v>72765</v>
      </c>
      <c r="C179" s="10" t="s">
        <v>477</v>
      </c>
      <c r="D179" s="10" t="s">
        <v>478</v>
      </c>
      <c r="E179" s="10" t="s">
        <v>23</v>
      </c>
      <c r="F179" s="10" t="s">
        <v>41</v>
      </c>
      <c r="G179" s="6">
        <v>0</v>
      </c>
      <c r="H179" s="6"/>
      <c r="I179" s="6">
        <v>0</v>
      </c>
      <c r="J179" s="6">
        <v>0</v>
      </c>
      <c r="K179" s="13">
        <v>0</v>
      </c>
      <c r="L179" s="13">
        <v>0</v>
      </c>
      <c r="M179" s="8">
        <v>0</v>
      </c>
      <c r="N179" s="8">
        <v>0</v>
      </c>
    </row>
    <row r="180" spans="1:14" x14ac:dyDescent="0.25">
      <c r="A180" s="10" t="s">
        <v>479</v>
      </c>
      <c r="B180" s="10">
        <v>72777</v>
      </c>
      <c r="C180" s="10" t="s">
        <v>480</v>
      </c>
      <c r="D180" s="10" t="s">
        <v>481</v>
      </c>
      <c r="E180" s="10" t="s">
        <v>23</v>
      </c>
      <c r="F180" s="10" t="s">
        <v>41</v>
      </c>
      <c r="G180" s="6">
        <v>0</v>
      </c>
      <c r="H180" s="6"/>
      <c r="I180" s="6">
        <v>0</v>
      </c>
      <c r="J180" s="6">
        <v>0</v>
      </c>
      <c r="K180" s="13">
        <v>0</v>
      </c>
      <c r="L180" s="13">
        <v>0</v>
      </c>
      <c r="M180" s="8">
        <v>0</v>
      </c>
      <c r="N180" s="8">
        <v>0</v>
      </c>
    </row>
    <row r="181" spans="1:14" x14ac:dyDescent="0.25">
      <c r="A181" s="10" t="s">
        <v>482</v>
      </c>
      <c r="B181" s="10">
        <v>72779</v>
      </c>
      <c r="C181" s="10" t="s">
        <v>483</v>
      </c>
      <c r="D181" s="10"/>
      <c r="E181" s="10" t="s">
        <v>23</v>
      </c>
      <c r="F181" s="10" t="s">
        <v>41</v>
      </c>
      <c r="G181" s="6">
        <v>5</v>
      </c>
      <c r="H181" s="6"/>
      <c r="I181" s="6">
        <v>0</v>
      </c>
      <c r="J181" s="6">
        <v>5</v>
      </c>
      <c r="K181" s="13">
        <v>62.884999999999998</v>
      </c>
      <c r="L181" s="13">
        <v>0</v>
      </c>
      <c r="M181" s="8">
        <v>399.41151954999998</v>
      </c>
      <c r="N181" s="8">
        <v>0</v>
      </c>
    </row>
    <row r="182" spans="1:14" x14ac:dyDescent="0.25">
      <c r="A182" s="10" t="s">
        <v>484</v>
      </c>
      <c r="B182" s="10">
        <v>72816</v>
      </c>
      <c r="C182" s="10" t="s">
        <v>485</v>
      </c>
      <c r="D182" s="10" t="s">
        <v>486</v>
      </c>
      <c r="E182" s="10" t="s">
        <v>21</v>
      </c>
      <c r="F182" s="10" t="s">
        <v>41</v>
      </c>
      <c r="G182" s="6">
        <v>6</v>
      </c>
      <c r="H182" s="6"/>
      <c r="I182" s="6">
        <v>0</v>
      </c>
      <c r="J182" s="6">
        <v>6</v>
      </c>
      <c r="K182" s="13">
        <v>274.95</v>
      </c>
      <c r="L182" s="13">
        <v>0</v>
      </c>
      <c r="M182" s="8">
        <v>1143.37462962</v>
      </c>
      <c r="N182" s="8">
        <v>0</v>
      </c>
    </row>
    <row r="183" spans="1:14" x14ac:dyDescent="0.25">
      <c r="A183" s="10" t="s">
        <v>487</v>
      </c>
      <c r="B183" s="10">
        <v>72829</v>
      </c>
      <c r="C183" s="10" t="s">
        <v>488</v>
      </c>
      <c r="D183" s="10" t="s">
        <v>489</v>
      </c>
      <c r="E183" s="10" t="s">
        <v>21</v>
      </c>
      <c r="F183" s="10" t="s">
        <v>41</v>
      </c>
      <c r="G183" s="6">
        <v>0</v>
      </c>
      <c r="H183" s="6"/>
      <c r="I183" s="6">
        <v>0</v>
      </c>
      <c r="J183" s="6">
        <v>0</v>
      </c>
      <c r="K183" s="13">
        <v>0</v>
      </c>
      <c r="L183" s="13">
        <v>0</v>
      </c>
      <c r="M183" s="8">
        <v>0</v>
      </c>
      <c r="N183" s="8">
        <v>0</v>
      </c>
    </row>
    <row r="184" spans="1:14" x14ac:dyDescent="0.25">
      <c r="A184" s="10" t="s">
        <v>490</v>
      </c>
      <c r="B184" s="10">
        <v>72866</v>
      </c>
      <c r="C184" s="10" t="s">
        <v>491</v>
      </c>
      <c r="D184" s="10" t="s">
        <v>492</v>
      </c>
      <c r="E184" s="10" t="s">
        <v>21</v>
      </c>
      <c r="F184" s="10" t="s">
        <v>41</v>
      </c>
      <c r="G184" s="6">
        <v>0</v>
      </c>
      <c r="H184" s="6"/>
      <c r="I184" s="6">
        <v>0</v>
      </c>
      <c r="J184" s="6">
        <v>0</v>
      </c>
      <c r="K184" s="13">
        <v>0</v>
      </c>
      <c r="L184" s="13">
        <v>0</v>
      </c>
      <c r="M184" s="8">
        <v>0</v>
      </c>
      <c r="N184" s="8">
        <v>0</v>
      </c>
    </row>
    <row r="185" spans="1:14" x14ac:dyDescent="0.25">
      <c r="A185" s="10" t="s">
        <v>493</v>
      </c>
      <c r="B185" s="10">
        <v>72866</v>
      </c>
      <c r="C185" s="10" t="s">
        <v>491</v>
      </c>
      <c r="D185" s="10" t="s">
        <v>494</v>
      </c>
      <c r="E185" s="10" t="s">
        <v>21</v>
      </c>
      <c r="F185" s="10" t="s">
        <v>41</v>
      </c>
      <c r="G185" s="6">
        <v>1</v>
      </c>
      <c r="H185" s="6"/>
      <c r="I185" s="6">
        <v>0</v>
      </c>
      <c r="J185" s="6">
        <v>1</v>
      </c>
      <c r="K185" s="13">
        <v>35.957999999999998</v>
      </c>
      <c r="L185" s="13">
        <v>0</v>
      </c>
      <c r="M185" s="8">
        <v>155.06255156</v>
      </c>
      <c r="N185" s="8">
        <v>0</v>
      </c>
    </row>
    <row r="186" spans="1:14" x14ac:dyDescent="0.25">
      <c r="A186" s="10" t="s">
        <v>495</v>
      </c>
      <c r="B186" s="10">
        <v>72866</v>
      </c>
      <c r="C186" s="10" t="s">
        <v>491</v>
      </c>
      <c r="D186" s="10" t="s">
        <v>496</v>
      </c>
      <c r="E186" s="10" t="s">
        <v>21</v>
      </c>
      <c r="F186" s="10" t="s">
        <v>41</v>
      </c>
      <c r="G186" s="6">
        <v>0</v>
      </c>
      <c r="H186" s="6"/>
      <c r="I186" s="6">
        <v>0</v>
      </c>
      <c r="J186" s="6">
        <v>0</v>
      </c>
      <c r="K186" s="13">
        <v>0</v>
      </c>
      <c r="L186" s="13">
        <v>0</v>
      </c>
      <c r="M186" s="8">
        <v>0</v>
      </c>
      <c r="N186" s="8">
        <v>0</v>
      </c>
    </row>
    <row r="187" spans="1:14" x14ac:dyDescent="0.25">
      <c r="A187" s="10" t="s">
        <v>497</v>
      </c>
      <c r="B187" s="10">
        <v>72874</v>
      </c>
      <c r="C187" s="10" t="s">
        <v>498</v>
      </c>
      <c r="D187" s="10" t="s">
        <v>499</v>
      </c>
      <c r="E187" s="10" t="s">
        <v>21</v>
      </c>
      <c r="F187" s="10" t="s">
        <v>41</v>
      </c>
      <c r="G187" s="6">
        <v>0</v>
      </c>
      <c r="H187" s="6"/>
      <c r="I187" s="6">
        <v>0</v>
      </c>
      <c r="J187" s="6">
        <v>0</v>
      </c>
      <c r="K187" s="13">
        <v>0</v>
      </c>
      <c r="L187" s="13">
        <v>0</v>
      </c>
      <c r="M187" s="8">
        <v>0</v>
      </c>
      <c r="N187" s="8">
        <v>0</v>
      </c>
    </row>
    <row r="188" spans="1:14" x14ac:dyDescent="0.25">
      <c r="A188" s="10" t="s">
        <v>500</v>
      </c>
      <c r="B188" s="10">
        <v>72879</v>
      </c>
      <c r="C188" s="10" t="s">
        <v>501</v>
      </c>
      <c r="D188" s="10" t="s">
        <v>502</v>
      </c>
      <c r="E188" s="10" t="s">
        <v>21</v>
      </c>
      <c r="F188" s="10" t="s">
        <v>41</v>
      </c>
      <c r="G188" s="6">
        <v>1</v>
      </c>
      <c r="H188" s="6"/>
      <c r="I188" s="6">
        <v>0</v>
      </c>
      <c r="J188" s="6">
        <v>1</v>
      </c>
      <c r="K188" s="13">
        <v>32.174999999999997</v>
      </c>
      <c r="L188" s="13">
        <v>0</v>
      </c>
      <c r="M188" s="8">
        <v>139.34745665</v>
      </c>
      <c r="N188" s="8">
        <v>0</v>
      </c>
    </row>
    <row r="189" spans="1:14" x14ac:dyDescent="0.25">
      <c r="A189" s="10" t="s">
        <v>503</v>
      </c>
      <c r="B189" s="10">
        <v>73026</v>
      </c>
      <c r="C189" s="10" t="s">
        <v>504</v>
      </c>
      <c r="D189" s="10" t="s">
        <v>505</v>
      </c>
      <c r="E189" s="10" t="s">
        <v>20</v>
      </c>
      <c r="F189" s="10" t="s">
        <v>41</v>
      </c>
      <c r="G189" s="6">
        <v>697</v>
      </c>
      <c r="H189" s="6"/>
      <c r="I189" s="6">
        <v>287</v>
      </c>
      <c r="J189" s="6">
        <v>410</v>
      </c>
      <c r="K189" s="13">
        <v>271.83</v>
      </c>
      <c r="L189" s="13">
        <v>111.93</v>
      </c>
      <c r="M189" s="8">
        <v>2298.6849645399998</v>
      </c>
      <c r="N189" s="8">
        <v>946.51733834000004</v>
      </c>
    </row>
    <row r="190" spans="1:14" x14ac:dyDescent="0.25">
      <c r="A190" s="10" t="s">
        <v>506</v>
      </c>
      <c r="B190" s="10">
        <v>73026</v>
      </c>
      <c r="C190" s="10" t="s">
        <v>504</v>
      </c>
      <c r="D190" s="10" t="s">
        <v>507</v>
      </c>
      <c r="E190" s="10" t="s">
        <v>20</v>
      </c>
      <c r="F190" s="10" t="s">
        <v>41</v>
      </c>
      <c r="G190" s="6">
        <v>268</v>
      </c>
      <c r="H190" s="6"/>
      <c r="I190" s="6">
        <v>125</v>
      </c>
      <c r="J190" s="6">
        <v>143</v>
      </c>
      <c r="K190" s="13">
        <v>104.52</v>
      </c>
      <c r="L190" s="13">
        <v>48.75</v>
      </c>
      <c r="M190" s="8">
        <v>914.63705444000004</v>
      </c>
      <c r="N190" s="8">
        <v>426.60310375</v>
      </c>
    </row>
    <row r="191" spans="1:14" x14ac:dyDescent="0.25">
      <c r="A191" s="10" t="s">
        <v>508</v>
      </c>
      <c r="B191" s="10">
        <v>73077</v>
      </c>
      <c r="C191" s="10" t="s">
        <v>509</v>
      </c>
      <c r="D191" s="10" t="s">
        <v>510</v>
      </c>
      <c r="E191" s="10" t="s">
        <v>21</v>
      </c>
      <c r="F191" s="10" t="s">
        <v>41</v>
      </c>
      <c r="G191" s="6">
        <v>782</v>
      </c>
      <c r="H191" s="6"/>
      <c r="I191" s="6">
        <v>486</v>
      </c>
      <c r="J191" s="6">
        <v>296</v>
      </c>
      <c r="K191" s="13">
        <v>19823.7</v>
      </c>
      <c r="L191" s="13">
        <v>12320.1</v>
      </c>
      <c r="M191" s="8">
        <v>66616.47711598</v>
      </c>
      <c r="N191" s="8">
        <v>41401.033092539998</v>
      </c>
    </row>
    <row r="192" spans="1:14" x14ac:dyDescent="0.25">
      <c r="A192" s="10" t="s">
        <v>511</v>
      </c>
      <c r="B192" s="10">
        <v>73077</v>
      </c>
      <c r="C192" s="10" t="s">
        <v>509</v>
      </c>
      <c r="D192" s="10" t="s">
        <v>512</v>
      </c>
      <c r="E192" s="10" t="s">
        <v>21</v>
      </c>
      <c r="F192" s="10" t="s">
        <v>41</v>
      </c>
      <c r="G192" s="6">
        <v>187</v>
      </c>
      <c r="H192" s="6"/>
      <c r="I192" s="6">
        <v>44</v>
      </c>
      <c r="J192" s="6">
        <v>143</v>
      </c>
      <c r="K192" s="13">
        <v>4740.45</v>
      </c>
      <c r="L192" s="13">
        <v>1115.4000000000001</v>
      </c>
      <c r="M192" s="8">
        <v>12830.27491086</v>
      </c>
      <c r="N192" s="8">
        <v>3018.8882143199999</v>
      </c>
    </row>
    <row r="193" spans="1:14" x14ac:dyDescent="0.25">
      <c r="A193" s="10" t="s">
        <v>513</v>
      </c>
      <c r="B193" s="10">
        <v>73077</v>
      </c>
      <c r="C193" s="10" t="s">
        <v>509</v>
      </c>
      <c r="D193" s="10" t="s">
        <v>514</v>
      </c>
      <c r="E193" s="10" t="s">
        <v>21</v>
      </c>
      <c r="F193" s="10" t="s">
        <v>41</v>
      </c>
      <c r="G193" s="6">
        <v>57</v>
      </c>
      <c r="H193" s="6"/>
      <c r="I193" s="6">
        <v>7</v>
      </c>
      <c r="J193" s="6">
        <v>50</v>
      </c>
      <c r="K193" s="13">
        <v>1444.95</v>
      </c>
      <c r="L193" s="13">
        <v>177.45</v>
      </c>
      <c r="M193" s="8">
        <v>4420.4343999000002</v>
      </c>
      <c r="N193" s="8">
        <v>542.86036490000004</v>
      </c>
    </row>
    <row r="194" spans="1:14" x14ac:dyDescent="0.25">
      <c r="A194" s="10" t="s">
        <v>515</v>
      </c>
      <c r="B194" s="10">
        <v>73081</v>
      </c>
      <c r="C194" s="10" t="s">
        <v>516</v>
      </c>
      <c r="D194" s="10" t="s">
        <v>517</v>
      </c>
      <c r="E194" s="10" t="s">
        <v>21</v>
      </c>
      <c r="F194" s="10" t="s">
        <v>41</v>
      </c>
      <c r="G194" s="6">
        <v>488</v>
      </c>
      <c r="H194" s="6"/>
      <c r="I194" s="6">
        <v>485</v>
      </c>
      <c r="J194" s="6">
        <v>3</v>
      </c>
      <c r="K194" s="13">
        <v>9164.64</v>
      </c>
      <c r="L194" s="13">
        <v>9108.2999999999993</v>
      </c>
      <c r="M194" s="8">
        <v>65113.832367679999</v>
      </c>
      <c r="N194" s="8">
        <v>64713.5424146</v>
      </c>
    </row>
    <row r="195" spans="1:14" x14ac:dyDescent="0.25">
      <c r="A195" s="10" t="s">
        <v>518</v>
      </c>
      <c r="B195" s="10">
        <v>73081</v>
      </c>
      <c r="C195" s="10" t="s">
        <v>516</v>
      </c>
      <c r="D195" s="10" t="s">
        <v>519</v>
      </c>
      <c r="E195" s="10" t="s">
        <v>21</v>
      </c>
      <c r="F195" s="10" t="s">
        <v>41</v>
      </c>
      <c r="G195" s="6">
        <v>184</v>
      </c>
      <c r="H195" s="6"/>
      <c r="I195" s="6">
        <v>44</v>
      </c>
      <c r="J195" s="6">
        <v>140</v>
      </c>
      <c r="K195" s="13">
        <v>3455.52</v>
      </c>
      <c r="L195" s="13">
        <v>826.32</v>
      </c>
      <c r="M195" s="8">
        <v>23590.226474719999</v>
      </c>
      <c r="N195" s="8">
        <v>5641.1411135199996</v>
      </c>
    </row>
    <row r="196" spans="1:14" x14ac:dyDescent="0.25">
      <c r="A196" s="10" t="s">
        <v>520</v>
      </c>
      <c r="B196" s="10">
        <v>73081</v>
      </c>
      <c r="C196" s="10" t="s">
        <v>516</v>
      </c>
      <c r="D196" s="10" t="s">
        <v>521</v>
      </c>
      <c r="E196" s="10" t="s">
        <v>21</v>
      </c>
      <c r="F196" s="10" t="s">
        <v>41</v>
      </c>
      <c r="G196" s="6">
        <v>55</v>
      </c>
      <c r="H196" s="6"/>
      <c r="I196" s="6">
        <v>7</v>
      </c>
      <c r="J196" s="6">
        <v>48</v>
      </c>
      <c r="K196" s="13">
        <v>1032.9000000000001</v>
      </c>
      <c r="L196" s="13">
        <v>131.46</v>
      </c>
      <c r="M196" s="8">
        <v>7050.3439214999999</v>
      </c>
      <c r="N196" s="8">
        <v>897.31649909999999</v>
      </c>
    </row>
    <row r="197" spans="1:14" x14ac:dyDescent="0.25">
      <c r="A197" s="10" t="s">
        <v>522</v>
      </c>
      <c r="B197" s="10">
        <v>73083</v>
      </c>
      <c r="C197" s="10" t="s">
        <v>523</v>
      </c>
      <c r="D197" s="10" t="s">
        <v>524</v>
      </c>
      <c r="E197" s="10" t="s">
        <v>21</v>
      </c>
      <c r="F197" s="10" t="s">
        <v>41</v>
      </c>
      <c r="G197" s="6">
        <v>777</v>
      </c>
      <c r="H197" s="6"/>
      <c r="I197" s="6">
        <v>485</v>
      </c>
      <c r="J197" s="6">
        <v>292</v>
      </c>
      <c r="K197" s="13">
        <v>8803.41</v>
      </c>
      <c r="L197" s="13">
        <v>5495.05</v>
      </c>
      <c r="M197" s="8">
        <v>30919.212406319999</v>
      </c>
      <c r="N197" s="8">
        <v>19299.6370876</v>
      </c>
    </row>
    <row r="198" spans="1:14" x14ac:dyDescent="0.25">
      <c r="A198" s="10" t="s">
        <v>525</v>
      </c>
      <c r="B198" s="10">
        <v>73083</v>
      </c>
      <c r="C198" s="10" t="s">
        <v>523</v>
      </c>
      <c r="D198" s="10" t="s">
        <v>526</v>
      </c>
      <c r="E198" s="10" t="s">
        <v>21</v>
      </c>
      <c r="F198" s="10" t="s">
        <v>41</v>
      </c>
      <c r="G198" s="6">
        <v>180</v>
      </c>
      <c r="H198" s="6"/>
      <c r="I198" s="6">
        <v>44</v>
      </c>
      <c r="J198" s="6">
        <v>136</v>
      </c>
      <c r="K198" s="13">
        <v>2039.4</v>
      </c>
      <c r="L198" s="13">
        <v>498.52</v>
      </c>
      <c r="M198" s="8">
        <v>7212.7202723999999</v>
      </c>
      <c r="N198" s="8">
        <v>1763.10939992</v>
      </c>
    </row>
    <row r="199" spans="1:14" x14ac:dyDescent="0.25">
      <c r="A199" s="10" t="s">
        <v>527</v>
      </c>
      <c r="B199" s="10">
        <v>73083</v>
      </c>
      <c r="C199" s="10" t="s">
        <v>523</v>
      </c>
      <c r="D199" s="10" t="s">
        <v>528</v>
      </c>
      <c r="E199" s="10" t="s">
        <v>21</v>
      </c>
      <c r="F199" s="10" t="s">
        <v>41</v>
      </c>
      <c r="G199" s="6">
        <v>55</v>
      </c>
      <c r="H199" s="6"/>
      <c r="I199" s="6">
        <v>7</v>
      </c>
      <c r="J199" s="6">
        <v>48</v>
      </c>
      <c r="K199" s="13">
        <v>623.15</v>
      </c>
      <c r="L199" s="13">
        <v>79.31</v>
      </c>
      <c r="M199" s="8">
        <v>2234.92669785</v>
      </c>
      <c r="N199" s="8">
        <v>284.44521608999997</v>
      </c>
    </row>
    <row r="200" spans="1:14" x14ac:dyDescent="0.25">
      <c r="A200" s="10" t="s">
        <v>529</v>
      </c>
      <c r="B200" s="10">
        <v>73122</v>
      </c>
      <c r="C200" s="10" t="s">
        <v>530</v>
      </c>
      <c r="D200" s="10" t="s">
        <v>531</v>
      </c>
      <c r="E200" s="10" t="s">
        <v>21</v>
      </c>
      <c r="F200" s="10" t="s">
        <v>41</v>
      </c>
      <c r="G200" s="6">
        <v>147</v>
      </c>
      <c r="H200" s="6"/>
      <c r="I200" s="6">
        <v>53</v>
      </c>
      <c r="J200" s="6">
        <v>94</v>
      </c>
      <c r="K200" s="13">
        <v>7596.2250000000004</v>
      </c>
      <c r="L200" s="13">
        <v>2738.7750000000001</v>
      </c>
      <c r="M200" s="8">
        <v>44691.184781459997</v>
      </c>
      <c r="N200" s="8">
        <v>16113.148254539999</v>
      </c>
    </row>
    <row r="201" spans="1:14" x14ac:dyDescent="0.25">
      <c r="A201" s="10" t="s">
        <v>532</v>
      </c>
      <c r="B201" s="10">
        <v>73122</v>
      </c>
      <c r="C201" s="10" t="s">
        <v>530</v>
      </c>
      <c r="D201" s="10" t="s">
        <v>533</v>
      </c>
      <c r="E201" s="10" t="s">
        <v>21</v>
      </c>
      <c r="F201" s="10" t="s">
        <v>41</v>
      </c>
      <c r="G201" s="6">
        <v>54</v>
      </c>
      <c r="H201" s="6"/>
      <c r="I201" s="6">
        <v>0</v>
      </c>
      <c r="J201" s="6">
        <v>54</v>
      </c>
      <c r="K201" s="13">
        <v>2790.45</v>
      </c>
      <c r="L201" s="13">
        <v>0</v>
      </c>
      <c r="M201" s="8">
        <v>14659.26512202</v>
      </c>
      <c r="N201" s="8">
        <v>0</v>
      </c>
    </row>
    <row r="202" spans="1:14" x14ac:dyDescent="0.25">
      <c r="A202" s="10" t="s">
        <v>534</v>
      </c>
      <c r="B202" s="10">
        <v>73122</v>
      </c>
      <c r="C202" s="10" t="s">
        <v>530</v>
      </c>
      <c r="D202" s="10" t="s">
        <v>535</v>
      </c>
      <c r="E202" s="10" t="s">
        <v>21</v>
      </c>
      <c r="F202" s="10" t="s">
        <v>41</v>
      </c>
      <c r="G202" s="6">
        <v>17</v>
      </c>
      <c r="H202" s="6"/>
      <c r="I202" s="6">
        <v>22</v>
      </c>
      <c r="J202" s="6">
        <v>-5</v>
      </c>
      <c r="K202" s="13">
        <v>878.47500000000002</v>
      </c>
      <c r="L202" s="13">
        <v>1136.8499999999999</v>
      </c>
      <c r="M202" s="8">
        <v>5303.8752256099997</v>
      </c>
      <c r="N202" s="8">
        <v>6863.8385272599999</v>
      </c>
    </row>
    <row r="203" spans="1:14" x14ac:dyDescent="0.25">
      <c r="A203" s="10" t="s">
        <v>536</v>
      </c>
      <c r="B203" s="10">
        <v>73122</v>
      </c>
      <c r="C203" s="10" t="s">
        <v>530</v>
      </c>
      <c r="D203" s="10" t="s">
        <v>537</v>
      </c>
      <c r="E203" s="10" t="s">
        <v>21</v>
      </c>
      <c r="F203" s="10" t="s">
        <v>41</v>
      </c>
      <c r="G203" s="6">
        <v>22</v>
      </c>
      <c r="H203" s="6"/>
      <c r="I203" s="6">
        <v>0</v>
      </c>
      <c r="J203" s="6">
        <v>22</v>
      </c>
      <c r="K203" s="13">
        <v>1136.8499999999999</v>
      </c>
      <c r="L203" s="13">
        <v>0</v>
      </c>
      <c r="M203" s="8">
        <v>6233.024281</v>
      </c>
      <c r="N203" s="8">
        <v>0</v>
      </c>
    </row>
    <row r="204" spans="1:14" x14ac:dyDescent="0.25">
      <c r="A204" s="10" t="s">
        <v>538</v>
      </c>
      <c r="B204" s="10">
        <v>73123</v>
      </c>
      <c r="C204" s="10" t="s">
        <v>539</v>
      </c>
      <c r="D204" s="10" t="s">
        <v>540</v>
      </c>
      <c r="E204" s="10" t="s">
        <v>21</v>
      </c>
      <c r="F204" s="10" t="s">
        <v>41</v>
      </c>
      <c r="G204" s="6">
        <v>24</v>
      </c>
      <c r="H204" s="6"/>
      <c r="I204" s="6">
        <v>11</v>
      </c>
      <c r="J204" s="6">
        <v>13</v>
      </c>
      <c r="K204" s="13">
        <v>1240.2</v>
      </c>
      <c r="L204" s="13">
        <v>568.42499999999995</v>
      </c>
      <c r="M204" s="8">
        <v>5637.9534623999998</v>
      </c>
      <c r="N204" s="8">
        <v>2584.0620036</v>
      </c>
    </row>
    <row r="205" spans="1:14" x14ac:dyDescent="0.25">
      <c r="A205" s="10" t="s">
        <v>541</v>
      </c>
      <c r="B205" s="10">
        <v>73123</v>
      </c>
      <c r="C205" s="10" t="s">
        <v>539</v>
      </c>
      <c r="D205" s="10" t="s">
        <v>542</v>
      </c>
      <c r="E205" s="10" t="s">
        <v>21</v>
      </c>
      <c r="F205" s="10" t="s">
        <v>41</v>
      </c>
      <c r="G205" s="6">
        <v>0</v>
      </c>
      <c r="H205" s="6"/>
      <c r="I205" s="6">
        <v>0</v>
      </c>
      <c r="J205" s="6">
        <v>0</v>
      </c>
      <c r="K205" s="13">
        <v>0</v>
      </c>
      <c r="L205" s="13">
        <v>0</v>
      </c>
      <c r="M205" s="8">
        <v>0</v>
      </c>
      <c r="N205" s="8">
        <v>0</v>
      </c>
    </row>
    <row r="206" spans="1:14" x14ac:dyDescent="0.25">
      <c r="A206" s="10" t="s">
        <v>543</v>
      </c>
      <c r="B206" s="10">
        <v>73123</v>
      </c>
      <c r="C206" s="10" t="s">
        <v>539</v>
      </c>
      <c r="D206" s="10" t="s">
        <v>544</v>
      </c>
      <c r="E206" s="10" t="s">
        <v>21</v>
      </c>
      <c r="F206" s="10" t="s">
        <v>41</v>
      </c>
      <c r="G206" s="6">
        <v>1</v>
      </c>
      <c r="H206" s="6"/>
      <c r="I206" s="6">
        <v>1</v>
      </c>
      <c r="J206" s="6">
        <v>0</v>
      </c>
      <c r="K206" s="13">
        <v>51.674999999999997</v>
      </c>
      <c r="L206" s="13">
        <v>51.674999999999997</v>
      </c>
      <c r="M206" s="8">
        <v>278.56524523000002</v>
      </c>
      <c r="N206" s="8">
        <v>278.56524523000002</v>
      </c>
    </row>
    <row r="207" spans="1:14" x14ac:dyDescent="0.25">
      <c r="A207" s="10" t="s">
        <v>545</v>
      </c>
      <c r="B207" s="10">
        <v>73123</v>
      </c>
      <c r="C207" s="10" t="s">
        <v>539</v>
      </c>
      <c r="D207" s="10" t="s">
        <v>546</v>
      </c>
      <c r="E207" s="10" t="s">
        <v>21</v>
      </c>
      <c r="F207" s="10" t="s">
        <v>41</v>
      </c>
      <c r="G207" s="6">
        <v>0</v>
      </c>
      <c r="H207" s="6"/>
      <c r="I207" s="6">
        <v>0</v>
      </c>
      <c r="J207" s="6">
        <v>0</v>
      </c>
      <c r="K207" s="13">
        <v>0</v>
      </c>
      <c r="L207" s="13">
        <v>0</v>
      </c>
      <c r="M207" s="8">
        <v>0</v>
      </c>
      <c r="N207" s="8">
        <v>0</v>
      </c>
    </row>
    <row r="208" spans="1:14" x14ac:dyDescent="0.25">
      <c r="A208" s="10" t="s">
        <v>547</v>
      </c>
      <c r="B208" s="10">
        <v>73126</v>
      </c>
      <c r="C208" s="10" t="s">
        <v>548</v>
      </c>
      <c r="D208" s="10" t="s">
        <v>549</v>
      </c>
      <c r="E208" s="10" t="s">
        <v>21</v>
      </c>
      <c r="F208" s="10" t="s">
        <v>41</v>
      </c>
      <c r="G208" s="6">
        <v>355</v>
      </c>
      <c r="H208" s="6"/>
      <c r="I208" s="6">
        <v>78</v>
      </c>
      <c r="J208" s="6">
        <v>277</v>
      </c>
      <c r="K208" s="13">
        <v>15575.625</v>
      </c>
      <c r="L208" s="13">
        <v>3422.25</v>
      </c>
      <c r="M208" s="8">
        <v>68630.092480349995</v>
      </c>
      <c r="N208" s="8">
        <v>15079.28792526</v>
      </c>
    </row>
    <row r="209" spans="1:14" x14ac:dyDescent="0.25">
      <c r="A209" s="10" t="s">
        <v>550</v>
      </c>
      <c r="B209" s="10">
        <v>73126</v>
      </c>
      <c r="C209" s="10" t="s">
        <v>548</v>
      </c>
      <c r="D209" s="10" t="s">
        <v>551</v>
      </c>
      <c r="E209" s="10" t="s">
        <v>21</v>
      </c>
      <c r="F209" s="10" t="s">
        <v>41</v>
      </c>
      <c r="G209" s="6">
        <v>0</v>
      </c>
      <c r="H209" s="6"/>
      <c r="I209" s="6">
        <v>0</v>
      </c>
      <c r="J209" s="6">
        <v>0</v>
      </c>
      <c r="K209" s="13">
        <v>0</v>
      </c>
      <c r="L209" s="13">
        <v>0</v>
      </c>
      <c r="M209" s="8">
        <v>0</v>
      </c>
      <c r="N209" s="8">
        <v>0</v>
      </c>
    </row>
    <row r="210" spans="1:14" x14ac:dyDescent="0.25">
      <c r="A210" s="10" t="s">
        <v>552</v>
      </c>
      <c r="B210" s="10">
        <v>73126</v>
      </c>
      <c r="C210" s="10" t="s">
        <v>548</v>
      </c>
      <c r="D210" s="10" t="s">
        <v>553</v>
      </c>
      <c r="E210" s="10" t="s">
        <v>21</v>
      </c>
      <c r="F210" s="10" t="s">
        <v>41</v>
      </c>
      <c r="G210" s="6">
        <v>29</v>
      </c>
      <c r="H210" s="6"/>
      <c r="I210" s="6">
        <v>0</v>
      </c>
      <c r="J210" s="6">
        <v>29</v>
      </c>
      <c r="K210" s="13">
        <v>1272.375</v>
      </c>
      <c r="L210" s="13">
        <v>0</v>
      </c>
      <c r="M210" s="8">
        <v>6125.52100032</v>
      </c>
      <c r="N210" s="8">
        <v>0</v>
      </c>
    </row>
    <row r="211" spans="1:14" x14ac:dyDescent="0.25">
      <c r="A211" s="10" t="s">
        <v>554</v>
      </c>
      <c r="B211" s="10">
        <v>73141</v>
      </c>
      <c r="C211" s="10" t="s">
        <v>555</v>
      </c>
      <c r="D211" s="10" t="s">
        <v>556</v>
      </c>
      <c r="E211" s="10" t="s">
        <v>21</v>
      </c>
      <c r="F211" s="10" t="s">
        <v>41</v>
      </c>
      <c r="G211" s="6">
        <v>954</v>
      </c>
      <c r="H211" s="6"/>
      <c r="I211" s="6">
        <v>420</v>
      </c>
      <c r="J211" s="6">
        <v>534</v>
      </c>
      <c r="K211" s="13">
        <v>18603</v>
      </c>
      <c r="L211" s="13">
        <v>8190</v>
      </c>
      <c r="M211" s="8">
        <v>62859.737549880003</v>
      </c>
      <c r="N211" s="8">
        <v>27674.098292400002</v>
      </c>
    </row>
    <row r="212" spans="1:14" x14ac:dyDescent="0.25">
      <c r="A212" s="10" t="s">
        <v>557</v>
      </c>
      <c r="B212" s="10">
        <v>73141</v>
      </c>
      <c r="C212" s="10" t="s">
        <v>555</v>
      </c>
      <c r="D212" s="10" t="s">
        <v>558</v>
      </c>
      <c r="E212" s="10" t="s">
        <v>21</v>
      </c>
      <c r="F212" s="10" t="s">
        <v>41</v>
      </c>
      <c r="G212" s="6">
        <v>416</v>
      </c>
      <c r="H212" s="6"/>
      <c r="I212" s="6">
        <v>164</v>
      </c>
      <c r="J212" s="6">
        <v>252</v>
      </c>
      <c r="K212" s="13">
        <v>8112</v>
      </c>
      <c r="L212" s="13">
        <v>3198</v>
      </c>
      <c r="M212" s="8">
        <v>25322.48337632</v>
      </c>
      <c r="N212" s="8">
        <v>9982.90210028</v>
      </c>
    </row>
    <row r="213" spans="1:14" x14ac:dyDescent="0.25">
      <c r="A213" s="10" t="s">
        <v>559</v>
      </c>
      <c r="B213" s="10">
        <v>73141</v>
      </c>
      <c r="C213" s="10" t="s">
        <v>555</v>
      </c>
      <c r="D213" s="10" t="s">
        <v>560</v>
      </c>
      <c r="E213" s="10" t="s">
        <v>21</v>
      </c>
      <c r="F213" s="10" t="s">
        <v>41</v>
      </c>
      <c r="G213" s="6">
        <v>18</v>
      </c>
      <c r="H213" s="6"/>
      <c r="I213" s="6">
        <v>2</v>
      </c>
      <c r="J213" s="6">
        <v>16</v>
      </c>
      <c r="K213" s="13">
        <v>351</v>
      </c>
      <c r="L213" s="13">
        <v>39</v>
      </c>
      <c r="M213" s="8">
        <v>1040.67861354</v>
      </c>
      <c r="N213" s="8">
        <v>115.63095706</v>
      </c>
    </row>
    <row r="214" spans="1:14" x14ac:dyDescent="0.25">
      <c r="A214" s="10" t="s">
        <v>561</v>
      </c>
      <c r="B214" s="10">
        <v>73145</v>
      </c>
      <c r="C214" s="10" t="s">
        <v>562</v>
      </c>
      <c r="D214" s="10" t="s">
        <v>563</v>
      </c>
      <c r="E214" s="10" t="s">
        <v>21</v>
      </c>
      <c r="F214" s="10" t="s">
        <v>41</v>
      </c>
      <c r="G214" s="6">
        <v>313</v>
      </c>
      <c r="H214" s="6"/>
      <c r="I214" s="6">
        <v>164</v>
      </c>
      <c r="J214" s="6">
        <v>149</v>
      </c>
      <c r="K214" s="13">
        <v>5371.08</v>
      </c>
      <c r="L214" s="13">
        <v>2814.24</v>
      </c>
      <c r="M214" s="8">
        <v>27370.948960639998</v>
      </c>
      <c r="N214" s="8">
        <v>14341.32788992</v>
      </c>
    </row>
    <row r="215" spans="1:14" x14ac:dyDescent="0.25">
      <c r="A215" s="10" t="s">
        <v>564</v>
      </c>
      <c r="B215" s="10">
        <v>73145</v>
      </c>
      <c r="C215" s="10" t="s">
        <v>562</v>
      </c>
      <c r="D215" s="10" t="s">
        <v>565</v>
      </c>
      <c r="E215" s="10" t="s">
        <v>21</v>
      </c>
      <c r="F215" s="10" t="s">
        <v>41</v>
      </c>
      <c r="G215" s="6">
        <v>21</v>
      </c>
      <c r="H215" s="6"/>
      <c r="I215" s="6">
        <v>2</v>
      </c>
      <c r="J215" s="6">
        <v>19</v>
      </c>
      <c r="K215" s="13">
        <v>360.36</v>
      </c>
      <c r="L215" s="13">
        <v>34.32</v>
      </c>
      <c r="M215" s="8">
        <v>1783.46972454</v>
      </c>
      <c r="N215" s="8">
        <v>169.85425948</v>
      </c>
    </row>
    <row r="216" spans="1:14" x14ac:dyDescent="0.25">
      <c r="A216" s="10" t="s">
        <v>566</v>
      </c>
      <c r="B216" s="10">
        <v>73145</v>
      </c>
      <c r="C216" s="10" t="s">
        <v>562</v>
      </c>
      <c r="D216" s="10" t="s">
        <v>567</v>
      </c>
      <c r="E216" s="10" t="s">
        <v>21</v>
      </c>
      <c r="F216" s="10" t="s">
        <v>41</v>
      </c>
      <c r="G216" s="6">
        <v>841</v>
      </c>
      <c r="H216" s="6"/>
      <c r="I216" s="6">
        <v>420</v>
      </c>
      <c r="J216" s="6">
        <v>421</v>
      </c>
      <c r="K216" s="13">
        <v>14431.56</v>
      </c>
      <c r="L216" s="13">
        <v>7207.2</v>
      </c>
      <c r="M216" s="8">
        <v>73968.515209789999</v>
      </c>
      <c r="N216" s="8">
        <v>36940.281079799999</v>
      </c>
    </row>
    <row r="217" spans="1:14" x14ac:dyDescent="0.25">
      <c r="A217" s="10" t="s">
        <v>568</v>
      </c>
      <c r="B217" s="10">
        <v>73152</v>
      </c>
      <c r="C217" s="10" t="s">
        <v>569</v>
      </c>
      <c r="D217" s="10" t="s">
        <v>570</v>
      </c>
      <c r="E217" s="10" t="s">
        <v>21</v>
      </c>
      <c r="F217" s="10" t="s">
        <v>41</v>
      </c>
      <c r="G217" s="6">
        <v>844</v>
      </c>
      <c r="H217" s="6"/>
      <c r="I217" s="6">
        <v>421</v>
      </c>
      <c r="J217" s="6">
        <v>423</v>
      </c>
      <c r="K217" s="13">
        <v>7323.3879999999999</v>
      </c>
      <c r="L217" s="13">
        <v>3653.0169999999998</v>
      </c>
      <c r="M217" s="8">
        <v>23362.182348959999</v>
      </c>
      <c r="N217" s="8">
        <v>11653.41086364</v>
      </c>
    </row>
    <row r="218" spans="1:14" x14ac:dyDescent="0.25">
      <c r="A218" s="10" t="s">
        <v>571</v>
      </c>
      <c r="B218" s="10">
        <v>73152</v>
      </c>
      <c r="C218" s="10" t="s">
        <v>569</v>
      </c>
      <c r="D218" s="10" t="s">
        <v>572</v>
      </c>
      <c r="E218" s="10" t="s">
        <v>21</v>
      </c>
      <c r="F218" s="10" t="s">
        <v>41</v>
      </c>
      <c r="G218" s="6">
        <v>316</v>
      </c>
      <c r="H218" s="6"/>
      <c r="I218" s="6">
        <v>164</v>
      </c>
      <c r="J218" s="6">
        <v>152</v>
      </c>
      <c r="K218" s="13">
        <v>2741.9319999999998</v>
      </c>
      <c r="L218" s="13">
        <v>1423.028</v>
      </c>
      <c r="M218" s="8">
        <v>9868.7885396799993</v>
      </c>
      <c r="N218" s="8">
        <v>5121.7763307200003</v>
      </c>
    </row>
    <row r="219" spans="1:14" x14ac:dyDescent="0.25">
      <c r="A219" s="10" t="s">
        <v>573</v>
      </c>
      <c r="B219" s="10">
        <v>73152</v>
      </c>
      <c r="C219" s="10" t="s">
        <v>569</v>
      </c>
      <c r="D219" s="10" t="s">
        <v>574</v>
      </c>
      <c r="E219" s="10" t="s">
        <v>21</v>
      </c>
      <c r="F219" s="10" t="s">
        <v>41</v>
      </c>
      <c r="G219" s="6">
        <v>12</v>
      </c>
      <c r="H219" s="6"/>
      <c r="I219" s="6">
        <v>2</v>
      </c>
      <c r="J219" s="6">
        <v>10</v>
      </c>
      <c r="K219" s="13">
        <v>104.124</v>
      </c>
      <c r="L219" s="13">
        <v>17.353999999999999</v>
      </c>
      <c r="M219" s="8">
        <v>406.47190380000001</v>
      </c>
      <c r="N219" s="8">
        <v>67.745317299999996</v>
      </c>
    </row>
    <row r="220" spans="1:14" x14ac:dyDescent="0.25">
      <c r="A220" s="10" t="s">
        <v>575</v>
      </c>
      <c r="B220" s="10">
        <v>73157</v>
      </c>
      <c r="C220" s="10" t="s">
        <v>576</v>
      </c>
      <c r="D220" s="10" t="s">
        <v>577</v>
      </c>
      <c r="E220" s="10" t="s">
        <v>21</v>
      </c>
      <c r="F220" s="10" t="s">
        <v>41</v>
      </c>
      <c r="G220" s="6">
        <v>320</v>
      </c>
      <c r="H220" s="6"/>
      <c r="I220" s="6">
        <v>245</v>
      </c>
      <c r="J220" s="6">
        <v>75</v>
      </c>
      <c r="K220" s="13">
        <v>11260.8</v>
      </c>
      <c r="L220" s="13">
        <v>8621.5499999999993</v>
      </c>
      <c r="M220" s="8">
        <v>41239.034198399997</v>
      </c>
      <c r="N220" s="8">
        <v>31573.635558149999</v>
      </c>
    </row>
    <row r="221" spans="1:14" x14ac:dyDescent="0.25">
      <c r="A221" s="10" t="s">
        <v>578</v>
      </c>
      <c r="B221" s="10">
        <v>73157</v>
      </c>
      <c r="C221" s="10" t="s">
        <v>576</v>
      </c>
      <c r="D221" s="10" t="s">
        <v>579</v>
      </c>
      <c r="E221" s="10" t="s">
        <v>21</v>
      </c>
      <c r="F221" s="10" t="s">
        <v>41</v>
      </c>
      <c r="G221" s="6">
        <v>288</v>
      </c>
      <c r="H221" s="6"/>
      <c r="I221" s="6">
        <v>104</v>
      </c>
      <c r="J221" s="6">
        <v>184</v>
      </c>
      <c r="K221" s="13">
        <v>10134.719999999999</v>
      </c>
      <c r="L221" s="13">
        <v>3659.76</v>
      </c>
      <c r="M221" s="8">
        <v>36973.373474879998</v>
      </c>
      <c r="N221" s="8">
        <v>13351.49597704</v>
      </c>
    </row>
    <row r="222" spans="1:14" x14ac:dyDescent="0.25">
      <c r="A222" s="10" t="s">
        <v>580</v>
      </c>
      <c r="B222" s="10">
        <v>73157</v>
      </c>
      <c r="C222" s="10" t="s">
        <v>576</v>
      </c>
      <c r="D222" s="10" t="s">
        <v>581</v>
      </c>
      <c r="E222" s="10" t="s">
        <v>21</v>
      </c>
      <c r="F222" s="10" t="s">
        <v>41</v>
      </c>
      <c r="G222" s="6">
        <v>37</v>
      </c>
      <c r="H222" s="6"/>
      <c r="I222" s="6">
        <v>2</v>
      </c>
      <c r="J222" s="6">
        <v>35</v>
      </c>
      <c r="K222" s="13">
        <v>1302.03</v>
      </c>
      <c r="L222" s="13">
        <v>70.38</v>
      </c>
      <c r="M222" s="8">
        <v>4878.1310825700002</v>
      </c>
      <c r="N222" s="8">
        <v>263.68276121999997</v>
      </c>
    </row>
    <row r="223" spans="1:14" x14ac:dyDescent="0.25">
      <c r="A223" s="10" t="s">
        <v>582</v>
      </c>
      <c r="B223" s="10">
        <v>73163</v>
      </c>
      <c r="C223" s="10" t="s">
        <v>583</v>
      </c>
      <c r="D223" s="10" t="s">
        <v>584</v>
      </c>
      <c r="E223" s="10" t="s">
        <v>21</v>
      </c>
      <c r="F223" s="10" t="s">
        <v>41</v>
      </c>
      <c r="G223" s="6">
        <v>0</v>
      </c>
      <c r="H223" s="6"/>
      <c r="I223" s="6">
        <v>0</v>
      </c>
      <c r="J223" s="6">
        <v>0</v>
      </c>
      <c r="K223" s="13">
        <v>0</v>
      </c>
      <c r="L223" s="13">
        <v>0</v>
      </c>
      <c r="M223" s="8">
        <v>0</v>
      </c>
      <c r="N223" s="8">
        <v>0</v>
      </c>
    </row>
    <row r="224" spans="1:14" x14ac:dyDescent="0.25">
      <c r="A224" s="10" t="s">
        <v>585</v>
      </c>
      <c r="B224" s="10">
        <v>73164</v>
      </c>
      <c r="C224" s="10" t="s">
        <v>586</v>
      </c>
      <c r="D224" s="10" t="s">
        <v>587</v>
      </c>
      <c r="E224" s="10" t="s">
        <v>21</v>
      </c>
      <c r="F224" s="10" t="s">
        <v>41</v>
      </c>
      <c r="G224" s="6">
        <v>0</v>
      </c>
      <c r="H224" s="6"/>
      <c r="I224" s="6">
        <v>0</v>
      </c>
      <c r="J224" s="6">
        <v>0</v>
      </c>
      <c r="K224" s="13">
        <v>0</v>
      </c>
      <c r="L224" s="13">
        <v>0</v>
      </c>
      <c r="M224" s="8">
        <v>0</v>
      </c>
      <c r="N224" s="8">
        <v>0</v>
      </c>
    </row>
    <row r="225" spans="1:14" x14ac:dyDescent="0.25">
      <c r="A225" s="10" t="s">
        <v>588</v>
      </c>
      <c r="B225" s="10">
        <v>73166</v>
      </c>
      <c r="C225" s="10" t="s">
        <v>589</v>
      </c>
      <c r="D225" s="10" t="s">
        <v>590</v>
      </c>
      <c r="E225" s="10" t="s">
        <v>21</v>
      </c>
      <c r="F225" s="10" t="s">
        <v>41</v>
      </c>
      <c r="G225" s="6">
        <v>196</v>
      </c>
      <c r="H225" s="6"/>
      <c r="I225" s="6">
        <v>176</v>
      </c>
      <c r="J225" s="6">
        <v>20</v>
      </c>
      <c r="K225" s="13">
        <v>3822</v>
      </c>
      <c r="L225" s="13">
        <v>3432</v>
      </c>
      <c r="M225" s="8">
        <v>16864.672778519998</v>
      </c>
      <c r="N225" s="8">
        <v>15143.787801119999</v>
      </c>
    </row>
    <row r="226" spans="1:14" x14ac:dyDescent="0.25">
      <c r="A226" s="10" t="s">
        <v>591</v>
      </c>
      <c r="B226" s="10">
        <v>73166</v>
      </c>
      <c r="C226" s="10" t="s">
        <v>589</v>
      </c>
      <c r="D226" s="10" t="s">
        <v>592</v>
      </c>
      <c r="E226" s="10" t="s">
        <v>21</v>
      </c>
      <c r="F226" s="10" t="s">
        <v>41</v>
      </c>
      <c r="G226" s="6">
        <v>134</v>
      </c>
      <c r="H226" s="6"/>
      <c r="I226" s="6">
        <v>134</v>
      </c>
      <c r="J226" s="6">
        <v>0</v>
      </c>
      <c r="K226" s="13">
        <v>2613</v>
      </c>
      <c r="L226" s="13">
        <v>2613</v>
      </c>
      <c r="M226" s="8">
        <v>12956.99265</v>
      </c>
      <c r="N226" s="8">
        <v>12956.99265</v>
      </c>
    </row>
    <row r="227" spans="1:14" x14ac:dyDescent="0.25">
      <c r="A227" s="10" t="s">
        <v>593</v>
      </c>
      <c r="B227" s="10">
        <v>73174</v>
      </c>
      <c r="C227" s="10" t="s">
        <v>594</v>
      </c>
      <c r="D227" s="10" t="s">
        <v>595</v>
      </c>
      <c r="E227" s="10" t="s">
        <v>21</v>
      </c>
      <c r="F227" s="10" t="s">
        <v>41</v>
      </c>
      <c r="G227" s="6">
        <v>255</v>
      </c>
      <c r="H227" s="6"/>
      <c r="I227" s="6">
        <v>241</v>
      </c>
      <c r="J227" s="6">
        <v>14</v>
      </c>
      <c r="K227" s="13">
        <v>4722.6000000000004</v>
      </c>
      <c r="L227" s="13">
        <v>4463.32</v>
      </c>
      <c r="M227" s="8">
        <v>14034.30720675</v>
      </c>
      <c r="N227" s="8">
        <v>13263.79622285</v>
      </c>
    </row>
    <row r="228" spans="1:14" x14ac:dyDescent="0.25">
      <c r="A228" s="10" t="s">
        <v>596</v>
      </c>
      <c r="B228" s="10">
        <v>73174</v>
      </c>
      <c r="C228" s="10" t="s">
        <v>594</v>
      </c>
      <c r="D228" s="10" t="s">
        <v>597</v>
      </c>
      <c r="E228" s="10" t="s">
        <v>21</v>
      </c>
      <c r="F228" s="10" t="s">
        <v>41</v>
      </c>
      <c r="G228" s="6">
        <v>164</v>
      </c>
      <c r="H228" s="6"/>
      <c r="I228" s="6">
        <v>0</v>
      </c>
      <c r="J228" s="6">
        <v>164</v>
      </c>
      <c r="K228" s="13">
        <v>3037.28</v>
      </c>
      <c r="L228" s="13">
        <v>0</v>
      </c>
      <c r="M228" s="8">
        <v>8496.1874112000005</v>
      </c>
      <c r="N228" s="8">
        <v>0</v>
      </c>
    </row>
    <row r="229" spans="1:14" x14ac:dyDescent="0.25">
      <c r="A229" s="10" t="s">
        <v>598</v>
      </c>
      <c r="B229" s="10">
        <v>73174</v>
      </c>
      <c r="C229" s="10" t="s">
        <v>594</v>
      </c>
      <c r="D229" s="10" t="s">
        <v>599</v>
      </c>
      <c r="E229" s="10" t="s">
        <v>21</v>
      </c>
      <c r="F229" s="10" t="s">
        <v>41</v>
      </c>
      <c r="G229" s="6">
        <v>79</v>
      </c>
      <c r="H229" s="6"/>
      <c r="I229" s="6">
        <v>35</v>
      </c>
      <c r="J229" s="6">
        <v>44</v>
      </c>
      <c r="K229" s="13">
        <v>1463.08</v>
      </c>
      <c r="L229" s="13">
        <v>648.20000000000005</v>
      </c>
      <c r="M229" s="8">
        <v>5762.8794943000003</v>
      </c>
      <c r="N229" s="8">
        <v>2553.1744595</v>
      </c>
    </row>
    <row r="230" spans="1:14" x14ac:dyDescent="0.25">
      <c r="A230" s="10" t="s">
        <v>600</v>
      </c>
      <c r="B230" s="10">
        <v>73175</v>
      </c>
      <c r="C230" s="10" t="s">
        <v>601</v>
      </c>
      <c r="D230" s="10" t="s">
        <v>602</v>
      </c>
      <c r="E230" s="10" t="s">
        <v>21</v>
      </c>
      <c r="F230" s="10" t="s">
        <v>41</v>
      </c>
      <c r="G230" s="6">
        <v>250</v>
      </c>
      <c r="H230" s="6"/>
      <c r="I230" s="6">
        <v>241</v>
      </c>
      <c r="J230" s="6">
        <v>9</v>
      </c>
      <c r="K230" s="13">
        <v>4022.5</v>
      </c>
      <c r="L230" s="13">
        <v>3877.69</v>
      </c>
      <c r="M230" s="8">
        <v>28872.238002499998</v>
      </c>
      <c r="N230" s="8">
        <v>27832.837434410001</v>
      </c>
    </row>
    <row r="231" spans="1:14" x14ac:dyDescent="0.25">
      <c r="A231" s="10" t="s">
        <v>603</v>
      </c>
      <c r="B231" s="10">
        <v>73175</v>
      </c>
      <c r="C231" s="10" t="s">
        <v>601</v>
      </c>
      <c r="D231" s="10" t="s">
        <v>604</v>
      </c>
      <c r="E231" s="10" t="s">
        <v>21</v>
      </c>
      <c r="F231" s="10" t="s">
        <v>41</v>
      </c>
      <c r="G231" s="6">
        <v>167</v>
      </c>
      <c r="H231" s="6"/>
      <c r="I231" s="6">
        <v>72</v>
      </c>
      <c r="J231" s="6">
        <v>95</v>
      </c>
      <c r="K231" s="13">
        <v>2687.03</v>
      </c>
      <c r="L231" s="13">
        <v>1158.48</v>
      </c>
      <c r="M231" s="8">
        <v>19293.511442880001</v>
      </c>
      <c r="N231" s="8">
        <v>8318.1606220800004</v>
      </c>
    </row>
    <row r="232" spans="1:14" x14ac:dyDescent="0.25">
      <c r="A232" s="10" t="s">
        <v>605</v>
      </c>
      <c r="B232" s="10">
        <v>73175</v>
      </c>
      <c r="C232" s="10" t="s">
        <v>601</v>
      </c>
      <c r="D232" s="10" t="s">
        <v>606</v>
      </c>
      <c r="E232" s="10" t="s">
        <v>21</v>
      </c>
      <c r="F232" s="10" t="s">
        <v>41</v>
      </c>
      <c r="G232" s="6">
        <v>78</v>
      </c>
      <c r="H232" s="6"/>
      <c r="I232" s="6">
        <v>35</v>
      </c>
      <c r="J232" s="6">
        <v>43</v>
      </c>
      <c r="K232" s="13">
        <v>1255.02</v>
      </c>
      <c r="L232" s="13">
        <v>563.15</v>
      </c>
      <c r="M232" s="8">
        <v>9067.6541233200005</v>
      </c>
      <c r="N232" s="8">
        <v>4068.8191578999999</v>
      </c>
    </row>
    <row r="233" spans="1:14" x14ac:dyDescent="0.25">
      <c r="A233" s="10" t="s">
        <v>607</v>
      </c>
      <c r="B233" s="10">
        <v>73176</v>
      </c>
      <c r="C233" s="10" t="s">
        <v>608</v>
      </c>
      <c r="D233" s="10" t="s">
        <v>609</v>
      </c>
      <c r="E233" s="10" t="s">
        <v>21</v>
      </c>
      <c r="F233" s="10" t="s">
        <v>41</v>
      </c>
      <c r="G233" s="6">
        <v>241</v>
      </c>
      <c r="H233" s="6"/>
      <c r="I233" s="6">
        <v>241</v>
      </c>
      <c r="J233" s="6">
        <v>0</v>
      </c>
      <c r="K233" s="13">
        <v>1646.03</v>
      </c>
      <c r="L233" s="13">
        <v>1646.03</v>
      </c>
      <c r="M233" s="8">
        <v>6572.3672228900004</v>
      </c>
      <c r="N233" s="8">
        <v>6572.3672228900004</v>
      </c>
    </row>
    <row r="234" spans="1:14" x14ac:dyDescent="0.25">
      <c r="A234" s="10" t="s">
        <v>610</v>
      </c>
      <c r="B234" s="10">
        <v>73176</v>
      </c>
      <c r="C234" s="10" t="s">
        <v>608</v>
      </c>
      <c r="D234" s="10" t="s">
        <v>611</v>
      </c>
      <c r="E234" s="10" t="s">
        <v>21</v>
      </c>
      <c r="F234" s="10" t="s">
        <v>41</v>
      </c>
      <c r="G234" s="6">
        <v>161</v>
      </c>
      <c r="H234" s="6"/>
      <c r="I234" s="6">
        <v>72</v>
      </c>
      <c r="J234" s="6">
        <v>89</v>
      </c>
      <c r="K234" s="13">
        <v>1099.6300000000001</v>
      </c>
      <c r="L234" s="13">
        <v>491.76</v>
      </c>
      <c r="M234" s="8">
        <v>4666.75088796</v>
      </c>
      <c r="N234" s="8">
        <v>2086.9941859199998</v>
      </c>
    </row>
    <row r="235" spans="1:14" x14ac:dyDescent="0.25">
      <c r="A235" s="10" t="s">
        <v>612</v>
      </c>
      <c r="B235" s="10">
        <v>73176</v>
      </c>
      <c r="C235" s="10" t="s">
        <v>608</v>
      </c>
      <c r="D235" s="10" t="s">
        <v>613</v>
      </c>
      <c r="E235" s="10" t="s">
        <v>21</v>
      </c>
      <c r="F235" s="10" t="s">
        <v>41</v>
      </c>
      <c r="G235" s="6">
        <v>78</v>
      </c>
      <c r="H235" s="6"/>
      <c r="I235" s="6">
        <v>35</v>
      </c>
      <c r="J235" s="6">
        <v>43</v>
      </c>
      <c r="K235" s="13">
        <v>532.74</v>
      </c>
      <c r="L235" s="13">
        <v>239.05</v>
      </c>
      <c r="M235" s="8">
        <v>2113.58373252</v>
      </c>
      <c r="N235" s="8">
        <v>948.40295690000005</v>
      </c>
    </row>
    <row r="236" spans="1:14" x14ac:dyDescent="0.25">
      <c r="A236" s="10" t="s">
        <v>614</v>
      </c>
      <c r="B236" s="10">
        <v>73189</v>
      </c>
      <c r="C236" s="10" t="s">
        <v>615</v>
      </c>
      <c r="D236" s="10" t="s">
        <v>616</v>
      </c>
      <c r="E236" s="10" t="s">
        <v>21</v>
      </c>
      <c r="F236" s="10" t="s">
        <v>41</v>
      </c>
      <c r="G236" s="6">
        <v>1702</v>
      </c>
      <c r="H236" s="6"/>
      <c r="I236" s="6">
        <v>1095</v>
      </c>
      <c r="J236" s="6">
        <v>607</v>
      </c>
      <c r="K236" s="13">
        <v>54761.85</v>
      </c>
      <c r="L236" s="13">
        <v>35231.625</v>
      </c>
      <c r="M236" s="8">
        <v>263918.46534534002</v>
      </c>
      <c r="N236" s="8">
        <v>169794.78234614999</v>
      </c>
    </row>
    <row r="237" spans="1:14" x14ac:dyDescent="0.25">
      <c r="A237" s="10" t="s">
        <v>617</v>
      </c>
      <c r="B237" s="10">
        <v>73189</v>
      </c>
      <c r="C237" s="10" t="s">
        <v>615</v>
      </c>
      <c r="D237" s="10" t="s">
        <v>618</v>
      </c>
      <c r="E237" s="10" t="s">
        <v>21</v>
      </c>
      <c r="F237" s="10" t="s">
        <v>41</v>
      </c>
      <c r="G237" s="6">
        <v>656</v>
      </c>
      <c r="H237" s="6"/>
      <c r="I237" s="6">
        <v>535</v>
      </c>
      <c r="J237" s="6">
        <v>121</v>
      </c>
      <c r="K237" s="13">
        <v>21106.799999999999</v>
      </c>
      <c r="L237" s="13">
        <v>17213.625</v>
      </c>
      <c r="M237" s="8">
        <v>90939.387544960002</v>
      </c>
      <c r="N237" s="8">
        <v>74165.506610600001</v>
      </c>
    </row>
    <row r="238" spans="1:14" x14ac:dyDescent="0.25">
      <c r="A238" s="10" t="s">
        <v>619</v>
      </c>
      <c r="B238" s="10">
        <v>73189</v>
      </c>
      <c r="C238" s="10" t="s">
        <v>615</v>
      </c>
      <c r="D238" s="10" t="s">
        <v>620</v>
      </c>
      <c r="E238" s="10" t="s">
        <v>21</v>
      </c>
      <c r="F238" s="10" t="s">
        <v>41</v>
      </c>
      <c r="G238" s="6">
        <v>86</v>
      </c>
      <c r="H238" s="6"/>
      <c r="I238" s="6">
        <v>86</v>
      </c>
      <c r="J238" s="6">
        <v>0</v>
      </c>
      <c r="K238" s="13">
        <v>2767.05</v>
      </c>
      <c r="L238" s="13">
        <v>2767.05</v>
      </c>
      <c r="M238" s="8">
        <v>12603.41696602</v>
      </c>
      <c r="N238" s="8">
        <v>12603.41696602</v>
      </c>
    </row>
    <row r="239" spans="1:14" x14ac:dyDescent="0.25">
      <c r="A239" s="10" t="s">
        <v>621</v>
      </c>
      <c r="B239" s="10">
        <v>73226</v>
      </c>
      <c r="C239" s="10" t="s">
        <v>622</v>
      </c>
      <c r="D239" s="10"/>
      <c r="E239" s="10" t="s">
        <v>21</v>
      </c>
      <c r="F239" s="10" t="s">
        <v>41</v>
      </c>
      <c r="G239" s="6">
        <v>2692</v>
      </c>
      <c r="H239" s="6"/>
      <c r="I239" s="6">
        <v>0</v>
      </c>
      <c r="J239" s="6">
        <v>2692</v>
      </c>
      <c r="K239" s="13">
        <v>34121.1</v>
      </c>
      <c r="L239" s="13">
        <v>0</v>
      </c>
      <c r="M239" s="8">
        <v>125819.97930332</v>
      </c>
      <c r="N239" s="8">
        <v>0</v>
      </c>
    </row>
    <row r="240" spans="1:14" x14ac:dyDescent="0.25">
      <c r="A240" s="10" t="s">
        <v>623</v>
      </c>
      <c r="B240" s="10">
        <v>73259</v>
      </c>
      <c r="C240" s="10" t="s">
        <v>624</v>
      </c>
      <c r="D240" s="10" t="s">
        <v>625</v>
      </c>
      <c r="E240" s="10" t="s">
        <v>21</v>
      </c>
      <c r="F240" s="10" t="s">
        <v>41</v>
      </c>
      <c r="G240" s="6">
        <v>931</v>
      </c>
      <c r="H240" s="6"/>
      <c r="I240" s="6">
        <v>223</v>
      </c>
      <c r="J240" s="6">
        <v>708</v>
      </c>
      <c r="K240" s="13">
        <v>52648.05</v>
      </c>
      <c r="L240" s="13">
        <v>12610.65</v>
      </c>
      <c r="M240" s="8">
        <v>209223.39439182999</v>
      </c>
      <c r="N240" s="8">
        <v>50114.733565390001</v>
      </c>
    </row>
    <row r="241" spans="1:14" x14ac:dyDescent="0.25">
      <c r="A241" s="10" t="s">
        <v>626</v>
      </c>
      <c r="B241" s="10">
        <v>73259</v>
      </c>
      <c r="C241" s="10" t="s">
        <v>624</v>
      </c>
      <c r="D241" s="10" t="s">
        <v>627</v>
      </c>
      <c r="E241" s="10" t="s">
        <v>21</v>
      </c>
      <c r="F241" s="10" t="s">
        <v>41</v>
      </c>
      <c r="G241" s="6">
        <v>252</v>
      </c>
      <c r="H241" s="6"/>
      <c r="I241" s="6">
        <v>71</v>
      </c>
      <c r="J241" s="6">
        <v>181</v>
      </c>
      <c r="K241" s="13">
        <v>14250.6</v>
      </c>
      <c r="L241" s="13">
        <v>4015.05</v>
      </c>
      <c r="M241" s="8">
        <v>56312.768340360002</v>
      </c>
      <c r="N241" s="8">
        <v>15865.89901653</v>
      </c>
    </row>
    <row r="242" spans="1:14" x14ac:dyDescent="0.25">
      <c r="A242" s="10" t="s">
        <v>628</v>
      </c>
      <c r="B242" s="10">
        <v>73276</v>
      </c>
      <c r="C242" s="10" t="s">
        <v>629</v>
      </c>
      <c r="D242" s="10" t="s">
        <v>630</v>
      </c>
      <c r="E242" s="10" t="s">
        <v>21</v>
      </c>
      <c r="F242" s="10" t="s">
        <v>41</v>
      </c>
      <c r="G242" s="6">
        <v>609</v>
      </c>
      <c r="H242" s="6"/>
      <c r="I242" s="6">
        <v>478</v>
      </c>
      <c r="J242" s="6">
        <v>131</v>
      </c>
      <c r="K242" s="13">
        <v>18128.102999999999</v>
      </c>
      <c r="L242" s="13">
        <v>14228.626</v>
      </c>
      <c r="M242" s="8">
        <v>65265.282128550003</v>
      </c>
      <c r="N242" s="8">
        <v>51226.280554099998</v>
      </c>
    </row>
    <row r="243" spans="1:14" x14ac:dyDescent="0.25">
      <c r="A243" s="10" t="s">
        <v>631</v>
      </c>
      <c r="B243" s="10">
        <v>73276</v>
      </c>
      <c r="C243" s="10" t="s">
        <v>629</v>
      </c>
      <c r="D243" s="10" t="s">
        <v>632</v>
      </c>
      <c r="E243" s="10" t="s">
        <v>21</v>
      </c>
      <c r="F243" s="10" t="s">
        <v>41</v>
      </c>
      <c r="G243" s="6">
        <v>286</v>
      </c>
      <c r="H243" s="6"/>
      <c r="I243" s="6">
        <v>161</v>
      </c>
      <c r="J243" s="6">
        <v>125</v>
      </c>
      <c r="K243" s="13">
        <v>8513.3619999999992</v>
      </c>
      <c r="L243" s="13">
        <v>4792.4870000000001</v>
      </c>
      <c r="M243" s="8">
        <v>31160.858634619999</v>
      </c>
      <c r="N243" s="8">
        <v>17541.60223837</v>
      </c>
    </row>
    <row r="244" spans="1:14" x14ac:dyDescent="0.25">
      <c r="A244" s="10" t="s">
        <v>633</v>
      </c>
      <c r="B244" s="10">
        <v>73277</v>
      </c>
      <c r="C244" s="10" t="s">
        <v>634</v>
      </c>
      <c r="D244" s="10" t="s">
        <v>635</v>
      </c>
      <c r="E244" s="10" t="s">
        <v>21</v>
      </c>
      <c r="F244" s="10" t="s">
        <v>41</v>
      </c>
      <c r="G244" s="6">
        <v>260</v>
      </c>
      <c r="H244" s="6"/>
      <c r="I244" s="6">
        <v>0</v>
      </c>
      <c r="J244" s="6">
        <v>260</v>
      </c>
      <c r="K244" s="13">
        <v>10844.86</v>
      </c>
      <c r="L244" s="13">
        <v>0</v>
      </c>
      <c r="M244" s="8">
        <v>48692.515617199999</v>
      </c>
      <c r="N244" s="8">
        <v>0</v>
      </c>
    </row>
    <row r="245" spans="1:14" x14ac:dyDescent="0.25">
      <c r="A245" s="10" t="s">
        <v>636</v>
      </c>
      <c r="B245" s="10">
        <v>73277</v>
      </c>
      <c r="C245" s="10" t="s">
        <v>634</v>
      </c>
      <c r="D245" s="10" t="s">
        <v>637</v>
      </c>
      <c r="E245" s="10" t="s">
        <v>21</v>
      </c>
      <c r="F245" s="10" t="s">
        <v>41</v>
      </c>
      <c r="G245" s="6">
        <v>347</v>
      </c>
      <c r="H245" s="6"/>
      <c r="I245" s="6">
        <v>240</v>
      </c>
      <c r="J245" s="6">
        <v>107</v>
      </c>
      <c r="K245" s="13">
        <v>14473.717000000001</v>
      </c>
      <c r="L245" s="13">
        <v>10010.64</v>
      </c>
      <c r="M245" s="8">
        <v>65661.284074440002</v>
      </c>
      <c r="N245" s="8">
        <v>45414.1446048</v>
      </c>
    </row>
    <row r="246" spans="1:14" x14ac:dyDescent="0.25">
      <c r="A246" s="10" t="s">
        <v>638</v>
      </c>
      <c r="B246" s="10">
        <v>73277</v>
      </c>
      <c r="C246" s="10" t="s">
        <v>634</v>
      </c>
      <c r="D246" s="10" t="s">
        <v>639</v>
      </c>
      <c r="E246" s="10" t="s">
        <v>21</v>
      </c>
      <c r="F246" s="10" t="s">
        <v>41</v>
      </c>
      <c r="G246" s="6">
        <v>277</v>
      </c>
      <c r="H246" s="6"/>
      <c r="I246" s="6">
        <v>161</v>
      </c>
      <c r="J246" s="6">
        <v>116</v>
      </c>
      <c r="K246" s="13">
        <v>11553.947</v>
      </c>
      <c r="L246" s="13">
        <v>6715.4709999999995</v>
      </c>
      <c r="M246" s="8">
        <v>49161.189494029997</v>
      </c>
      <c r="N246" s="8">
        <v>28573.83216079</v>
      </c>
    </row>
    <row r="247" spans="1:14" x14ac:dyDescent="0.25">
      <c r="A247" s="10" t="s">
        <v>640</v>
      </c>
      <c r="B247" s="10">
        <v>73279</v>
      </c>
      <c r="C247" s="10" t="s">
        <v>641</v>
      </c>
      <c r="D247" s="10" t="s">
        <v>642</v>
      </c>
      <c r="E247" s="10" t="s">
        <v>21</v>
      </c>
      <c r="F247" s="10" t="s">
        <v>41</v>
      </c>
      <c r="G247" s="6">
        <v>585</v>
      </c>
      <c r="H247" s="6"/>
      <c r="I247" s="6">
        <v>457</v>
      </c>
      <c r="J247" s="6">
        <v>128</v>
      </c>
      <c r="K247" s="13">
        <v>15970.5</v>
      </c>
      <c r="L247" s="13">
        <v>12476.1</v>
      </c>
      <c r="M247" s="8">
        <v>54450.842612400003</v>
      </c>
      <c r="N247" s="8">
        <v>42536.812092079999</v>
      </c>
    </row>
    <row r="248" spans="1:14" x14ac:dyDescent="0.25">
      <c r="A248" s="10" t="s">
        <v>643</v>
      </c>
      <c r="B248" s="10">
        <v>73279</v>
      </c>
      <c r="C248" s="10" t="s">
        <v>641</v>
      </c>
      <c r="D248" s="10" t="s">
        <v>644</v>
      </c>
      <c r="E248" s="10" t="s">
        <v>21</v>
      </c>
      <c r="F248" s="10" t="s">
        <v>41</v>
      </c>
      <c r="G248" s="6">
        <v>233</v>
      </c>
      <c r="H248" s="6"/>
      <c r="I248" s="6">
        <v>219</v>
      </c>
      <c r="J248" s="6">
        <v>14</v>
      </c>
      <c r="K248" s="13">
        <v>6360.9</v>
      </c>
      <c r="L248" s="13">
        <v>5978.7</v>
      </c>
      <c r="M248" s="8">
        <v>21796.62407473</v>
      </c>
      <c r="N248" s="8">
        <v>20486.95567539</v>
      </c>
    </row>
    <row r="249" spans="1:14" x14ac:dyDescent="0.25">
      <c r="A249" s="10" t="s">
        <v>645</v>
      </c>
      <c r="B249" s="10">
        <v>73279</v>
      </c>
      <c r="C249" s="10" t="s">
        <v>641</v>
      </c>
      <c r="D249" s="10" t="s">
        <v>646</v>
      </c>
      <c r="E249" s="10" t="s">
        <v>21</v>
      </c>
      <c r="F249" s="10" t="s">
        <v>41</v>
      </c>
      <c r="G249" s="6">
        <v>55</v>
      </c>
      <c r="H249" s="6"/>
      <c r="I249" s="6">
        <v>0</v>
      </c>
      <c r="J249" s="6">
        <v>55</v>
      </c>
      <c r="K249" s="13">
        <v>1501.5</v>
      </c>
      <c r="L249" s="13">
        <v>0</v>
      </c>
      <c r="M249" s="8">
        <v>5081.4704116000003</v>
      </c>
      <c r="N249" s="8">
        <v>0</v>
      </c>
    </row>
    <row r="250" spans="1:14" x14ac:dyDescent="0.25">
      <c r="A250" s="10" t="s">
        <v>647</v>
      </c>
      <c r="B250" s="10">
        <v>73280</v>
      </c>
      <c r="C250" s="10" t="s">
        <v>648</v>
      </c>
      <c r="D250" s="10" t="s">
        <v>649</v>
      </c>
      <c r="E250" s="10" t="s">
        <v>21</v>
      </c>
      <c r="F250" s="10" t="s">
        <v>41</v>
      </c>
      <c r="G250" s="6">
        <v>358</v>
      </c>
      <c r="H250" s="6"/>
      <c r="I250" s="6">
        <v>358</v>
      </c>
      <c r="J250" s="6">
        <v>0</v>
      </c>
      <c r="K250" s="13">
        <v>16056.3</v>
      </c>
      <c r="L250" s="13">
        <v>16056.3</v>
      </c>
      <c r="M250" s="8">
        <v>74936.441179799993</v>
      </c>
      <c r="N250" s="8">
        <v>74936.441179799993</v>
      </c>
    </row>
    <row r="251" spans="1:14" x14ac:dyDescent="0.25">
      <c r="A251" s="10" t="s">
        <v>650</v>
      </c>
      <c r="B251" s="10">
        <v>73280</v>
      </c>
      <c r="C251" s="10" t="s">
        <v>648</v>
      </c>
      <c r="D251" s="10" t="s">
        <v>651</v>
      </c>
      <c r="E251" s="10" t="s">
        <v>21</v>
      </c>
      <c r="F251" s="10" t="s">
        <v>41</v>
      </c>
      <c r="G251" s="6">
        <v>224</v>
      </c>
      <c r="H251" s="6"/>
      <c r="I251" s="6">
        <v>219</v>
      </c>
      <c r="J251" s="6">
        <v>5</v>
      </c>
      <c r="K251" s="13">
        <v>10046.4</v>
      </c>
      <c r="L251" s="13">
        <v>9822.15</v>
      </c>
      <c r="M251" s="8">
        <v>46423.814745279997</v>
      </c>
      <c r="N251" s="8">
        <v>45387.568880430001</v>
      </c>
    </row>
    <row r="252" spans="1:14" x14ac:dyDescent="0.25">
      <c r="A252" s="10" t="s">
        <v>652</v>
      </c>
      <c r="B252" s="10">
        <v>73280</v>
      </c>
      <c r="C252" s="10" t="s">
        <v>648</v>
      </c>
      <c r="D252" s="10" t="s">
        <v>653</v>
      </c>
      <c r="E252" s="10" t="s">
        <v>21</v>
      </c>
      <c r="F252" s="10" t="s">
        <v>41</v>
      </c>
      <c r="G252" s="6">
        <v>26</v>
      </c>
      <c r="H252" s="6"/>
      <c r="I252" s="6">
        <v>5</v>
      </c>
      <c r="J252" s="6">
        <v>21</v>
      </c>
      <c r="K252" s="13">
        <v>1166.0999999999999</v>
      </c>
      <c r="L252" s="13">
        <v>224.25</v>
      </c>
      <c r="M252" s="8">
        <v>5583.2189797800002</v>
      </c>
      <c r="N252" s="8">
        <v>1073.6959576500001</v>
      </c>
    </row>
    <row r="253" spans="1:14" x14ac:dyDescent="0.25">
      <c r="A253" s="10" t="s">
        <v>654</v>
      </c>
      <c r="B253" s="10">
        <v>73280</v>
      </c>
      <c r="C253" s="10" t="s">
        <v>648</v>
      </c>
      <c r="D253" s="10" t="s">
        <v>655</v>
      </c>
      <c r="E253" s="10" t="s">
        <v>21</v>
      </c>
      <c r="F253" s="10" t="s">
        <v>41</v>
      </c>
      <c r="G253" s="6">
        <v>188</v>
      </c>
      <c r="H253" s="6"/>
      <c r="I253" s="6">
        <v>99</v>
      </c>
      <c r="J253" s="6">
        <v>89</v>
      </c>
      <c r="K253" s="13">
        <v>8431.7999999999993</v>
      </c>
      <c r="L253" s="13">
        <v>4440.1499999999996</v>
      </c>
      <c r="M253" s="8">
        <v>39378.839920359998</v>
      </c>
      <c r="N253" s="8">
        <v>20736.72953253</v>
      </c>
    </row>
    <row r="254" spans="1:14" x14ac:dyDescent="0.25">
      <c r="A254" s="10" t="s">
        <v>656</v>
      </c>
      <c r="B254" s="10">
        <v>73280</v>
      </c>
      <c r="C254" s="10" t="s">
        <v>648</v>
      </c>
      <c r="D254" s="10" t="s">
        <v>657</v>
      </c>
      <c r="E254" s="10" t="s">
        <v>21</v>
      </c>
      <c r="F254" s="10" t="s">
        <v>41</v>
      </c>
      <c r="G254" s="6">
        <v>29</v>
      </c>
      <c r="H254" s="6"/>
      <c r="I254" s="6">
        <v>0</v>
      </c>
      <c r="J254" s="6">
        <v>29</v>
      </c>
      <c r="K254" s="13">
        <v>1300.6500000000001</v>
      </c>
      <c r="L254" s="13">
        <v>0</v>
      </c>
      <c r="M254" s="8">
        <v>6181.4846200299999</v>
      </c>
      <c r="N254" s="8">
        <v>0</v>
      </c>
    </row>
    <row r="255" spans="1:14" x14ac:dyDescent="0.25">
      <c r="A255" s="10" t="s">
        <v>658</v>
      </c>
      <c r="B255" s="10">
        <v>73282</v>
      </c>
      <c r="C255" s="10" t="s">
        <v>659</v>
      </c>
      <c r="D255" s="10" t="s">
        <v>660</v>
      </c>
      <c r="E255" s="10" t="s">
        <v>21</v>
      </c>
      <c r="F255" s="10" t="s">
        <v>41</v>
      </c>
      <c r="G255" s="6">
        <v>486</v>
      </c>
      <c r="H255" s="6"/>
      <c r="I255" s="6">
        <v>176</v>
      </c>
      <c r="J255" s="6">
        <v>310</v>
      </c>
      <c r="K255" s="13">
        <v>19950.3</v>
      </c>
      <c r="L255" s="13">
        <v>7224.8</v>
      </c>
      <c r="M255" s="8">
        <v>95885.226255779999</v>
      </c>
      <c r="N255" s="8">
        <v>34723.86794448</v>
      </c>
    </row>
    <row r="256" spans="1:14" x14ac:dyDescent="0.25">
      <c r="A256" s="10" t="s">
        <v>661</v>
      </c>
      <c r="B256" s="10">
        <v>73282</v>
      </c>
      <c r="C256" s="10" t="s">
        <v>659</v>
      </c>
      <c r="D256" s="10" t="s">
        <v>662</v>
      </c>
      <c r="E256" s="10" t="s">
        <v>21</v>
      </c>
      <c r="F256" s="10" t="s">
        <v>41</v>
      </c>
      <c r="G256" s="6">
        <v>354</v>
      </c>
      <c r="H256" s="6"/>
      <c r="I256" s="6">
        <v>69</v>
      </c>
      <c r="J256" s="6">
        <v>285</v>
      </c>
      <c r="K256" s="13">
        <v>14531.7</v>
      </c>
      <c r="L256" s="13">
        <v>2832.45</v>
      </c>
      <c r="M256" s="8">
        <v>69151.270222499996</v>
      </c>
      <c r="N256" s="8">
        <v>13478.63741625</v>
      </c>
    </row>
    <row r="257" spans="1:14" x14ac:dyDescent="0.25">
      <c r="A257" s="10" t="s">
        <v>663</v>
      </c>
      <c r="B257" s="10">
        <v>73283</v>
      </c>
      <c r="C257" s="10" t="s">
        <v>664</v>
      </c>
      <c r="D257" s="10" t="s">
        <v>665</v>
      </c>
      <c r="E257" s="10" t="s">
        <v>21</v>
      </c>
      <c r="F257" s="10" t="s">
        <v>41</v>
      </c>
      <c r="G257" s="6">
        <v>488</v>
      </c>
      <c r="H257" s="6"/>
      <c r="I257" s="6">
        <v>176</v>
      </c>
      <c r="J257" s="6">
        <v>312</v>
      </c>
      <c r="K257" s="13">
        <v>15103.6</v>
      </c>
      <c r="L257" s="13">
        <v>5447.2</v>
      </c>
      <c r="M257" s="8">
        <v>69652.027485760002</v>
      </c>
      <c r="N257" s="8">
        <v>25120.40335552</v>
      </c>
    </row>
    <row r="258" spans="1:14" x14ac:dyDescent="0.25">
      <c r="A258" s="10" t="s">
        <v>666</v>
      </c>
      <c r="B258" s="10">
        <v>73283</v>
      </c>
      <c r="C258" s="10" t="s">
        <v>664</v>
      </c>
      <c r="D258" s="10" t="s">
        <v>667</v>
      </c>
      <c r="E258" s="10" t="s">
        <v>21</v>
      </c>
      <c r="F258" s="10" t="s">
        <v>41</v>
      </c>
      <c r="G258" s="6">
        <v>356</v>
      </c>
      <c r="H258" s="6"/>
      <c r="I258" s="6">
        <v>69</v>
      </c>
      <c r="J258" s="6">
        <v>287</v>
      </c>
      <c r="K258" s="13">
        <v>11018.2</v>
      </c>
      <c r="L258" s="13">
        <v>2135.5500000000002</v>
      </c>
      <c r="M258" s="8">
        <v>49257.893755600002</v>
      </c>
      <c r="N258" s="8">
        <v>9547.1760369000003</v>
      </c>
    </row>
    <row r="259" spans="1:14" x14ac:dyDescent="0.25">
      <c r="A259" s="10" t="s">
        <v>668</v>
      </c>
      <c r="B259" s="10">
        <v>73285</v>
      </c>
      <c r="C259" s="10" t="s">
        <v>669</v>
      </c>
      <c r="D259" s="10" t="s">
        <v>670</v>
      </c>
      <c r="E259" s="10" t="s">
        <v>21</v>
      </c>
      <c r="F259" s="10" t="s">
        <v>41</v>
      </c>
      <c r="G259" s="6">
        <v>197</v>
      </c>
      <c r="H259" s="6"/>
      <c r="I259" s="6">
        <v>0</v>
      </c>
      <c r="J259" s="6">
        <v>197</v>
      </c>
      <c r="K259" s="13">
        <v>8518.4770000000008</v>
      </c>
      <c r="L259" s="13">
        <v>0</v>
      </c>
      <c r="M259" s="8">
        <v>36219.311471150002</v>
      </c>
      <c r="N259" s="8">
        <v>0</v>
      </c>
    </row>
    <row r="260" spans="1:14" x14ac:dyDescent="0.25">
      <c r="A260" s="10" t="s">
        <v>671</v>
      </c>
      <c r="B260" s="10">
        <v>73285</v>
      </c>
      <c r="C260" s="10" t="s">
        <v>669</v>
      </c>
      <c r="D260" s="10" t="s">
        <v>672</v>
      </c>
      <c r="E260" s="10" t="s">
        <v>21</v>
      </c>
      <c r="F260" s="10" t="s">
        <v>41</v>
      </c>
      <c r="G260" s="6">
        <v>175</v>
      </c>
      <c r="H260" s="6"/>
      <c r="I260" s="6">
        <v>175</v>
      </c>
      <c r="J260" s="6">
        <v>0</v>
      </c>
      <c r="K260" s="13">
        <v>7567.1750000000002</v>
      </c>
      <c r="L260" s="13">
        <v>7567.1750000000002</v>
      </c>
      <c r="M260" s="8">
        <v>32665.008167749998</v>
      </c>
      <c r="N260" s="8">
        <v>32665.008167749998</v>
      </c>
    </row>
    <row r="261" spans="1:14" x14ac:dyDescent="0.25">
      <c r="A261" s="10" t="s">
        <v>673</v>
      </c>
      <c r="B261" s="10">
        <v>73285</v>
      </c>
      <c r="C261" s="10" t="s">
        <v>669</v>
      </c>
      <c r="D261" s="10" t="s">
        <v>674</v>
      </c>
      <c r="E261" s="10" t="s">
        <v>21</v>
      </c>
      <c r="F261" s="10" t="s">
        <v>41</v>
      </c>
      <c r="G261" s="6">
        <v>91</v>
      </c>
      <c r="H261" s="6"/>
      <c r="I261" s="6">
        <v>84</v>
      </c>
      <c r="J261" s="6">
        <v>7</v>
      </c>
      <c r="K261" s="13">
        <v>3934.931</v>
      </c>
      <c r="L261" s="13">
        <v>3632.2440000000001</v>
      </c>
      <c r="M261" s="8">
        <v>16531.018315630001</v>
      </c>
      <c r="N261" s="8">
        <v>15259.401522120001</v>
      </c>
    </row>
    <row r="262" spans="1:14" x14ac:dyDescent="0.25">
      <c r="A262" s="10" t="s">
        <v>675</v>
      </c>
      <c r="B262" s="10">
        <v>73286</v>
      </c>
      <c r="C262" s="10" t="s">
        <v>676</v>
      </c>
      <c r="D262" s="10" t="s">
        <v>677</v>
      </c>
      <c r="E262" s="10" t="s">
        <v>21</v>
      </c>
      <c r="F262" s="10" t="s">
        <v>41</v>
      </c>
      <c r="G262" s="6">
        <v>201</v>
      </c>
      <c r="H262" s="6"/>
      <c r="I262" s="6">
        <v>108</v>
      </c>
      <c r="J262" s="6">
        <v>93</v>
      </c>
      <c r="K262" s="13">
        <v>8250.4470000000001</v>
      </c>
      <c r="L262" s="13">
        <v>4433.076</v>
      </c>
      <c r="M262" s="8">
        <v>28621.823584260001</v>
      </c>
      <c r="N262" s="8">
        <v>15378.89028408</v>
      </c>
    </row>
    <row r="263" spans="1:14" x14ac:dyDescent="0.25">
      <c r="A263" s="10" t="s">
        <v>678</v>
      </c>
      <c r="B263" s="10">
        <v>73286</v>
      </c>
      <c r="C263" s="10" t="s">
        <v>676</v>
      </c>
      <c r="D263" s="10" t="s">
        <v>679</v>
      </c>
      <c r="E263" s="10" t="s">
        <v>21</v>
      </c>
      <c r="F263" s="10" t="s">
        <v>41</v>
      </c>
      <c r="G263" s="6">
        <v>178</v>
      </c>
      <c r="H263" s="6"/>
      <c r="I263" s="6">
        <v>175</v>
      </c>
      <c r="J263" s="6">
        <v>3</v>
      </c>
      <c r="K263" s="13">
        <v>7306.366</v>
      </c>
      <c r="L263" s="13">
        <v>7183.2250000000004</v>
      </c>
      <c r="M263" s="8">
        <v>25855.704869540001</v>
      </c>
      <c r="N263" s="8">
        <v>25419.934562750001</v>
      </c>
    </row>
    <row r="264" spans="1:14" x14ac:dyDescent="0.25">
      <c r="A264" s="10" t="s">
        <v>680</v>
      </c>
      <c r="B264" s="10">
        <v>73286</v>
      </c>
      <c r="C264" s="10" t="s">
        <v>676</v>
      </c>
      <c r="D264" s="10" t="s">
        <v>681</v>
      </c>
      <c r="E264" s="10" t="s">
        <v>21</v>
      </c>
      <c r="F264" s="10" t="s">
        <v>41</v>
      </c>
      <c r="G264" s="6">
        <v>94</v>
      </c>
      <c r="H264" s="6"/>
      <c r="I264" s="6">
        <v>84</v>
      </c>
      <c r="J264" s="6">
        <v>10</v>
      </c>
      <c r="K264" s="13">
        <v>3858.4180000000001</v>
      </c>
      <c r="L264" s="13">
        <v>3447.9479999999999</v>
      </c>
      <c r="M264" s="8">
        <v>12678.315605420001</v>
      </c>
      <c r="N264" s="8">
        <v>11329.558626120001</v>
      </c>
    </row>
    <row r="265" spans="1:14" x14ac:dyDescent="0.25">
      <c r="A265" s="10" t="s">
        <v>682</v>
      </c>
      <c r="B265" s="10">
        <v>73343</v>
      </c>
      <c r="C265" s="10" t="s">
        <v>683</v>
      </c>
      <c r="D265" s="10" t="s">
        <v>684</v>
      </c>
      <c r="E265" s="10" t="s">
        <v>22</v>
      </c>
      <c r="F265" s="10" t="s">
        <v>41</v>
      </c>
      <c r="G265" s="6">
        <v>70</v>
      </c>
      <c r="H265" s="6"/>
      <c r="I265" s="6">
        <v>10</v>
      </c>
      <c r="J265" s="6">
        <v>60</v>
      </c>
      <c r="K265" s="13">
        <v>1160.25</v>
      </c>
      <c r="L265" s="13">
        <v>165.75</v>
      </c>
      <c r="M265" s="8">
        <v>4552.0142248000002</v>
      </c>
      <c r="N265" s="8">
        <v>650.28774639999995</v>
      </c>
    </row>
    <row r="266" spans="1:14" x14ac:dyDescent="0.25">
      <c r="A266" s="10" t="s">
        <v>685</v>
      </c>
      <c r="B266" s="10">
        <v>73344</v>
      </c>
      <c r="C266" s="10" t="s">
        <v>686</v>
      </c>
      <c r="D266" s="10" t="s">
        <v>687</v>
      </c>
      <c r="E266" s="10" t="s">
        <v>22</v>
      </c>
      <c r="F266" s="10" t="s">
        <v>41</v>
      </c>
      <c r="G266" s="6">
        <v>191</v>
      </c>
      <c r="H266" s="6"/>
      <c r="I266" s="6">
        <v>191</v>
      </c>
      <c r="J266" s="6">
        <v>0</v>
      </c>
      <c r="K266" s="13">
        <v>4189.9669999999996</v>
      </c>
      <c r="L266" s="13">
        <v>4189.9669999999996</v>
      </c>
      <c r="M266" s="8">
        <v>21278.97144868</v>
      </c>
      <c r="N266" s="8">
        <v>21278.97144868</v>
      </c>
    </row>
    <row r="267" spans="1:14" x14ac:dyDescent="0.25">
      <c r="A267" s="10" t="s">
        <v>688</v>
      </c>
      <c r="B267" s="10">
        <v>73345</v>
      </c>
      <c r="C267" s="10" t="s">
        <v>689</v>
      </c>
      <c r="D267" s="10" t="s">
        <v>690</v>
      </c>
      <c r="E267" s="10" t="s">
        <v>22</v>
      </c>
      <c r="F267" s="10" t="s">
        <v>41</v>
      </c>
      <c r="G267" s="6">
        <v>11</v>
      </c>
      <c r="H267" s="6"/>
      <c r="I267" s="6">
        <v>8</v>
      </c>
      <c r="J267" s="6">
        <v>3</v>
      </c>
      <c r="K267" s="13">
        <v>130.30600000000001</v>
      </c>
      <c r="L267" s="13">
        <v>94.768000000000001</v>
      </c>
      <c r="M267" s="8">
        <v>1071.4513853999999</v>
      </c>
      <c r="N267" s="8">
        <v>779.23737119999998</v>
      </c>
    </row>
    <row r="268" spans="1:14" x14ac:dyDescent="0.25">
      <c r="A268" s="10" t="s">
        <v>691</v>
      </c>
      <c r="B268" s="10">
        <v>73346</v>
      </c>
      <c r="C268" s="10" t="s">
        <v>692</v>
      </c>
      <c r="D268" s="10" t="s">
        <v>693</v>
      </c>
      <c r="E268" s="10" t="s">
        <v>22</v>
      </c>
      <c r="F268" s="10" t="s">
        <v>41</v>
      </c>
      <c r="G268" s="6">
        <v>48</v>
      </c>
      <c r="H268" s="6"/>
      <c r="I268" s="6">
        <v>31</v>
      </c>
      <c r="J268" s="6">
        <v>17</v>
      </c>
      <c r="K268" s="13">
        <v>943.00800000000004</v>
      </c>
      <c r="L268" s="13">
        <v>609.02599999999995</v>
      </c>
      <c r="M268" s="8">
        <v>7860.8312174399998</v>
      </c>
      <c r="N268" s="8">
        <v>5076.7868279300001</v>
      </c>
    </row>
    <row r="269" spans="1:14" x14ac:dyDescent="0.25">
      <c r="A269" s="10" t="s">
        <v>694</v>
      </c>
      <c r="B269" s="10">
        <v>73347</v>
      </c>
      <c r="C269" s="10" t="s">
        <v>695</v>
      </c>
      <c r="D269" s="10" t="s">
        <v>696</v>
      </c>
      <c r="E269" s="10" t="s">
        <v>22</v>
      </c>
      <c r="F269" s="10" t="s">
        <v>41</v>
      </c>
      <c r="G269" s="6">
        <v>79</v>
      </c>
      <c r="H269" s="6"/>
      <c r="I269" s="6">
        <v>67</v>
      </c>
      <c r="J269" s="6">
        <v>12</v>
      </c>
      <c r="K269" s="13">
        <v>1001.325</v>
      </c>
      <c r="L269" s="13">
        <v>849.22500000000002</v>
      </c>
      <c r="M269" s="8">
        <v>5079.9086658599999</v>
      </c>
      <c r="N269" s="8">
        <v>4308.2769697800004</v>
      </c>
    </row>
    <row r="270" spans="1:14" x14ac:dyDescent="0.25">
      <c r="A270" s="10" t="s">
        <v>697</v>
      </c>
      <c r="B270" s="10">
        <v>73347</v>
      </c>
      <c r="C270" s="10" t="s">
        <v>695</v>
      </c>
      <c r="D270" s="10" t="s">
        <v>698</v>
      </c>
      <c r="E270" s="10" t="s">
        <v>22</v>
      </c>
      <c r="F270" s="10" t="s">
        <v>41</v>
      </c>
      <c r="G270" s="6">
        <v>50</v>
      </c>
      <c r="H270" s="6"/>
      <c r="I270" s="6">
        <v>0</v>
      </c>
      <c r="J270" s="6">
        <v>50</v>
      </c>
      <c r="K270" s="13">
        <v>633.75</v>
      </c>
      <c r="L270" s="13">
        <v>0</v>
      </c>
      <c r="M270" s="8">
        <v>3330.3195740000001</v>
      </c>
      <c r="N270" s="8">
        <v>0</v>
      </c>
    </row>
    <row r="271" spans="1:14" x14ac:dyDescent="0.25">
      <c r="A271" s="10" t="s">
        <v>699</v>
      </c>
      <c r="B271" s="10">
        <v>73347</v>
      </c>
      <c r="C271" s="10" t="s">
        <v>695</v>
      </c>
      <c r="D271" s="10" t="s">
        <v>700</v>
      </c>
      <c r="E271" s="10" t="s">
        <v>22</v>
      </c>
      <c r="F271" s="10" t="s">
        <v>41</v>
      </c>
      <c r="G271" s="6">
        <v>47</v>
      </c>
      <c r="H271" s="6"/>
      <c r="I271" s="6">
        <v>16</v>
      </c>
      <c r="J271" s="6">
        <v>31</v>
      </c>
      <c r="K271" s="13">
        <v>595.72500000000002</v>
      </c>
      <c r="L271" s="13">
        <v>202.8</v>
      </c>
      <c r="M271" s="8">
        <v>3956.1497530000001</v>
      </c>
      <c r="N271" s="8">
        <v>1346.7743840000001</v>
      </c>
    </row>
    <row r="272" spans="1:14" x14ac:dyDescent="0.25">
      <c r="A272" s="10" t="s">
        <v>701</v>
      </c>
      <c r="B272" s="10">
        <v>73348</v>
      </c>
      <c r="C272" s="10" t="s">
        <v>702</v>
      </c>
      <c r="D272" s="10" t="s">
        <v>703</v>
      </c>
      <c r="E272" s="10" t="s">
        <v>22</v>
      </c>
      <c r="F272" s="10" t="s">
        <v>41</v>
      </c>
      <c r="G272" s="6">
        <v>605</v>
      </c>
      <c r="H272" s="6"/>
      <c r="I272" s="6">
        <v>605</v>
      </c>
      <c r="J272" s="6">
        <v>0</v>
      </c>
      <c r="K272" s="13">
        <v>13271.885</v>
      </c>
      <c r="L272" s="13">
        <v>13271.885</v>
      </c>
      <c r="M272" s="8">
        <v>77951.054002799996</v>
      </c>
      <c r="N272" s="8">
        <v>77951.054002799996</v>
      </c>
    </row>
    <row r="273" spans="1:14" x14ac:dyDescent="0.25">
      <c r="A273" s="10" t="s">
        <v>704</v>
      </c>
      <c r="B273" s="10">
        <v>73349</v>
      </c>
      <c r="C273" s="10" t="s">
        <v>705</v>
      </c>
      <c r="D273" s="10" t="s">
        <v>706</v>
      </c>
      <c r="E273" s="10" t="s">
        <v>22</v>
      </c>
      <c r="F273" s="10" t="s">
        <v>41</v>
      </c>
      <c r="G273" s="6">
        <v>89</v>
      </c>
      <c r="H273" s="6"/>
      <c r="I273" s="6">
        <v>5</v>
      </c>
      <c r="J273" s="6">
        <v>84</v>
      </c>
      <c r="K273" s="13">
        <v>1865.6179999999999</v>
      </c>
      <c r="L273" s="13">
        <v>104.81</v>
      </c>
      <c r="M273" s="8">
        <v>9986.0219312900008</v>
      </c>
      <c r="N273" s="8">
        <v>561.01246805000005</v>
      </c>
    </row>
    <row r="274" spans="1:14" x14ac:dyDescent="0.25">
      <c r="A274" s="10" t="s">
        <v>707</v>
      </c>
      <c r="B274" s="10">
        <v>73351</v>
      </c>
      <c r="C274" s="10" t="s">
        <v>708</v>
      </c>
      <c r="D274" s="10" t="s">
        <v>709</v>
      </c>
      <c r="E274" s="10" t="s">
        <v>22</v>
      </c>
      <c r="F274" s="10" t="s">
        <v>41</v>
      </c>
      <c r="G274" s="6">
        <v>132</v>
      </c>
      <c r="H274" s="6"/>
      <c r="I274" s="6">
        <v>40</v>
      </c>
      <c r="J274" s="6">
        <v>92</v>
      </c>
      <c r="K274" s="13">
        <v>3474.9</v>
      </c>
      <c r="L274" s="13">
        <v>1053</v>
      </c>
      <c r="M274" s="8">
        <v>15642.862253040001</v>
      </c>
      <c r="N274" s="8">
        <v>4740.2612888000003</v>
      </c>
    </row>
    <row r="275" spans="1:14" x14ac:dyDescent="0.25">
      <c r="A275" s="10" t="s">
        <v>710</v>
      </c>
      <c r="B275" s="10">
        <v>73351</v>
      </c>
      <c r="C275" s="10" t="s">
        <v>708</v>
      </c>
      <c r="D275" s="10" t="s">
        <v>711</v>
      </c>
      <c r="E275" s="10" t="s">
        <v>22</v>
      </c>
      <c r="F275" s="10" t="s">
        <v>41</v>
      </c>
      <c r="G275" s="6">
        <v>2</v>
      </c>
      <c r="H275" s="6"/>
      <c r="I275" s="6">
        <v>0</v>
      </c>
      <c r="J275" s="6">
        <v>2</v>
      </c>
      <c r="K275" s="13">
        <v>52.65</v>
      </c>
      <c r="L275" s="13">
        <v>0</v>
      </c>
      <c r="M275" s="8">
        <v>269.76347232000001</v>
      </c>
      <c r="N275" s="8">
        <v>0</v>
      </c>
    </row>
    <row r="276" spans="1:14" x14ac:dyDescent="0.25">
      <c r="A276" s="10" t="s">
        <v>712</v>
      </c>
      <c r="B276" s="10">
        <v>73351</v>
      </c>
      <c r="C276" s="10" t="s">
        <v>708</v>
      </c>
      <c r="D276" s="10" t="s">
        <v>713</v>
      </c>
      <c r="E276" s="10" t="s">
        <v>22</v>
      </c>
      <c r="F276" s="10" t="s">
        <v>41</v>
      </c>
      <c r="G276" s="6">
        <v>69</v>
      </c>
      <c r="H276" s="6"/>
      <c r="I276" s="6">
        <v>25</v>
      </c>
      <c r="J276" s="6">
        <v>44</v>
      </c>
      <c r="K276" s="13">
        <v>1816.425</v>
      </c>
      <c r="L276" s="13">
        <v>658.125</v>
      </c>
      <c r="M276" s="8">
        <v>9228.1797950399996</v>
      </c>
      <c r="N276" s="8">
        <v>3343.543404</v>
      </c>
    </row>
    <row r="277" spans="1:14" x14ac:dyDescent="0.25">
      <c r="A277" s="10" t="s">
        <v>714</v>
      </c>
      <c r="B277" s="10">
        <v>73352</v>
      </c>
      <c r="C277" s="10" t="s">
        <v>715</v>
      </c>
      <c r="D277" s="10" t="s">
        <v>716</v>
      </c>
      <c r="E277" s="10" t="s">
        <v>22</v>
      </c>
      <c r="F277" s="10" t="s">
        <v>41</v>
      </c>
      <c r="G277" s="6">
        <v>677</v>
      </c>
      <c r="H277" s="6"/>
      <c r="I277" s="6">
        <v>0</v>
      </c>
      <c r="J277" s="6">
        <v>677</v>
      </c>
      <c r="K277" s="13">
        <v>27775.955999999998</v>
      </c>
      <c r="L277" s="13">
        <v>0</v>
      </c>
      <c r="M277" s="8">
        <v>149314.32449758</v>
      </c>
      <c r="N277" s="8">
        <v>0</v>
      </c>
    </row>
    <row r="278" spans="1:14" x14ac:dyDescent="0.25">
      <c r="A278" s="10" t="s">
        <v>717</v>
      </c>
      <c r="B278" s="10">
        <v>73354</v>
      </c>
      <c r="C278" s="10" t="s">
        <v>718</v>
      </c>
      <c r="D278" s="10" t="s">
        <v>719</v>
      </c>
      <c r="E278" s="10" t="s">
        <v>22</v>
      </c>
      <c r="F278" s="10" t="s">
        <v>41</v>
      </c>
      <c r="G278" s="6">
        <v>10</v>
      </c>
      <c r="H278" s="6"/>
      <c r="I278" s="6">
        <v>0</v>
      </c>
      <c r="J278" s="6">
        <v>10</v>
      </c>
      <c r="K278" s="13">
        <v>434.36</v>
      </c>
      <c r="L278" s="13">
        <v>0</v>
      </c>
      <c r="M278" s="8">
        <v>2702.8586466000002</v>
      </c>
      <c r="N278" s="8">
        <v>0</v>
      </c>
    </row>
    <row r="279" spans="1:14" x14ac:dyDescent="0.25">
      <c r="A279" s="10" t="s">
        <v>720</v>
      </c>
      <c r="B279" s="10">
        <v>73355</v>
      </c>
      <c r="C279" s="10" t="s">
        <v>721</v>
      </c>
      <c r="D279" s="10" t="s">
        <v>722</v>
      </c>
      <c r="E279" s="10" t="s">
        <v>22</v>
      </c>
      <c r="F279" s="10" t="s">
        <v>41</v>
      </c>
      <c r="G279" s="6">
        <v>149</v>
      </c>
      <c r="H279" s="6"/>
      <c r="I279" s="6">
        <v>33</v>
      </c>
      <c r="J279" s="6">
        <v>116</v>
      </c>
      <c r="K279" s="13">
        <v>4340.817</v>
      </c>
      <c r="L279" s="13">
        <v>961.38900000000001</v>
      </c>
      <c r="M279" s="8">
        <v>23308.647877129999</v>
      </c>
      <c r="N279" s="8">
        <v>5162.3179862099996</v>
      </c>
    </row>
    <row r="280" spans="1:14" x14ac:dyDescent="0.25">
      <c r="A280" s="10" t="s">
        <v>723</v>
      </c>
      <c r="B280" s="10">
        <v>73356</v>
      </c>
      <c r="C280" s="10" t="s">
        <v>724</v>
      </c>
      <c r="D280" s="10"/>
      <c r="E280" s="10" t="s">
        <v>22</v>
      </c>
      <c r="F280" s="10" t="s">
        <v>41</v>
      </c>
      <c r="G280" s="6">
        <v>165</v>
      </c>
      <c r="H280" s="6"/>
      <c r="I280" s="6">
        <v>0</v>
      </c>
      <c r="J280" s="6">
        <v>165</v>
      </c>
      <c r="K280" s="13">
        <v>3754.74</v>
      </c>
      <c r="L280" s="13">
        <v>0</v>
      </c>
      <c r="M280" s="8">
        <v>20040.916483500001</v>
      </c>
      <c r="N280" s="8">
        <v>0</v>
      </c>
    </row>
    <row r="281" spans="1:14" x14ac:dyDescent="0.25">
      <c r="A281" s="10" t="s">
        <v>725</v>
      </c>
      <c r="B281" s="10">
        <v>73364</v>
      </c>
      <c r="C281" s="10" t="s">
        <v>726</v>
      </c>
      <c r="D281" s="10" t="s">
        <v>727</v>
      </c>
      <c r="E281" s="10" t="s">
        <v>22</v>
      </c>
      <c r="F281" s="10" t="s">
        <v>41</v>
      </c>
      <c r="G281" s="6">
        <v>365</v>
      </c>
      <c r="H281" s="6"/>
      <c r="I281" s="6">
        <v>106</v>
      </c>
      <c r="J281" s="6">
        <v>259</v>
      </c>
      <c r="K281" s="13">
        <v>5587.0550000000003</v>
      </c>
      <c r="L281" s="13">
        <v>1622.5419999999999</v>
      </c>
      <c r="M281" s="8">
        <v>26200.15597625</v>
      </c>
      <c r="N281" s="8">
        <v>7608.8124205000004</v>
      </c>
    </row>
    <row r="282" spans="1:14" x14ac:dyDescent="0.25">
      <c r="A282" s="10" t="s">
        <v>728</v>
      </c>
      <c r="B282" s="10">
        <v>73366</v>
      </c>
      <c r="C282" s="10" t="s">
        <v>729</v>
      </c>
      <c r="D282" s="10" t="s">
        <v>730</v>
      </c>
      <c r="E282" s="10" t="s">
        <v>22</v>
      </c>
      <c r="F282" s="10" t="s">
        <v>41</v>
      </c>
      <c r="G282" s="6">
        <v>12</v>
      </c>
      <c r="H282" s="6"/>
      <c r="I282" s="6">
        <v>5</v>
      </c>
      <c r="J282" s="6">
        <v>7</v>
      </c>
      <c r="K282" s="13">
        <v>194.79599999999999</v>
      </c>
      <c r="L282" s="13">
        <v>81.165000000000006</v>
      </c>
      <c r="M282" s="8">
        <v>855.40795476000005</v>
      </c>
      <c r="N282" s="8">
        <v>356.41998115000001</v>
      </c>
    </row>
    <row r="283" spans="1:14" x14ac:dyDescent="0.25">
      <c r="A283" s="10" t="s">
        <v>731</v>
      </c>
      <c r="B283" s="10">
        <v>73371</v>
      </c>
      <c r="C283" s="10" t="s">
        <v>732</v>
      </c>
      <c r="D283" s="10" t="s">
        <v>733</v>
      </c>
      <c r="E283" s="10" t="s">
        <v>22</v>
      </c>
      <c r="F283" s="10" t="s">
        <v>41</v>
      </c>
      <c r="G283" s="6">
        <v>678</v>
      </c>
      <c r="H283" s="6"/>
      <c r="I283" s="6">
        <v>376</v>
      </c>
      <c r="J283" s="6">
        <v>302</v>
      </c>
      <c r="K283" s="13">
        <v>11997.888000000001</v>
      </c>
      <c r="L283" s="13">
        <v>6653.6959999999999</v>
      </c>
      <c r="M283" s="8">
        <v>47994.12101658</v>
      </c>
      <c r="N283" s="8">
        <v>26616.208705360001</v>
      </c>
    </row>
    <row r="284" spans="1:14" x14ac:dyDescent="0.25">
      <c r="A284" s="10" t="s">
        <v>734</v>
      </c>
      <c r="B284" s="10">
        <v>73371</v>
      </c>
      <c r="C284" s="10" t="s">
        <v>732</v>
      </c>
      <c r="D284" s="10" t="s">
        <v>735</v>
      </c>
      <c r="E284" s="10" t="s">
        <v>22</v>
      </c>
      <c r="F284" s="10" t="s">
        <v>41</v>
      </c>
      <c r="G284" s="6">
        <v>37</v>
      </c>
      <c r="H284" s="6"/>
      <c r="I284" s="6">
        <v>0</v>
      </c>
      <c r="J284" s="6">
        <v>37</v>
      </c>
      <c r="K284" s="13">
        <v>654.75199999999995</v>
      </c>
      <c r="L284" s="13">
        <v>0</v>
      </c>
      <c r="M284" s="8">
        <v>2933.48951554</v>
      </c>
      <c r="N284" s="8">
        <v>0</v>
      </c>
    </row>
    <row r="285" spans="1:14" x14ac:dyDescent="0.25">
      <c r="A285" s="10" t="s">
        <v>736</v>
      </c>
      <c r="B285" s="10">
        <v>73371</v>
      </c>
      <c r="C285" s="10" t="s">
        <v>732</v>
      </c>
      <c r="D285" s="10" t="s">
        <v>737</v>
      </c>
      <c r="E285" s="10" t="s">
        <v>22</v>
      </c>
      <c r="F285" s="10" t="s">
        <v>41</v>
      </c>
      <c r="G285" s="6">
        <v>16</v>
      </c>
      <c r="H285" s="6"/>
      <c r="I285" s="6">
        <v>0</v>
      </c>
      <c r="J285" s="6">
        <v>16</v>
      </c>
      <c r="K285" s="13">
        <v>283.13600000000002</v>
      </c>
      <c r="L285" s="13">
        <v>0</v>
      </c>
      <c r="M285" s="8">
        <v>1256.69600672</v>
      </c>
      <c r="N285" s="8">
        <v>0</v>
      </c>
    </row>
    <row r="286" spans="1:14" x14ac:dyDescent="0.25">
      <c r="A286" s="10" t="s">
        <v>738</v>
      </c>
      <c r="B286" s="10">
        <v>73375</v>
      </c>
      <c r="C286" s="10" t="s">
        <v>739</v>
      </c>
      <c r="D286" s="10" t="s">
        <v>740</v>
      </c>
      <c r="E286" s="10" t="s">
        <v>22</v>
      </c>
      <c r="F286" s="10" t="s">
        <v>41</v>
      </c>
      <c r="G286" s="6">
        <v>1</v>
      </c>
      <c r="H286" s="6"/>
      <c r="I286" s="6">
        <v>0</v>
      </c>
      <c r="J286" s="6">
        <v>1</v>
      </c>
      <c r="K286" s="13">
        <v>18.817</v>
      </c>
      <c r="L286" s="13">
        <v>0</v>
      </c>
      <c r="M286" s="8">
        <v>99.844796590000001</v>
      </c>
      <c r="N286" s="8">
        <v>0</v>
      </c>
    </row>
    <row r="287" spans="1:14" x14ac:dyDescent="0.25">
      <c r="A287" s="10" t="s">
        <v>741</v>
      </c>
      <c r="B287" s="10">
        <v>73378</v>
      </c>
      <c r="C287" s="10" t="s">
        <v>742</v>
      </c>
      <c r="D287" s="10" t="s">
        <v>743</v>
      </c>
      <c r="E287" s="10" t="s">
        <v>22</v>
      </c>
      <c r="F287" s="10" t="s">
        <v>41</v>
      </c>
      <c r="G287" s="6">
        <v>272</v>
      </c>
      <c r="H287" s="6"/>
      <c r="I287" s="6">
        <v>101</v>
      </c>
      <c r="J287" s="6">
        <v>171</v>
      </c>
      <c r="K287" s="13">
        <v>7956</v>
      </c>
      <c r="L287" s="13">
        <v>2954.25</v>
      </c>
      <c r="M287" s="8">
        <v>31865.783407840001</v>
      </c>
      <c r="N287" s="8">
        <v>11832.515162469999</v>
      </c>
    </row>
    <row r="288" spans="1:14" x14ac:dyDescent="0.25">
      <c r="A288" s="10" t="s">
        <v>744</v>
      </c>
      <c r="B288" s="10">
        <v>73378</v>
      </c>
      <c r="C288" s="10" t="s">
        <v>742</v>
      </c>
      <c r="D288" s="10" t="s">
        <v>745</v>
      </c>
      <c r="E288" s="10" t="s">
        <v>22</v>
      </c>
      <c r="F288" s="10" t="s">
        <v>41</v>
      </c>
      <c r="G288" s="6">
        <v>0</v>
      </c>
      <c r="H288" s="6"/>
      <c r="I288" s="6">
        <v>0</v>
      </c>
      <c r="J288" s="6">
        <v>0</v>
      </c>
      <c r="K288" s="13">
        <v>0</v>
      </c>
      <c r="L288" s="13">
        <v>0</v>
      </c>
      <c r="M288" s="8">
        <v>0</v>
      </c>
      <c r="N288" s="8">
        <v>0</v>
      </c>
    </row>
    <row r="289" spans="1:14" x14ac:dyDescent="0.25">
      <c r="A289" s="10" t="s">
        <v>746</v>
      </c>
      <c r="B289" s="10">
        <v>73385</v>
      </c>
      <c r="C289" s="10" t="s">
        <v>747</v>
      </c>
      <c r="D289" s="10" t="s">
        <v>748</v>
      </c>
      <c r="E289" s="10" t="s">
        <v>22</v>
      </c>
      <c r="F289" s="10" t="s">
        <v>41</v>
      </c>
      <c r="G289" s="6">
        <v>580</v>
      </c>
      <c r="H289" s="6"/>
      <c r="I289" s="6">
        <v>239</v>
      </c>
      <c r="J289" s="6">
        <v>341</v>
      </c>
      <c r="K289" s="13">
        <v>7155.46</v>
      </c>
      <c r="L289" s="13">
        <v>2948.5430000000001</v>
      </c>
      <c r="M289" s="8">
        <v>63041.8596874</v>
      </c>
      <c r="N289" s="8">
        <v>25977.593905670001</v>
      </c>
    </row>
    <row r="290" spans="1:14" x14ac:dyDescent="0.25">
      <c r="A290" s="10" t="s">
        <v>749</v>
      </c>
      <c r="B290" s="10">
        <v>73385</v>
      </c>
      <c r="C290" s="10" t="s">
        <v>747</v>
      </c>
      <c r="D290" s="10" t="s">
        <v>750</v>
      </c>
      <c r="E290" s="10" t="s">
        <v>22</v>
      </c>
      <c r="F290" s="10" t="s">
        <v>41</v>
      </c>
      <c r="G290" s="6">
        <v>0</v>
      </c>
      <c r="H290" s="6"/>
      <c r="I290" s="6">
        <v>0</v>
      </c>
      <c r="J290" s="6">
        <v>0</v>
      </c>
      <c r="K290" s="13">
        <v>0</v>
      </c>
      <c r="L290" s="13">
        <v>0</v>
      </c>
      <c r="M290" s="8">
        <v>0</v>
      </c>
      <c r="N290" s="8">
        <v>0</v>
      </c>
    </row>
    <row r="291" spans="1:14" x14ac:dyDescent="0.25">
      <c r="A291" s="10" t="s">
        <v>751</v>
      </c>
      <c r="B291" s="10">
        <v>73388</v>
      </c>
      <c r="C291" s="10" t="s">
        <v>752</v>
      </c>
      <c r="D291" s="10" t="s">
        <v>753</v>
      </c>
      <c r="E291" s="10" t="s">
        <v>22</v>
      </c>
      <c r="F291" s="10" t="s">
        <v>41</v>
      </c>
      <c r="G291" s="6">
        <v>233</v>
      </c>
      <c r="H291" s="6"/>
      <c r="I291" s="6">
        <v>0</v>
      </c>
      <c r="J291" s="6">
        <v>233</v>
      </c>
      <c r="K291" s="13">
        <v>3680.2350000000001</v>
      </c>
      <c r="L291" s="13">
        <v>0</v>
      </c>
      <c r="M291" s="8">
        <v>22330.564898889999</v>
      </c>
      <c r="N291" s="8">
        <v>0</v>
      </c>
    </row>
    <row r="292" spans="1:14" x14ac:dyDescent="0.25">
      <c r="A292" s="10" t="s">
        <v>754</v>
      </c>
      <c r="B292" s="10">
        <v>73507</v>
      </c>
      <c r="C292" s="10" t="s">
        <v>755</v>
      </c>
      <c r="D292" s="10" t="s">
        <v>756</v>
      </c>
      <c r="E292" s="10" t="s">
        <v>22</v>
      </c>
      <c r="F292" s="10" t="s">
        <v>41</v>
      </c>
      <c r="G292" s="6">
        <v>152</v>
      </c>
      <c r="H292" s="6"/>
      <c r="I292" s="6">
        <v>31</v>
      </c>
      <c r="J292" s="6">
        <v>121</v>
      </c>
      <c r="K292" s="13">
        <v>3497.52</v>
      </c>
      <c r="L292" s="13">
        <v>713.31</v>
      </c>
      <c r="M292" s="8">
        <v>17289.119530880002</v>
      </c>
      <c r="N292" s="8">
        <v>3526.0704306399998</v>
      </c>
    </row>
    <row r="293" spans="1:14" x14ac:dyDescent="0.25">
      <c r="A293" s="10" t="s">
        <v>757</v>
      </c>
      <c r="B293" s="10">
        <v>73533</v>
      </c>
      <c r="C293" s="10" t="s">
        <v>758</v>
      </c>
      <c r="D293" s="10" t="s">
        <v>759</v>
      </c>
      <c r="E293" s="10" t="s">
        <v>22</v>
      </c>
      <c r="F293" s="10" t="s">
        <v>41</v>
      </c>
      <c r="G293" s="6">
        <v>4</v>
      </c>
      <c r="H293" s="6"/>
      <c r="I293" s="6">
        <v>0</v>
      </c>
      <c r="J293" s="6">
        <v>4</v>
      </c>
      <c r="K293" s="13">
        <v>26.712</v>
      </c>
      <c r="L293" s="13">
        <v>0</v>
      </c>
      <c r="M293" s="8">
        <v>184.88131744</v>
      </c>
      <c r="N293" s="8">
        <v>0</v>
      </c>
    </row>
    <row r="294" spans="1:14" x14ac:dyDescent="0.25">
      <c r="A294" s="10" t="s">
        <v>760</v>
      </c>
      <c r="B294" s="10">
        <v>73533</v>
      </c>
      <c r="C294" s="10" t="s">
        <v>758</v>
      </c>
      <c r="D294" s="10" t="s">
        <v>761</v>
      </c>
      <c r="E294" s="10" t="s">
        <v>22</v>
      </c>
      <c r="F294" s="10" t="s">
        <v>41</v>
      </c>
      <c r="G294" s="6">
        <v>14</v>
      </c>
      <c r="H294" s="6"/>
      <c r="I294" s="6">
        <v>0</v>
      </c>
      <c r="J294" s="6">
        <v>14</v>
      </c>
      <c r="K294" s="13">
        <v>93.492000000000004</v>
      </c>
      <c r="L294" s="13">
        <v>0</v>
      </c>
      <c r="M294" s="8">
        <v>643.16461103999995</v>
      </c>
      <c r="N294" s="8">
        <v>0</v>
      </c>
    </row>
    <row r="295" spans="1:14" x14ac:dyDescent="0.25">
      <c r="A295" s="10" t="s">
        <v>762</v>
      </c>
      <c r="B295" s="10">
        <v>73534</v>
      </c>
      <c r="C295" s="10" t="s">
        <v>763</v>
      </c>
      <c r="D295" s="10" t="s">
        <v>764</v>
      </c>
      <c r="E295" s="10" t="s">
        <v>22</v>
      </c>
      <c r="F295" s="10" t="s">
        <v>41</v>
      </c>
      <c r="G295" s="6">
        <v>0</v>
      </c>
      <c r="H295" s="6"/>
      <c r="I295" s="6">
        <v>0</v>
      </c>
      <c r="J295" s="6">
        <v>0</v>
      </c>
      <c r="K295" s="13">
        <v>0</v>
      </c>
      <c r="L295" s="13">
        <v>0</v>
      </c>
      <c r="M295" s="8">
        <v>0</v>
      </c>
      <c r="N295" s="8">
        <v>0</v>
      </c>
    </row>
    <row r="296" spans="1:14" x14ac:dyDescent="0.25">
      <c r="A296" s="10" t="s">
        <v>765</v>
      </c>
      <c r="B296" s="10">
        <v>73534</v>
      </c>
      <c r="C296" s="10" t="s">
        <v>763</v>
      </c>
      <c r="D296" s="10" t="s">
        <v>766</v>
      </c>
      <c r="E296" s="10" t="s">
        <v>22</v>
      </c>
      <c r="F296" s="10" t="s">
        <v>41</v>
      </c>
      <c r="G296" s="6">
        <v>0</v>
      </c>
      <c r="H296" s="6"/>
      <c r="I296" s="6">
        <v>0</v>
      </c>
      <c r="J296" s="6">
        <v>0</v>
      </c>
      <c r="K296" s="13">
        <v>0</v>
      </c>
      <c r="L296" s="13">
        <v>0</v>
      </c>
      <c r="M296" s="8">
        <v>0</v>
      </c>
      <c r="N296" s="8">
        <v>0</v>
      </c>
    </row>
    <row r="297" spans="1:14" x14ac:dyDescent="0.25">
      <c r="A297" s="10" t="s">
        <v>767</v>
      </c>
      <c r="B297" s="10">
        <v>73534</v>
      </c>
      <c r="C297" s="10" t="s">
        <v>763</v>
      </c>
      <c r="D297" s="10" t="s">
        <v>768</v>
      </c>
      <c r="E297" s="10" t="s">
        <v>22</v>
      </c>
      <c r="F297" s="10" t="s">
        <v>41</v>
      </c>
      <c r="G297" s="6">
        <v>0</v>
      </c>
      <c r="H297" s="6"/>
      <c r="I297" s="6">
        <v>0</v>
      </c>
      <c r="J297" s="6">
        <v>0</v>
      </c>
      <c r="K297" s="13">
        <v>0</v>
      </c>
      <c r="L297" s="13">
        <v>0</v>
      </c>
      <c r="M297" s="8">
        <v>0</v>
      </c>
      <c r="N297" s="8">
        <v>0</v>
      </c>
    </row>
    <row r="298" spans="1:14" x14ac:dyDescent="0.25">
      <c r="A298" s="10" t="s">
        <v>769</v>
      </c>
      <c r="B298" s="10">
        <v>73534</v>
      </c>
      <c r="C298" s="10" t="s">
        <v>763</v>
      </c>
      <c r="D298" s="10" t="s">
        <v>770</v>
      </c>
      <c r="E298" s="10" t="s">
        <v>22</v>
      </c>
      <c r="F298" s="10" t="s">
        <v>41</v>
      </c>
      <c r="G298" s="6">
        <v>1</v>
      </c>
      <c r="H298" s="6"/>
      <c r="I298" s="6">
        <v>0</v>
      </c>
      <c r="J298" s="6">
        <v>1</v>
      </c>
      <c r="K298" s="13">
        <v>11.358000000000001</v>
      </c>
      <c r="L298" s="13">
        <v>0</v>
      </c>
      <c r="M298" s="8">
        <v>86.082332609999995</v>
      </c>
      <c r="N298" s="8">
        <v>0</v>
      </c>
    </row>
    <row r="299" spans="1:14" x14ac:dyDescent="0.25">
      <c r="A299" s="10" t="s">
        <v>771</v>
      </c>
      <c r="B299" s="10">
        <v>73534</v>
      </c>
      <c r="C299" s="10" t="s">
        <v>763</v>
      </c>
      <c r="D299" s="10" t="s">
        <v>772</v>
      </c>
      <c r="E299" s="10" t="s">
        <v>22</v>
      </c>
      <c r="F299" s="10" t="s">
        <v>41</v>
      </c>
      <c r="G299" s="6">
        <v>5</v>
      </c>
      <c r="H299" s="6"/>
      <c r="I299" s="6">
        <v>0</v>
      </c>
      <c r="J299" s="6">
        <v>5</v>
      </c>
      <c r="K299" s="13">
        <v>56.79</v>
      </c>
      <c r="L299" s="13">
        <v>0</v>
      </c>
      <c r="M299" s="8">
        <v>490.32652339999999</v>
      </c>
      <c r="N299" s="8">
        <v>0</v>
      </c>
    </row>
    <row r="300" spans="1:14" x14ac:dyDescent="0.25">
      <c r="A300" s="10" t="s">
        <v>773</v>
      </c>
      <c r="B300" s="10">
        <v>73534</v>
      </c>
      <c r="C300" s="10" t="s">
        <v>763</v>
      </c>
      <c r="D300" s="10" t="s">
        <v>774</v>
      </c>
      <c r="E300" s="10" t="s">
        <v>22</v>
      </c>
      <c r="F300" s="10" t="s">
        <v>41</v>
      </c>
      <c r="G300" s="6">
        <v>0</v>
      </c>
      <c r="H300" s="6"/>
      <c r="I300" s="6">
        <v>0</v>
      </c>
      <c r="J300" s="6">
        <v>0</v>
      </c>
      <c r="K300" s="13">
        <v>0</v>
      </c>
      <c r="L300" s="13">
        <v>0</v>
      </c>
      <c r="M300" s="8">
        <v>0</v>
      </c>
      <c r="N300" s="8">
        <v>0</v>
      </c>
    </row>
    <row r="301" spans="1:14" x14ac:dyDescent="0.25">
      <c r="A301" s="10" t="s">
        <v>775</v>
      </c>
      <c r="B301" s="10">
        <v>73536</v>
      </c>
      <c r="C301" s="10" t="s">
        <v>776</v>
      </c>
      <c r="D301" s="10" t="s">
        <v>777</v>
      </c>
      <c r="E301" s="10" t="s">
        <v>22</v>
      </c>
      <c r="F301" s="10" t="s">
        <v>41</v>
      </c>
      <c r="G301" s="6">
        <v>1</v>
      </c>
      <c r="H301" s="6"/>
      <c r="I301" s="6">
        <v>0</v>
      </c>
      <c r="J301" s="6">
        <v>1</v>
      </c>
      <c r="K301" s="13">
        <v>7.234</v>
      </c>
      <c r="L301" s="13">
        <v>0</v>
      </c>
      <c r="M301" s="8">
        <v>51.98323268</v>
      </c>
      <c r="N301" s="8">
        <v>0</v>
      </c>
    </row>
    <row r="302" spans="1:14" x14ac:dyDescent="0.25">
      <c r="A302" s="10" t="s">
        <v>778</v>
      </c>
      <c r="B302" s="10">
        <v>73539</v>
      </c>
      <c r="C302" s="10" t="s">
        <v>779</v>
      </c>
      <c r="D302" s="10" t="s">
        <v>780</v>
      </c>
      <c r="E302" s="10" t="s">
        <v>22</v>
      </c>
      <c r="F302" s="10" t="s">
        <v>41</v>
      </c>
      <c r="G302" s="6">
        <v>0</v>
      </c>
      <c r="H302" s="6"/>
      <c r="I302" s="6">
        <v>0</v>
      </c>
      <c r="J302" s="6">
        <v>0</v>
      </c>
      <c r="K302" s="13">
        <v>0</v>
      </c>
      <c r="L302" s="13">
        <v>0</v>
      </c>
      <c r="M302" s="8">
        <v>0</v>
      </c>
      <c r="N302" s="8">
        <v>0</v>
      </c>
    </row>
    <row r="303" spans="1:14" x14ac:dyDescent="0.25">
      <c r="A303" s="10" t="s">
        <v>781</v>
      </c>
      <c r="B303" s="10">
        <v>73539</v>
      </c>
      <c r="C303" s="10" t="s">
        <v>779</v>
      </c>
      <c r="D303" s="10" t="s">
        <v>782</v>
      </c>
      <c r="E303" s="10" t="s">
        <v>22</v>
      </c>
      <c r="F303" s="10" t="s">
        <v>41</v>
      </c>
      <c r="G303" s="6">
        <v>2</v>
      </c>
      <c r="H303" s="6"/>
      <c r="I303" s="6">
        <v>0</v>
      </c>
      <c r="J303" s="6">
        <v>2</v>
      </c>
      <c r="K303" s="13">
        <v>25.35</v>
      </c>
      <c r="L303" s="13">
        <v>0</v>
      </c>
      <c r="M303" s="8">
        <v>141.93278298000001</v>
      </c>
      <c r="N303" s="8">
        <v>0</v>
      </c>
    </row>
    <row r="304" spans="1:14" x14ac:dyDescent="0.25">
      <c r="A304" s="10" t="s">
        <v>783</v>
      </c>
      <c r="B304" s="10">
        <v>73539</v>
      </c>
      <c r="C304" s="10" t="s">
        <v>779</v>
      </c>
      <c r="D304" s="10" t="s">
        <v>784</v>
      </c>
      <c r="E304" s="10" t="s">
        <v>22</v>
      </c>
      <c r="F304" s="10" t="s">
        <v>41</v>
      </c>
      <c r="G304" s="6">
        <v>1</v>
      </c>
      <c r="H304" s="6"/>
      <c r="I304" s="6">
        <v>0</v>
      </c>
      <c r="J304" s="6">
        <v>1</v>
      </c>
      <c r="K304" s="13">
        <v>12.675000000000001</v>
      </c>
      <c r="L304" s="13">
        <v>0</v>
      </c>
      <c r="M304" s="8">
        <v>70.966391479999999</v>
      </c>
      <c r="N304" s="8">
        <v>0</v>
      </c>
    </row>
    <row r="305" spans="1:14" x14ac:dyDescent="0.25">
      <c r="A305" s="10" t="s">
        <v>785</v>
      </c>
      <c r="B305" s="10">
        <v>73540</v>
      </c>
      <c r="C305" s="10" t="s">
        <v>786</v>
      </c>
      <c r="D305" s="10" t="s">
        <v>787</v>
      </c>
      <c r="E305" s="10" t="s">
        <v>22</v>
      </c>
      <c r="F305" s="10" t="s">
        <v>41</v>
      </c>
      <c r="G305" s="6">
        <v>18</v>
      </c>
      <c r="H305" s="6"/>
      <c r="I305" s="6">
        <v>0</v>
      </c>
      <c r="J305" s="6">
        <v>18</v>
      </c>
      <c r="K305" s="13">
        <v>70.2</v>
      </c>
      <c r="L305" s="13">
        <v>0</v>
      </c>
      <c r="M305" s="8">
        <v>520.84462968000003</v>
      </c>
      <c r="N305" s="8">
        <v>0</v>
      </c>
    </row>
    <row r="306" spans="1:14" x14ac:dyDescent="0.25">
      <c r="A306" s="10" t="s">
        <v>788</v>
      </c>
      <c r="B306" s="10">
        <v>73540</v>
      </c>
      <c r="C306" s="10" t="s">
        <v>786</v>
      </c>
      <c r="D306" s="10" t="s">
        <v>789</v>
      </c>
      <c r="E306" s="10" t="s">
        <v>22</v>
      </c>
      <c r="F306" s="10" t="s">
        <v>41</v>
      </c>
      <c r="G306" s="6">
        <v>44</v>
      </c>
      <c r="H306" s="6"/>
      <c r="I306" s="6">
        <v>0</v>
      </c>
      <c r="J306" s="6">
        <v>44</v>
      </c>
      <c r="K306" s="13">
        <v>171.6</v>
      </c>
      <c r="L306" s="13">
        <v>0</v>
      </c>
      <c r="M306" s="8">
        <v>1143.3757614399999</v>
      </c>
      <c r="N306" s="8">
        <v>0</v>
      </c>
    </row>
    <row r="307" spans="1:14" x14ac:dyDescent="0.25">
      <c r="A307" s="10" t="s">
        <v>790</v>
      </c>
      <c r="B307" s="10">
        <v>73540</v>
      </c>
      <c r="C307" s="10" t="s">
        <v>786</v>
      </c>
      <c r="D307" s="10" t="s">
        <v>791</v>
      </c>
      <c r="E307" s="10" t="s">
        <v>22</v>
      </c>
      <c r="F307" s="10" t="s">
        <v>41</v>
      </c>
      <c r="G307" s="6">
        <v>375</v>
      </c>
      <c r="H307" s="6"/>
      <c r="I307" s="6">
        <v>0</v>
      </c>
      <c r="J307" s="6">
        <v>375</v>
      </c>
      <c r="K307" s="13">
        <v>1462.5</v>
      </c>
      <c r="L307" s="13">
        <v>0</v>
      </c>
      <c r="M307" s="8">
        <v>9930.6583087500003</v>
      </c>
      <c r="N307" s="8">
        <v>0</v>
      </c>
    </row>
    <row r="308" spans="1:14" x14ac:dyDescent="0.25">
      <c r="A308" s="10" t="s">
        <v>792</v>
      </c>
      <c r="B308" s="10">
        <v>73540</v>
      </c>
      <c r="C308" s="10" t="s">
        <v>786</v>
      </c>
      <c r="D308" s="10" t="s">
        <v>793</v>
      </c>
      <c r="E308" s="10" t="s">
        <v>22</v>
      </c>
      <c r="F308" s="10" t="s">
        <v>41</v>
      </c>
      <c r="G308" s="6">
        <v>1</v>
      </c>
      <c r="H308" s="6"/>
      <c r="I308" s="6">
        <v>0</v>
      </c>
      <c r="J308" s="6">
        <v>1</v>
      </c>
      <c r="K308" s="13">
        <v>3.9</v>
      </c>
      <c r="L308" s="13">
        <v>0</v>
      </c>
      <c r="M308" s="8">
        <v>25.075812760000002</v>
      </c>
      <c r="N308" s="8">
        <v>0</v>
      </c>
    </row>
    <row r="309" spans="1:14" x14ac:dyDescent="0.25">
      <c r="A309" s="10" t="s">
        <v>794</v>
      </c>
      <c r="B309" s="10">
        <v>73540</v>
      </c>
      <c r="C309" s="10" t="s">
        <v>786</v>
      </c>
      <c r="D309" s="10" t="s">
        <v>795</v>
      </c>
      <c r="E309" s="10" t="s">
        <v>22</v>
      </c>
      <c r="F309" s="10" t="s">
        <v>41</v>
      </c>
      <c r="G309" s="6">
        <v>217</v>
      </c>
      <c r="H309" s="6"/>
      <c r="I309" s="6">
        <v>53</v>
      </c>
      <c r="J309" s="6">
        <v>164</v>
      </c>
      <c r="K309" s="13">
        <v>846.3</v>
      </c>
      <c r="L309" s="13">
        <v>206.7</v>
      </c>
      <c r="M309" s="8">
        <v>5663.6965952700002</v>
      </c>
      <c r="N309" s="8">
        <v>1383.29916843</v>
      </c>
    </row>
    <row r="310" spans="1:14" x14ac:dyDescent="0.25">
      <c r="A310" s="10" t="s">
        <v>796</v>
      </c>
      <c r="B310" s="10">
        <v>73540</v>
      </c>
      <c r="C310" s="10" t="s">
        <v>786</v>
      </c>
      <c r="D310" s="10" t="s">
        <v>797</v>
      </c>
      <c r="E310" s="10" t="s">
        <v>22</v>
      </c>
      <c r="F310" s="10" t="s">
        <v>41</v>
      </c>
      <c r="G310" s="6">
        <v>355</v>
      </c>
      <c r="H310" s="6"/>
      <c r="I310" s="6">
        <v>189</v>
      </c>
      <c r="J310" s="6">
        <v>166</v>
      </c>
      <c r="K310" s="13">
        <v>1384.5</v>
      </c>
      <c r="L310" s="13">
        <v>737.1</v>
      </c>
      <c r="M310" s="8">
        <v>8795.1726054999999</v>
      </c>
      <c r="N310" s="8">
        <v>4682.5003448999996</v>
      </c>
    </row>
    <row r="311" spans="1:14" x14ac:dyDescent="0.25">
      <c r="A311" s="10" t="s">
        <v>798</v>
      </c>
      <c r="B311" s="10">
        <v>73540</v>
      </c>
      <c r="C311" s="10" t="s">
        <v>786</v>
      </c>
      <c r="D311" s="10" t="s">
        <v>799</v>
      </c>
      <c r="E311" s="10" t="s">
        <v>22</v>
      </c>
      <c r="F311" s="10" t="s">
        <v>41</v>
      </c>
      <c r="G311" s="6">
        <v>144</v>
      </c>
      <c r="H311" s="6"/>
      <c r="I311" s="6">
        <v>42</v>
      </c>
      <c r="J311" s="6">
        <v>102</v>
      </c>
      <c r="K311" s="13">
        <v>561.6</v>
      </c>
      <c r="L311" s="13">
        <v>163.80000000000001</v>
      </c>
      <c r="M311" s="8">
        <v>3613.4274052800001</v>
      </c>
      <c r="N311" s="8">
        <v>1053.91632654</v>
      </c>
    </row>
    <row r="312" spans="1:14" x14ac:dyDescent="0.25">
      <c r="A312" s="10" t="s">
        <v>800</v>
      </c>
      <c r="B312" s="10">
        <v>73540</v>
      </c>
      <c r="C312" s="10" t="s">
        <v>786</v>
      </c>
      <c r="D312" s="10" t="s">
        <v>801</v>
      </c>
      <c r="E312" s="10" t="s">
        <v>22</v>
      </c>
      <c r="F312" s="10" t="s">
        <v>41</v>
      </c>
      <c r="G312" s="6">
        <v>250</v>
      </c>
      <c r="H312" s="6"/>
      <c r="I312" s="6">
        <v>97</v>
      </c>
      <c r="J312" s="6">
        <v>153</v>
      </c>
      <c r="K312" s="13">
        <v>975</v>
      </c>
      <c r="L312" s="13">
        <v>378.3</v>
      </c>
      <c r="M312" s="8">
        <v>7132.0470525000001</v>
      </c>
      <c r="N312" s="8">
        <v>2767.2342563699999</v>
      </c>
    </row>
    <row r="313" spans="1:14" x14ac:dyDescent="0.25">
      <c r="A313" s="10" t="s">
        <v>802</v>
      </c>
      <c r="B313" s="10">
        <v>73540</v>
      </c>
      <c r="C313" s="10" t="s">
        <v>786</v>
      </c>
      <c r="D313" s="10" t="s">
        <v>803</v>
      </c>
      <c r="E313" s="10" t="s">
        <v>22</v>
      </c>
      <c r="F313" s="10" t="s">
        <v>41</v>
      </c>
      <c r="G313" s="6">
        <v>4</v>
      </c>
      <c r="H313" s="6"/>
      <c r="I313" s="6">
        <v>0</v>
      </c>
      <c r="J313" s="6">
        <v>4</v>
      </c>
      <c r="K313" s="13">
        <v>15.6</v>
      </c>
      <c r="L313" s="13">
        <v>0</v>
      </c>
      <c r="M313" s="8">
        <v>101.82325104</v>
      </c>
      <c r="N313" s="8">
        <v>0</v>
      </c>
    </row>
    <row r="314" spans="1:14" x14ac:dyDescent="0.25">
      <c r="A314" s="10" t="s">
        <v>804</v>
      </c>
      <c r="B314" s="10">
        <v>73542</v>
      </c>
      <c r="C314" s="10" t="s">
        <v>805</v>
      </c>
      <c r="D314" s="10" t="s">
        <v>806</v>
      </c>
      <c r="E314" s="10" t="s">
        <v>22</v>
      </c>
      <c r="F314" s="10" t="s">
        <v>41</v>
      </c>
      <c r="G314" s="6">
        <v>18</v>
      </c>
      <c r="H314" s="6"/>
      <c r="I314" s="6">
        <v>0</v>
      </c>
      <c r="J314" s="6">
        <v>18</v>
      </c>
      <c r="K314" s="13">
        <v>114.768</v>
      </c>
      <c r="L314" s="13">
        <v>0</v>
      </c>
      <c r="M314" s="8">
        <v>742.68276965999996</v>
      </c>
      <c r="N314" s="8">
        <v>0</v>
      </c>
    </row>
    <row r="315" spans="1:14" x14ac:dyDescent="0.25">
      <c r="A315" s="10" t="s">
        <v>807</v>
      </c>
      <c r="B315" s="10">
        <v>73543</v>
      </c>
      <c r="C315" s="10" t="s">
        <v>808</v>
      </c>
      <c r="D315" s="10" t="s">
        <v>809</v>
      </c>
      <c r="E315" s="10" t="s">
        <v>22</v>
      </c>
      <c r="F315" s="10" t="s">
        <v>41</v>
      </c>
      <c r="G315" s="6">
        <v>4</v>
      </c>
      <c r="H315" s="6"/>
      <c r="I315" s="6">
        <v>0</v>
      </c>
      <c r="J315" s="6">
        <v>4</v>
      </c>
      <c r="K315" s="13">
        <v>58.576000000000001</v>
      </c>
      <c r="L315" s="13">
        <v>0</v>
      </c>
      <c r="M315" s="8">
        <v>496.98110772000001</v>
      </c>
      <c r="N315" s="8">
        <v>0</v>
      </c>
    </row>
    <row r="316" spans="1:14" x14ac:dyDescent="0.25">
      <c r="A316" s="10" t="s">
        <v>810</v>
      </c>
      <c r="B316" s="10">
        <v>73543</v>
      </c>
      <c r="C316" s="10" t="s">
        <v>808</v>
      </c>
      <c r="D316" s="10" t="s">
        <v>811</v>
      </c>
      <c r="E316" s="10" t="s">
        <v>22</v>
      </c>
      <c r="F316" s="10" t="s">
        <v>41</v>
      </c>
      <c r="G316" s="6">
        <v>84</v>
      </c>
      <c r="H316" s="6"/>
      <c r="I316" s="6">
        <v>0</v>
      </c>
      <c r="J316" s="6">
        <v>84</v>
      </c>
      <c r="K316" s="13">
        <v>1230.096</v>
      </c>
      <c r="L316" s="13">
        <v>0</v>
      </c>
      <c r="M316" s="8">
        <v>9274.0432621199998</v>
      </c>
      <c r="N316" s="8">
        <v>0</v>
      </c>
    </row>
    <row r="317" spans="1:14" x14ac:dyDescent="0.25">
      <c r="A317" s="10" t="s">
        <v>812</v>
      </c>
      <c r="B317" s="10">
        <v>73543</v>
      </c>
      <c r="C317" s="10" t="s">
        <v>808</v>
      </c>
      <c r="D317" s="10" t="s">
        <v>813</v>
      </c>
      <c r="E317" s="10" t="s">
        <v>22</v>
      </c>
      <c r="F317" s="10" t="s">
        <v>41</v>
      </c>
      <c r="G317" s="6">
        <v>0</v>
      </c>
      <c r="H317" s="6"/>
      <c r="I317" s="6">
        <v>0</v>
      </c>
      <c r="J317" s="6">
        <v>0</v>
      </c>
      <c r="K317" s="13">
        <v>0</v>
      </c>
      <c r="L317" s="13">
        <v>0</v>
      </c>
      <c r="M317" s="8">
        <v>0</v>
      </c>
      <c r="N317" s="8">
        <v>0</v>
      </c>
    </row>
    <row r="318" spans="1:14" x14ac:dyDescent="0.25">
      <c r="A318" s="10" t="s">
        <v>814</v>
      </c>
      <c r="B318" s="10">
        <v>73543</v>
      </c>
      <c r="C318" s="10" t="s">
        <v>808</v>
      </c>
      <c r="D318" s="10" t="s">
        <v>815</v>
      </c>
      <c r="E318" s="10" t="s">
        <v>22</v>
      </c>
      <c r="F318" s="10" t="s">
        <v>41</v>
      </c>
      <c r="G318" s="6">
        <v>41</v>
      </c>
      <c r="H318" s="6"/>
      <c r="I318" s="6">
        <v>0</v>
      </c>
      <c r="J318" s="6">
        <v>41</v>
      </c>
      <c r="K318" s="13">
        <v>600.404</v>
      </c>
      <c r="L318" s="13">
        <v>0</v>
      </c>
      <c r="M318" s="8">
        <v>4768.5163541299999</v>
      </c>
      <c r="N318" s="8">
        <v>0</v>
      </c>
    </row>
    <row r="319" spans="1:14" x14ac:dyDescent="0.25">
      <c r="A319" s="10" t="s">
        <v>816</v>
      </c>
      <c r="B319" s="10">
        <v>73543</v>
      </c>
      <c r="C319" s="10" t="s">
        <v>808</v>
      </c>
      <c r="D319" s="10" t="s">
        <v>817</v>
      </c>
      <c r="E319" s="10" t="s">
        <v>22</v>
      </c>
      <c r="F319" s="10" t="s">
        <v>41</v>
      </c>
      <c r="G319" s="6">
        <v>2</v>
      </c>
      <c r="H319" s="6"/>
      <c r="I319" s="6">
        <v>0</v>
      </c>
      <c r="J319" s="6">
        <v>2</v>
      </c>
      <c r="K319" s="13">
        <v>29.288</v>
      </c>
      <c r="L319" s="13">
        <v>0</v>
      </c>
      <c r="M319" s="8">
        <v>204.85055385999999</v>
      </c>
      <c r="N319" s="8">
        <v>0</v>
      </c>
    </row>
    <row r="320" spans="1:14" x14ac:dyDescent="0.25">
      <c r="A320" s="10" t="s">
        <v>818</v>
      </c>
      <c r="B320" s="10">
        <v>73543</v>
      </c>
      <c r="C320" s="10" t="s">
        <v>808</v>
      </c>
      <c r="D320" s="10" t="s">
        <v>819</v>
      </c>
      <c r="E320" s="10" t="s">
        <v>22</v>
      </c>
      <c r="F320" s="10" t="s">
        <v>41</v>
      </c>
      <c r="G320" s="6">
        <v>33</v>
      </c>
      <c r="H320" s="6"/>
      <c r="I320" s="6">
        <v>0</v>
      </c>
      <c r="J320" s="6">
        <v>33</v>
      </c>
      <c r="K320" s="13">
        <v>483.25200000000001</v>
      </c>
      <c r="L320" s="13">
        <v>0</v>
      </c>
      <c r="M320" s="8">
        <v>3254.3041386899999</v>
      </c>
      <c r="N320" s="8">
        <v>0</v>
      </c>
    </row>
    <row r="321" spans="1:14" x14ac:dyDescent="0.25">
      <c r="A321" s="10" t="s">
        <v>820</v>
      </c>
      <c r="B321" s="10">
        <v>73543</v>
      </c>
      <c r="C321" s="10" t="s">
        <v>808</v>
      </c>
      <c r="D321" s="10" t="s">
        <v>821</v>
      </c>
      <c r="E321" s="10" t="s">
        <v>22</v>
      </c>
      <c r="F321" s="10" t="s">
        <v>41</v>
      </c>
      <c r="G321" s="6">
        <v>4</v>
      </c>
      <c r="H321" s="6"/>
      <c r="I321" s="6">
        <v>0</v>
      </c>
      <c r="J321" s="6">
        <v>4</v>
      </c>
      <c r="K321" s="13">
        <v>58.576000000000001</v>
      </c>
      <c r="L321" s="13">
        <v>0</v>
      </c>
      <c r="M321" s="8">
        <v>396.66110772000002</v>
      </c>
      <c r="N321" s="8">
        <v>0</v>
      </c>
    </row>
    <row r="322" spans="1:14" x14ac:dyDescent="0.25">
      <c r="A322" s="10" t="s">
        <v>822</v>
      </c>
      <c r="B322" s="10">
        <v>73543</v>
      </c>
      <c r="C322" s="10" t="s">
        <v>808</v>
      </c>
      <c r="D322" s="10" t="s">
        <v>823</v>
      </c>
      <c r="E322" s="10" t="s">
        <v>22</v>
      </c>
      <c r="F322" s="10" t="s">
        <v>41</v>
      </c>
      <c r="G322" s="6">
        <v>0</v>
      </c>
      <c r="H322" s="6"/>
      <c r="I322" s="6">
        <v>0</v>
      </c>
      <c r="J322" s="6">
        <v>0</v>
      </c>
      <c r="K322" s="13">
        <v>0</v>
      </c>
      <c r="L322" s="13">
        <v>0</v>
      </c>
      <c r="M322" s="8">
        <v>0</v>
      </c>
      <c r="N322" s="8">
        <v>0</v>
      </c>
    </row>
    <row r="323" spans="1:14" x14ac:dyDescent="0.25">
      <c r="A323" s="10" t="s">
        <v>824</v>
      </c>
      <c r="B323" s="10">
        <v>73543</v>
      </c>
      <c r="C323" s="10" t="s">
        <v>808</v>
      </c>
      <c r="D323" s="10" t="s">
        <v>825</v>
      </c>
      <c r="E323" s="10" t="s">
        <v>22</v>
      </c>
      <c r="F323" s="10" t="s">
        <v>41</v>
      </c>
      <c r="G323" s="6">
        <v>29</v>
      </c>
      <c r="H323" s="6"/>
      <c r="I323" s="6">
        <v>0</v>
      </c>
      <c r="J323" s="6">
        <v>29</v>
      </c>
      <c r="K323" s="13">
        <v>424.67599999999999</v>
      </c>
      <c r="L323" s="13">
        <v>0</v>
      </c>
      <c r="M323" s="8">
        <v>2897.83303097</v>
      </c>
      <c r="N323" s="8">
        <v>0</v>
      </c>
    </row>
    <row r="324" spans="1:14" x14ac:dyDescent="0.25">
      <c r="A324" s="10" t="s">
        <v>826</v>
      </c>
      <c r="B324" s="10">
        <v>73543</v>
      </c>
      <c r="C324" s="10" t="s">
        <v>808</v>
      </c>
      <c r="D324" s="10" t="s">
        <v>827</v>
      </c>
      <c r="E324" s="10" t="s">
        <v>22</v>
      </c>
      <c r="F324" s="10" t="s">
        <v>41</v>
      </c>
      <c r="G324" s="6">
        <v>31</v>
      </c>
      <c r="H324" s="6"/>
      <c r="I324" s="6">
        <v>0</v>
      </c>
      <c r="J324" s="6">
        <v>31</v>
      </c>
      <c r="K324" s="13">
        <v>453.964</v>
      </c>
      <c r="L324" s="13">
        <v>0</v>
      </c>
      <c r="M324" s="8">
        <v>3387.8435848300001</v>
      </c>
      <c r="N324" s="8">
        <v>0</v>
      </c>
    </row>
    <row r="325" spans="1:14" x14ac:dyDescent="0.25">
      <c r="A325" s="10" t="s">
        <v>828</v>
      </c>
      <c r="B325" s="10">
        <v>73543</v>
      </c>
      <c r="C325" s="10" t="s">
        <v>808</v>
      </c>
      <c r="D325" s="10" t="s">
        <v>829</v>
      </c>
      <c r="E325" s="10" t="s">
        <v>22</v>
      </c>
      <c r="F325" s="10" t="s">
        <v>41</v>
      </c>
      <c r="G325" s="6">
        <v>53</v>
      </c>
      <c r="H325" s="6"/>
      <c r="I325" s="6">
        <v>0</v>
      </c>
      <c r="J325" s="6">
        <v>53</v>
      </c>
      <c r="K325" s="13">
        <v>776.13199999999995</v>
      </c>
      <c r="L325" s="13">
        <v>0</v>
      </c>
      <c r="M325" s="8">
        <v>5718.9796772899999</v>
      </c>
      <c r="N325" s="8">
        <v>0</v>
      </c>
    </row>
    <row r="326" spans="1:14" x14ac:dyDescent="0.25">
      <c r="A326" s="10" t="s">
        <v>830</v>
      </c>
      <c r="B326" s="10">
        <v>73545</v>
      </c>
      <c r="C326" s="10" t="s">
        <v>831</v>
      </c>
      <c r="D326" s="10" t="s">
        <v>832</v>
      </c>
      <c r="E326" s="10" t="s">
        <v>22</v>
      </c>
      <c r="F326" s="10" t="s">
        <v>41</v>
      </c>
      <c r="G326" s="6">
        <v>26</v>
      </c>
      <c r="H326" s="6"/>
      <c r="I326" s="6">
        <v>0</v>
      </c>
      <c r="J326" s="6">
        <v>26</v>
      </c>
      <c r="K326" s="13">
        <v>295.30799999999999</v>
      </c>
      <c r="L326" s="13">
        <v>0</v>
      </c>
      <c r="M326" s="8">
        <v>2044.51792168</v>
      </c>
      <c r="N326" s="8">
        <v>0</v>
      </c>
    </row>
    <row r="327" spans="1:14" x14ac:dyDescent="0.25">
      <c r="A327" s="10" t="s">
        <v>833</v>
      </c>
      <c r="B327" s="10">
        <v>73545</v>
      </c>
      <c r="C327" s="10" t="s">
        <v>831</v>
      </c>
      <c r="D327" s="10" t="s">
        <v>834</v>
      </c>
      <c r="E327" s="10" t="s">
        <v>22</v>
      </c>
      <c r="F327" s="10" t="s">
        <v>41</v>
      </c>
      <c r="G327" s="6">
        <v>36</v>
      </c>
      <c r="H327" s="6"/>
      <c r="I327" s="6">
        <v>0</v>
      </c>
      <c r="J327" s="6">
        <v>36</v>
      </c>
      <c r="K327" s="13">
        <v>408.88799999999998</v>
      </c>
      <c r="L327" s="13">
        <v>0</v>
      </c>
      <c r="M327" s="8">
        <v>2830.8709684800001</v>
      </c>
      <c r="N327" s="8">
        <v>0</v>
      </c>
    </row>
    <row r="328" spans="1:14" x14ac:dyDescent="0.25">
      <c r="A328" s="10" t="s">
        <v>835</v>
      </c>
      <c r="B328" s="10">
        <v>73545</v>
      </c>
      <c r="C328" s="10" t="s">
        <v>831</v>
      </c>
      <c r="D328" s="10" t="s">
        <v>836</v>
      </c>
      <c r="E328" s="10" t="s">
        <v>22</v>
      </c>
      <c r="F328" s="10" t="s">
        <v>41</v>
      </c>
      <c r="G328" s="6">
        <v>29</v>
      </c>
      <c r="H328" s="6"/>
      <c r="I328" s="6">
        <v>0</v>
      </c>
      <c r="J328" s="6">
        <v>29</v>
      </c>
      <c r="K328" s="13">
        <v>329.38200000000001</v>
      </c>
      <c r="L328" s="13">
        <v>0</v>
      </c>
      <c r="M328" s="8">
        <v>2192.8438357199998</v>
      </c>
      <c r="N328" s="8">
        <v>0</v>
      </c>
    </row>
    <row r="329" spans="1:14" x14ac:dyDescent="0.25">
      <c r="A329" s="10" t="s">
        <v>837</v>
      </c>
      <c r="B329" s="10">
        <v>73545</v>
      </c>
      <c r="C329" s="10" t="s">
        <v>831</v>
      </c>
      <c r="D329" s="10" t="s">
        <v>838</v>
      </c>
      <c r="E329" s="10" t="s">
        <v>22</v>
      </c>
      <c r="F329" s="10" t="s">
        <v>41</v>
      </c>
      <c r="G329" s="6">
        <v>1</v>
      </c>
      <c r="H329" s="6"/>
      <c r="I329" s="6">
        <v>0</v>
      </c>
      <c r="J329" s="6">
        <v>1</v>
      </c>
      <c r="K329" s="13">
        <v>11.358000000000001</v>
      </c>
      <c r="L329" s="13">
        <v>0</v>
      </c>
      <c r="M329" s="8">
        <v>75.245304680000004</v>
      </c>
      <c r="N329" s="8">
        <v>0</v>
      </c>
    </row>
    <row r="330" spans="1:14" x14ac:dyDescent="0.25">
      <c r="A330" s="10" t="s">
        <v>839</v>
      </c>
      <c r="B330" s="10">
        <v>73545</v>
      </c>
      <c r="C330" s="10" t="s">
        <v>831</v>
      </c>
      <c r="D330" s="10" t="s">
        <v>840</v>
      </c>
      <c r="E330" s="10" t="s">
        <v>22</v>
      </c>
      <c r="F330" s="10" t="s">
        <v>41</v>
      </c>
      <c r="G330" s="6">
        <v>14</v>
      </c>
      <c r="H330" s="6"/>
      <c r="I330" s="6">
        <v>0</v>
      </c>
      <c r="J330" s="6">
        <v>14</v>
      </c>
      <c r="K330" s="13">
        <v>159.012</v>
      </c>
      <c r="L330" s="13">
        <v>0</v>
      </c>
      <c r="M330" s="8">
        <v>1100.8942655200001</v>
      </c>
      <c r="N330" s="8">
        <v>0</v>
      </c>
    </row>
    <row r="331" spans="1:14" x14ac:dyDescent="0.25">
      <c r="A331" s="10" t="s">
        <v>841</v>
      </c>
      <c r="B331" s="10">
        <v>73545</v>
      </c>
      <c r="C331" s="10" t="s">
        <v>831</v>
      </c>
      <c r="D331" s="10" t="s">
        <v>842</v>
      </c>
      <c r="E331" s="10" t="s">
        <v>22</v>
      </c>
      <c r="F331" s="10" t="s">
        <v>41</v>
      </c>
      <c r="G331" s="6">
        <v>0</v>
      </c>
      <c r="H331" s="6"/>
      <c r="I331" s="6">
        <v>0</v>
      </c>
      <c r="J331" s="6">
        <v>0</v>
      </c>
      <c r="K331" s="13">
        <v>0</v>
      </c>
      <c r="L331" s="13">
        <v>0</v>
      </c>
      <c r="M331" s="8">
        <v>0</v>
      </c>
      <c r="N331" s="8">
        <v>0</v>
      </c>
    </row>
    <row r="332" spans="1:14" x14ac:dyDescent="0.25">
      <c r="A332" s="10" t="s">
        <v>843</v>
      </c>
      <c r="B332" s="10">
        <v>73547</v>
      </c>
      <c r="C332" s="10" t="s">
        <v>844</v>
      </c>
      <c r="D332" s="10" t="s">
        <v>845</v>
      </c>
      <c r="E332" s="10" t="s">
        <v>22</v>
      </c>
      <c r="F332" s="10" t="s">
        <v>41</v>
      </c>
      <c r="G332" s="6">
        <v>31</v>
      </c>
      <c r="H332" s="6"/>
      <c r="I332" s="6">
        <v>0</v>
      </c>
      <c r="J332" s="6">
        <v>31</v>
      </c>
      <c r="K332" s="13">
        <v>344.565</v>
      </c>
      <c r="L332" s="13">
        <v>0</v>
      </c>
      <c r="M332" s="8">
        <v>2037.5700577800001</v>
      </c>
      <c r="N332" s="8">
        <v>0</v>
      </c>
    </row>
    <row r="333" spans="1:14" x14ac:dyDescent="0.25">
      <c r="A333" s="10" t="s">
        <v>846</v>
      </c>
      <c r="B333" s="10">
        <v>73547</v>
      </c>
      <c r="C333" s="10" t="s">
        <v>844</v>
      </c>
      <c r="D333" s="10" t="s">
        <v>847</v>
      </c>
      <c r="E333" s="10" t="s">
        <v>22</v>
      </c>
      <c r="F333" s="10" t="s">
        <v>41</v>
      </c>
      <c r="G333" s="6">
        <v>1277</v>
      </c>
      <c r="H333" s="6"/>
      <c r="I333" s="6">
        <v>961</v>
      </c>
      <c r="J333" s="6">
        <v>316</v>
      </c>
      <c r="K333" s="13">
        <v>14193.855</v>
      </c>
      <c r="L333" s="13">
        <v>10681.514999999999</v>
      </c>
      <c r="M333" s="8">
        <v>84550.09073661</v>
      </c>
      <c r="N333" s="8">
        <v>63627.750350729999</v>
      </c>
    </row>
    <row r="334" spans="1:14" x14ac:dyDescent="0.25">
      <c r="A334" s="10" t="s">
        <v>848</v>
      </c>
      <c r="B334" s="10">
        <v>73547</v>
      </c>
      <c r="C334" s="10" t="s">
        <v>844</v>
      </c>
      <c r="D334" s="10" t="s">
        <v>849</v>
      </c>
      <c r="E334" s="10" t="s">
        <v>22</v>
      </c>
      <c r="F334" s="10" t="s">
        <v>41</v>
      </c>
      <c r="G334" s="6">
        <v>77</v>
      </c>
      <c r="H334" s="6"/>
      <c r="I334" s="6">
        <v>0</v>
      </c>
      <c r="J334" s="6">
        <v>77</v>
      </c>
      <c r="K334" s="13">
        <v>855.85500000000002</v>
      </c>
      <c r="L334" s="13">
        <v>0</v>
      </c>
      <c r="M334" s="8">
        <v>4672.0309813100002</v>
      </c>
      <c r="N334" s="8">
        <v>0</v>
      </c>
    </row>
    <row r="335" spans="1:14" x14ac:dyDescent="0.25">
      <c r="A335" s="10" t="s">
        <v>850</v>
      </c>
      <c r="B335" s="10">
        <v>73547</v>
      </c>
      <c r="C335" s="10" t="s">
        <v>844</v>
      </c>
      <c r="D335" s="10" t="s">
        <v>851</v>
      </c>
      <c r="E335" s="10" t="s">
        <v>22</v>
      </c>
      <c r="F335" s="10" t="s">
        <v>41</v>
      </c>
      <c r="G335" s="6">
        <v>52</v>
      </c>
      <c r="H335" s="6"/>
      <c r="I335" s="6">
        <v>-15</v>
      </c>
      <c r="J335" s="6">
        <v>67</v>
      </c>
      <c r="K335" s="13">
        <v>577.98</v>
      </c>
      <c r="L335" s="13">
        <v>-166.72499999999999</v>
      </c>
      <c r="M335" s="8">
        <v>3310.0713219600002</v>
      </c>
      <c r="N335" s="8">
        <v>-954.82826594999995</v>
      </c>
    </row>
    <row r="336" spans="1:14" x14ac:dyDescent="0.25">
      <c r="A336" s="10" t="s">
        <v>852</v>
      </c>
      <c r="B336" s="10">
        <v>73547</v>
      </c>
      <c r="C336" s="10" t="s">
        <v>844</v>
      </c>
      <c r="D336" s="10" t="s">
        <v>853</v>
      </c>
      <c r="E336" s="10" t="s">
        <v>22</v>
      </c>
      <c r="F336" s="10" t="s">
        <v>41</v>
      </c>
      <c r="G336" s="6">
        <v>129</v>
      </c>
      <c r="H336" s="6"/>
      <c r="I336" s="6">
        <v>3</v>
      </c>
      <c r="J336" s="6">
        <v>126</v>
      </c>
      <c r="K336" s="13">
        <v>1433.835</v>
      </c>
      <c r="L336" s="13">
        <v>33.344999999999999</v>
      </c>
      <c r="M336" s="8">
        <v>8316.4314264299992</v>
      </c>
      <c r="N336" s="8">
        <v>193.40538201000001</v>
      </c>
    </row>
    <row r="337" spans="1:14" x14ac:dyDescent="0.25">
      <c r="A337" s="10" t="s">
        <v>854</v>
      </c>
      <c r="B337" s="10">
        <v>73547</v>
      </c>
      <c r="C337" s="10" t="s">
        <v>844</v>
      </c>
      <c r="D337" s="10" t="s">
        <v>855</v>
      </c>
      <c r="E337" s="10" t="s">
        <v>22</v>
      </c>
      <c r="F337" s="10" t="s">
        <v>41</v>
      </c>
      <c r="G337" s="6">
        <v>1049</v>
      </c>
      <c r="H337" s="6"/>
      <c r="I337" s="6">
        <v>1049</v>
      </c>
      <c r="J337" s="6">
        <v>0</v>
      </c>
      <c r="K337" s="13">
        <v>11659.635</v>
      </c>
      <c r="L337" s="13">
        <v>11659.635</v>
      </c>
      <c r="M337" s="8">
        <v>78007.062226130001</v>
      </c>
      <c r="N337" s="8">
        <v>78007.062226130001</v>
      </c>
    </row>
    <row r="338" spans="1:14" x14ac:dyDescent="0.25">
      <c r="A338" s="10" t="s">
        <v>856</v>
      </c>
      <c r="B338" s="10">
        <v>73547</v>
      </c>
      <c r="C338" s="10" t="s">
        <v>844</v>
      </c>
      <c r="D338" s="10" t="s">
        <v>857</v>
      </c>
      <c r="E338" s="10" t="s">
        <v>22</v>
      </c>
      <c r="F338" s="10" t="s">
        <v>41</v>
      </c>
      <c r="G338" s="6">
        <v>99</v>
      </c>
      <c r="H338" s="6"/>
      <c r="I338" s="6">
        <v>-21</v>
      </c>
      <c r="J338" s="6">
        <v>120</v>
      </c>
      <c r="K338" s="13">
        <v>1100.385</v>
      </c>
      <c r="L338" s="13">
        <v>-233.41499999999999</v>
      </c>
      <c r="M338" s="8">
        <v>6729.77306529</v>
      </c>
      <c r="N338" s="8">
        <v>-1427.5276199100001</v>
      </c>
    </row>
    <row r="339" spans="1:14" x14ac:dyDescent="0.25">
      <c r="A339" s="10" t="s">
        <v>858</v>
      </c>
      <c r="B339" s="10">
        <v>73547</v>
      </c>
      <c r="C339" s="10" t="s">
        <v>844</v>
      </c>
      <c r="D339" s="10" t="s">
        <v>859</v>
      </c>
      <c r="E339" s="10" t="s">
        <v>22</v>
      </c>
      <c r="F339" s="10" t="s">
        <v>41</v>
      </c>
      <c r="G339" s="6">
        <v>0</v>
      </c>
      <c r="H339" s="6"/>
      <c r="I339" s="6">
        <v>0</v>
      </c>
      <c r="J339" s="6">
        <v>0</v>
      </c>
      <c r="K339" s="13">
        <v>0</v>
      </c>
      <c r="L339" s="13">
        <v>0</v>
      </c>
      <c r="M339" s="8">
        <v>0</v>
      </c>
      <c r="N339" s="8">
        <v>0</v>
      </c>
    </row>
    <row r="340" spans="1:14" x14ac:dyDescent="0.25">
      <c r="A340" s="10" t="s">
        <v>860</v>
      </c>
      <c r="B340" s="10">
        <v>73549</v>
      </c>
      <c r="C340" s="10" t="s">
        <v>861</v>
      </c>
      <c r="D340" s="10" t="s">
        <v>862</v>
      </c>
      <c r="E340" s="10" t="s">
        <v>22</v>
      </c>
      <c r="F340" s="10" t="s">
        <v>41</v>
      </c>
      <c r="G340" s="6">
        <v>37</v>
      </c>
      <c r="H340" s="6"/>
      <c r="I340" s="6">
        <v>0</v>
      </c>
      <c r="J340" s="6">
        <v>37</v>
      </c>
      <c r="K340" s="13">
        <v>247.08600000000001</v>
      </c>
      <c r="L340" s="13">
        <v>0</v>
      </c>
      <c r="M340" s="8">
        <v>1678.3321863199999</v>
      </c>
      <c r="N340" s="8">
        <v>0</v>
      </c>
    </row>
    <row r="341" spans="1:14" x14ac:dyDescent="0.25">
      <c r="A341" s="10" t="s">
        <v>863</v>
      </c>
      <c r="B341" s="10">
        <v>73549</v>
      </c>
      <c r="C341" s="10" t="s">
        <v>861</v>
      </c>
      <c r="D341" s="10" t="s">
        <v>864</v>
      </c>
      <c r="E341" s="10" t="s">
        <v>22</v>
      </c>
      <c r="F341" s="10" t="s">
        <v>41</v>
      </c>
      <c r="G341" s="6">
        <v>1</v>
      </c>
      <c r="H341" s="6"/>
      <c r="I341" s="6">
        <v>0</v>
      </c>
      <c r="J341" s="6">
        <v>1</v>
      </c>
      <c r="K341" s="13">
        <v>6.6779999999999999</v>
      </c>
      <c r="L341" s="13">
        <v>0</v>
      </c>
      <c r="M341" s="8">
        <v>45.360329360000001</v>
      </c>
      <c r="N341" s="8">
        <v>0</v>
      </c>
    </row>
    <row r="342" spans="1:14" x14ac:dyDescent="0.25">
      <c r="A342" s="10" t="s">
        <v>865</v>
      </c>
      <c r="B342" s="10">
        <v>73550</v>
      </c>
      <c r="C342" s="10" t="s">
        <v>866</v>
      </c>
      <c r="D342" s="10" t="s">
        <v>867</v>
      </c>
      <c r="E342" s="10" t="s">
        <v>22</v>
      </c>
      <c r="F342" s="10" t="s">
        <v>41</v>
      </c>
      <c r="G342" s="6">
        <v>2</v>
      </c>
      <c r="H342" s="6"/>
      <c r="I342" s="6">
        <v>0</v>
      </c>
      <c r="J342" s="6">
        <v>2</v>
      </c>
      <c r="K342" s="13">
        <v>22.716000000000001</v>
      </c>
      <c r="L342" s="13">
        <v>0</v>
      </c>
      <c r="M342" s="8">
        <v>208.81060936</v>
      </c>
      <c r="N342" s="8">
        <v>0</v>
      </c>
    </row>
    <row r="343" spans="1:14" x14ac:dyDescent="0.25">
      <c r="A343" s="10" t="s">
        <v>868</v>
      </c>
      <c r="B343" s="10">
        <v>73550</v>
      </c>
      <c r="C343" s="10" t="s">
        <v>866</v>
      </c>
      <c r="D343" s="10" t="s">
        <v>869</v>
      </c>
      <c r="E343" s="10" t="s">
        <v>22</v>
      </c>
      <c r="F343" s="10" t="s">
        <v>41</v>
      </c>
      <c r="G343" s="6">
        <v>0</v>
      </c>
      <c r="H343" s="6"/>
      <c r="I343" s="6">
        <v>0</v>
      </c>
      <c r="J343" s="6">
        <v>0</v>
      </c>
      <c r="K343" s="13">
        <v>0</v>
      </c>
      <c r="L343" s="13">
        <v>0</v>
      </c>
      <c r="M343" s="8">
        <v>0</v>
      </c>
      <c r="N343" s="8">
        <v>0</v>
      </c>
    </row>
    <row r="344" spans="1:14" x14ac:dyDescent="0.25">
      <c r="A344" s="10" t="s">
        <v>870</v>
      </c>
      <c r="B344" s="10">
        <v>73550</v>
      </c>
      <c r="C344" s="10" t="s">
        <v>866</v>
      </c>
      <c r="D344" s="10" t="s">
        <v>871</v>
      </c>
      <c r="E344" s="10" t="s">
        <v>22</v>
      </c>
      <c r="F344" s="10" t="s">
        <v>41</v>
      </c>
      <c r="G344" s="6">
        <v>1</v>
      </c>
      <c r="H344" s="6"/>
      <c r="I344" s="6">
        <v>0</v>
      </c>
      <c r="J344" s="6">
        <v>1</v>
      </c>
      <c r="K344" s="13">
        <v>11.358000000000001</v>
      </c>
      <c r="L344" s="13">
        <v>0</v>
      </c>
      <c r="M344" s="8">
        <v>92.955304679999998</v>
      </c>
      <c r="N344" s="8">
        <v>0</v>
      </c>
    </row>
    <row r="345" spans="1:14" x14ac:dyDescent="0.25">
      <c r="A345" s="10" t="s">
        <v>872</v>
      </c>
      <c r="B345" s="10">
        <v>73550</v>
      </c>
      <c r="C345" s="10" t="s">
        <v>866</v>
      </c>
      <c r="D345" s="10" t="s">
        <v>873</v>
      </c>
      <c r="E345" s="10" t="s">
        <v>22</v>
      </c>
      <c r="F345" s="10" t="s">
        <v>41</v>
      </c>
      <c r="G345" s="6">
        <v>0</v>
      </c>
      <c r="H345" s="6"/>
      <c r="I345" s="6">
        <v>0</v>
      </c>
      <c r="J345" s="6">
        <v>0</v>
      </c>
      <c r="K345" s="13">
        <v>0</v>
      </c>
      <c r="L345" s="13">
        <v>0</v>
      </c>
      <c r="M345" s="8">
        <v>0</v>
      </c>
      <c r="N345" s="8">
        <v>0</v>
      </c>
    </row>
    <row r="346" spans="1:14" x14ac:dyDescent="0.25">
      <c r="A346" s="10" t="s">
        <v>874</v>
      </c>
      <c r="B346" s="10">
        <v>73550</v>
      </c>
      <c r="C346" s="10" t="s">
        <v>866</v>
      </c>
      <c r="D346" s="10" t="s">
        <v>875</v>
      </c>
      <c r="E346" s="10" t="s">
        <v>22</v>
      </c>
      <c r="F346" s="10" t="s">
        <v>41</v>
      </c>
      <c r="G346" s="6">
        <v>1</v>
      </c>
      <c r="H346" s="6"/>
      <c r="I346" s="6">
        <v>0</v>
      </c>
      <c r="J346" s="6">
        <v>1</v>
      </c>
      <c r="K346" s="13">
        <v>11.358000000000001</v>
      </c>
      <c r="L346" s="13">
        <v>0</v>
      </c>
      <c r="M346" s="8">
        <v>86.345304679999998</v>
      </c>
      <c r="N346" s="8">
        <v>0</v>
      </c>
    </row>
    <row r="347" spans="1:14" x14ac:dyDescent="0.25">
      <c r="A347" s="10" t="s">
        <v>876</v>
      </c>
      <c r="B347" s="10">
        <v>73550</v>
      </c>
      <c r="C347" s="10" t="s">
        <v>866</v>
      </c>
      <c r="D347" s="10" t="s">
        <v>877</v>
      </c>
      <c r="E347" s="10" t="s">
        <v>22</v>
      </c>
      <c r="F347" s="10" t="s">
        <v>41</v>
      </c>
      <c r="G347" s="6">
        <v>3</v>
      </c>
      <c r="H347" s="6"/>
      <c r="I347" s="6">
        <v>0</v>
      </c>
      <c r="J347" s="6">
        <v>3</v>
      </c>
      <c r="K347" s="13">
        <v>34.073999999999998</v>
      </c>
      <c r="L347" s="13">
        <v>0</v>
      </c>
      <c r="M347" s="8">
        <v>249.55591404</v>
      </c>
      <c r="N347" s="8">
        <v>0</v>
      </c>
    </row>
    <row r="348" spans="1:14" x14ac:dyDescent="0.25">
      <c r="A348" s="10" t="s">
        <v>878</v>
      </c>
      <c r="B348" s="10">
        <v>73550</v>
      </c>
      <c r="C348" s="10" t="s">
        <v>866</v>
      </c>
      <c r="D348" s="10" t="s">
        <v>879</v>
      </c>
      <c r="E348" s="10" t="s">
        <v>22</v>
      </c>
      <c r="F348" s="10" t="s">
        <v>41</v>
      </c>
      <c r="G348" s="6">
        <v>8</v>
      </c>
      <c r="H348" s="6"/>
      <c r="I348" s="6">
        <v>0</v>
      </c>
      <c r="J348" s="6">
        <v>8</v>
      </c>
      <c r="K348" s="13">
        <v>90.864000000000004</v>
      </c>
      <c r="L348" s="13">
        <v>0</v>
      </c>
      <c r="M348" s="8">
        <v>736.20243744000004</v>
      </c>
      <c r="N348" s="8">
        <v>0</v>
      </c>
    </row>
    <row r="349" spans="1:14" x14ac:dyDescent="0.25">
      <c r="A349" s="10" t="s">
        <v>880</v>
      </c>
      <c r="B349" s="10">
        <v>73550</v>
      </c>
      <c r="C349" s="10" t="s">
        <v>866</v>
      </c>
      <c r="D349" s="10" t="s">
        <v>881</v>
      </c>
      <c r="E349" s="10" t="s">
        <v>22</v>
      </c>
      <c r="F349" s="10" t="s">
        <v>41</v>
      </c>
      <c r="G349" s="6">
        <v>1</v>
      </c>
      <c r="H349" s="6"/>
      <c r="I349" s="6">
        <v>0</v>
      </c>
      <c r="J349" s="6">
        <v>1</v>
      </c>
      <c r="K349" s="13">
        <v>11.358000000000001</v>
      </c>
      <c r="L349" s="13">
        <v>0</v>
      </c>
      <c r="M349" s="8">
        <v>90.885304680000004</v>
      </c>
      <c r="N349" s="8">
        <v>0</v>
      </c>
    </row>
    <row r="350" spans="1:14" x14ac:dyDescent="0.25">
      <c r="A350" s="10" t="s">
        <v>882</v>
      </c>
      <c r="B350" s="10">
        <v>73778</v>
      </c>
      <c r="C350" s="10" t="s">
        <v>883</v>
      </c>
      <c r="D350" s="10"/>
      <c r="E350" s="10" t="s">
        <v>24</v>
      </c>
      <c r="F350" s="10" t="s">
        <v>41</v>
      </c>
      <c r="G350" s="6">
        <v>0</v>
      </c>
      <c r="H350" s="6"/>
      <c r="I350" s="6">
        <v>0</v>
      </c>
      <c r="J350" s="6">
        <v>0</v>
      </c>
      <c r="K350" s="13">
        <v>0</v>
      </c>
      <c r="L350" s="13">
        <v>0</v>
      </c>
      <c r="M350" s="8">
        <v>0</v>
      </c>
      <c r="N350" s="8">
        <v>0</v>
      </c>
    </row>
    <row r="351" spans="1:14" x14ac:dyDescent="0.25">
      <c r="A351" s="10" t="s">
        <v>884</v>
      </c>
      <c r="B351" s="10">
        <v>73994</v>
      </c>
      <c r="C351" s="10" t="s">
        <v>885</v>
      </c>
      <c r="D351" s="10" t="s">
        <v>886</v>
      </c>
      <c r="E351" s="10" t="s">
        <v>23</v>
      </c>
      <c r="F351" s="10" t="s">
        <v>41</v>
      </c>
      <c r="G351" s="6">
        <v>5</v>
      </c>
      <c r="H351" s="6"/>
      <c r="I351" s="6">
        <v>0</v>
      </c>
      <c r="J351" s="6">
        <v>5</v>
      </c>
      <c r="K351" s="13">
        <v>140.4</v>
      </c>
      <c r="L351" s="13">
        <v>0</v>
      </c>
      <c r="M351" s="8">
        <v>518.26571899999999</v>
      </c>
      <c r="N351" s="8">
        <v>0</v>
      </c>
    </row>
    <row r="352" spans="1:14" x14ac:dyDescent="0.25">
      <c r="A352" s="10" t="s">
        <v>887</v>
      </c>
      <c r="B352" s="10">
        <v>73994</v>
      </c>
      <c r="C352" s="10" t="s">
        <v>885</v>
      </c>
      <c r="D352" s="10" t="s">
        <v>888</v>
      </c>
      <c r="E352" s="10" t="s">
        <v>23</v>
      </c>
      <c r="F352" s="10" t="s">
        <v>41</v>
      </c>
      <c r="G352" s="6">
        <v>1</v>
      </c>
      <c r="H352" s="6"/>
      <c r="I352" s="6">
        <v>0</v>
      </c>
      <c r="J352" s="6">
        <v>1</v>
      </c>
      <c r="K352" s="13">
        <v>28.08</v>
      </c>
      <c r="L352" s="13">
        <v>0</v>
      </c>
      <c r="M352" s="8">
        <v>102.53006019999999</v>
      </c>
      <c r="N352" s="8">
        <v>0</v>
      </c>
    </row>
    <row r="353" spans="1:14" x14ac:dyDescent="0.25">
      <c r="A353" s="10" t="s">
        <v>889</v>
      </c>
      <c r="B353" s="10">
        <v>73996</v>
      </c>
      <c r="C353" s="10" t="s">
        <v>890</v>
      </c>
      <c r="D353" s="10" t="s">
        <v>891</v>
      </c>
      <c r="E353" s="10" t="s">
        <v>23</v>
      </c>
      <c r="F353" s="10" t="s">
        <v>41</v>
      </c>
      <c r="G353" s="6">
        <v>1</v>
      </c>
      <c r="H353" s="6"/>
      <c r="I353" s="6">
        <v>0</v>
      </c>
      <c r="J353" s="6">
        <v>1</v>
      </c>
      <c r="K353" s="13">
        <v>38.61</v>
      </c>
      <c r="L353" s="13">
        <v>0</v>
      </c>
      <c r="M353" s="8">
        <v>145.48164342000001</v>
      </c>
      <c r="N353" s="8">
        <v>0</v>
      </c>
    </row>
    <row r="354" spans="1:14" x14ac:dyDescent="0.25">
      <c r="A354" s="10" t="s">
        <v>892</v>
      </c>
      <c r="B354" s="10">
        <v>73996</v>
      </c>
      <c r="C354" s="10" t="s">
        <v>890</v>
      </c>
      <c r="D354" s="10" t="s">
        <v>893</v>
      </c>
      <c r="E354" s="10" t="s">
        <v>23</v>
      </c>
      <c r="F354" s="10" t="s">
        <v>41</v>
      </c>
      <c r="G354" s="6">
        <v>1</v>
      </c>
      <c r="H354" s="6"/>
      <c r="I354" s="6">
        <v>0</v>
      </c>
      <c r="J354" s="6">
        <v>1</v>
      </c>
      <c r="K354" s="13">
        <v>38.61</v>
      </c>
      <c r="L354" s="13">
        <v>0</v>
      </c>
      <c r="M354" s="8">
        <v>138.80017910000001</v>
      </c>
      <c r="N354" s="8">
        <v>0</v>
      </c>
    </row>
    <row r="355" spans="1:14" x14ac:dyDescent="0.25">
      <c r="A355" s="10" t="s">
        <v>894</v>
      </c>
      <c r="B355" s="10">
        <v>74125</v>
      </c>
      <c r="C355" s="10" t="s">
        <v>895</v>
      </c>
      <c r="D355" s="10" t="s">
        <v>896</v>
      </c>
      <c r="E355" s="10" t="s">
        <v>21</v>
      </c>
      <c r="F355" s="10" t="s">
        <v>41</v>
      </c>
      <c r="G355" s="6">
        <v>2</v>
      </c>
      <c r="H355" s="6"/>
      <c r="I355" s="6">
        <v>0</v>
      </c>
      <c r="J355" s="6">
        <v>2</v>
      </c>
      <c r="K355" s="13">
        <v>17.353999999999999</v>
      </c>
      <c r="L355" s="13">
        <v>0</v>
      </c>
      <c r="M355" s="8">
        <v>71.980386199999998</v>
      </c>
      <c r="N355" s="8">
        <v>0</v>
      </c>
    </row>
    <row r="356" spans="1:14" x14ac:dyDescent="0.25">
      <c r="A356" s="10" t="s">
        <v>897</v>
      </c>
      <c r="B356" s="10">
        <v>74127</v>
      </c>
      <c r="C356" s="10" t="s">
        <v>898</v>
      </c>
      <c r="D356" s="10" t="s">
        <v>899</v>
      </c>
      <c r="E356" s="10" t="s">
        <v>21</v>
      </c>
      <c r="F356" s="10" t="s">
        <v>41</v>
      </c>
      <c r="G356" s="6">
        <v>0</v>
      </c>
      <c r="H356" s="6"/>
      <c r="I356" s="6">
        <v>0</v>
      </c>
      <c r="J356" s="6">
        <v>0</v>
      </c>
      <c r="K356" s="13">
        <v>0</v>
      </c>
      <c r="L356" s="13">
        <v>0</v>
      </c>
      <c r="M356" s="8">
        <v>0</v>
      </c>
      <c r="N356" s="8">
        <v>0</v>
      </c>
    </row>
    <row r="357" spans="1:14" x14ac:dyDescent="0.25">
      <c r="A357" s="10" t="s">
        <v>900</v>
      </c>
      <c r="B357" s="10">
        <v>74129</v>
      </c>
      <c r="C357" s="10" t="s">
        <v>901</v>
      </c>
      <c r="D357" s="10" t="s">
        <v>902</v>
      </c>
      <c r="E357" s="10" t="s">
        <v>21</v>
      </c>
      <c r="F357" s="10" t="s">
        <v>41</v>
      </c>
      <c r="G357" s="6">
        <v>0</v>
      </c>
      <c r="H357" s="6"/>
      <c r="I357" s="6">
        <v>0</v>
      </c>
      <c r="J357" s="6">
        <v>0</v>
      </c>
      <c r="K357" s="13">
        <v>0</v>
      </c>
      <c r="L357" s="13">
        <v>0</v>
      </c>
      <c r="M357" s="8">
        <v>0</v>
      </c>
      <c r="N357" s="8">
        <v>0</v>
      </c>
    </row>
    <row r="358" spans="1:14" x14ac:dyDescent="0.25">
      <c r="A358" s="10" t="s">
        <v>903</v>
      </c>
      <c r="B358" s="10">
        <v>74198</v>
      </c>
      <c r="C358" s="10" t="s">
        <v>904</v>
      </c>
      <c r="D358" s="10" t="s">
        <v>905</v>
      </c>
      <c r="E358" s="10" t="s">
        <v>21</v>
      </c>
      <c r="F358" s="10" t="s">
        <v>41</v>
      </c>
      <c r="G358" s="6">
        <v>454</v>
      </c>
      <c r="H358" s="6"/>
      <c r="I358" s="6">
        <v>281</v>
      </c>
      <c r="J358" s="6">
        <v>173</v>
      </c>
      <c r="K358" s="13">
        <v>6750.98</v>
      </c>
      <c r="L358" s="13">
        <v>4178.47</v>
      </c>
      <c r="M358" s="8">
        <v>48887.998768179998</v>
      </c>
      <c r="N358" s="8">
        <v>30258.871484269999</v>
      </c>
    </row>
    <row r="359" spans="1:14" x14ac:dyDescent="0.25">
      <c r="A359" s="10" t="s">
        <v>906</v>
      </c>
      <c r="B359" s="10">
        <v>74198</v>
      </c>
      <c r="C359" s="10" t="s">
        <v>904</v>
      </c>
      <c r="D359" s="10" t="s">
        <v>907</v>
      </c>
      <c r="E359" s="10" t="s">
        <v>21</v>
      </c>
      <c r="F359" s="10" t="s">
        <v>41</v>
      </c>
      <c r="G359" s="6">
        <v>253</v>
      </c>
      <c r="H359" s="6"/>
      <c r="I359" s="6">
        <v>101</v>
      </c>
      <c r="J359" s="6">
        <v>152</v>
      </c>
      <c r="K359" s="13">
        <v>3762.11</v>
      </c>
      <c r="L359" s="13">
        <v>1501.87</v>
      </c>
      <c r="M359" s="8">
        <v>20405.570989870001</v>
      </c>
      <c r="N359" s="8">
        <v>8146.09750979</v>
      </c>
    </row>
    <row r="360" spans="1:14" x14ac:dyDescent="0.25">
      <c r="A360" s="10" t="s">
        <v>908</v>
      </c>
      <c r="B360" s="10">
        <v>74198</v>
      </c>
      <c r="C360" s="10" t="s">
        <v>904</v>
      </c>
      <c r="D360" s="10" t="s">
        <v>909</v>
      </c>
      <c r="E360" s="10" t="s">
        <v>21</v>
      </c>
      <c r="F360" s="10" t="s">
        <v>41</v>
      </c>
      <c r="G360" s="6">
        <v>0</v>
      </c>
      <c r="H360" s="6"/>
      <c r="I360" s="6">
        <v>0</v>
      </c>
      <c r="J360" s="6">
        <v>0</v>
      </c>
      <c r="K360" s="13">
        <v>0</v>
      </c>
      <c r="L360" s="13">
        <v>0</v>
      </c>
      <c r="M360" s="8">
        <v>0</v>
      </c>
      <c r="N360" s="8">
        <v>0</v>
      </c>
    </row>
    <row r="361" spans="1:14" x14ac:dyDescent="0.25">
      <c r="A361" s="10" t="s">
        <v>910</v>
      </c>
      <c r="B361" s="10">
        <v>74198</v>
      </c>
      <c r="C361" s="10" t="s">
        <v>904</v>
      </c>
      <c r="D361" s="10" t="s">
        <v>911</v>
      </c>
      <c r="E361" s="10" t="s">
        <v>21</v>
      </c>
      <c r="F361" s="10" t="s">
        <v>41</v>
      </c>
      <c r="G361" s="6">
        <v>241</v>
      </c>
      <c r="H361" s="6"/>
      <c r="I361" s="6">
        <v>0</v>
      </c>
      <c r="J361" s="6">
        <v>241</v>
      </c>
      <c r="K361" s="13">
        <v>3583.67</v>
      </c>
      <c r="L361" s="13">
        <v>0</v>
      </c>
      <c r="M361" s="8">
        <v>19863.398995520001</v>
      </c>
      <c r="N361" s="8">
        <v>0</v>
      </c>
    </row>
    <row r="362" spans="1:14" x14ac:dyDescent="0.25">
      <c r="A362" s="10" t="s">
        <v>912</v>
      </c>
      <c r="B362" s="10">
        <v>74198</v>
      </c>
      <c r="C362" s="10" t="s">
        <v>904</v>
      </c>
      <c r="D362" s="10" t="s">
        <v>913</v>
      </c>
      <c r="E362" s="10" t="s">
        <v>21</v>
      </c>
      <c r="F362" s="10" t="s">
        <v>41</v>
      </c>
      <c r="G362" s="6">
        <v>14</v>
      </c>
      <c r="H362" s="6"/>
      <c r="I362" s="6">
        <v>0</v>
      </c>
      <c r="J362" s="6">
        <v>14</v>
      </c>
      <c r="K362" s="13">
        <v>208.18</v>
      </c>
      <c r="L362" s="13">
        <v>0</v>
      </c>
      <c r="M362" s="8">
        <v>851.19096958</v>
      </c>
      <c r="N362" s="8">
        <v>0</v>
      </c>
    </row>
    <row r="363" spans="1:14" x14ac:dyDescent="0.25">
      <c r="A363" s="10" t="s">
        <v>914</v>
      </c>
      <c r="B363" s="10">
        <v>74201</v>
      </c>
      <c r="C363" s="10" t="s">
        <v>915</v>
      </c>
      <c r="D363" s="10" t="s">
        <v>916</v>
      </c>
      <c r="E363" s="10" t="s">
        <v>22</v>
      </c>
      <c r="F363" s="10" t="s">
        <v>41</v>
      </c>
      <c r="G363" s="6">
        <v>274</v>
      </c>
      <c r="H363" s="6"/>
      <c r="I363" s="6">
        <v>274</v>
      </c>
      <c r="J363" s="6">
        <v>0</v>
      </c>
      <c r="K363" s="13">
        <v>10527.08</v>
      </c>
      <c r="L363" s="13">
        <v>10527.08</v>
      </c>
      <c r="M363" s="8">
        <v>42961.443312019997</v>
      </c>
      <c r="N363" s="8">
        <v>42961.443312019997</v>
      </c>
    </row>
    <row r="364" spans="1:14" x14ac:dyDescent="0.25">
      <c r="A364" s="10" t="s">
        <v>917</v>
      </c>
      <c r="B364" s="10">
        <v>74201</v>
      </c>
      <c r="C364" s="10" t="s">
        <v>915</v>
      </c>
      <c r="D364" s="10" t="s">
        <v>918</v>
      </c>
      <c r="E364" s="10" t="s">
        <v>22</v>
      </c>
      <c r="F364" s="10" t="s">
        <v>41</v>
      </c>
      <c r="G364" s="6">
        <v>187</v>
      </c>
      <c r="H364" s="6"/>
      <c r="I364" s="6">
        <v>187</v>
      </c>
      <c r="J364" s="6">
        <v>0</v>
      </c>
      <c r="K364" s="13">
        <v>7184.54</v>
      </c>
      <c r="L364" s="13">
        <v>7184.54</v>
      </c>
      <c r="M364" s="8">
        <v>26593.624398659998</v>
      </c>
      <c r="N364" s="8">
        <v>26593.624398659998</v>
      </c>
    </row>
    <row r="365" spans="1:14" x14ac:dyDescent="0.25">
      <c r="A365" s="10" t="s">
        <v>919</v>
      </c>
      <c r="B365" s="10">
        <v>74201</v>
      </c>
      <c r="C365" s="10" t="s">
        <v>915</v>
      </c>
      <c r="D365" s="10" t="s">
        <v>920</v>
      </c>
      <c r="E365" s="10" t="s">
        <v>22</v>
      </c>
      <c r="F365" s="10" t="s">
        <v>41</v>
      </c>
      <c r="G365" s="6">
        <v>29</v>
      </c>
      <c r="H365" s="6"/>
      <c r="I365" s="6">
        <v>8</v>
      </c>
      <c r="J365" s="6">
        <v>21</v>
      </c>
      <c r="K365" s="13">
        <v>1114.18</v>
      </c>
      <c r="L365" s="13">
        <v>307.36</v>
      </c>
      <c r="M365" s="8">
        <v>4407.3383789199997</v>
      </c>
      <c r="N365" s="8">
        <v>1215.81748384</v>
      </c>
    </row>
    <row r="366" spans="1:14" x14ac:dyDescent="0.25">
      <c r="A366" s="10" t="s">
        <v>921</v>
      </c>
      <c r="B366" s="10">
        <v>74201</v>
      </c>
      <c r="C366" s="10" t="s">
        <v>915</v>
      </c>
      <c r="D366" s="10" t="s">
        <v>922</v>
      </c>
      <c r="E366" s="10" t="s">
        <v>22</v>
      </c>
      <c r="F366" s="10" t="s">
        <v>41</v>
      </c>
      <c r="G366" s="6">
        <v>191</v>
      </c>
      <c r="H366" s="6"/>
      <c r="I366" s="6">
        <v>110</v>
      </c>
      <c r="J366" s="6">
        <v>81</v>
      </c>
      <c r="K366" s="13">
        <v>7338.22</v>
      </c>
      <c r="L366" s="13">
        <v>4226.2</v>
      </c>
      <c r="M366" s="8">
        <v>28922.898924379999</v>
      </c>
      <c r="N366" s="8">
        <v>16657.166919800002</v>
      </c>
    </row>
    <row r="367" spans="1:14" x14ac:dyDescent="0.25">
      <c r="A367" s="10" t="s">
        <v>923</v>
      </c>
      <c r="B367" s="10">
        <v>74201</v>
      </c>
      <c r="C367" s="10" t="s">
        <v>915</v>
      </c>
      <c r="D367" s="10" t="s">
        <v>924</v>
      </c>
      <c r="E367" s="10" t="s">
        <v>22</v>
      </c>
      <c r="F367" s="10" t="s">
        <v>41</v>
      </c>
      <c r="G367" s="6">
        <v>9</v>
      </c>
      <c r="H367" s="6"/>
      <c r="I367" s="6">
        <v>1</v>
      </c>
      <c r="J367" s="6">
        <v>8</v>
      </c>
      <c r="K367" s="13">
        <v>345.78</v>
      </c>
      <c r="L367" s="13">
        <v>38.42</v>
      </c>
      <c r="M367" s="8">
        <v>1353.91149531</v>
      </c>
      <c r="N367" s="8">
        <v>150.43461059000001</v>
      </c>
    </row>
    <row r="368" spans="1:14" x14ac:dyDescent="0.25">
      <c r="A368" s="10" t="s">
        <v>925</v>
      </c>
      <c r="B368" s="10">
        <v>74202</v>
      </c>
      <c r="C368" s="10" t="s">
        <v>926</v>
      </c>
      <c r="D368" s="10" t="s">
        <v>927</v>
      </c>
      <c r="E368" s="10" t="s">
        <v>21</v>
      </c>
      <c r="F368" s="10" t="s">
        <v>41</v>
      </c>
      <c r="G368" s="6">
        <v>0</v>
      </c>
      <c r="H368" s="6"/>
      <c r="I368" s="6">
        <v>0</v>
      </c>
      <c r="J368" s="6">
        <v>0</v>
      </c>
      <c r="K368" s="13">
        <v>0</v>
      </c>
      <c r="L368" s="13">
        <v>0</v>
      </c>
      <c r="M368" s="8">
        <v>0</v>
      </c>
      <c r="N368" s="8">
        <v>0</v>
      </c>
    </row>
    <row r="369" spans="1:14" x14ac:dyDescent="0.25">
      <c r="A369" s="10" t="s">
        <v>928</v>
      </c>
      <c r="B369" s="10">
        <v>74203</v>
      </c>
      <c r="C369" s="10" t="s">
        <v>929</v>
      </c>
      <c r="D369" s="10" t="s">
        <v>930</v>
      </c>
      <c r="E369" s="10" t="s">
        <v>21</v>
      </c>
      <c r="F369" s="10" t="s">
        <v>41</v>
      </c>
      <c r="G369" s="6">
        <v>0</v>
      </c>
      <c r="H369" s="6"/>
      <c r="I369" s="6">
        <v>0</v>
      </c>
      <c r="J369" s="6">
        <v>0</v>
      </c>
      <c r="K369" s="13">
        <v>0</v>
      </c>
      <c r="L369" s="13">
        <v>0</v>
      </c>
      <c r="M369" s="8">
        <v>0</v>
      </c>
      <c r="N369" s="8">
        <v>0</v>
      </c>
    </row>
    <row r="370" spans="1:14" x14ac:dyDescent="0.25">
      <c r="A370" s="10" t="s">
        <v>931</v>
      </c>
      <c r="B370" s="10">
        <v>74204</v>
      </c>
      <c r="C370" s="10" t="s">
        <v>932</v>
      </c>
      <c r="D370" s="10" t="s">
        <v>933</v>
      </c>
      <c r="E370" s="10" t="s">
        <v>21</v>
      </c>
      <c r="F370" s="10" t="s">
        <v>41</v>
      </c>
      <c r="G370" s="6">
        <v>0</v>
      </c>
      <c r="H370" s="6"/>
      <c r="I370" s="6">
        <v>0</v>
      </c>
      <c r="J370" s="6">
        <v>0</v>
      </c>
      <c r="K370" s="13">
        <v>0</v>
      </c>
      <c r="L370" s="13">
        <v>0</v>
      </c>
      <c r="M370" s="8">
        <v>0</v>
      </c>
      <c r="N370" s="8">
        <v>0</v>
      </c>
    </row>
    <row r="371" spans="1:14" x14ac:dyDescent="0.25">
      <c r="A371" s="10" t="s">
        <v>934</v>
      </c>
      <c r="B371" s="10">
        <v>74269</v>
      </c>
      <c r="C371" s="10" t="s">
        <v>935</v>
      </c>
      <c r="D371" s="10" t="s">
        <v>936</v>
      </c>
      <c r="E371" s="10" t="s">
        <v>23</v>
      </c>
      <c r="F371" s="10" t="s">
        <v>41</v>
      </c>
      <c r="G371" s="6">
        <v>0</v>
      </c>
      <c r="H371" s="6"/>
      <c r="I371" s="6">
        <v>0</v>
      </c>
      <c r="J371" s="6">
        <v>0</v>
      </c>
      <c r="K371" s="13">
        <v>0</v>
      </c>
      <c r="L371" s="13">
        <v>0</v>
      </c>
      <c r="M371" s="8">
        <v>0</v>
      </c>
      <c r="N371" s="8">
        <v>0</v>
      </c>
    </row>
    <row r="372" spans="1:14" x14ac:dyDescent="0.25">
      <c r="A372" s="10" t="s">
        <v>937</v>
      </c>
      <c r="B372" s="10">
        <v>74269</v>
      </c>
      <c r="C372" s="10" t="s">
        <v>935</v>
      </c>
      <c r="D372" s="10" t="s">
        <v>938</v>
      </c>
      <c r="E372" s="10" t="s">
        <v>23</v>
      </c>
      <c r="F372" s="10" t="s">
        <v>41</v>
      </c>
      <c r="G372" s="6">
        <v>5</v>
      </c>
      <c r="H372" s="6"/>
      <c r="I372" s="6">
        <v>0</v>
      </c>
      <c r="J372" s="6">
        <v>5</v>
      </c>
      <c r="K372" s="13">
        <v>235.2</v>
      </c>
      <c r="L372" s="13">
        <v>0</v>
      </c>
      <c r="M372" s="8">
        <v>738.66716659999997</v>
      </c>
      <c r="N372" s="8">
        <v>0</v>
      </c>
    </row>
    <row r="373" spans="1:14" x14ac:dyDescent="0.25">
      <c r="A373" s="10" t="s">
        <v>939</v>
      </c>
      <c r="B373" s="10">
        <v>74272</v>
      </c>
      <c r="C373" s="10" t="s">
        <v>940</v>
      </c>
      <c r="D373" s="10" t="s">
        <v>941</v>
      </c>
      <c r="E373" s="10" t="s">
        <v>23</v>
      </c>
      <c r="F373" s="10" t="s">
        <v>41</v>
      </c>
      <c r="G373" s="6">
        <v>1</v>
      </c>
      <c r="H373" s="6"/>
      <c r="I373" s="6">
        <v>0</v>
      </c>
      <c r="J373" s="6">
        <v>1</v>
      </c>
      <c r="K373" s="13">
        <v>66.787000000000006</v>
      </c>
      <c r="L373" s="13">
        <v>0</v>
      </c>
      <c r="M373" s="8">
        <v>220.07494962999999</v>
      </c>
      <c r="N373" s="8">
        <v>0</v>
      </c>
    </row>
    <row r="374" spans="1:14" x14ac:dyDescent="0.25">
      <c r="A374" s="10" t="s">
        <v>942</v>
      </c>
      <c r="B374" s="10">
        <v>74272</v>
      </c>
      <c r="C374" s="10" t="s">
        <v>940</v>
      </c>
      <c r="D374" s="10" t="s">
        <v>943</v>
      </c>
      <c r="E374" s="10" t="s">
        <v>23</v>
      </c>
      <c r="F374" s="10" t="s">
        <v>41</v>
      </c>
      <c r="G374" s="6">
        <v>1</v>
      </c>
      <c r="H374" s="6"/>
      <c r="I374" s="6">
        <v>0</v>
      </c>
      <c r="J374" s="6">
        <v>1</v>
      </c>
      <c r="K374" s="13">
        <v>66.787000000000006</v>
      </c>
      <c r="L374" s="13">
        <v>0</v>
      </c>
      <c r="M374" s="8">
        <v>217.92138413000001</v>
      </c>
      <c r="N374" s="8">
        <v>0</v>
      </c>
    </row>
    <row r="375" spans="1:14" x14ac:dyDescent="0.25">
      <c r="A375" s="10" t="s">
        <v>944</v>
      </c>
      <c r="B375" s="10">
        <v>74400</v>
      </c>
      <c r="C375" s="10" t="s">
        <v>945</v>
      </c>
      <c r="D375" s="10" t="s">
        <v>946</v>
      </c>
      <c r="E375" s="10" t="s">
        <v>23</v>
      </c>
      <c r="F375" s="10" t="s">
        <v>41</v>
      </c>
      <c r="G375" s="6">
        <v>0</v>
      </c>
      <c r="H375" s="6"/>
      <c r="I375" s="6">
        <v>0</v>
      </c>
      <c r="J375" s="6">
        <v>0</v>
      </c>
      <c r="K375" s="13">
        <v>0</v>
      </c>
      <c r="L375" s="13">
        <v>0</v>
      </c>
      <c r="M375" s="8">
        <v>0</v>
      </c>
      <c r="N375" s="8">
        <v>0</v>
      </c>
    </row>
    <row r="376" spans="1:14" x14ac:dyDescent="0.25">
      <c r="A376" s="10" t="s">
        <v>947</v>
      </c>
      <c r="B376" s="10">
        <v>74420</v>
      </c>
      <c r="C376" s="10" t="s">
        <v>948</v>
      </c>
      <c r="D376" s="10" t="s">
        <v>949</v>
      </c>
      <c r="E376" s="10" t="s">
        <v>23</v>
      </c>
      <c r="F376" s="10" t="s">
        <v>41</v>
      </c>
      <c r="G376" s="6">
        <v>0</v>
      </c>
      <c r="H376" s="6"/>
      <c r="I376" s="6">
        <v>0</v>
      </c>
      <c r="J376" s="6">
        <v>0</v>
      </c>
      <c r="K376" s="13">
        <v>0</v>
      </c>
      <c r="L376" s="13">
        <v>0</v>
      </c>
      <c r="M376" s="8">
        <v>0</v>
      </c>
      <c r="N376" s="8">
        <v>0</v>
      </c>
    </row>
    <row r="377" spans="1:14" x14ac:dyDescent="0.25">
      <c r="A377" s="10" t="s">
        <v>950</v>
      </c>
      <c r="B377" s="10">
        <v>74493</v>
      </c>
      <c r="C377" s="10" t="s">
        <v>951</v>
      </c>
      <c r="D377" s="10" t="s">
        <v>952</v>
      </c>
      <c r="E377" s="10" t="s">
        <v>21</v>
      </c>
      <c r="F377" s="10" t="s">
        <v>41</v>
      </c>
      <c r="G377" s="6">
        <v>2</v>
      </c>
      <c r="H377" s="6"/>
      <c r="I377" s="6">
        <v>0</v>
      </c>
      <c r="J377" s="6">
        <v>2</v>
      </c>
      <c r="K377" s="13">
        <v>13.66</v>
      </c>
      <c r="L377" s="13">
        <v>0</v>
      </c>
      <c r="M377" s="8">
        <v>43.202084380000002</v>
      </c>
      <c r="N377" s="8">
        <v>0</v>
      </c>
    </row>
    <row r="378" spans="1:14" x14ac:dyDescent="0.25">
      <c r="A378" s="10" t="s">
        <v>953</v>
      </c>
      <c r="B378" s="10">
        <v>74493</v>
      </c>
      <c r="C378" s="10" t="s">
        <v>951</v>
      </c>
      <c r="D378" s="10" t="s">
        <v>954</v>
      </c>
      <c r="E378" s="10" t="s">
        <v>21</v>
      </c>
      <c r="F378" s="10" t="s">
        <v>41</v>
      </c>
      <c r="G378" s="6">
        <v>0</v>
      </c>
      <c r="H378" s="6"/>
      <c r="I378" s="6">
        <v>0</v>
      </c>
      <c r="J378" s="6">
        <v>0</v>
      </c>
      <c r="K378" s="13">
        <v>0</v>
      </c>
      <c r="L378" s="13">
        <v>0</v>
      </c>
      <c r="M378" s="8">
        <v>0</v>
      </c>
      <c r="N378" s="8">
        <v>0</v>
      </c>
    </row>
    <row r="379" spans="1:14" x14ac:dyDescent="0.25">
      <c r="A379" s="10" t="s">
        <v>955</v>
      </c>
      <c r="B379" s="10">
        <v>74494</v>
      </c>
      <c r="C379" s="10" t="s">
        <v>956</v>
      </c>
      <c r="D379" s="10" t="s">
        <v>957</v>
      </c>
      <c r="E379" s="10" t="s">
        <v>21</v>
      </c>
      <c r="F379" s="10" t="s">
        <v>41</v>
      </c>
      <c r="G379" s="6">
        <v>0</v>
      </c>
      <c r="H379" s="6"/>
      <c r="I379" s="6">
        <v>0</v>
      </c>
      <c r="J379" s="6">
        <v>0</v>
      </c>
      <c r="K379" s="13">
        <v>0</v>
      </c>
      <c r="L379" s="13">
        <v>0</v>
      </c>
      <c r="M379" s="8">
        <v>0</v>
      </c>
      <c r="N379" s="8">
        <v>0</v>
      </c>
    </row>
    <row r="380" spans="1:14" x14ac:dyDescent="0.25">
      <c r="A380" s="10" t="s">
        <v>958</v>
      </c>
      <c r="B380" s="10">
        <v>74494</v>
      </c>
      <c r="C380" s="10" t="s">
        <v>956</v>
      </c>
      <c r="D380" s="10" t="s">
        <v>959</v>
      </c>
      <c r="E380" s="10" t="s">
        <v>21</v>
      </c>
      <c r="F380" s="10" t="s">
        <v>41</v>
      </c>
      <c r="G380" s="6">
        <v>0</v>
      </c>
      <c r="H380" s="6"/>
      <c r="I380" s="6">
        <v>0</v>
      </c>
      <c r="J380" s="6">
        <v>0</v>
      </c>
      <c r="K380" s="13">
        <v>0</v>
      </c>
      <c r="L380" s="13">
        <v>0</v>
      </c>
      <c r="M380" s="8">
        <v>0</v>
      </c>
      <c r="N380" s="8">
        <v>0</v>
      </c>
    </row>
    <row r="381" spans="1:14" x14ac:dyDescent="0.25">
      <c r="A381" s="10" t="s">
        <v>960</v>
      </c>
      <c r="B381" s="10">
        <v>74501</v>
      </c>
      <c r="C381" s="10" t="s">
        <v>961</v>
      </c>
      <c r="D381" s="10" t="s">
        <v>962</v>
      </c>
      <c r="E381" s="10" t="s">
        <v>21</v>
      </c>
      <c r="F381" s="10" t="s">
        <v>41</v>
      </c>
      <c r="G381" s="6">
        <v>0</v>
      </c>
      <c r="H381" s="6"/>
      <c r="I381" s="6">
        <v>0</v>
      </c>
      <c r="J381" s="6">
        <v>0</v>
      </c>
      <c r="K381" s="13">
        <v>0</v>
      </c>
      <c r="L381" s="13">
        <v>0</v>
      </c>
      <c r="M381" s="8">
        <v>0</v>
      </c>
      <c r="N381" s="8">
        <v>0</v>
      </c>
    </row>
    <row r="382" spans="1:14" x14ac:dyDescent="0.25">
      <c r="A382" s="10" t="s">
        <v>963</v>
      </c>
      <c r="B382" s="10">
        <v>74501</v>
      </c>
      <c r="C382" s="10" t="s">
        <v>961</v>
      </c>
      <c r="D382" s="10" t="s">
        <v>964</v>
      </c>
      <c r="E382" s="10" t="s">
        <v>21</v>
      </c>
      <c r="F382" s="10" t="s">
        <v>41</v>
      </c>
      <c r="G382" s="6">
        <v>2</v>
      </c>
      <c r="H382" s="6"/>
      <c r="I382" s="6">
        <v>0</v>
      </c>
      <c r="J382" s="6">
        <v>2</v>
      </c>
      <c r="K382" s="13">
        <v>37.04</v>
      </c>
      <c r="L382" s="13">
        <v>0</v>
      </c>
      <c r="M382" s="8">
        <v>128.57019711999999</v>
      </c>
      <c r="N382" s="8">
        <v>0</v>
      </c>
    </row>
    <row r="383" spans="1:14" x14ac:dyDescent="0.25">
      <c r="A383" s="10" t="s">
        <v>965</v>
      </c>
      <c r="B383" s="10">
        <v>74509</v>
      </c>
      <c r="C383" s="10" t="s">
        <v>966</v>
      </c>
      <c r="D383" s="10" t="s">
        <v>967</v>
      </c>
      <c r="E383" s="10" t="s">
        <v>21</v>
      </c>
      <c r="F383" s="10" t="s">
        <v>41</v>
      </c>
      <c r="G383" s="6">
        <v>0</v>
      </c>
      <c r="H383" s="6"/>
      <c r="I383" s="6">
        <v>0</v>
      </c>
      <c r="J383" s="6">
        <v>0</v>
      </c>
      <c r="K383" s="13">
        <v>0</v>
      </c>
      <c r="L383" s="13">
        <v>0</v>
      </c>
      <c r="M383" s="8">
        <v>0</v>
      </c>
      <c r="N383" s="8">
        <v>0</v>
      </c>
    </row>
    <row r="384" spans="1:14" x14ac:dyDescent="0.25">
      <c r="A384" s="10" t="s">
        <v>968</v>
      </c>
      <c r="B384" s="10">
        <v>74509</v>
      </c>
      <c r="C384" s="10" t="s">
        <v>966</v>
      </c>
      <c r="D384" s="10" t="s">
        <v>969</v>
      </c>
      <c r="E384" s="10" t="s">
        <v>21</v>
      </c>
      <c r="F384" s="10" t="s">
        <v>41</v>
      </c>
      <c r="G384" s="6">
        <v>1</v>
      </c>
      <c r="H384" s="6"/>
      <c r="I384" s="6">
        <v>0</v>
      </c>
      <c r="J384" s="6">
        <v>1</v>
      </c>
      <c r="K384" s="13">
        <v>11.33</v>
      </c>
      <c r="L384" s="13">
        <v>0</v>
      </c>
      <c r="M384" s="8">
        <v>47.4878827</v>
      </c>
      <c r="N384" s="8">
        <v>0</v>
      </c>
    </row>
    <row r="385" spans="1:14" x14ac:dyDescent="0.25">
      <c r="A385" s="10" t="s">
        <v>970</v>
      </c>
      <c r="B385" s="10">
        <v>74516</v>
      </c>
      <c r="C385" s="10" t="s">
        <v>971</v>
      </c>
      <c r="D385" s="10" t="s">
        <v>972</v>
      </c>
      <c r="E385" s="10" t="s">
        <v>21</v>
      </c>
      <c r="F385" s="10" t="s">
        <v>41</v>
      </c>
      <c r="G385" s="6">
        <v>0</v>
      </c>
      <c r="H385" s="6"/>
      <c r="I385" s="6">
        <v>0</v>
      </c>
      <c r="J385" s="6">
        <v>0</v>
      </c>
      <c r="K385" s="13">
        <v>0</v>
      </c>
      <c r="L385" s="13">
        <v>0</v>
      </c>
      <c r="M385" s="8">
        <v>0</v>
      </c>
      <c r="N385" s="8">
        <v>0</v>
      </c>
    </row>
    <row r="386" spans="1:14" x14ac:dyDescent="0.25">
      <c r="A386" s="10" t="s">
        <v>973</v>
      </c>
      <c r="B386" s="10">
        <v>74551</v>
      </c>
      <c r="C386" s="10" t="s">
        <v>974</v>
      </c>
      <c r="D386" s="10" t="s">
        <v>975</v>
      </c>
      <c r="E386" s="10" t="s">
        <v>22</v>
      </c>
      <c r="F386" s="10" t="s">
        <v>41</v>
      </c>
      <c r="G386" s="6">
        <v>432</v>
      </c>
      <c r="H386" s="6"/>
      <c r="I386" s="6">
        <v>157</v>
      </c>
      <c r="J386" s="6">
        <v>275</v>
      </c>
      <c r="K386" s="13">
        <v>23014.367999999999</v>
      </c>
      <c r="L386" s="13">
        <v>8364.018</v>
      </c>
      <c r="M386" s="8">
        <v>130803.2653896</v>
      </c>
      <c r="N386" s="8">
        <v>47537.297838350001</v>
      </c>
    </row>
    <row r="387" spans="1:14" x14ac:dyDescent="0.25">
      <c r="A387" s="10" t="s">
        <v>976</v>
      </c>
      <c r="B387" s="10">
        <v>74551</v>
      </c>
      <c r="C387" s="10" t="s">
        <v>974</v>
      </c>
      <c r="D387" s="10" t="s">
        <v>977</v>
      </c>
      <c r="E387" s="10" t="s">
        <v>22</v>
      </c>
      <c r="F387" s="10" t="s">
        <v>41</v>
      </c>
      <c r="G387" s="6">
        <v>143</v>
      </c>
      <c r="H387" s="6"/>
      <c r="I387" s="6">
        <v>61</v>
      </c>
      <c r="J387" s="6">
        <v>82</v>
      </c>
      <c r="K387" s="13">
        <v>7618.1819999999998</v>
      </c>
      <c r="L387" s="13">
        <v>3249.7139999999999</v>
      </c>
      <c r="M387" s="8">
        <v>42040.394461780001</v>
      </c>
      <c r="N387" s="8">
        <v>17933.31512006</v>
      </c>
    </row>
    <row r="388" spans="1:14" x14ac:dyDescent="0.25">
      <c r="A388" s="10" t="s">
        <v>978</v>
      </c>
      <c r="B388" s="10">
        <v>74552</v>
      </c>
      <c r="C388" s="10" t="s">
        <v>979</v>
      </c>
      <c r="D388" s="10" t="s">
        <v>980</v>
      </c>
      <c r="E388" s="10" t="s">
        <v>22</v>
      </c>
      <c r="F388" s="10" t="s">
        <v>41</v>
      </c>
      <c r="G388" s="6">
        <v>428</v>
      </c>
      <c r="H388" s="6"/>
      <c r="I388" s="6">
        <v>157</v>
      </c>
      <c r="J388" s="6">
        <v>271</v>
      </c>
      <c r="K388" s="13">
        <v>21632.831999999999</v>
      </c>
      <c r="L388" s="13">
        <v>7935.4080000000004</v>
      </c>
      <c r="M388" s="8">
        <v>147386.27611388001</v>
      </c>
      <c r="N388" s="8">
        <v>54064.591938969999</v>
      </c>
    </row>
    <row r="389" spans="1:14" x14ac:dyDescent="0.25">
      <c r="A389" s="10" t="s">
        <v>981</v>
      </c>
      <c r="B389" s="10">
        <v>74552</v>
      </c>
      <c r="C389" s="10" t="s">
        <v>979</v>
      </c>
      <c r="D389" s="10" t="s">
        <v>982</v>
      </c>
      <c r="E389" s="10" t="s">
        <v>22</v>
      </c>
      <c r="F389" s="10" t="s">
        <v>41</v>
      </c>
      <c r="G389" s="6">
        <v>151</v>
      </c>
      <c r="H389" s="6"/>
      <c r="I389" s="6">
        <v>61</v>
      </c>
      <c r="J389" s="6">
        <v>90</v>
      </c>
      <c r="K389" s="13">
        <v>7632.1440000000002</v>
      </c>
      <c r="L389" s="13">
        <v>3083.1840000000002</v>
      </c>
      <c r="M389" s="8">
        <v>52837.540087020003</v>
      </c>
      <c r="N389" s="8">
        <v>21344.966525219999</v>
      </c>
    </row>
    <row r="390" spans="1:14" x14ac:dyDescent="0.25">
      <c r="A390" s="10" t="s">
        <v>983</v>
      </c>
      <c r="B390" s="10">
        <v>74610</v>
      </c>
      <c r="C390" s="10" t="s">
        <v>984</v>
      </c>
      <c r="D390" s="10" t="s">
        <v>985</v>
      </c>
      <c r="E390" s="10" t="s">
        <v>23</v>
      </c>
      <c r="F390" s="10" t="s">
        <v>41</v>
      </c>
      <c r="G390" s="6">
        <v>0</v>
      </c>
      <c r="H390" s="6"/>
      <c r="I390" s="6">
        <v>0</v>
      </c>
      <c r="J390" s="6">
        <v>0</v>
      </c>
      <c r="K390" s="13">
        <v>0</v>
      </c>
      <c r="L390" s="13">
        <v>0</v>
      </c>
      <c r="M390" s="8">
        <v>0</v>
      </c>
      <c r="N390" s="8">
        <v>0</v>
      </c>
    </row>
    <row r="391" spans="1:14" x14ac:dyDescent="0.25">
      <c r="A391" s="10" t="s">
        <v>986</v>
      </c>
      <c r="B391" s="10">
        <v>74613</v>
      </c>
      <c r="C391" s="10" t="s">
        <v>987</v>
      </c>
      <c r="D391" s="10" t="s">
        <v>988</v>
      </c>
      <c r="E391" s="10" t="s">
        <v>23</v>
      </c>
      <c r="F391" s="10" t="s">
        <v>41</v>
      </c>
      <c r="G391" s="6">
        <v>0</v>
      </c>
      <c r="H391" s="6"/>
      <c r="I391" s="6">
        <v>0</v>
      </c>
      <c r="J391" s="6">
        <v>0</v>
      </c>
      <c r="K391" s="13">
        <v>0</v>
      </c>
      <c r="L391" s="13">
        <v>0</v>
      </c>
      <c r="M391" s="8">
        <v>0</v>
      </c>
      <c r="N391" s="8">
        <v>0</v>
      </c>
    </row>
    <row r="392" spans="1:14" x14ac:dyDescent="0.25">
      <c r="A392" s="10" t="s">
        <v>989</v>
      </c>
      <c r="B392" s="10">
        <v>74613</v>
      </c>
      <c r="C392" s="10" t="s">
        <v>987</v>
      </c>
      <c r="D392" s="10" t="s">
        <v>990</v>
      </c>
      <c r="E392" s="10" t="s">
        <v>23</v>
      </c>
      <c r="F392" s="10" t="s">
        <v>41</v>
      </c>
      <c r="G392" s="6">
        <v>0</v>
      </c>
      <c r="H392" s="6"/>
      <c r="I392" s="6">
        <v>0</v>
      </c>
      <c r="J392" s="6">
        <v>0</v>
      </c>
      <c r="K392" s="13">
        <v>0</v>
      </c>
      <c r="L392" s="13">
        <v>0</v>
      </c>
      <c r="M392" s="8">
        <v>0</v>
      </c>
      <c r="N392" s="8">
        <v>0</v>
      </c>
    </row>
    <row r="393" spans="1:14" x14ac:dyDescent="0.25">
      <c r="A393" s="10" t="s">
        <v>991</v>
      </c>
      <c r="B393" s="10">
        <v>74614</v>
      </c>
      <c r="C393" s="10" t="s">
        <v>992</v>
      </c>
      <c r="D393" s="10" t="s">
        <v>993</v>
      </c>
      <c r="E393" s="10" t="s">
        <v>23</v>
      </c>
      <c r="F393" s="10" t="s">
        <v>41</v>
      </c>
      <c r="G393" s="6">
        <v>1</v>
      </c>
      <c r="H393" s="6"/>
      <c r="I393" s="6">
        <v>0</v>
      </c>
      <c r="J393" s="6">
        <v>1</v>
      </c>
      <c r="K393" s="13">
        <v>36.317999999999998</v>
      </c>
      <c r="L393" s="13">
        <v>0</v>
      </c>
      <c r="M393" s="8">
        <v>105.77403067</v>
      </c>
      <c r="N393" s="8">
        <v>0</v>
      </c>
    </row>
    <row r="394" spans="1:14" x14ac:dyDescent="0.25">
      <c r="A394" s="10" t="s">
        <v>994</v>
      </c>
      <c r="B394" s="10">
        <v>74614</v>
      </c>
      <c r="C394" s="10" t="s">
        <v>992</v>
      </c>
      <c r="D394" s="10" t="s">
        <v>995</v>
      </c>
      <c r="E394" s="10" t="s">
        <v>23</v>
      </c>
      <c r="F394" s="10" t="s">
        <v>41</v>
      </c>
      <c r="G394" s="6">
        <v>0</v>
      </c>
      <c r="H394" s="6"/>
      <c r="I394" s="6">
        <v>0</v>
      </c>
      <c r="J394" s="6">
        <v>0</v>
      </c>
      <c r="K394" s="13">
        <v>0</v>
      </c>
      <c r="L394" s="13">
        <v>0</v>
      </c>
      <c r="M394" s="8">
        <v>0</v>
      </c>
      <c r="N394" s="8">
        <v>0</v>
      </c>
    </row>
    <row r="395" spans="1:14" x14ac:dyDescent="0.25">
      <c r="A395" s="10" t="s">
        <v>996</v>
      </c>
      <c r="B395" s="10">
        <v>74629</v>
      </c>
      <c r="C395" s="10" t="s">
        <v>997</v>
      </c>
      <c r="D395" s="10" t="s">
        <v>998</v>
      </c>
      <c r="E395" s="10" t="s">
        <v>21</v>
      </c>
      <c r="F395" s="10" t="s">
        <v>41</v>
      </c>
      <c r="G395" s="6">
        <v>0</v>
      </c>
      <c r="H395" s="6"/>
      <c r="I395" s="6">
        <v>0</v>
      </c>
      <c r="J395" s="6">
        <v>0</v>
      </c>
      <c r="K395" s="13">
        <v>0</v>
      </c>
      <c r="L395" s="13">
        <v>0</v>
      </c>
      <c r="M395" s="8">
        <v>0</v>
      </c>
      <c r="N395" s="8">
        <v>0</v>
      </c>
    </row>
    <row r="396" spans="1:14" x14ac:dyDescent="0.25">
      <c r="A396" s="10" t="s">
        <v>999</v>
      </c>
      <c r="B396" s="10">
        <v>74629</v>
      </c>
      <c r="C396" s="10" t="s">
        <v>997</v>
      </c>
      <c r="D396" s="10" t="s">
        <v>1000</v>
      </c>
      <c r="E396" s="10" t="s">
        <v>21</v>
      </c>
      <c r="F396" s="10" t="s">
        <v>41</v>
      </c>
      <c r="G396" s="6">
        <v>0</v>
      </c>
      <c r="H396" s="6"/>
      <c r="I396" s="6">
        <v>0</v>
      </c>
      <c r="J396" s="6">
        <v>0</v>
      </c>
      <c r="K396" s="13">
        <v>0</v>
      </c>
      <c r="L396" s="13">
        <v>0</v>
      </c>
      <c r="M396" s="8">
        <v>0</v>
      </c>
      <c r="N396" s="8">
        <v>0</v>
      </c>
    </row>
    <row r="397" spans="1:14" x14ac:dyDescent="0.25">
      <c r="A397" s="10" t="s">
        <v>1001</v>
      </c>
      <c r="B397" s="10">
        <v>74632</v>
      </c>
      <c r="C397" s="10" t="s">
        <v>1002</v>
      </c>
      <c r="D397" s="10" t="s">
        <v>1003</v>
      </c>
      <c r="E397" s="10" t="s">
        <v>21</v>
      </c>
      <c r="F397" s="10" t="s">
        <v>41</v>
      </c>
      <c r="G397" s="6">
        <v>0</v>
      </c>
      <c r="H397" s="6"/>
      <c r="I397" s="6">
        <v>0</v>
      </c>
      <c r="J397" s="6">
        <v>0</v>
      </c>
      <c r="K397" s="13">
        <v>0</v>
      </c>
      <c r="L397" s="13">
        <v>0</v>
      </c>
      <c r="M397" s="8">
        <v>0</v>
      </c>
      <c r="N397" s="8">
        <v>0</v>
      </c>
    </row>
    <row r="398" spans="1:14" x14ac:dyDescent="0.25">
      <c r="A398" s="10" t="s">
        <v>1004</v>
      </c>
      <c r="B398" s="10">
        <v>74632</v>
      </c>
      <c r="C398" s="10" t="s">
        <v>1002</v>
      </c>
      <c r="D398" s="10" t="s">
        <v>1005</v>
      </c>
      <c r="E398" s="10" t="s">
        <v>21</v>
      </c>
      <c r="F398" s="10" t="s">
        <v>41</v>
      </c>
      <c r="G398" s="6">
        <v>0</v>
      </c>
      <c r="H398" s="6"/>
      <c r="I398" s="6">
        <v>0</v>
      </c>
      <c r="J398" s="6">
        <v>0</v>
      </c>
      <c r="K398" s="13">
        <v>0</v>
      </c>
      <c r="L398" s="13">
        <v>0</v>
      </c>
      <c r="M398" s="8">
        <v>0</v>
      </c>
      <c r="N398" s="8">
        <v>0</v>
      </c>
    </row>
    <row r="399" spans="1:14" x14ac:dyDescent="0.25">
      <c r="A399" s="10" t="s">
        <v>1006</v>
      </c>
      <c r="B399" s="10">
        <v>74670</v>
      </c>
      <c r="C399" s="10" t="s">
        <v>1007</v>
      </c>
      <c r="D399" s="10" t="s">
        <v>1008</v>
      </c>
      <c r="E399" s="10" t="s">
        <v>23</v>
      </c>
      <c r="F399" s="10" t="s">
        <v>41</v>
      </c>
      <c r="G399" s="6">
        <v>5</v>
      </c>
      <c r="H399" s="6"/>
      <c r="I399" s="6">
        <v>0</v>
      </c>
      <c r="J399" s="6">
        <v>5</v>
      </c>
      <c r="K399" s="13">
        <v>194.02500000000001</v>
      </c>
      <c r="L399" s="13">
        <v>0</v>
      </c>
      <c r="M399" s="8">
        <v>616.40200274999995</v>
      </c>
      <c r="N399" s="8">
        <v>0</v>
      </c>
    </row>
    <row r="400" spans="1:14" x14ac:dyDescent="0.25">
      <c r="A400" s="10" t="s">
        <v>1009</v>
      </c>
      <c r="B400" s="10">
        <v>74670</v>
      </c>
      <c r="C400" s="10" t="s">
        <v>1007</v>
      </c>
      <c r="D400" s="10" t="s">
        <v>1010</v>
      </c>
      <c r="E400" s="10" t="s">
        <v>23</v>
      </c>
      <c r="F400" s="10" t="s">
        <v>41</v>
      </c>
      <c r="G400" s="6">
        <v>0</v>
      </c>
      <c r="H400" s="6"/>
      <c r="I400" s="6">
        <v>0</v>
      </c>
      <c r="J400" s="6">
        <v>0</v>
      </c>
      <c r="K400" s="13">
        <v>0</v>
      </c>
      <c r="L400" s="13">
        <v>0</v>
      </c>
      <c r="M400" s="8">
        <v>0</v>
      </c>
      <c r="N400" s="8">
        <v>0</v>
      </c>
    </row>
    <row r="401" spans="1:14" x14ac:dyDescent="0.25">
      <c r="A401" s="10" t="s">
        <v>1011</v>
      </c>
      <c r="B401" s="10">
        <v>74671</v>
      </c>
      <c r="C401" s="10" t="s">
        <v>1012</v>
      </c>
      <c r="D401" s="10" t="s">
        <v>1013</v>
      </c>
      <c r="E401" s="10" t="s">
        <v>23</v>
      </c>
      <c r="F401" s="10" t="s">
        <v>41</v>
      </c>
      <c r="G401" s="6">
        <v>0</v>
      </c>
      <c r="H401" s="6"/>
      <c r="I401" s="6">
        <v>0</v>
      </c>
      <c r="J401" s="6">
        <v>0</v>
      </c>
      <c r="K401" s="13">
        <v>0</v>
      </c>
      <c r="L401" s="13">
        <v>0</v>
      </c>
      <c r="M401" s="8">
        <v>0</v>
      </c>
      <c r="N401" s="8">
        <v>0</v>
      </c>
    </row>
    <row r="402" spans="1:14" x14ac:dyDescent="0.25">
      <c r="A402" s="10" t="s">
        <v>1014</v>
      </c>
      <c r="B402" s="10">
        <v>74671</v>
      </c>
      <c r="C402" s="10" t="s">
        <v>1012</v>
      </c>
      <c r="D402" s="10" t="s">
        <v>1015</v>
      </c>
      <c r="E402" s="10" t="s">
        <v>23</v>
      </c>
      <c r="F402" s="10" t="s">
        <v>41</v>
      </c>
      <c r="G402" s="6">
        <v>0</v>
      </c>
      <c r="H402" s="6"/>
      <c r="I402" s="6">
        <v>0</v>
      </c>
      <c r="J402" s="6">
        <v>0</v>
      </c>
      <c r="K402" s="13">
        <v>0</v>
      </c>
      <c r="L402" s="13">
        <v>0</v>
      </c>
      <c r="M402" s="8">
        <v>0</v>
      </c>
      <c r="N402" s="8">
        <v>0</v>
      </c>
    </row>
    <row r="403" spans="1:14" x14ac:dyDescent="0.25">
      <c r="A403" s="10" t="s">
        <v>1016</v>
      </c>
      <c r="B403" s="10">
        <v>75868</v>
      </c>
      <c r="C403" s="10" t="s">
        <v>1017</v>
      </c>
      <c r="D403" s="10" t="s">
        <v>1018</v>
      </c>
      <c r="E403" s="10" t="s">
        <v>23</v>
      </c>
      <c r="F403" s="10" t="s">
        <v>41</v>
      </c>
      <c r="G403" s="6">
        <v>23</v>
      </c>
      <c r="H403" s="6"/>
      <c r="I403" s="6">
        <v>0</v>
      </c>
      <c r="J403" s="6">
        <v>23</v>
      </c>
      <c r="K403" s="13">
        <v>1378.6890000000001</v>
      </c>
      <c r="L403" s="13">
        <v>0</v>
      </c>
      <c r="M403" s="8">
        <v>5456.0853834899999</v>
      </c>
      <c r="N403" s="8">
        <v>0</v>
      </c>
    </row>
    <row r="404" spans="1:14" x14ac:dyDescent="0.25">
      <c r="A404" s="10" t="s">
        <v>1019</v>
      </c>
      <c r="B404" s="10">
        <v>75868</v>
      </c>
      <c r="C404" s="10" t="s">
        <v>1017</v>
      </c>
      <c r="D404" s="10" t="s">
        <v>1020</v>
      </c>
      <c r="E404" s="10" t="s">
        <v>23</v>
      </c>
      <c r="F404" s="10" t="s">
        <v>41</v>
      </c>
      <c r="G404" s="6">
        <v>111</v>
      </c>
      <c r="H404" s="6"/>
      <c r="I404" s="6">
        <v>109</v>
      </c>
      <c r="J404" s="6">
        <v>2</v>
      </c>
      <c r="K404" s="13">
        <v>6653.6729999999998</v>
      </c>
      <c r="L404" s="13">
        <v>6533.7870000000003</v>
      </c>
      <c r="M404" s="8">
        <v>25888.031099399999</v>
      </c>
      <c r="N404" s="8">
        <v>25421.5800886</v>
      </c>
    </row>
    <row r="405" spans="1:14" x14ac:dyDescent="0.25">
      <c r="A405" s="10" t="s">
        <v>1021</v>
      </c>
      <c r="B405" s="10">
        <v>75868</v>
      </c>
      <c r="C405" s="10" t="s">
        <v>1017</v>
      </c>
      <c r="D405" s="10" t="s">
        <v>1022</v>
      </c>
      <c r="E405" s="10" t="s">
        <v>23</v>
      </c>
      <c r="F405" s="10" t="s">
        <v>41</v>
      </c>
      <c r="G405" s="6">
        <v>100</v>
      </c>
      <c r="H405" s="6"/>
      <c r="I405" s="6">
        <v>99</v>
      </c>
      <c r="J405" s="6">
        <v>1</v>
      </c>
      <c r="K405" s="13">
        <v>5994.3</v>
      </c>
      <c r="L405" s="13">
        <v>5934.357</v>
      </c>
      <c r="M405" s="8">
        <v>23572.010962</v>
      </c>
      <c r="N405" s="8">
        <v>23336.29085238</v>
      </c>
    </row>
    <row r="406" spans="1:14" x14ac:dyDescent="0.25">
      <c r="A406" s="10" t="s">
        <v>1023</v>
      </c>
      <c r="B406" s="10">
        <v>75871</v>
      </c>
      <c r="C406" s="10" t="s">
        <v>1024</v>
      </c>
      <c r="D406" s="10" t="s">
        <v>1025</v>
      </c>
      <c r="E406" s="10" t="s">
        <v>23</v>
      </c>
      <c r="F406" s="10" t="s">
        <v>41</v>
      </c>
      <c r="G406" s="6">
        <v>130</v>
      </c>
      <c r="H406" s="6"/>
      <c r="I406" s="6">
        <v>122</v>
      </c>
      <c r="J406" s="6">
        <v>8</v>
      </c>
      <c r="K406" s="13">
        <v>2218.06</v>
      </c>
      <c r="L406" s="13">
        <v>2081.5639999999999</v>
      </c>
      <c r="M406" s="8">
        <v>4390.6373043000003</v>
      </c>
      <c r="N406" s="8">
        <v>4120.4442394199996</v>
      </c>
    </row>
    <row r="407" spans="1:14" x14ac:dyDescent="0.25">
      <c r="A407" s="10" t="s">
        <v>1026</v>
      </c>
      <c r="B407" s="10">
        <v>75871</v>
      </c>
      <c r="C407" s="10" t="s">
        <v>1024</v>
      </c>
      <c r="D407" s="10" t="s">
        <v>1027</v>
      </c>
      <c r="E407" s="10" t="s">
        <v>23</v>
      </c>
      <c r="F407" s="10" t="s">
        <v>41</v>
      </c>
      <c r="G407" s="6">
        <v>120</v>
      </c>
      <c r="H407" s="6"/>
      <c r="I407" s="6">
        <v>109</v>
      </c>
      <c r="J407" s="6">
        <v>11</v>
      </c>
      <c r="K407" s="13">
        <v>2047.44</v>
      </c>
      <c r="L407" s="13">
        <v>1859.758</v>
      </c>
      <c r="M407" s="8">
        <v>5346.5646515999997</v>
      </c>
      <c r="N407" s="8">
        <v>4856.46289187</v>
      </c>
    </row>
    <row r="408" spans="1:14" x14ac:dyDescent="0.25">
      <c r="A408" s="10" t="s">
        <v>1028</v>
      </c>
      <c r="B408" s="10">
        <v>76348</v>
      </c>
      <c r="C408" s="10" t="s">
        <v>1029</v>
      </c>
      <c r="D408" s="10" t="s">
        <v>1030</v>
      </c>
      <c r="E408" s="10" t="s">
        <v>23</v>
      </c>
      <c r="F408" s="10" t="s">
        <v>41</v>
      </c>
      <c r="G408" s="6">
        <v>0</v>
      </c>
      <c r="H408" s="6"/>
      <c r="I408" s="6">
        <v>0</v>
      </c>
      <c r="J408" s="6">
        <v>0</v>
      </c>
      <c r="K408" s="13">
        <v>0</v>
      </c>
      <c r="L408" s="13">
        <v>0</v>
      </c>
      <c r="M408" s="8">
        <v>0</v>
      </c>
      <c r="N408" s="8">
        <v>0</v>
      </c>
    </row>
    <row r="409" spans="1:14" x14ac:dyDescent="0.25">
      <c r="A409" s="10" t="s">
        <v>1031</v>
      </c>
      <c r="B409" s="10">
        <v>77143</v>
      </c>
      <c r="C409" s="10" t="s">
        <v>1032</v>
      </c>
      <c r="D409" s="10" t="s">
        <v>1033</v>
      </c>
      <c r="E409" s="10" t="s">
        <v>23</v>
      </c>
      <c r="F409" s="10" t="s">
        <v>41</v>
      </c>
      <c r="G409" s="6">
        <v>468</v>
      </c>
      <c r="H409" s="6"/>
      <c r="I409" s="6">
        <v>432</v>
      </c>
      <c r="J409" s="6">
        <v>36</v>
      </c>
      <c r="K409" s="13">
        <v>12776.4</v>
      </c>
      <c r="L409" s="13">
        <v>11793.6</v>
      </c>
      <c r="M409" s="8">
        <v>85078.768755240002</v>
      </c>
      <c r="N409" s="8">
        <v>78534.248081760001</v>
      </c>
    </row>
    <row r="410" spans="1:14" x14ac:dyDescent="0.25">
      <c r="A410" s="10" t="s">
        <v>1034</v>
      </c>
      <c r="B410" s="10">
        <v>77143</v>
      </c>
      <c r="C410" s="10" t="s">
        <v>1032</v>
      </c>
      <c r="D410" s="10" t="s">
        <v>1035</v>
      </c>
      <c r="E410" s="10" t="s">
        <v>23</v>
      </c>
      <c r="F410" s="10" t="s">
        <v>41</v>
      </c>
      <c r="G410" s="6">
        <v>280</v>
      </c>
      <c r="H410" s="6"/>
      <c r="I410" s="6">
        <v>0</v>
      </c>
      <c r="J410" s="6">
        <v>280</v>
      </c>
      <c r="K410" s="13">
        <v>7644</v>
      </c>
      <c r="L410" s="13">
        <v>0</v>
      </c>
      <c r="M410" s="8">
        <v>48343.253806399996</v>
      </c>
      <c r="N410" s="8">
        <v>0</v>
      </c>
    </row>
    <row r="411" spans="1:14" x14ac:dyDescent="0.25">
      <c r="A411" s="10" t="s">
        <v>1036</v>
      </c>
      <c r="B411" s="10">
        <v>78326</v>
      </c>
      <c r="C411" s="10" t="s">
        <v>1037</v>
      </c>
      <c r="D411" s="10" t="s">
        <v>1038</v>
      </c>
      <c r="E411" s="10" t="s">
        <v>23</v>
      </c>
      <c r="F411" s="10" t="s">
        <v>41</v>
      </c>
      <c r="G411" s="6">
        <v>6</v>
      </c>
      <c r="H411" s="6"/>
      <c r="I411" s="6">
        <v>0</v>
      </c>
      <c r="J411" s="6">
        <v>6</v>
      </c>
      <c r="K411" s="13">
        <v>318.52800000000002</v>
      </c>
      <c r="L411" s="13">
        <v>0</v>
      </c>
      <c r="M411" s="8">
        <v>1067.8208005199999</v>
      </c>
      <c r="N411" s="8">
        <v>0</v>
      </c>
    </row>
    <row r="412" spans="1:14" x14ac:dyDescent="0.25">
      <c r="A412" s="10" t="s">
        <v>1039</v>
      </c>
      <c r="B412" s="10">
        <v>79208</v>
      </c>
      <c r="C412" s="10" t="s">
        <v>1040</v>
      </c>
      <c r="D412" s="10" t="s">
        <v>1041</v>
      </c>
      <c r="E412" s="10" t="s">
        <v>22</v>
      </c>
      <c r="F412" s="10" t="s">
        <v>41</v>
      </c>
      <c r="G412" s="6">
        <v>137</v>
      </c>
      <c r="H412" s="6"/>
      <c r="I412" s="6">
        <v>100</v>
      </c>
      <c r="J412" s="6">
        <v>37</v>
      </c>
      <c r="K412" s="13">
        <v>5263.54</v>
      </c>
      <c r="L412" s="13">
        <v>3842</v>
      </c>
      <c r="M412" s="8">
        <v>21126.286407809999</v>
      </c>
      <c r="N412" s="8">
        <v>15420.647013</v>
      </c>
    </row>
    <row r="413" spans="1:14" x14ac:dyDescent="0.25">
      <c r="A413" s="10" t="s">
        <v>1042</v>
      </c>
      <c r="B413" s="10">
        <v>79208</v>
      </c>
      <c r="C413" s="10" t="s">
        <v>1040</v>
      </c>
      <c r="D413" s="10" t="s">
        <v>1043</v>
      </c>
      <c r="E413" s="10" t="s">
        <v>22</v>
      </c>
      <c r="F413" s="10" t="s">
        <v>41</v>
      </c>
      <c r="G413" s="6">
        <v>26</v>
      </c>
      <c r="H413" s="6"/>
      <c r="I413" s="6">
        <v>0</v>
      </c>
      <c r="J413" s="6">
        <v>26</v>
      </c>
      <c r="K413" s="13">
        <v>998.92</v>
      </c>
      <c r="L413" s="13">
        <v>0</v>
      </c>
      <c r="M413" s="8">
        <v>4221.3210127399998</v>
      </c>
      <c r="N413" s="8">
        <v>0</v>
      </c>
    </row>
    <row r="414" spans="1:14" x14ac:dyDescent="0.25">
      <c r="A414" s="10" t="s">
        <v>1044</v>
      </c>
      <c r="B414" s="10">
        <v>81713</v>
      </c>
      <c r="C414" s="10" t="s">
        <v>1045</v>
      </c>
      <c r="D414" s="10" t="s">
        <v>1046</v>
      </c>
      <c r="E414" s="10" t="s">
        <v>22</v>
      </c>
      <c r="F414" s="10" t="s">
        <v>41</v>
      </c>
      <c r="G414" s="6">
        <v>626</v>
      </c>
      <c r="H414" s="6"/>
      <c r="I414" s="6">
        <v>41</v>
      </c>
      <c r="J414" s="6">
        <v>585</v>
      </c>
      <c r="K414" s="13">
        <v>28076.1</v>
      </c>
      <c r="L414" s="13">
        <v>1838.85</v>
      </c>
      <c r="M414" s="8">
        <v>145908.06790568001</v>
      </c>
      <c r="N414" s="8">
        <v>9556.2792078799994</v>
      </c>
    </row>
    <row r="415" spans="1:14" x14ac:dyDescent="0.25">
      <c r="A415" s="10" t="s">
        <v>1047</v>
      </c>
      <c r="B415" s="10">
        <v>81844</v>
      </c>
      <c r="C415" s="10" t="s">
        <v>1048</v>
      </c>
      <c r="D415" s="10" t="s">
        <v>1049</v>
      </c>
      <c r="E415" s="10" t="s">
        <v>23</v>
      </c>
      <c r="F415" s="10" t="s">
        <v>41</v>
      </c>
      <c r="G415" s="6">
        <v>1</v>
      </c>
      <c r="H415" s="6"/>
      <c r="I415" s="6">
        <v>0</v>
      </c>
      <c r="J415" s="6">
        <v>1</v>
      </c>
      <c r="K415" s="13">
        <v>47.024000000000001</v>
      </c>
      <c r="L415" s="13">
        <v>0</v>
      </c>
      <c r="M415" s="8">
        <v>144.33969393999999</v>
      </c>
      <c r="N415" s="8">
        <v>0</v>
      </c>
    </row>
    <row r="416" spans="1:14" x14ac:dyDescent="0.25">
      <c r="A416" s="10" t="s">
        <v>1050</v>
      </c>
      <c r="B416" s="10">
        <v>81935</v>
      </c>
      <c r="C416" s="10" t="s">
        <v>1051</v>
      </c>
      <c r="D416" s="10" t="s">
        <v>1052</v>
      </c>
      <c r="E416" s="10" t="s">
        <v>21</v>
      </c>
      <c r="F416" s="10" t="s">
        <v>41</v>
      </c>
      <c r="G416" s="6">
        <v>632</v>
      </c>
      <c r="H416" s="6"/>
      <c r="I416" s="6">
        <v>632</v>
      </c>
      <c r="J416" s="6">
        <v>0</v>
      </c>
      <c r="K416" s="13">
        <v>23107.184000000001</v>
      </c>
      <c r="L416" s="13">
        <v>23107.184000000001</v>
      </c>
      <c r="M416" s="8">
        <v>99285.348189440003</v>
      </c>
      <c r="N416" s="8">
        <v>99285.348189440003</v>
      </c>
    </row>
    <row r="417" spans="1:14" x14ac:dyDescent="0.25">
      <c r="A417" s="10" t="s">
        <v>1053</v>
      </c>
      <c r="B417" s="10">
        <v>81935</v>
      </c>
      <c r="C417" s="10" t="s">
        <v>1051</v>
      </c>
      <c r="D417" s="10" t="s">
        <v>1054</v>
      </c>
      <c r="E417" s="10" t="s">
        <v>21</v>
      </c>
      <c r="F417" s="10" t="s">
        <v>41</v>
      </c>
      <c r="G417" s="6">
        <v>3</v>
      </c>
      <c r="H417" s="6"/>
      <c r="I417" s="6">
        <v>0</v>
      </c>
      <c r="J417" s="6">
        <v>3</v>
      </c>
      <c r="K417" s="13">
        <v>109.68600000000001</v>
      </c>
      <c r="L417" s="13">
        <v>0</v>
      </c>
      <c r="M417" s="8">
        <v>515.52706511999997</v>
      </c>
      <c r="N417" s="8">
        <v>0</v>
      </c>
    </row>
    <row r="418" spans="1:14" x14ac:dyDescent="0.25">
      <c r="A418" s="10" t="s">
        <v>1055</v>
      </c>
      <c r="B418" s="10">
        <v>81935</v>
      </c>
      <c r="C418" s="10" t="s">
        <v>1051</v>
      </c>
      <c r="D418" s="10" t="s">
        <v>1056</v>
      </c>
      <c r="E418" s="10" t="s">
        <v>21</v>
      </c>
      <c r="F418" s="10" t="s">
        <v>41</v>
      </c>
      <c r="G418" s="6">
        <v>63</v>
      </c>
      <c r="H418" s="6"/>
      <c r="I418" s="6">
        <v>22</v>
      </c>
      <c r="J418" s="6">
        <v>41</v>
      </c>
      <c r="K418" s="13">
        <v>2303.4059999999999</v>
      </c>
      <c r="L418" s="13">
        <v>804.36400000000003</v>
      </c>
      <c r="M418" s="8">
        <v>10166.38564662</v>
      </c>
      <c r="N418" s="8">
        <v>3550.1664162799998</v>
      </c>
    </row>
    <row r="419" spans="1:14" x14ac:dyDescent="0.25">
      <c r="A419" s="10" t="s">
        <v>1057</v>
      </c>
      <c r="B419" s="10">
        <v>81935</v>
      </c>
      <c r="C419" s="10" t="s">
        <v>1051</v>
      </c>
      <c r="D419" s="10" t="s">
        <v>1058</v>
      </c>
      <c r="E419" s="10" t="s">
        <v>21</v>
      </c>
      <c r="F419" s="10" t="s">
        <v>41</v>
      </c>
      <c r="G419" s="6">
        <v>0</v>
      </c>
      <c r="H419" s="6"/>
      <c r="I419" s="6">
        <v>0</v>
      </c>
      <c r="J419" s="6">
        <v>0</v>
      </c>
      <c r="K419" s="13">
        <v>0</v>
      </c>
      <c r="L419" s="13">
        <v>0</v>
      </c>
      <c r="M419" s="8">
        <v>0</v>
      </c>
      <c r="N419" s="8">
        <v>0</v>
      </c>
    </row>
    <row r="420" spans="1:14" x14ac:dyDescent="0.25">
      <c r="A420" s="10" t="s">
        <v>1059</v>
      </c>
      <c r="B420" s="10">
        <v>81935</v>
      </c>
      <c r="C420" s="10" t="s">
        <v>1051</v>
      </c>
      <c r="D420" s="10" t="s">
        <v>1060</v>
      </c>
      <c r="E420" s="10" t="s">
        <v>21</v>
      </c>
      <c r="F420" s="10" t="s">
        <v>41</v>
      </c>
      <c r="G420" s="6">
        <v>232</v>
      </c>
      <c r="H420" s="6"/>
      <c r="I420" s="6">
        <v>0</v>
      </c>
      <c r="J420" s="6">
        <v>232</v>
      </c>
      <c r="K420" s="13">
        <v>8482.384</v>
      </c>
      <c r="L420" s="13">
        <v>0</v>
      </c>
      <c r="M420" s="8">
        <v>35855.873701999997</v>
      </c>
      <c r="N420" s="8">
        <v>0</v>
      </c>
    </row>
    <row r="421" spans="1:14" x14ac:dyDescent="0.25">
      <c r="A421" s="10" t="s">
        <v>1061</v>
      </c>
      <c r="B421" s="10">
        <v>81935</v>
      </c>
      <c r="C421" s="10" t="s">
        <v>1051</v>
      </c>
      <c r="D421" s="10" t="s">
        <v>1062</v>
      </c>
      <c r="E421" s="10" t="s">
        <v>21</v>
      </c>
      <c r="F421" s="10" t="s">
        <v>41</v>
      </c>
      <c r="G421" s="6">
        <v>119</v>
      </c>
      <c r="H421" s="6"/>
      <c r="I421" s="6">
        <v>119</v>
      </c>
      <c r="J421" s="6">
        <v>0</v>
      </c>
      <c r="K421" s="13">
        <v>4350.8779999999997</v>
      </c>
      <c r="L421" s="13">
        <v>4350.8779999999997</v>
      </c>
      <c r="M421" s="8">
        <v>18479.01372716</v>
      </c>
      <c r="N421" s="8">
        <v>18479.01372716</v>
      </c>
    </row>
    <row r="422" spans="1:14" x14ac:dyDescent="0.25">
      <c r="A422" s="10" t="s">
        <v>1063</v>
      </c>
      <c r="B422" s="10">
        <v>81938</v>
      </c>
      <c r="C422" s="10" t="s">
        <v>1064</v>
      </c>
      <c r="D422" s="10" t="s">
        <v>1065</v>
      </c>
      <c r="E422" s="10" t="s">
        <v>21</v>
      </c>
      <c r="F422" s="10" t="s">
        <v>41</v>
      </c>
      <c r="G422" s="6">
        <v>0</v>
      </c>
      <c r="H422" s="6"/>
      <c r="I422" s="6">
        <v>0</v>
      </c>
      <c r="J422" s="6">
        <v>0</v>
      </c>
      <c r="K422" s="13">
        <v>0</v>
      </c>
      <c r="L422" s="13">
        <v>0</v>
      </c>
      <c r="M422" s="8">
        <v>0</v>
      </c>
      <c r="N422" s="8">
        <v>0</v>
      </c>
    </row>
    <row r="423" spans="1:14" x14ac:dyDescent="0.25">
      <c r="A423" s="10" t="s">
        <v>1066</v>
      </c>
      <c r="B423" s="10">
        <v>81938</v>
      </c>
      <c r="C423" s="10" t="s">
        <v>1064</v>
      </c>
      <c r="D423" s="10" t="s">
        <v>1067</v>
      </c>
      <c r="E423" s="10" t="s">
        <v>21</v>
      </c>
      <c r="F423" s="10" t="s">
        <v>41</v>
      </c>
      <c r="G423" s="6">
        <v>626</v>
      </c>
      <c r="H423" s="6"/>
      <c r="I423" s="6">
        <v>626</v>
      </c>
      <c r="J423" s="6">
        <v>0</v>
      </c>
      <c r="K423" s="13">
        <v>24108.511999999999</v>
      </c>
      <c r="L423" s="13">
        <v>24108.511999999999</v>
      </c>
      <c r="M423" s="8">
        <v>130180.59216126001</v>
      </c>
      <c r="N423" s="8">
        <v>130180.59216126001</v>
      </c>
    </row>
    <row r="424" spans="1:14" x14ac:dyDescent="0.25">
      <c r="A424" s="10" t="s">
        <v>1068</v>
      </c>
      <c r="B424" s="10">
        <v>81938</v>
      </c>
      <c r="C424" s="10" t="s">
        <v>1064</v>
      </c>
      <c r="D424" s="10" t="s">
        <v>1069</v>
      </c>
      <c r="E424" s="10" t="s">
        <v>21</v>
      </c>
      <c r="F424" s="10" t="s">
        <v>41</v>
      </c>
      <c r="G424" s="6">
        <v>22</v>
      </c>
      <c r="H424" s="6"/>
      <c r="I424" s="6">
        <v>22</v>
      </c>
      <c r="J424" s="6">
        <v>0</v>
      </c>
      <c r="K424" s="13">
        <v>847.26400000000001</v>
      </c>
      <c r="L424" s="13">
        <v>847.26400000000001</v>
      </c>
      <c r="M424" s="8">
        <v>3728.4763586399999</v>
      </c>
      <c r="N424" s="8">
        <v>3728.4763586399999</v>
      </c>
    </row>
    <row r="425" spans="1:14" x14ac:dyDescent="0.25">
      <c r="A425" s="10" t="s">
        <v>1070</v>
      </c>
      <c r="B425" s="10">
        <v>81938</v>
      </c>
      <c r="C425" s="10" t="s">
        <v>1064</v>
      </c>
      <c r="D425" s="10" t="s">
        <v>1071</v>
      </c>
      <c r="E425" s="10" t="s">
        <v>21</v>
      </c>
      <c r="F425" s="10" t="s">
        <v>41</v>
      </c>
      <c r="G425" s="6">
        <v>0</v>
      </c>
      <c r="H425" s="6"/>
      <c r="I425" s="6">
        <v>0</v>
      </c>
      <c r="J425" s="6">
        <v>0</v>
      </c>
      <c r="K425" s="13">
        <v>0</v>
      </c>
      <c r="L425" s="13">
        <v>0</v>
      </c>
      <c r="M425" s="8">
        <v>0</v>
      </c>
      <c r="N425" s="8">
        <v>0</v>
      </c>
    </row>
    <row r="426" spans="1:14" x14ac:dyDescent="0.25">
      <c r="A426" s="10" t="s">
        <v>1072</v>
      </c>
      <c r="B426" s="10">
        <v>81938</v>
      </c>
      <c r="C426" s="10" t="s">
        <v>1064</v>
      </c>
      <c r="D426" s="10" t="s">
        <v>1073</v>
      </c>
      <c r="E426" s="10" t="s">
        <v>21</v>
      </c>
      <c r="F426" s="10" t="s">
        <v>41</v>
      </c>
      <c r="G426" s="6">
        <v>227</v>
      </c>
      <c r="H426" s="6"/>
      <c r="I426" s="6">
        <v>227</v>
      </c>
      <c r="J426" s="6">
        <v>0</v>
      </c>
      <c r="K426" s="13">
        <v>8742.2240000000002</v>
      </c>
      <c r="L426" s="13">
        <v>8742.2240000000002</v>
      </c>
      <c r="M426" s="8">
        <v>41210.730361089998</v>
      </c>
      <c r="N426" s="8">
        <v>41210.730361089998</v>
      </c>
    </row>
    <row r="427" spans="1:14" x14ac:dyDescent="0.25">
      <c r="A427" s="10" t="s">
        <v>1074</v>
      </c>
      <c r="B427" s="10">
        <v>81938</v>
      </c>
      <c r="C427" s="10" t="s">
        <v>1064</v>
      </c>
      <c r="D427" s="10" t="s">
        <v>1075</v>
      </c>
      <c r="E427" s="10" t="s">
        <v>21</v>
      </c>
      <c r="F427" s="10" t="s">
        <v>41</v>
      </c>
      <c r="G427" s="6">
        <v>105</v>
      </c>
      <c r="H427" s="6"/>
      <c r="I427" s="6">
        <v>105</v>
      </c>
      <c r="J427" s="6">
        <v>0</v>
      </c>
      <c r="K427" s="13">
        <v>4043.76</v>
      </c>
      <c r="L427" s="13">
        <v>4043.76</v>
      </c>
      <c r="M427" s="8">
        <v>22333.836345449999</v>
      </c>
      <c r="N427" s="8">
        <v>22333.836345449999</v>
      </c>
    </row>
    <row r="428" spans="1:14" x14ac:dyDescent="0.25">
      <c r="A428" s="10" t="s">
        <v>1076</v>
      </c>
      <c r="B428" s="10">
        <v>81941</v>
      </c>
      <c r="C428" s="10" t="s">
        <v>1077</v>
      </c>
      <c r="D428" s="10" t="s">
        <v>1078</v>
      </c>
      <c r="E428" s="10" t="s">
        <v>21</v>
      </c>
      <c r="F428" s="10" t="s">
        <v>41</v>
      </c>
      <c r="G428" s="6">
        <v>1</v>
      </c>
      <c r="H428" s="6"/>
      <c r="I428" s="6">
        <v>0</v>
      </c>
      <c r="J428" s="6">
        <v>1</v>
      </c>
      <c r="K428" s="13">
        <v>44.85</v>
      </c>
      <c r="L428" s="13">
        <v>0</v>
      </c>
      <c r="M428" s="8">
        <v>181.94493958000001</v>
      </c>
      <c r="N428" s="8">
        <v>0</v>
      </c>
    </row>
    <row r="429" spans="1:14" x14ac:dyDescent="0.25">
      <c r="A429" s="10" t="s">
        <v>1079</v>
      </c>
      <c r="B429" s="10">
        <v>81942</v>
      </c>
      <c r="C429" s="10" t="s">
        <v>1080</v>
      </c>
      <c r="D429" s="10" t="s">
        <v>1081</v>
      </c>
      <c r="E429" s="10" t="s">
        <v>21</v>
      </c>
      <c r="F429" s="10" t="s">
        <v>41</v>
      </c>
      <c r="G429" s="6">
        <v>0</v>
      </c>
      <c r="H429" s="6"/>
      <c r="I429" s="6">
        <v>0</v>
      </c>
      <c r="J429" s="6">
        <v>0</v>
      </c>
      <c r="K429" s="13">
        <v>0</v>
      </c>
      <c r="L429" s="13">
        <v>0</v>
      </c>
      <c r="M429" s="8">
        <v>0</v>
      </c>
      <c r="N429" s="8">
        <v>0</v>
      </c>
    </row>
    <row r="430" spans="1:14" x14ac:dyDescent="0.25">
      <c r="A430" s="10" t="s">
        <v>1082</v>
      </c>
      <c r="B430" s="10">
        <v>83251</v>
      </c>
      <c r="C430" s="10" t="s">
        <v>1083</v>
      </c>
      <c r="D430" s="10" t="s">
        <v>1084</v>
      </c>
      <c r="E430" s="10" t="s">
        <v>22</v>
      </c>
      <c r="F430" s="10" t="s">
        <v>41</v>
      </c>
      <c r="G430" s="6">
        <v>471</v>
      </c>
      <c r="H430" s="6"/>
      <c r="I430" s="6">
        <v>313</v>
      </c>
      <c r="J430" s="6">
        <v>158</v>
      </c>
      <c r="K430" s="13">
        <v>7457.8140000000003</v>
      </c>
      <c r="L430" s="13">
        <v>4956.0420000000004</v>
      </c>
      <c r="M430" s="8">
        <v>51505.278915089999</v>
      </c>
      <c r="N430" s="8">
        <v>34227.499576269998</v>
      </c>
    </row>
    <row r="431" spans="1:14" x14ac:dyDescent="0.25">
      <c r="A431" s="10" t="s">
        <v>1085</v>
      </c>
      <c r="B431" s="10">
        <v>83251</v>
      </c>
      <c r="C431" s="10" t="s">
        <v>1083</v>
      </c>
      <c r="D431" s="10" t="s">
        <v>1086</v>
      </c>
      <c r="E431" s="10" t="s">
        <v>22</v>
      </c>
      <c r="F431" s="10" t="s">
        <v>41</v>
      </c>
      <c r="G431" s="6">
        <v>29</v>
      </c>
      <c r="H431" s="6"/>
      <c r="I431" s="6">
        <v>29</v>
      </c>
      <c r="J431" s="6">
        <v>0</v>
      </c>
      <c r="K431" s="13">
        <v>459.18599999999998</v>
      </c>
      <c r="L431" s="13">
        <v>459.18599999999998</v>
      </c>
      <c r="M431" s="8">
        <v>2801.9735814300002</v>
      </c>
      <c r="N431" s="8">
        <v>2801.9735814300002</v>
      </c>
    </row>
    <row r="432" spans="1:14" x14ac:dyDescent="0.25">
      <c r="A432" s="10" t="s">
        <v>1087</v>
      </c>
      <c r="B432" s="10">
        <v>83251</v>
      </c>
      <c r="C432" s="10" t="s">
        <v>1083</v>
      </c>
      <c r="D432" s="10" t="s">
        <v>1088</v>
      </c>
      <c r="E432" s="10" t="s">
        <v>22</v>
      </c>
      <c r="F432" s="10" t="s">
        <v>41</v>
      </c>
      <c r="G432" s="6">
        <v>129</v>
      </c>
      <c r="H432" s="6"/>
      <c r="I432" s="6">
        <v>129</v>
      </c>
      <c r="J432" s="6">
        <v>0</v>
      </c>
      <c r="K432" s="13">
        <v>2042.586</v>
      </c>
      <c r="L432" s="13">
        <v>2042.586</v>
      </c>
      <c r="M432" s="8">
        <v>15291.37294017</v>
      </c>
      <c r="N432" s="8">
        <v>15291.37294017</v>
      </c>
    </row>
    <row r="433" spans="1:14" x14ac:dyDescent="0.25">
      <c r="A433" s="10" t="s">
        <v>1089</v>
      </c>
      <c r="B433" s="10">
        <v>83251</v>
      </c>
      <c r="C433" s="10" t="s">
        <v>1083</v>
      </c>
      <c r="D433" s="10" t="s">
        <v>1090</v>
      </c>
      <c r="E433" s="10" t="s">
        <v>22</v>
      </c>
      <c r="F433" s="10" t="s">
        <v>41</v>
      </c>
      <c r="G433" s="6">
        <v>187</v>
      </c>
      <c r="H433" s="6"/>
      <c r="I433" s="6">
        <v>119</v>
      </c>
      <c r="J433" s="6">
        <v>68</v>
      </c>
      <c r="K433" s="13">
        <v>2960.9580000000001</v>
      </c>
      <c r="L433" s="13">
        <v>1884.2460000000001</v>
      </c>
      <c r="M433" s="8">
        <v>21454.353342620001</v>
      </c>
      <c r="N433" s="8">
        <v>13652.77030894</v>
      </c>
    </row>
    <row r="434" spans="1:14" x14ac:dyDescent="0.25">
      <c r="A434" s="10" t="s">
        <v>1091</v>
      </c>
      <c r="B434" s="10">
        <v>84024</v>
      </c>
      <c r="C434" s="10" t="s">
        <v>1092</v>
      </c>
      <c r="D434" s="10" t="s">
        <v>1093</v>
      </c>
      <c r="E434" s="10" t="s">
        <v>23</v>
      </c>
      <c r="F434" s="10" t="s">
        <v>41</v>
      </c>
      <c r="G434" s="6">
        <v>5</v>
      </c>
      <c r="H434" s="6"/>
      <c r="I434" s="6">
        <v>0</v>
      </c>
      <c r="J434" s="6">
        <v>5</v>
      </c>
      <c r="K434" s="13">
        <v>170.625</v>
      </c>
      <c r="L434" s="13">
        <v>0</v>
      </c>
      <c r="M434" s="8">
        <v>481.76227015000001</v>
      </c>
      <c r="N434" s="8">
        <v>0</v>
      </c>
    </row>
    <row r="435" spans="1:14" x14ac:dyDescent="0.25">
      <c r="A435" s="10" t="s">
        <v>1094</v>
      </c>
      <c r="B435" s="10">
        <v>84062</v>
      </c>
      <c r="C435" s="10" t="s">
        <v>1095</v>
      </c>
      <c r="D435" s="10" t="s">
        <v>1096</v>
      </c>
      <c r="E435" s="10" t="s">
        <v>23</v>
      </c>
      <c r="F435" s="10" t="s">
        <v>41</v>
      </c>
      <c r="G435" s="6">
        <v>5</v>
      </c>
      <c r="H435" s="6"/>
      <c r="I435" s="6">
        <v>0</v>
      </c>
      <c r="J435" s="6">
        <v>5</v>
      </c>
      <c r="K435" s="13">
        <v>170.625</v>
      </c>
      <c r="L435" s="13">
        <v>0</v>
      </c>
      <c r="M435" s="8">
        <v>746.51227014999995</v>
      </c>
      <c r="N435" s="8">
        <v>0</v>
      </c>
    </row>
    <row r="436" spans="1:14" x14ac:dyDescent="0.25">
      <c r="A436" s="10" t="s">
        <v>1097</v>
      </c>
      <c r="B436" s="10">
        <v>84310</v>
      </c>
      <c r="C436" s="10" t="s">
        <v>1098</v>
      </c>
      <c r="D436" s="10" t="s">
        <v>1099</v>
      </c>
      <c r="E436" s="10" t="s">
        <v>22</v>
      </c>
      <c r="F436" s="10" t="s">
        <v>41</v>
      </c>
      <c r="G436" s="6">
        <v>570</v>
      </c>
      <c r="H436" s="6"/>
      <c r="I436" s="6">
        <v>482</v>
      </c>
      <c r="J436" s="6">
        <v>88</v>
      </c>
      <c r="K436" s="13">
        <v>8280.39</v>
      </c>
      <c r="L436" s="13">
        <v>7002.0140000000001</v>
      </c>
      <c r="M436" s="8">
        <v>61449.932412900002</v>
      </c>
      <c r="N436" s="8">
        <v>51962.925303540003</v>
      </c>
    </row>
    <row r="437" spans="1:14" x14ac:dyDescent="0.25">
      <c r="A437" s="10" t="s">
        <v>1100</v>
      </c>
      <c r="B437" s="10">
        <v>84310</v>
      </c>
      <c r="C437" s="10" t="s">
        <v>1098</v>
      </c>
      <c r="D437" s="10" t="s">
        <v>1101</v>
      </c>
      <c r="E437" s="10" t="s">
        <v>22</v>
      </c>
      <c r="F437" s="10" t="s">
        <v>41</v>
      </c>
      <c r="G437" s="6">
        <v>0</v>
      </c>
      <c r="H437" s="6"/>
      <c r="I437" s="6">
        <v>0</v>
      </c>
      <c r="J437" s="6">
        <v>0</v>
      </c>
      <c r="K437" s="13">
        <v>0</v>
      </c>
      <c r="L437" s="13">
        <v>0</v>
      </c>
      <c r="M437" s="8">
        <v>0</v>
      </c>
      <c r="N437" s="8">
        <v>0</v>
      </c>
    </row>
    <row r="438" spans="1:14" x14ac:dyDescent="0.25">
      <c r="A438" s="10" t="s">
        <v>1102</v>
      </c>
      <c r="B438" s="10">
        <v>84488</v>
      </c>
      <c r="C438" s="10" t="s">
        <v>1103</v>
      </c>
      <c r="D438" s="10" t="s">
        <v>1104</v>
      </c>
      <c r="E438" s="10" t="s">
        <v>23</v>
      </c>
      <c r="F438" s="10" t="s">
        <v>41</v>
      </c>
      <c r="G438" s="6">
        <v>2640</v>
      </c>
      <c r="H438" s="6"/>
      <c r="I438" s="6">
        <v>0</v>
      </c>
      <c r="J438" s="6">
        <v>2640</v>
      </c>
      <c r="K438" s="13">
        <v>140152.32000000001</v>
      </c>
      <c r="L438" s="13">
        <v>0</v>
      </c>
      <c r="M438" s="8">
        <v>463300.34153039998</v>
      </c>
      <c r="N438" s="8">
        <v>0</v>
      </c>
    </row>
    <row r="439" spans="1:14" x14ac:dyDescent="0.25">
      <c r="A439" s="10" t="s">
        <v>1105</v>
      </c>
      <c r="B439" s="10">
        <v>84495</v>
      </c>
      <c r="C439" s="10" t="s">
        <v>1106</v>
      </c>
      <c r="D439" s="10" t="s">
        <v>1107</v>
      </c>
      <c r="E439" s="10" t="s">
        <v>23</v>
      </c>
      <c r="F439" s="10" t="s">
        <v>41</v>
      </c>
      <c r="G439" s="6">
        <v>948</v>
      </c>
      <c r="H439" s="6"/>
      <c r="I439" s="6">
        <v>214</v>
      </c>
      <c r="J439" s="6">
        <v>734</v>
      </c>
      <c r="K439" s="13">
        <v>46812.24</v>
      </c>
      <c r="L439" s="13">
        <v>10567.32</v>
      </c>
      <c r="M439" s="8">
        <v>136770.25176156001</v>
      </c>
      <c r="N439" s="8">
        <v>30874.29733858</v>
      </c>
    </row>
    <row r="440" spans="1:14" x14ac:dyDescent="0.25">
      <c r="A440" s="10" t="s">
        <v>1108</v>
      </c>
      <c r="B440" s="10">
        <v>84495</v>
      </c>
      <c r="C440" s="10" t="s">
        <v>1106</v>
      </c>
      <c r="D440" s="10" t="s">
        <v>1109</v>
      </c>
      <c r="E440" s="10" t="s">
        <v>23</v>
      </c>
      <c r="F440" s="10" t="s">
        <v>41</v>
      </c>
      <c r="G440" s="6">
        <v>2657</v>
      </c>
      <c r="H440" s="6"/>
      <c r="I440" s="6">
        <v>1718</v>
      </c>
      <c r="J440" s="6">
        <v>939</v>
      </c>
      <c r="K440" s="13">
        <v>131202.66</v>
      </c>
      <c r="L440" s="13">
        <v>84834.84</v>
      </c>
      <c r="M440" s="8">
        <v>383716.84519889002</v>
      </c>
      <c r="N440" s="8">
        <v>248108.97254486001</v>
      </c>
    </row>
    <row r="441" spans="1:14" x14ac:dyDescent="0.25">
      <c r="A441" s="10" t="s">
        <v>1110</v>
      </c>
      <c r="B441" s="10">
        <v>84498</v>
      </c>
      <c r="C441" s="10" t="s">
        <v>1111</v>
      </c>
      <c r="D441" s="10" t="s">
        <v>1112</v>
      </c>
      <c r="E441" s="10" t="s">
        <v>23</v>
      </c>
      <c r="F441" s="10" t="s">
        <v>41</v>
      </c>
      <c r="G441" s="6">
        <v>28</v>
      </c>
      <c r="H441" s="6"/>
      <c r="I441" s="6">
        <v>0</v>
      </c>
      <c r="J441" s="6">
        <v>28</v>
      </c>
      <c r="K441" s="13">
        <v>1266.1600000000001</v>
      </c>
      <c r="L441" s="13">
        <v>0</v>
      </c>
      <c r="M441" s="8">
        <v>6067.3028183599999</v>
      </c>
      <c r="N441" s="8">
        <v>0</v>
      </c>
    </row>
    <row r="442" spans="1:14" x14ac:dyDescent="0.25">
      <c r="A442" s="10" t="s">
        <v>1113</v>
      </c>
      <c r="B442" s="10">
        <v>84537</v>
      </c>
      <c r="C442" s="10" t="s">
        <v>1114</v>
      </c>
      <c r="D442" s="10" t="s">
        <v>1115</v>
      </c>
      <c r="E442" s="10" t="s">
        <v>23</v>
      </c>
      <c r="F442" s="10" t="s">
        <v>41</v>
      </c>
      <c r="G442" s="6">
        <v>26</v>
      </c>
      <c r="H442" s="6"/>
      <c r="I442" s="6">
        <v>0</v>
      </c>
      <c r="J442" s="6">
        <v>26</v>
      </c>
      <c r="K442" s="13">
        <v>1276.366</v>
      </c>
      <c r="L442" s="13">
        <v>0</v>
      </c>
      <c r="M442" s="8">
        <v>4182.5916925000001</v>
      </c>
      <c r="N442" s="8">
        <v>0</v>
      </c>
    </row>
    <row r="443" spans="1:14" x14ac:dyDescent="0.25">
      <c r="A443" s="10" t="s">
        <v>1116</v>
      </c>
      <c r="B443" s="10">
        <v>84550</v>
      </c>
      <c r="C443" s="10" t="s">
        <v>1117</v>
      </c>
      <c r="D443" s="10" t="s">
        <v>1118</v>
      </c>
      <c r="E443" s="10" t="s">
        <v>23</v>
      </c>
      <c r="F443" s="10" t="s">
        <v>41</v>
      </c>
      <c r="G443" s="6">
        <v>26</v>
      </c>
      <c r="H443" s="6"/>
      <c r="I443" s="6">
        <v>0</v>
      </c>
      <c r="J443" s="6">
        <v>26</v>
      </c>
      <c r="K443" s="13">
        <v>1016.522</v>
      </c>
      <c r="L443" s="13">
        <v>0</v>
      </c>
      <c r="M443" s="8">
        <v>3333.6122515799998</v>
      </c>
      <c r="N443" s="8">
        <v>0</v>
      </c>
    </row>
    <row r="444" spans="1:14" x14ac:dyDescent="0.25">
      <c r="A444" s="10" t="s">
        <v>1119</v>
      </c>
      <c r="B444" s="10">
        <v>84562</v>
      </c>
      <c r="C444" s="10" t="s">
        <v>1120</v>
      </c>
      <c r="D444" s="10" t="s">
        <v>1121</v>
      </c>
      <c r="E444" s="10" t="s">
        <v>23</v>
      </c>
      <c r="F444" s="10" t="s">
        <v>41</v>
      </c>
      <c r="G444" s="6">
        <v>0</v>
      </c>
      <c r="H444" s="6"/>
      <c r="I444" s="6">
        <v>0</v>
      </c>
      <c r="J444" s="6">
        <v>0</v>
      </c>
      <c r="K444" s="13">
        <v>0</v>
      </c>
      <c r="L444" s="13">
        <v>0</v>
      </c>
      <c r="M444" s="8">
        <v>0</v>
      </c>
      <c r="N444" s="8">
        <v>0</v>
      </c>
    </row>
    <row r="445" spans="1:14" x14ac:dyDescent="0.25">
      <c r="A445" s="10" t="s">
        <v>1122</v>
      </c>
      <c r="B445" s="10">
        <v>84586</v>
      </c>
      <c r="C445" s="10" t="s">
        <v>1123</v>
      </c>
      <c r="D445" s="10" t="s">
        <v>1124</v>
      </c>
      <c r="E445" s="10" t="s">
        <v>23</v>
      </c>
      <c r="F445" s="10" t="s">
        <v>41</v>
      </c>
      <c r="G445" s="6">
        <v>11</v>
      </c>
      <c r="H445" s="6"/>
      <c r="I445" s="6">
        <v>0</v>
      </c>
      <c r="J445" s="6">
        <v>11</v>
      </c>
      <c r="K445" s="13">
        <v>519.61800000000005</v>
      </c>
      <c r="L445" s="13">
        <v>0</v>
      </c>
      <c r="M445" s="8">
        <v>2000.2513059099999</v>
      </c>
      <c r="N445" s="8">
        <v>0</v>
      </c>
    </row>
    <row r="446" spans="1:14" x14ac:dyDescent="0.25">
      <c r="A446" s="10" t="s">
        <v>1125</v>
      </c>
      <c r="B446" s="10">
        <v>84588</v>
      </c>
      <c r="C446" s="10" t="s">
        <v>1126</v>
      </c>
      <c r="D446" s="10" t="s">
        <v>1127</v>
      </c>
      <c r="E446" s="10" t="s">
        <v>23</v>
      </c>
      <c r="F446" s="10" t="s">
        <v>41</v>
      </c>
      <c r="G446" s="6">
        <v>3</v>
      </c>
      <c r="H446" s="6"/>
      <c r="I446" s="6">
        <v>0</v>
      </c>
      <c r="J446" s="6">
        <v>3</v>
      </c>
      <c r="K446" s="13">
        <v>51.45</v>
      </c>
      <c r="L446" s="13">
        <v>0</v>
      </c>
      <c r="M446" s="8">
        <v>205.59521702999999</v>
      </c>
      <c r="N446" s="8">
        <v>0</v>
      </c>
    </row>
    <row r="447" spans="1:14" x14ac:dyDescent="0.25">
      <c r="A447" s="10" t="s">
        <v>1128</v>
      </c>
      <c r="B447" s="10">
        <v>84721</v>
      </c>
      <c r="C447" s="10" t="s">
        <v>1129</v>
      </c>
      <c r="D447" s="10"/>
      <c r="E447" s="10" t="s">
        <v>23</v>
      </c>
      <c r="F447" s="10" t="s">
        <v>41</v>
      </c>
      <c r="G447" s="6">
        <v>14</v>
      </c>
      <c r="H447" s="6"/>
      <c r="I447" s="6">
        <v>0</v>
      </c>
      <c r="J447" s="6">
        <v>14</v>
      </c>
      <c r="K447" s="13">
        <v>163.80000000000001</v>
      </c>
      <c r="L447" s="13">
        <v>0</v>
      </c>
      <c r="M447" s="8">
        <v>1145.1743802799999</v>
      </c>
      <c r="N447" s="8">
        <v>0</v>
      </c>
    </row>
    <row r="448" spans="1:14" x14ac:dyDescent="0.25">
      <c r="A448" s="10" t="s">
        <v>1130</v>
      </c>
      <c r="B448" s="10">
        <v>84745</v>
      </c>
      <c r="C448" s="10" t="s">
        <v>1131</v>
      </c>
      <c r="D448" s="10" t="s">
        <v>1132</v>
      </c>
      <c r="E448" s="10" t="s">
        <v>23</v>
      </c>
      <c r="F448" s="10" t="s">
        <v>41</v>
      </c>
      <c r="G448" s="6">
        <v>56</v>
      </c>
      <c r="H448" s="6"/>
      <c r="I448" s="6">
        <v>0</v>
      </c>
      <c r="J448" s="6">
        <v>56</v>
      </c>
      <c r="K448" s="13">
        <v>3276</v>
      </c>
      <c r="L448" s="13">
        <v>0</v>
      </c>
      <c r="M448" s="8">
        <v>11591.95229472</v>
      </c>
      <c r="N448" s="8">
        <v>0</v>
      </c>
    </row>
    <row r="449" spans="1:14" x14ac:dyDescent="0.25">
      <c r="A449" s="10" t="s">
        <v>1133</v>
      </c>
      <c r="B449" s="10">
        <v>84785</v>
      </c>
      <c r="C449" s="10" t="s">
        <v>1134</v>
      </c>
      <c r="D449" s="10"/>
      <c r="E449" s="10" t="s">
        <v>23</v>
      </c>
      <c r="F449" s="10" t="s">
        <v>41</v>
      </c>
      <c r="G449" s="6">
        <v>30</v>
      </c>
      <c r="H449" s="6"/>
      <c r="I449" s="6">
        <v>0</v>
      </c>
      <c r="J449" s="6">
        <v>30</v>
      </c>
      <c r="K449" s="13">
        <v>292.5</v>
      </c>
      <c r="L449" s="13">
        <v>0</v>
      </c>
      <c r="M449" s="8">
        <v>1928.1324999000001</v>
      </c>
      <c r="N449" s="8">
        <v>0</v>
      </c>
    </row>
    <row r="450" spans="1:14" x14ac:dyDescent="0.25">
      <c r="A450" s="10" t="s">
        <v>1135</v>
      </c>
      <c r="B450" s="10">
        <v>84795</v>
      </c>
      <c r="C450" s="10" t="s">
        <v>1136</v>
      </c>
      <c r="D450" s="10" t="s">
        <v>1137</v>
      </c>
      <c r="E450" s="10" t="s">
        <v>23</v>
      </c>
      <c r="F450" s="10" t="s">
        <v>41</v>
      </c>
      <c r="G450" s="6">
        <v>27</v>
      </c>
      <c r="H450" s="6"/>
      <c r="I450" s="6">
        <v>22</v>
      </c>
      <c r="J450" s="6">
        <v>5</v>
      </c>
      <c r="K450" s="13">
        <v>1587.384</v>
      </c>
      <c r="L450" s="13">
        <v>1293.424</v>
      </c>
      <c r="M450" s="8">
        <v>8647.7300397899999</v>
      </c>
      <c r="N450" s="8">
        <v>7046.2985509399996</v>
      </c>
    </row>
    <row r="451" spans="1:14" x14ac:dyDescent="0.25">
      <c r="A451" s="10" t="s">
        <v>1138</v>
      </c>
      <c r="B451" s="10">
        <v>84795</v>
      </c>
      <c r="C451" s="10" t="s">
        <v>1136</v>
      </c>
      <c r="D451" s="10" t="s">
        <v>1139</v>
      </c>
      <c r="E451" s="10" t="s">
        <v>23</v>
      </c>
      <c r="F451" s="10" t="s">
        <v>41</v>
      </c>
      <c r="G451" s="6">
        <v>0</v>
      </c>
      <c r="H451" s="6"/>
      <c r="I451" s="6">
        <v>0</v>
      </c>
      <c r="J451" s="6">
        <v>0</v>
      </c>
      <c r="K451" s="13">
        <v>0</v>
      </c>
      <c r="L451" s="13">
        <v>0</v>
      </c>
      <c r="M451" s="8">
        <v>0</v>
      </c>
      <c r="N451" s="8">
        <v>0</v>
      </c>
    </row>
    <row r="452" spans="1:14" x14ac:dyDescent="0.25">
      <c r="A452" s="10" t="s">
        <v>1140</v>
      </c>
      <c r="B452" s="10">
        <v>84795</v>
      </c>
      <c r="C452" s="10" t="s">
        <v>1136</v>
      </c>
      <c r="D452" s="10" t="s">
        <v>1141</v>
      </c>
      <c r="E452" s="10" t="s">
        <v>23</v>
      </c>
      <c r="F452" s="10" t="s">
        <v>41</v>
      </c>
      <c r="G452" s="6">
        <v>122</v>
      </c>
      <c r="H452" s="6"/>
      <c r="I452" s="6">
        <v>109</v>
      </c>
      <c r="J452" s="6">
        <v>13</v>
      </c>
      <c r="K452" s="13">
        <v>7172.6239999999998</v>
      </c>
      <c r="L452" s="13">
        <v>6408.3280000000004</v>
      </c>
      <c r="M452" s="8">
        <v>39019.802297319999</v>
      </c>
      <c r="N452" s="8">
        <v>34861.954511540003</v>
      </c>
    </row>
    <row r="453" spans="1:14" x14ac:dyDescent="0.25">
      <c r="A453" s="10" t="s">
        <v>1142</v>
      </c>
      <c r="B453" s="10">
        <v>84795</v>
      </c>
      <c r="C453" s="10" t="s">
        <v>1136</v>
      </c>
      <c r="D453" s="10" t="s">
        <v>1143</v>
      </c>
      <c r="E453" s="10" t="s">
        <v>23</v>
      </c>
      <c r="F453" s="10" t="s">
        <v>41</v>
      </c>
      <c r="G453" s="6">
        <v>99</v>
      </c>
      <c r="H453" s="6"/>
      <c r="I453" s="6">
        <v>99</v>
      </c>
      <c r="J453" s="6">
        <v>0</v>
      </c>
      <c r="K453" s="13">
        <v>5820.4080000000004</v>
      </c>
      <c r="L453" s="13">
        <v>5820.4080000000004</v>
      </c>
      <c r="M453" s="8">
        <v>32849.445457620001</v>
      </c>
      <c r="N453" s="8">
        <v>32849.445457620001</v>
      </c>
    </row>
    <row r="454" spans="1:14" x14ac:dyDescent="0.25">
      <c r="A454" s="10" t="s">
        <v>1144</v>
      </c>
      <c r="B454" s="10">
        <v>84800</v>
      </c>
      <c r="C454" s="10" t="s">
        <v>1145</v>
      </c>
      <c r="D454" s="10" t="s">
        <v>1146</v>
      </c>
      <c r="E454" s="10" t="s">
        <v>23</v>
      </c>
      <c r="F454" s="10" t="s">
        <v>41</v>
      </c>
      <c r="G454" s="6">
        <v>140</v>
      </c>
      <c r="H454" s="6"/>
      <c r="I454" s="6">
        <v>121</v>
      </c>
      <c r="J454" s="6">
        <v>19</v>
      </c>
      <c r="K454" s="13">
        <v>8190</v>
      </c>
      <c r="L454" s="13">
        <v>7078.5</v>
      </c>
      <c r="M454" s="8">
        <v>34733.621620600003</v>
      </c>
      <c r="N454" s="8">
        <v>30019.772972089999</v>
      </c>
    </row>
    <row r="455" spans="1:14" x14ac:dyDescent="0.25">
      <c r="A455" s="10" t="s">
        <v>1147</v>
      </c>
      <c r="B455" s="10">
        <v>84800</v>
      </c>
      <c r="C455" s="10" t="s">
        <v>1145</v>
      </c>
      <c r="D455" s="10" t="s">
        <v>1148</v>
      </c>
      <c r="E455" s="10" t="s">
        <v>23</v>
      </c>
      <c r="F455" s="10" t="s">
        <v>41</v>
      </c>
      <c r="G455" s="6">
        <v>121</v>
      </c>
      <c r="H455" s="6"/>
      <c r="I455" s="6">
        <v>0</v>
      </c>
      <c r="J455" s="6">
        <v>121</v>
      </c>
      <c r="K455" s="13">
        <v>7078.5</v>
      </c>
      <c r="L455" s="13">
        <v>0</v>
      </c>
      <c r="M455" s="8">
        <v>32448.584205399999</v>
      </c>
      <c r="N455" s="8">
        <v>0</v>
      </c>
    </row>
    <row r="456" spans="1:14" x14ac:dyDescent="0.25">
      <c r="A456" s="10" t="s">
        <v>1149</v>
      </c>
      <c r="B456" s="10">
        <v>84809</v>
      </c>
      <c r="C456" s="10" t="s">
        <v>1150</v>
      </c>
      <c r="D456" s="10" t="s">
        <v>1151</v>
      </c>
      <c r="E456" s="10" t="s">
        <v>23</v>
      </c>
      <c r="F456" s="10" t="s">
        <v>41</v>
      </c>
      <c r="G456" s="6">
        <v>124</v>
      </c>
      <c r="H456" s="6"/>
      <c r="I456" s="6">
        <v>121</v>
      </c>
      <c r="J456" s="6">
        <v>3</v>
      </c>
      <c r="K456" s="13">
        <v>8390.4599999999991</v>
      </c>
      <c r="L456" s="13">
        <v>8187.4650000000001</v>
      </c>
      <c r="M456" s="8">
        <v>23954.253379760001</v>
      </c>
      <c r="N456" s="8">
        <v>23374.71499154</v>
      </c>
    </row>
    <row r="457" spans="1:14" x14ac:dyDescent="0.25">
      <c r="A457" s="10" t="s">
        <v>1152</v>
      </c>
      <c r="B457" s="10">
        <v>84809</v>
      </c>
      <c r="C457" s="10" t="s">
        <v>1150</v>
      </c>
      <c r="D457" s="10" t="s">
        <v>1153</v>
      </c>
      <c r="E457" s="10" t="s">
        <v>23</v>
      </c>
      <c r="F457" s="10" t="s">
        <v>41</v>
      </c>
      <c r="G457" s="6">
        <v>111</v>
      </c>
      <c r="H457" s="6"/>
      <c r="I457" s="6">
        <v>109</v>
      </c>
      <c r="J457" s="6">
        <v>2</v>
      </c>
      <c r="K457" s="13">
        <v>7510.8149999999996</v>
      </c>
      <c r="L457" s="13">
        <v>7375.4849999999997</v>
      </c>
      <c r="M457" s="8">
        <v>21151.485152189998</v>
      </c>
      <c r="N457" s="8">
        <v>20770.377311609998</v>
      </c>
    </row>
    <row r="458" spans="1:14" x14ac:dyDescent="0.25">
      <c r="A458" s="10" t="s">
        <v>1154</v>
      </c>
      <c r="B458" s="10">
        <v>84822</v>
      </c>
      <c r="C458" s="10" t="s">
        <v>1155</v>
      </c>
      <c r="D458" s="10" t="s">
        <v>1156</v>
      </c>
      <c r="E458" s="10" t="s">
        <v>23</v>
      </c>
      <c r="F458" s="10" t="s">
        <v>41</v>
      </c>
      <c r="G458" s="6">
        <v>443</v>
      </c>
      <c r="H458" s="6"/>
      <c r="I458" s="6">
        <v>430</v>
      </c>
      <c r="J458" s="6">
        <v>13</v>
      </c>
      <c r="K458" s="13">
        <v>24187.8</v>
      </c>
      <c r="L458" s="13">
        <v>23478</v>
      </c>
      <c r="M458" s="8">
        <v>118749.30002238</v>
      </c>
      <c r="N458" s="8">
        <v>115264.55758379999</v>
      </c>
    </row>
    <row r="459" spans="1:14" x14ac:dyDescent="0.25">
      <c r="A459" s="10" t="s">
        <v>1157</v>
      </c>
      <c r="B459" s="10">
        <v>84836</v>
      </c>
      <c r="C459" s="10" t="s">
        <v>1158</v>
      </c>
      <c r="D459" s="10" t="s">
        <v>1159</v>
      </c>
      <c r="E459" s="10" t="s">
        <v>23</v>
      </c>
      <c r="F459" s="10" t="s">
        <v>41</v>
      </c>
      <c r="G459" s="6">
        <v>270</v>
      </c>
      <c r="H459" s="6"/>
      <c r="I459" s="6">
        <v>0</v>
      </c>
      <c r="J459" s="6">
        <v>270</v>
      </c>
      <c r="K459" s="13">
        <v>13952.25</v>
      </c>
      <c r="L459" s="13">
        <v>0</v>
      </c>
      <c r="M459" s="8">
        <v>48170.357977500003</v>
      </c>
      <c r="N459" s="8">
        <v>0</v>
      </c>
    </row>
    <row r="460" spans="1:14" x14ac:dyDescent="0.25">
      <c r="A460" s="10" t="s">
        <v>1160</v>
      </c>
      <c r="B460" s="10">
        <v>84847</v>
      </c>
      <c r="C460" s="10" t="s">
        <v>1161</v>
      </c>
      <c r="D460" s="10" t="s">
        <v>1162</v>
      </c>
      <c r="E460" s="10" t="s">
        <v>23</v>
      </c>
      <c r="F460" s="10" t="s">
        <v>41</v>
      </c>
      <c r="G460" s="6">
        <v>466</v>
      </c>
      <c r="H460" s="6"/>
      <c r="I460" s="6">
        <v>430</v>
      </c>
      <c r="J460" s="6">
        <v>36</v>
      </c>
      <c r="K460" s="13">
        <v>20900.099999999999</v>
      </c>
      <c r="L460" s="13">
        <v>19285.5</v>
      </c>
      <c r="M460" s="8">
        <v>79073.552463400003</v>
      </c>
      <c r="N460" s="8">
        <v>72964.866007000004</v>
      </c>
    </row>
    <row r="461" spans="1:14" x14ac:dyDescent="0.25">
      <c r="A461" s="10" t="s">
        <v>1163</v>
      </c>
      <c r="B461" s="10">
        <v>84875</v>
      </c>
      <c r="C461" s="10" t="s">
        <v>1164</v>
      </c>
      <c r="D461" s="10" t="s">
        <v>1165</v>
      </c>
      <c r="E461" s="10" t="s">
        <v>23</v>
      </c>
      <c r="F461" s="10" t="s">
        <v>41</v>
      </c>
      <c r="G461" s="6">
        <v>0</v>
      </c>
      <c r="H461" s="6"/>
      <c r="I461" s="6">
        <v>0</v>
      </c>
      <c r="J461" s="6">
        <v>0</v>
      </c>
      <c r="K461" s="13">
        <v>0</v>
      </c>
      <c r="L461" s="13">
        <v>0</v>
      </c>
      <c r="M461" s="8">
        <v>0</v>
      </c>
      <c r="N461" s="8">
        <v>0</v>
      </c>
    </row>
    <row r="462" spans="1:14" x14ac:dyDescent="0.25">
      <c r="A462" s="10" t="s">
        <v>1166</v>
      </c>
      <c r="B462" s="10">
        <v>84891</v>
      </c>
      <c r="C462" s="10" t="s">
        <v>1167</v>
      </c>
      <c r="D462" s="10" t="s">
        <v>1168</v>
      </c>
      <c r="E462" s="10" t="s">
        <v>23</v>
      </c>
      <c r="F462" s="10" t="s">
        <v>41</v>
      </c>
      <c r="G462" s="6">
        <v>0</v>
      </c>
      <c r="H462" s="6"/>
      <c r="I462" s="6">
        <v>0</v>
      </c>
      <c r="J462" s="6">
        <v>0</v>
      </c>
      <c r="K462" s="13">
        <v>0</v>
      </c>
      <c r="L462" s="13">
        <v>0</v>
      </c>
      <c r="M462" s="8">
        <v>0</v>
      </c>
      <c r="N462" s="8">
        <v>0</v>
      </c>
    </row>
    <row r="463" spans="1:14" x14ac:dyDescent="0.25">
      <c r="A463" s="10" t="s">
        <v>1169</v>
      </c>
      <c r="B463" s="10">
        <v>84891</v>
      </c>
      <c r="C463" s="10" t="s">
        <v>1167</v>
      </c>
      <c r="D463" s="10" t="s">
        <v>1170</v>
      </c>
      <c r="E463" s="10" t="s">
        <v>23</v>
      </c>
      <c r="F463" s="10" t="s">
        <v>41</v>
      </c>
      <c r="G463" s="6">
        <v>0</v>
      </c>
      <c r="H463" s="6"/>
      <c r="I463" s="6">
        <v>0</v>
      </c>
      <c r="J463" s="6">
        <v>0</v>
      </c>
      <c r="K463" s="13">
        <v>0</v>
      </c>
      <c r="L463" s="13">
        <v>0</v>
      </c>
      <c r="M463" s="8">
        <v>0</v>
      </c>
      <c r="N463" s="8">
        <v>0</v>
      </c>
    </row>
    <row r="464" spans="1:14" x14ac:dyDescent="0.25">
      <c r="A464" s="10" t="s">
        <v>1171</v>
      </c>
      <c r="B464" s="10">
        <v>84891</v>
      </c>
      <c r="C464" s="10" t="s">
        <v>1167</v>
      </c>
      <c r="D464" s="10" t="s">
        <v>1172</v>
      </c>
      <c r="E464" s="10" t="s">
        <v>23</v>
      </c>
      <c r="F464" s="10" t="s">
        <v>41</v>
      </c>
      <c r="G464" s="6">
        <v>0</v>
      </c>
      <c r="H464" s="6"/>
      <c r="I464" s="6">
        <v>0</v>
      </c>
      <c r="J464" s="6">
        <v>0</v>
      </c>
      <c r="K464" s="13">
        <v>0</v>
      </c>
      <c r="L464" s="13">
        <v>0</v>
      </c>
      <c r="M464" s="8">
        <v>0</v>
      </c>
      <c r="N464" s="8">
        <v>0</v>
      </c>
    </row>
    <row r="465" spans="1:14" x14ac:dyDescent="0.25">
      <c r="A465" s="10" t="s">
        <v>1173</v>
      </c>
      <c r="B465" s="10">
        <v>84893</v>
      </c>
      <c r="C465" s="10" t="s">
        <v>1174</v>
      </c>
      <c r="D465" s="10" t="s">
        <v>1175</v>
      </c>
      <c r="E465" s="10" t="s">
        <v>23</v>
      </c>
      <c r="F465" s="10" t="s">
        <v>41</v>
      </c>
      <c r="G465" s="6">
        <v>0</v>
      </c>
      <c r="H465" s="6"/>
      <c r="I465" s="6">
        <v>0</v>
      </c>
      <c r="J465" s="6">
        <v>0</v>
      </c>
      <c r="K465" s="13">
        <v>0</v>
      </c>
      <c r="L465" s="13">
        <v>0</v>
      </c>
      <c r="M465" s="8">
        <v>0</v>
      </c>
      <c r="N465" s="8">
        <v>0</v>
      </c>
    </row>
    <row r="466" spans="1:14" x14ac:dyDescent="0.25">
      <c r="A466" s="10" t="s">
        <v>1176</v>
      </c>
      <c r="B466" s="10">
        <v>84901</v>
      </c>
      <c r="C466" s="10" t="s">
        <v>1177</v>
      </c>
      <c r="D466" s="10" t="s">
        <v>1178</v>
      </c>
      <c r="E466" s="10" t="s">
        <v>21</v>
      </c>
      <c r="F466" s="10" t="s">
        <v>41</v>
      </c>
      <c r="G466" s="6">
        <v>323</v>
      </c>
      <c r="H466" s="6"/>
      <c r="I466" s="6">
        <v>309</v>
      </c>
      <c r="J466" s="6">
        <v>14</v>
      </c>
      <c r="K466" s="13">
        <v>11841.18</v>
      </c>
      <c r="L466" s="13">
        <v>11327.94</v>
      </c>
      <c r="M466" s="8">
        <v>57697.881624579997</v>
      </c>
      <c r="N466" s="8">
        <v>55197.04465014</v>
      </c>
    </row>
    <row r="467" spans="1:14" x14ac:dyDescent="0.25">
      <c r="A467" s="10" t="s">
        <v>1179</v>
      </c>
      <c r="B467" s="10">
        <v>84901</v>
      </c>
      <c r="C467" s="10" t="s">
        <v>1177</v>
      </c>
      <c r="D467" s="10" t="s">
        <v>1180</v>
      </c>
      <c r="E467" s="10" t="s">
        <v>21</v>
      </c>
      <c r="F467" s="10" t="s">
        <v>41</v>
      </c>
      <c r="G467" s="6">
        <v>178</v>
      </c>
      <c r="H467" s="6"/>
      <c r="I467" s="6">
        <v>178</v>
      </c>
      <c r="J467" s="6">
        <v>0</v>
      </c>
      <c r="K467" s="13">
        <v>6525.48</v>
      </c>
      <c r="L467" s="13">
        <v>6525.48</v>
      </c>
      <c r="M467" s="8">
        <v>34006.88745812</v>
      </c>
      <c r="N467" s="8">
        <v>34006.88745812</v>
      </c>
    </row>
    <row r="468" spans="1:14" x14ac:dyDescent="0.25">
      <c r="A468" s="10" t="s">
        <v>1181</v>
      </c>
      <c r="B468" s="10">
        <v>84911</v>
      </c>
      <c r="C468" s="10" t="s">
        <v>1182</v>
      </c>
      <c r="D468" s="10" t="s">
        <v>1183</v>
      </c>
      <c r="E468" s="10" t="s">
        <v>21</v>
      </c>
      <c r="F468" s="10" t="s">
        <v>41</v>
      </c>
      <c r="G468" s="6">
        <v>173</v>
      </c>
      <c r="H468" s="6"/>
      <c r="I468" s="6">
        <v>173</v>
      </c>
      <c r="J468" s="6">
        <v>0</v>
      </c>
      <c r="K468" s="13">
        <v>5920.4059999999999</v>
      </c>
      <c r="L468" s="13">
        <v>5920.4059999999999</v>
      </c>
      <c r="M468" s="8">
        <v>24110.798514419999</v>
      </c>
      <c r="N468" s="8">
        <v>24110.798514419999</v>
      </c>
    </row>
    <row r="469" spans="1:14" x14ac:dyDescent="0.25">
      <c r="A469" s="10" t="s">
        <v>1184</v>
      </c>
      <c r="B469" s="10">
        <v>84911</v>
      </c>
      <c r="C469" s="10" t="s">
        <v>1182</v>
      </c>
      <c r="D469" s="10" t="s">
        <v>1185</v>
      </c>
      <c r="E469" s="10" t="s">
        <v>21</v>
      </c>
      <c r="F469" s="10" t="s">
        <v>41</v>
      </c>
      <c r="G469" s="6">
        <v>51</v>
      </c>
      <c r="H469" s="6"/>
      <c r="I469" s="6">
        <v>21</v>
      </c>
      <c r="J469" s="6">
        <v>30</v>
      </c>
      <c r="K469" s="13">
        <v>1745.3219999999999</v>
      </c>
      <c r="L469" s="13">
        <v>718.66200000000003</v>
      </c>
      <c r="M469" s="8">
        <v>7643.6090191499998</v>
      </c>
      <c r="N469" s="8">
        <v>3147.3684196499999</v>
      </c>
    </row>
    <row r="470" spans="1:14" x14ac:dyDescent="0.25">
      <c r="A470" s="10" t="s">
        <v>1186</v>
      </c>
      <c r="B470" s="10">
        <v>84911</v>
      </c>
      <c r="C470" s="10" t="s">
        <v>1182</v>
      </c>
      <c r="D470" s="10" t="s">
        <v>1187</v>
      </c>
      <c r="E470" s="10" t="s">
        <v>21</v>
      </c>
      <c r="F470" s="10" t="s">
        <v>41</v>
      </c>
      <c r="G470" s="6">
        <v>288</v>
      </c>
      <c r="H470" s="6"/>
      <c r="I470" s="6">
        <v>288</v>
      </c>
      <c r="J470" s="6">
        <v>0</v>
      </c>
      <c r="K470" s="13">
        <v>9855.9359999999997</v>
      </c>
      <c r="L470" s="13">
        <v>9855.9359999999997</v>
      </c>
      <c r="M470" s="8">
        <v>41469.253816320001</v>
      </c>
      <c r="N470" s="8">
        <v>41469.253816320001</v>
      </c>
    </row>
    <row r="471" spans="1:14" x14ac:dyDescent="0.25">
      <c r="A471" s="10" t="s">
        <v>1188</v>
      </c>
      <c r="B471" s="10">
        <v>84911</v>
      </c>
      <c r="C471" s="10" t="s">
        <v>1182</v>
      </c>
      <c r="D471" s="10" t="s">
        <v>1189</v>
      </c>
      <c r="E471" s="10" t="s">
        <v>21</v>
      </c>
      <c r="F471" s="10" t="s">
        <v>41</v>
      </c>
      <c r="G471" s="6">
        <v>0</v>
      </c>
      <c r="H471" s="6"/>
      <c r="I471" s="6">
        <v>0</v>
      </c>
      <c r="J471" s="6">
        <v>0</v>
      </c>
      <c r="K471" s="13">
        <v>0</v>
      </c>
      <c r="L471" s="13">
        <v>0</v>
      </c>
      <c r="M471" s="8">
        <v>0</v>
      </c>
      <c r="N471" s="8">
        <v>0</v>
      </c>
    </row>
    <row r="472" spans="1:14" x14ac:dyDescent="0.25">
      <c r="A472" s="10" t="s">
        <v>1190</v>
      </c>
      <c r="B472" s="10">
        <v>84921</v>
      </c>
      <c r="C472" s="10" t="s">
        <v>1191</v>
      </c>
      <c r="D472" s="10" t="s">
        <v>1192</v>
      </c>
      <c r="E472" s="10" t="s">
        <v>21</v>
      </c>
      <c r="F472" s="10" t="s">
        <v>41</v>
      </c>
      <c r="G472" s="6">
        <v>35</v>
      </c>
      <c r="H472" s="6"/>
      <c r="I472" s="6">
        <v>16</v>
      </c>
      <c r="J472" s="6">
        <v>19</v>
      </c>
      <c r="K472" s="13">
        <v>1460.55</v>
      </c>
      <c r="L472" s="13">
        <v>667.68</v>
      </c>
      <c r="M472" s="8">
        <v>7443.4052035000004</v>
      </c>
      <c r="N472" s="8">
        <v>3402.6995216</v>
      </c>
    </row>
    <row r="473" spans="1:14" x14ac:dyDescent="0.25">
      <c r="A473" s="10" t="s">
        <v>1193</v>
      </c>
      <c r="B473" s="10">
        <v>84921</v>
      </c>
      <c r="C473" s="10" t="s">
        <v>1191</v>
      </c>
      <c r="D473" s="10" t="s">
        <v>1194</v>
      </c>
      <c r="E473" s="10" t="s">
        <v>21</v>
      </c>
      <c r="F473" s="10" t="s">
        <v>41</v>
      </c>
      <c r="G473" s="6">
        <v>30</v>
      </c>
      <c r="H473" s="6"/>
      <c r="I473" s="6">
        <v>0</v>
      </c>
      <c r="J473" s="6">
        <v>30</v>
      </c>
      <c r="K473" s="13">
        <v>1251.9000000000001</v>
      </c>
      <c r="L473" s="13">
        <v>0</v>
      </c>
      <c r="M473" s="8">
        <v>6207.0838655999996</v>
      </c>
      <c r="N473" s="8">
        <v>0</v>
      </c>
    </row>
    <row r="474" spans="1:14" x14ac:dyDescent="0.25">
      <c r="A474" s="10" t="s">
        <v>1195</v>
      </c>
      <c r="B474" s="10">
        <v>84921</v>
      </c>
      <c r="C474" s="10" t="s">
        <v>1191</v>
      </c>
      <c r="D474" s="10" t="s">
        <v>1196</v>
      </c>
      <c r="E474" s="10" t="s">
        <v>21</v>
      </c>
      <c r="F474" s="10" t="s">
        <v>41</v>
      </c>
      <c r="G474" s="6">
        <v>12</v>
      </c>
      <c r="H474" s="6"/>
      <c r="I474" s="6">
        <v>0</v>
      </c>
      <c r="J474" s="6">
        <v>12</v>
      </c>
      <c r="K474" s="13">
        <v>500.76</v>
      </c>
      <c r="L474" s="13">
        <v>0</v>
      </c>
      <c r="M474" s="8">
        <v>2294.0513253600002</v>
      </c>
      <c r="N474" s="8">
        <v>0</v>
      </c>
    </row>
    <row r="475" spans="1:14" x14ac:dyDescent="0.25">
      <c r="A475" s="10" t="s">
        <v>1197</v>
      </c>
      <c r="B475" s="10">
        <v>84924</v>
      </c>
      <c r="C475" s="10" t="s">
        <v>1198</v>
      </c>
      <c r="D475" s="10" t="s">
        <v>1199</v>
      </c>
      <c r="E475" s="10" t="s">
        <v>21</v>
      </c>
      <c r="F475" s="10" t="s">
        <v>41</v>
      </c>
      <c r="G475" s="6">
        <v>8</v>
      </c>
      <c r="H475" s="6"/>
      <c r="I475" s="6">
        <v>0</v>
      </c>
      <c r="J475" s="6">
        <v>8</v>
      </c>
      <c r="K475" s="13">
        <v>257.39999999999998</v>
      </c>
      <c r="L475" s="13">
        <v>0</v>
      </c>
      <c r="M475" s="8">
        <v>1255.8196531999999</v>
      </c>
      <c r="N475" s="8">
        <v>0</v>
      </c>
    </row>
    <row r="476" spans="1:14" x14ac:dyDescent="0.25">
      <c r="A476" s="10" t="s">
        <v>1200</v>
      </c>
      <c r="B476" s="10">
        <v>84924</v>
      </c>
      <c r="C476" s="10" t="s">
        <v>1198</v>
      </c>
      <c r="D476" s="10" t="s">
        <v>1201</v>
      </c>
      <c r="E476" s="10" t="s">
        <v>21</v>
      </c>
      <c r="F476" s="10" t="s">
        <v>41</v>
      </c>
      <c r="G476" s="6">
        <v>26</v>
      </c>
      <c r="H476" s="6"/>
      <c r="I476" s="6">
        <v>16</v>
      </c>
      <c r="J476" s="6">
        <v>10</v>
      </c>
      <c r="K476" s="13">
        <v>836.55</v>
      </c>
      <c r="L476" s="13">
        <v>514.79999999999995</v>
      </c>
      <c r="M476" s="8">
        <v>4614.4184463000001</v>
      </c>
      <c r="N476" s="8">
        <v>2839.6421208000002</v>
      </c>
    </row>
    <row r="477" spans="1:14" x14ac:dyDescent="0.25">
      <c r="A477" s="10" t="s">
        <v>1202</v>
      </c>
      <c r="B477" s="10">
        <v>84924</v>
      </c>
      <c r="C477" s="10" t="s">
        <v>1198</v>
      </c>
      <c r="D477" s="10" t="s">
        <v>1203</v>
      </c>
      <c r="E477" s="10" t="s">
        <v>21</v>
      </c>
      <c r="F477" s="10" t="s">
        <v>41</v>
      </c>
      <c r="G477" s="6">
        <v>30</v>
      </c>
      <c r="H477" s="6"/>
      <c r="I477" s="6">
        <v>30</v>
      </c>
      <c r="J477" s="6">
        <v>0</v>
      </c>
      <c r="K477" s="13">
        <v>965.25</v>
      </c>
      <c r="L477" s="13">
        <v>965.25</v>
      </c>
      <c r="M477" s="8">
        <v>5287.7430057000001</v>
      </c>
      <c r="N477" s="8">
        <v>5287.7430057000001</v>
      </c>
    </row>
    <row r="478" spans="1:14" x14ac:dyDescent="0.25">
      <c r="A478" s="10" t="s">
        <v>1204</v>
      </c>
      <c r="B478" s="10">
        <v>84924</v>
      </c>
      <c r="C478" s="10" t="s">
        <v>1198</v>
      </c>
      <c r="D478" s="10" t="s">
        <v>1205</v>
      </c>
      <c r="E478" s="10" t="s">
        <v>21</v>
      </c>
      <c r="F478" s="10" t="s">
        <v>41</v>
      </c>
      <c r="G478" s="6">
        <v>0</v>
      </c>
      <c r="H478" s="6"/>
      <c r="I478" s="6">
        <v>0</v>
      </c>
      <c r="J478" s="6">
        <v>0</v>
      </c>
      <c r="K478" s="13">
        <v>0</v>
      </c>
      <c r="L478" s="13">
        <v>0</v>
      </c>
      <c r="M478" s="8">
        <v>0</v>
      </c>
      <c r="N478" s="8">
        <v>0</v>
      </c>
    </row>
    <row r="479" spans="1:14" x14ac:dyDescent="0.25">
      <c r="A479" s="10" t="s">
        <v>1206</v>
      </c>
      <c r="B479" s="10">
        <v>84924</v>
      </c>
      <c r="C479" s="10" t="s">
        <v>1198</v>
      </c>
      <c r="D479" s="10" t="s">
        <v>1207</v>
      </c>
      <c r="E479" s="10" t="s">
        <v>21</v>
      </c>
      <c r="F479" s="10" t="s">
        <v>41</v>
      </c>
      <c r="G479" s="6">
        <v>7</v>
      </c>
      <c r="H479" s="6"/>
      <c r="I479" s="6">
        <v>0</v>
      </c>
      <c r="J479" s="6">
        <v>7</v>
      </c>
      <c r="K479" s="13">
        <v>225.22499999999999</v>
      </c>
      <c r="L479" s="13">
        <v>0</v>
      </c>
      <c r="M479" s="8">
        <v>1132.30219655</v>
      </c>
      <c r="N479" s="8">
        <v>0</v>
      </c>
    </row>
    <row r="480" spans="1:14" x14ac:dyDescent="0.25">
      <c r="A480" s="10" t="s">
        <v>1208</v>
      </c>
      <c r="B480" s="10">
        <v>84929</v>
      </c>
      <c r="C480" s="10" t="s">
        <v>1209</v>
      </c>
      <c r="D480" s="10" t="s">
        <v>1210</v>
      </c>
      <c r="E480" s="10" t="s">
        <v>21</v>
      </c>
      <c r="F480" s="10" t="s">
        <v>41</v>
      </c>
      <c r="G480" s="6">
        <v>0</v>
      </c>
      <c r="H480" s="6"/>
      <c r="I480" s="6">
        <v>0</v>
      </c>
      <c r="J480" s="6">
        <v>0</v>
      </c>
      <c r="K480" s="13">
        <v>0</v>
      </c>
      <c r="L480" s="13">
        <v>0</v>
      </c>
      <c r="M480" s="8">
        <v>0</v>
      </c>
      <c r="N480" s="8">
        <v>0</v>
      </c>
    </row>
    <row r="481" spans="1:14" x14ac:dyDescent="0.25">
      <c r="A481" s="10" t="s">
        <v>1211</v>
      </c>
      <c r="B481" s="10">
        <v>84931</v>
      </c>
      <c r="C481" s="10" t="s">
        <v>1212</v>
      </c>
      <c r="D481" s="10" t="s">
        <v>1213</v>
      </c>
      <c r="E481" s="10" t="s">
        <v>21</v>
      </c>
      <c r="F481" s="10" t="s">
        <v>41</v>
      </c>
      <c r="G481" s="6">
        <v>0</v>
      </c>
      <c r="H481" s="6"/>
      <c r="I481" s="6">
        <v>0</v>
      </c>
      <c r="J481" s="6">
        <v>0</v>
      </c>
      <c r="K481" s="13">
        <v>0</v>
      </c>
      <c r="L481" s="13">
        <v>0</v>
      </c>
      <c r="M481" s="8">
        <v>0</v>
      </c>
      <c r="N481" s="8">
        <v>0</v>
      </c>
    </row>
    <row r="482" spans="1:14" x14ac:dyDescent="0.25">
      <c r="A482" s="10" t="s">
        <v>1214</v>
      </c>
      <c r="B482" s="10">
        <v>84938</v>
      </c>
      <c r="C482" s="10" t="s">
        <v>1215</v>
      </c>
      <c r="D482" s="10" t="s">
        <v>1216</v>
      </c>
      <c r="E482" s="10" t="s">
        <v>21</v>
      </c>
      <c r="F482" s="10" t="s">
        <v>41</v>
      </c>
      <c r="G482" s="6">
        <v>209</v>
      </c>
      <c r="H482" s="6"/>
      <c r="I482" s="6">
        <v>209</v>
      </c>
      <c r="J482" s="6">
        <v>0</v>
      </c>
      <c r="K482" s="13">
        <v>6296.5429999999997</v>
      </c>
      <c r="L482" s="13">
        <v>6296.5429999999997</v>
      </c>
      <c r="M482" s="8">
        <v>34617.587748259997</v>
      </c>
      <c r="N482" s="8">
        <v>34617.587748259997</v>
      </c>
    </row>
    <row r="483" spans="1:14" x14ac:dyDescent="0.25">
      <c r="A483" s="10" t="s">
        <v>1217</v>
      </c>
      <c r="B483" s="10">
        <v>84938</v>
      </c>
      <c r="C483" s="10" t="s">
        <v>1215</v>
      </c>
      <c r="D483" s="10" t="s">
        <v>1218</v>
      </c>
      <c r="E483" s="10" t="s">
        <v>21</v>
      </c>
      <c r="F483" s="10" t="s">
        <v>41</v>
      </c>
      <c r="G483" s="6">
        <v>239</v>
      </c>
      <c r="H483" s="6"/>
      <c r="I483" s="6">
        <v>239</v>
      </c>
      <c r="J483" s="6">
        <v>0</v>
      </c>
      <c r="K483" s="13">
        <v>7200.3530000000001</v>
      </c>
      <c r="L483" s="13">
        <v>7200.3530000000001</v>
      </c>
      <c r="M483" s="8">
        <v>39240.25901663</v>
      </c>
      <c r="N483" s="8">
        <v>39240.25901663</v>
      </c>
    </row>
    <row r="484" spans="1:14" x14ac:dyDescent="0.25">
      <c r="A484" s="10" t="s">
        <v>1219</v>
      </c>
      <c r="B484" s="10">
        <v>84938</v>
      </c>
      <c r="C484" s="10" t="s">
        <v>1215</v>
      </c>
      <c r="D484" s="10" t="s">
        <v>1220</v>
      </c>
      <c r="E484" s="10" t="s">
        <v>21</v>
      </c>
      <c r="F484" s="10" t="s">
        <v>41</v>
      </c>
      <c r="G484" s="6">
        <v>30</v>
      </c>
      <c r="H484" s="6"/>
      <c r="I484" s="6">
        <v>0</v>
      </c>
      <c r="J484" s="6">
        <v>30</v>
      </c>
      <c r="K484" s="13">
        <v>903.81</v>
      </c>
      <c r="L484" s="13">
        <v>0</v>
      </c>
      <c r="M484" s="8">
        <v>4066.5512822999999</v>
      </c>
      <c r="N484" s="8">
        <v>0</v>
      </c>
    </row>
    <row r="485" spans="1:14" x14ac:dyDescent="0.25">
      <c r="A485" s="10" t="s">
        <v>1221</v>
      </c>
      <c r="B485" s="10">
        <v>84941</v>
      </c>
      <c r="C485" s="10" t="s">
        <v>1222</v>
      </c>
      <c r="D485" s="10" t="s">
        <v>1223</v>
      </c>
      <c r="E485" s="10" t="s">
        <v>21</v>
      </c>
      <c r="F485" s="10" t="s">
        <v>41</v>
      </c>
      <c r="G485" s="6">
        <v>47</v>
      </c>
      <c r="H485" s="6"/>
      <c r="I485" s="6">
        <v>20</v>
      </c>
      <c r="J485" s="6">
        <v>27</v>
      </c>
      <c r="K485" s="13">
        <v>1053.9749999999999</v>
      </c>
      <c r="L485" s="13">
        <v>448.5</v>
      </c>
      <c r="M485" s="8">
        <v>4600.8904988699996</v>
      </c>
      <c r="N485" s="8">
        <v>1957.8257441999999</v>
      </c>
    </row>
    <row r="486" spans="1:14" x14ac:dyDescent="0.25">
      <c r="A486" s="10" t="s">
        <v>1224</v>
      </c>
      <c r="B486" s="10">
        <v>84941</v>
      </c>
      <c r="C486" s="10" t="s">
        <v>1222</v>
      </c>
      <c r="D486" s="10" t="s">
        <v>1225</v>
      </c>
      <c r="E486" s="10" t="s">
        <v>21</v>
      </c>
      <c r="F486" s="10" t="s">
        <v>41</v>
      </c>
      <c r="G486" s="6">
        <v>207</v>
      </c>
      <c r="H486" s="6"/>
      <c r="I486" s="6">
        <v>207</v>
      </c>
      <c r="J486" s="6">
        <v>0</v>
      </c>
      <c r="K486" s="13">
        <v>4641.9750000000004</v>
      </c>
      <c r="L486" s="13">
        <v>4641.9750000000004</v>
      </c>
      <c r="M486" s="8">
        <v>22573.909796309999</v>
      </c>
      <c r="N486" s="8">
        <v>22573.909796309999</v>
      </c>
    </row>
    <row r="487" spans="1:14" x14ac:dyDescent="0.25">
      <c r="A487" s="10" t="s">
        <v>1226</v>
      </c>
      <c r="B487" s="10">
        <v>84941</v>
      </c>
      <c r="C487" s="10" t="s">
        <v>1222</v>
      </c>
      <c r="D487" s="10" t="s">
        <v>1227</v>
      </c>
      <c r="E487" s="10" t="s">
        <v>21</v>
      </c>
      <c r="F487" s="10" t="s">
        <v>41</v>
      </c>
      <c r="G487" s="6">
        <v>238</v>
      </c>
      <c r="H487" s="6"/>
      <c r="I487" s="6">
        <v>238</v>
      </c>
      <c r="J487" s="6">
        <v>0</v>
      </c>
      <c r="K487" s="13">
        <v>5337.15</v>
      </c>
      <c r="L487" s="13">
        <v>5337.15</v>
      </c>
      <c r="M487" s="8">
        <v>24199.135853200001</v>
      </c>
      <c r="N487" s="8">
        <v>24199.135853200001</v>
      </c>
    </row>
    <row r="488" spans="1:14" x14ac:dyDescent="0.25">
      <c r="A488" s="10" t="s">
        <v>1228</v>
      </c>
      <c r="B488" s="10">
        <v>84958</v>
      </c>
      <c r="C488" s="10" t="s">
        <v>1229</v>
      </c>
      <c r="D488" s="10" t="s">
        <v>1230</v>
      </c>
      <c r="E488" s="10" t="s">
        <v>21</v>
      </c>
      <c r="F488" s="10" t="s">
        <v>41</v>
      </c>
      <c r="G488" s="6">
        <v>3</v>
      </c>
      <c r="H488" s="6"/>
      <c r="I488" s="6">
        <v>0</v>
      </c>
      <c r="J488" s="6">
        <v>3</v>
      </c>
      <c r="K488" s="13">
        <v>111.15</v>
      </c>
      <c r="L488" s="13">
        <v>0</v>
      </c>
      <c r="M488" s="8">
        <v>411.35950026</v>
      </c>
      <c r="N488" s="8">
        <v>0</v>
      </c>
    </row>
    <row r="489" spans="1:14" x14ac:dyDescent="0.25">
      <c r="A489" s="10" t="s">
        <v>1231</v>
      </c>
      <c r="B489" s="10">
        <v>84958</v>
      </c>
      <c r="C489" s="10" t="s">
        <v>1229</v>
      </c>
      <c r="D489" s="10" t="s">
        <v>1232</v>
      </c>
      <c r="E489" s="10" t="s">
        <v>21</v>
      </c>
      <c r="F489" s="10" t="s">
        <v>41</v>
      </c>
      <c r="G489" s="6">
        <v>1</v>
      </c>
      <c r="H489" s="6"/>
      <c r="I489" s="6">
        <v>0</v>
      </c>
      <c r="J489" s="6">
        <v>1</v>
      </c>
      <c r="K489" s="13">
        <v>37.049999999999997</v>
      </c>
      <c r="L489" s="13">
        <v>0</v>
      </c>
      <c r="M489" s="8">
        <v>136.22289588999999</v>
      </c>
      <c r="N489" s="8">
        <v>0</v>
      </c>
    </row>
    <row r="490" spans="1:14" x14ac:dyDescent="0.25">
      <c r="A490" s="10" t="s">
        <v>1233</v>
      </c>
      <c r="B490" s="10">
        <v>84966</v>
      </c>
      <c r="C490" s="10" t="s">
        <v>1234</v>
      </c>
      <c r="D490" s="10" t="s">
        <v>1235</v>
      </c>
      <c r="E490" s="10" t="s">
        <v>21</v>
      </c>
      <c r="F490" s="10" t="s">
        <v>41</v>
      </c>
      <c r="G490" s="6">
        <v>5</v>
      </c>
      <c r="H490" s="6"/>
      <c r="I490" s="6">
        <v>0</v>
      </c>
      <c r="J490" s="6">
        <v>5</v>
      </c>
      <c r="K490" s="13">
        <v>175.5</v>
      </c>
      <c r="L490" s="13">
        <v>0</v>
      </c>
      <c r="M490" s="8">
        <v>970.16141794999999</v>
      </c>
      <c r="N490" s="8">
        <v>0</v>
      </c>
    </row>
    <row r="491" spans="1:14" x14ac:dyDescent="0.25">
      <c r="A491" s="10" t="s">
        <v>1236</v>
      </c>
      <c r="B491" s="10">
        <v>84966</v>
      </c>
      <c r="C491" s="10" t="s">
        <v>1234</v>
      </c>
      <c r="D491" s="10" t="s">
        <v>1237</v>
      </c>
      <c r="E491" s="10" t="s">
        <v>21</v>
      </c>
      <c r="F491" s="10" t="s">
        <v>41</v>
      </c>
      <c r="G491" s="6">
        <v>6</v>
      </c>
      <c r="H491" s="6"/>
      <c r="I491" s="6">
        <v>0</v>
      </c>
      <c r="J491" s="6">
        <v>6</v>
      </c>
      <c r="K491" s="13">
        <v>210.6</v>
      </c>
      <c r="L491" s="13">
        <v>0</v>
      </c>
      <c r="M491" s="8">
        <v>1132.82582052</v>
      </c>
      <c r="N491" s="8">
        <v>0</v>
      </c>
    </row>
    <row r="492" spans="1:14" x14ac:dyDescent="0.25">
      <c r="A492" s="10" t="s">
        <v>1238</v>
      </c>
      <c r="B492" s="10">
        <v>85009</v>
      </c>
      <c r="C492" s="10" t="s">
        <v>1239</v>
      </c>
      <c r="D492" s="10" t="s">
        <v>1240</v>
      </c>
      <c r="E492" s="10" t="s">
        <v>22</v>
      </c>
      <c r="F492" s="10" t="s">
        <v>41</v>
      </c>
      <c r="G492" s="6">
        <v>0</v>
      </c>
      <c r="H492" s="6"/>
      <c r="I492" s="6">
        <v>0</v>
      </c>
      <c r="J492" s="6">
        <v>0</v>
      </c>
      <c r="K492" s="13">
        <v>0</v>
      </c>
      <c r="L492" s="13">
        <v>0</v>
      </c>
      <c r="M492" s="8">
        <v>0</v>
      </c>
      <c r="N492" s="8">
        <v>0</v>
      </c>
    </row>
    <row r="493" spans="1:14" x14ac:dyDescent="0.25">
      <c r="A493" s="10" t="s">
        <v>1241</v>
      </c>
      <c r="B493" s="10">
        <v>85009</v>
      </c>
      <c r="C493" s="10" t="s">
        <v>1239</v>
      </c>
      <c r="D493" s="10" t="s">
        <v>1242</v>
      </c>
      <c r="E493" s="10" t="s">
        <v>22</v>
      </c>
      <c r="F493" s="10" t="s">
        <v>41</v>
      </c>
      <c r="G493" s="6">
        <v>0</v>
      </c>
      <c r="H493" s="6"/>
      <c r="I493" s="6">
        <v>0</v>
      </c>
      <c r="J493" s="6">
        <v>0</v>
      </c>
      <c r="K493" s="13">
        <v>0</v>
      </c>
      <c r="L493" s="13">
        <v>0</v>
      </c>
      <c r="M493" s="8">
        <v>0</v>
      </c>
      <c r="N493" s="8">
        <v>0</v>
      </c>
    </row>
    <row r="494" spans="1:14" x14ac:dyDescent="0.25">
      <c r="A494" s="10" t="s">
        <v>1243</v>
      </c>
      <c r="B494" s="10">
        <v>85010</v>
      </c>
      <c r="C494" s="10" t="s">
        <v>1244</v>
      </c>
      <c r="D494" s="10" t="s">
        <v>1245</v>
      </c>
      <c r="E494" s="10" t="s">
        <v>22</v>
      </c>
      <c r="F494" s="10" t="s">
        <v>41</v>
      </c>
      <c r="G494" s="6">
        <v>6</v>
      </c>
      <c r="H494" s="6"/>
      <c r="I494" s="6">
        <v>0</v>
      </c>
      <c r="J494" s="6">
        <v>6</v>
      </c>
      <c r="K494" s="13">
        <v>86.867999999999995</v>
      </c>
      <c r="L494" s="13">
        <v>0</v>
      </c>
      <c r="M494" s="8">
        <v>459.56691239999998</v>
      </c>
      <c r="N494" s="8">
        <v>0</v>
      </c>
    </row>
    <row r="495" spans="1:14" x14ac:dyDescent="0.25">
      <c r="A495" s="10" t="s">
        <v>1246</v>
      </c>
      <c r="B495" s="10">
        <v>85015</v>
      </c>
      <c r="C495" s="10" t="s">
        <v>1247</v>
      </c>
      <c r="D495" s="10"/>
      <c r="E495" s="10" t="s">
        <v>22</v>
      </c>
      <c r="F495" s="10" t="s">
        <v>41</v>
      </c>
      <c r="G495" s="6">
        <v>0</v>
      </c>
      <c r="H495" s="6"/>
      <c r="I495" s="6">
        <v>0</v>
      </c>
      <c r="J495" s="6">
        <v>0</v>
      </c>
      <c r="K495" s="13">
        <v>0</v>
      </c>
      <c r="L495" s="13">
        <v>0</v>
      </c>
      <c r="M495" s="8">
        <v>0</v>
      </c>
      <c r="N495" s="8">
        <v>0</v>
      </c>
    </row>
    <row r="496" spans="1:14" x14ac:dyDescent="0.25">
      <c r="A496" s="10" t="s">
        <v>1248</v>
      </c>
      <c r="B496" s="10">
        <v>85024</v>
      </c>
      <c r="C496" s="10" t="s">
        <v>1249</v>
      </c>
      <c r="D496" s="10" t="s">
        <v>1250</v>
      </c>
      <c r="E496" s="10" t="s">
        <v>21</v>
      </c>
      <c r="F496" s="10" t="s">
        <v>41</v>
      </c>
      <c r="G496" s="6">
        <v>211</v>
      </c>
      <c r="H496" s="6"/>
      <c r="I496" s="6">
        <v>11</v>
      </c>
      <c r="J496" s="6">
        <v>200</v>
      </c>
      <c r="K496" s="13">
        <v>115.206</v>
      </c>
      <c r="L496" s="13">
        <v>6.0060000000000002</v>
      </c>
      <c r="M496" s="8">
        <v>768.63888340999995</v>
      </c>
      <c r="N496" s="8">
        <v>40.07122141</v>
      </c>
    </row>
    <row r="497" spans="1:14" x14ac:dyDescent="0.25">
      <c r="A497" s="10" t="s">
        <v>1251</v>
      </c>
      <c r="B497" s="10">
        <v>85024</v>
      </c>
      <c r="C497" s="10" t="s">
        <v>1249</v>
      </c>
      <c r="D497" s="10" t="s">
        <v>1252</v>
      </c>
      <c r="E497" s="10" t="s">
        <v>21</v>
      </c>
      <c r="F497" s="10" t="s">
        <v>41</v>
      </c>
      <c r="G497" s="6">
        <v>9</v>
      </c>
      <c r="H497" s="6"/>
      <c r="I497" s="6">
        <v>0</v>
      </c>
      <c r="J497" s="6">
        <v>9</v>
      </c>
      <c r="K497" s="13">
        <v>4.9139999999999997</v>
      </c>
      <c r="L497" s="13">
        <v>0</v>
      </c>
      <c r="M497" s="8">
        <v>23.659648740000002</v>
      </c>
      <c r="N497" s="8">
        <v>0</v>
      </c>
    </row>
    <row r="498" spans="1:14" x14ac:dyDescent="0.25">
      <c r="A498" s="10" t="s">
        <v>1253</v>
      </c>
      <c r="B498" s="10">
        <v>85024</v>
      </c>
      <c r="C498" s="10" t="s">
        <v>1249</v>
      </c>
      <c r="D498" s="10" t="s">
        <v>1254</v>
      </c>
      <c r="E498" s="10" t="s">
        <v>21</v>
      </c>
      <c r="F498" s="10" t="s">
        <v>41</v>
      </c>
      <c r="G498" s="6">
        <v>40</v>
      </c>
      <c r="H498" s="6"/>
      <c r="I498" s="6">
        <v>16</v>
      </c>
      <c r="J498" s="6">
        <v>24</v>
      </c>
      <c r="K498" s="13">
        <v>21.84</v>
      </c>
      <c r="L498" s="13">
        <v>8.7360000000000007</v>
      </c>
      <c r="M498" s="8">
        <v>142.14665959999999</v>
      </c>
      <c r="N498" s="8">
        <v>56.858663839999998</v>
      </c>
    </row>
    <row r="499" spans="1:14" x14ac:dyDescent="0.25">
      <c r="A499" s="10" t="s">
        <v>1255</v>
      </c>
      <c r="B499" s="10">
        <v>85025</v>
      </c>
      <c r="C499" s="10" t="s">
        <v>1256</v>
      </c>
      <c r="D499" s="10" t="s">
        <v>1257</v>
      </c>
      <c r="E499" s="10" t="s">
        <v>21</v>
      </c>
      <c r="F499" s="10" t="s">
        <v>41</v>
      </c>
      <c r="G499" s="6">
        <v>81</v>
      </c>
      <c r="H499" s="6"/>
      <c r="I499" s="6">
        <v>21</v>
      </c>
      <c r="J499" s="6">
        <v>60</v>
      </c>
      <c r="K499" s="13">
        <v>31.59</v>
      </c>
      <c r="L499" s="13">
        <v>8.19</v>
      </c>
      <c r="M499" s="8">
        <v>286.93737756000002</v>
      </c>
      <c r="N499" s="8">
        <v>74.391171959999994</v>
      </c>
    </row>
    <row r="500" spans="1:14" x14ac:dyDescent="0.25">
      <c r="A500" s="10" t="s">
        <v>1258</v>
      </c>
      <c r="B500" s="10">
        <v>85025</v>
      </c>
      <c r="C500" s="10" t="s">
        <v>1256</v>
      </c>
      <c r="D500" s="10" t="s">
        <v>1259</v>
      </c>
      <c r="E500" s="10" t="s">
        <v>21</v>
      </c>
      <c r="F500" s="10" t="s">
        <v>41</v>
      </c>
      <c r="G500" s="6">
        <v>18</v>
      </c>
      <c r="H500" s="6"/>
      <c r="I500" s="6">
        <v>0</v>
      </c>
      <c r="J500" s="6">
        <v>18</v>
      </c>
      <c r="K500" s="13">
        <v>7.02</v>
      </c>
      <c r="L500" s="13">
        <v>0</v>
      </c>
      <c r="M500" s="8">
        <v>33.310926719999998</v>
      </c>
      <c r="N500" s="8">
        <v>0</v>
      </c>
    </row>
    <row r="501" spans="1:14" x14ac:dyDescent="0.25">
      <c r="A501" s="10" t="s">
        <v>1260</v>
      </c>
      <c r="B501" s="10">
        <v>85025</v>
      </c>
      <c r="C501" s="10" t="s">
        <v>1256</v>
      </c>
      <c r="D501" s="10" t="s">
        <v>1261</v>
      </c>
      <c r="E501" s="10" t="s">
        <v>21</v>
      </c>
      <c r="F501" s="10" t="s">
        <v>41</v>
      </c>
      <c r="G501" s="6">
        <v>32</v>
      </c>
      <c r="H501" s="6"/>
      <c r="I501" s="6">
        <v>32</v>
      </c>
      <c r="J501" s="6">
        <v>0</v>
      </c>
      <c r="K501" s="13">
        <v>12.48</v>
      </c>
      <c r="L501" s="13">
        <v>12.48</v>
      </c>
      <c r="M501" s="8">
        <v>111.13026784</v>
      </c>
      <c r="N501" s="8">
        <v>111.13026784</v>
      </c>
    </row>
    <row r="502" spans="1:14" x14ac:dyDescent="0.25">
      <c r="A502" s="10" t="s">
        <v>1262</v>
      </c>
      <c r="B502" s="10">
        <v>85027</v>
      </c>
      <c r="C502" s="10" t="s">
        <v>1263</v>
      </c>
      <c r="D502" s="10" t="s">
        <v>1264</v>
      </c>
      <c r="E502" s="10" t="s">
        <v>22</v>
      </c>
      <c r="F502" s="10" t="s">
        <v>41</v>
      </c>
      <c r="G502" s="6">
        <v>438</v>
      </c>
      <c r="H502" s="6"/>
      <c r="I502" s="6">
        <v>438</v>
      </c>
      <c r="J502" s="6">
        <v>0</v>
      </c>
      <c r="K502" s="13">
        <v>17359.254000000001</v>
      </c>
      <c r="L502" s="13">
        <v>17359.254000000001</v>
      </c>
      <c r="M502" s="8">
        <v>97268.968163640006</v>
      </c>
      <c r="N502" s="8">
        <v>97268.968163640006</v>
      </c>
    </row>
    <row r="503" spans="1:14" x14ac:dyDescent="0.25">
      <c r="A503" s="10" t="s">
        <v>1265</v>
      </c>
      <c r="B503" s="10">
        <v>85038</v>
      </c>
      <c r="C503" s="10" t="s">
        <v>1266</v>
      </c>
      <c r="D503" s="10" t="s">
        <v>1267</v>
      </c>
      <c r="E503" s="10" t="s">
        <v>22</v>
      </c>
      <c r="F503" s="10" t="s">
        <v>41</v>
      </c>
      <c r="G503" s="6">
        <v>472</v>
      </c>
      <c r="H503" s="6"/>
      <c r="I503" s="6">
        <v>458</v>
      </c>
      <c r="J503" s="6">
        <v>14</v>
      </c>
      <c r="K503" s="13">
        <v>11757.992</v>
      </c>
      <c r="L503" s="13">
        <v>11409.237999999999</v>
      </c>
      <c r="M503" s="8">
        <v>69566.346259040001</v>
      </c>
      <c r="N503" s="8">
        <v>67502.937683559998</v>
      </c>
    </row>
    <row r="504" spans="1:14" x14ac:dyDescent="0.25">
      <c r="A504" s="10" t="s">
        <v>1268</v>
      </c>
      <c r="B504" s="10">
        <v>85124</v>
      </c>
      <c r="C504" s="10" t="s">
        <v>1269</v>
      </c>
      <c r="D504" s="10" t="s">
        <v>1270</v>
      </c>
      <c r="E504" s="10" t="s">
        <v>22</v>
      </c>
      <c r="F504" s="10" t="s">
        <v>41</v>
      </c>
      <c r="G504" s="6">
        <v>583</v>
      </c>
      <c r="H504" s="6"/>
      <c r="I504" s="6">
        <v>580</v>
      </c>
      <c r="J504" s="6">
        <v>3</v>
      </c>
      <c r="K504" s="13">
        <v>7952.12</v>
      </c>
      <c r="L504" s="13">
        <v>7911.2</v>
      </c>
      <c r="M504" s="8">
        <v>60935.419137669996</v>
      </c>
      <c r="N504" s="8">
        <v>60621.857804200001</v>
      </c>
    </row>
    <row r="505" spans="1:14" x14ac:dyDescent="0.25">
      <c r="A505" s="10" t="s">
        <v>1271</v>
      </c>
      <c r="B505" s="10">
        <v>85124</v>
      </c>
      <c r="C505" s="10" t="s">
        <v>1269</v>
      </c>
      <c r="D505" s="10" t="s">
        <v>1272</v>
      </c>
      <c r="E505" s="10" t="s">
        <v>22</v>
      </c>
      <c r="F505" s="10" t="s">
        <v>41</v>
      </c>
      <c r="G505" s="6">
        <v>2</v>
      </c>
      <c r="H505" s="6"/>
      <c r="I505" s="6">
        <v>0</v>
      </c>
      <c r="J505" s="6">
        <v>2</v>
      </c>
      <c r="K505" s="13">
        <v>27.28</v>
      </c>
      <c r="L505" s="13">
        <v>0</v>
      </c>
      <c r="M505" s="8">
        <v>178.65918954</v>
      </c>
      <c r="N505" s="8">
        <v>0</v>
      </c>
    </row>
    <row r="506" spans="1:14" x14ac:dyDescent="0.25">
      <c r="A506" s="10" t="s">
        <v>1273</v>
      </c>
      <c r="B506" s="10">
        <v>85168</v>
      </c>
      <c r="C506" s="10" t="s">
        <v>1274</v>
      </c>
      <c r="D506" s="10" t="s">
        <v>1275</v>
      </c>
      <c r="E506" s="10" t="s">
        <v>22</v>
      </c>
      <c r="F506" s="10" t="s">
        <v>41</v>
      </c>
      <c r="G506" s="6">
        <v>6</v>
      </c>
      <c r="H506" s="6"/>
      <c r="I506" s="6">
        <v>6</v>
      </c>
      <c r="J506" s="6">
        <v>0</v>
      </c>
      <c r="K506" s="13">
        <v>171.40199999999999</v>
      </c>
      <c r="L506" s="13">
        <v>171.40199999999999</v>
      </c>
      <c r="M506" s="8">
        <v>834.38597100000004</v>
      </c>
      <c r="N506" s="8">
        <v>834.38597100000004</v>
      </c>
    </row>
    <row r="507" spans="1:14" x14ac:dyDescent="0.25">
      <c r="A507" s="10" t="s">
        <v>1276</v>
      </c>
      <c r="B507" s="10">
        <v>85168</v>
      </c>
      <c r="C507" s="10" t="s">
        <v>1274</v>
      </c>
      <c r="D507" s="10" t="s">
        <v>1277</v>
      </c>
      <c r="E507" s="10" t="s">
        <v>22</v>
      </c>
      <c r="F507" s="10" t="s">
        <v>41</v>
      </c>
      <c r="G507" s="6">
        <v>0</v>
      </c>
      <c r="H507" s="6"/>
      <c r="I507" s="6">
        <v>0</v>
      </c>
      <c r="J507" s="6">
        <v>0</v>
      </c>
      <c r="K507" s="13">
        <v>0</v>
      </c>
      <c r="L507" s="13">
        <v>0</v>
      </c>
      <c r="M507" s="8">
        <v>0</v>
      </c>
      <c r="N507" s="8">
        <v>0</v>
      </c>
    </row>
    <row r="508" spans="1:14" x14ac:dyDescent="0.25">
      <c r="A508" s="10" t="s">
        <v>1278</v>
      </c>
      <c r="B508" s="10">
        <v>85168</v>
      </c>
      <c r="C508" s="10" t="s">
        <v>1274</v>
      </c>
      <c r="D508" s="10" t="s">
        <v>1279</v>
      </c>
      <c r="E508" s="10" t="s">
        <v>22</v>
      </c>
      <c r="F508" s="10" t="s">
        <v>41</v>
      </c>
      <c r="G508" s="6">
        <v>5</v>
      </c>
      <c r="H508" s="6"/>
      <c r="I508" s="6">
        <v>0</v>
      </c>
      <c r="J508" s="6">
        <v>5</v>
      </c>
      <c r="K508" s="13">
        <v>142.83500000000001</v>
      </c>
      <c r="L508" s="13">
        <v>0</v>
      </c>
      <c r="M508" s="8">
        <v>696.47164250000003</v>
      </c>
      <c r="N508" s="8">
        <v>0</v>
      </c>
    </row>
    <row r="509" spans="1:14" x14ac:dyDescent="0.25">
      <c r="A509" s="10" t="s">
        <v>1280</v>
      </c>
      <c r="B509" s="10">
        <v>85168</v>
      </c>
      <c r="C509" s="10" t="s">
        <v>1274</v>
      </c>
      <c r="D509" s="10" t="s">
        <v>1281</v>
      </c>
      <c r="E509" s="10" t="s">
        <v>22</v>
      </c>
      <c r="F509" s="10" t="s">
        <v>41</v>
      </c>
      <c r="G509" s="6">
        <v>21</v>
      </c>
      <c r="H509" s="6"/>
      <c r="I509" s="6">
        <v>0</v>
      </c>
      <c r="J509" s="6">
        <v>21</v>
      </c>
      <c r="K509" s="13">
        <v>599.90700000000004</v>
      </c>
      <c r="L509" s="13">
        <v>0</v>
      </c>
      <c r="M509" s="8">
        <v>2933.7908984999999</v>
      </c>
      <c r="N509" s="8">
        <v>0</v>
      </c>
    </row>
    <row r="510" spans="1:14" x14ac:dyDescent="0.25">
      <c r="A510" s="10" t="s">
        <v>1282</v>
      </c>
      <c r="B510" s="10">
        <v>85259</v>
      </c>
      <c r="C510" s="10" t="s">
        <v>1283</v>
      </c>
      <c r="D510" s="10" t="s">
        <v>1284</v>
      </c>
      <c r="E510" s="10" t="s">
        <v>21</v>
      </c>
      <c r="F510" s="10" t="s">
        <v>41</v>
      </c>
      <c r="G510" s="6">
        <v>6</v>
      </c>
      <c r="H510" s="6"/>
      <c r="I510" s="6">
        <v>0</v>
      </c>
      <c r="J510" s="6">
        <v>6</v>
      </c>
      <c r="K510" s="13">
        <v>117</v>
      </c>
      <c r="L510" s="13">
        <v>0</v>
      </c>
      <c r="M510" s="8">
        <v>449.43003893999997</v>
      </c>
      <c r="N510" s="8">
        <v>0</v>
      </c>
    </row>
    <row r="511" spans="1:14" x14ac:dyDescent="0.25">
      <c r="A511" s="10" t="s">
        <v>1285</v>
      </c>
      <c r="B511" s="10">
        <v>85259</v>
      </c>
      <c r="C511" s="10" t="s">
        <v>1283</v>
      </c>
      <c r="D511" s="10" t="s">
        <v>1286</v>
      </c>
      <c r="E511" s="10" t="s">
        <v>21</v>
      </c>
      <c r="F511" s="10" t="s">
        <v>41</v>
      </c>
      <c r="G511" s="6">
        <v>5</v>
      </c>
      <c r="H511" s="6"/>
      <c r="I511" s="6">
        <v>0</v>
      </c>
      <c r="J511" s="6">
        <v>5</v>
      </c>
      <c r="K511" s="13">
        <v>97.5</v>
      </c>
      <c r="L511" s="13">
        <v>0</v>
      </c>
      <c r="M511" s="8">
        <v>381.45596504999997</v>
      </c>
      <c r="N511" s="8">
        <v>0</v>
      </c>
    </row>
    <row r="512" spans="1:14" x14ac:dyDescent="0.25">
      <c r="A512" s="10" t="s">
        <v>1287</v>
      </c>
      <c r="B512" s="10">
        <v>85284</v>
      </c>
      <c r="C512" s="10" t="s">
        <v>1288</v>
      </c>
      <c r="D512" s="10" t="s">
        <v>1289</v>
      </c>
      <c r="E512" s="10" t="s">
        <v>22</v>
      </c>
      <c r="F512" s="10" t="s">
        <v>41</v>
      </c>
      <c r="G512" s="6">
        <v>2769</v>
      </c>
      <c r="H512" s="6"/>
      <c r="I512" s="6">
        <v>1223</v>
      </c>
      <c r="J512" s="6">
        <v>1546</v>
      </c>
      <c r="K512" s="13">
        <v>36849.851999999999</v>
      </c>
      <c r="L512" s="13">
        <v>16275.683999999999</v>
      </c>
      <c r="M512" s="8">
        <v>321102.01113977999</v>
      </c>
      <c r="N512" s="8">
        <v>141822.95399926</v>
      </c>
    </row>
    <row r="513" spans="1:14" x14ac:dyDescent="0.25">
      <c r="A513" s="10" t="s">
        <v>1290</v>
      </c>
      <c r="B513" s="10">
        <v>85297</v>
      </c>
      <c r="C513" s="10" t="s">
        <v>1291</v>
      </c>
      <c r="D513" s="10" t="s">
        <v>1292</v>
      </c>
      <c r="E513" s="10" t="s">
        <v>22</v>
      </c>
      <c r="F513" s="10" t="s">
        <v>41</v>
      </c>
      <c r="G513" s="6">
        <v>113</v>
      </c>
      <c r="H513" s="6"/>
      <c r="I513" s="6">
        <v>0</v>
      </c>
      <c r="J513" s="6">
        <v>113</v>
      </c>
      <c r="K513" s="13">
        <v>1487.306</v>
      </c>
      <c r="L513" s="13">
        <v>0</v>
      </c>
      <c r="M513" s="8">
        <v>8949.6980930400005</v>
      </c>
      <c r="N513" s="8">
        <v>0</v>
      </c>
    </row>
    <row r="514" spans="1:14" x14ac:dyDescent="0.25">
      <c r="A514" s="10" t="s">
        <v>1293</v>
      </c>
      <c r="B514" s="10">
        <v>85315</v>
      </c>
      <c r="C514" s="10" t="s">
        <v>1294</v>
      </c>
      <c r="D514" s="10" t="s">
        <v>1295</v>
      </c>
      <c r="E514" s="10" t="s">
        <v>22</v>
      </c>
      <c r="F514" s="10" t="s">
        <v>41</v>
      </c>
      <c r="G514" s="6">
        <v>1</v>
      </c>
      <c r="H514" s="6"/>
      <c r="I514" s="6">
        <v>0</v>
      </c>
      <c r="J514" s="6">
        <v>1</v>
      </c>
      <c r="K514" s="13">
        <v>14.625</v>
      </c>
      <c r="L514" s="13">
        <v>0</v>
      </c>
      <c r="M514" s="8">
        <v>91.404297869999994</v>
      </c>
      <c r="N514" s="8">
        <v>0</v>
      </c>
    </row>
    <row r="515" spans="1:14" x14ac:dyDescent="0.25">
      <c r="A515" s="10" t="s">
        <v>1296</v>
      </c>
      <c r="B515" s="10">
        <v>85335</v>
      </c>
      <c r="C515" s="10" t="s">
        <v>1297</v>
      </c>
      <c r="D515" s="10" t="s">
        <v>1298</v>
      </c>
      <c r="E515" s="10" t="s">
        <v>22</v>
      </c>
      <c r="F515" s="10" t="s">
        <v>41</v>
      </c>
      <c r="G515" s="6">
        <v>38</v>
      </c>
      <c r="H515" s="6"/>
      <c r="I515" s="6">
        <v>0</v>
      </c>
      <c r="J515" s="6">
        <v>38</v>
      </c>
      <c r="K515" s="13">
        <v>555.75</v>
      </c>
      <c r="L515" s="13">
        <v>0</v>
      </c>
      <c r="M515" s="8">
        <v>3394.70331906</v>
      </c>
      <c r="N515" s="8">
        <v>0</v>
      </c>
    </row>
    <row r="516" spans="1:14" x14ac:dyDescent="0.25">
      <c r="A516" s="10" t="s">
        <v>1299</v>
      </c>
      <c r="B516" s="10">
        <v>85335</v>
      </c>
      <c r="C516" s="10" t="s">
        <v>1297</v>
      </c>
      <c r="D516" s="10" t="s">
        <v>1300</v>
      </c>
      <c r="E516" s="10" t="s">
        <v>22</v>
      </c>
      <c r="F516" s="10" t="s">
        <v>41</v>
      </c>
      <c r="G516" s="6">
        <v>2</v>
      </c>
      <c r="H516" s="6"/>
      <c r="I516" s="6">
        <v>0</v>
      </c>
      <c r="J516" s="6">
        <v>2</v>
      </c>
      <c r="K516" s="13">
        <v>29.25</v>
      </c>
      <c r="L516" s="13">
        <v>0</v>
      </c>
      <c r="M516" s="8">
        <v>179.00859574</v>
      </c>
      <c r="N516" s="8">
        <v>0</v>
      </c>
    </row>
    <row r="517" spans="1:14" x14ac:dyDescent="0.25">
      <c r="A517" s="10" t="s">
        <v>1301</v>
      </c>
      <c r="B517" s="10">
        <v>85344</v>
      </c>
      <c r="C517" s="10" t="s">
        <v>1302</v>
      </c>
      <c r="D517" s="10" t="s">
        <v>1303</v>
      </c>
      <c r="E517" s="10" t="s">
        <v>22</v>
      </c>
      <c r="F517" s="10" t="s">
        <v>41</v>
      </c>
      <c r="G517" s="6">
        <v>192</v>
      </c>
      <c r="H517" s="6"/>
      <c r="I517" s="6">
        <v>140</v>
      </c>
      <c r="J517" s="6">
        <v>52</v>
      </c>
      <c r="K517" s="13">
        <v>2330.4960000000001</v>
      </c>
      <c r="L517" s="13">
        <v>1699.32</v>
      </c>
      <c r="M517" s="8">
        <v>16437.033432960001</v>
      </c>
      <c r="N517" s="8">
        <v>11985.3368782</v>
      </c>
    </row>
    <row r="518" spans="1:14" x14ac:dyDescent="0.25">
      <c r="A518" s="10" t="s">
        <v>1304</v>
      </c>
      <c r="B518" s="10">
        <v>85344</v>
      </c>
      <c r="C518" s="10" t="s">
        <v>1302</v>
      </c>
      <c r="D518" s="10" t="s">
        <v>1305</v>
      </c>
      <c r="E518" s="10" t="s">
        <v>22</v>
      </c>
      <c r="F518" s="10" t="s">
        <v>41</v>
      </c>
      <c r="G518" s="6">
        <v>9</v>
      </c>
      <c r="H518" s="6"/>
      <c r="I518" s="6">
        <v>0</v>
      </c>
      <c r="J518" s="6">
        <v>9</v>
      </c>
      <c r="K518" s="13">
        <v>109.242</v>
      </c>
      <c r="L518" s="13">
        <v>0</v>
      </c>
      <c r="M518" s="8">
        <v>729.76020506999998</v>
      </c>
      <c r="N518" s="8">
        <v>0</v>
      </c>
    </row>
    <row r="519" spans="1:14" x14ac:dyDescent="0.25">
      <c r="A519" s="10" t="s">
        <v>1306</v>
      </c>
      <c r="B519" s="10">
        <v>85366</v>
      </c>
      <c r="C519" s="10" t="s">
        <v>1307</v>
      </c>
      <c r="D519" s="10" t="s">
        <v>1308</v>
      </c>
      <c r="E519" s="10" t="s">
        <v>22</v>
      </c>
      <c r="F519" s="10" t="s">
        <v>41</v>
      </c>
      <c r="G519" s="6">
        <v>49</v>
      </c>
      <c r="H519" s="6"/>
      <c r="I519" s="6">
        <v>25</v>
      </c>
      <c r="J519" s="6">
        <v>24</v>
      </c>
      <c r="K519" s="13">
        <v>616.27300000000002</v>
      </c>
      <c r="L519" s="13">
        <v>314.42500000000001</v>
      </c>
      <c r="M519" s="8">
        <v>4868.4874311499998</v>
      </c>
      <c r="N519" s="8">
        <v>2483.9221587500001</v>
      </c>
    </row>
    <row r="520" spans="1:14" x14ac:dyDescent="0.25">
      <c r="A520" s="10" t="s">
        <v>1309</v>
      </c>
      <c r="B520" s="10">
        <v>85366</v>
      </c>
      <c r="C520" s="10" t="s">
        <v>1307</v>
      </c>
      <c r="D520" s="10" t="s">
        <v>1310</v>
      </c>
      <c r="E520" s="10" t="s">
        <v>22</v>
      </c>
      <c r="F520" s="10" t="s">
        <v>41</v>
      </c>
      <c r="G520" s="6">
        <v>154</v>
      </c>
      <c r="H520" s="6"/>
      <c r="I520" s="6">
        <v>0</v>
      </c>
      <c r="J520" s="6">
        <v>154</v>
      </c>
      <c r="K520" s="13">
        <v>1936.8579999999999</v>
      </c>
      <c r="L520" s="13">
        <v>0</v>
      </c>
      <c r="M520" s="8">
        <v>17858.468612600002</v>
      </c>
      <c r="N520" s="8">
        <v>0</v>
      </c>
    </row>
    <row r="521" spans="1:14" x14ac:dyDescent="0.25">
      <c r="A521" s="10" t="s">
        <v>1311</v>
      </c>
      <c r="B521" s="10">
        <v>85366</v>
      </c>
      <c r="C521" s="10" t="s">
        <v>1307</v>
      </c>
      <c r="D521" s="10" t="s">
        <v>1312</v>
      </c>
      <c r="E521" s="10" t="s">
        <v>22</v>
      </c>
      <c r="F521" s="10" t="s">
        <v>41</v>
      </c>
      <c r="G521" s="6">
        <v>211</v>
      </c>
      <c r="H521" s="6"/>
      <c r="I521" s="6">
        <v>172</v>
      </c>
      <c r="J521" s="6">
        <v>39</v>
      </c>
      <c r="K521" s="13">
        <v>2653.7469999999998</v>
      </c>
      <c r="L521" s="13">
        <v>2163.2440000000001</v>
      </c>
      <c r="M521" s="8">
        <v>22986.817803170001</v>
      </c>
      <c r="N521" s="8">
        <v>18738.069488839999</v>
      </c>
    </row>
    <row r="522" spans="1:14" x14ac:dyDescent="0.25">
      <c r="A522" s="10" t="s">
        <v>1313</v>
      </c>
      <c r="B522" s="10">
        <v>85366</v>
      </c>
      <c r="C522" s="10" t="s">
        <v>1307</v>
      </c>
      <c r="D522" s="10" t="s">
        <v>1314</v>
      </c>
      <c r="E522" s="10" t="s">
        <v>22</v>
      </c>
      <c r="F522" s="10" t="s">
        <v>41</v>
      </c>
      <c r="G522" s="6">
        <v>180</v>
      </c>
      <c r="H522" s="6"/>
      <c r="I522" s="6">
        <v>144</v>
      </c>
      <c r="J522" s="6">
        <v>36</v>
      </c>
      <c r="K522" s="13">
        <v>2263.86</v>
      </c>
      <c r="L522" s="13">
        <v>1811.088</v>
      </c>
      <c r="M522" s="8">
        <v>16978.293912599998</v>
      </c>
      <c r="N522" s="8">
        <v>13582.63513008</v>
      </c>
    </row>
    <row r="523" spans="1:14" x14ac:dyDescent="0.25">
      <c r="A523" s="10" t="s">
        <v>1315</v>
      </c>
      <c r="B523" s="10">
        <v>85366</v>
      </c>
      <c r="C523" s="10" t="s">
        <v>1307</v>
      </c>
      <c r="D523" s="10" t="s">
        <v>1316</v>
      </c>
      <c r="E523" s="10" t="s">
        <v>22</v>
      </c>
      <c r="F523" s="10" t="s">
        <v>41</v>
      </c>
      <c r="G523" s="6">
        <v>108</v>
      </c>
      <c r="H523" s="6"/>
      <c r="I523" s="6">
        <v>108</v>
      </c>
      <c r="J523" s="6">
        <v>0</v>
      </c>
      <c r="K523" s="13">
        <v>1358.316</v>
      </c>
      <c r="L523" s="13">
        <v>1358.316</v>
      </c>
      <c r="M523" s="8">
        <v>10058.03578692</v>
      </c>
      <c r="N523" s="8">
        <v>10058.03578692</v>
      </c>
    </row>
    <row r="524" spans="1:14" x14ac:dyDescent="0.25">
      <c r="A524" s="10" t="s">
        <v>1317</v>
      </c>
      <c r="B524" s="10">
        <v>85366</v>
      </c>
      <c r="C524" s="10" t="s">
        <v>1307</v>
      </c>
      <c r="D524" s="10" t="s">
        <v>1318</v>
      </c>
      <c r="E524" s="10" t="s">
        <v>22</v>
      </c>
      <c r="F524" s="10" t="s">
        <v>41</v>
      </c>
      <c r="G524" s="6">
        <v>0</v>
      </c>
      <c r="H524" s="6"/>
      <c r="I524" s="6">
        <v>0</v>
      </c>
      <c r="J524" s="6">
        <v>0</v>
      </c>
      <c r="K524" s="13">
        <v>0</v>
      </c>
      <c r="L524" s="13">
        <v>0</v>
      </c>
      <c r="M524" s="8">
        <v>0</v>
      </c>
      <c r="N524" s="8">
        <v>0</v>
      </c>
    </row>
    <row r="525" spans="1:14" x14ac:dyDescent="0.25">
      <c r="A525" s="10" t="s">
        <v>1319</v>
      </c>
      <c r="B525" s="10">
        <v>85366</v>
      </c>
      <c r="C525" s="10" t="s">
        <v>1307</v>
      </c>
      <c r="D525" s="10" t="s">
        <v>1320</v>
      </c>
      <c r="E525" s="10" t="s">
        <v>22</v>
      </c>
      <c r="F525" s="10" t="s">
        <v>41</v>
      </c>
      <c r="G525" s="6">
        <v>96</v>
      </c>
      <c r="H525" s="6"/>
      <c r="I525" s="6">
        <v>94</v>
      </c>
      <c r="J525" s="6">
        <v>2</v>
      </c>
      <c r="K525" s="13">
        <v>1207.3920000000001</v>
      </c>
      <c r="L525" s="13">
        <v>1182.2380000000001</v>
      </c>
      <c r="M525" s="8">
        <v>8529.6191836800008</v>
      </c>
      <c r="N525" s="8">
        <v>8351.9187840199993</v>
      </c>
    </row>
    <row r="526" spans="1:14" x14ac:dyDescent="0.25">
      <c r="A526" s="10" t="s">
        <v>1321</v>
      </c>
      <c r="B526" s="10">
        <v>85436</v>
      </c>
      <c r="C526" s="10" t="s">
        <v>1322</v>
      </c>
      <c r="D526" s="10" t="s">
        <v>1323</v>
      </c>
      <c r="E526" s="10" t="s">
        <v>22</v>
      </c>
      <c r="F526" s="10" t="s">
        <v>41</v>
      </c>
      <c r="G526" s="6">
        <v>164</v>
      </c>
      <c r="H526" s="6"/>
      <c r="I526" s="6">
        <v>130</v>
      </c>
      <c r="J526" s="6">
        <v>34</v>
      </c>
      <c r="K526" s="13">
        <v>2982.0120000000002</v>
      </c>
      <c r="L526" s="13">
        <v>2363.79</v>
      </c>
      <c r="M526" s="8">
        <v>21029.9312976</v>
      </c>
      <c r="N526" s="8">
        <v>16670.067491999998</v>
      </c>
    </row>
    <row r="527" spans="1:14" x14ac:dyDescent="0.25">
      <c r="A527" s="10" t="s">
        <v>1324</v>
      </c>
      <c r="B527" s="10">
        <v>85436</v>
      </c>
      <c r="C527" s="10" t="s">
        <v>1322</v>
      </c>
      <c r="D527" s="10" t="s">
        <v>1325</v>
      </c>
      <c r="E527" s="10" t="s">
        <v>22</v>
      </c>
      <c r="F527" s="10" t="s">
        <v>41</v>
      </c>
      <c r="G527" s="6">
        <v>0</v>
      </c>
      <c r="H527" s="6"/>
      <c r="I527" s="6">
        <v>0</v>
      </c>
      <c r="J527" s="6">
        <v>0</v>
      </c>
      <c r="K527" s="13">
        <v>0</v>
      </c>
      <c r="L527" s="13">
        <v>0</v>
      </c>
      <c r="M527" s="8">
        <v>0</v>
      </c>
      <c r="N527" s="8">
        <v>0</v>
      </c>
    </row>
    <row r="528" spans="1:14" x14ac:dyDescent="0.25">
      <c r="A528" s="10" t="s">
        <v>1326</v>
      </c>
      <c r="B528" s="10">
        <v>85462</v>
      </c>
      <c r="C528" s="10" t="s">
        <v>1327</v>
      </c>
      <c r="D528" s="10" t="s">
        <v>1328</v>
      </c>
      <c r="E528" s="10" t="s">
        <v>22</v>
      </c>
      <c r="F528" s="10" t="s">
        <v>41</v>
      </c>
      <c r="G528" s="6">
        <v>1650</v>
      </c>
      <c r="H528" s="6"/>
      <c r="I528" s="6">
        <v>879</v>
      </c>
      <c r="J528" s="6">
        <v>771</v>
      </c>
      <c r="K528" s="13">
        <v>34587.300000000003</v>
      </c>
      <c r="L528" s="13">
        <v>18425.598000000002</v>
      </c>
      <c r="M528" s="8">
        <v>288701.1995175</v>
      </c>
      <c r="N528" s="8">
        <v>153799.00265205</v>
      </c>
    </row>
    <row r="529" spans="1:14" x14ac:dyDescent="0.25">
      <c r="A529" s="10" t="s">
        <v>1329</v>
      </c>
      <c r="B529" s="10">
        <v>85462</v>
      </c>
      <c r="C529" s="10" t="s">
        <v>1327</v>
      </c>
      <c r="D529" s="10" t="s">
        <v>1330</v>
      </c>
      <c r="E529" s="10" t="s">
        <v>22</v>
      </c>
      <c r="F529" s="10" t="s">
        <v>41</v>
      </c>
      <c r="G529" s="6">
        <v>0</v>
      </c>
      <c r="H529" s="6"/>
      <c r="I529" s="6">
        <v>0</v>
      </c>
      <c r="J529" s="6">
        <v>0</v>
      </c>
      <c r="K529" s="13">
        <v>0</v>
      </c>
      <c r="L529" s="13">
        <v>0</v>
      </c>
      <c r="M529" s="8">
        <v>0</v>
      </c>
      <c r="N529" s="8">
        <v>0</v>
      </c>
    </row>
    <row r="530" spans="1:14" x14ac:dyDescent="0.25">
      <c r="A530" s="10" t="s">
        <v>1331</v>
      </c>
      <c r="B530" s="10">
        <v>85474</v>
      </c>
      <c r="C530" s="10" t="s">
        <v>1332</v>
      </c>
      <c r="D530" s="10" t="s">
        <v>1333</v>
      </c>
      <c r="E530" s="10" t="s">
        <v>22</v>
      </c>
      <c r="F530" s="10" t="s">
        <v>41</v>
      </c>
      <c r="G530" s="6">
        <v>30</v>
      </c>
      <c r="H530" s="6"/>
      <c r="I530" s="6">
        <v>0</v>
      </c>
      <c r="J530" s="6">
        <v>30</v>
      </c>
      <c r="K530" s="13">
        <v>576.21</v>
      </c>
      <c r="L530" s="13">
        <v>0</v>
      </c>
      <c r="M530" s="8">
        <v>3521.2080473999999</v>
      </c>
      <c r="N530" s="8">
        <v>0</v>
      </c>
    </row>
    <row r="531" spans="1:14" x14ac:dyDescent="0.25">
      <c r="A531" s="10" t="s">
        <v>1334</v>
      </c>
      <c r="B531" s="10">
        <v>85507</v>
      </c>
      <c r="C531" s="10" t="s">
        <v>1335</v>
      </c>
      <c r="D531" s="10" t="s">
        <v>1336</v>
      </c>
      <c r="E531" s="10" t="s">
        <v>22</v>
      </c>
      <c r="F531" s="10" t="s">
        <v>41</v>
      </c>
      <c r="G531" s="6">
        <v>27</v>
      </c>
      <c r="H531" s="6"/>
      <c r="I531" s="6">
        <v>0</v>
      </c>
      <c r="J531" s="6">
        <v>27</v>
      </c>
      <c r="K531" s="13">
        <v>550.17899999999997</v>
      </c>
      <c r="L531" s="13">
        <v>0</v>
      </c>
      <c r="M531" s="8">
        <v>3543.0242856300001</v>
      </c>
      <c r="N531" s="8">
        <v>0</v>
      </c>
    </row>
    <row r="532" spans="1:14" x14ac:dyDescent="0.25">
      <c r="A532" s="10" t="s">
        <v>1337</v>
      </c>
      <c r="B532" s="10">
        <v>85507</v>
      </c>
      <c r="C532" s="10" t="s">
        <v>1335</v>
      </c>
      <c r="D532" s="10" t="s">
        <v>1338</v>
      </c>
      <c r="E532" s="10" t="s">
        <v>22</v>
      </c>
      <c r="F532" s="10" t="s">
        <v>41</v>
      </c>
      <c r="G532" s="6">
        <v>4</v>
      </c>
      <c r="H532" s="6"/>
      <c r="I532" s="6">
        <v>0</v>
      </c>
      <c r="J532" s="6">
        <v>4</v>
      </c>
      <c r="K532" s="13">
        <v>81.507999999999996</v>
      </c>
      <c r="L532" s="13">
        <v>0</v>
      </c>
      <c r="M532" s="8">
        <v>525.89248676</v>
      </c>
      <c r="N532" s="8">
        <v>0</v>
      </c>
    </row>
    <row r="533" spans="1:14" x14ac:dyDescent="0.25">
      <c r="A533" s="10" t="s">
        <v>1339</v>
      </c>
      <c r="B533" s="10">
        <v>85524</v>
      </c>
      <c r="C533" s="10" t="s">
        <v>1340</v>
      </c>
      <c r="D533" s="10" t="s">
        <v>1341</v>
      </c>
      <c r="E533" s="10" t="s">
        <v>22</v>
      </c>
      <c r="F533" s="10" t="s">
        <v>41</v>
      </c>
      <c r="G533" s="6">
        <v>0</v>
      </c>
      <c r="H533" s="6"/>
      <c r="I533" s="6">
        <v>0</v>
      </c>
      <c r="J533" s="6">
        <v>0</v>
      </c>
      <c r="K533" s="13">
        <v>0</v>
      </c>
      <c r="L533" s="13">
        <v>0</v>
      </c>
      <c r="M533" s="8">
        <v>0</v>
      </c>
      <c r="N533" s="8">
        <v>0</v>
      </c>
    </row>
    <row r="534" spans="1:14" x14ac:dyDescent="0.25">
      <c r="A534" s="10" t="s">
        <v>1342</v>
      </c>
      <c r="B534" s="10">
        <v>85543</v>
      </c>
      <c r="C534" s="10" t="s">
        <v>1343</v>
      </c>
      <c r="D534" s="10" t="s">
        <v>1344</v>
      </c>
      <c r="E534" s="10" t="s">
        <v>22</v>
      </c>
      <c r="F534" s="10" t="s">
        <v>41</v>
      </c>
      <c r="G534" s="6">
        <v>491</v>
      </c>
      <c r="H534" s="6"/>
      <c r="I534" s="6">
        <v>206</v>
      </c>
      <c r="J534" s="6">
        <v>285</v>
      </c>
      <c r="K534" s="13">
        <v>12207.242</v>
      </c>
      <c r="L534" s="13">
        <v>5121.5720000000001</v>
      </c>
      <c r="M534" s="8">
        <v>92566.106277700004</v>
      </c>
      <c r="N534" s="8">
        <v>38836.288988200002</v>
      </c>
    </row>
    <row r="535" spans="1:14" x14ac:dyDescent="0.25">
      <c r="A535" s="10" t="s">
        <v>1345</v>
      </c>
      <c r="B535" s="10">
        <v>85553</v>
      </c>
      <c r="C535" s="10" t="s">
        <v>1346</v>
      </c>
      <c r="D535" s="10" t="s">
        <v>1347</v>
      </c>
      <c r="E535" s="10" t="s">
        <v>22</v>
      </c>
      <c r="F535" s="10" t="s">
        <v>41</v>
      </c>
      <c r="G535" s="6">
        <v>108</v>
      </c>
      <c r="H535" s="6"/>
      <c r="I535" s="6">
        <v>20</v>
      </c>
      <c r="J535" s="6">
        <v>88</v>
      </c>
      <c r="K535" s="13">
        <v>4017.1680000000001</v>
      </c>
      <c r="L535" s="13">
        <v>743.92</v>
      </c>
      <c r="M535" s="8">
        <v>30143.302875000001</v>
      </c>
      <c r="N535" s="8">
        <v>5582.0931250000003</v>
      </c>
    </row>
    <row r="536" spans="1:14" x14ac:dyDescent="0.25">
      <c r="A536" s="10" t="s">
        <v>1348</v>
      </c>
      <c r="B536" s="10">
        <v>85553</v>
      </c>
      <c r="C536" s="10" t="s">
        <v>1346</v>
      </c>
      <c r="D536" s="10" t="s">
        <v>1349</v>
      </c>
      <c r="E536" s="10" t="s">
        <v>22</v>
      </c>
      <c r="F536" s="10" t="s">
        <v>41</v>
      </c>
      <c r="G536" s="6">
        <v>6</v>
      </c>
      <c r="H536" s="6"/>
      <c r="I536" s="6">
        <v>0</v>
      </c>
      <c r="J536" s="6">
        <v>6</v>
      </c>
      <c r="K536" s="13">
        <v>223.17599999999999</v>
      </c>
      <c r="L536" s="13">
        <v>0</v>
      </c>
      <c r="M536" s="8">
        <v>1230.6753854399999</v>
      </c>
      <c r="N536" s="8">
        <v>0</v>
      </c>
    </row>
    <row r="537" spans="1:14" x14ac:dyDescent="0.25">
      <c r="A537" s="10" t="s">
        <v>1350</v>
      </c>
      <c r="B537" s="10">
        <v>85594</v>
      </c>
      <c r="C537" s="10" t="s">
        <v>1351</v>
      </c>
      <c r="D537" s="10" t="s">
        <v>1352</v>
      </c>
      <c r="E537" s="10" t="s">
        <v>22</v>
      </c>
      <c r="F537" s="10" t="s">
        <v>41</v>
      </c>
      <c r="G537" s="6">
        <v>73</v>
      </c>
      <c r="H537" s="6"/>
      <c r="I537" s="6">
        <v>35</v>
      </c>
      <c r="J537" s="6">
        <v>38</v>
      </c>
      <c r="K537" s="13">
        <v>1779.375</v>
      </c>
      <c r="L537" s="13">
        <v>853.125</v>
      </c>
      <c r="M537" s="8">
        <v>10013.61356415</v>
      </c>
      <c r="N537" s="8">
        <v>4801.0475992499996</v>
      </c>
    </row>
    <row r="538" spans="1:14" x14ac:dyDescent="0.25">
      <c r="A538" s="10" t="s">
        <v>1353</v>
      </c>
      <c r="B538" s="10">
        <v>85594</v>
      </c>
      <c r="C538" s="10" t="s">
        <v>1351</v>
      </c>
      <c r="D538" s="10" t="s">
        <v>1354</v>
      </c>
      <c r="E538" s="10" t="s">
        <v>22</v>
      </c>
      <c r="F538" s="10" t="s">
        <v>41</v>
      </c>
      <c r="G538" s="6">
        <v>71</v>
      </c>
      <c r="H538" s="6"/>
      <c r="I538" s="6">
        <v>35</v>
      </c>
      <c r="J538" s="6">
        <v>36</v>
      </c>
      <c r="K538" s="13">
        <v>1730.625</v>
      </c>
      <c r="L538" s="13">
        <v>853.125</v>
      </c>
      <c r="M538" s="8">
        <v>11782.41624305</v>
      </c>
      <c r="N538" s="8">
        <v>5808.2333592499999</v>
      </c>
    </row>
    <row r="539" spans="1:14" x14ac:dyDescent="0.25">
      <c r="A539" s="10" t="s">
        <v>1355</v>
      </c>
      <c r="B539" s="10">
        <v>85594</v>
      </c>
      <c r="C539" s="10" t="s">
        <v>1351</v>
      </c>
      <c r="D539" s="10" t="s">
        <v>1356</v>
      </c>
      <c r="E539" s="10" t="s">
        <v>22</v>
      </c>
      <c r="F539" s="10" t="s">
        <v>41</v>
      </c>
      <c r="G539" s="6">
        <v>464</v>
      </c>
      <c r="H539" s="6"/>
      <c r="I539" s="6">
        <v>465</v>
      </c>
      <c r="J539" s="6">
        <v>-1</v>
      </c>
      <c r="K539" s="13">
        <v>11310</v>
      </c>
      <c r="L539" s="13">
        <v>11334.375</v>
      </c>
      <c r="M539" s="8">
        <v>66796.785082560004</v>
      </c>
      <c r="N539" s="8">
        <v>66940.743671100005</v>
      </c>
    </row>
    <row r="540" spans="1:14" x14ac:dyDescent="0.25">
      <c r="A540" s="10" t="s">
        <v>1357</v>
      </c>
      <c r="B540" s="10">
        <v>85640</v>
      </c>
      <c r="C540" s="10" t="s">
        <v>1358</v>
      </c>
      <c r="D540" s="10" t="s">
        <v>1359</v>
      </c>
      <c r="E540" s="10" t="s">
        <v>22</v>
      </c>
      <c r="F540" s="10" t="s">
        <v>41</v>
      </c>
      <c r="G540" s="6">
        <v>41</v>
      </c>
      <c r="H540" s="6"/>
      <c r="I540" s="6">
        <v>41</v>
      </c>
      <c r="J540" s="6">
        <v>0</v>
      </c>
      <c r="K540" s="13">
        <v>439.72500000000002</v>
      </c>
      <c r="L540" s="13">
        <v>439.72500000000002</v>
      </c>
      <c r="M540" s="8">
        <v>6981.8484112400001</v>
      </c>
      <c r="N540" s="8">
        <v>6981.8484112400001</v>
      </c>
    </row>
    <row r="541" spans="1:14" x14ac:dyDescent="0.25">
      <c r="A541" s="10" t="s">
        <v>1360</v>
      </c>
      <c r="B541" s="10">
        <v>85644</v>
      </c>
      <c r="C541" s="10" t="s">
        <v>1361</v>
      </c>
      <c r="D541" s="10" t="s">
        <v>1362</v>
      </c>
      <c r="E541" s="10" t="s">
        <v>22</v>
      </c>
      <c r="F541" s="10" t="s">
        <v>41</v>
      </c>
      <c r="G541" s="6">
        <v>109</v>
      </c>
      <c r="H541" s="6"/>
      <c r="I541" s="6">
        <v>109</v>
      </c>
      <c r="J541" s="6">
        <v>0</v>
      </c>
      <c r="K541" s="13">
        <v>1806.675</v>
      </c>
      <c r="L541" s="13">
        <v>1806.675</v>
      </c>
      <c r="M541" s="8">
        <v>27901.759496279999</v>
      </c>
      <c r="N541" s="8">
        <v>27901.759496279999</v>
      </c>
    </row>
    <row r="542" spans="1:14" x14ac:dyDescent="0.25">
      <c r="A542" s="10" t="s">
        <v>1363</v>
      </c>
      <c r="B542" s="10">
        <v>85648</v>
      </c>
      <c r="C542" s="10" t="s">
        <v>1364</v>
      </c>
      <c r="D542" s="10" t="s">
        <v>1365</v>
      </c>
      <c r="E542" s="10" t="s">
        <v>22</v>
      </c>
      <c r="F542" s="10" t="s">
        <v>41</v>
      </c>
      <c r="G542" s="6">
        <v>139</v>
      </c>
      <c r="H542" s="6"/>
      <c r="I542" s="6">
        <v>84</v>
      </c>
      <c r="J542" s="6">
        <v>55</v>
      </c>
      <c r="K542" s="13">
        <v>1578.7619999999999</v>
      </c>
      <c r="L542" s="13">
        <v>954.072</v>
      </c>
      <c r="M542" s="8">
        <v>22212.363855979998</v>
      </c>
      <c r="N542" s="8">
        <v>13423.29902088</v>
      </c>
    </row>
    <row r="543" spans="1:14" x14ac:dyDescent="0.25">
      <c r="A543" s="10" t="s">
        <v>1366</v>
      </c>
      <c r="B543" s="10">
        <v>85651</v>
      </c>
      <c r="C543" s="10" t="s">
        <v>1367</v>
      </c>
      <c r="D543" s="10" t="s">
        <v>1368</v>
      </c>
      <c r="E543" s="10" t="s">
        <v>21</v>
      </c>
      <c r="F543" s="10" t="s">
        <v>41</v>
      </c>
      <c r="G543" s="6">
        <v>180</v>
      </c>
      <c r="H543" s="6"/>
      <c r="I543" s="6">
        <v>49</v>
      </c>
      <c r="J543" s="6">
        <v>131</v>
      </c>
      <c r="K543" s="13">
        <v>6142.5</v>
      </c>
      <c r="L543" s="13">
        <v>1672.125</v>
      </c>
      <c r="M543" s="8">
        <v>22136.420397599999</v>
      </c>
      <c r="N543" s="8">
        <v>6026.0255526800001</v>
      </c>
    </row>
    <row r="544" spans="1:14" x14ac:dyDescent="0.25">
      <c r="A544" s="10" t="s">
        <v>1369</v>
      </c>
      <c r="B544" s="10">
        <v>85654</v>
      </c>
      <c r="C544" s="10" t="s">
        <v>1370</v>
      </c>
      <c r="D544" s="10" t="s">
        <v>1371</v>
      </c>
      <c r="E544" s="10" t="s">
        <v>21</v>
      </c>
      <c r="F544" s="10" t="s">
        <v>41</v>
      </c>
      <c r="G544" s="6">
        <v>94</v>
      </c>
      <c r="H544" s="6"/>
      <c r="I544" s="6">
        <v>49</v>
      </c>
      <c r="J544" s="6">
        <v>45</v>
      </c>
      <c r="K544" s="13">
        <v>3391.05</v>
      </c>
      <c r="L544" s="13">
        <v>1767.675</v>
      </c>
      <c r="M544" s="8">
        <v>22737.45160294</v>
      </c>
      <c r="N544" s="8">
        <v>11852.50136749</v>
      </c>
    </row>
    <row r="545" spans="1:14" x14ac:dyDescent="0.25">
      <c r="A545" s="10" t="s">
        <v>1372</v>
      </c>
      <c r="B545" s="10">
        <v>85670</v>
      </c>
      <c r="C545" s="10" t="s">
        <v>1373</v>
      </c>
      <c r="D545" s="10" t="s">
        <v>1374</v>
      </c>
      <c r="E545" s="10" t="s">
        <v>21</v>
      </c>
      <c r="F545" s="10" t="s">
        <v>41</v>
      </c>
      <c r="G545" s="6">
        <v>80</v>
      </c>
      <c r="H545" s="6"/>
      <c r="I545" s="6">
        <v>0</v>
      </c>
      <c r="J545" s="6">
        <v>80</v>
      </c>
      <c r="K545" s="13">
        <v>2886</v>
      </c>
      <c r="L545" s="13">
        <v>0</v>
      </c>
      <c r="M545" s="8">
        <v>11534.3838048</v>
      </c>
      <c r="N545" s="8">
        <v>0</v>
      </c>
    </row>
    <row r="546" spans="1:14" x14ac:dyDescent="0.25">
      <c r="A546" s="10" t="s">
        <v>1375</v>
      </c>
      <c r="B546" s="10">
        <v>86071</v>
      </c>
      <c r="C546" s="10" t="s">
        <v>1376</v>
      </c>
      <c r="D546" s="10" t="s">
        <v>1377</v>
      </c>
      <c r="E546" s="10" t="s">
        <v>22</v>
      </c>
      <c r="F546" s="10" t="s">
        <v>41</v>
      </c>
      <c r="G546" s="6">
        <v>145</v>
      </c>
      <c r="H546" s="6"/>
      <c r="I546" s="6">
        <v>66</v>
      </c>
      <c r="J546" s="6">
        <v>79</v>
      </c>
      <c r="K546" s="13">
        <v>2120.625</v>
      </c>
      <c r="L546" s="13">
        <v>965.25</v>
      </c>
      <c r="M546" s="8">
        <v>32400.665284350001</v>
      </c>
      <c r="N546" s="8">
        <v>14747.889025979999</v>
      </c>
    </row>
    <row r="547" spans="1:14" x14ac:dyDescent="0.25">
      <c r="A547" s="10" t="s">
        <v>1378</v>
      </c>
      <c r="B547" s="10">
        <v>86204</v>
      </c>
      <c r="C547" s="10" t="s">
        <v>1379</v>
      </c>
      <c r="D547" s="10" t="s">
        <v>1380</v>
      </c>
      <c r="E547" s="10" t="s">
        <v>23</v>
      </c>
      <c r="F547" s="10" t="s">
        <v>41</v>
      </c>
      <c r="G547" s="6">
        <v>30</v>
      </c>
      <c r="H547" s="6"/>
      <c r="I547" s="6">
        <v>17</v>
      </c>
      <c r="J547" s="6">
        <v>13</v>
      </c>
      <c r="K547" s="13">
        <v>919.89</v>
      </c>
      <c r="L547" s="13">
        <v>521.27099999999996</v>
      </c>
      <c r="M547" s="8">
        <v>5559.0484778999999</v>
      </c>
      <c r="N547" s="8">
        <v>3150.12747081</v>
      </c>
    </row>
    <row r="548" spans="1:14" x14ac:dyDescent="0.25">
      <c r="A548" s="10" t="s">
        <v>1381</v>
      </c>
      <c r="B548" s="10">
        <v>86265</v>
      </c>
      <c r="C548" s="10" t="s">
        <v>1382</v>
      </c>
      <c r="D548" s="10" t="s">
        <v>1383</v>
      </c>
      <c r="E548" s="10" t="s">
        <v>23</v>
      </c>
      <c r="F548" s="10" t="s">
        <v>41</v>
      </c>
      <c r="G548" s="6">
        <v>29</v>
      </c>
      <c r="H548" s="6"/>
      <c r="I548" s="6">
        <v>17</v>
      </c>
      <c r="J548" s="6">
        <v>12</v>
      </c>
      <c r="K548" s="13">
        <v>1384.0540000000001</v>
      </c>
      <c r="L548" s="13">
        <v>811.34199999999998</v>
      </c>
      <c r="M548" s="8">
        <v>4672.2521649800001</v>
      </c>
      <c r="N548" s="8">
        <v>2738.9064415399998</v>
      </c>
    </row>
    <row r="549" spans="1:14" x14ac:dyDescent="0.25">
      <c r="A549" s="10" t="s">
        <v>1384</v>
      </c>
      <c r="B549" s="10">
        <v>86318</v>
      </c>
      <c r="C549" s="10" t="s">
        <v>1385</v>
      </c>
      <c r="D549" s="10" t="s">
        <v>1386</v>
      </c>
      <c r="E549" s="10" t="s">
        <v>23</v>
      </c>
      <c r="F549" s="10" t="s">
        <v>41</v>
      </c>
      <c r="G549" s="6">
        <v>12</v>
      </c>
      <c r="H549" s="6"/>
      <c r="I549" s="6">
        <v>12</v>
      </c>
      <c r="J549" s="6">
        <v>0</v>
      </c>
      <c r="K549" s="13">
        <v>346.89600000000002</v>
      </c>
      <c r="L549" s="13">
        <v>346.89600000000002</v>
      </c>
      <c r="M549" s="8">
        <v>1697.62226448</v>
      </c>
      <c r="N549" s="8">
        <v>1697.62226448</v>
      </c>
    </row>
    <row r="550" spans="1:14" x14ac:dyDescent="0.25">
      <c r="A550" s="10" t="s">
        <v>1387</v>
      </c>
      <c r="B550" s="10">
        <v>86324</v>
      </c>
      <c r="C550" s="10" t="s">
        <v>1388</v>
      </c>
      <c r="D550" s="10" t="s">
        <v>1389</v>
      </c>
      <c r="E550" s="10" t="s">
        <v>23</v>
      </c>
      <c r="F550" s="10" t="s">
        <v>41</v>
      </c>
      <c r="G550" s="6">
        <v>15</v>
      </c>
      <c r="H550" s="6"/>
      <c r="I550" s="6">
        <v>15</v>
      </c>
      <c r="J550" s="6">
        <v>0</v>
      </c>
      <c r="K550" s="13">
        <v>227.41499999999999</v>
      </c>
      <c r="L550" s="13">
        <v>227.41499999999999</v>
      </c>
      <c r="M550" s="8">
        <v>1060.9960015500001</v>
      </c>
      <c r="N550" s="8">
        <v>1060.9960015500001</v>
      </c>
    </row>
    <row r="551" spans="1:14" x14ac:dyDescent="0.25">
      <c r="A551" s="10" t="s">
        <v>1390</v>
      </c>
      <c r="B551" s="10">
        <v>86327</v>
      </c>
      <c r="C551" s="10" t="s">
        <v>1391</v>
      </c>
      <c r="D551" s="10"/>
      <c r="E551" s="10" t="s">
        <v>23</v>
      </c>
      <c r="F551" s="10" t="s">
        <v>41</v>
      </c>
      <c r="G551" s="6">
        <v>312</v>
      </c>
      <c r="H551" s="6"/>
      <c r="I551" s="6">
        <v>0</v>
      </c>
      <c r="J551" s="6">
        <v>312</v>
      </c>
      <c r="K551" s="13">
        <v>4426.0320000000002</v>
      </c>
      <c r="L551" s="13">
        <v>0</v>
      </c>
      <c r="M551" s="8">
        <v>59780.452761120003</v>
      </c>
      <c r="N551" s="8">
        <v>0</v>
      </c>
    </row>
    <row r="552" spans="1:14" x14ac:dyDescent="0.25">
      <c r="A552" s="10" t="s">
        <v>1392</v>
      </c>
      <c r="B552" s="10">
        <v>86332</v>
      </c>
      <c r="C552" s="10" t="s">
        <v>1393</v>
      </c>
      <c r="D552" s="10" t="s">
        <v>1394</v>
      </c>
      <c r="E552" s="10" t="s">
        <v>23</v>
      </c>
      <c r="F552" s="10" t="s">
        <v>41</v>
      </c>
      <c r="G552" s="6">
        <v>136</v>
      </c>
      <c r="H552" s="6"/>
      <c r="I552" s="6">
        <v>112</v>
      </c>
      <c r="J552" s="6">
        <v>24</v>
      </c>
      <c r="K552" s="13">
        <v>6437.6959999999999</v>
      </c>
      <c r="L552" s="13">
        <v>5301.6319999999996</v>
      </c>
      <c r="M552" s="8">
        <v>35512.238458480002</v>
      </c>
      <c r="N552" s="8">
        <v>29245.372848160001</v>
      </c>
    </row>
    <row r="553" spans="1:14" x14ac:dyDescent="0.25">
      <c r="A553" s="10" t="s">
        <v>1395</v>
      </c>
      <c r="B553" s="10">
        <v>86373</v>
      </c>
      <c r="C553" s="10" t="s">
        <v>1396</v>
      </c>
      <c r="D553" s="10" t="s">
        <v>1397</v>
      </c>
      <c r="E553" s="10" t="s">
        <v>23</v>
      </c>
      <c r="F553" s="10" t="s">
        <v>41</v>
      </c>
      <c r="G553" s="6">
        <v>138</v>
      </c>
      <c r="H553" s="6"/>
      <c r="I553" s="6">
        <v>112</v>
      </c>
      <c r="J553" s="6">
        <v>26</v>
      </c>
      <c r="K553" s="13">
        <v>8759.1360000000004</v>
      </c>
      <c r="L553" s="13">
        <v>7108.8639999999996</v>
      </c>
      <c r="M553" s="8">
        <v>30090.921417599999</v>
      </c>
      <c r="N553" s="8">
        <v>24421.6173824</v>
      </c>
    </row>
    <row r="554" spans="1:14" x14ac:dyDescent="0.25">
      <c r="A554" s="10" t="s">
        <v>1398</v>
      </c>
      <c r="B554" s="10">
        <v>86383</v>
      </c>
      <c r="C554" s="10" t="s">
        <v>1399</v>
      </c>
      <c r="D554" s="10" t="s">
        <v>1400</v>
      </c>
      <c r="E554" s="10" t="s">
        <v>23</v>
      </c>
      <c r="F554" s="10" t="s">
        <v>41</v>
      </c>
      <c r="G554" s="6">
        <v>140</v>
      </c>
      <c r="H554" s="6"/>
      <c r="I554" s="6">
        <v>102</v>
      </c>
      <c r="J554" s="6">
        <v>38</v>
      </c>
      <c r="K554" s="13">
        <v>5937.68</v>
      </c>
      <c r="L554" s="13">
        <v>4326.0240000000003</v>
      </c>
      <c r="M554" s="8">
        <v>24938.667928999999</v>
      </c>
      <c r="N554" s="8">
        <v>18169.600919699998</v>
      </c>
    </row>
    <row r="555" spans="1:14" x14ac:dyDescent="0.25">
      <c r="A555" s="10" t="s">
        <v>1401</v>
      </c>
      <c r="B555" s="10">
        <v>86392</v>
      </c>
      <c r="C555" s="10" t="s">
        <v>1402</v>
      </c>
      <c r="D555" s="10" t="s">
        <v>1403</v>
      </c>
      <c r="E555" s="10" t="s">
        <v>22</v>
      </c>
      <c r="F555" s="10" t="s">
        <v>41</v>
      </c>
      <c r="G555" s="6">
        <v>126</v>
      </c>
      <c r="H555" s="6"/>
      <c r="I555" s="6">
        <v>77</v>
      </c>
      <c r="J555" s="6">
        <v>49</v>
      </c>
      <c r="K555" s="13">
        <v>1891.89</v>
      </c>
      <c r="L555" s="13">
        <v>1156.155</v>
      </c>
      <c r="M555" s="8">
        <v>11825.486215200001</v>
      </c>
      <c r="N555" s="8">
        <v>7226.6860204000004</v>
      </c>
    </row>
    <row r="556" spans="1:14" x14ac:dyDescent="0.25">
      <c r="A556" s="10" t="s">
        <v>1404</v>
      </c>
      <c r="B556" s="10">
        <v>86513</v>
      </c>
      <c r="C556" s="10" t="s">
        <v>1405</v>
      </c>
      <c r="D556" s="10" t="s">
        <v>1406</v>
      </c>
      <c r="E556" s="10" t="s">
        <v>21</v>
      </c>
      <c r="F556" s="10" t="s">
        <v>41</v>
      </c>
      <c r="G556" s="6">
        <v>91</v>
      </c>
      <c r="H556" s="6"/>
      <c r="I556" s="6">
        <v>50</v>
      </c>
      <c r="J556" s="6">
        <v>41</v>
      </c>
      <c r="K556" s="13">
        <v>2484.3000000000002</v>
      </c>
      <c r="L556" s="13">
        <v>1365</v>
      </c>
      <c r="M556" s="8">
        <v>8932.4391683800004</v>
      </c>
      <c r="N556" s="8">
        <v>4907.9336089999997</v>
      </c>
    </row>
    <row r="557" spans="1:14" x14ac:dyDescent="0.25">
      <c r="A557" s="10" t="s">
        <v>1407</v>
      </c>
      <c r="B557" s="10">
        <v>86513</v>
      </c>
      <c r="C557" s="10" t="s">
        <v>1405</v>
      </c>
      <c r="D557" s="10" t="s">
        <v>1408</v>
      </c>
      <c r="E557" s="10" t="s">
        <v>21</v>
      </c>
      <c r="F557" s="10" t="s">
        <v>41</v>
      </c>
      <c r="G557" s="6">
        <v>21</v>
      </c>
      <c r="H557" s="6"/>
      <c r="I557" s="6">
        <v>0</v>
      </c>
      <c r="J557" s="6">
        <v>21</v>
      </c>
      <c r="K557" s="13">
        <v>573.29999999999995</v>
      </c>
      <c r="L557" s="13">
        <v>0</v>
      </c>
      <c r="M557" s="8">
        <v>2030.8172543400001</v>
      </c>
      <c r="N557" s="8">
        <v>0</v>
      </c>
    </row>
    <row r="558" spans="1:14" x14ac:dyDescent="0.25">
      <c r="A558" s="10" t="s">
        <v>1409</v>
      </c>
      <c r="B558" s="10">
        <v>86514</v>
      </c>
      <c r="C558" s="10" t="s">
        <v>1410</v>
      </c>
      <c r="D558" s="10" t="s">
        <v>1411</v>
      </c>
      <c r="E558" s="10" t="s">
        <v>21</v>
      </c>
      <c r="F558" s="10" t="s">
        <v>41</v>
      </c>
      <c r="G558" s="6">
        <v>16</v>
      </c>
      <c r="H558" s="6"/>
      <c r="I558" s="6">
        <v>0</v>
      </c>
      <c r="J558" s="6">
        <v>16</v>
      </c>
      <c r="K558" s="13">
        <v>717.6</v>
      </c>
      <c r="L558" s="13">
        <v>0</v>
      </c>
      <c r="M558" s="8">
        <v>3499.83645376</v>
      </c>
      <c r="N558" s="8">
        <v>0</v>
      </c>
    </row>
    <row r="559" spans="1:14" x14ac:dyDescent="0.25">
      <c r="A559" s="10" t="s">
        <v>1412</v>
      </c>
      <c r="B559" s="10">
        <v>86514</v>
      </c>
      <c r="C559" s="10" t="s">
        <v>1410</v>
      </c>
      <c r="D559" s="10" t="s">
        <v>1413</v>
      </c>
      <c r="E559" s="10" t="s">
        <v>21</v>
      </c>
      <c r="F559" s="10" t="s">
        <v>41</v>
      </c>
      <c r="G559" s="6">
        <v>92</v>
      </c>
      <c r="H559" s="6"/>
      <c r="I559" s="6">
        <v>50</v>
      </c>
      <c r="J559" s="6">
        <v>42</v>
      </c>
      <c r="K559" s="13">
        <v>4126.2</v>
      </c>
      <c r="L559" s="13">
        <v>2242.5</v>
      </c>
      <c r="M559" s="8">
        <v>20439.270499480001</v>
      </c>
      <c r="N559" s="8">
        <v>11108.2991845</v>
      </c>
    </row>
    <row r="560" spans="1:14" x14ac:dyDescent="0.25">
      <c r="A560" s="10" t="s">
        <v>1414</v>
      </c>
      <c r="B560" s="10">
        <v>86837</v>
      </c>
      <c r="C560" s="10" t="s">
        <v>1415</v>
      </c>
      <c r="D560" s="10" t="s">
        <v>1416</v>
      </c>
      <c r="E560" s="10" t="s">
        <v>22</v>
      </c>
      <c r="F560" s="10" t="s">
        <v>41</v>
      </c>
      <c r="G560" s="6">
        <v>5</v>
      </c>
      <c r="H560" s="6"/>
      <c r="I560" s="6">
        <v>0</v>
      </c>
      <c r="J560" s="6">
        <v>5</v>
      </c>
      <c r="K560" s="13">
        <v>78</v>
      </c>
      <c r="L560" s="13">
        <v>0</v>
      </c>
      <c r="M560" s="8">
        <v>384.91625529999999</v>
      </c>
      <c r="N560" s="8">
        <v>0</v>
      </c>
    </row>
    <row r="561" spans="1:14" x14ac:dyDescent="0.25">
      <c r="A561" s="10" t="s">
        <v>1417</v>
      </c>
      <c r="B561" s="10">
        <v>87023</v>
      </c>
      <c r="C561" s="10" t="s">
        <v>1418</v>
      </c>
      <c r="D561" s="10" t="s">
        <v>1419</v>
      </c>
      <c r="E561" s="10" t="s">
        <v>21</v>
      </c>
      <c r="F561" s="10" t="s">
        <v>41</v>
      </c>
      <c r="G561" s="6">
        <v>2</v>
      </c>
      <c r="H561" s="6"/>
      <c r="I561" s="6">
        <v>0</v>
      </c>
      <c r="J561" s="6">
        <v>2</v>
      </c>
      <c r="K561" s="13">
        <v>68.25</v>
      </c>
      <c r="L561" s="13">
        <v>0</v>
      </c>
      <c r="M561" s="8">
        <v>385.12396732000002</v>
      </c>
      <c r="N561" s="8">
        <v>0</v>
      </c>
    </row>
    <row r="562" spans="1:14" x14ac:dyDescent="0.25">
      <c r="A562" s="10" t="s">
        <v>1420</v>
      </c>
      <c r="B562" s="10">
        <v>87023</v>
      </c>
      <c r="C562" s="10" t="s">
        <v>1418</v>
      </c>
      <c r="D562" s="10" t="s">
        <v>1421</v>
      </c>
      <c r="E562" s="10" t="s">
        <v>21</v>
      </c>
      <c r="F562" s="10" t="s">
        <v>41</v>
      </c>
      <c r="G562" s="6">
        <v>2</v>
      </c>
      <c r="H562" s="6"/>
      <c r="I562" s="6">
        <v>0</v>
      </c>
      <c r="J562" s="6">
        <v>2</v>
      </c>
      <c r="K562" s="13">
        <v>68.25</v>
      </c>
      <c r="L562" s="13">
        <v>0</v>
      </c>
      <c r="M562" s="8">
        <v>377.76691466</v>
      </c>
      <c r="N562" s="8">
        <v>0</v>
      </c>
    </row>
    <row r="563" spans="1:14" x14ac:dyDescent="0.25">
      <c r="A563" s="10" t="s">
        <v>1422</v>
      </c>
      <c r="B563" s="10">
        <v>87025</v>
      </c>
      <c r="C563" s="10" t="s">
        <v>1423</v>
      </c>
      <c r="D563" s="10" t="s">
        <v>1424</v>
      </c>
      <c r="E563" s="10" t="s">
        <v>21</v>
      </c>
      <c r="F563" s="10" t="s">
        <v>41</v>
      </c>
      <c r="G563" s="6">
        <v>2</v>
      </c>
      <c r="H563" s="6"/>
      <c r="I563" s="6">
        <v>0</v>
      </c>
      <c r="J563" s="6">
        <v>2</v>
      </c>
      <c r="K563" s="13">
        <v>78</v>
      </c>
      <c r="L563" s="13">
        <v>0</v>
      </c>
      <c r="M563" s="8">
        <v>413.44668597999998</v>
      </c>
      <c r="N563" s="8">
        <v>0</v>
      </c>
    </row>
    <row r="564" spans="1:14" x14ac:dyDescent="0.25">
      <c r="A564" s="10" t="s">
        <v>1425</v>
      </c>
      <c r="B564" s="10">
        <v>87025</v>
      </c>
      <c r="C564" s="10" t="s">
        <v>1423</v>
      </c>
      <c r="D564" s="10" t="s">
        <v>1426</v>
      </c>
      <c r="E564" s="10" t="s">
        <v>21</v>
      </c>
      <c r="F564" s="10" t="s">
        <v>41</v>
      </c>
      <c r="G564" s="6">
        <v>2</v>
      </c>
      <c r="H564" s="6"/>
      <c r="I564" s="6">
        <v>0</v>
      </c>
      <c r="J564" s="6">
        <v>2</v>
      </c>
      <c r="K564" s="13">
        <v>78</v>
      </c>
      <c r="L564" s="13">
        <v>0</v>
      </c>
      <c r="M564" s="8">
        <v>412.45334336000002</v>
      </c>
      <c r="N564" s="8">
        <v>0</v>
      </c>
    </row>
    <row r="565" spans="1:14" x14ac:dyDescent="0.25">
      <c r="A565" s="10" t="s">
        <v>1427</v>
      </c>
      <c r="B565" s="10">
        <v>87100</v>
      </c>
      <c r="C565" s="10" t="s">
        <v>1428</v>
      </c>
      <c r="D565" s="10" t="s">
        <v>1429</v>
      </c>
      <c r="E565" s="10" t="s">
        <v>23</v>
      </c>
      <c r="F565" s="10" t="s">
        <v>41</v>
      </c>
      <c r="G565" s="6">
        <v>168</v>
      </c>
      <c r="H565" s="6"/>
      <c r="I565" s="6">
        <v>0</v>
      </c>
      <c r="J565" s="6">
        <v>168</v>
      </c>
      <c r="K565" s="13">
        <v>7862.4</v>
      </c>
      <c r="L565" s="13">
        <v>0</v>
      </c>
      <c r="M565" s="8">
        <v>38533.972342319998</v>
      </c>
      <c r="N565" s="8">
        <v>0</v>
      </c>
    </row>
    <row r="566" spans="1:14" x14ac:dyDescent="0.25">
      <c r="A566" s="10" t="s">
        <v>1430</v>
      </c>
      <c r="B566" s="10">
        <v>87100</v>
      </c>
      <c r="C566" s="10" t="s">
        <v>1428</v>
      </c>
      <c r="D566" s="10" t="s">
        <v>1431</v>
      </c>
      <c r="E566" s="10" t="s">
        <v>23</v>
      </c>
      <c r="F566" s="10" t="s">
        <v>41</v>
      </c>
      <c r="G566" s="6">
        <v>186</v>
      </c>
      <c r="H566" s="6"/>
      <c r="I566" s="6">
        <v>1</v>
      </c>
      <c r="J566" s="6">
        <v>185</v>
      </c>
      <c r="K566" s="13">
        <v>8704.7999999999993</v>
      </c>
      <c r="L566" s="13">
        <v>46.8</v>
      </c>
      <c r="M566" s="8">
        <v>39249.437625960003</v>
      </c>
      <c r="N566" s="8">
        <v>211.01848186000001</v>
      </c>
    </row>
    <row r="567" spans="1:14" x14ac:dyDescent="0.25">
      <c r="A567" s="10" t="s">
        <v>1432</v>
      </c>
      <c r="B567" s="10">
        <v>87103</v>
      </c>
      <c r="C567" s="10" t="s">
        <v>1433</v>
      </c>
      <c r="D567" s="10" t="s">
        <v>1434</v>
      </c>
      <c r="E567" s="10" t="s">
        <v>23</v>
      </c>
      <c r="F567" s="10" t="s">
        <v>41</v>
      </c>
      <c r="G567" s="6">
        <v>151</v>
      </c>
      <c r="H567" s="6"/>
      <c r="I567" s="6">
        <v>1</v>
      </c>
      <c r="J567" s="6">
        <v>150</v>
      </c>
      <c r="K567" s="13">
        <v>5668.0870000000004</v>
      </c>
      <c r="L567" s="13">
        <v>37.536999999999999</v>
      </c>
      <c r="M567" s="8">
        <v>25204.082757849999</v>
      </c>
      <c r="N567" s="8">
        <v>166.91445535</v>
      </c>
    </row>
    <row r="568" spans="1:14" x14ac:dyDescent="0.25">
      <c r="A568" s="10" t="s">
        <v>1435</v>
      </c>
      <c r="B568" s="10">
        <v>87103</v>
      </c>
      <c r="C568" s="10" t="s">
        <v>1433</v>
      </c>
      <c r="D568" s="10" t="s">
        <v>1436</v>
      </c>
      <c r="E568" s="10" t="s">
        <v>23</v>
      </c>
      <c r="F568" s="10" t="s">
        <v>41</v>
      </c>
      <c r="G568" s="6">
        <v>337</v>
      </c>
      <c r="H568" s="6"/>
      <c r="I568" s="6">
        <v>5</v>
      </c>
      <c r="J568" s="6">
        <v>332</v>
      </c>
      <c r="K568" s="13">
        <v>12649.968999999999</v>
      </c>
      <c r="L568" s="13">
        <v>187.685</v>
      </c>
      <c r="M568" s="8">
        <v>61256.446061939998</v>
      </c>
      <c r="N568" s="8">
        <v>908.84934810000004</v>
      </c>
    </row>
    <row r="569" spans="1:14" x14ac:dyDescent="0.25">
      <c r="A569" s="10" t="s">
        <v>1437</v>
      </c>
      <c r="B569" s="10">
        <v>87105</v>
      </c>
      <c r="C569" s="10" t="s">
        <v>1438</v>
      </c>
      <c r="D569" s="10" t="s">
        <v>1439</v>
      </c>
      <c r="E569" s="10" t="s">
        <v>23</v>
      </c>
      <c r="F569" s="10" t="s">
        <v>41</v>
      </c>
      <c r="G569" s="6">
        <v>146</v>
      </c>
      <c r="H569" s="6"/>
      <c r="I569" s="6">
        <v>1</v>
      </c>
      <c r="J569" s="6">
        <v>145</v>
      </c>
      <c r="K569" s="13">
        <v>3558.75</v>
      </c>
      <c r="L569" s="13">
        <v>24.375</v>
      </c>
      <c r="M569" s="8">
        <v>10384.128539679999</v>
      </c>
      <c r="N569" s="8">
        <v>71.124168080000004</v>
      </c>
    </row>
    <row r="570" spans="1:14" x14ac:dyDescent="0.25">
      <c r="A570" s="10" t="s">
        <v>1440</v>
      </c>
      <c r="B570" s="10">
        <v>87105</v>
      </c>
      <c r="C570" s="10" t="s">
        <v>1438</v>
      </c>
      <c r="D570" s="10" t="s">
        <v>1441</v>
      </c>
      <c r="E570" s="10" t="s">
        <v>23</v>
      </c>
      <c r="F570" s="10" t="s">
        <v>41</v>
      </c>
      <c r="G570" s="6">
        <v>67</v>
      </c>
      <c r="H570" s="6"/>
      <c r="I570" s="6">
        <v>1</v>
      </c>
      <c r="J570" s="6">
        <v>66</v>
      </c>
      <c r="K570" s="13">
        <v>1633.125</v>
      </c>
      <c r="L570" s="13">
        <v>24.375</v>
      </c>
      <c r="M570" s="8">
        <v>5973.6109889899999</v>
      </c>
      <c r="N570" s="8">
        <v>89.158372970000002</v>
      </c>
    </row>
    <row r="571" spans="1:14" x14ac:dyDescent="0.25">
      <c r="A571" s="10" t="s">
        <v>1442</v>
      </c>
      <c r="B571" s="10">
        <v>87107</v>
      </c>
      <c r="C571" s="10" t="s">
        <v>1443</v>
      </c>
      <c r="D571" s="10" t="s">
        <v>1444</v>
      </c>
      <c r="E571" s="10" t="s">
        <v>23</v>
      </c>
      <c r="F571" s="10" t="s">
        <v>41</v>
      </c>
      <c r="G571" s="6">
        <v>14</v>
      </c>
      <c r="H571" s="6"/>
      <c r="I571" s="6">
        <v>1</v>
      </c>
      <c r="J571" s="6">
        <v>13</v>
      </c>
      <c r="K571" s="13">
        <v>327.60000000000002</v>
      </c>
      <c r="L571" s="13">
        <v>23.4</v>
      </c>
      <c r="M571" s="8">
        <v>1399.53295804</v>
      </c>
      <c r="N571" s="8">
        <v>99.966639860000001</v>
      </c>
    </row>
    <row r="572" spans="1:14" x14ac:dyDescent="0.25">
      <c r="A572" s="10" t="s">
        <v>1445</v>
      </c>
      <c r="B572" s="10">
        <v>87107</v>
      </c>
      <c r="C572" s="10" t="s">
        <v>1443</v>
      </c>
      <c r="D572" s="10" t="s">
        <v>1446</v>
      </c>
      <c r="E572" s="10" t="s">
        <v>23</v>
      </c>
      <c r="F572" s="10" t="s">
        <v>41</v>
      </c>
      <c r="G572" s="6">
        <v>0</v>
      </c>
      <c r="H572" s="6"/>
      <c r="I572" s="6">
        <v>0</v>
      </c>
      <c r="J572" s="6">
        <v>0</v>
      </c>
      <c r="K572" s="13">
        <v>0</v>
      </c>
      <c r="L572" s="13">
        <v>0</v>
      </c>
      <c r="M572" s="8">
        <v>0</v>
      </c>
      <c r="N572" s="8">
        <v>0</v>
      </c>
    </row>
    <row r="573" spans="1:14" x14ac:dyDescent="0.25">
      <c r="A573" s="10" t="s">
        <v>1447</v>
      </c>
      <c r="B573" s="10">
        <v>87110</v>
      </c>
      <c r="C573" s="10" t="s">
        <v>1448</v>
      </c>
      <c r="D573" s="10" t="s">
        <v>1449</v>
      </c>
      <c r="E573" s="10" t="s">
        <v>23</v>
      </c>
      <c r="F573" s="10" t="s">
        <v>41</v>
      </c>
      <c r="G573" s="6">
        <v>147</v>
      </c>
      <c r="H573" s="6"/>
      <c r="I573" s="6">
        <v>1</v>
      </c>
      <c r="J573" s="6">
        <v>146</v>
      </c>
      <c r="K573" s="13">
        <v>2400.6570000000002</v>
      </c>
      <c r="L573" s="13">
        <v>16.331</v>
      </c>
      <c r="M573" s="8">
        <v>7745.1317281800002</v>
      </c>
      <c r="N573" s="8">
        <v>52.68797094</v>
      </c>
    </row>
    <row r="574" spans="1:14" x14ac:dyDescent="0.25">
      <c r="A574" s="10" t="s">
        <v>1450</v>
      </c>
      <c r="B574" s="10">
        <v>87110</v>
      </c>
      <c r="C574" s="10" t="s">
        <v>1448</v>
      </c>
      <c r="D574" s="10" t="s">
        <v>1451</v>
      </c>
      <c r="E574" s="10" t="s">
        <v>23</v>
      </c>
      <c r="F574" s="10" t="s">
        <v>41</v>
      </c>
      <c r="G574" s="6">
        <v>67</v>
      </c>
      <c r="H574" s="6"/>
      <c r="I574" s="6">
        <v>1</v>
      </c>
      <c r="J574" s="6">
        <v>66</v>
      </c>
      <c r="K574" s="13">
        <v>1094.1769999999999</v>
      </c>
      <c r="L574" s="13">
        <v>16.331</v>
      </c>
      <c r="M574" s="8">
        <v>3123.0300536200002</v>
      </c>
      <c r="N574" s="8">
        <v>46.612388860000003</v>
      </c>
    </row>
    <row r="575" spans="1:14" x14ac:dyDescent="0.25">
      <c r="A575" s="10" t="s">
        <v>1452</v>
      </c>
      <c r="B575" s="10">
        <v>87112</v>
      </c>
      <c r="C575" s="10" t="s">
        <v>1453</v>
      </c>
      <c r="D575" s="10" t="s">
        <v>1454</v>
      </c>
      <c r="E575" s="10" t="s">
        <v>23</v>
      </c>
      <c r="F575" s="10" t="s">
        <v>41</v>
      </c>
      <c r="G575" s="6">
        <v>51</v>
      </c>
      <c r="H575" s="6"/>
      <c r="I575" s="6">
        <v>0</v>
      </c>
      <c r="J575" s="6">
        <v>51</v>
      </c>
      <c r="K575" s="13">
        <v>487.30500000000001</v>
      </c>
      <c r="L575" s="13">
        <v>0</v>
      </c>
      <c r="M575" s="8">
        <v>1773.7628150400001</v>
      </c>
      <c r="N575" s="8">
        <v>0</v>
      </c>
    </row>
    <row r="576" spans="1:14" x14ac:dyDescent="0.25">
      <c r="A576" s="10" t="s">
        <v>1455</v>
      </c>
      <c r="B576" s="10">
        <v>87112</v>
      </c>
      <c r="C576" s="10" t="s">
        <v>1453</v>
      </c>
      <c r="D576" s="10" t="s">
        <v>1456</v>
      </c>
      <c r="E576" s="10" t="s">
        <v>23</v>
      </c>
      <c r="F576" s="10" t="s">
        <v>41</v>
      </c>
      <c r="G576" s="6">
        <v>112</v>
      </c>
      <c r="H576" s="6"/>
      <c r="I576" s="6">
        <v>1</v>
      </c>
      <c r="J576" s="6">
        <v>111</v>
      </c>
      <c r="K576" s="13">
        <v>1070.1600000000001</v>
      </c>
      <c r="L576" s="13">
        <v>9.5549999999999997</v>
      </c>
      <c r="M576" s="8">
        <v>4535.8273206399999</v>
      </c>
      <c r="N576" s="8">
        <v>40.498458220000003</v>
      </c>
    </row>
    <row r="577" spans="1:14" x14ac:dyDescent="0.25">
      <c r="A577" s="10" t="s">
        <v>1457</v>
      </c>
      <c r="B577" s="10">
        <v>87121</v>
      </c>
      <c r="C577" s="10" t="s">
        <v>1458</v>
      </c>
      <c r="D577" s="10" t="s">
        <v>1459</v>
      </c>
      <c r="E577" s="10" t="s">
        <v>23</v>
      </c>
      <c r="F577" s="10" t="s">
        <v>41</v>
      </c>
      <c r="G577" s="6">
        <v>118</v>
      </c>
      <c r="H577" s="6"/>
      <c r="I577" s="6">
        <v>0</v>
      </c>
      <c r="J577" s="6">
        <v>118</v>
      </c>
      <c r="K577" s="13">
        <v>5867.55</v>
      </c>
      <c r="L577" s="13">
        <v>0</v>
      </c>
      <c r="M577" s="8">
        <v>20385.711973279998</v>
      </c>
      <c r="N577" s="8">
        <v>0</v>
      </c>
    </row>
    <row r="578" spans="1:14" x14ac:dyDescent="0.25">
      <c r="A578" s="10" t="s">
        <v>1460</v>
      </c>
      <c r="B578" s="10">
        <v>87121</v>
      </c>
      <c r="C578" s="10" t="s">
        <v>1458</v>
      </c>
      <c r="D578" s="10" t="s">
        <v>1461</v>
      </c>
      <c r="E578" s="10" t="s">
        <v>23</v>
      </c>
      <c r="F578" s="10" t="s">
        <v>41</v>
      </c>
      <c r="G578" s="6">
        <v>92</v>
      </c>
      <c r="H578" s="6"/>
      <c r="I578" s="6">
        <v>65</v>
      </c>
      <c r="J578" s="6">
        <v>27</v>
      </c>
      <c r="K578" s="13">
        <v>4574.7</v>
      </c>
      <c r="L578" s="13">
        <v>3232.125</v>
      </c>
      <c r="M578" s="8">
        <v>16399.594470880002</v>
      </c>
      <c r="N578" s="8">
        <v>11586.670006599999</v>
      </c>
    </row>
    <row r="579" spans="1:14" x14ac:dyDescent="0.25">
      <c r="A579" s="10" t="s">
        <v>1462</v>
      </c>
      <c r="B579" s="10">
        <v>87123</v>
      </c>
      <c r="C579" s="10" t="s">
        <v>1463</v>
      </c>
      <c r="D579" s="10" t="s">
        <v>1464</v>
      </c>
      <c r="E579" s="10" t="s">
        <v>23</v>
      </c>
      <c r="F579" s="10" t="s">
        <v>41</v>
      </c>
      <c r="G579" s="6">
        <v>54</v>
      </c>
      <c r="H579" s="6"/>
      <c r="I579" s="6">
        <v>49</v>
      </c>
      <c r="J579" s="6">
        <v>5</v>
      </c>
      <c r="K579" s="13">
        <v>3001.05</v>
      </c>
      <c r="L579" s="13">
        <v>2723.1750000000002</v>
      </c>
      <c r="M579" s="8">
        <v>17205.4733175</v>
      </c>
      <c r="N579" s="8">
        <v>15612.37393625</v>
      </c>
    </row>
    <row r="580" spans="1:14" x14ac:dyDescent="0.25">
      <c r="A580" s="10" t="s">
        <v>1465</v>
      </c>
      <c r="B580" s="10">
        <v>87123</v>
      </c>
      <c r="C580" s="10" t="s">
        <v>1463</v>
      </c>
      <c r="D580" s="10" t="s">
        <v>1466</v>
      </c>
      <c r="E580" s="10" t="s">
        <v>23</v>
      </c>
      <c r="F580" s="10" t="s">
        <v>41</v>
      </c>
      <c r="G580" s="6">
        <v>51</v>
      </c>
      <c r="H580" s="6"/>
      <c r="I580" s="6">
        <v>51</v>
      </c>
      <c r="J580" s="6">
        <v>0</v>
      </c>
      <c r="K580" s="13">
        <v>2834.3249999999998</v>
      </c>
      <c r="L580" s="13">
        <v>2834.3249999999998</v>
      </c>
      <c r="M580" s="8">
        <v>16379.96911908</v>
      </c>
      <c r="N580" s="8">
        <v>16379.96911908</v>
      </c>
    </row>
    <row r="581" spans="1:14" x14ac:dyDescent="0.25">
      <c r="A581" s="10" t="s">
        <v>1467</v>
      </c>
      <c r="B581" s="10">
        <v>87123</v>
      </c>
      <c r="C581" s="10" t="s">
        <v>1463</v>
      </c>
      <c r="D581" s="10" t="s">
        <v>1468</v>
      </c>
      <c r="E581" s="10" t="s">
        <v>23</v>
      </c>
      <c r="F581" s="10" t="s">
        <v>41</v>
      </c>
      <c r="G581" s="6">
        <v>88</v>
      </c>
      <c r="H581" s="6"/>
      <c r="I581" s="6">
        <v>65</v>
      </c>
      <c r="J581" s="6">
        <v>23</v>
      </c>
      <c r="K581" s="13">
        <v>4890.6000000000004</v>
      </c>
      <c r="L581" s="13">
        <v>3612.375</v>
      </c>
      <c r="M581" s="8">
        <v>27961.520150079999</v>
      </c>
      <c r="N581" s="8">
        <v>20653.395565399998</v>
      </c>
    </row>
    <row r="582" spans="1:14" x14ac:dyDescent="0.25">
      <c r="A582" s="10" t="s">
        <v>1469</v>
      </c>
      <c r="B582" s="10">
        <v>87126</v>
      </c>
      <c r="C582" s="10" t="s">
        <v>1470</v>
      </c>
      <c r="D582" s="10" t="s">
        <v>1471</v>
      </c>
      <c r="E582" s="10" t="s">
        <v>23</v>
      </c>
      <c r="F582" s="10" t="s">
        <v>41</v>
      </c>
      <c r="G582" s="6">
        <v>67</v>
      </c>
      <c r="H582" s="6"/>
      <c r="I582" s="6">
        <v>49</v>
      </c>
      <c r="J582" s="6">
        <v>18</v>
      </c>
      <c r="K582" s="13">
        <v>3200.9250000000002</v>
      </c>
      <c r="L582" s="13">
        <v>2340.9749999999999</v>
      </c>
      <c r="M582" s="8">
        <v>15403.46100904</v>
      </c>
      <c r="N582" s="8">
        <v>11265.21775288</v>
      </c>
    </row>
    <row r="583" spans="1:14" x14ac:dyDescent="0.25">
      <c r="A583" s="10" t="s">
        <v>1472</v>
      </c>
      <c r="B583" s="10">
        <v>87126</v>
      </c>
      <c r="C583" s="10" t="s">
        <v>1470</v>
      </c>
      <c r="D583" s="10" t="s">
        <v>1473</v>
      </c>
      <c r="E583" s="10" t="s">
        <v>23</v>
      </c>
      <c r="F583" s="10" t="s">
        <v>41</v>
      </c>
      <c r="G583" s="6">
        <v>61</v>
      </c>
      <c r="H583" s="6"/>
      <c r="I583" s="6">
        <v>51</v>
      </c>
      <c r="J583" s="6">
        <v>10</v>
      </c>
      <c r="K583" s="13">
        <v>2914.2750000000001</v>
      </c>
      <c r="L583" s="13">
        <v>2436.5250000000001</v>
      </c>
      <c r="M583" s="8">
        <v>13820.46166818</v>
      </c>
      <c r="N583" s="8">
        <v>11554.812214379999</v>
      </c>
    </row>
    <row r="584" spans="1:14" x14ac:dyDescent="0.25">
      <c r="A584" s="10" t="s">
        <v>1474</v>
      </c>
      <c r="B584" s="10">
        <v>87126</v>
      </c>
      <c r="C584" s="10" t="s">
        <v>1470</v>
      </c>
      <c r="D584" s="10" t="s">
        <v>1475</v>
      </c>
      <c r="E584" s="10" t="s">
        <v>23</v>
      </c>
      <c r="F584" s="10" t="s">
        <v>41</v>
      </c>
      <c r="G584" s="6">
        <v>99</v>
      </c>
      <c r="H584" s="6"/>
      <c r="I584" s="6">
        <v>65</v>
      </c>
      <c r="J584" s="6">
        <v>34</v>
      </c>
      <c r="K584" s="13">
        <v>4729.7250000000004</v>
      </c>
      <c r="L584" s="13">
        <v>3105.375</v>
      </c>
      <c r="M584" s="8">
        <v>21251.823773399999</v>
      </c>
      <c r="N584" s="8">
        <v>13953.217629000001</v>
      </c>
    </row>
    <row r="585" spans="1:14" x14ac:dyDescent="0.25">
      <c r="A585" s="10" t="s">
        <v>1476</v>
      </c>
      <c r="B585" s="10">
        <v>87128</v>
      </c>
      <c r="C585" s="10" t="s">
        <v>1477</v>
      </c>
      <c r="D585" s="10" t="s">
        <v>1478</v>
      </c>
      <c r="E585" s="10" t="s">
        <v>23</v>
      </c>
      <c r="F585" s="10" t="s">
        <v>41</v>
      </c>
      <c r="G585" s="6">
        <v>99</v>
      </c>
      <c r="H585" s="6"/>
      <c r="I585" s="6">
        <v>0</v>
      </c>
      <c r="J585" s="6">
        <v>99</v>
      </c>
      <c r="K585" s="13">
        <v>868.72500000000002</v>
      </c>
      <c r="L585" s="13">
        <v>0</v>
      </c>
      <c r="M585" s="8">
        <v>2183.1151468500002</v>
      </c>
      <c r="N585" s="8">
        <v>0</v>
      </c>
    </row>
    <row r="586" spans="1:14" x14ac:dyDescent="0.25">
      <c r="A586" s="10" t="s">
        <v>1479</v>
      </c>
      <c r="B586" s="10">
        <v>87128</v>
      </c>
      <c r="C586" s="10" t="s">
        <v>1477</v>
      </c>
      <c r="D586" s="10" t="s">
        <v>1480</v>
      </c>
      <c r="E586" s="10" t="s">
        <v>23</v>
      </c>
      <c r="F586" s="10" t="s">
        <v>41</v>
      </c>
      <c r="G586" s="6">
        <v>74</v>
      </c>
      <c r="H586" s="6"/>
      <c r="I586" s="6">
        <v>65</v>
      </c>
      <c r="J586" s="6">
        <v>9</v>
      </c>
      <c r="K586" s="13">
        <v>649.35</v>
      </c>
      <c r="L586" s="13">
        <v>570.375</v>
      </c>
      <c r="M586" s="8">
        <v>2374.5907582</v>
      </c>
      <c r="N586" s="8">
        <v>2085.7891795</v>
      </c>
    </row>
    <row r="587" spans="1:14" x14ac:dyDescent="0.25">
      <c r="A587" s="10" t="s">
        <v>1481</v>
      </c>
      <c r="B587" s="10">
        <v>87130</v>
      </c>
      <c r="C587" s="10" t="s">
        <v>1482</v>
      </c>
      <c r="D587" s="10" t="s">
        <v>1483</v>
      </c>
      <c r="E587" s="10" t="s">
        <v>23</v>
      </c>
      <c r="F587" s="10" t="s">
        <v>41</v>
      </c>
      <c r="G587" s="6">
        <v>173</v>
      </c>
      <c r="H587" s="6"/>
      <c r="I587" s="6">
        <v>20</v>
      </c>
      <c r="J587" s="6">
        <v>153</v>
      </c>
      <c r="K587" s="13">
        <v>94.457999999999998</v>
      </c>
      <c r="L587" s="13">
        <v>10.92</v>
      </c>
      <c r="M587" s="8">
        <v>1063.7219773500001</v>
      </c>
      <c r="N587" s="8">
        <v>122.97363900000001</v>
      </c>
    </row>
    <row r="588" spans="1:14" x14ac:dyDescent="0.25">
      <c r="A588" s="10" t="s">
        <v>1484</v>
      </c>
      <c r="B588" s="10">
        <v>87130</v>
      </c>
      <c r="C588" s="10" t="s">
        <v>1482</v>
      </c>
      <c r="D588" s="10" t="s">
        <v>1485</v>
      </c>
      <c r="E588" s="10" t="s">
        <v>23</v>
      </c>
      <c r="F588" s="10" t="s">
        <v>41</v>
      </c>
      <c r="G588" s="6">
        <v>59</v>
      </c>
      <c r="H588" s="6"/>
      <c r="I588" s="6">
        <v>20</v>
      </c>
      <c r="J588" s="6">
        <v>39</v>
      </c>
      <c r="K588" s="13">
        <v>32.213999999999999</v>
      </c>
      <c r="L588" s="13">
        <v>10.92</v>
      </c>
      <c r="M588" s="8">
        <v>322.47366800999998</v>
      </c>
      <c r="N588" s="8">
        <v>109.3131078</v>
      </c>
    </row>
    <row r="589" spans="1:14" x14ac:dyDescent="0.25">
      <c r="A589" s="10" t="s">
        <v>1486</v>
      </c>
      <c r="B589" s="10">
        <v>87139</v>
      </c>
      <c r="C589" s="10" t="s">
        <v>1487</v>
      </c>
      <c r="D589" s="10" t="s">
        <v>1488</v>
      </c>
      <c r="E589" s="10" t="s">
        <v>23</v>
      </c>
      <c r="F589" s="10" t="s">
        <v>41</v>
      </c>
      <c r="G589" s="6">
        <v>259</v>
      </c>
      <c r="H589" s="6"/>
      <c r="I589" s="6">
        <v>20</v>
      </c>
      <c r="J589" s="6">
        <v>239</v>
      </c>
      <c r="K589" s="13">
        <v>10858.575000000001</v>
      </c>
      <c r="L589" s="13">
        <v>838.5</v>
      </c>
      <c r="M589" s="8">
        <v>35492.996757679997</v>
      </c>
      <c r="N589" s="8">
        <v>2740.7719504000002</v>
      </c>
    </row>
    <row r="590" spans="1:14" x14ac:dyDescent="0.25">
      <c r="A590" s="10" t="s">
        <v>1489</v>
      </c>
      <c r="B590" s="10">
        <v>87139</v>
      </c>
      <c r="C590" s="10" t="s">
        <v>1487</v>
      </c>
      <c r="D590" s="10" t="s">
        <v>1490</v>
      </c>
      <c r="E590" s="10" t="s">
        <v>23</v>
      </c>
      <c r="F590" s="10" t="s">
        <v>41</v>
      </c>
      <c r="G590" s="6">
        <v>46</v>
      </c>
      <c r="H590" s="6"/>
      <c r="I590" s="6">
        <v>0</v>
      </c>
      <c r="J590" s="6">
        <v>46</v>
      </c>
      <c r="K590" s="13">
        <v>1928.55</v>
      </c>
      <c r="L590" s="13">
        <v>0</v>
      </c>
      <c r="M590" s="8">
        <v>6922.0141781399998</v>
      </c>
      <c r="N590" s="8">
        <v>0</v>
      </c>
    </row>
    <row r="591" spans="1:14" x14ac:dyDescent="0.25">
      <c r="A591" s="10" t="s">
        <v>1491</v>
      </c>
      <c r="B591" s="10">
        <v>87140</v>
      </c>
      <c r="C591" s="10" t="s">
        <v>1492</v>
      </c>
      <c r="D591" s="10" t="s">
        <v>1493</v>
      </c>
      <c r="E591" s="10" t="s">
        <v>23</v>
      </c>
      <c r="F591" s="10" t="s">
        <v>41</v>
      </c>
      <c r="G591" s="6">
        <v>234</v>
      </c>
      <c r="H591" s="6"/>
      <c r="I591" s="6">
        <v>20</v>
      </c>
      <c r="J591" s="6">
        <v>214</v>
      </c>
      <c r="K591" s="13">
        <v>10837.008</v>
      </c>
      <c r="L591" s="13">
        <v>926.24</v>
      </c>
      <c r="M591" s="8">
        <v>38897.833337999997</v>
      </c>
      <c r="N591" s="8">
        <v>3324.6011400000002</v>
      </c>
    </row>
    <row r="592" spans="1:14" x14ac:dyDescent="0.25">
      <c r="A592" s="10" t="s">
        <v>1494</v>
      </c>
      <c r="B592" s="10">
        <v>87140</v>
      </c>
      <c r="C592" s="10" t="s">
        <v>1492</v>
      </c>
      <c r="D592" s="10" t="s">
        <v>1495</v>
      </c>
      <c r="E592" s="10" t="s">
        <v>23</v>
      </c>
      <c r="F592" s="10" t="s">
        <v>41</v>
      </c>
      <c r="G592" s="6">
        <v>22</v>
      </c>
      <c r="H592" s="6"/>
      <c r="I592" s="6">
        <v>0</v>
      </c>
      <c r="J592" s="6">
        <v>22</v>
      </c>
      <c r="K592" s="13">
        <v>1018.864</v>
      </c>
      <c r="L592" s="13">
        <v>0</v>
      </c>
      <c r="M592" s="8">
        <v>2773.14847964</v>
      </c>
      <c r="N592" s="8">
        <v>0</v>
      </c>
    </row>
    <row r="593" spans="1:14" x14ac:dyDescent="0.25">
      <c r="A593" s="10" t="s">
        <v>1496</v>
      </c>
      <c r="B593" s="10">
        <v>87140</v>
      </c>
      <c r="C593" s="10" t="s">
        <v>1492</v>
      </c>
      <c r="D593" s="10" t="s">
        <v>1497</v>
      </c>
      <c r="E593" s="10" t="s">
        <v>23</v>
      </c>
      <c r="F593" s="10" t="s">
        <v>41</v>
      </c>
      <c r="G593" s="6">
        <v>50</v>
      </c>
      <c r="H593" s="6"/>
      <c r="I593" s="6">
        <v>46</v>
      </c>
      <c r="J593" s="6">
        <v>4</v>
      </c>
      <c r="K593" s="13">
        <v>2315.6</v>
      </c>
      <c r="L593" s="13">
        <v>2130.3519999999999</v>
      </c>
      <c r="M593" s="8">
        <v>8283.404192</v>
      </c>
      <c r="N593" s="8">
        <v>7620.7318566399999</v>
      </c>
    </row>
    <row r="594" spans="1:14" x14ac:dyDescent="0.25">
      <c r="A594" s="10" t="s">
        <v>1498</v>
      </c>
      <c r="B594" s="10">
        <v>87142</v>
      </c>
      <c r="C594" s="10" t="s">
        <v>1499</v>
      </c>
      <c r="D594" s="10" t="s">
        <v>1500</v>
      </c>
      <c r="E594" s="10" t="s">
        <v>21</v>
      </c>
      <c r="F594" s="10" t="s">
        <v>41</v>
      </c>
      <c r="G594" s="6">
        <v>570</v>
      </c>
      <c r="H594" s="6"/>
      <c r="I594" s="6">
        <v>5</v>
      </c>
      <c r="J594" s="6">
        <v>565</v>
      </c>
      <c r="K594" s="13">
        <v>21674.25</v>
      </c>
      <c r="L594" s="13">
        <v>190.125</v>
      </c>
      <c r="M594" s="8">
        <v>132263.32221119999</v>
      </c>
      <c r="N594" s="8">
        <v>1160.2045808</v>
      </c>
    </row>
    <row r="595" spans="1:14" x14ac:dyDescent="0.25">
      <c r="A595" s="10" t="s">
        <v>1501</v>
      </c>
      <c r="B595" s="10">
        <v>87143</v>
      </c>
      <c r="C595" s="10" t="s">
        <v>1502</v>
      </c>
      <c r="D595" s="10"/>
      <c r="E595" s="10" t="s">
        <v>21</v>
      </c>
      <c r="F595" s="10" t="s">
        <v>41</v>
      </c>
      <c r="G595" s="6">
        <v>604</v>
      </c>
      <c r="H595" s="6"/>
      <c r="I595" s="6">
        <v>0</v>
      </c>
      <c r="J595" s="6">
        <v>604</v>
      </c>
      <c r="K595" s="13">
        <v>10600.2</v>
      </c>
      <c r="L595" s="13">
        <v>0</v>
      </c>
      <c r="M595" s="8">
        <v>29347.4108442</v>
      </c>
      <c r="N595" s="8">
        <v>0</v>
      </c>
    </row>
    <row r="596" spans="1:14" x14ac:dyDescent="0.25">
      <c r="A596" s="10" t="s">
        <v>1503</v>
      </c>
      <c r="B596" s="10">
        <v>87164</v>
      </c>
      <c r="C596" s="10" t="s">
        <v>1504</v>
      </c>
      <c r="D596" s="10" t="s">
        <v>1505</v>
      </c>
      <c r="E596" s="10" t="s">
        <v>21</v>
      </c>
      <c r="F596" s="10" t="s">
        <v>41</v>
      </c>
      <c r="G596" s="6">
        <v>143</v>
      </c>
      <c r="H596" s="6"/>
      <c r="I596" s="6">
        <v>143</v>
      </c>
      <c r="J596" s="6">
        <v>0</v>
      </c>
      <c r="K596" s="13">
        <v>3910.7640000000001</v>
      </c>
      <c r="L596" s="13">
        <v>3910.7640000000001</v>
      </c>
      <c r="M596" s="8">
        <v>15842.281333450001</v>
      </c>
      <c r="N596" s="8">
        <v>15842.281333450001</v>
      </c>
    </row>
    <row r="597" spans="1:14" x14ac:dyDescent="0.25">
      <c r="A597" s="10" t="s">
        <v>1506</v>
      </c>
      <c r="B597" s="10">
        <v>87164</v>
      </c>
      <c r="C597" s="10" t="s">
        <v>1504</v>
      </c>
      <c r="D597" s="10" t="s">
        <v>1507</v>
      </c>
      <c r="E597" s="10" t="s">
        <v>21</v>
      </c>
      <c r="F597" s="10" t="s">
        <v>41</v>
      </c>
      <c r="G597" s="6">
        <v>189</v>
      </c>
      <c r="H597" s="6"/>
      <c r="I597" s="6">
        <v>45</v>
      </c>
      <c r="J597" s="6">
        <v>144</v>
      </c>
      <c r="K597" s="13">
        <v>5168.7719999999999</v>
      </c>
      <c r="L597" s="13">
        <v>1230.6600000000001</v>
      </c>
      <c r="M597" s="8">
        <v>21460.397864850001</v>
      </c>
      <c r="N597" s="8">
        <v>5109.6185392500001</v>
      </c>
    </row>
    <row r="598" spans="1:14" x14ac:dyDescent="0.25">
      <c r="A598" s="10" t="s">
        <v>1508</v>
      </c>
      <c r="B598" s="10">
        <v>87164</v>
      </c>
      <c r="C598" s="10" t="s">
        <v>1504</v>
      </c>
      <c r="D598" s="10" t="s">
        <v>1509</v>
      </c>
      <c r="E598" s="10" t="s">
        <v>21</v>
      </c>
      <c r="F598" s="10" t="s">
        <v>41</v>
      </c>
      <c r="G598" s="6">
        <v>241</v>
      </c>
      <c r="H598" s="6"/>
      <c r="I598" s="6">
        <v>83</v>
      </c>
      <c r="J598" s="6">
        <v>158</v>
      </c>
      <c r="K598" s="13">
        <v>6590.8680000000004</v>
      </c>
      <c r="L598" s="13">
        <v>2269.884</v>
      </c>
      <c r="M598" s="8">
        <v>25320.16503104</v>
      </c>
      <c r="N598" s="8">
        <v>8720.2228115199996</v>
      </c>
    </row>
    <row r="599" spans="1:14" x14ac:dyDescent="0.25">
      <c r="A599" s="10" t="s">
        <v>1510</v>
      </c>
      <c r="B599" s="10">
        <v>87168</v>
      </c>
      <c r="C599" s="10" t="s">
        <v>1511</v>
      </c>
      <c r="D599" s="10" t="s">
        <v>1512</v>
      </c>
      <c r="E599" s="10" t="s">
        <v>21</v>
      </c>
      <c r="F599" s="10" t="s">
        <v>41</v>
      </c>
      <c r="G599" s="6">
        <v>270</v>
      </c>
      <c r="H599" s="6"/>
      <c r="I599" s="6">
        <v>126</v>
      </c>
      <c r="J599" s="6">
        <v>144</v>
      </c>
      <c r="K599" s="13">
        <v>9819.09</v>
      </c>
      <c r="L599" s="13">
        <v>4582.2420000000002</v>
      </c>
      <c r="M599" s="8">
        <v>39753.717721200002</v>
      </c>
      <c r="N599" s="8">
        <v>18551.734936559998</v>
      </c>
    </row>
    <row r="600" spans="1:14" x14ac:dyDescent="0.25">
      <c r="A600" s="10" t="s">
        <v>1513</v>
      </c>
      <c r="B600" s="10">
        <v>87168</v>
      </c>
      <c r="C600" s="10" t="s">
        <v>1511</v>
      </c>
      <c r="D600" s="10" t="s">
        <v>1514</v>
      </c>
      <c r="E600" s="10" t="s">
        <v>21</v>
      </c>
      <c r="F600" s="10" t="s">
        <v>41</v>
      </c>
      <c r="G600" s="6">
        <v>240</v>
      </c>
      <c r="H600" s="6"/>
      <c r="I600" s="6">
        <v>88</v>
      </c>
      <c r="J600" s="6">
        <v>152</v>
      </c>
      <c r="K600" s="13">
        <v>8728.08</v>
      </c>
      <c r="L600" s="13">
        <v>3200.2959999999998</v>
      </c>
      <c r="M600" s="8">
        <v>36752.469842400002</v>
      </c>
      <c r="N600" s="8">
        <v>13475.905608880001</v>
      </c>
    </row>
    <row r="601" spans="1:14" x14ac:dyDescent="0.25">
      <c r="A601" s="10" t="s">
        <v>1515</v>
      </c>
      <c r="B601" s="10">
        <v>87376</v>
      </c>
      <c r="C601" s="10" t="s">
        <v>1516</v>
      </c>
      <c r="D601" s="10" t="s">
        <v>1517</v>
      </c>
      <c r="E601" s="10" t="s">
        <v>21</v>
      </c>
      <c r="F601" s="10" t="s">
        <v>41</v>
      </c>
      <c r="G601" s="6">
        <v>10</v>
      </c>
      <c r="H601" s="6"/>
      <c r="I601" s="6">
        <v>0</v>
      </c>
      <c r="J601" s="6">
        <v>10</v>
      </c>
      <c r="K601" s="13">
        <v>149.66</v>
      </c>
      <c r="L601" s="13">
        <v>0</v>
      </c>
      <c r="M601" s="8">
        <v>647.91632149999998</v>
      </c>
      <c r="N601" s="8">
        <v>0</v>
      </c>
    </row>
    <row r="602" spans="1:14" x14ac:dyDescent="0.25">
      <c r="A602" s="10" t="s">
        <v>1518</v>
      </c>
      <c r="B602" s="10">
        <v>87376</v>
      </c>
      <c r="C602" s="10" t="s">
        <v>1516</v>
      </c>
      <c r="D602" s="10" t="s">
        <v>1519</v>
      </c>
      <c r="E602" s="10" t="s">
        <v>21</v>
      </c>
      <c r="F602" s="10" t="s">
        <v>41</v>
      </c>
      <c r="G602" s="6">
        <v>10</v>
      </c>
      <c r="H602" s="6"/>
      <c r="I602" s="6">
        <v>0</v>
      </c>
      <c r="J602" s="6">
        <v>10</v>
      </c>
      <c r="K602" s="13">
        <v>149.66</v>
      </c>
      <c r="L602" s="13">
        <v>0</v>
      </c>
      <c r="M602" s="8">
        <v>648.03602760000001</v>
      </c>
      <c r="N602" s="8">
        <v>0</v>
      </c>
    </row>
    <row r="603" spans="1:14" x14ac:dyDescent="0.25">
      <c r="A603" s="10" t="s">
        <v>1520</v>
      </c>
      <c r="B603" s="10">
        <v>87460</v>
      </c>
      <c r="C603" s="10" t="s">
        <v>1521</v>
      </c>
      <c r="D603" s="10" t="s">
        <v>1522</v>
      </c>
      <c r="E603" s="10" t="s">
        <v>23</v>
      </c>
      <c r="F603" s="10" t="s">
        <v>41</v>
      </c>
      <c r="G603" s="6">
        <v>618</v>
      </c>
      <c r="H603" s="6"/>
      <c r="I603" s="6">
        <v>476</v>
      </c>
      <c r="J603" s="6">
        <v>142</v>
      </c>
      <c r="K603" s="13">
        <v>31332.6</v>
      </c>
      <c r="L603" s="13">
        <v>24133.200000000001</v>
      </c>
      <c r="M603" s="8">
        <v>146788.78126404001</v>
      </c>
      <c r="N603" s="8">
        <v>113060.61469528</v>
      </c>
    </row>
    <row r="604" spans="1:14" x14ac:dyDescent="0.25">
      <c r="A604" s="10" t="s">
        <v>1523</v>
      </c>
      <c r="B604" s="10">
        <v>87460</v>
      </c>
      <c r="C604" s="10" t="s">
        <v>1521</v>
      </c>
      <c r="D604" s="10" t="s">
        <v>1524</v>
      </c>
      <c r="E604" s="10" t="s">
        <v>23</v>
      </c>
      <c r="F604" s="10" t="s">
        <v>41</v>
      </c>
      <c r="G604" s="6">
        <v>63</v>
      </c>
      <c r="H604" s="6"/>
      <c r="I604" s="6">
        <v>0</v>
      </c>
      <c r="J604" s="6">
        <v>63</v>
      </c>
      <c r="K604" s="13">
        <v>3194.1</v>
      </c>
      <c r="L604" s="13">
        <v>0</v>
      </c>
      <c r="M604" s="8">
        <v>13482.562288229999</v>
      </c>
      <c r="N604" s="8">
        <v>0</v>
      </c>
    </row>
    <row r="605" spans="1:14" x14ac:dyDescent="0.25">
      <c r="A605" s="10" t="s">
        <v>1525</v>
      </c>
      <c r="B605" s="10">
        <v>87462</v>
      </c>
      <c r="C605" s="10" t="s">
        <v>1526</v>
      </c>
      <c r="D605" s="10" t="s">
        <v>1527</v>
      </c>
      <c r="E605" s="10" t="s">
        <v>23</v>
      </c>
      <c r="F605" s="10" t="s">
        <v>41</v>
      </c>
      <c r="G605" s="6">
        <v>621</v>
      </c>
      <c r="H605" s="6"/>
      <c r="I605" s="6">
        <v>476</v>
      </c>
      <c r="J605" s="6">
        <v>145</v>
      </c>
      <c r="K605" s="13">
        <v>29970.702000000001</v>
      </c>
      <c r="L605" s="13">
        <v>22972.712</v>
      </c>
      <c r="M605" s="8">
        <v>99560.2194666</v>
      </c>
      <c r="N605" s="8">
        <v>76313.469349599996</v>
      </c>
    </row>
    <row r="606" spans="1:14" x14ac:dyDescent="0.25">
      <c r="A606" s="10" t="s">
        <v>1528</v>
      </c>
      <c r="B606" s="10">
        <v>87462</v>
      </c>
      <c r="C606" s="10" t="s">
        <v>1526</v>
      </c>
      <c r="D606" s="10" t="s">
        <v>1529</v>
      </c>
      <c r="E606" s="10" t="s">
        <v>23</v>
      </c>
      <c r="F606" s="10" t="s">
        <v>41</v>
      </c>
      <c r="G606" s="6">
        <v>71</v>
      </c>
      <c r="H606" s="6"/>
      <c r="I606" s="6">
        <v>63</v>
      </c>
      <c r="J606" s="6">
        <v>8</v>
      </c>
      <c r="K606" s="13">
        <v>3426.6019999999999</v>
      </c>
      <c r="L606" s="13">
        <v>3040.5059999999999</v>
      </c>
      <c r="M606" s="8">
        <v>11146.036283629999</v>
      </c>
      <c r="N606" s="8">
        <v>9890.1448713900008</v>
      </c>
    </row>
    <row r="607" spans="1:14" x14ac:dyDescent="0.25">
      <c r="A607" s="10" t="s">
        <v>1530</v>
      </c>
      <c r="B607" s="10">
        <v>87469</v>
      </c>
      <c r="C607" s="10" t="s">
        <v>1531</v>
      </c>
      <c r="D607" s="10" t="s">
        <v>1532</v>
      </c>
      <c r="E607" s="10" t="s">
        <v>23</v>
      </c>
      <c r="F607" s="10" t="s">
        <v>41</v>
      </c>
      <c r="G607" s="6">
        <v>271</v>
      </c>
      <c r="H607" s="6"/>
      <c r="I607" s="6">
        <v>195</v>
      </c>
      <c r="J607" s="6">
        <v>76</v>
      </c>
      <c r="K607" s="13">
        <v>12695.808000000001</v>
      </c>
      <c r="L607" s="13">
        <v>9135.36</v>
      </c>
      <c r="M607" s="8">
        <v>43910.788635689998</v>
      </c>
      <c r="N607" s="8">
        <v>31596.323926050001</v>
      </c>
    </row>
    <row r="608" spans="1:14" x14ac:dyDescent="0.25">
      <c r="A608" s="10" t="s">
        <v>1533</v>
      </c>
      <c r="B608" s="10">
        <v>87469</v>
      </c>
      <c r="C608" s="10" t="s">
        <v>1531</v>
      </c>
      <c r="D608" s="10" t="s">
        <v>1534</v>
      </c>
      <c r="E608" s="10" t="s">
        <v>23</v>
      </c>
      <c r="F608" s="10" t="s">
        <v>41</v>
      </c>
      <c r="G608" s="6">
        <v>85</v>
      </c>
      <c r="H608" s="6"/>
      <c r="I608" s="6">
        <v>63</v>
      </c>
      <c r="J608" s="6">
        <v>22</v>
      </c>
      <c r="K608" s="13">
        <v>3982.08</v>
      </c>
      <c r="L608" s="13">
        <v>2951.424</v>
      </c>
      <c r="M608" s="8">
        <v>13519.1391566</v>
      </c>
      <c r="N608" s="8">
        <v>10020.06784548</v>
      </c>
    </row>
    <row r="609" spans="1:14" x14ac:dyDescent="0.25">
      <c r="A609" s="10" t="s">
        <v>1535</v>
      </c>
      <c r="B609" s="10">
        <v>87469</v>
      </c>
      <c r="C609" s="10" t="s">
        <v>1531</v>
      </c>
      <c r="D609" s="10" t="s">
        <v>1536</v>
      </c>
      <c r="E609" s="10" t="s">
        <v>23</v>
      </c>
      <c r="F609" s="10" t="s">
        <v>41</v>
      </c>
      <c r="G609" s="6">
        <v>371</v>
      </c>
      <c r="H609" s="6"/>
      <c r="I609" s="6">
        <v>281</v>
      </c>
      <c r="J609" s="6">
        <v>90</v>
      </c>
      <c r="K609" s="13">
        <v>17380.608</v>
      </c>
      <c r="L609" s="13">
        <v>13164.288</v>
      </c>
      <c r="M609" s="8">
        <v>62742.902470499997</v>
      </c>
      <c r="N609" s="8">
        <v>47522.252275500003</v>
      </c>
    </row>
    <row r="610" spans="1:14" x14ac:dyDescent="0.25">
      <c r="A610" s="10" t="s">
        <v>1537</v>
      </c>
      <c r="B610" s="10">
        <v>87470</v>
      </c>
      <c r="C610" s="10" t="s">
        <v>1538</v>
      </c>
      <c r="D610" s="10" t="s">
        <v>1539</v>
      </c>
      <c r="E610" s="10" t="s">
        <v>23</v>
      </c>
      <c r="F610" s="10" t="s">
        <v>41</v>
      </c>
      <c r="G610" s="6">
        <v>771</v>
      </c>
      <c r="H610" s="6"/>
      <c r="I610" s="6">
        <v>476</v>
      </c>
      <c r="J610" s="6">
        <v>295</v>
      </c>
      <c r="K610" s="13">
        <v>541.24199999999996</v>
      </c>
      <c r="L610" s="13">
        <v>334.15199999999999</v>
      </c>
      <c r="M610" s="8">
        <v>21217.08853818</v>
      </c>
      <c r="N610" s="8">
        <v>13099.00667208</v>
      </c>
    </row>
    <row r="611" spans="1:14" x14ac:dyDescent="0.25">
      <c r="A611" s="10" t="s">
        <v>1540</v>
      </c>
      <c r="B611" s="10">
        <v>87470</v>
      </c>
      <c r="C611" s="10" t="s">
        <v>1538</v>
      </c>
      <c r="D611" s="10" t="s">
        <v>1541</v>
      </c>
      <c r="E611" s="10" t="s">
        <v>23</v>
      </c>
      <c r="F611" s="10" t="s">
        <v>41</v>
      </c>
      <c r="G611" s="6">
        <v>82</v>
      </c>
      <c r="H611" s="6"/>
      <c r="I611" s="6">
        <v>63</v>
      </c>
      <c r="J611" s="6">
        <v>19</v>
      </c>
      <c r="K611" s="13">
        <v>57.564</v>
      </c>
      <c r="L611" s="13">
        <v>44.225999999999999</v>
      </c>
      <c r="M611" s="8">
        <v>2193.1768388199998</v>
      </c>
      <c r="N611" s="8">
        <v>1685.00171763</v>
      </c>
    </row>
    <row r="612" spans="1:14" x14ac:dyDescent="0.25">
      <c r="A612" s="10" t="s">
        <v>1542</v>
      </c>
      <c r="B612" s="10">
        <v>87472</v>
      </c>
      <c r="C612" s="10" t="s">
        <v>1543</v>
      </c>
      <c r="D612" s="10" t="s">
        <v>1544</v>
      </c>
      <c r="E612" s="10" t="s">
        <v>22</v>
      </c>
      <c r="F612" s="10" t="s">
        <v>41</v>
      </c>
      <c r="G612" s="6">
        <v>180</v>
      </c>
      <c r="H612" s="6"/>
      <c r="I612" s="6">
        <v>146</v>
      </c>
      <c r="J612" s="6">
        <v>34</v>
      </c>
      <c r="K612" s="13">
        <v>7020</v>
      </c>
      <c r="L612" s="13">
        <v>5694</v>
      </c>
      <c r="M612" s="8">
        <v>40332.003750000003</v>
      </c>
      <c r="N612" s="8">
        <v>32713.736375</v>
      </c>
    </row>
    <row r="613" spans="1:14" x14ac:dyDescent="0.25">
      <c r="A613" s="10" t="s">
        <v>1545</v>
      </c>
      <c r="B613" s="10">
        <v>87553</v>
      </c>
      <c r="C613" s="10" t="s">
        <v>1546</v>
      </c>
      <c r="D613" s="10" t="s">
        <v>1547</v>
      </c>
      <c r="E613" s="10" t="s">
        <v>23</v>
      </c>
      <c r="F613" s="10" t="s">
        <v>41</v>
      </c>
      <c r="G613" s="6">
        <v>685</v>
      </c>
      <c r="H613" s="6"/>
      <c r="I613" s="6">
        <v>372</v>
      </c>
      <c r="J613" s="6">
        <v>313</v>
      </c>
      <c r="K613" s="13">
        <v>32058</v>
      </c>
      <c r="L613" s="13">
        <v>17409.599999999999</v>
      </c>
      <c r="M613" s="8">
        <v>120779.19597905</v>
      </c>
      <c r="N613" s="8">
        <v>65591.037816359996</v>
      </c>
    </row>
    <row r="614" spans="1:14" x14ac:dyDescent="0.25">
      <c r="A614" s="10" t="s">
        <v>1548</v>
      </c>
      <c r="B614" s="10">
        <v>87559</v>
      </c>
      <c r="C614" s="10" t="s">
        <v>1549</v>
      </c>
      <c r="D614" s="10" t="s">
        <v>1550</v>
      </c>
      <c r="E614" s="10" t="s">
        <v>23</v>
      </c>
      <c r="F614" s="10" t="s">
        <v>41</v>
      </c>
      <c r="G614" s="6">
        <v>683</v>
      </c>
      <c r="H614" s="6"/>
      <c r="I614" s="6">
        <v>372</v>
      </c>
      <c r="J614" s="6">
        <v>311</v>
      </c>
      <c r="K614" s="13">
        <v>30632.55</v>
      </c>
      <c r="L614" s="13">
        <v>16684.2</v>
      </c>
      <c r="M614" s="8">
        <v>101614.05445765999</v>
      </c>
      <c r="N614" s="8">
        <v>55344.69730344</v>
      </c>
    </row>
    <row r="615" spans="1:14" x14ac:dyDescent="0.25">
      <c r="A615" s="10" t="s">
        <v>1551</v>
      </c>
      <c r="B615" s="10">
        <v>87560</v>
      </c>
      <c r="C615" s="10" t="s">
        <v>1552</v>
      </c>
      <c r="D615" s="10" t="s">
        <v>1553</v>
      </c>
      <c r="E615" s="10" t="s">
        <v>23</v>
      </c>
      <c r="F615" s="10" t="s">
        <v>41</v>
      </c>
      <c r="G615" s="6">
        <v>660</v>
      </c>
      <c r="H615" s="6"/>
      <c r="I615" s="6">
        <v>372</v>
      </c>
      <c r="J615" s="6">
        <v>288</v>
      </c>
      <c r="K615" s="13">
        <v>33783.42</v>
      </c>
      <c r="L615" s="13">
        <v>19041.563999999998</v>
      </c>
      <c r="M615" s="8">
        <v>92617.959911400001</v>
      </c>
      <c r="N615" s="8">
        <v>52202.850131879997</v>
      </c>
    </row>
    <row r="616" spans="1:14" x14ac:dyDescent="0.25">
      <c r="A616" s="10" t="s">
        <v>1554</v>
      </c>
      <c r="B616" s="10">
        <v>87562</v>
      </c>
      <c r="C616" s="10" t="s">
        <v>1555</v>
      </c>
      <c r="D616" s="10" t="s">
        <v>1556</v>
      </c>
      <c r="E616" s="10" t="s">
        <v>23</v>
      </c>
      <c r="F616" s="10" t="s">
        <v>41</v>
      </c>
      <c r="G616" s="6">
        <v>289</v>
      </c>
      <c r="H616" s="6"/>
      <c r="I616" s="6">
        <v>81</v>
      </c>
      <c r="J616" s="6">
        <v>208</v>
      </c>
      <c r="K616" s="13">
        <v>17751.825000000001</v>
      </c>
      <c r="L616" s="13">
        <v>4975.4250000000002</v>
      </c>
      <c r="M616" s="8">
        <v>61420.559224509998</v>
      </c>
      <c r="N616" s="8">
        <v>17214.758813789998</v>
      </c>
    </row>
    <row r="617" spans="1:14" x14ac:dyDescent="0.25">
      <c r="A617" s="10" t="s">
        <v>1557</v>
      </c>
      <c r="B617" s="10">
        <v>87562</v>
      </c>
      <c r="C617" s="10" t="s">
        <v>1555</v>
      </c>
      <c r="D617" s="10" t="s">
        <v>1558</v>
      </c>
      <c r="E617" s="10" t="s">
        <v>23</v>
      </c>
      <c r="F617" s="10" t="s">
        <v>41</v>
      </c>
      <c r="G617" s="6">
        <v>226</v>
      </c>
      <c r="H617" s="6"/>
      <c r="I617" s="6">
        <v>208</v>
      </c>
      <c r="J617" s="6">
        <v>18</v>
      </c>
      <c r="K617" s="13">
        <v>13882.05</v>
      </c>
      <c r="L617" s="13">
        <v>12776.4</v>
      </c>
      <c r="M617" s="8">
        <v>47565.81713014</v>
      </c>
      <c r="N617" s="8">
        <v>43777.389217119999</v>
      </c>
    </row>
    <row r="618" spans="1:14" x14ac:dyDescent="0.25">
      <c r="A618" s="10" t="s">
        <v>1559</v>
      </c>
      <c r="B618" s="10">
        <v>87563</v>
      </c>
      <c r="C618" s="10" t="s">
        <v>1560</v>
      </c>
      <c r="D618" s="10" t="s">
        <v>1561</v>
      </c>
      <c r="E618" s="10" t="s">
        <v>23</v>
      </c>
      <c r="F618" s="10" t="s">
        <v>41</v>
      </c>
      <c r="G618" s="6">
        <v>907</v>
      </c>
      <c r="H618" s="6"/>
      <c r="I618" s="6">
        <v>289</v>
      </c>
      <c r="J618" s="6">
        <v>618</v>
      </c>
      <c r="K618" s="13">
        <v>1278.8699999999999</v>
      </c>
      <c r="L618" s="13">
        <v>407.49</v>
      </c>
      <c r="M618" s="8">
        <v>41595.760755969997</v>
      </c>
      <c r="N618" s="8">
        <v>13253.776029189999</v>
      </c>
    </row>
    <row r="619" spans="1:14" x14ac:dyDescent="0.25">
      <c r="A619" s="10" t="s">
        <v>1562</v>
      </c>
      <c r="B619" s="10">
        <v>87563</v>
      </c>
      <c r="C619" s="10" t="s">
        <v>1560</v>
      </c>
      <c r="D619" s="10" t="s">
        <v>1563</v>
      </c>
      <c r="E619" s="10" t="s">
        <v>23</v>
      </c>
      <c r="F619" s="10" t="s">
        <v>41</v>
      </c>
      <c r="G619" s="6">
        <v>1</v>
      </c>
      <c r="H619" s="6"/>
      <c r="I619" s="6">
        <v>0</v>
      </c>
      <c r="J619" s="6">
        <v>1</v>
      </c>
      <c r="K619" s="13">
        <v>1.41</v>
      </c>
      <c r="L619" s="13">
        <v>0</v>
      </c>
      <c r="M619" s="8">
        <v>1.10800104</v>
      </c>
      <c r="N619" s="8">
        <v>0</v>
      </c>
    </row>
    <row r="620" spans="1:14" x14ac:dyDescent="0.25">
      <c r="A620" s="10" t="s">
        <v>1564</v>
      </c>
      <c r="B620" s="10">
        <v>87564</v>
      </c>
      <c r="C620" s="10" t="s">
        <v>1565</v>
      </c>
      <c r="D620" s="10" t="s">
        <v>1566</v>
      </c>
      <c r="E620" s="10" t="s">
        <v>22</v>
      </c>
      <c r="F620" s="10" t="s">
        <v>41</v>
      </c>
      <c r="G620" s="6">
        <v>313</v>
      </c>
      <c r="H620" s="6"/>
      <c r="I620" s="6">
        <v>166</v>
      </c>
      <c r="J620" s="6">
        <v>147</v>
      </c>
      <c r="K620" s="13">
        <v>10681.125</v>
      </c>
      <c r="L620" s="13">
        <v>5664.75</v>
      </c>
      <c r="M620" s="8">
        <v>116780.51208566999</v>
      </c>
      <c r="N620" s="8">
        <v>61934.712479939997</v>
      </c>
    </row>
    <row r="621" spans="1:14" x14ac:dyDescent="0.25">
      <c r="A621" s="10" t="s">
        <v>1567</v>
      </c>
      <c r="B621" s="10">
        <v>87565</v>
      </c>
      <c r="C621" s="10" t="s">
        <v>1568</v>
      </c>
      <c r="D621" s="10" t="s">
        <v>1569</v>
      </c>
      <c r="E621" s="10" t="s">
        <v>23</v>
      </c>
      <c r="F621" s="10" t="s">
        <v>41</v>
      </c>
      <c r="G621" s="6">
        <v>210</v>
      </c>
      <c r="H621" s="6"/>
      <c r="I621" s="6">
        <v>83</v>
      </c>
      <c r="J621" s="6">
        <v>127</v>
      </c>
      <c r="K621" s="13">
        <v>296.73</v>
      </c>
      <c r="L621" s="13">
        <v>117.279</v>
      </c>
      <c r="M621" s="8">
        <v>9685.1254583999998</v>
      </c>
      <c r="N621" s="8">
        <v>3827.9305383199999</v>
      </c>
    </row>
    <row r="622" spans="1:14" x14ac:dyDescent="0.25">
      <c r="A622" s="10" t="s">
        <v>1570</v>
      </c>
      <c r="B622" s="10">
        <v>87566</v>
      </c>
      <c r="C622" s="10" t="s">
        <v>1571</v>
      </c>
      <c r="D622" s="10"/>
      <c r="E622" s="10" t="s">
        <v>23</v>
      </c>
      <c r="F622" s="10" t="s">
        <v>41</v>
      </c>
      <c r="G622" s="6">
        <v>312</v>
      </c>
      <c r="H622" s="6"/>
      <c r="I622" s="6">
        <v>0</v>
      </c>
      <c r="J622" s="6">
        <v>312</v>
      </c>
      <c r="K622" s="13">
        <v>3650.4</v>
      </c>
      <c r="L622" s="13">
        <v>0</v>
      </c>
      <c r="M622" s="8">
        <v>27774.913969919999</v>
      </c>
      <c r="N622" s="8">
        <v>0</v>
      </c>
    </row>
    <row r="623" spans="1:14" x14ac:dyDescent="0.25">
      <c r="A623" s="10" t="s">
        <v>1572</v>
      </c>
      <c r="B623" s="10">
        <v>87626</v>
      </c>
      <c r="C623" s="10" t="s">
        <v>1573</v>
      </c>
      <c r="D623" s="10" t="s">
        <v>1574</v>
      </c>
      <c r="E623" s="10" t="s">
        <v>22</v>
      </c>
      <c r="F623" s="10" t="s">
        <v>41</v>
      </c>
      <c r="G623" s="6">
        <v>481</v>
      </c>
      <c r="H623" s="6"/>
      <c r="I623" s="6">
        <v>114</v>
      </c>
      <c r="J623" s="6">
        <v>367</v>
      </c>
      <c r="K623" s="13">
        <v>5536.31</v>
      </c>
      <c r="L623" s="13">
        <v>1312.14</v>
      </c>
      <c r="M623" s="8">
        <v>26984.575699379999</v>
      </c>
      <c r="N623" s="8">
        <v>6395.5127437199999</v>
      </c>
    </row>
    <row r="624" spans="1:14" x14ac:dyDescent="0.25">
      <c r="A624" s="10" t="s">
        <v>1575</v>
      </c>
      <c r="B624" s="10">
        <v>87626</v>
      </c>
      <c r="C624" s="10" t="s">
        <v>1573</v>
      </c>
      <c r="D624" s="10" t="s">
        <v>1576</v>
      </c>
      <c r="E624" s="10" t="s">
        <v>22</v>
      </c>
      <c r="F624" s="10" t="s">
        <v>41</v>
      </c>
      <c r="G624" s="6">
        <v>70</v>
      </c>
      <c r="H624" s="6"/>
      <c r="I624" s="6">
        <v>20</v>
      </c>
      <c r="J624" s="6">
        <v>50</v>
      </c>
      <c r="K624" s="13">
        <v>805.7</v>
      </c>
      <c r="L624" s="13">
        <v>230.2</v>
      </c>
      <c r="M624" s="8">
        <v>4288.0106486000004</v>
      </c>
      <c r="N624" s="8">
        <v>1225.1458995999999</v>
      </c>
    </row>
    <row r="625" spans="1:14" x14ac:dyDescent="0.25">
      <c r="A625" s="10" t="s">
        <v>1577</v>
      </c>
      <c r="B625" s="10">
        <v>87646</v>
      </c>
      <c r="C625" s="10" t="s">
        <v>1578</v>
      </c>
      <c r="D625" s="10" t="s">
        <v>1579</v>
      </c>
      <c r="E625" s="10" t="s">
        <v>22</v>
      </c>
      <c r="F625" s="10" t="s">
        <v>41</v>
      </c>
      <c r="G625" s="6">
        <v>467</v>
      </c>
      <c r="H625" s="6"/>
      <c r="I625" s="6">
        <v>114</v>
      </c>
      <c r="J625" s="6">
        <v>353</v>
      </c>
      <c r="K625" s="13">
        <v>3096.21</v>
      </c>
      <c r="L625" s="13">
        <v>755.82</v>
      </c>
      <c r="M625" s="8">
        <v>23075.060409419999</v>
      </c>
      <c r="N625" s="8">
        <v>5632.8841256400001</v>
      </c>
    </row>
    <row r="626" spans="1:14" x14ac:dyDescent="0.25">
      <c r="A626" s="10" t="s">
        <v>1580</v>
      </c>
      <c r="B626" s="10">
        <v>87812</v>
      </c>
      <c r="C626" s="10" t="s">
        <v>1581</v>
      </c>
      <c r="D626" s="10" t="s">
        <v>1582</v>
      </c>
      <c r="E626" s="10" t="s">
        <v>22</v>
      </c>
      <c r="F626" s="10" t="s">
        <v>41</v>
      </c>
      <c r="G626" s="6">
        <v>71</v>
      </c>
      <c r="H626" s="6"/>
      <c r="I626" s="6">
        <v>21</v>
      </c>
      <c r="J626" s="6">
        <v>50</v>
      </c>
      <c r="K626" s="13">
        <v>969.15</v>
      </c>
      <c r="L626" s="13">
        <v>286.64999999999998</v>
      </c>
      <c r="M626" s="8">
        <v>5891.3269673599998</v>
      </c>
      <c r="N626" s="8">
        <v>1742.5051593600001</v>
      </c>
    </row>
    <row r="627" spans="1:14" x14ac:dyDescent="0.25">
      <c r="A627" s="10" t="s">
        <v>1583</v>
      </c>
      <c r="B627" s="10">
        <v>94924</v>
      </c>
      <c r="C627" s="10" t="s">
        <v>1584</v>
      </c>
      <c r="D627" s="10"/>
      <c r="E627" s="10" t="s">
        <v>23</v>
      </c>
      <c r="F627" s="10" t="s">
        <v>41</v>
      </c>
      <c r="G627" s="6">
        <v>201</v>
      </c>
      <c r="H627" s="6"/>
      <c r="I627" s="6">
        <v>0</v>
      </c>
      <c r="J627" s="6">
        <v>201</v>
      </c>
      <c r="K627" s="13">
        <v>235.17</v>
      </c>
      <c r="L627" s="13">
        <v>0</v>
      </c>
      <c r="M627" s="8">
        <v>26218.491047970001</v>
      </c>
      <c r="N627" s="8">
        <v>0</v>
      </c>
    </row>
    <row r="628" spans="1:14" x14ac:dyDescent="0.25">
      <c r="A628" s="10" t="s">
        <v>1585</v>
      </c>
      <c r="B628" s="10">
        <v>95029</v>
      </c>
      <c r="C628" s="10" t="s">
        <v>1586</v>
      </c>
      <c r="D628" s="10" t="s">
        <v>1587</v>
      </c>
      <c r="E628" s="10" t="s">
        <v>22</v>
      </c>
      <c r="F628" s="10" t="s">
        <v>41</v>
      </c>
      <c r="G628" s="6">
        <v>44</v>
      </c>
      <c r="H628" s="6"/>
      <c r="I628" s="6">
        <v>0</v>
      </c>
      <c r="J628" s="6">
        <v>44</v>
      </c>
      <c r="K628" s="13">
        <v>585.55200000000002</v>
      </c>
      <c r="L628" s="13">
        <v>0</v>
      </c>
      <c r="M628" s="8">
        <v>3379.5598971200002</v>
      </c>
      <c r="N628" s="8">
        <v>0</v>
      </c>
    </row>
    <row r="629" spans="1:14" x14ac:dyDescent="0.25">
      <c r="A629" s="10" t="s">
        <v>1588</v>
      </c>
      <c r="B629" s="10">
        <v>95040</v>
      </c>
      <c r="C629" s="10" t="s">
        <v>1589</v>
      </c>
      <c r="D629" s="10" t="s">
        <v>1590</v>
      </c>
      <c r="E629" s="10" t="s">
        <v>22</v>
      </c>
      <c r="F629" s="10" t="s">
        <v>41</v>
      </c>
      <c r="G629" s="6">
        <v>0</v>
      </c>
      <c r="H629" s="6"/>
      <c r="I629" s="6">
        <v>0</v>
      </c>
      <c r="J629" s="6">
        <v>0</v>
      </c>
      <c r="K629" s="13">
        <v>0</v>
      </c>
      <c r="L629" s="13">
        <v>0</v>
      </c>
      <c r="M629" s="8">
        <v>0</v>
      </c>
      <c r="N629" s="8">
        <v>0</v>
      </c>
    </row>
    <row r="630" spans="1:14" x14ac:dyDescent="0.25">
      <c r="A630" s="10" t="s">
        <v>1591</v>
      </c>
      <c r="B630" s="10">
        <v>97189</v>
      </c>
      <c r="C630" s="10" t="s">
        <v>1592</v>
      </c>
      <c r="D630" s="10" t="s">
        <v>1593</v>
      </c>
      <c r="E630" s="10" t="s">
        <v>23</v>
      </c>
      <c r="F630" s="10" t="s">
        <v>41</v>
      </c>
      <c r="G630" s="6">
        <v>574</v>
      </c>
      <c r="H630" s="6"/>
      <c r="I630" s="6">
        <v>373</v>
      </c>
      <c r="J630" s="6">
        <v>201</v>
      </c>
      <c r="K630" s="13">
        <v>8954.4</v>
      </c>
      <c r="L630" s="13">
        <v>5818.8</v>
      </c>
      <c r="M630" s="8">
        <v>27784.473024980001</v>
      </c>
      <c r="N630" s="8">
        <v>18055.066965710001</v>
      </c>
    </row>
    <row r="631" spans="1:14" x14ac:dyDescent="0.25">
      <c r="A631" s="10" t="s">
        <v>1594</v>
      </c>
      <c r="B631" s="10">
        <v>97299</v>
      </c>
      <c r="C631" s="10" t="s">
        <v>1595</v>
      </c>
      <c r="D631" s="10" t="s">
        <v>1596</v>
      </c>
      <c r="E631" s="10" t="s">
        <v>21</v>
      </c>
      <c r="F631" s="10" t="s">
        <v>41</v>
      </c>
      <c r="G631" s="6">
        <v>2</v>
      </c>
      <c r="H631" s="6"/>
      <c r="I631" s="6">
        <v>0</v>
      </c>
      <c r="J631" s="6">
        <v>2</v>
      </c>
      <c r="K631" s="13">
        <v>50.7</v>
      </c>
      <c r="L631" s="13">
        <v>0</v>
      </c>
      <c r="M631" s="8">
        <v>165.00845301999999</v>
      </c>
      <c r="N631" s="8">
        <v>0</v>
      </c>
    </row>
    <row r="632" spans="1:14" x14ac:dyDescent="0.25">
      <c r="A632" s="10" t="s">
        <v>1597</v>
      </c>
      <c r="B632" s="10">
        <v>97299</v>
      </c>
      <c r="C632" s="10" t="s">
        <v>1595</v>
      </c>
      <c r="D632" s="10" t="s">
        <v>1598</v>
      </c>
      <c r="E632" s="10" t="s">
        <v>21</v>
      </c>
      <c r="F632" s="10" t="s">
        <v>41</v>
      </c>
      <c r="G632" s="6">
        <v>0</v>
      </c>
      <c r="H632" s="6"/>
      <c r="I632" s="6">
        <v>0</v>
      </c>
      <c r="J632" s="6">
        <v>0</v>
      </c>
      <c r="K632" s="13">
        <v>0</v>
      </c>
      <c r="L632" s="13">
        <v>0</v>
      </c>
      <c r="M632" s="8">
        <v>0</v>
      </c>
      <c r="N632" s="8">
        <v>0</v>
      </c>
    </row>
    <row r="633" spans="1:14" x14ac:dyDescent="0.25">
      <c r="A633" s="10" t="s">
        <v>1599</v>
      </c>
      <c r="B633" s="10">
        <v>97300</v>
      </c>
      <c r="C633" s="10" t="s">
        <v>1600</v>
      </c>
      <c r="D633" s="10" t="s">
        <v>1601</v>
      </c>
      <c r="E633" s="10" t="s">
        <v>21</v>
      </c>
      <c r="F633" s="10" t="s">
        <v>41</v>
      </c>
      <c r="G633" s="6">
        <v>2</v>
      </c>
      <c r="H633" s="6"/>
      <c r="I633" s="6">
        <v>0</v>
      </c>
      <c r="J633" s="6">
        <v>2</v>
      </c>
      <c r="K633" s="13">
        <v>25.92</v>
      </c>
      <c r="L633" s="13">
        <v>0</v>
      </c>
      <c r="M633" s="8">
        <v>90.911089939999997</v>
      </c>
      <c r="N633" s="8">
        <v>0</v>
      </c>
    </row>
    <row r="634" spans="1:14" x14ac:dyDescent="0.25">
      <c r="A634" s="10" t="s">
        <v>1602</v>
      </c>
      <c r="B634" s="10">
        <v>97300</v>
      </c>
      <c r="C634" s="10" t="s">
        <v>1600</v>
      </c>
      <c r="D634" s="10" t="s">
        <v>1603</v>
      </c>
      <c r="E634" s="10" t="s">
        <v>21</v>
      </c>
      <c r="F634" s="10" t="s">
        <v>41</v>
      </c>
      <c r="G634" s="6">
        <v>86</v>
      </c>
      <c r="H634" s="6"/>
      <c r="I634" s="6">
        <v>0</v>
      </c>
      <c r="J634" s="6">
        <v>86</v>
      </c>
      <c r="K634" s="13">
        <v>1114.56</v>
      </c>
      <c r="L634" s="13">
        <v>0</v>
      </c>
      <c r="M634" s="8">
        <v>4173.2322650200003</v>
      </c>
      <c r="N634" s="8">
        <v>0</v>
      </c>
    </row>
    <row r="635" spans="1:14" x14ac:dyDescent="0.25">
      <c r="A635" s="10" t="s">
        <v>1604</v>
      </c>
      <c r="B635" s="10">
        <v>97301</v>
      </c>
      <c r="C635" s="10" t="s">
        <v>1605</v>
      </c>
      <c r="D635" s="10" t="s">
        <v>1606</v>
      </c>
      <c r="E635" s="10" t="s">
        <v>21</v>
      </c>
      <c r="F635" s="10" t="s">
        <v>41</v>
      </c>
      <c r="G635" s="6">
        <v>2</v>
      </c>
      <c r="H635" s="6"/>
      <c r="I635" s="6">
        <v>0</v>
      </c>
      <c r="J635" s="6">
        <v>2</v>
      </c>
      <c r="K635" s="13">
        <v>35.880000000000003</v>
      </c>
      <c r="L635" s="13">
        <v>0</v>
      </c>
      <c r="M635" s="8">
        <v>161.76317202000001</v>
      </c>
      <c r="N635" s="8">
        <v>0</v>
      </c>
    </row>
    <row r="636" spans="1:14" x14ac:dyDescent="0.25">
      <c r="A636" s="10" t="s">
        <v>1607</v>
      </c>
      <c r="B636" s="10">
        <v>97301</v>
      </c>
      <c r="C636" s="10" t="s">
        <v>1605</v>
      </c>
      <c r="D636" s="10" t="s">
        <v>1608</v>
      </c>
      <c r="E636" s="10" t="s">
        <v>21</v>
      </c>
      <c r="F636" s="10" t="s">
        <v>41</v>
      </c>
      <c r="G636" s="6">
        <v>86</v>
      </c>
      <c r="H636" s="6"/>
      <c r="I636" s="6">
        <v>0</v>
      </c>
      <c r="J636" s="6">
        <v>86</v>
      </c>
      <c r="K636" s="13">
        <v>1542.84</v>
      </c>
      <c r="L636" s="13">
        <v>0</v>
      </c>
      <c r="M636" s="8">
        <v>10452.65107496</v>
      </c>
      <c r="N636" s="8">
        <v>0</v>
      </c>
    </row>
    <row r="637" spans="1:14" x14ac:dyDescent="0.25">
      <c r="A637" s="10" t="s">
        <v>1609</v>
      </c>
      <c r="B637" s="10">
        <v>97305</v>
      </c>
      <c r="C637" s="10" t="s">
        <v>1610</v>
      </c>
      <c r="D637" s="10" t="s">
        <v>1611</v>
      </c>
      <c r="E637" s="10" t="s">
        <v>21</v>
      </c>
      <c r="F637" s="10" t="s">
        <v>41</v>
      </c>
      <c r="G637" s="6">
        <v>2</v>
      </c>
      <c r="H637" s="6"/>
      <c r="I637" s="6">
        <v>0</v>
      </c>
      <c r="J637" s="6">
        <v>2</v>
      </c>
      <c r="K637" s="13">
        <v>39</v>
      </c>
      <c r="L637" s="13">
        <v>0</v>
      </c>
      <c r="M637" s="8">
        <v>88.540259480000003</v>
      </c>
      <c r="N637" s="8">
        <v>0</v>
      </c>
    </row>
    <row r="638" spans="1:14" x14ac:dyDescent="0.25">
      <c r="A638" s="10" t="s">
        <v>1612</v>
      </c>
      <c r="B638" s="10">
        <v>97308</v>
      </c>
      <c r="C638" s="10" t="s">
        <v>1613</v>
      </c>
      <c r="D638" s="10" t="s">
        <v>1614</v>
      </c>
      <c r="E638" s="10" t="s">
        <v>21</v>
      </c>
      <c r="F638" s="10" t="s">
        <v>41</v>
      </c>
      <c r="G638" s="6">
        <v>2</v>
      </c>
      <c r="H638" s="6"/>
      <c r="I638" s="6">
        <v>0</v>
      </c>
      <c r="J638" s="6">
        <v>2</v>
      </c>
      <c r="K638" s="13">
        <v>29.74</v>
      </c>
      <c r="L638" s="13">
        <v>0</v>
      </c>
      <c r="M638" s="8">
        <v>120.71038234</v>
      </c>
      <c r="N638" s="8">
        <v>0</v>
      </c>
    </row>
    <row r="639" spans="1:14" x14ac:dyDescent="0.25">
      <c r="A639" s="10" t="s">
        <v>1615</v>
      </c>
      <c r="B639" s="10">
        <v>97308</v>
      </c>
      <c r="C639" s="10" t="s">
        <v>1613</v>
      </c>
      <c r="D639" s="10" t="s">
        <v>1616</v>
      </c>
      <c r="E639" s="10" t="s">
        <v>21</v>
      </c>
      <c r="F639" s="10" t="s">
        <v>41</v>
      </c>
      <c r="G639" s="6">
        <v>2</v>
      </c>
      <c r="H639" s="6"/>
      <c r="I639" s="6">
        <v>0</v>
      </c>
      <c r="J639" s="6">
        <v>2</v>
      </c>
      <c r="K639" s="13">
        <v>29.74</v>
      </c>
      <c r="L639" s="13">
        <v>0</v>
      </c>
      <c r="M639" s="8">
        <v>120.99970752</v>
      </c>
      <c r="N639" s="8">
        <v>0</v>
      </c>
    </row>
    <row r="640" spans="1:14" x14ac:dyDescent="0.25">
      <c r="A640" s="10" t="s">
        <v>1617</v>
      </c>
      <c r="B640" s="10">
        <v>97308</v>
      </c>
      <c r="C640" s="10" t="s">
        <v>1613</v>
      </c>
      <c r="D640" s="10" t="s">
        <v>1618</v>
      </c>
      <c r="E640" s="10" t="s">
        <v>21</v>
      </c>
      <c r="F640" s="10" t="s">
        <v>41</v>
      </c>
      <c r="G640" s="6">
        <v>2</v>
      </c>
      <c r="H640" s="6"/>
      <c r="I640" s="6">
        <v>0</v>
      </c>
      <c r="J640" s="6">
        <v>2</v>
      </c>
      <c r="K640" s="13">
        <v>29.74</v>
      </c>
      <c r="L640" s="13">
        <v>0</v>
      </c>
      <c r="M640" s="8">
        <v>127.88460068000001</v>
      </c>
      <c r="N640" s="8">
        <v>0</v>
      </c>
    </row>
    <row r="641" spans="1:14" x14ac:dyDescent="0.25">
      <c r="A641" s="16" t="s">
        <v>1938</v>
      </c>
      <c r="G641" s="17">
        <f t="shared" ref="G641:N641" si="0">SUM(G4:G640)</f>
        <v>140953</v>
      </c>
      <c r="H641" s="17">
        <f t="shared" si="0"/>
        <v>0</v>
      </c>
      <c r="I641" s="17">
        <f t="shared" si="0"/>
        <v>63876</v>
      </c>
      <c r="J641" s="17">
        <f t="shared" si="0"/>
        <v>77077</v>
      </c>
      <c r="K641" s="18">
        <f t="shared" si="0"/>
        <v>3728647.5570000005</v>
      </c>
      <c r="L641" s="18">
        <f t="shared" si="0"/>
        <v>1929729.9110000005</v>
      </c>
      <c r="M641" s="19">
        <f t="shared" si="0"/>
        <v>16311566.978674546</v>
      </c>
      <c r="N641" s="19">
        <f t="shared" si="0"/>
        <v>8453099.9053345714</v>
      </c>
    </row>
  </sheetData>
  <autoFilter ref="A3:N640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1"/>
  <sheetViews>
    <sheetView zoomScaleNormal="100" workbookViewId="0">
      <pane ySplit="3" topLeftCell="A4" activePane="bottomLeft" state="frozen"/>
      <selection pane="bottomLeft"/>
    </sheetView>
  </sheetViews>
  <sheetFormatPr defaultColWidth="8.5703125" defaultRowHeight="15" customHeight="1" x14ac:dyDescent="0.25"/>
  <cols>
    <col min="1" max="1" width="14" customWidth="1"/>
    <col min="2" max="2" width="10" customWidth="1"/>
    <col min="3" max="3" width="52" customWidth="1"/>
    <col min="4" max="4" width="26" customWidth="1"/>
    <col min="5" max="5" width="24" customWidth="1"/>
    <col min="6" max="6" width="16" customWidth="1"/>
    <col min="7" max="7" width="13" customWidth="1"/>
    <col min="8" max="8" width="12" customWidth="1"/>
    <col min="9" max="9" width="11" customWidth="1"/>
    <col min="10" max="10" width="12" customWidth="1"/>
    <col min="11" max="11" width="15" customWidth="1"/>
    <col min="12" max="12" width="17" customWidth="1"/>
    <col min="13" max="14" width="16" customWidth="1"/>
  </cols>
  <sheetData>
    <row r="1" spans="1:14" ht="18" x14ac:dyDescent="0.25">
      <c r="A1" s="1" t="s">
        <v>1940</v>
      </c>
    </row>
    <row r="3" spans="1:14" ht="25.5" x14ac:dyDescent="0.25">
      <c r="A3" s="4" t="s">
        <v>25</v>
      </c>
      <c r="B3" s="4" t="s">
        <v>26</v>
      </c>
      <c r="C3" s="4" t="s">
        <v>28</v>
      </c>
      <c r="D3" s="4" t="s">
        <v>29</v>
      </c>
      <c r="E3" s="4" t="s">
        <v>30</v>
      </c>
      <c r="F3" s="4" t="s">
        <v>32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34</v>
      </c>
      <c r="L3" s="4" t="s">
        <v>35</v>
      </c>
      <c r="M3" s="4" t="s">
        <v>10</v>
      </c>
      <c r="N3" s="4" t="s">
        <v>11</v>
      </c>
    </row>
    <row r="4" spans="1:14" x14ac:dyDescent="0.25">
      <c r="A4" s="10" t="s">
        <v>1619</v>
      </c>
      <c r="B4" s="10">
        <v>2102</v>
      </c>
      <c r="C4" s="10" t="s">
        <v>163</v>
      </c>
      <c r="D4" s="10" t="s">
        <v>1620</v>
      </c>
      <c r="E4" s="10" t="s">
        <v>23</v>
      </c>
      <c r="F4" s="10" t="s">
        <v>18</v>
      </c>
      <c r="G4" s="6">
        <v>5</v>
      </c>
      <c r="H4" s="6">
        <v>5</v>
      </c>
      <c r="I4" s="6">
        <v>0</v>
      </c>
      <c r="J4" s="6">
        <v>5</v>
      </c>
      <c r="K4" s="13">
        <v>250.09</v>
      </c>
      <c r="L4" s="13">
        <v>0</v>
      </c>
      <c r="M4" s="8">
        <v>1064.2655314000001</v>
      </c>
      <c r="N4" s="8">
        <v>0</v>
      </c>
    </row>
    <row r="5" spans="1:14" x14ac:dyDescent="0.25">
      <c r="A5" s="10" t="s">
        <v>1621</v>
      </c>
      <c r="B5" s="10">
        <v>2103</v>
      </c>
      <c r="C5" s="10" t="s">
        <v>166</v>
      </c>
      <c r="D5" s="10" t="s">
        <v>1622</v>
      </c>
      <c r="E5" s="10" t="s">
        <v>23</v>
      </c>
      <c r="F5" s="10" t="s">
        <v>18</v>
      </c>
      <c r="G5" s="6">
        <v>0</v>
      </c>
      <c r="H5" s="6">
        <v>1</v>
      </c>
      <c r="I5" s="6">
        <v>0</v>
      </c>
      <c r="J5" s="6">
        <v>0</v>
      </c>
      <c r="K5" s="13">
        <v>0</v>
      </c>
      <c r="L5" s="13">
        <v>0</v>
      </c>
      <c r="M5" s="8">
        <v>0</v>
      </c>
      <c r="N5" s="8">
        <v>0</v>
      </c>
    </row>
    <row r="6" spans="1:14" x14ac:dyDescent="0.25">
      <c r="A6" s="10" t="s">
        <v>1623</v>
      </c>
      <c r="B6" s="10">
        <v>2104</v>
      </c>
      <c r="C6" s="10" t="s">
        <v>169</v>
      </c>
      <c r="D6" s="10" t="s">
        <v>1624</v>
      </c>
      <c r="E6" s="10" t="s">
        <v>23</v>
      </c>
      <c r="F6" s="10" t="s">
        <v>18</v>
      </c>
      <c r="G6" s="6">
        <v>12</v>
      </c>
      <c r="H6" s="6">
        <v>12</v>
      </c>
      <c r="I6" s="6">
        <v>0</v>
      </c>
      <c r="J6" s="6">
        <v>12</v>
      </c>
      <c r="K6" s="13">
        <v>620.1</v>
      </c>
      <c r="L6" s="13">
        <v>0</v>
      </c>
      <c r="M6" s="8">
        <v>1719.97411908</v>
      </c>
      <c r="N6" s="8">
        <v>0</v>
      </c>
    </row>
    <row r="7" spans="1:14" x14ac:dyDescent="0.25">
      <c r="A7" s="10" t="s">
        <v>1625</v>
      </c>
      <c r="B7" s="10">
        <v>2246</v>
      </c>
      <c r="C7" s="10" t="s">
        <v>287</v>
      </c>
      <c r="D7" s="10" t="s">
        <v>1626</v>
      </c>
      <c r="E7" s="10" t="s">
        <v>23</v>
      </c>
      <c r="F7" s="10" t="s">
        <v>18</v>
      </c>
      <c r="G7" s="6">
        <v>495</v>
      </c>
      <c r="H7" s="6">
        <v>523</v>
      </c>
      <c r="I7" s="6">
        <v>461</v>
      </c>
      <c r="J7" s="6">
        <v>34</v>
      </c>
      <c r="K7" s="13">
        <v>7576.9650000000001</v>
      </c>
      <c r="L7" s="13">
        <v>7056.527</v>
      </c>
      <c r="M7" s="8">
        <v>16926.686765999999</v>
      </c>
      <c r="N7" s="8">
        <v>15764.0456548</v>
      </c>
    </row>
    <row r="8" spans="1:14" x14ac:dyDescent="0.25">
      <c r="A8" s="10" t="s">
        <v>1627</v>
      </c>
      <c r="B8" s="10">
        <v>2275</v>
      </c>
      <c r="C8" s="10" t="s">
        <v>1628</v>
      </c>
      <c r="D8" s="10" t="s">
        <v>1629</v>
      </c>
      <c r="E8" s="10" t="s">
        <v>23</v>
      </c>
      <c r="F8" s="10" t="s">
        <v>18</v>
      </c>
      <c r="G8" s="6">
        <v>0</v>
      </c>
      <c r="H8" s="6">
        <v>0</v>
      </c>
      <c r="I8" s="6">
        <v>0</v>
      </c>
      <c r="J8" s="6">
        <v>0</v>
      </c>
      <c r="K8" s="13">
        <v>0</v>
      </c>
      <c r="L8" s="13">
        <v>0</v>
      </c>
      <c r="M8" s="8">
        <v>0</v>
      </c>
      <c r="N8" s="8">
        <v>0</v>
      </c>
    </row>
    <row r="9" spans="1:14" x14ac:dyDescent="0.25">
      <c r="A9" s="10" t="s">
        <v>1630</v>
      </c>
      <c r="B9" s="10">
        <v>2318</v>
      </c>
      <c r="C9" s="10" t="s">
        <v>314</v>
      </c>
      <c r="D9" s="10" t="s">
        <v>1631</v>
      </c>
      <c r="E9" s="10" t="s">
        <v>23</v>
      </c>
      <c r="F9" s="10" t="s">
        <v>18</v>
      </c>
      <c r="G9" s="6">
        <v>6</v>
      </c>
      <c r="H9" s="6">
        <v>6</v>
      </c>
      <c r="I9" s="6">
        <v>1</v>
      </c>
      <c r="J9" s="6">
        <v>5</v>
      </c>
      <c r="K9" s="13">
        <v>229.02600000000001</v>
      </c>
      <c r="L9" s="13">
        <v>38.170999999999999</v>
      </c>
      <c r="M9" s="8">
        <v>716.46851963999995</v>
      </c>
      <c r="N9" s="8">
        <v>119.41141994</v>
      </c>
    </row>
    <row r="10" spans="1:14" x14ac:dyDescent="0.25">
      <c r="A10" s="10" t="s">
        <v>1632</v>
      </c>
      <c r="B10" s="10">
        <v>2319</v>
      </c>
      <c r="C10" s="10" t="s">
        <v>317</v>
      </c>
      <c r="D10" s="10" t="s">
        <v>1633</v>
      </c>
      <c r="E10" s="10" t="s">
        <v>23</v>
      </c>
      <c r="F10" s="10" t="s">
        <v>18</v>
      </c>
      <c r="G10" s="6">
        <v>5</v>
      </c>
      <c r="H10" s="6">
        <v>5</v>
      </c>
      <c r="I10" s="6">
        <v>1</v>
      </c>
      <c r="J10" s="6">
        <v>4</v>
      </c>
      <c r="K10" s="13">
        <v>237.9</v>
      </c>
      <c r="L10" s="13">
        <v>47.58</v>
      </c>
      <c r="M10" s="8">
        <v>699.59885589999999</v>
      </c>
      <c r="N10" s="8">
        <v>139.91977118</v>
      </c>
    </row>
    <row r="11" spans="1:14" x14ac:dyDescent="0.25">
      <c r="A11" s="10" t="s">
        <v>1634</v>
      </c>
      <c r="B11" s="10">
        <v>2320</v>
      </c>
      <c r="C11" s="10" t="s">
        <v>320</v>
      </c>
      <c r="D11" s="10" t="s">
        <v>1635</v>
      </c>
      <c r="E11" s="10" t="s">
        <v>23</v>
      </c>
      <c r="F11" s="10" t="s">
        <v>18</v>
      </c>
      <c r="G11" s="6">
        <v>11</v>
      </c>
      <c r="H11" s="6">
        <v>11</v>
      </c>
      <c r="I11" s="6">
        <v>1</v>
      </c>
      <c r="J11" s="6">
        <v>10</v>
      </c>
      <c r="K11" s="13">
        <v>633.84199999999998</v>
      </c>
      <c r="L11" s="13">
        <v>57.622</v>
      </c>
      <c r="M11" s="8">
        <v>2025.3699313100001</v>
      </c>
      <c r="N11" s="8">
        <v>184.12453920999999</v>
      </c>
    </row>
    <row r="12" spans="1:14" x14ac:dyDescent="0.25">
      <c r="A12" s="10" t="s">
        <v>1636</v>
      </c>
      <c r="B12" s="10">
        <v>75841</v>
      </c>
      <c r="C12" s="10" t="s">
        <v>1637</v>
      </c>
      <c r="D12" s="10" t="s">
        <v>1638</v>
      </c>
      <c r="E12" s="10" t="s">
        <v>23</v>
      </c>
      <c r="F12" s="10" t="s">
        <v>18</v>
      </c>
      <c r="G12" s="6">
        <v>0</v>
      </c>
      <c r="H12" s="6">
        <v>0</v>
      </c>
      <c r="I12" s="6">
        <v>0</v>
      </c>
      <c r="J12" s="6">
        <v>0</v>
      </c>
      <c r="K12" s="13">
        <v>0</v>
      </c>
      <c r="L12" s="13">
        <v>0</v>
      </c>
      <c r="M12" s="8">
        <v>0</v>
      </c>
      <c r="N12" s="8">
        <v>0</v>
      </c>
    </row>
    <row r="13" spans="1:14" x14ac:dyDescent="0.25">
      <c r="A13" s="10" t="s">
        <v>1639</v>
      </c>
      <c r="B13" s="10">
        <v>75868</v>
      </c>
      <c r="C13" s="10" t="s">
        <v>1017</v>
      </c>
      <c r="D13" s="10" t="s">
        <v>1640</v>
      </c>
      <c r="E13" s="10" t="s">
        <v>23</v>
      </c>
      <c r="F13" s="10" t="s">
        <v>18</v>
      </c>
      <c r="G13" s="6">
        <v>0</v>
      </c>
      <c r="H13" s="6">
        <v>25</v>
      </c>
      <c r="I13" s="6">
        <v>0</v>
      </c>
      <c r="J13" s="6">
        <v>0</v>
      </c>
      <c r="K13" s="13">
        <v>0</v>
      </c>
      <c r="L13" s="13">
        <v>0</v>
      </c>
      <c r="M13" s="8">
        <v>0</v>
      </c>
      <c r="N13" s="8">
        <v>0</v>
      </c>
    </row>
    <row r="14" spans="1:14" x14ac:dyDescent="0.25">
      <c r="A14" s="10" t="s">
        <v>1641</v>
      </c>
      <c r="B14" s="10">
        <v>75871</v>
      </c>
      <c r="C14" s="10" t="s">
        <v>1024</v>
      </c>
      <c r="D14" s="10" t="s">
        <v>1642</v>
      </c>
      <c r="E14" s="10" t="s">
        <v>23</v>
      </c>
      <c r="F14" s="10" t="s">
        <v>18</v>
      </c>
      <c r="G14" s="6">
        <v>23</v>
      </c>
      <c r="H14" s="6">
        <v>26</v>
      </c>
      <c r="I14" s="6">
        <v>0</v>
      </c>
      <c r="J14" s="6">
        <v>23</v>
      </c>
      <c r="K14" s="13">
        <v>392.42599999999999</v>
      </c>
      <c r="L14" s="13">
        <v>0</v>
      </c>
      <c r="M14" s="8">
        <v>1198.1058346899999</v>
      </c>
      <c r="N14" s="8">
        <v>0</v>
      </c>
    </row>
    <row r="15" spans="1:14" x14ac:dyDescent="0.25">
      <c r="A15" s="10" t="s">
        <v>1643</v>
      </c>
      <c r="B15" s="10">
        <v>76348</v>
      </c>
      <c r="C15" s="10" t="s">
        <v>1029</v>
      </c>
      <c r="D15" s="10" t="s">
        <v>1644</v>
      </c>
      <c r="E15" s="10" t="s">
        <v>23</v>
      </c>
      <c r="F15" s="10" t="s">
        <v>18</v>
      </c>
      <c r="G15" s="6">
        <v>0</v>
      </c>
      <c r="H15" s="6">
        <v>0</v>
      </c>
      <c r="I15" s="6">
        <v>0</v>
      </c>
      <c r="J15" s="6">
        <v>0</v>
      </c>
      <c r="K15" s="13">
        <v>0</v>
      </c>
      <c r="L15" s="13">
        <v>0</v>
      </c>
      <c r="M15" s="8">
        <v>0</v>
      </c>
      <c r="N15" s="8">
        <v>0</v>
      </c>
    </row>
    <row r="16" spans="1:14" x14ac:dyDescent="0.25">
      <c r="A16" s="10" t="s">
        <v>1645</v>
      </c>
      <c r="B16" s="10">
        <v>84635</v>
      </c>
      <c r="C16" s="10" t="s">
        <v>1646</v>
      </c>
      <c r="D16" s="10" t="s">
        <v>1647</v>
      </c>
      <c r="E16" s="10" t="s">
        <v>23</v>
      </c>
      <c r="F16" s="10" t="s">
        <v>18</v>
      </c>
      <c r="G16" s="6">
        <v>0</v>
      </c>
      <c r="H16" s="6">
        <v>20</v>
      </c>
      <c r="I16" s="6">
        <v>0</v>
      </c>
      <c r="J16" s="6">
        <v>0</v>
      </c>
      <c r="K16" s="13">
        <v>0</v>
      </c>
      <c r="L16" s="13">
        <v>0</v>
      </c>
      <c r="M16" s="8">
        <v>0</v>
      </c>
      <c r="N16" s="8">
        <v>0</v>
      </c>
    </row>
    <row r="17" spans="1:14" x14ac:dyDescent="0.25">
      <c r="A17" s="10" t="s">
        <v>1648</v>
      </c>
      <c r="B17" s="10">
        <v>84688</v>
      </c>
      <c r="C17" s="10" t="s">
        <v>1649</v>
      </c>
      <c r="D17" s="10" t="s">
        <v>1650</v>
      </c>
      <c r="E17" s="10" t="s">
        <v>23</v>
      </c>
      <c r="F17" s="10" t="s">
        <v>18</v>
      </c>
      <c r="G17" s="6">
        <v>0</v>
      </c>
      <c r="H17" s="6">
        <v>20</v>
      </c>
      <c r="I17" s="6">
        <v>0</v>
      </c>
      <c r="J17" s="6">
        <v>0</v>
      </c>
      <c r="K17" s="13">
        <v>0</v>
      </c>
      <c r="L17" s="13">
        <v>0</v>
      </c>
      <c r="M17" s="8">
        <v>0</v>
      </c>
      <c r="N17" s="8">
        <v>0</v>
      </c>
    </row>
    <row r="18" spans="1:14" x14ac:dyDescent="0.25">
      <c r="A18" s="10" t="s">
        <v>1651</v>
      </c>
      <c r="B18" s="10">
        <v>84701</v>
      </c>
      <c r="C18" s="10" t="s">
        <v>1652</v>
      </c>
      <c r="D18" s="10" t="s">
        <v>1653</v>
      </c>
      <c r="E18" s="10" t="s">
        <v>23</v>
      </c>
      <c r="F18" s="10" t="s">
        <v>18</v>
      </c>
      <c r="G18" s="6">
        <v>0</v>
      </c>
      <c r="H18" s="6">
        <v>20</v>
      </c>
      <c r="I18" s="6">
        <v>0</v>
      </c>
      <c r="J18" s="6">
        <v>0</v>
      </c>
      <c r="K18" s="13">
        <v>0</v>
      </c>
      <c r="L18" s="13">
        <v>0</v>
      </c>
      <c r="M18" s="8">
        <v>0</v>
      </c>
      <c r="N18" s="8">
        <v>0</v>
      </c>
    </row>
    <row r="19" spans="1:14" x14ac:dyDescent="0.25">
      <c r="A19" s="10" t="s">
        <v>1654</v>
      </c>
      <c r="B19" s="10">
        <v>84712</v>
      </c>
      <c r="C19" s="10" t="s">
        <v>1655</v>
      </c>
      <c r="D19" s="10" t="s">
        <v>1656</v>
      </c>
      <c r="E19" s="10" t="s">
        <v>23</v>
      </c>
      <c r="F19" s="10" t="s">
        <v>18</v>
      </c>
      <c r="G19" s="6">
        <v>0</v>
      </c>
      <c r="H19" s="6">
        <v>20</v>
      </c>
      <c r="I19" s="6">
        <v>0</v>
      </c>
      <c r="J19" s="6">
        <v>0</v>
      </c>
      <c r="K19" s="13">
        <v>0</v>
      </c>
      <c r="L19" s="13">
        <v>0</v>
      </c>
      <c r="M19" s="8">
        <v>0</v>
      </c>
      <c r="N19" s="8">
        <v>0</v>
      </c>
    </row>
    <row r="20" spans="1:14" x14ac:dyDescent="0.25">
      <c r="A20" s="10" t="s">
        <v>1657</v>
      </c>
      <c r="B20" s="10">
        <v>84715</v>
      </c>
      <c r="C20" s="10" t="s">
        <v>1658</v>
      </c>
      <c r="D20" s="10" t="s">
        <v>1659</v>
      </c>
      <c r="E20" s="10" t="s">
        <v>23</v>
      </c>
      <c r="F20" s="10" t="s">
        <v>18</v>
      </c>
      <c r="G20" s="6">
        <v>0</v>
      </c>
      <c r="H20" s="6">
        <v>0</v>
      </c>
      <c r="I20" s="6">
        <v>0</v>
      </c>
      <c r="J20" s="6">
        <v>0</v>
      </c>
      <c r="K20" s="13">
        <v>0</v>
      </c>
      <c r="L20" s="13">
        <v>0</v>
      </c>
      <c r="M20" s="8">
        <v>0</v>
      </c>
      <c r="N20" s="8">
        <v>0</v>
      </c>
    </row>
    <row r="21" spans="1:14" x14ac:dyDescent="0.25">
      <c r="A21" s="10" t="s">
        <v>1660</v>
      </c>
      <c r="B21" s="10">
        <v>84800</v>
      </c>
      <c r="C21" s="10" t="s">
        <v>1145</v>
      </c>
      <c r="D21" s="10" t="s">
        <v>1661</v>
      </c>
      <c r="E21" s="10" t="s">
        <v>23</v>
      </c>
      <c r="F21" s="10" t="s">
        <v>18</v>
      </c>
      <c r="G21" s="6">
        <v>21</v>
      </c>
      <c r="H21" s="6">
        <v>21</v>
      </c>
      <c r="I21" s="6">
        <v>0</v>
      </c>
      <c r="J21" s="6">
        <v>21</v>
      </c>
      <c r="K21" s="13">
        <v>1228.5</v>
      </c>
      <c r="L21" s="13">
        <v>0</v>
      </c>
      <c r="M21" s="8">
        <v>3976.1621783099999</v>
      </c>
      <c r="N21" s="8">
        <v>0</v>
      </c>
    </row>
    <row r="22" spans="1:14" x14ac:dyDescent="0.25">
      <c r="A22" s="10" t="s">
        <v>1662</v>
      </c>
      <c r="B22" s="10">
        <v>84809</v>
      </c>
      <c r="C22" s="10" t="s">
        <v>1150</v>
      </c>
      <c r="D22" s="10" t="s">
        <v>1663</v>
      </c>
      <c r="E22" s="10" t="s">
        <v>23</v>
      </c>
      <c r="F22" s="10" t="s">
        <v>18</v>
      </c>
      <c r="G22" s="6">
        <v>0</v>
      </c>
      <c r="H22" s="6">
        <v>0</v>
      </c>
      <c r="I22" s="6">
        <v>0</v>
      </c>
      <c r="J22" s="6">
        <v>0</v>
      </c>
      <c r="K22" s="13">
        <v>0</v>
      </c>
      <c r="L22" s="13">
        <v>0</v>
      </c>
      <c r="M22" s="8">
        <v>0</v>
      </c>
      <c r="N22" s="8">
        <v>0</v>
      </c>
    </row>
    <row r="23" spans="1:14" x14ac:dyDescent="0.25">
      <c r="A23" s="10" t="s">
        <v>1664</v>
      </c>
      <c r="B23" s="10">
        <v>84836</v>
      </c>
      <c r="C23" s="10" t="s">
        <v>1158</v>
      </c>
      <c r="D23" s="10" t="s">
        <v>1665</v>
      </c>
      <c r="E23" s="10" t="s">
        <v>23</v>
      </c>
      <c r="F23" s="10" t="s">
        <v>18</v>
      </c>
      <c r="G23" s="6">
        <v>547</v>
      </c>
      <c r="H23" s="6">
        <v>578</v>
      </c>
      <c r="I23" s="6">
        <v>461</v>
      </c>
      <c r="J23" s="6">
        <v>86</v>
      </c>
      <c r="K23" s="13">
        <v>28266.224999999999</v>
      </c>
      <c r="L23" s="13">
        <v>23822.174999999999</v>
      </c>
      <c r="M23" s="8">
        <v>95262.796027520002</v>
      </c>
      <c r="N23" s="8">
        <v>80285.46429376</v>
      </c>
    </row>
    <row r="24" spans="1:14" x14ac:dyDescent="0.25">
      <c r="A24" s="10" t="s">
        <v>1666</v>
      </c>
      <c r="B24" s="10">
        <v>84860</v>
      </c>
      <c r="C24" s="10" t="s">
        <v>1667</v>
      </c>
      <c r="D24" s="10" t="s">
        <v>1668</v>
      </c>
      <c r="E24" s="10" t="s">
        <v>23</v>
      </c>
      <c r="F24" s="10" t="s">
        <v>18</v>
      </c>
      <c r="G24" s="6">
        <v>81</v>
      </c>
      <c r="H24" s="6">
        <v>74</v>
      </c>
      <c r="I24" s="6">
        <v>31</v>
      </c>
      <c r="J24" s="6">
        <v>50</v>
      </c>
      <c r="K24" s="13">
        <v>4738.5</v>
      </c>
      <c r="L24" s="13">
        <v>1813.5</v>
      </c>
      <c r="M24" s="8">
        <v>24758.569628640002</v>
      </c>
      <c r="N24" s="8">
        <v>9475.5019566400006</v>
      </c>
    </row>
    <row r="25" spans="1:14" x14ac:dyDescent="0.25">
      <c r="A25" s="10" t="s">
        <v>1669</v>
      </c>
      <c r="B25" s="10">
        <v>84866</v>
      </c>
      <c r="C25" s="10" t="s">
        <v>1670</v>
      </c>
      <c r="D25" s="10" t="s">
        <v>1671</v>
      </c>
      <c r="E25" s="10" t="s">
        <v>23</v>
      </c>
      <c r="F25" s="10" t="s">
        <v>18</v>
      </c>
      <c r="G25" s="6">
        <v>98</v>
      </c>
      <c r="H25" s="6">
        <v>98</v>
      </c>
      <c r="I25" s="6">
        <v>31</v>
      </c>
      <c r="J25" s="6">
        <v>67</v>
      </c>
      <c r="K25" s="13">
        <v>4777.5</v>
      </c>
      <c r="L25" s="13">
        <v>1511.25</v>
      </c>
      <c r="M25" s="8">
        <v>8556.4427964400002</v>
      </c>
      <c r="N25" s="8">
        <v>2706.6298641799999</v>
      </c>
    </row>
    <row r="26" spans="1:14" x14ac:dyDescent="0.25">
      <c r="A26" s="10" t="s">
        <v>1672</v>
      </c>
      <c r="B26" s="10">
        <v>86204</v>
      </c>
      <c r="C26" s="10" t="s">
        <v>1379</v>
      </c>
      <c r="D26" s="10" t="s">
        <v>1673</v>
      </c>
      <c r="E26" s="10" t="s">
        <v>23</v>
      </c>
      <c r="F26" s="10" t="s">
        <v>18</v>
      </c>
      <c r="G26" s="6">
        <v>25</v>
      </c>
      <c r="H26" s="6">
        <v>25</v>
      </c>
      <c r="I26" s="6">
        <v>0</v>
      </c>
      <c r="J26" s="6">
        <v>25</v>
      </c>
      <c r="K26" s="13">
        <v>766.57500000000005</v>
      </c>
      <c r="L26" s="13">
        <v>0</v>
      </c>
      <c r="M26" s="8">
        <v>3675.1307145000001</v>
      </c>
      <c r="N26" s="8">
        <v>0</v>
      </c>
    </row>
    <row r="27" spans="1:14" x14ac:dyDescent="0.25">
      <c r="A27" s="10" t="s">
        <v>1674</v>
      </c>
      <c r="B27" s="10">
        <v>86265</v>
      </c>
      <c r="C27" s="10" t="s">
        <v>1382</v>
      </c>
      <c r="D27" s="10" t="s">
        <v>1675</v>
      </c>
      <c r="E27" s="10" t="s">
        <v>23</v>
      </c>
      <c r="F27" s="10" t="s">
        <v>18</v>
      </c>
      <c r="G27" s="6">
        <v>24</v>
      </c>
      <c r="H27" s="6">
        <v>23</v>
      </c>
      <c r="I27" s="6">
        <v>0</v>
      </c>
      <c r="J27" s="6">
        <v>24</v>
      </c>
      <c r="K27" s="13">
        <v>1145.424</v>
      </c>
      <c r="L27" s="13">
        <v>0</v>
      </c>
      <c r="M27" s="8">
        <v>3815.6828786400001</v>
      </c>
      <c r="N27" s="8">
        <v>0</v>
      </c>
    </row>
    <row r="28" spans="1:14" x14ac:dyDescent="0.25">
      <c r="A28" s="10" t="s">
        <v>1676</v>
      </c>
      <c r="B28" s="10">
        <v>86318</v>
      </c>
      <c r="C28" s="10" t="s">
        <v>1385</v>
      </c>
      <c r="D28" s="10" t="s">
        <v>1677</v>
      </c>
      <c r="E28" s="10" t="s">
        <v>23</v>
      </c>
      <c r="F28" s="10" t="s">
        <v>18</v>
      </c>
      <c r="G28" s="6">
        <v>4</v>
      </c>
      <c r="H28" s="6">
        <v>5</v>
      </c>
      <c r="I28" s="6">
        <v>0</v>
      </c>
      <c r="J28" s="6">
        <v>4</v>
      </c>
      <c r="K28" s="13">
        <v>115.63200000000001</v>
      </c>
      <c r="L28" s="13">
        <v>0</v>
      </c>
      <c r="M28" s="8">
        <v>519.84998756000005</v>
      </c>
      <c r="N28" s="8">
        <v>0</v>
      </c>
    </row>
    <row r="29" spans="1:14" x14ac:dyDescent="0.25">
      <c r="A29" s="10" t="s">
        <v>1678</v>
      </c>
      <c r="B29" s="10">
        <v>86324</v>
      </c>
      <c r="C29" s="10" t="s">
        <v>1388</v>
      </c>
      <c r="D29" s="10" t="s">
        <v>1679</v>
      </c>
      <c r="E29" s="10" t="s">
        <v>23</v>
      </c>
      <c r="F29" s="10" t="s">
        <v>18</v>
      </c>
      <c r="G29" s="6">
        <v>0</v>
      </c>
      <c r="H29" s="6">
        <v>0</v>
      </c>
      <c r="I29" s="6">
        <v>0</v>
      </c>
      <c r="J29" s="6">
        <v>0</v>
      </c>
      <c r="K29" s="13">
        <v>0</v>
      </c>
      <c r="L29" s="13">
        <v>0</v>
      </c>
      <c r="M29" s="8">
        <v>0</v>
      </c>
      <c r="N29" s="8">
        <v>0</v>
      </c>
    </row>
    <row r="30" spans="1:14" x14ac:dyDescent="0.25">
      <c r="A30" s="10" t="s">
        <v>1680</v>
      </c>
      <c r="B30" s="10">
        <v>86332</v>
      </c>
      <c r="C30" s="10" t="s">
        <v>1393</v>
      </c>
      <c r="D30" s="10" t="s">
        <v>1681</v>
      </c>
      <c r="E30" s="10" t="s">
        <v>23</v>
      </c>
      <c r="F30" s="10" t="s">
        <v>18</v>
      </c>
      <c r="G30" s="6">
        <v>0</v>
      </c>
      <c r="H30" s="6">
        <v>2</v>
      </c>
      <c r="I30" s="6">
        <v>0</v>
      </c>
      <c r="J30" s="6">
        <v>0</v>
      </c>
      <c r="K30" s="13">
        <v>0</v>
      </c>
      <c r="L30" s="13">
        <v>0</v>
      </c>
      <c r="M30" s="8">
        <v>0</v>
      </c>
      <c r="N30" s="8">
        <v>0</v>
      </c>
    </row>
    <row r="31" spans="1:14" x14ac:dyDescent="0.25">
      <c r="A31" s="10" t="s">
        <v>1682</v>
      </c>
      <c r="B31" s="10">
        <v>86373</v>
      </c>
      <c r="C31" s="10" t="s">
        <v>1396</v>
      </c>
      <c r="D31" s="10" t="s">
        <v>1683</v>
      </c>
      <c r="E31" s="10" t="s">
        <v>23</v>
      </c>
      <c r="F31" s="10" t="s">
        <v>18</v>
      </c>
      <c r="G31" s="6">
        <v>13</v>
      </c>
      <c r="H31" s="6">
        <v>1</v>
      </c>
      <c r="I31" s="6">
        <v>0</v>
      </c>
      <c r="J31" s="6">
        <v>13</v>
      </c>
      <c r="K31" s="13">
        <v>825.13599999999997</v>
      </c>
      <c r="L31" s="13">
        <v>0</v>
      </c>
      <c r="M31" s="8">
        <v>2803.49934644</v>
      </c>
      <c r="N31" s="8">
        <v>0</v>
      </c>
    </row>
    <row r="32" spans="1:14" x14ac:dyDescent="0.25">
      <c r="A32" s="10" t="s">
        <v>1769</v>
      </c>
      <c r="B32" s="10">
        <v>101</v>
      </c>
      <c r="C32" s="10" t="s">
        <v>39</v>
      </c>
      <c r="D32" s="10" t="s">
        <v>1770</v>
      </c>
      <c r="E32" s="10" t="s">
        <v>23</v>
      </c>
      <c r="F32" s="10" t="s">
        <v>16</v>
      </c>
      <c r="G32" s="6">
        <v>0</v>
      </c>
      <c r="H32" s="6">
        <v>0</v>
      </c>
      <c r="I32" s="6">
        <v>0</v>
      </c>
      <c r="J32" s="6">
        <v>0</v>
      </c>
      <c r="K32" s="13">
        <v>0</v>
      </c>
      <c r="L32" s="13">
        <v>0</v>
      </c>
      <c r="M32" s="8">
        <v>0</v>
      </c>
      <c r="N32" s="8">
        <v>0</v>
      </c>
    </row>
    <row r="33" spans="1:14" x14ac:dyDescent="0.25">
      <c r="A33" s="10" t="s">
        <v>1771</v>
      </c>
      <c r="B33" s="10">
        <v>154</v>
      </c>
      <c r="C33" s="10" t="s">
        <v>56</v>
      </c>
      <c r="D33" s="10" t="s">
        <v>1772</v>
      </c>
      <c r="E33" s="10" t="s">
        <v>20</v>
      </c>
      <c r="F33" s="10" t="s">
        <v>16</v>
      </c>
      <c r="G33" s="6">
        <v>252</v>
      </c>
      <c r="H33" s="6">
        <v>252</v>
      </c>
      <c r="I33" s="6">
        <v>55</v>
      </c>
      <c r="J33" s="6">
        <v>197</v>
      </c>
      <c r="K33" s="13">
        <v>176.904</v>
      </c>
      <c r="L33" s="13">
        <v>38.61</v>
      </c>
      <c r="M33" s="8">
        <v>1776.5406287999999</v>
      </c>
      <c r="N33" s="8">
        <v>387.73704199999997</v>
      </c>
    </row>
    <row r="34" spans="1:14" x14ac:dyDescent="0.25">
      <c r="A34" s="10" t="s">
        <v>1773</v>
      </c>
      <c r="B34" s="10">
        <v>185</v>
      </c>
      <c r="C34" s="10" t="s">
        <v>80</v>
      </c>
      <c r="D34" s="10" t="s">
        <v>1774</v>
      </c>
      <c r="E34" s="10" t="s">
        <v>23</v>
      </c>
      <c r="F34" s="10" t="s">
        <v>16</v>
      </c>
      <c r="G34" s="6">
        <v>0</v>
      </c>
      <c r="H34" s="6">
        <v>0</v>
      </c>
      <c r="I34" s="6">
        <v>0</v>
      </c>
      <c r="J34" s="6">
        <v>0</v>
      </c>
      <c r="K34" s="13">
        <v>0</v>
      </c>
      <c r="L34" s="13">
        <v>0</v>
      </c>
      <c r="M34" s="8">
        <v>0</v>
      </c>
      <c r="N34" s="8">
        <v>0</v>
      </c>
    </row>
    <row r="35" spans="1:14" x14ac:dyDescent="0.25">
      <c r="A35" s="10" t="s">
        <v>1775</v>
      </c>
      <c r="B35" s="10">
        <v>2104</v>
      </c>
      <c r="C35" s="10" t="s">
        <v>169</v>
      </c>
      <c r="D35" s="10" t="s">
        <v>1776</v>
      </c>
      <c r="E35" s="10" t="s">
        <v>23</v>
      </c>
      <c r="F35" s="10" t="s">
        <v>16</v>
      </c>
      <c r="G35" s="6">
        <v>0</v>
      </c>
      <c r="H35" s="6">
        <v>0</v>
      </c>
      <c r="I35" s="6">
        <v>0</v>
      </c>
      <c r="J35" s="6">
        <v>0</v>
      </c>
      <c r="K35" s="13">
        <v>0</v>
      </c>
      <c r="L35" s="13">
        <v>0</v>
      </c>
      <c r="M35" s="8">
        <v>0</v>
      </c>
      <c r="N35" s="8">
        <v>0</v>
      </c>
    </row>
    <row r="36" spans="1:14" x14ac:dyDescent="0.25">
      <c r="A36" s="10" t="s">
        <v>1777</v>
      </c>
      <c r="B36" s="10">
        <v>2105</v>
      </c>
      <c r="C36" s="10" t="s">
        <v>172</v>
      </c>
      <c r="D36" s="10" t="s">
        <v>1778</v>
      </c>
      <c r="E36" s="10" t="s">
        <v>23</v>
      </c>
      <c r="F36" s="10" t="s">
        <v>16</v>
      </c>
      <c r="G36" s="6">
        <v>0</v>
      </c>
      <c r="H36" s="6">
        <v>0</v>
      </c>
      <c r="I36" s="6">
        <v>0</v>
      </c>
      <c r="J36" s="6">
        <v>0</v>
      </c>
      <c r="K36" s="13">
        <v>0</v>
      </c>
      <c r="L36" s="13">
        <v>0</v>
      </c>
      <c r="M36" s="8">
        <v>0</v>
      </c>
      <c r="N36" s="8">
        <v>0</v>
      </c>
    </row>
    <row r="37" spans="1:14" x14ac:dyDescent="0.25">
      <c r="A37" s="10" t="s">
        <v>1779</v>
      </c>
      <c r="B37" s="10">
        <v>2107</v>
      </c>
      <c r="C37" s="10" t="s">
        <v>179</v>
      </c>
      <c r="D37" s="10" t="s">
        <v>1780</v>
      </c>
      <c r="E37" s="10" t="s">
        <v>23</v>
      </c>
      <c r="F37" s="10" t="s">
        <v>16</v>
      </c>
      <c r="G37" s="6">
        <v>14</v>
      </c>
      <c r="H37" s="6">
        <v>14</v>
      </c>
      <c r="I37" s="6">
        <v>0</v>
      </c>
      <c r="J37" s="6">
        <v>14</v>
      </c>
      <c r="K37" s="13">
        <v>713.88800000000003</v>
      </c>
      <c r="L37" s="13">
        <v>0</v>
      </c>
      <c r="M37" s="8">
        <v>2061.49023528</v>
      </c>
      <c r="N37" s="8">
        <v>0</v>
      </c>
    </row>
    <row r="38" spans="1:14" x14ac:dyDescent="0.25">
      <c r="A38" s="10" t="s">
        <v>1781</v>
      </c>
      <c r="B38" s="10">
        <v>2108</v>
      </c>
      <c r="C38" s="10" t="s">
        <v>182</v>
      </c>
      <c r="D38" s="10" t="s">
        <v>1782</v>
      </c>
      <c r="E38" s="10" t="s">
        <v>23</v>
      </c>
      <c r="F38" s="10" t="s">
        <v>16</v>
      </c>
      <c r="G38" s="6">
        <v>0</v>
      </c>
      <c r="H38" s="6">
        <v>0</v>
      </c>
      <c r="I38" s="6">
        <v>0</v>
      </c>
      <c r="J38" s="6">
        <v>0</v>
      </c>
      <c r="K38" s="13">
        <v>0</v>
      </c>
      <c r="L38" s="13">
        <v>0</v>
      </c>
      <c r="M38" s="8">
        <v>0</v>
      </c>
      <c r="N38" s="8">
        <v>0</v>
      </c>
    </row>
    <row r="39" spans="1:14" x14ac:dyDescent="0.25">
      <c r="A39" s="10" t="s">
        <v>1783</v>
      </c>
      <c r="B39" s="10">
        <v>2109</v>
      </c>
      <c r="C39" s="10" t="s">
        <v>185</v>
      </c>
      <c r="D39" s="10" t="s">
        <v>1784</v>
      </c>
      <c r="E39" s="10" t="s">
        <v>23</v>
      </c>
      <c r="F39" s="10" t="s">
        <v>16</v>
      </c>
      <c r="G39" s="6">
        <v>16</v>
      </c>
      <c r="H39" s="6">
        <v>16</v>
      </c>
      <c r="I39" s="6">
        <v>0</v>
      </c>
      <c r="J39" s="6">
        <v>16</v>
      </c>
      <c r="K39" s="13">
        <v>706.67200000000003</v>
      </c>
      <c r="L39" s="13">
        <v>0</v>
      </c>
      <c r="M39" s="8">
        <v>2672.3013284799999</v>
      </c>
      <c r="N39" s="8">
        <v>0</v>
      </c>
    </row>
    <row r="40" spans="1:14" x14ac:dyDescent="0.25">
      <c r="A40" s="10" t="s">
        <v>1785</v>
      </c>
      <c r="B40" s="10">
        <v>2176</v>
      </c>
      <c r="C40" s="10" t="s">
        <v>220</v>
      </c>
      <c r="D40" s="10" t="s">
        <v>1786</v>
      </c>
      <c r="E40" s="10" t="s">
        <v>23</v>
      </c>
      <c r="F40" s="10" t="s">
        <v>16</v>
      </c>
      <c r="G40" s="6">
        <v>7</v>
      </c>
      <c r="H40" s="6">
        <v>6</v>
      </c>
      <c r="I40" s="6">
        <v>5</v>
      </c>
      <c r="J40" s="6">
        <v>2</v>
      </c>
      <c r="K40" s="13">
        <v>399.25900000000001</v>
      </c>
      <c r="L40" s="13">
        <v>285.185</v>
      </c>
      <c r="M40" s="8">
        <v>1176.39127508</v>
      </c>
      <c r="N40" s="8">
        <v>840.27948219999996</v>
      </c>
    </row>
    <row r="41" spans="1:14" x14ac:dyDescent="0.25">
      <c r="A41" s="10" t="s">
        <v>1787</v>
      </c>
      <c r="B41" s="10">
        <v>2179</v>
      </c>
      <c r="C41" s="10" t="s">
        <v>225</v>
      </c>
      <c r="D41" s="10" t="s">
        <v>1788</v>
      </c>
      <c r="E41" s="10" t="s">
        <v>23</v>
      </c>
      <c r="F41" s="10" t="s">
        <v>16</v>
      </c>
      <c r="G41" s="6">
        <v>7</v>
      </c>
      <c r="H41" s="6">
        <v>6</v>
      </c>
      <c r="I41" s="6">
        <v>5</v>
      </c>
      <c r="J41" s="6">
        <v>2</v>
      </c>
      <c r="K41" s="13">
        <v>409.5</v>
      </c>
      <c r="L41" s="13">
        <v>292.5</v>
      </c>
      <c r="M41" s="8">
        <v>1700.98430194</v>
      </c>
      <c r="N41" s="8">
        <v>1214.9887871000001</v>
      </c>
    </row>
    <row r="42" spans="1:14" x14ac:dyDescent="0.25">
      <c r="A42" s="10" t="s">
        <v>1789</v>
      </c>
      <c r="B42" s="10">
        <v>2183</v>
      </c>
      <c r="C42" s="10" t="s">
        <v>237</v>
      </c>
      <c r="D42" s="10" t="s">
        <v>1790</v>
      </c>
      <c r="E42" s="10" t="s">
        <v>23</v>
      </c>
      <c r="F42" s="10" t="s">
        <v>16</v>
      </c>
      <c r="G42" s="6">
        <v>5</v>
      </c>
      <c r="H42" s="6">
        <v>4</v>
      </c>
      <c r="I42" s="6">
        <v>5</v>
      </c>
      <c r="J42" s="6">
        <v>0</v>
      </c>
      <c r="K42" s="13">
        <v>312</v>
      </c>
      <c r="L42" s="13">
        <v>312</v>
      </c>
      <c r="M42" s="8">
        <v>1417.6917613000001</v>
      </c>
      <c r="N42" s="8">
        <v>1417.6917613000001</v>
      </c>
    </row>
    <row r="43" spans="1:14" x14ac:dyDescent="0.25">
      <c r="A43" s="10" t="s">
        <v>1791</v>
      </c>
      <c r="B43" s="10">
        <v>2185</v>
      </c>
      <c r="C43" s="10" t="s">
        <v>242</v>
      </c>
      <c r="D43" s="10" t="s">
        <v>1792</v>
      </c>
      <c r="E43" s="10" t="s">
        <v>23</v>
      </c>
      <c r="F43" s="10" t="s">
        <v>16</v>
      </c>
      <c r="G43" s="6">
        <v>6</v>
      </c>
      <c r="H43" s="6">
        <v>0</v>
      </c>
      <c r="I43" s="6">
        <v>5</v>
      </c>
      <c r="J43" s="6">
        <v>1</v>
      </c>
      <c r="K43" s="13">
        <v>380.25</v>
      </c>
      <c r="L43" s="13">
        <v>316.875</v>
      </c>
      <c r="M43" s="8">
        <v>1412.3080743600001</v>
      </c>
      <c r="N43" s="8">
        <v>1176.9233953</v>
      </c>
    </row>
    <row r="44" spans="1:14" x14ac:dyDescent="0.25">
      <c r="A44" s="10" t="s">
        <v>1793</v>
      </c>
      <c r="B44" s="10">
        <v>2190</v>
      </c>
      <c r="C44" s="10" t="s">
        <v>253</v>
      </c>
      <c r="D44" s="10" t="s">
        <v>1794</v>
      </c>
      <c r="E44" s="10" t="s">
        <v>23</v>
      </c>
      <c r="F44" s="10" t="s">
        <v>16</v>
      </c>
      <c r="G44" s="6">
        <v>17</v>
      </c>
      <c r="H44" s="6">
        <v>41</v>
      </c>
      <c r="I44" s="6">
        <v>0</v>
      </c>
      <c r="J44" s="6">
        <v>17</v>
      </c>
      <c r="K44" s="13">
        <v>182.32499999999999</v>
      </c>
      <c r="L44" s="13">
        <v>0</v>
      </c>
      <c r="M44" s="8">
        <v>1224.05327579</v>
      </c>
      <c r="N44" s="8">
        <v>0</v>
      </c>
    </row>
    <row r="45" spans="1:14" x14ac:dyDescent="0.25">
      <c r="A45" s="10" t="s">
        <v>1795</v>
      </c>
      <c r="B45" s="10">
        <v>2192</v>
      </c>
      <c r="C45" s="10" t="s">
        <v>258</v>
      </c>
      <c r="D45" s="10" t="s">
        <v>1796</v>
      </c>
      <c r="E45" s="10" t="s">
        <v>23</v>
      </c>
      <c r="F45" s="10" t="s">
        <v>16</v>
      </c>
      <c r="G45" s="6">
        <v>11</v>
      </c>
      <c r="H45" s="6">
        <v>11</v>
      </c>
      <c r="I45" s="6">
        <v>0</v>
      </c>
      <c r="J45" s="6">
        <v>11</v>
      </c>
      <c r="K45" s="13">
        <v>144.78200000000001</v>
      </c>
      <c r="L45" s="13">
        <v>0</v>
      </c>
      <c r="M45" s="8">
        <v>558.64036393000003</v>
      </c>
      <c r="N45" s="8">
        <v>0</v>
      </c>
    </row>
    <row r="46" spans="1:14" x14ac:dyDescent="0.25">
      <c r="A46" s="10" t="s">
        <v>1797</v>
      </c>
      <c r="B46" s="10">
        <v>2194</v>
      </c>
      <c r="C46" s="10" t="s">
        <v>263</v>
      </c>
      <c r="D46" s="10" t="s">
        <v>1798</v>
      </c>
      <c r="E46" s="10" t="s">
        <v>20</v>
      </c>
      <c r="F46" s="10" t="s">
        <v>16</v>
      </c>
      <c r="G46" s="6">
        <v>52</v>
      </c>
      <c r="H46" s="6">
        <v>56</v>
      </c>
      <c r="I46" s="6">
        <v>0</v>
      </c>
      <c r="J46" s="6">
        <v>52</v>
      </c>
      <c r="K46" s="13">
        <v>56.783999999999999</v>
      </c>
      <c r="L46" s="13">
        <v>0</v>
      </c>
      <c r="M46" s="8">
        <v>462.50211488000002</v>
      </c>
      <c r="N46" s="8">
        <v>0</v>
      </c>
    </row>
    <row r="47" spans="1:14" x14ac:dyDescent="0.25">
      <c r="A47" s="10" t="s">
        <v>1799</v>
      </c>
      <c r="B47" s="10">
        <v>2246</v>
      </c>
      <c r="C47" s="10" t="s">
        <v>287</v>
      </c>
      <c r="D47" s="10" t="s">
        <v>1800</v>
      </c>
      <c r="E47" s="10" t="s">
        <v>23</v>
      </c>
      <c r="F47" s="10" t="s">
        <v>16</v>
      </c>
      <c r="G47" s="6">
        <v>0</v>
      </c>
      <c r="H47" s="6">
        <v>0</v>
      </c>
      <c r="I47" s="6">
        <v>0</v>
      </c>
      <c r="J47" s="6">
        <v>0</v>
      </c>
      <c r="K47" s="13">
        <v>0</v>
      </c>
      <c r="L47" s="13">
        <v>0</v>
      </c>
      <c r="M47" s="8">
        <v>0</v>
      </c>
      <c r="N47" s="8">
        <v>0</v>
      </c>
    </row>
    <row r="48" spans="1:14" x14ac:dyDescent="0.25">
      <c r="A48" s="10" t="s">
        <v>1801</v>
      </c>
      <c r="B48" s="10">
        <v>2253</v>
      </c>
      <c r="C48" s="10" t="s">
        <v>290</v>
      </c>
      <c r="D48" s="10" t="s">
        <v>1802</v>
      </c>
      <c r="E48" s="10" t="s">
        <v>23</v>
      </c>
      <c r="F48" s="10" t="s">
        <v>16</v>
      </c>
      <c r="G48" s="6">
        <v>0</v>
      </c>
      <c r="H48" s="6">
        <v>0</v>
      </c>
      <c r="I48" s="6">
        <v>0</v>
      </c>
      <c r="J48" s="6">
        <v>0</v>
      </c>
      <c r="K48" s="13">
        <v>0</v>
      </c>
      <c r="L48" s="13">
        <v>0</v>
      </c>
      <c r="M48" s="8">
        <v>0</v>
      </c>
      <c r="N48" s="8">
        <v>0</v>
      </c>
    </row>
    <row r="49" spans="1:14" x14ac:dyDescent="0.25">
      <c r="A49" s="10" t="s">
        <v>1803</v>
      </c>
      <c r="B49" s="10">
        <v>2253</v>
      </c>
      <c r="C49" s="10" t="s">
        <v>290</v>
      </c>
      <c r="D49" s="10" t="s">
        <v>1804</v>
      </c>
      <c r="E49" s="10" t="s">
        <v>23</v>
      </c>
      <c r="F49" s="10" t="s">
        <v>16</v>
      </c>
      <c r="G49" s="6">
        <v>0</v>
      </c>
      <c r="H49" s="6">
        <v>0</v>
      </c>
      <c r="I49" s="6">
        <v>0</v>
      </c>
      <c r="J49" s="6">
        <v>0</v>
      </c>
      <c r="K49" s="13">
        <v>0</v>
      </c>
      <c r="L49" s="13">
        <v>0</v>
      </c>
      <c r="M49" s="8">
        <v>0</v>
      </c>
      <c r="N49" s="8">
        <v>0</v>
      </c>
    </row>
    <row r="50" spans="1:14" x14ac:dyDescent="0.25">
      <c r="A50" s="10" t="s">
        <v>1805</v>
      </c>
      <c r="B50" s="10">
        <v>2280</v>
      </c>
      <c r="C50" s="10" t="s">
        <v>296</v>
      </c>
      <c r="D50" s="10" t="s">
        <v>1806</v>
      </c>
      <c r="E50" s="10" t="s">
        <v>23</v>
      </c>
      <c r="F50" s="10" t="s">
        <v>16</v>
      </c>
      <c r="G50" s="6">
        <v>0</v>
      </c>
      <c r="H50" s="6">
        <v>0</v>
      </c>
      <c r="I50" s="6">
        <v>0</v>
      </c>
      <c r="J50" s="6">
        <v>0</v>
      </c>
      <c r="K50" s="13">
        <v>0</v>
      </c>
      <c r="L50" s="13">
        <v>0</v>
      </c>
      <c r="M50" s="8">
        <v>0</v>
      </c>
      <c r="N50" s="8">
        <v>0</v>
      </c>
    </row>
    <row r="51" spans="1:14" x14ac:dyDescent="0.25">
      <c r="A51" s="10" t="s">
        <v>1807</v>
      </c>
      <c r="B51" s="10">
        <v>2284</v>
      </c>
      <c r="C51" s="10" t="s">
        <v>299</v>
      </c>
      <c r="D51" s="10" t="s">
        <v>1808</v>
      </c>
      <c r="E51" s="10" t="s">
        <v>23</v>
      </c>
      <c r="F51" s="10" t="s">
        <v>16</v>
      </c>
      <c r="G51" s="6">
        <v>1</v>
      </c>
      <c r="H51" s="6">
        <v>0</v>
      </c>
      <c r="I51" s="6">
        <v>0</v>
      </c>
      <c r="J51" s="6">
        <v>1</v>
      </c>
      <c r="K51" s="13">
        <v>17.062000000000001</v>
      </c>
      <c r="L51" s="13">
        <v>0</v>
      </c>
      <c r="M51" s="8">
        <v>57.951558030000001</v>
      </c>
      <c r="N51" s="8">
        <v>0</v>
      </c>
    </row>
    <row r="52" spans="1:14" x14ac:dyDescent="0.25">
      <c r="A52" s="10" t="s">
        <v>1809</v>
      </c>
      <c r="B52" s="10">
        <v>2344</v>
      </c>
      <c r="C52" s="10" t="s">
        <v>325</v>
      </c>
      <c r="D52" s="10" t="s">
        <v>1810</v>
      </c>
      <c r="E52" s="10" t="s">
        <v>23</v>
      </c>
      <c r="F52" s="10" t="s">
        <v>16</v>
      </c>
      <c r="G52" s="6">
        <v>0</v>
      </c>
      <c r="H52" s="6">
        <v>0</v>
      </c>
      <c r="I52" s="6">
        <v>0</v>
      </c>
      <c r="J52" s="6">
        <v>0</v>
      </c>
      <c r="K52" s="13">
        <v>0</v>
      </c>
      <c r="L52" s="13">
        <v>0</v>
      </c>
      <c r="M52" s="8">
        <v>0</v>
      </c>
      <c r="N52" s="8">
        <v>0</v>
      </c>
    </row>
    <row r="53" spans="1:14" x14ac:dyDescent="0.25">
      <c r="A53" s="10" t="s">
        <v>1811</v>
      </c>
      <c r="B53" s="10">
        <v>2345</v>
      </c>
      <c r="C53" s="10" t="s">
        <v>330</v>
      </c>
      <c r="D53" s="10" t="s">
        <v>1812</v>
      </c>
      <c r="E53" s="10" t="s">
        <v>23</v>
      </c>
      <c r="F53" s="10" t="s">
        <v>16</v>
      </c>
      <c r="G53" s="6">
        <v>0</v>
      </c>
      <c r="H53" s="6">
        <v>0</v>
      </c>
      <c r="I53" s="6">
        <v>0</v>
      </c>
      <c r="J53" s="6">
        <v>0</v>
      </c>
      <c r="K53" s="13">
        <v>0</v>
      </c>
      <c r="L53" s="13">
        <v>0</v>
      </c>
      <c r="M53" s="8">
        <v>0</v>
      </c>
      <c r="N53" s="8">
        <v>0</v>
      </c>
    </row>
    <row r="54" spans="1:14" x14ac:dyDescent="0.25">
      <c r="A54" s="10" t="s">
        <v>1813</v>
      </c>
      <c r="B54" s="10">
        <v>2350</v>
      </c>
      <c r="C54" s="10" t="s">
        <v>343</v>
      </c>
      <c r="D54" s="10" t="s">
        <v>1814</v>
      </c>
      <c r="E54" s="10" t="s">
        <v>23</v>
      </c>
      <c r="F54" s="10" t="s">
        <v>16</v>
      </c>
      <c r="G54" s="6">
        <v>0</v>
      </c>
      <c r="H54" s="6">
        <v>0</v>
      </c>
      <c r="I54" s="6">
        <v>0</v>
      </c>
      <c r="J54" s="6">
        <v>0</v>
      </c>
      <c r="K54" s="13">
        <v>0</v>
      </c>
      <c r="L54" s="13">
        <v>0</v>
      </c>
      <c r="M54" s="8">
        <v>0</v>
      </c>
      <c r="N54" s="8">
        <v>0</v>
      </c>
    </row>
    <row r="55" spans="1:14" x14ac:dyDescent="0.25">
      <c r="A55" s="10" t="s">
        <v>1815</v>
      </c>
      <c r="B55" s="10">
        <v>2353</v>
      </c>
      <c r="C55" s="10" t="s">
        <v>1816</v>
      </c>
      <c r="D55" s="10" t="s">
        <v>1817</v>
      </c>
      <c r="E55" s="10" t="s">
        <v>23</v>
      </c>
      <c r="F55" s="10" t="s">
        <v>16</v>
      </c>
      <c r="G55" s="6">
        <v>0</v>
      </c>
      <c r="H55" s="6">
        <v>0</v>
      </c>
      <c r="I55" s="6">
        <v>0</v>
      </c>
      <c r="J55" s="6">
        <v>0</v>
      </c>
      <c r="K55" s="13">
        <v>0</v>
      </c>
      <c r="L55" s="13">
        <v>0</v>
      </c>
      <c r="M55" s="8">
        <v>0</v>
      </c>
      <c r="N55" s="8">
        <v>0</v>
      </c>
    </row>
    <row r="56" spans="1:14" x14ac:dyDescent="0.25">
      <c r="A56" s="10" t="s">
        <v>1818</v>
      </c>
      <c r="B56" s="10">
        <v>2355</v>
      </c>
      <c r="C56" s="10" t="s">
        <v>1819</v>
      </c>
      <c r="D56" s="10" t="s">
        <v>1820</v>
      </c>
      <c r="E56" s="10" t="s">
        <v>23</v>
      </c>
      <c r="F56" s="10" t="s">
        <v>16</v>
      </c>
      <c r="G56" s="6">
        <v>8</v>
      </c>
      <c r="H56" s="6">
        <v>8</v>
      </c>
      <c r="I56" s="6">
        <v>0</v>
      </c>
      <c r="J56" s="6">
        <v>8</v>
      </c>
      <c r="K56" s="13">
        <v>563.16</v>
      </c>
      <c r="L56" s="13">
        <v>0</v>
      </c>
      <c r="M56" s="8">
        <v>2036.9767311999999</v>
      </c>
      <c r="N56" s="8">
        <v>0</v>
      </c>
    </row>
    <row r="57" spans="1:14" x14ac:dyDescent="0.25">
      <c r="A57" s="10" t="s">
        <v>1821</v>
      </c>
      <c r="B57" s="10">
        <v>2403</v>
      </c>
      <c r="C57" s="10" t="s">
        <v>371</v>
      </c>
      <c r="D57" s="10" t="s">
        <v>1822</v>
      </c>
      <c r="E57" s="10" t="s">
        <v>23</v>
      </c>
      <c r="F57" s="10" t="s">
        <v>16</v>
      </c>
      <c r="G57" s="6">
        <v>0</v>
      </c>
      <c r="H57" s="6">
        <v>0</v>
      </c>
      <c r="I57" s="6">
        <v>0</v>
      </c>
      <c r="J57" s="6">
        <v>0</v>
      </c>
      <c r="K57" s="13">
        <v>0</v>
      </c>
      <c r="L57" s="13">
        <v>0</v>
      </c>
      <c r="M57" s="8">
        <v>0</v>
      </c>
      <c r="N57" s="8">
        <v>0</v>
      </c>
    </row>
    <row r="58" spans="1:14" x14ac:dyDescent="0.25">
      <c r="A58" s="10" t="s">
        <v>1823</v>
      </c>
      <c r="B58" s="10">
        <v>2408</v>
      </c>
      <c r="C58" s="10" t="s">
        <v>383</v>
      </c>
      <c r="D58" s="10" t="s">
        <v>1824</v>
      </c>
      <c r="E58" s="10" t="s">
        <v>23</v>
      </c>
      <c r="F58" s="10" t="s">
        <v>16</v>
      </c>
      <c r="G58" s="6">
        <v>0</v>
      </c>
      <c r="H58" s="6">
        <v>0</v>
      </c>
      <c r="I58" s="6">
        <v>0</v>
      </c>
      <c r="J58" s="6">
        <v>0</v>
      </c>
      <c r="K58" s="13">
        <v>0</v>
      </c>
      <c r="L58" s="13">
        <v>0</v>
      </c>
      <c r="M58" s="8">
        <v>0</v>
      </c>
      <c r="N58" s="8">
        <v>0</v>
      </c>
    </row>
    <row r="59" spans="1:14" x14ac:dyDescent="0.25">
      <c r="A59" s="10" t="s">
        <v>1825</v>
      </c>
      <c r="B59" s="10">
        <v>2409</v>
      </c>
      <c r="C59" s="10" t="s">
        <v>386</v>
      </c>
      <c r="D59" s="10" t="s">
        <v>1826</v>
      </c>
      <c r="E59" s="10" t="s">
        <v>23</v>
      </c>
      <c r="F59" s="10" t="s">
        <v>16</v>
      </c>
      <c r="G59" s="6">
        <v>0</v>
      </c>
      <c r="H59" s="6">
        <v>0</v>
      </c>
      <c r="I59" s="6">
        <v>0</v>
      </c>
      <c r="J59" s="6">
        <v>0</v>
      </c>
      <c r="K59" s="13">
        <v>0</v>
      </c>
      <c r="L59" s="13">
        <v>0</v>
      </c>
      <c r="M59" s="8">
        <v>0</v>
      </c>
      <c r="N59" s="8">
        <v>0</v>
      </c>
    </row>
    <row r="60" spans="1:14" x14ac:dyDescent="0.25">
      <c r="A60" s="10" t="s">
        <v>1827</v>
      </c>
      <c r="B60" s="10">
        <v>72567</v>
      </c>
      <c r="C60" s="10" t="s">
        <v>403</v>
      </c>
      <c r="D60" s="10" t="s">
        <v>1828</v>
      </c>
      <c r="E60" s="10" t="s">
        <v>23</v>
      </c>
      <c r="F60" s="10" t="s">
        <v>16</v>
      </c>
      <c r="G60" s="6">
        <v>0</v>
      </c>
      <c r="H60" s="6">
        <v>0</v>
      </c>
      <c r="I60" s="6">
        <v>0</v>
      </c>
      <c r="J60" s="6">
        <v>0</v>
      </c>
      <c r="K60" s="13">
        <v>0</v>
      </c>
      <c r="L60" s="13">
        <v>0</v>
      </c>
      <c r="M60" s="8">
        <v>0</v>
      </c>
      <c r="N60" s="8">
        <v>0</v>
      </c>
    </row>
    <row r="61" spans="1:14" x14ac:dyDescent="0.25">
      <c r="A61" s="10" t="s">
        <v>1829</v>
      </c>
      <c r="B61" s="10">
        <v>72645</v>
      </c>
      <c r="C61" s="10" t="s">
        <v>442</v>
      </c>
      <c r="D61" s="10" t="s">
        <v>1830</v>
      </c>
      <c r="E61" s="10" t="s">
        <v>23</v>
      </c>
      <c r="F61" s="10" t="s">
        <v>16</v>
      </c>
      <c r="G61" s="6">
        <v>0</v>
      </c>
      <c r="H61" s="6">
        <v>0</v>
      </c>
      <c r="I61" s="6">
        <v>0</v>
      </c>
      <c r="J61" s="6">
        <v>0</v>
      </c>
      <c r="K61" s="13">
        <v>0</v>
      </c>
      <c r="L61" s="13">
        <v>0</v>
      </c>
      <c r="M61" s="8">
        <v>0</v>
      </c>
      <c r="N61" s="8">
        <v>0</v>
      </c>
    </row>
    <row r="62" spans="1:14" x14ac:dyDescent="0.25">
      <c r="A62" s="10" t="s">
        <v>1831</v>
      </c>
      <c r="B62" s="10">
        <v>72661</v>
      </c>
      <c r="C62" s="10" t="s">
        <v>450</v>
      </c>
      <c r="D62" s="10" t="s">
        <v>1832</v>
      </c>
      <c r="E62" s="10" t="s">
        <v>23</v>
      </c>
      <c r="F62" s="10" t="s">
        <v>16</v>
      </c>
      <c r="G62" s="6">
        <v>698</v>
      </c>
      <c r="H62" s="6">
        <v>713</v>
      </c>
      <c r="I62" s="6">
        <v>112</v>
      </c>
      <c r="J62" s="6">
        <v>586</v>
      </c>
      <c r="K62" s="13">
        <v>13950.925999999999</v>
      </c>
      <c r="L62" s="13">
        <v>2238.5439999999999</v>
      </c>
      <c r="M62" s="8">
        <v>114751.98249988</v>
      </c>
      <c r="N62" s="8">
        <v>18412.925558719999</v>
      </c>
    </row>
    <row r="63" spans="1:14" x14ac:dyDescent="0.25">
      <c r="A63" s="10" t="s">
        <v>1833</v>
      </c>
      <c r="B63" s="10">
        <v>72663</v>
      </c>
      <c r="C63" s="10" t="s">
        <v>456</v>
      </c>
      <c r="D63" s="10" t="s">
        <v>1834</v>
      </c>
      <c r="E63" s="10" t="s">
        <v>23</v>
      </c>
      <c r="F63" s="10" t="s">
        <v>16</v>
      </c>
      <c r="G63" s="6">
        <v>56</v>
      </c>
      <c r="H63" s="6">
        <v>58</v>
      </c>
      <c r="I63" s="6">
        <v>0</v>
      </c>
      <c r="J63" s="6">
        <v>56</v>
      </c>
      <c r="K63" s="13">
        <v>2210.2080000000001</v>
      </c>
      <c r="L63" s="13">
        <v>0</v>
      </c>
      <c r="M63" s="8">
        <v>8996.1405122399992</v>
      </c>
      <c r="N63" s="8">
        <v>0</v>
      </c>
    </row>
    <row r="64" spans="1:14" x14ac:dyDescent="0.25">
      <c r="A64" s="10" t="s">
        <v>1835</v>
      </c>
      <c r="B64" s="10">
        <v>72761</v>
      </c>
      <c r="C64" s="10" t="s">
        <v>471</v>
      </c>
      <c r="D64" s="10" t="s">
        <v>1836</v>
      </c>
      <c r="E64" s="10" t="s">
        <v>23</v>
      </c>
      <c r="F64" s="10" t="s">
        <v>16</v>
      </c>
      <c r="G64" s="6">
        <v>61</v>
      </c>
      <c r="H64" s="6">
        <v>25</v>
      </c>
      <c r="I64" s="6">
        <v>0</v>
      </c>
      <c r="J64" s="6">
        <v>61</v>
      </c>
      <c r="K64" s="13">
        <v>576.87699999999995</v>
      </c>
      <c r="L64" s="13">
        <v>0</v>
      </c>
      <c r="M64" s="8">
        <v>2179.5129651399998</v>
      </c>
      <c r="N64" s="8">
        <v>0</v>
      </c>
    </row>
    <row r="65" spans="1:14" x14ac:dyDescent="0.25">
      <c r="A65" s="10" t="s">
        <v>1837</v>
      </c>
      <c r="B65" s="10">
        <v>72764</v>
      </c>
      <c r="C65" s="10" t="s">
        <v>474</v>
      </c>
      <c r="D65" s="10" t="s">
        <v>1838</v>
      </c>
      <c r="E65" s="10" t="s">
        <v>23</v>
      </c>
      <c r="F65" s="10" t="s">
        <v>16</v>
      </c>
      <c r="G65" s="6">
        <v>0</v>
      </c>
      <c r="H65" s="6">
        <v>0</v>
      </c>
      <c r="I65" s="6">
        <v>0</v>
      </c>
      <c r="J65" s="6">
        <v>0</v>
      </c>
      <c r="K65" s="13">
        <v>0</v>
      </c>
      <c r="L65" s="13">
        <v>0</v>
      </c>
      <c r="M65" s="8">
        <v>0</v>
      </c>
      <c r="N65" s="8">
        <v>0</v>
      </c>
    </row>
    <row r="66" spans="1:14" x14ac:dyDescent="0.25">
      <c r="A66" s="10" t="s">
        <v>1839</v>
      </c>
      <c r="B66" s="10">
        <v>72765</v>
      </c>
      <c r="C66" s="10" t="s">
        <v>477</v>
      </c>
      <c r="D66" s="10" t="s">
        <v>1840</v>
      </c>
      <c r="E66" s="10" t="s">
        <v>23</v>
      </c>
      <c r="F66" s="10" t="s">
        <v>16</v>
      </c>
      <c r="G66" s="6">
        <v>0</v>
      </c>
      <c r="H66" s="6">
        <v>0</v>
      </c>
      <c r="I66" s="6">
        <v>0</v>
      </c>
      <c r="J66" s="6">
        <v>0</v>
      </c>
      <c r="K66" s="13">
        <v>0</v>
      </c>
      <c r="L66" s="13">
        <v>0</v>
      </c>
      <c r="M66" s="8">
        <v>0</v>
      </c>
      <c r="N66" s="8">
        <v>0</v>
      </c>
    </row>
    <row r="67" spans="1:14" x14ac:dyDescent="0.25">
      <c r="A67" s="10" t="s">
        <v>1841</v>
      </c>
      <c r="B67" s="10">
        <v>72777</v>
      </c>
      <c r="C67" s="10" t="s">
        <v>480</v>
      </c>
      <c r="D67" s="10" t="s">
        <v>1842</v>
      </c>
      <c r="E67" s="10" t="s">
        <v>23</v>
      </c>
      <c r="F67" s="10" t="s">
        <v>16</v>
      </c>
      <c r="G67" s="6">
        <v>0</v>
      </c>
      <c r="H67" s="6">
        <v>0</v>
      </c>
      <c r="I67" s="6">
        <v>0</v>
      </c>
      <c r="J67" s="6">
        <v>0</v>
      </c>
      <c r="K67" s="13">
        <v>0</v>
      </c>
      <c r="L67" s="13">
        <v>0</v>
      </c>
      <c r="M67" s="8">
        <v>0</v>
      </c>
      <c r="N67" s="8">
        <v>0</v>
      </c>
    </row>
    <row r="68" spans="1:14" x14ac:dyDescent="0.25">
      <c r="A68" s="10" t="s">
        <v>1843</v>
      </c>
      <c r="B68" s="10">
        <v>73026</v>
      </c>
      <c r="C68" s="10" t="s">
        <v>504</v>
      </c>
      <c r="D68" s="10" t="s">
        <v>1844</v>
      </c>
      <c r="E68" s="10" t="s">
        <v>20</v>
      </c>
      <c r="F68" s="10" t="s">
        <v>16</v>
      </c>
      <c r="G68" s="6">
        <v>16</v>
      </c>
      <c r="H68" s="6">
        <v>16</v>
      </c>
      <c r="I68" s="6">
        <v>3</v>
      </c>
      <c r="J68" s="6">
        <v>13</v>
      </c>
      <c r="K68" s="13">
        <v>6.24</v>
      </c>
      <c r="L68" s="13">
        <v>1.17</v>
      </c>
      <c r="M68" s="8">
        <v>58.870936159999999</v>
      </c>
      <c r="N68" s="8">
        <v>11.038300530000001</v>
      </c>
    </row>
    <row r="69" spans="1:14" x14ac:dyDescent="0.25">
      <c r="A69" s="10" t="s">
        <v>1845</v>
      </c>
      <c r="B69" s="10">
        <v>74610</v>
      </c>
      <c r="C69" s="10" t="s">
        <v>984</v>
      </c>
      <c r="D69" s="10" t="s">
        <v>1846</v>
      </c>
      <c r="E69" s="10" t="s">
        <v>23</v>
      </c>
      <c r="F69" s="10" t="s">
        <v>16</v>
      </c>
      <c r="G69" s="6">
        <v>0</v>
      </c>
      <c r="H69" s="6">
        <v>0</v>
      </c>
      <c r="I69" s="6">
        <v>0</v>
      </c>
      <c r="J69" s="6">
        <v>0</v>
      </c>
      <c r="K69" s="13">
        <v>0</v>
      </c>
      <c r="L69" s="13">
        <v>0</v>
      </c>
      <c r="M69" s="8">
        <v>0</v>
      </c>
      <c r="N69" s="8">
        <v>0</v>
      </c>
    </row>
    <row r="70" spans="1:14" x14ac:dyDescent="0.25">
      <c r="A70" s="10" t="s">
        <v>1847</v>
      </c>
      <c r="B70" s="10">
        <v>74613</v>
      </c>
      <c r="C70" s="10" t="s">
        <v>987</v>
      </c>
      <c r="D70" s="10" t="s">
        <v>1848</v>
      </c>
      <c r="E70" s="10" t="s">
        <v>23</v>
      </c>
      <c r="F70" s="10" t="s">
        <v>16</v>
      </c>
      <c r="G70" s="6">
        <v>0</v>
      </c>
      <c r="H70" s="6">
        <v>0</v>
      </c>
      <c r="I70" s="6">
        <v>0</v>
      </c>
      <c r="J70" s="6">
        <v>0</v>
      </c>
      <c r="K70" s="13">
        <v>0</v>
      </c>
      <c r="L70" s="13">
        <v>0</v>
      </c>
      <c r="M70" s="8">
        <v>0</v>
      </c>
      <c r="N70" s="8">
        <v>0</v>
      </c>
    </row>
    <row r="71" spans="1:14" x14ac:dyDescent="0.25">
      <c r="A71" s="10" t="s">
        <v>1849</v>
      </c>
      <c r="B71" s="10">
        <v>74614</v>
      </c>
      <c r="C71" s="10" t="s">
        <v>992</v>
      </c>
      <c r="D71" s="10" t="s">
        <v>1850</v>
      </c>
      <c r="E71" s="10" t="s">
        <v>23</v>
      </c>
      <c r="F71" s="10" t="s">
        <v>16</v>
      </c>
      <c r="G71" s="6">
        <v>0</v>
      </c>
      <c r="H71" s="6">
        <v>0</v>
      </c>
      <c r="I71" s="6">
        <v>0</v>
      </c>
      <c r="J71" s="6">
        <v>0</v>
      </c>
      <c r="K71" s="13">
        <v>0</v>
      </c>
      <c r="L71" s="13">
        <v>0</v>
      </c>
      <c r="M71" s="8">
        <v>0</v>
      </c>
      <c r="N71" s="8">
        <v>0</v>
      </c>
    </row>
    <row r="72" spans="1:14" x14ac:dyDescent="0.25">
      <c r="A72" s="10" t="s">
        <v>1851</v>
      </c>
      <c r="B72" s="10">
        <v>74668</v>
      </c>
      <c r="C72" s="10" t="s">
        <v>1852</v>
      </c>
      <c r="D72" s="10" t="s">
        <v>1853</v>
      </c>
      <c r="E72" s="10" t="s">
        <v>23</v>
      </c>
      <c r="F72" s="10" t="s">
        <v>16</v>
      </c>
      <c r="G72" s="6">
        <v>0</v>
      </c>
      <c r="H72" s="6">
        <v>0</v>
      </c>
      <c r="I72" s="6">
        <v>0</v>
      </c>
      <c r="J72" s="6">
        <v>0</v>
      </c>
      <c r="K72" s="13">
        <v>0</v>
      </c>
      <c r="L72" s="13">
        <v>0</v>
      </c>
      <c r="M72" s="8">
        <v>0</v>
      </c>
      <c r="N72" s="8">
        <v>0</v>
      </c>
    </row>
    <row r="73" spans="1:14" x14ac:dyDescent="0.25">
      <c r="A73" s="10" t="s">
        <v>1854</v>
      </c>
      <c r="B73" s="10">
        <v>74669</v>
      </c>
      <c r="C73" s="10" t="s">
        <v>1855</v>
      </c>
      <c r="D73" s="10" t="s">
        <v>1856</v>
      </c>
      <c r="E73" s="10" t="s">
        <v>23</v>
      </c>
      <c r="F73" s="10" t="s">
        <v>16</v>
      </c>
      <c r="G73" s="6">
        <v>0</v>
      </c>
      <c r="H73" s="6">
        <v>0</v>
      </c>
      <c r="I73" s="6">
        <v>0</v>
      </c>
      <c r="J73" s="6">
        <v>0</v>
      </c>
      <c r="K73" s="13">
        <v>0</v>
      </c>
      <c r="L73" s="13">
        <v>0</v>
      </c>
      <c r="M73" s="8">
        <v>0</v>
      </c>
      <c r="N73" s="8">
        <v>0</v>
      </c>
    </row>
    <row r="74" spans="1:14" x14ac:dyDescent="0.25">
      <c r="A74" s="10" t="s">
        <v>1857</v>
      </c>
      <c r="B74" s="10">
        <v>74670</v>
      </c>
      <c r="C74" s="10" t="s">
        <v>1007</v>
      </c>
      <c r="D74" s="10" t="s">
        <v>1858</v>
      </c>
      <c r="E74" s="10" t="s">
        <v>23</v>
      </c>
      <c r="F74" s="10" t="s">
        <v>16</v>
      </c>
      <c r="G74" s="6">
        <v>0</v>
      </c>
      <c r="H74" s="6">
        <v>0</v>
      </c>
      <c r="I74" s="6">
        <v>0</v>
      </c>
      <c r="J74" s="6">
        <v>0</v>
      </c>
      <c r="K74" s="13">
        <v>0</v>
      </c>
      <c r="L74" s="13">
        <v>0</v>
      </c>
      <c r="M74" s="8">
        <v>0</v>
      </c>
      <c r="N74" s="8">
        <v>0</v>
      </c>
    </row>
    <row r="75" spans="1:14" x14ac:dyDescent="0.25">
      <c r="A75" s="10" t="s">
        <v>1859</v>
      </c>
      <c r="B75" s="10">
        <v>74671</v>
      </c>
      <c r="C75" s="10" t="s">
        <v>1012</v>
      </c>
      <c r="D75" s="10" t="s">
        <v>1860</v>
      </c>
      <c r="E75" s="10" t="s">
        <v>23</v>
      </c>
      <c r="F75" s="10" t="s">
        <v>16</v>
      </c>
      <c r="G75" s="6">
        <v>0</v>
      </c>
      <c r="H75" s="6">
        <v>0</v>
      </c>
      <c r="I75" s="6">
        <v>0</v>
      </c>
      <c r="J75" s="6">
        <v>0</v>
      </c>
      <c r="K75" s="13">
        <v>0</v>
      </c>
      <c r="L75" s="13">
        <v>0</v>
      </c>
      <c r="M75" s="8">
        <v>0</v>
      </c>
      <c r="N75" s="8">
        <v>0</v>
      </c>
    </row>
    <row r="76" spans="1:14" x14ac:dyDescent="0.25">
      <c r="A76" s="10" t="s">
        <v>1861</v>
      </c>
      <c r="B76" s="10">
        <v>75841</v>
      </c>
      <c r="C76" s="10" t="s">
        <v>1637</v>
      </c>
      <c r="D76" s="10" t="s">
        <v>1862</v>
      </c>
      <c r="E76" s="10" t="s">
        <v>23</v>
      </c>
      <c r="F76" s="10" t="s">
        <v>16</v>
      </c>
      <c r="G76" s="6">
        <v>0</v>
      </c>
      <c r="H76" s="6">
        <v>0</v>
      </c>
      <c r="I76" s="6">
        <v>0</v>
      </c>
      <c r="J76" s="6">
        <v>0</v>
      </c>
      <c r="K76" s="13">
        <v>0</v>
      </c>
      <c r="L76" s="13">
        <v>0</v>
      </c>
      <c r="M76" s="8">
        <v>0</v>
      </c>
      <c r="N76" s="8">
        <v>0</v>
      </c>
    </row>
    <row r="77" spans="1:14" x14ac:dyDescent="0.25">
      <c r="A77" s="10" t="s">
        <v>1863</v>
      </c>
      <c r="B77" s="10">
        <v>77197</v>
      </c>
      <c r="C77" s="10" t="s">
        <v>1740</v>
      </c>
      <c r="D77" s="10" t="s">
        <v>1864</v>
      </c>
      <c r="E77" s="10" t="s">
        <v>23</v>
      </c>
      <c r="F77" s="10" t="s">
        <v>16</v>
      </c>
      <c r="G77" s="6">
        <v>0</v>
      </c>
      <c r="H77" s="6">
        <v>0</v>
      </c>
      <c r="I77" s="6">
        <v>0</v>
      </c>
      <c r="J77" s="6">
        <v>0</v>
      </c>
      <c r="K77" s="13">
        <v>0</v>
      </c>
      <c r="L77" s="13">
        <v>0</v>
      </c>
      <c r="M77" s="8">
        <v>0</v>
      </c>
      <c r="N77" s="8">
        <v>0</v>
      </c>
    </row>
    <row r="78" spans="1:14" x14ac:dyDescent="0.25">
      <c r="A78" s="10" t="s">
        <v>1865</v>
      </c>
      <c r="B78" s="10">
        <v>81844</v>
      </c>
      <c r="C78" s="10" t="s">
        <v>1048</v>
      </c>
      <c r="D78" s="10" t="s">
        <v>1866</v>
      </c>
      <c r="E78" s="10" t="s">
        <v>23</v>
      </c>
      <c r="F78" s="10" t="s">
        <v>16</v>
      </c>
      <c r="G78" s="6">
        <v>0</v>
      </c>
      <c r="H78" s="6">
        <v>0</v>
      </c>
      <c r="I78" s="6">
        <v>0</v>
      </c>
      <c r="J78" s="6">
        <v>0</v>
      </c>
      <c r="K78" s="13">
        <v>0</v>
      </c>
      <c r="L78" s="13">
        <v>0</v>
      </c>
      <c r="M78" s="8">
        <v>0</v>
      </c>
      <c r="N78" s="8">
        <v>0</v>
      </c>
    </row>
    <row r="79" spans="1:14" x14ac:dyDescent="0.25">
      <c r="A79" s="10" t="s">
        <v>1867</v>
      </c>
      <c r="B79" s="10">
        <v>84498</v>
      </c>
      <c r="C79" s="10" t="s">
        <v>1111</v>
      </c>
      <c r="D79" s="10" t="s">
        <v>1868</v>
      </c>
      <c r="E79" s="10" t="s">
        <v>23</v>
      </c>
      <c r="F79" s="10" t="s">
        <v>16</v>
      </c>
      <c r="G79" s="6">
        <v>0</v>
      </c>
      <c r="H79" s="6">
        <v>0</v>
      </c>
      <c r="I79" s="6">
        <v>0</v>
      </c>
      <c r="J79" s="6">
        <v>0</v>
      </c>
      <c r="K79" s="13">
        <v>0</v>
      </c>
      <c r="L79" s="13">
        <v>0</v>
      </c>
      <c r="M79" s="8">
        <v>0</v>
      </c>
      <c r="N79" s="8">
        <v>0</v>
      </c>
    </row>
    <row r="80" spans="1:14" x14ac:dyDescent="0.25">
      <c r="A80" s="10" t="s">
        <v>1869</v>
      </c>
      <c r="B80" s="10">
        <v>84537</v>
      </c>
      <c r="C80" s="10" t="s">
        <v>1114</v>
      </c>
      <c r="D80" s="10" t="s">
        <v>1870</v>
      </c>
      <c r="E80" s="10" t="s">
        <v>23</v>
      </c>
      <c r="F80" s="10" t="s">
        <v>16</v>
      </c>
      <c r="G80" s="6">
        <v>0</v>
      </c>
      <c r="H80" s="6">
        <v>0</v>
      </c>
      <c r="I80" s="6">
        <v>0</v>
      </c>
      <c r="J80" s="6">
        <v>0</v>
      </c>
      <c r="K80" s="13">
        <v>0</v>
      </c>
      <c r="L80" s="13">
        <v>0</v>
      </c>
      <c r="M80" s="8">
        <v>0</v>
      </c>
      <c r="N80" s="8">
        <v>0</v>
      </c>
    </row>
    <row r="81" spans="1:14" x14ac:dyDescent="0.25">
      <c r="A81" s="10" t="s">
        <v>1871</v>
      </c>
      <c r="B81" s="10">
        <v>84550</v>
      </c>
      <c r="C81" s="10" t="s">
        <v>1117</v>
      </c>
      <c r="D81" s="10" t="s">
        <v>1872</v>
      </c>
      <c r="E81" s="10" t="s">
        <v>23</v>
      </c>
      <c r="F81" s="10" t="s">
        <v>16</v>
      </c>
      <c r="G81" s="6">
        <v>0</v>
      </c>
      <c r="H81" s="6">
        <v>0</v>
      </c>
      <c r="I81" s="6">
        <v>0</v>
      </c>
      <c r="J81" s="6">
        <v>0</v>
      </c>
      <c r="K81" s="13">
        <v>0</v>
      </c>
      <c r="L81" s="13">
        <v>0</v>
      </c>
      <c r="M81" s="8">
        <v>0</v>
      </c>
      <c r="N81" s="8">
        <v>0</v>
      </c>
    </row>
    <row r="82" spans="1:14" x14ac:dyDescent="0.25">
      <c r="A82" s="10" t="s">
        <v>1873</v>
      </c>
      <c r="B82" s="10">
        <v>84586</v>
      </c>
      <c r="C82" s="10" t="s">
        <v>1123</v>
      </c>
      <c r="D82" s="10" t="s">
        <v>1874</v>
      </c>
      <c r="E82" s="10" t="s">
        <v>23</v>
      </c>
      <c r="F82" s="10" t="s">
        <v>16</v>
      </c>
      <c r="G82" s="6">
        <v>10</v>
      </c>
      <c r="H82" s="6">
        <v>10</v>
      </c>
      <c r="I82" s="6">
        <v>0</v>
      </c>
      <c r="J82" s="6">
        <v>10</v>
      </c>
      <c r="K82" s="13">
        <v>472.38</v>
      </c>
      <c r="L82" s="13">
        <v>0</v>
      </c>
      <c r="M82" s="8">
        <v>1840.6102781</v>
      </c>
      <c r="N82" s="8">
        <v>0</v>
      </c>
    </row>
    <row r="83" spans="1:14" x14ac:dyDescent="0.25">
      <c r="A83" s="10" t="s">
        <v>1875</v>
      </c>
      <c r="B83" s="10">
        <v>84588</v>
      </c>
      <c r="C83" s="10" t="s">
        <v>1126</v>
      </c>
      <c r="D83" s="10" t="s">
        <v>1876</v>
      </c>
      <c r="E83" s="10" t="s">
        <v>23</v>
      </c>
      <c r="F83" s="10" t="s">
        <v>16</v>
      </c>
      <c r="G83" s="6">
        <v>3</v>
      </c>
      <c r="H83" s="6">
        <v>3</v>
      </c>
      <c r="I83" s="6">
        <v>1</v>
      </c>
      <c r="J83" s="6">
        <v>2</v>
      </c>
      <c r="K83" s="13">
        <v>51.45</v>
      </c>
      <c r="L83" s="13">
        <v>17.149999999999999</v>
      </c>
      <c r="M83" s="8">
        <v>159.50013791999999</v>
      </c>
      <c r="N83" s="8">
        <v>53.16671264</v>
      </c>
    </row>
    <row r="84" spans="1:14" x14ac:dyDescent="0.25">
      <c r="A84" s="10" t="s">
        <v>1877</v>
      </c>
      <c r="B84" s="10">
        <v>84635</v>
      </c>
      <c r="C84" s="10" t="s">
        <v>1646</v>
      </c>
      <c r="D84" s="10" t="s">
        <v>1878</v>
      </c>
      <c r="E84" s="10" t="s">
        <v>23</v>
      </c>
      <c r="F84" s="10" t="s">
        <v>16</v>
      </c>
      <c r="G84" s="6">
        <v>0</v>
      </c>
      <c r="H84" s="6">
        <v>0</v>
      </c>
      <c r="I84" s="6">
        <v>0</v>
      </c>
      <c r="J84" s="6">
        <v>0</v>
      </c>
      <c r="K84" s="13">
        <v>0</v>
      </c>
      <c r="L84" s="13">
        <v>0</v>
      </c>
      <c r="M84" s="8">
        <v>0</v>
      </c>
      <c r="N84" s="8">
        <v>0</v>
      </c>
    </row>
    <row r="85" spans="1:14" x14ac:dyDescent="0.25">
      <c r="A85" s="10" t="s">
        <v>1879</v>
      </c>
      <c r="B85" s="10">
        <v>84688</v>
      </c>
      <c r="C85" s="10" t="s">
        <v>1649</v>
      </c>
      <c r="D85" s="10" t="s">
        <v>1880</v>
      </c>
      <c r="E85" s="10" t="s">
        <v>23</v>
      </c>
      <c r="F85" s="10" t="s">
        <v>16</v>
      </c>
      <c r="G85" s="6">
        <v>0</v>
      </c>
      <c r="H85" s="6">
        <v>0</v>
      </c>
      <c r="I85" s="6">
        <v>0</v>
      </c>
      <c r="J85" s="6">
        <v>0</v>
      </c>
      <c r="K85" s="13">
        <v>0</v>
      </c>
      <c r="L85" s="13">
        <v>0</v>
      </c>
      <c r="M85" s="8">
        <v>0</v>
      </c>
      <c r="N85" s="8">
        <v>0</v>
      </c>
    </row>
    <row r="86" spans="1:14" x14ac:dyDescent="0.25">
      <c r="A86" s="10" t="s">
        <v>1881</v>
      </c>
      <c r="B86" s="10">
        <v>84701</v>
      </c>
      <c r="C86" s="10" t="s">
        <v>1652</v>
      </c>
      <c r="D86" s="10" t="s">
        <v>1882</v>
      </c>
      <c r="E86" s="10" t="s">
        <v>23</v>
      </c>
      <c r="F86" s="10" t="s">
        <v>16</v>
      </c>
      <c r="G86" s="6">
        <v>0</v>
      </c>
      <c r="H86" s="6">
        <v>0</v>
      </c>
      <c r="I86" s="6">
        <v>0</v>
      </c>
      <c r="J86" s="6">
        <v>0</v>
      </c>
      <c r="K86" s="13">
        <v>0</v>
      </c>
      <c r="L86" s="13">
        <v>0</v>
      </c>
      <c r="M86" s="8">
        <v>0</v>
      </c>
      <c r="N86" s="8">
        <v>0</v>
      </c>
    </row>
    <row r="87" spans="1:14" x14ac:dyDescent="0.25">
      <c r="A87" s="10" t="s">
        <v>1883</v>
      </c>
      <c r="B87" s="10">
        <v>84712</v>
      </c>
      <c r="C87" s="10" t="s">
        <v>1655</v>
      </c>
      <c r="D87" s="10" t="s">
        <v>1884</v>
      </c>
      <c r="E87" s="10" t="s">
        <v>23</v>
      </c>
      <c r="F87" s="10" t="s">
        <v>16</v>
      </c>
      <c r="G87" s="6">
        <v>0</v>
      </c>
      <c r="H87" s="6">
        <v>0</v>
      </c>
      <c r="I87" s="6">
        <v>0</v>
      </c>
      <c r="J87" s="6">
        <v>0</v>
      </c>
      <c r="K87" s="13">
        <v>0</v>
      </c>
      <c r="L87" s="13">
        <v>0</v>
      </c>
      <c r="M87" s="8">
        <v>0</v>
      </c>
      <c r="N87" s="8">
        <v>0</v>
      </c>
    </row>
    <row r="88" spans="1:14" x14ac:dyDescent="0.25">
      <c r="A88" s="10" t="s">
        <v>1885</v>
      </c>
      <c r="B88" s="10">
        <v>84715</v>
      </c>
      <c r="C88" s="10" t="s">
        <v>1658</v>
      </c>
      <c r="D88" s="10" t="s">
        <v>1886</v>
      </c>
      <c r="E88" s="10" t="s">
        <v>23</v>
      </c>
      <c r="F88" s="10" t="s">
        <v>16</v>
      </c>
      <c r="G88" s="6">
        <v>0</v>
      </c>
      <c r="H88" s="6">
        <v>0</v>
      </c>
      <c r="I88" s="6">
        <v>0</v>
      </c>
      <c r="J88" s="6">
        <v>0</v>
      </c>
      <c r="K88" s="13">
        <v>0</v>
      </c>
      <c r="L88" s="13">
        <v>0</v>
      </c>
      <c r="M88" s="8">
        <v>0</v>
      </c>
      <c r="N88" s="8">
        <v>0</v>
      </c>
    </row>
    <row r="89" spans="1:14" x14ac:dyDescent="0.25">
      <c r="A89" s="10" t="s">
        <v>1887</v>
      </c>
      <c r="B89" s="10">
        <v>84715</v>
      </c>
      <c r="C89" s="10" t="s">
        <v>1658</v>
      </c>
      <c r="D89" s="10" t="s">
        <v>1888</v>
      </c>
      <c r="E89" s="10" t="s">
        <v>23</v>
      </c>
      <c r="F89" s="10" t="s">
        <v>16</v>
      </c>
      <c r="G89" s="6">
        <v>0</v>
      </c>
      <c r="H89" s="6">
        <v>16</v>
      </c>
      <c r="I89" s="6">
        <v>0</v>
      </c>
      <c r="J89" s="6">
        <v>0</v>
      </c>
      <c r="K89" s="13">
        <v>0</v>
      </c>
      <c r="L89" s="13">
        <v>0</v>
      </c>
      <c r="M89" s="8">
        <v>0</v>
      </c>
      <c r="N89" s="8">
        <v>0</v>
      </c>
    </row>
    <row r="90" spans="1:14" x14ac:dyDescent="0.25">
      <c r="A90" s="10" t="s">
        <v>1889</v>
      </c>
      <c r="B90" s="10">
        <v>84724</v>
      </c>
      <c r="C90" s="10" t="s">
        <v>1890</v>
      </c>
      <c r="D90" s="10" t="s">
        <v>1891</v>
      </c>
      <c r="E90" s="10" t="s">
        <v>23</v>
      </c>
      <c r="F90" s="10" t="s">
        <v>16</v>
      </c>
      <c r="G90" s="6">
        <v>41</v>
      </c>
      <c r="H90" s="6">
        <v>39</v>
      </c>
      <c r="I90" s="6">
        <v>0</v>
      </c>
      <c r="J90" s="6">
        <v>41</v>
      </c>
      <c r="K90" s="13">
        <v>2512.0700000000002</v>
      </c>
      <c r="L90" s="13">
        <v>0</v>
      </c>
      <c r="M90" s="8">
        <v>12777.21358985</v>
      </c>
      <c r="N90" s="8">
        <v>0</v>
      </c>
    </row>
    <row r="91" spans="1:14" x14ac:dyDescent="0.25">
      <c r="A91" s="10" t="s">
        <v>1892</v>
      </c>
      <c r="B91" s="10">
        <v>84724</v>
      </c>
      <c r="C91" s="10" t="s">
        <v>1890</v>
      </c>
      <c r="D91" s="10" t="s">
        <v>1893</v>
      </c>
      <c r="E91" s="10" t="s">
        <v>23</v>
      </c>
      <c r="F91" s="10" t="s">
        <v>16</v>
      </c>
      <c r="G91" s="6">
        <v>67</v>
      </c>
      <c r="H91" s="6">
        <v>67</v>
      </c>
      <c r="I91" s="6">
        <v>0</v>
      </c>
      <c r="J91" s="6">
        <v>67</v>
      </c>
      <c r="K91" s="13">
        <v>4105.09</v>
      </c>
      <c r="L91" s="13">
        <v>0</v>
      </c>
      <c r="M91" s="8">
        <v>21174.137675869999</v>
      </c>
      <c r="N91" s="8">
        <v>0</v>
      </c>
    </row>
    <row r="92" spans="1:14" x14ac:dyDescent="0.25">
      <c r="A92" s="10" t="s">
        <v>1894</v>
      </c>
      <c r="B92" s="10">
        <v>84745</v>
      </c>
      <c r="C92" s="10" t="s">
        <v>1131</v>
      </c>
      <c r="D92" s="10" t="s">
        <v>1895</v>
      </c>
      <c r="E92" s="10" t="s">
        <v>23</v>
      </c>
      <c r="F92" s="10" t="s">
        <v>16</v>
      </c>
      <c r="G92" s="6">
        <v>67</v>
      </c>
      <c r="H92" s="6">
        <v>67</v>
      </c>
      <c r="I92" s="6">
        <v>0</v>
      </c>
      <c r="J92" s="6">
        <v>67</v>
      </c>
      <c r="K92" s="13">
        <v>3919.5</v>
      </c>
      <c r="L92" s="13">
        <v>0</v>
      </c>
      <c r="M92" s="8">
        <v>13936.671037829999</v>
      </c>
      <c r="N92" s="8">
        <v>0</v>
      </c>
    </row>
    <row r="93" spans="1:14" x14ac:dyDescent="0.25">
      <c r="A93" s="10" t="s">
        <v>1896</v>
      </c>
      <c r="B93" s="10">
        <v>84755</v>
      </c>
      <c r="C93" s="10" t="s">
        <v>1897</v>
      </c>
      <c r="D93" s="10" t="s">
        <v>1898</v>
      </c>
      <c r="E93" s="10" t="s">
        <v>23</v>
      </c>
      <c r="F93" s="10" t="s">
        <v>16</v>
      </c>
      <c r="G93" s="6">
        <v>38</v>
      </c>
      <c r="H93" s="6">
        <v>40</v>
      </c>
      <c r="I93" s="6">
        <v>0</v>
      </c>
      <c r="J93" s="6">
        <v>38</v>
      </c>
      <c r="K93" s="13">
        <v>2007.35</v>
      </c>
      <c r="L93" s="13">
        <v>0</v>
      </c>
      <c r="M93" s="8">
        <v>6162.3203222599996</v>
      </c>
      <c r="N93" s="8">
        <v>0</v>
      </c>
    </row>
    <row r="94" spans="1:14" x14ac:dyDescent="0.25">
      <c r="A94" s="10" t="s">
        <v>1899</v>
      </c>
      <c r="B94" s="10">
        <v>84755</v>
      </c>
      <c r="C94" s="10" t="s">
        <v>1897</v>
      </c>
      <c r="D94" s="10" t="s">
        <v>1900</v>
      </c>
      <c r="E94" s="10" t="s">
        <v>23</v>
      </c>
      <c r="F94" s="10" t="s">
        <v>16</v>
      </c>
      <c r="G94" s="6">
        <v>67</v>
      </c>
      <c r="H94" s="6">
        <v>68</v>
      </c>
      <c r="I94" s="6">
        <v>0</v>
      </c>
      <c r="J94" s="6">
        <v>67</v>
      </c>
      <c r="K94" s="13">
        <v>3539.2750000000001</v>
      </c>
      <c r="L94" s="13">
        <v>0</v>
      </c>
      <c r="M94" s="8">
        <v>11865.57691229</v>
      </c>
      <c r="N94" s="8">
        <v>0</v>
      </c>
    </row>
    <row r="95" spans="1:14" x14ac:dyDescent="0.25">
      <c r="A95" s="10" t="s">
        <v>1901</v>
      </c>
      <c r="B95" s="10">
        <v>84773</v>
      </c>
      <c r="C95" s="10" t="s">
        <v>1902</v>
      </c>
      <c r="D95" s="10" t="s">
        <v>1903</v>
      </c>
      <c r="E95" s="10" t="s">
        <v>23</v>
      </c>
      <c r="F95" s="10" t="s">
        <v>16</v>
      </c>
      <c r="G95" s="6">
        <v>44</v>
      </c>
      <c r="H95" s="6">
        <v>46</v>
      </c>
      <c r="I95" s="6">
        <v>0</v>
      </c>
      <c r="J95" s="6">
        <v>44</v>
      </c>
      <c r="K95" s="13">
        <v>1495.0319999999999</v>
      </c>
      <c r="L95" s="13">
        <v>0</v>
      </c>
      <c r="M95" s="8">
        <v>5180.8734076000001</v>
      </c>
      <c r="N95" s="8">
        <v>0</v>
      </c>
    </row>
    <row r="96" spans="1:14" x14ac:dyDescent="0.25">
      <c r="A96" s="10" t="s">
        <v>1904</v>
      </c>
      <c r="B96" s="10">
        <v>84773</v>
      </c>
      <c r="C96" s="10" t="s">
        <v>1902</v>
      </c>
      <c r="D96" s="10" t="s">
        <v>1905</v>
      </c>
      <c r="E96" s="10" t="s">
        <v>23</v>
      </c>
      <c r="F96" s="10" t="s">
        <v>16</v>
      </c>
      <c r="G96" s="6">
        <v>69</v>
      </c>
      <c r="H96" s="6">
        <v>69</v>
      </c>
      <c r="I96" s="6">
        <v>0</v>
      </c>
      <c r="J96" s="6">
        <v>69</v>
      </c>
      <c r="K96" s="13">
        <v>2344.482</v>
      </c>
      <c r="L96" s="13">
        <v>0</v>
      </c>
      <c r="M96" s="8">
        <v>8115.4387190999996</v>
      </c>
      <c r="N96" s="8">
        <v>0</v>
      </c>
    </row>
    <row r="97" spans="1:14" x14ac:dyDescent="0.25">
      <c r="A97" s="10" t="s">
        <v>1906</v>
      </c>
      <c r="B97" s="10">
        <v>84779</v>
      </c>
      <c r="C97" s="10" t="s">
        <v>1907</v>
      </c>
      <c r="D97" s="10" t="s">
        <v>1908</v>
      </c>
      <c r="E97" s="10" t="s">
        <v>23</v>
      </c>
      <c r="F97" s="10" t="s">
        <v>16</v>
      </c>
      <c r="G97" s="6">
        <v>0</v>
      </c>
      <c r="H97" s="6">
        <v>1</v>
      </c>
      <c r="I97" s="6">
        <v>0</v>
      </c>
      <c r="J97" s="6">
        <v>0</v>
      </c>
      <c r="K97" s="13">
        <v>0</v>
      </c>
      <c r="L97" s="13">
        <v>0</v>
      </c>
      <c r="M97" s="8">
        <v>0</v>
      </c>
      <c r="N97" s="8">
        <v>0</v>
      </c>
    </row>
    <row r="98" spans="1:14" x14ac:dyDescent="0.25">
      <c r="A98" s="10" t="s">
        <v>1909</v>
      </c>
      <c r="B98" s="10">
        <v>84779</v>
      </c>
      <c r="C98" s="10" t="s">
        <v>1907</v>
      </c>
      <c r="D98" s="10" t="s">
        <v>1910</v>
      </c>
      <c r="E98" s="10" t="s">
        <v>23</v>
      </c>
      <c r="F98" s="10" t="s">
        <v>16</v>
      </c>
      <c r="G98" s="6">
        <v>16</v>
      </c>
      <c r="H98" s="6">
        <v>17</v>
      </c>
      <c r="I98" s="6">
        <v>0</v>
      </c>
      <c r="J98" s="6">
        <v>16</v>
      </c>
      <c r="K98" s="13">
        <v>991.84</v>
      </c>
      <c r="L98" s="13">
        <v>0</v>
      </c>
      <c r="M98" s="8">
        <v>3426.3493100800001</v>
      </c>
      <c r="N98" s="8">
        <v>0</v>
      </c>
    </row>
    <row r="99" spans="1:14" x14ac:dyDescent="0.25">
      <c r="A99" s="10" t="s">
        <v>1911</v>
      </c>
      <c r="B99" s="10">
        <v>84779</v>
      </c>
      <c r="C99" s="10" t="s">
        <v>1907</v>
      </c>
      <c r="D99" s="10" t="s">
        <v>1912</v>
      </c>
      <c r="E99" s="10" t="s">
        <v>23</v>
      </c>
      <c r="F99" s="10" t="s">
        <v>16</v>
      </c>
      <c r="G99" s="6">
        <v>73</v>
      </c>
      <c r="H99" s="6">
        <v>73</v>
      </c>
      <c r="I99" s="6">
        <v>0</v>
      </c>
      <c r="J99" s="6">
        <v>73</v>
      </c>
      <c r="K99" s="13">
        <v>4525.2700000000004</v>
      </c>
      <c r="L99" s="13">
        <v>0</v>
      </c>
      <c r="M99" s="8">
        <v>13289.992580239999</v>
      </c>
      <c r="N99" s="8">
        <v>0</v>
      </c>
    </row>
    <row r="100" spans="1:14" x14ac:dyDescent="0.25">
      <c r="A100" s="10" t="s">
        <v>1913</v>
      </c>
      <c r="B100" s="10">
        <v>84795</v>
      </c>
      <c r="C100" s="10" t="s">
        <v>1136</v>
      </c>
      <c r="D100" s="10" t="s">
        <v>1914</v>
      </c>
      <c r="E100" s="10" t="s">
        <v>23</v>
      </c>
      <c r="F100" s="10" t="s">
        <v>16</v>
      </c>
      <c r="G100" s="6">
        <v>0</v>
      </c>
      <c r="H100" s="6">
        <v>28</v>
      </c>
      <c r="I100" s="6">
        <v>0</v>
      </c>
      <c r="J100" s="6">
        <v>0</v>
      </c>
      <c r="K100" s="13">
        <v>0</v>
      </c>
      <c r="L100" s="13">
        <v>0</v>
      </c>
      <c r="M100" s="8">
        <v>0</v>
      </c>
      <c r="N100" s="8">
        <v>0</v>
      </c>
    </row>
    <row r="101" spans="1:14" x14ac:dyDescent="0.25">
      <c r="A101" s="10" t="s">
        <v>1915</v>
      </c>
      <c r="B101" s="10">
        <v>84822</v>
      </c>
      <c r="C101" s="10" t="s">
        <v>1155</v>
      </c>
      <c r="D101" s="10" t="s">
        <v>1916</v>
      </c>
      <c r="E101" s="10" t="s">
        <v>23</v>
      </c>
      <c r="F101" s="10" t="s">
        <v>16</v>
      </c>
      <c r="G101" s="6">
        <v>274</v>
      </c>
      <c r="H101" s="6">
        <v>279</v>
      </c>
      <c r="I101" s="6">
        <v>55</v>
      </c>
      <c r="J101" s="6">
        <v>219</v>
      </c>
      <c r="K101" s="13">
        <v>14960.4</v>
      </c>
      <c r="L101" s="13">
        <v>3003</v>
      </c>
      <c r="M101" s="8">
        <v>71961.584208739994</v>
      </c>
      <c r="N101" s="8">
        <v>14444.84354555</v>
      </c>
    </row>
    <row r="102" spans="1:14" x14ac:dyDescent="0.25">
      <c r="A102" s="10" t="s">
        <v>1917</v>
      </c>
      <c r="B102" s="10">
        <v>84847</v>
      </c>
      <c r="C102" s="10" t="s">
        <v>1161</v>
      </c>
      <c r="D102" s="10" t="s">
        <v>1918</v>
      </c>
      <c r="E102" s="10" t="s">
        <v>23</v>
      </c>
      <c r="F102" s="10" t="s">
        <v>16</v>
      </c>
      <c r="G102" s="6">
        <v>276</v>
      </c>
      <c r="H102" s="6">
        <v>280</v>
      </c>
      <c r="I102" s="6">
        <v>55</v>
      </c>
      <c r="J102" s="6">
        <v>221</v>
      </c>
      <c r="K102" s="13">
        <v>12378.6</v>
      </c>
      <c r="L102" s="13">
        <v>2466.75</v>
      </c>
      <c r="M102" s="8">
        <v>45628.077059280004</v>
      </c>
      <c r="N102" s="8">
        <v>9092.5515878999995</v>
      </c>
    </row>
    <row r="103" spans="1:14" x14ac:dyDescent="0.25">
      <c r="A103" s="10" t="s">
        <v>1919</v>
      </c>
      <c r="B103" s="10">
        <v>84860</v>
      </c>
      <c r="C103" s="10" t="s">
        <v>1667</v>
      </c>
      <c r="D103" s="10" t="s">
        <v>1920</v>
      </c>
      <c r="E103" s="10" t="s">
        <v>23</v>
      </c>
      <c r="F103" s="10" t="s">
        <v>16</v>
      </c>
      <c r="G103" s="6">
        <v>0</v>
      </c>
      <c r="H103" s="6">
        <v>0</v>
      </c>
      <c r="I103" s="6">
        <v>0</v>
      </c>
      <c r="J103" s="6">
        <v>0</v>
      </c>
      <c r="K103" s="13">
        <v>0</v>
      </c>
      <c r="L103" s="13">
        <v>0</v>
      </c>
      <c r="M103" s="8">
        <v>0</v>
      </c>
      <c r="N103" s="8">
        <v>0</v>
      </c>
    </row>
    <row r="104" spans="1:14" x14ac:dyDescent="0.25">
      <c r="A104" s="10" t="s">
        <v>1921</v>
      </c>
      <c r="B104" s="10">
        <v>84866</v>
      </c>
      <c r="C104" s="10" t="s">
        <v>1670</v>
      </c>
      <c r="D104" s="10" t="s">
        <v>1922</v>
      </c>
      <c r="E104" s="10" t="s">
        <v>23</v>
      </c>
      <c r="F104" s="10" t="s">
        <v>16</v>
      </c>
      <c r="G104" s="6">
        <v>0</v>
      </c>
      <c r="H104" s="6">
        <v>0</v>
      </c>
      <c r="I104" s="6">
        <v>0</v>
      </c>
      <c r="J104" s="6">
        <v>0</v>
      </c>
      <c r="K104" s="13">
        <v>0</v>
      </c>
      <c r="L104" s="13">
        <v>0</v>
      </c>
      <c r="M104" s="8">
        <v>0</v>
      </c>
      <c r="N104" s="8">
        <v>0</v>
      </c>
    </row>
    <row r="105" spans="1:14" x14ac:dyDescent="0.25">
      <c r="A105" s="10" t="s">
        <v>1923</v>
      </c>
      <c r="B105" s="10">
        <v>84875</v>
      </c>
      <c r="C105" s="10" t="s">
        <v>1164</v>
      </c>
      <c r="D105" s="10" t="s">
        <v>1924</v>
      </c>
      <c r="E105" s="10" t="s">
        <v>23</v>
      </c>
      <c r="F105" s="10" t="s">
        <v>16</v>
      </c>
      <c r="G105" s="6">
        <v>0</v>
      </c>
      <c r="H105" s="6">
        <v>24</v>
      </c>
      <c r="I105" s="6">
        <v>0</v>
      </c>
      <c r="J105" s="6">
        <v>0</v>
      </c>
      <c r="K105" s="13">
        <v>0</v>
      </c>
      <c r="L105" s="13">
        <v>0</v>
      </c>
      <c r="M105" s="8">
        <v>0</v>
      </c>
      <c r="N105" s="8">
        <v>0</v>
      </c>
    </row>
    <row r="106" spans="1:14" x14ac:dyDescent="0.25">
      <c r="A106" s="10" t="s">
        <v>1925</v>
      </c>
      <c r="B106" s="10">
        <v>84877</v>
      </c>
      <c r="C106" s="10" t="s">
        <v>1926</v>
      </c>
      <c r="D106" s="10" t="s">
        <v>1927</v>
      </c>
      <c r="E106" s="10" t="s">
        <v>23</v>
      </c>
      <c r="F106" s="10" t="s">
        <v>16</v>
      </c>
      <c r="G106" s="6">
        <v>0</v>
      </c>
      <c r="H106" s="6">
        <v>24</v>
      </c>
      <c r="I106" s="6">
        <v>0</v>
      </c>
      <c r="J106" s="6">
        <v>0</v>
      </c>
      <c r="K106" s="13">
        <v>0</v>
      </c>
      <c r="L106" s="13">
        <v>0</v>
      </c>
      <c r="M106" s="8">
        <v>0</v>
      </c>
      <c r="N106" s="8">
        <v>0</v>
      </c>
    </row>
    <row r="107" spans="1:14" x14ac:dyDescent="0.25">
      <c r="A107" s="10" t="s">
        <v>1928</v>
      </c>
      <c r="B107" s="10">
        <v>84877</v>
      </c>
      <c r="C107" s="10" t="s">
        <v>1926</v>
      </c>
      <c r="D107" s="10" t="s">
        <v>1929</v>
      </c>
      <c r="E107" s="10" t="s">
        <v>23</v>
      </c>
      <c r="F107" s="10" t="s">
        <v>16</v>
      </c>
      <c r="G107" s="6">
        <v>2</v>
      </c>
      <c r="H107" s="6">
        <v>0</v>
      </c>
      <c r="I107" s="6">
        <v>0</v>
      </c>
      <c r="J107" s="6">
        <v>2</v>
      </c>
      <c r="K107" s="13">
        <v>109.94</v>
      </c>
      <c r="L107" s="13">
        <v>0</v>
      </c>
      <c r="M107" s="8">
        <v>373.84912478000001</v>
      </c>
      <c r="N107" s="8">
        <v>0</v>
      </c>
    </row>
    <row r="108" spans="1:14" x14ac:dyDescent="0.25">
      <c r="A108" s="10" t="s">
        <v>1930</v>
      </c>
      <c r="B108" s="10">
        <v>84885</v>
      </c>
      <c r="C108" s="10" t="s">
        <v>1931</v>
      </c>
      <c r="D108" s="10" t="s">
        <v>1932</v>
      </c>
      <c r="E108" s="10" t="s">
        <v>23</v>
      </c>
      <c r="F108" s="10" t="s">
        <v>16</v>
      </c>
      <c r="G108" s="6">
        <v>0</v>
      </c>
      <c r="H108" s="6">
        <v>20</v>
      </c>
      <c r="I108" s="6">
        <v>0</v>
      </c>
      <c r="J108" s="6">
        <v>0</v>
      </c>
      <c r="K108" s="13">
        <v>0</v>
      </c>
      <c r="L108" s="13">
        <v>0</v>
      </c>
      <c r="M108" s="8">
        <v>0</v>
      </c>
      <c r="N108" s="8">
        <v>0</v>
      </c>
    </row>
    <row r="109" spans="1:14" x14ac:dyDescent="0.25">
      <c r="A109" s="10" t="s">
        <v>1933</v>
      </c>
      <c r="B109" s="10">
        <v>84885</v>
      </c>
      <c r="C109" s="10" t="s">
        <v>1931</v>
      </c>
      <c r="D109" s="10" t="s">
        <v>1934</v>
      </c>
      <c r="E109" s="10" t="s">
        <v>23</v>
      </c>
      <c r="F109" s="10" t="s">
        <v>16</v>
      </c>
      <c r="G109" s="6">
        <v>0</v>
      </c>
      <c r="H109" s="6">
        <v>0</v>
      </c>
      <c r="I109" s="6">
        <v>0</v>
      </c>
      <c r="J109" s="6">
        <v>0</v>
      </c>
      <c r="K109" s="13">
        <v>0</v>
      </c>
      <c r="L109" s="13">
        <v>0</v>
      </c>
      <c r="M109" s="8">
        <v>0</v>
      </c>
      <c r="N109" s="8">
        <v>0</v>
      </c>
    </row>
    <row r="110" spans="1:14" x14ac:dyDescent="0.25">
      <c r="A110" s="10" t="s">
        <v>1935</v>
      </c>
      <c r="B110" s="10">
        <v>86383</v>
      </c>
      <c r="C110" s="10" t="s">
        <v>1399</v>
      </c>
      <c r="D110" s="10" t="s">
        <v>1936</v>
      </c>
      <c r="E110" s="10" t="s">
        <v>23</v>
      </c>
      <c r="F110" s="10" t="s">
        <v>16</v>
      </c>
      <c r="G110" s="6">
        <v>0</v>
      </c>
      <c r="H110" s="6">
        <v>10</v>
      </c>
      <c r="I110" s="6">
        <v>0</v>
      </c>
      <c r="J110" s="6">
        <v>0</v>
      </c>
      <c r="K110" s="13">
        <v>0</v>
      </c>
      <c r="L110" s="13">
        <v>0</v>
      </c>
      <c r="M110" s="8">
        <v>0</v>
      </c>
      <c r="N110" s="8">
        <v>0</v>
      </c>
    </row>
    <row r="111" spans="1:14" x14ac:dyDescent="0.25">
      <c r="A111" s="16" t="s">
        <v>1938</v>
      </c>
      <c r="G111" s="17">
        <f t="shared" ref="G111:N111" si="0">SUM(G4:G110)</f>
        <v>3644</v>
      </c>
      <c r="H111" s="17">
        <f t="shared" si="0"/>
        <v>3928</v>
      </c>
      <c r="I111" s="17">
        <f t="shared" si="0"/>
        <v>1288</v>
      </c>
      <c r="J111" s="17">
        <f t="shared" si="0"/>
        <v>2356</v>
      </c>
      <c r="K111" s="18">
        <f t="shared" si="0"/>
        <v>126023.357</v>
      </c>
      <c r="L111" s="18">
        <f t="shared" si="0"/>
        <v>43318.608999999997</v>
      </c>
      <c r="M111" s="19">
        <f t="shared" si="0"/>
        <v>526155.13604250003</v>
      </c>
      <c r="N111" s="19">
        <f t="shared" si="0"/>
        <v>155727.24367294999</v>
      </c>
    </row>
  </sheetData>
  <autoFilter ref="A3:N1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2"/>
  <sheetViews>
    <sheetView tabSelected="1" zoomScaleNormal="100" workbookViewId="0">
      <pane ySplit="3" topLeftCell="A4" activePane="bottomLeft" state="frozen"/>
      <selection pane="bottomLeft"/>
    </sheetView>
  </sheetViews>
  <sheetFormatPr defaultColWidth="8.5703125" defaultRowHeight="15" customHeight="1" x14ac:dyDescent="0.25"/>
  <cols>
    <col min="1" max="1" width="14" customWidth="1"/>
    <col min="2" max="2" width="10" customWidth="1"/>
    <col min="3" max="3" width="52" customWidth="1"/>
    <col min="4" max="4" width="26" customWidth="1"/>
    <col min="5" max="5" width="24" customWidth="1"/>
    <col min="6" max="6" width="16" customWidth="1"/>
    <col min="7" max="7" width="13" customWidth="1"/>
    <col min="8" max="8" width="12" customWidth="1"/>
    <col min="9" max="9" width="11" customWidth="1"/>
    <col min="10" max="10" width="12" customWidth="1"/>
    <col min="11" max="11" width="15" customWidth="1"/>
    <col min="12" max="12" width="17" customWidth="1"/>
    <col min="13" max="14" width="16" customWidth="1"/>
  </cols>
  <sheetData>
    <row r="1" spans="1:14" ht="18" x14ac:dyDescent="0.25">
      <c r="A1" s="1" t="s">
        <v>1941</v>
      </c>
    </row>
    <row r="3" spans="1:14" ht="25.5" x14ac:dyDescent="0.25">
      <c r="A3" s="4" t="s">
        <v>25</v>
      </c>
      <c r="B3" s="4" t="s">
        <v>26</v>
      </c>
      <c r="C3" s="4" t="s">
        <v>28</v>
      </c>
      <c r="D3" s="4" t="s">
        <v>29</v>
      </c>
      <c r="E3" s="4" t="s">
        <v>30</v>
      </c>
      <c r="F3" s="4" t="s">
        <v>32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34</v>
      </c>
      <c r="L3" s="4" t="s">
        <v>35</v>
      </c>
      <c r="M3" s="4" t="s">
        <v>10</v>
      </c>
      <c r="N3" s="4" t="s">
        <v>11</v>
      </c>
    </row>
    <row r="4" spans="1:14" x14ac:dyDescent="0.25">
      <c r="A4" s="10" t="s">
        <v>1619</v>
      </c>
      <c r="B4" s="10">
        <v>2102</v>
      </c>
      <c r="C4" s="10" t="s">
        <v>163</v>
      </c>
      <c r="D4" s="10" t="s">
        <v>1620</v>
      </c>
      <c r="E4" s="10" t="s">
        <v>23</v>
      </c>
      <c r="F4" s="10" t="s">
        <v>18</v>
      </c>
      <c r="G4" s="6">
        <v>5</v>
      </c>
      <c r="H4" s="6">
        <v>5</v>
      </c>
      <c r="I4" s="6">
        <v>0</v>
      </c>
      <c r="J4" s="6">
        <v>5</v>
      </c>
      <c r="K4" s="13">
        <v>250.09</v>
      </c>
      <c r="L4" s="13">
        <v>0</v>
      </c>
      <c r="M4" s="8">
        <v>1064.2655314000001</v>
      </c>
      <c r="N4" s="8">
        <v>0</v>
      </c>
    </row>
    <row r="5" spans="1:14" x14ac:dyDescent="0.25">
      <c r="A5" s="10" t="s">
        <v>1621</v>
      </c>
      <c r="B5" s="10">
        <v>2103</v>
      </c>
      <c r="C5" s="10" t="s">
        <v>166</v>
      </c>
      <c r="D5" s="10" t="s">
        <v>1622</v>
      </c>
      <c r="E5" s="10" t="s">
        <v>23</v>
      </c>
      <c r="F5" s="10" t="s">
        <v>18</v>
      </c>
      <c r="G5" s="6">
        <v>0</v>
      </c>
      <c r="H5" s="6">
        <v>1</v>
      </c>
      <c r="I5" s="6">
        <v>0</v>
      </c>
      <c r="J5" s="6">
        <v>0</v>
      </c>
      <c r="K5" s="13">
        <v>0</v>
      </c>
      <c r="L5" s="13">
        <v>0</v>
      </c>
      <c r="M5" s="8">
        <v>0</v>
      </c>
      <c r="N5" s="8">
        <v>0</v>
      </c>
    </row>
    <row r="6" spans="1:14" x14ac:dyDescent="0.25">
      <c r="A6" s="10" t="s">
        <v>1623</v>
      </c>
      <c r="B6" s="10">
        <v>2104</v>
      </c>
      <c r="C6" s="10" t="s">
        <v>169</v>
      </c>
      <c r="D6" s="10" t="s">
        <v>1624</v>
      </c>
      <c r="E6" s="10" t="s">
        <v>23</v>
      </c>
      <c r="F6" s="10" t="s">
        <v>18</v>
      </c>
      <c r="G6" s="6">
        <v>12</v>
      </c>
      <c r="H6" s="6">
        <v>12</v>
      </c>
      <c r="I6" s="6">
        <v>0</v>
      </c>
      <c r="J6" s="6">
        <v>12</v>
      </c>
      <c r="K6" s="13">
        <v>620.1</v>
      </c>
      <c r="L6" s="13">
        <v>0</v>
      </c>
      <c r="M6" s="8">
        <v>1719.97411908</v>
      </c>
      <c r="N6" s="8">
        <v>0</v>
      </c>
    </row>
    <row r="7" spans="1:14" x14ac:dyDescent="0.25">
      <c r="A7" s="10" t="s">
        <v>1625</v>
      </c>
      <c r="B7" s="10">
        <v>2246</v>
      </c>
      <c r="C7" s="10" t="s">
        <v>287</v>
      </c>
      <c r="D7" s="10" t="s">
        <v>1626</v>
      </c>
      <c r="E7" s="10" t="s">
        <v>23</v>
      </c>
      <c r="F7" s="10" t="s">
        <v>18</v>
      </c>
      <c r="G7" s="6">
        <v>495</v>
      </c>
      <c r="H7" s="6">
        <v>523</v>
      </c>
      <c r="I7" s="6">
        <v>461</v>
      </c>
      <c r="J7" s="6">
        <v>34</v>
      </c>
      <c r="K7" s="13">
        <v>7576.9650000000001</v>
      </c>
      <c r="L7" s="13">
        <v>7056.527</v>
      </c>
      <c r="M7" s="8">
        <v>16926.686765999999</v>
      </c>
      <c r="N7" s="8">
        <v>15764.0456548</v>
      </c>
    </row>
    <row r="8" spans="1:14" x14ac:dyDescent="0.25">
      <c r="A8" s="10" t="s">
        <v>1627</v>
      </c>
      <c r="B8" s="10">
        <v>2275</v>
      </c>
      <c r="C8" s="10" t="s">
        <v>1628</v>
      </c>
      <c r="D8" s="10" t="s">
        <v>1629</v>
      </c>
      <c r="E8" s="10" t="s">
        <v>23</v>
      </c>
      <c r="F8" s="10" t="s">
        <v>18</v>
      </c>
      <c r="G8" s="6">
        <v>0</v>
      </c>
      <c r="H8" s="6">
        <v>0</v>
      </c>
      <c r="I8" s="6">
        <v>0</v>
      </c>
      <c r="J8" s="6">
        <v>0</v>
      </c>
      <c r="K8" s="13">
        <v>0</v>
      </c>
      <c r="L8" s="13">
        <v>0</v>
      </c>
      <c r="M8" s="8">
        <v>0</v>
      </c>
      <c r="N8" s="8">
        <v>0</v>
      </c>
    </row>
    <row r="9" spans="1:14" x14ac:dyDescent="0.25">
      <c r="A9" s="10" t="s">
        <v>1630</v>
      </c>
      <c r="B9" s="10">
        <v>2318</v>
      </c>
      <c r="C9" s="10" t="s">
        <v>314</v>
      </c>
      <c r="D9" s="10" t="s">
        <v>1631</v>
      </c>
      <c r="E9" s="10" t="s">
        <v>23</v>
      </c>
      <c r="F9" s="10" t="s">
        <v>18</v>
      </c>
      <c r="G9" s="6">
        <v>6</v>
      </c>
      <c r="H9" s="6">
        <v>6</v>
      </c>
      <c r="I9" s="6">
        <v>1</v>
      </c>
      <c r="J9" s="6">
        <v>5</v>
      </c>
      <c r="K9" s="13">
        <v>229.02600000000001</v>
      </c>
      <c r="L9" s="13">
        <v>38.170999999999999</v>
      </c>
      <c r="M9" s="8">
        <v>716.46851963999995</v>
      </c>
      <c r="N9" s="8">
        <v>119.41141994</v>
      </c>
    </row>
    <row r="10" spans="1:14" x14ac:dyDescent="0.25">
      <c r="A10" s="10" t="s">
        <v>1632</v>
      </c>
      <c r="B10" s="10">
        <v>2319</v>
      </c>
      <c r="C10" s="10" t="s">
        <v>317</v>
      </c>
      <c r="D10" s="10" t="s">
        <v>1633</v>
      </c>
      <c r="E10" s="10" t="s">
        <v>23</v>
      </c>
      <c r="F10" s="10" t="s">
        <v>18</v>
      </c>
      <c r="G10" s="6">
        <v>5</v>
      </c>
      <c r="H10" s="6">
        <v>5</v>
      </c>
      <c r="I10" s="6">
        <v>1</v>
      </c>
      <c r="J10" s="6">
        <v>4</v>
      </c>
      <c r="K10" s="13">
        <v>237.9</v>
      </c>
      <c r="L10" s="13">
        <v>47.58</v>
      </c>
      <c r="M10" s="8">
        <v>699.59885589999999</v>
      </c>
      <c r="N10" s="8">
        <v>139.91977118</v>
      </c>
    </row>
    <row r="11" spans="1:14" x14ac:dyDescent="0.25">
      <c r="A11" s="10" t="s">
        <v>1634</v>
      </c>
      <c r="B11" s="10">
        <v>2320</v>
      </c>
      <c r="C11" s="10" t="s">
        <v>320</v>
      </c>
      <c r="D11" s="10" t="s">
        <v>1635</v>
      </c>
      <c r="E11" s="10" t="s">
        <v>23</v>
      </c>
      <c r="F11" s="10" t="s">
        <v>18</v>
      </c>
      <c r="G11" s="6">
        <v>11</v>
      </c>
      <c r="H11" s="6">
        <v>11</v>
      </c>
      <c r="I11" s="6">
        <v>1</v>
      </c>
      <c r="J11" s="6">
        <v>10</v>
      </c>
      <c r="K11" s="13">
        <v>633.84199999999998</v>
      </c>
      <c r="L11" s="13">
        <v>57.622</v>
      </c>
      <c r="M11" s="8">
        <v>2025.3699313100001</v>
      </c>
      <c r="N11" s="8">
        <v>184.12453920999999</v>
      </c>
    </row>
    <row r="12" spans="1:14" x14ac:dyDescent="0.25">
      <c r="A12" s="10" t="s">
        <v>1636</v>
      </c>
      <c r="B12" s="10">
        <v>75841</v>
      </c>
      <c r="C12" s="10" t="s">
        <v>1637</v>
      </c>
      <c r="D12" s="10" t="s">
        <v>1638</v>
      </c>
      <c r="E12" s="10" t="s">
        <v>23</v>
      </c>
      <c r="F12" s="10" t="s">
        <v>18</v>
      </c>
      <c r="G12" s="6">
        <v>0</v>
      </c>
      <c r="H12" s="6">
        <v>0</v>
      </c>
      <c r="I12" s="6">
        <v>0</v>
      </c>
      <c r="J12" s="6">
        <v>0</v>
      </c>
      <c r="K12" s="13">
        <v>0</v>
      </c>
      <c r="L12" s="13">
        <v>0</v>
      </c>
      <c r="M12" s="8">
        <v>0</v>
      </c>
      <c r="N12" s="8">
        <v>0</v>
      </c>
    </row>
    <row r="13" spans="1:14" x14ac:dyDescent="0.25">
      <c r="A13" s="10" t="s">
        <v>1639</v>
      </c>
      <c r="B13" s="10">
        <v>75868</v>
      </c>
      <c r="C13" s="10" t="s">
        <v>1017</v>
      </c>
      <c r="D13" s="10" t="s">
        <v>1640</v>
      </c>
      <c r="E13" s="10" t="s">
        <v>23</v>
      </c>
      <c r="F13" s="10" t="s">
        <v>18</v>
      </c>
      <c r="G13" s="6">
        <v>0</v>
      </c>
      <c r="H13" s="6">
        <v>25</v>
      </c>
      <c r="I13" s="6">
        <v>0</v>
      </c>
      <c r="J13" s="6">
        <v>0</v>
      </c>
      <c r="K13" s="13">
        <v>0</v>
      </c>
      <c r="L13" s="13">
        <v>0</v>
      </c>
      <c r="M13" s="8">
        <v>0</v>
      </c>
      <c r="N13" s="8">
        <v>0</v>
      </c>
    </row>
    <row r="14" spans="1:14" x14ac:dyDescent="0.25">
      <c r="A14" s="10" t="s">
        <v>1641</v>
      </c>
      <c r="B14" s="10">
        <v>75871</v>
      </c>
      <c r="C14" s="10" t="s">
        <v>1024</v>
      </c>
      <c r="D14" s="10" t="s">
        <v>1642</v>
      </c>
      <c r="E14" s="10" t="s">
        <v>23</v>
      </c>
      <c r="F14" s="10" t="s">
        <v>18</v>
      </c>
      <c r="G14" s="6">
        <v>23</v>
      </c>
      <c r="H14" s="6">
        <v>26</v>
      </c>
      <c r="I14" s="6">
        <v>0</v>
      </c>
      <c r="J14" s="6">
        <v>23</v>
      </c>
      <c r="K14" s="13">
        <v>392.42599999999999</v>
      </c>
      <c r="L14" s="13">
        <v>0</v>
      </c>
      <c r="M14" s="8">
        <v>1198.1058346899999</v>
      </c>
      <c r="N14" s="8">
        <v>0</v>
      </c>
    </row>
    <row r="15" spans="1:14" x14ac:dyDescent="0.25">
      <c r="A15" s="10" t="s">
        <v>1643</v>
      </c>
      <c r="B15" s="10">
        <v>76348</v>
      </c>
      <c r="C15" s="10" t="s">
        <v>1029</v>
      </c>
      <c r="D15" s="10" t="s">
        <v>1644</v>
      </c>
      <c r="E15" s="10" t="s">
        <v>23</v>
      </c>
      <c r="F15" s="10" t="s">
        <v>18</v>
      </c>
      <c r="G15" s="6">
        <v>0</v>
      </c>
      <c r="H15" s="6">
        <v>0</v>
      </c>
      <c r="I15" s="6">
        <v>0</v>
      </c>
      <c r="J15" s="6">
        <v>0</v>
      </c>
      <c r="K15" s="13">
        <v>0</v>
      </c>
      <c r="L15" s="13">
        <v>0</v>
      </c>
      <c r="M15" s="8">
        <v>0</v>
      </c>
      <c r="N15" s="8">
        <v>0</v>
      </c>
    </row>
    <row r="16" spans="1:14" x14ac:dyDescent="0.25">
      <c r="A16" s="10" t="s">
        <v>1645</v>
      </c>
      <c r="B16" s="10">
        <v>84635</v>
      </c>
      <c r="C16" s="10" t="s">
        <v>1646</v>
      </c>
      <c r="D16" s="10" t="s">
        <v>1647</v>
      </c>
      <c r="E16" s="10" t="s">
        <v>23</v>
      </c>
      <c r="F16" s="10" t="s">
        <v>18</v>
      </c>
      <c r="G16" s="6">
        <v>0</v>
      </c>
      <c r="H16" s="6">
        <v>20</v>
      </c>
      <c r="I16" s="6">
        <v>0</v>
      </c>
      <c r="J16" s="6">
        <v>0</v>
      </c>
      <c r="K16" s="13">
        <v>0</v>
      </c>
      <c r="L16" s="13">
        <v>0</v>
      </c>
      <c r="M16" s="8">
        <v>0</v>
      </c>
      <c r="N16" s="8">
        <v>0</v>
      </c>
    </row>
    <row r="17" spans="1:14" x14ac:dyDescent="0.25">
      <c r="A17" s="10" t="s">
        <v>1648</v>
      </c>
      <c r="B17" s="10">
        <v>84688</v>
      </c>
      <c r="C17" s="10" t="s">
        <v>1649</v>
      </c>
      <c r="D17" s="10" t="s">
        <v>1650</v>
      </c>
      <c r="E17" s="10" t="s">
        <v>23</v>
      </c>
      <c r="F17" s="10" t="s">
        <v>18</v>
      </c>
      <c r="G17" s="6">
        <v>0</v>
      </c>
      <c r="H17" s="6">
        <v>20</v>
      </c>
      <c r="I17" s="6">
        <v>0</v>
      </c>
      <c r="J17" s="6">
        <v>0</v>
      </c>
      <c r="K17" s="13">
        <v>0</v>
      </c>
      <c r="L17" s="13">
        <v>0</v>
      </c>
      <c r="M17" s="8">
        <v>0</v>
      </c>
      <c r="N17" s="8">
        <v>0</v>
      </c>
    </row>
    <row r="18" spans="1:14" x14ac:dyDescent="0.25">
      <c r="A18" s="10" t="s">
        <v>1651</v>
      </c>
      <c r="B18" s="10">
        <v>84701</v>
      </c>
      <c r="C18" s="10" t="s">
        <v>1652</v>
      </c>
      <c r="D18" s="10" t="s">
        <v>1653</v>
      </c>
      <c r="E18" s="10" t="s">
        <v>23</v>
      </c>
      <c r="F18" s="10" t="s">
        <v>18</v>
      </c>
      <c r="G18" s="6">
        <v>0</v>
      </c>
      <c r="H18" s="6">
        <v>20</v>
      </c>
      <c r="I18" s="6">
        <v>0</v>
      </c>
      <c r="J18" s="6">
        <v>0</v>
      </c>
      <c r="K18" s="13">
        <v>0</v>
      </c>
      <c r="L18" s="13">
        <v>0</v>
      </c>
      <c r="M18" s="8">
        <v>0</v>
      </c>
      <c r="N18" s="8">
        <v>0</v>
      </c>
    </row>
    <row r="19" spans="1:14" x14ac:dyDescent="0.25">
      <c r="A19" s="10" t="s">
        <v>1654</v>
      </c>
      <c r="B19" s="10">
        <v>84712</v>
      </c>
      <c r="C19" s="10" t="s">
        <v>1655</v>
      </c>
      <c r="D19" s="10" t="s">
        <v>1656</v>
      </c>
      <c r="E19" s="10" t="s">
        <v>23</v>
      </c>
      <c r="F19" s="10" t="s">
        <v>18</v>
      </c>
      <c r="G19" s="6">
        <v>0</v>
      </c>
      <c r="H19" s="6">
        <v>20</v>
      </c>
      <c r="I19" s="6">
        <v>0</v>
      </c>
      <c r="J19" s="6">
        <v>0</v>
      </c>
      <c r="K19" s="13">
        <v>0</v>
      </c>
      <c r="L19" s="13">
        <v>0</v>
      </c>
      <c r="M19" s="8">
        <v>0</v>
      </c>
      <c r="N19" s="8">
        <v>0</v>
      </c>
    </row>
    <row r="20" spans="1:14" x14ac:dyDescent="0.25">
      <c r="A20" s="10" t="s">
        <v>1657</v>
      </c>
      <c r="B20" s="10">
        <v>84715</v>
      </c>
      <c r="C20" s="10" t="s">
        <v>1658</v>
      </c>
      <c r="D20" s="10" t="s">
        <v>1659</v>
      </c>
      <c r="E20" s="10" t="s">
        <v>23</v>
      </c>
      <c r="F20" s="10" t="s">
        <v>18</v>
      </c>
      <c r="G20" s="6">
        <v>0</v>
      </c>
      <c r="H20" s="6">
        <v>0</v>
      </c>
      <c r="I20" s="6">
        <v>0</v>
      </c>
      <c r="J20" s="6">
        <v>0</v>
      </c>
      <c r="K20" s="13">
        <v>0</v>
      </c>
      <c r="L20" s="13">
        <v>0</v>
      </c>
      <c r="M20" s="8">
        <v>0</v>
      </c>
      <c r="N20" s="8">
        <v>0</v>
      </c>
    </row>
    <row r="21" spans="1:14" x14ac:dyDescent="0.25">
      <c r="A21" s="10" t="s">
        <v>1660</v>
      </c>
      <c r="B21" s="10">
        <v>84800</v>
      </c>
      <c r="C21" s="10" t="s">
        <v>1145</v>
      </c>
      <c r="D21" s="10" t="s">
        <v>1661</v>
      </c>
      <c r="E21" s="10" t="s">
        <v>23</v>
      </c>
      <c r="F21" s="10" t="s">
        <v>18</v>
      </c>
      <c r="G21" s="6">
        <v>21</v>
      </c>
      <c r="H21" s="6">
        <v>21</v>
      </c>
      <c r="I21" s="6">
        <v>0</v>
      </c>
      <c r="J21" s="6">
        <v>21</v>
      </c>
      <c r="K21" s="13">
        <v>1228.5</v>
      </c>
      <c r="L21" s="13">
        <v>0</v>
      </c>
      <c r="M21" s="8">
        <v>3976.1621783099999</v>
      </c>
      <c r="N21" s="8">
        <v>0</v>
      </c>
    </row>
    <row r="22" spans="1:14" x14ac:dyDescent="0.25">
      <c r="A22" s="10" t="s">
        <v>1662</v>
      </c>
      <c r="B22" s="10">
        <v>84809</v>
      </c>
      <c r="C22" s="10" t="s">
        <v>1150</v>
      </c>
      <c r="D22" s="10" t="s">
        <v>1663</v>
      </c>
      <c r="E22" s="10" t="s">
        <v>23</v>
      </c>
      <c r="F22" s="10" t="s">
        <v>18</v>
      </c>
      <c r="G22" s="6">
        <v>0</v>
      </c>
      <c r="H22" s="6">
        <v>0</v>
      </c>
      <c r="I22" s="6">
        <v>0</v>
      </c>
      <c r="J22" s="6">
        <v>0</v>
      </c>
      <c r="K22" s="13">
        <v>0</v>
      </c>
      <c r="L22" s="13">
        <v>0</v>
      </c>
      <c r="M22" s="8">
        <v>0</v>
      </c>
      <c r="N22" s="8">
        <v>0</v>
      </c>
    </row>
    <row r="23" spans="1:14" x14ac:dyDescent="0.25">
      <c r="A23" s="10" t="s">
        <v>1664</v>
      </c>
      <c r="B23" s="10">
        <v>84836</v>
      </c>
      <c r="C23" s="10" t="s">
        <v>1158</v>
      </c>
      <c r="D23" s="10" t="s">
        <v>1665</v>
      </c>
      <c r="E23" s="10" t="s">
        <v>23</v>
      </c>
      <c r="F23" s="10" t="s">
        <v>18</v>
      </c>
      <c r="G23" s="6">
        <v>547</v>
      </c>
      <c r="H23" s="6">
        <v>578</v>
      </c>
      <c r="I23" s="6">
        <v>461</v>
      </c>
      <c r="J23" s="6">
        <v>86</v>
      </c>
      <c r="K23" s="13">
        <v>28266.224999999999</v>
      </c>
      <c r="L23" s="13">
        <v>23822.174999999999</v>
      </c>
      <c r="M23" s="8">
        <v>95262.796027520002</v>
      </c>
      <c r="N23" s="8">
        <v>80285.46429376</v>
      </c>
    </row>
    <row r="24" spans="1:14" x14ac:dyDescent="0.25">
      <c r="A24" s="10" t="s">
        <v>1666</v>
      </c>
      <c r="B24" s="10">
        <v>84860</v>
      </c>
      <c r="C24" s="10" t="s">
        <v>1667</v>
      </c>
      <c r="D24" s="10" t="s">
        <v>1668</v>
      </c>
      <c r="E24" s="10" t="s">
        <v>23</v>
      </c>
      <c r="F24" s="10" t="s">
        <v>18</v>
      </c>
      <c r="G24" s="6">
        <v>81</v>
      </c>
      <c r="H24" s="6">
        <v>74</v>
      </c>
      <c r="I24" s="6">
        <v>31</v>
      </c>
      <c r="J24" s="6">
        <v>50</v>
      </c>
      <c r="K24" s="13">
        <v>4738.5</v>
      </c>
      <c r="L24" s="13">
        <v>1813.5</v>
      </c>
      <c r="M24" s="8">
        <v>24758.569628640002</v>
      </c>
      <c r="N24" s="8">
        <v>9475.5019566400006</v>
      </c>
    </row>
    <row r="25" spans="1:14" x14ac:dyDescent="0.25">
      <c r="A25" s="10" t="s">
        <v>1669</v>
      </c>
      <c r="B25" s="10">
        <v>84866</v>
      </c>
      <c r="C25" s="10" t="s">
        <v>1670</v>
      </c>
      <c r="D25" s="10" t="s">
        <v>1671</v>
      </c>
      <c r="E25" s="10" t="s">
        <v>23</v>
      </c>
      <c r="F25" s="10" t="s">
        <v>18</v>
      </c>
      <c r="G25" s="6">
        <v>98</v>
      </c>
      <c r="H25" s="6">
        <v>98</v>
      </c>
      <c r="I25" s="6">
        <v>31</v>
      </c>
      <c r="J25" s="6">
        <v>67</v>
      </c>
      <c r="K25" s="13">
        <v>4777.5</v>
      </c>
      <c r="L25" s="13">
        <v>1511.25</v>
      </c>
      <c r="M25" s="8">
        <v>8556.4427964400002</v>
      </c>
      <c r="N25" s="8">
        <v>2706.6298641799999</v>
      </c>
    </row>
    <row r="26" spans="1:14" x14ac:dyDescent="0.25">
      <c r="A26" s="10" t="s">
        <v>1672</v>
      </c>
      <c r="B26" s="10">
        <v>86204</v>
      </c>
      <c r="C26" s="10" t="s">
        <v>1379</v>
      </c>
      <c r="D26" s="10" t="s">
        <v>1673</v>
      </c>
      <c r="E26" s="10" t="s">
        <v>23</v>
      </c>
      <c r="F26" s="10" t="s">
        <v>18</v>
      </c>
      <c r="G26" s="6">
        <v>25</v>
      </c>
      <c r="H26" s="6">
        <v>25</v>
      </c>
      <c r="I26" s="6">
        <v>0</v>
      </c>
      <c r="J26" s="6">
        <v>25</v>
      </c>
      <c r="K26" s="13">
        <v>766.57500000000005</v>
      </c>
      <c r="L26" s="13">
        <v>0</v>
      </c>
      <c r="M26" s="8">
        <v>3675.1307145000001</v>
      </c>
      <c r="N26" s="8">
        <v>0</v>
      </c>
    </row>
    <row r="27" spans="1:14" x14ac:dyDescent="0.25">
      <c r="A27" s="10" t="s">
        <v>1674</v>
      </c>
      <c r="B27" s="10">
        <v>86265</v>
      </c>
      <c r="C27" s="10" t="s">
        <v>1382</v>
      </c>
      <c r="D27" s="10" t="s">
        <v>1675</v>
      </c>
      <c r="E27" s="10" t="s">
        <v>23</v>
      </c>
      <c r="F27" s="10" t="s">
        <v>18</v>
      </c>
      <c r="G27" s="6">
        <v>24</v>
      </c>
      <c r="H27" s="6">
        <v>23</v>
      </c>
      <c r="I27" s="6">
        <v>0</v>
      </c>
      <c r="J27" s="6">
        <v>24</v>
      </c>
      <c r="K27" s="13">
        <v>1145.424</v>
      </c>
      <c r="L27" s="13">
        <v>0</v>
      </c>
      <c r="M27" s="8">
        <v>3815.6828786400001</v>
      </c>
      <c r="N27" s="8">
        <v>0</v>
      </c>
    </row>
    <row r="28" spans="1:14" x14ac:dyDescent="0.25">
      <c r="A28" s="10" t="s">
        <v>1676</v>
      </c>
      <c r="B28" s="10">
        <v>86318</v>
      </c>
      <c r="C28" s="10" t="s">
        <v>1385</v>
      </c>
      <c r="D28" s="10" t="s">
        <v>1677</v>
      </c>
      <c r="E28" s="10" t="s">
        <v>23</v>
      </c>
      <c r="F28" s="10" t="s">
        <v>18</v>
      </c>
      <c r="G28" s="6">
        <v>4</v>
      </c>
      <c r="H28" s="6">
        <v>5</v>
      </c>
      <c r="I28" s="6">
        <v>0</v>
      </c>
      <c r="J28" s="6">
        <v>4</v>
      </c>
      <c r="K28" s="13">
        <v>115.63200000000001</v>
      </c>
      <c r="L28" s="13">
        <v>0</v>
      </c>
      <c r="M28" s="8">
        <v>519.84998756000005</v>
      </c>
      <c r="N28" s="8">
        <v>0</v>
      </c>
    </row>
    <row r="29" spans="1:14" x14ac:dyDescent="0.25">
      <c r="A29" s="10" t="s">
        <v>1678</v>
      </c>
      <c r="B29" s="10">
        <v>86324</v>
      </c>
      <c r="C29" s="10" t="s">
        <v>1388</v>
      </c>
      <c r="D29" s="10" t="s">
        <v>1679</v>
      </c>
      <c r="E29" s="10" t="s">
        <v>23</v>
      </c>
      <c r="F29" s="10" t="s">
        <v>18</v>
      </c>
      <c r="G29" s="6">
        <v>0</v>
      </c>
      <c r="H29" s="6">
        <v>0</v>
      </c>
      <c r="I29" s="6">
        <v>0</v>
      </c>
      <c r="J29" s="6">
        <v>0</v>
      </c>
      <c r="K29" s="13">
        <v>0</v>
      </c>
      <c r="L29" s="13">
        <v>0</v>
      </c>
      <c r="M29" s="8">
        <v>0</v>
      </c>
      <c r="N29" s="8">
        <v>0</v>
      </c>
    </row>
    <row r="30" spans="1:14" x14ac:dyDescent="0.25">
      <c r="A30" s="10" t="s">
        <v>1680</v>
      </c>
      <c r="B30" s="10">
        <v>86332</v>
      </c>
      <c r="C30" s="10" t="s">
        <v>1393</v>
      </c>
      <c r="D30" s="10" t="s">
        <v>1681</v>
      </c>
      <c r="E30" s="10" t="s">
        <v>23</v>
      </c>
      <c r="F30" s="10" t="s">
        <v>18</v>
      </c>
      <c r="G30" s="6">
        <v>0</v>
      </c>
      <c r="H30" s="6">
        <v>2</v>
      </c>
      <c r="I30" s="6">
        <v>0</v>
      </c>
      <c r="J30" s="6">
        <v>0</v>
      </c>
      <c r="K30" s="13">
        <v>0</v>
      </c>
      <c r="L30" s="13">
        <v>0</v>
      </c>
      <c r="M30" s="8">
        <v>0</v>
      </c>
      <c r="N30" s="8">
        <v>0</v>
      </c>
    </row>
    <row r="31" spans="1:14" x14ac:dyDescent="0.25">
      <c r="A31" s="10" t="s">
        <v>1682</v>
      </c>
      <c r="B31" s="10">
        <v>86373</v>
      </c>
      <c r="C31" s="10" t="s">
        <v>1396</v>
      </c>
      <c r="D31" s="10" t="s">
        <v>1683</v>
      </c>
      <c r="E31" s="10" t="s">
        <v>23</v>
      </c>
      <c r="F31" s="10" t="s">
        <v>18</v>
      </c>
      <c r="G31" s="6">
        <v>13</v>
      </c>
      <c r="H31" s="6">
        <v>1</v>
      </c>
      <c r="I31" s="6">
        <v>0</v>
      </c>
      <c r="J31" s="6">
        <v>13</v>
      </c>
      <c r="K31" s="13">
        <v>825.13599999999997</v>
      </c>
      <c r="L31" s="13">
        <v>0</v>
      </c>
      <c r="M31" s="8">
        <v>2803.49934644</v>
      </c>
      <c r="N31" s="8">
        <v>0</v>
      </c>
    </row>
    <row r="32" spans="1:14" x14ac:dyDescent="0.25">
      <c r="A32" s="10" t="s">
        <v>1684</v>
      </c>
      <c r="B32" s="10">
        <v>2406</v>
      </c>
      <c r="C32" s="10" t="s">
        <v>377</v>
      </c>
      <c r="D32" s="10" t="s">
        <v>1685</v>
      </c>
      <c r="E32" s="10" t="s">
        <v>23</v>
      </c>
      <c r="F32" s="10" t="s">
        <v>17</v>
      </c>
      <c r="G32" s="6">
        <v>68</v>
      </c>
      <c r="H32" s="6">
        <v>64</v>
      </c>
      <c r="I32" s="6">
        <v>63</v>
      </c>
      <c r="J32" s="6">
        <v>5</v>
      </c>
      <c r="K32" s="13">
        <v>4375.8</v>
      </c>
      <c r="L32" s="13">
        <v>4054.05</v>
      </c>
      <c r="M32" s="8">
        <v>22382.55588684</v>
      </c>
      <c r="N32" s="8">
        <v>20736.779718689999</v>
      </c>
    </row>
    <row r="33" spans="1:14" x14ac:dyDescent="0.25">
      <c r="A33" s="10" t="s">
        <v>1686</v>
      </c>
      <c r="B33" s="10">
        <v>2407</v>
      </c>
      <c r="C33" s="10" t="s">
        <v>380</v>
      </c>
      <c r="D33" s="10" t="s">
        <v>1687</v>
      </c>
      <c r="E33" s="10" t="s">
        <v>23</v>
      </c>
      <c r="F33" s="10" t="s">
        <v>17</v>
      </c>
      <c r="G33" s="6">
        <v>74</v>
      </c>
      <c r="H33" s="6">
        <v>76</v>
      </c>
      <c r="I33" s="6">
        <v>63</v>
      </c>
      <c r="J33" s="6">
        <v>11</v>
      </c>
      <c r="K33" s="13">
        <v>4083.69</v>
      </c>
      <c r="L33" s="13">
        <v>3476.6550000000002</v>
      </c>
      <c r="M33" s="8">
        <v>13693.19209878</v>
      </c>
      <c r="N33" s="8">
        <v>11657.717597610001</v>
      </c>
    </row>
    <row r="34" spans="1:14" x14ac:dyDescent="0.25">
      <c r="A34" s="10" t="s">
        <v>1688</v>
      </c>
      <c r="B34" s="10">
        <v>2408</v>
      </c>
      <c r="C34" s="10" t="s">
        <v>383</v>
      </c>
      <c r="D34" s="10" t="s">
        <v>1689</v>
      </c>
      <c r="E34" s="10" t="s">
        <v>23</v>
      </c>
      <c r="F34" s="10" t="s">
        <v>17</v>
      </c>
      <c r="G34" s="6">
        <v>63</v>
      </c>
      <c r="H34" s="6">
        <v>66</v>
      </c>
      <c r="I34" s="6">
        <v>63</v>
      </c>
      <c r="J34" s="6">
        <v>0</v>
      </c>
      <c r="K34" s="13">
        <v>3562.65</v>
      </c>
      <c r="L34" s="13">
        <v>3562.65</v>
      </c>
      <c r="M34" s="8">
        <v>14314.44820932</v>
      </c>
      <c r="N34" s="8">
        <v>14314.44820932</v>
      </c>
    </row>
    <row r="35" spans="1:14" x14ac:dyDescent="0.25">
      <c r="A35" s="10" t="s">
        <v>1690</v>
      </c>
      <c r="B35" s="10">
        <v>72777</v>
      </c>
      <c r="C35" s="10" t="s">
        <v>480</v>
      </c>
      <c r="D35" s="10" t="s">
        <v>1691</v>
      </c>
      <c r="E35" s="10" t="s">
        <v>23</v>
      </c>
      <c r="F35" s="10" t="s">
        <v>17</v>
      </c>
      <c r="G35" s="6">
        <v>44</v>
      </c>
      <c r="H35" s="6">
        <v>43</v>
      </c>
      <c r="I35" s="6">
        <v>30</v>
      </c>
      <c r="J35" s="6">
        <v>14</v>
      </c>
      <c r="K35" s="13">
        <v>1716</v>
      </c>
      <c r="L35" s="13">
        <v>1170</v>
      </c>
      <c r="M35" s="8">
        <v>3969.88919536</v>
      </c>
      <c r="N35" s="8">
        <v>2706.7426332</v>
      </c>
    </row>
    <row r="36" spans="1:14" x14ac:dyDescent="0.25">
      <c r="A36" s="10" t="s">
        <v>1692</v>
      </c>
      <c r="B36" s="10">
        <v>72777</v>
      </c>
      <c r="C36" s="10" t="s">
        <v>480</v>
      </c>
      <c r="D36" s="10" t="s">
        <v>1693</v>
      </c>
      <c r="E36" s="10" t="s">
        <v>23</v>
      </c>
      <c r="F36" s="10" t="s">
        <v>17</v>
      </c>
      <c r="G36" s="6">
        <v>65</v>
      </c>
      <c r="H36" s="6">
        <v>65</v>
      </c>
      <c r="I36" s="6">
        <v>1</v>
      </c>
      <c r="J36" s="6">
        <v>64</v>
      </c>
      <c r="K36" s="13">
        <v>2535</v>
      </c>
      <c r="L36" s="13">
        <v>39</v>
      </c>
      <c r="M36" s="8">
        <v>5198.2520193500004</v>
      </c>
      <c r="N36" s="8">
        <v>79.973107990000003</v>
      </c>
    </row>
    <row r="37" spans="1:14" x14ac:dyDescent="0.25">
      <c r="A37" s="10" t="s">
        <v>1694</v>
      </c>
      <c r="B37" s="10">
        <v>72829</v>
      </c>
      <c r="C37" s="10" t="s">
        <v>488</v>
      </c>
      <c r="D37" s="10" t="s">
        <v>1695</v>
      </c>
      <c r="E37" s="10" t="s">
        <v>21</v>
      </c>
      <c r="F37" s="10" t="s">
        <v>17</v>
      </c>
      <c r="G37" s="6">
        <v>0</v>
      </c>
      <c r="H37" s="6">
        <v>23</v>
      </c>
      <c r="I37" s="6">
        <v>0</v>
      </c>
      <c r="J37" s="6">
        <v>0</v>
      </c>
      <c r="K37" s="13">
        <v>0</v>
      </c>
      <c r="L37" s="13">
        <v>0</v>
      </c>
      <c r="M37" s="8">
        <v>0</v>
      </c>
      <c r="N37" s="8">
        <v>0</v>
      </c>
    </row>
    <row r="38" spans="1:14" x14ac:dyDescent="0.25">
      <c r="A38" s="10" t="s">
        <v>1696</v>
      </c>
      <c r="B38" s="10">
        <v>72879</v>
      </c>
      <c r="C38" s="10" t="s">
        <v>501</v>
      </c>
      <c r="D38" s="10" t="s">
        <v>1697</v>
      </c>
      <c r="E38" s="10" t="s">
        <v>21</v>
      </c>
      <c r="F38" s="10" t="s">
        <v>17</v>
      </c>
      <c r="G38" s="6">
        <v>0</v>
      </c>
      <c r="H38" s="6">
        <v>23</v>
      </c>
      <c r="I38" s="6">
        <v>0</v>
      </c>
      <c r="J38" s="6">
        <v>0</v>
      </c>
      <c r="K38" s="13">
        <v>0</v>
      </c>
      <c r="L38" s="13">
        <v>0</v>
      </c>
      <c r="M38" s="8">
        <v>0</v>
      </c>
      <c r="N38" s="8">
        <v>0</v>
      </c>
    </row>
    <row r="39" spans="1:14" x14ac:dyDescent="0.25">
      <c r="A39" s="10" t="s">
        <v>1698</v>
      </c>
      <c r="B39" s="10">
        <v>73166</v>
      </c>
      <c r="C39" s="10" t="s">
        <v>589</v>
      </c>
      <c r="D39" s="10" t="s">
        <v>1699</v>
      </c>
      <c r="E39" s="10" t="s">
        <v>21</v>
      </c>
      <c r="F39" s="10" t="s">
        <v>17</v>
      </c>
      <c r="G39" s="6">
        <v>21</v>
      </c>
      <c r="H39" s="6">
        <v>21</v>
      </c>
      <c r="I39" s="6">
        <v>11</v>
      </c>
      <c r="J39" s="6">
        <v>10</v>
      </c>
      <c r="K39" s="13">
        <v>409.5</v>
      </c>
      <c r="L39" s="13">
        <v>214.5</v>
      </c>
      <c r="M39" s="8">
        <v>1876.1394483300001</v>
      </c>
      <c r="N39" s="8">
        <v>982.73971102999997</v>
      </c>
    </row>
    <row r="40" spans="1:14" x14ac:dyDescent="0.25">
      <c r="A40" s="10" t="s">
        <v>1700</v>
      </c>
      <c r="B40" s="10">
        <v>73233</v>
      </c>
      <c r="C40" s="10" t="s">
        <v>1701</v>
      </c>
      <c r="D40" s="10" t="s">
        <v>1702</v>
      </c>
      <c r="E40" s="10" t="s">
        <v>22</v>
      </c>
      <c r="F40" s="10" t="s">
        <v>17</v>
      </c>
      <c r="G40" s="6">
        <v>0</v>
      </c>
      <c r="H40" s="6">
        <v>0</v>
      </c>
      <c r="I40" s="6">
        <v>0</v>
      </c>
      <c r="J40" s="6">
        <v>0</v>
      </c>
      <c r="K40" s="13">
        <v>0</v>
      </c>
      <c r="L40" s="13">
        <v>0</v>
      </c>
      <c r="M40" s="8">
        <v>0</v>
      </c>
      <c r="N40" s="8">
        <v>0</v>
      </c>
    </row>
    <row r="41" spans="1:14" x14ac:dyDescent="0.25">
      <c r="A41" s="10" t="s">
        <v>1703</v>
      </c>
      <c r="B41" s="10">
        <v>73233</v>
      </c>
      <c r="C41" s="10" t="s">
        <v>1701</v>
      </c>
      <c r="D41" s="10" t="s">
        <v>1704</v>
      </c>
      <c r="E41" s="10" t="s">
        <v>22</v>
      </c>
      <c r="F41" s="10" t="s">
        <v>17</v>
      </c>
      <c r="G41" s="6">
        <v>1</v>
      </c>
      <c r="H41" s="6">
        <v>0</v>
      </c>
      <c r="I41" s="6">
        <v>1</v>
      </c>
      <c r="J41" s="6">
        <v>0</v>
      </c>
      <c r="K41" s="13">
        <v>15.327</v>
      </c>
      <c r="L41" s="13">
        <v>15.327</v>
      </c>
      <c r="M41" s="8">
        <v>63.331879350000001</v>
      </c>
      <c r="N41" s="8">
        <v>63.331879350000001</v>
      </c>
    </row>
    <row r="42" spans="1:14" x14ac:dyDescent="0.25">
      <c r="A42" s="10" t="s">
        <v>1705</v>
      </c>
      <c r="B42" s="10">
        <v>73255</v>
      </c>
      <c r="C42" s="10" t="s">
        <v>1706</v>
      </c>
      <c r="D42" s="10" t="s">
        <v>1707</v>
      </c>
      <c r="E42" s="10" t="s">
        <v>22</v>
      </c>
      <c r="F42" s="10" t="s">
        <v>17</v>
      </c>
      <c r="G42" s="6">
        <v>0</v>
      </c>
      <c r="H42" s="6">
        <v>0</v>
      </c>
      <c r="I42" s="6">
        <v>0</v>
      </c>
      <c r="J42" s="6">
        <v>0</v>
      </c>
      <c r="K42" s="13">
        <v>0</v>
      </c>
      <c r="L42" s="13">
        <v>0</v>
      </c>
      <c r="M42" s="8">
        <v>0</v>
      </c>
      <c r="N42" s="8">
        <v>0</v>
      </c>
    </row>
    <row r="43" spans="1:14" x14ac:dyDescent="0.25">
      <c r="A43" s="10" t="s">
        <v>1708</v>
      </c>
      <c r="B43" s="10">
        <v>73276</v>
      </c>
      <c r="C43" s="10" t="s">
        <v>629</v>
      </c>
      <c r="D43" s="10" t="s">
        <v>1709</v>
      </c>
      <c r="E43" s="10" t="s">
        <v>21</v>
      </c>
      <c r="F43" s="10" t="s">
        <v>17</v>
      </c>
      <c r="G43" s="6">
        <v>76</v>
      </c>
      <c r="H43" s="6">
        <v>62</v>
      </c>
      <c r="I43" s="6">
        <v>43</v>
      </c>
      <c r="J43" s="6">
        <v>33</v>
      </c>
      <c r="K43" s="13">
        <v>2262.2919999999999</v>
      </c>
      <c r="L43" s="13">
        <v>1279.981</v>
      </c>
      <c r="M43" s="8">
        <v>7562.9438865599996</v>
      </c>
      <c r="N43" s="8">
        <v>4279.03404108</v>
      </c>
    </row>
    <row r="44" spans="1:14" x14ac:dyDescent="0.25">
      <c r="A44" s="10" t="s">
        <v>1710</v>
      </c>
      <c r="B44" s="10">
        <v>73277</v>
      </c>
      <c r="C44" s="10" t="s">
        <v>634</v>
      </c>
      <c r="D44" s="10" t="s">
        <v>1711</v>
      </c>
      <c r="E44" s="10" t="s">
        <v>21</v>
      </c>
      <c r="F44" s="10" t="s">
        <v>17</v>
      </c>
      <c r="G44" s="6">
        <v>59</v>
      </c>
      <c r="H44" s="6">
        <v>50</v>
      </c>
      <c r="I44" s="6">
        <v>28</v>
      </c>
      <c r="J44" s="6">
        <v>31</v>
      </c>
      <c r="K44" s="13">
        <v>2460.9490000000001</v>
      </c>
      <c r="L44" s="13">
        <v>1167.9079999999999</v>
      </c>
      <c r="M44" s="8">
        <v>10552.73493839</v>
      </c>
      <c r="N44" s="8">
        <v>5008.0775978800002</v>
      </c>
    </row>
    <row r="45" spans="1:14" x14ac:dyDescent="0.25">
      <c r="A45" s="10" t="s">
        <v>1712</v>
      </c>
      <c r="B45" s="10">
        <v>73277</v>
      </c>
      <c r="C45" s="10" t="s">
        <v>634</v>
      </c>
      <c r="D45" s="10" t="s">
        <v>1713</v>
      </c>
      <c r="E45" s="10" t="s">
        <v>21</v>
      </c>
      <c r="F45" s="10" t="s">
        <v>17</v>
      </c>
      <c r="G45" s="6">
        <v>15</v>
      </c>
      <c r="H45" s="6">
        <v>16</v>
      </c>
      <c r="I45" s="6">
        <v>15</v>
      </c>
      <c r="J45" s="6">
        <v>0</v>
      </c>
      <c r="K45" s="13">
        <v>625.66499999999996</v>
      </c>
      <c r="L45" s="13">
        <v>625.66499999999996</v>
      </c>
      <c r="M45" s="8">
        <v>2607.4351062000001</v>
      </c>
      <c r="N45" s="8">
        <v>2607.4351062000001</v>
      </c>
    </row>
    <row r="46" spans="1:14" x14ac:dyDescent="0.25">
      <c r="A46" s="10" t="s">
        <v>1714</v>
      </c>
      <c r="B46" s="10">
        <v>73285</v>
      </c>
      <c r="C46" s="10" t="s">
        <v>669</v>
      </c>
      <c r="D46" s="10" t="s">
        <v>1715</v>
      </c>
      <c r="E46" s="10" t="s">
        <v>21</v>
      </c>
      <c r="F46" s="10" t="s">
        <v>17</v>
      </c>
      <c r="G46" s="6">
        <v>24</v>
      </c>
      <c r="H46" s="6">
        <v>23</v>
      </c>
      <c r="I46" s="6">
        <v>24</v>
      </c>
      <c r="J46" s="6">
        <v>0</v>
      </c>
      <c r="K46" s="13">
        <v>1037.7840000000001</v>
      </c>
      <c r="L46" s="13">
        <v>1037.7840000000001</v>
      </c>
      <c r="M46" s="8">
        <v>4319.8905650400002</v>
      </c>
      <c r="N46" s="8">
        <v>4319.8905650400002</v>
      </c>
    </row>
    <row r="47" spans="1:14" x14ac:dyDescent="0.25">
      <c r="A47" s="10" t="s">
        <v>1716</v>
      </c>
      <c r="B47" s="10">
        <v>73285</v>
      </c>
      <c r="C47" s="10" t="s">
        <v>669</v>
      </c>
      <c r="D47" s="10" t="s">
        <v>1717</v>
      </c>
      <c r="E47" s="10" t="s">
        <v>21</v>
      </c>
      <c r="F47" s="10" t="s">
        <v>17</v>
      </c>
      <c r="G47" s="6">
        <v>72</v>
      </c>
      <c r="H47" s="6">
        <v>74</v>
      </c>
      <c r="I47" s="6">
        <v>45</v>
      </c>
      <c r="J47" s="6">
        <v>27</v>
      </c>
      <c r="K47" s="13">
        <v>3113.3519999999999</v>
      </c>
      <c r="L47" s="13">
        <v>1945.845</v>
      </c>
      <c r="M47" s="8">
        <v>12765.374387280001</v>
      </c>
      <c r="N47" s="8">
        <v>7978.3589920499999</v>
      </c>
    </row>
    <row r="48" spans="1:14" x14ac:dyDescent="0.25">
      <c r="A48" s="10" t="s">
        <v>1718</v>
      </c>
      <c r="B48" s="10">
        <v>73286</v>
      </c>
      <c r="C48" s="10" t="s">
        <v>676</v>
      </c>
      <c r="D48" s="10" t="s">
        <v>1719</v>
      </c>
      <c r="E48" s="10" t="s">
        <v>21</v>
      </c>
      <c r="F48" s="10" t="s">
        <v>17</v>
      </c>
      <c r="G48" s="6">
        <v>24</v>
      </c>
      <c r="H48" s="6">
        <v>43</v>
      </c>
      <c r="I48" s="6">
        <v>24</v>
      </c>
      <c r="J48" s="6">
        <v>0</v>
      </c>
      <c r="K48" s="13">
        <v>985.12800000000004</v>
      </c>
      <c r="L48" s="13">
        <v>985.12800000000004</v>
      </c>
      <c r="M48" s="8">
        <v>3543.8369966400001</v>
      </c>
      <c r="N48" s="8">
        <v>3543.8369966400001</v>
      </c>
    </row>
    <row r="49" spans="1:14" x14ac:dyDescent="0.25">
      <c r="A49" s="10" t="s">
        <v>1720</v>
      </c>
      <c r="B49" s="10">
        <v>73286</v>
      </c>
      <c r="C49" s="10" t="s">
        <v>676</v>
      </c>
      <c r="D49" s="10" t="s">
        <v>1721</v>
      </c>
      <c r="E49" s="10" t="s">
        <v>21</v>
      </c>
      <c r="F49" s="10" t="s">
        <v>17</v>
      </c>
      <c r="G49" s="6">
        <v>72</v>
      </c>
      <c r="H49" s="6">
        <v>74</v>
      </c>
      <c r="I49" s="6">
        <v>45</v>
      </c>
      <c r="J49" s="6">
        <v>27</v>
      </c>
      <c r="K49" s="13">
        <v>2955.384</v>
      </c>
      <c r="L49" s="13">
        <v>1847.115</v>
      </c>
      <c r="M49" s="8">
        <v>10619.016148799999</v>
      </c>
      <c r="N49" s="8">
        <v>6636.8850929999999</v>
      </c>
    </row>
    <row r="50" spans="1:14" x14ac:dyDescent="0.25">
      <c r="A50" s="10" t="s">
        <v>1722</v>
      </c>
      <c r="B50" s="10">
        <v>73350</v>
      </c>
      <c r="C50" s="10" t="s">
        <v>1723</v>
      </c>
      <c r="D50" s="10" t="s">
        <v>1724</v>
      </c>
      <c r="E50" s="10" t="s">
        <v>22</v>
      </c>
      <c r="F50" s="10" t="s">
        <v>17</v>
      </c>
      <c r="G50" s="6">
        <v>92</v>
      </c>
      <c r="H50" s="6">
        <v>171</v>
      </c>
      <c r="I50" s="6">
        <v>80</v>
      </c>
      <c r="J50" s="6">
        <v>12</v>
      </c>
      <c r="K50" s="13">
        <v>3060.5639999999999</v>
      </c>
      <c r="L50" s="13">
        <v>2661.36</v>
      </c>
      <c r="M50" s="8">
        <v>16185.45514484</v>
      </c>
      <c r="N50" s="8">
        <v>14074.3088216</v>
      </c>
    </row>
    <row r="51" spans="1:14" x14ac:dyDescent="0.25">
      <c r="A51" s="10" t="s">
        <v>1725</v>
      </c>
      <c r="B51" s="10">
        <v>73534</v>
      </c>
      <c r="C51" s="10" t="s">
        <v>763</v>
      </c>
      <c r="D51" s="10" t="s">
        <v>1726</v>
      </c>
      <c r="E51" s="10" t="s">
        <v>22</v>
      </c>
      <c r="F51" s="10" t="s">
        <v>17</v>
      </c>
      <c r="G51" s="6">
        <v>2</v>
      </c>
      <c r="H51" s="6">
        <v>3</v>
      </c>
      <c r="I51" s="6">
        <v>0</v>
      </c>
      <c r="J51" s="6">
        <v>2</v>
      </c>
      <c r="K51" s="13">
        <v>22.716000000000001</v>
      </c>
      <c r="L51" s="13">
        <v>0</v>
      </c>
      <c r="M51" s="8">
        <v>176.50918106</v>
      </c>
      <c r="N51" s="8">
        <v>0</v>
      </c>
    </row>
    <row r="52" spans="1:14" x14ac:dyDescent="0.25">
      <c r="A52" s="10" t="s">
        <v>1727</v>
      </c>
      <c r="B52" s="10">
        <v>73534</v>
      </c>
      <c r="C52" s="10" t="s">
        <v>763</v>
      </c>
      <c r="D52" s="10" t="s">
        <v>1728</v>
      </c>
      <c r="E52" s="10" t="s">
        <v>22</v>
      </c>
      <c r="F52" s="10" t="s">
        <v>17</v>
      </c>
      <c r="G52" s="6">
        <v>1</v>
      </c>
      <c r="H52" s="6">
        <v>0</v>
      </c>
      <c r="I52" s="6">
        <v>0</v>
      </c>
      <c r="J52" s="6">
        <v>1</v>
      </c>
      <c r="K52" s="13">
        <v>11.358000000000001</v>
      </c>
      <c r="L52" s="13">
        <v>0</v>
      </c>
      <c r="M52" s="8">
        <v>94.386972180000001</v>
      </c>
      <c r="N52" s="8">
        <v>0</v>
      </c>
    </row>
    <row r="53" spans="1:14" x14ac:dyDescent="0.25">
      <c r="A53" s="10" t="s">
        <v>1729</v>
      </c>
      <c r="B53" s="10">
        <v>73534</v>
      </c>
      <c r="C53" s="10" t="s">
        <v>763</v>
      </c>
      <c r="D53" s="10" t="s">
        <v>1730</v>
      </c>
      <c r="E53" s="10" t="s">
        <v>22</v>
      </c>
      <c r="F53" s="10" t="s">
        <v>17</v>
      </c>
      <c r="G53" s="6">
        <v>0</v>
      </c>
      <c r="H53" s="6">
        <v>0</v>
      </c>
      <c r="I53" s="6">
        <v>0</v>
      </c>
      <c r="J53" s="6">
        <v>0</v>
      </c>
      <c r="K53" s="13">
        <v>0</v>
      </c>
      <c r="L53" s="13">
        <v>0</v>
      </c>
      <c r="M53" s="8">
        <v>0</v>
      </c>
      <c r="N53" s="8">
        <v>0</v>
      </c>
    </row>
    <row r="54" spans="1:14" x14ac:dyDescent="0.25">
      <c r="A54" s="10" t="s">
        <v>1731</v>
      </c>
      <c r="B54" s="10">
        <v>73534</v>
      </c>
      <c r="C54" s="10" t="s">
        <v>763</v>
      </c>
      <c r="D54" s="10" t="s">
        <v>1732</v>
      </c>
      <c r="E54" s="10" t="s">
        <v>22</v>
      </c>
      <c r="F54" s="10" t="s">
        <v>17</v>
      </c>
      <c r="G54" s="6">
        <v>0</v>
      </c>
      <c r="H54" s="6">
        <v>0</v>
      </c>
      <c r="I54" s="6">
        <v>0</v>
      </c>
      <c r="J54" s="6">
        <v>0</v>
      </c>
      <c r="K54" s="13">
        <v>0</v>
      </c>
      <c r="L54" s="13">
        <v>0</v>
      </c>
      <c r="M54" s="8">
        <v>0</v>
      </c>
      <c r="N54" s="8">
        <v>0</v>
      </c>
    </row>
    <row r="55" spans="1:14" x14ac:dyDescent="0.25">
      <c r="A55" s="10" t="s">
        <v>1733</v>
      </c>
      <c r="B55" s="10">
        <v>73534</v>
      </c>
      <c r="C55" s="10" t="s">
        <v>763</v>
      </c>
      <c r="D55" s="10" t="s">
        <v>1734</v>
      </c>
      <c r="E55" s="10" t="s">
        <v>22</v>
      </c>
      <c r="F55" s="10" t="s">
        <v>17</v>
      </c>
      <c r="G55" s="6">
        <v>5</v>
      </c>
      <c r="H55" s="6">
        <v>88</v>
      </c>
      <c r="I55" s="6">
        <v>0</v>
      </c>
      <c r="J55" s="6">
        <v>5</v>
      </c>
      <c r="K55" s="13">
        <v>56.79</v>
      </c>
      <c r="L55" s="13">
        <v>0</v>
      </c>
      <c r="M55" s="8">
        <v>533.86960209999995</v>
      </c>
      <c r="N55" s="8">
        <v>0</v>
      </c>
    </row>
    <row r="56" spans="1:14" x14ac:dyDescent="0.25">
      <c r="A56" s="10" t="s">
        <v>1735</v>
      </c>
      <c r="B56" s="10">
        <v>74551</v>
      </c>
      <c r="C56" s="10" t="s">
        <v>974</v>
      </c>
      <c r="D56" s="10" t="s">
        <v>1736</v>
      </c>
      <c r="E56" s="10" t="s">
        <v>22</v>
      </c>
      <c r="F56" s="10" t="s">
        <v>17</v>
      </c>
      <c r="G56" s="6">
        <v>0</v>
      </c>
      <c r="H56" s="6">
        <v>0</v>
      </c>
      <c r="I56" s="6">
        <v>0</v>
      </c>
      <c r="J56" s="6">
        <v>0</v>
      </c>
      <c r="K56" s="13">
        <v>0</v>
      </c>
      <c r="L56" s="13">
        <v>0</v>
      </c>
      <c r="M56" s="8">
        <v>0</v>
      </c>
      <c r="N56" s="8">
        <v>0</v>
      </c>
    </row>
    <row r="57" spans="1:14" x14ac:dyDescent="0.25">
      <c r="A57" s="10" t="s">
        <v>1737</v>
      </c>
      <c r="B57" s="10">
        <v>74552</v>
      </c>
      <c r="C57" s="10" t="s">
        <v>979</v>
      </c>
      <c r="D57" s="10" t="s">
        <v>1738</v>
      </c>
      <c r="E57" s="10" t="s">
        <v>22</v>
      </c>
      <c r="F57" s="10" t="s">
        <v>17</v>
      </c>
      <c r="G57" s="6">
        <v>0</v>
      </c>
      <c r="H57" s="6">
        <v>0</v>
      </c>
      <c r="I57" s="6">
        <v>0</v>
      </c>
      <c r="J57" s="6">
        <v>0</v>
      </c>
      <c r="K57" s="13">
        <v>0</v>
      </c>
      <c r="L57" s="13">
        <v>0</v>
      </c>
      <c r="M57" s="8">
        <v>0</v>
      </c>
      <c r="N57" s="8">
        <v>0</v>
      </c>
    </row>
    <row r="58" spans="1:14" x14ac:dyDescent="0.25">
      <c r="A58" s="10" t="s">
        <v>1739</v>
      </c>
      <c r="B58" s="10">
        <v>77197</v>
      </c>
      <c r="C58" s="10" t="s">
        <v>1740</v>
      </c>
      <c r="D58" s="10" t="s">
        <v>1741</v>
      </c>
      <c r="E58" s="10" t="s">
        <v>23</v>
      </c>
      <c r="F58" s="10" t="s">
        <v>17</v>
      </c>
      <c r="G58" s="6">
        <v>88</v>
      </c>
      <c r="H58" s="6">
        <v>87</v>
      </c>
      <c r="I58" s="6">
        <v>31</v>
      </c>
      <c r="J58" s="6">
        <v>57</v>
      </c>
      <c r="K58" s="13">
        <v>2487.7600000000002</v>
      </c>
      <c r="L58" s="13">
        <v>876.37</v>
      </c>
      <c r="M58" s="8">
        <v>10660.53034816</v>
      </c>
      <c r="N58" s="8">
        <v>3755.4140999199999</v>
      </c>
    </row>
    <row r="59" spans="1:14" x14ac:dyDescent="0.25">
      <c r="A59" s="10" t="s">
        <v>1742</v>
      </c>
      <c r="B59" s="10">
        <v>81941</v>
      </c>
      <c r="C59" s="10" t="s">
        <v>1077</v>
      </c>
      <c r="D59" s="10" t="s">
        <v>1743</v>
      </c>
      <c r="E59" s="10" t="s">
        <v>21</v>
      </c>
      <c r="F59" s="10" t="s">
        <v>17</v>
      </c>
      <c r="G59" s="6">
        <v>0</v>
      </c>
      <c r="H59" s="6">
        <v>0</v>
      </c>
      <c r="I59" s="6">
        <v>0</v>
      </c>
      <c r="J59" s="6">
        <v>0</v>
      </c>
      <c r="K59" s="13">
        <v>0</v>
      </c>
      <c r="L59" s="13">
        <v>0</v>
      </c>
      <c r="M59" s="8">
        <v>0</v>
      </c>
      <c r="N59" s="8">
        <v>0</v>
      </c>
    </row>
    <row r="60" spans="1:14" x14ac:dyDescent="0.25">
      <c r="A60" s="10" t="s">
        <v>1744</v>
      </c>
      <c r="B60" s="10">
        <v>81942</v>
      </c>
      <c r="C60" s="10" t="s">
        <v>1080</v>
      </c>
      <c r="D60" s="10" t="s">
        <v>1745</v>
      </c>
      <c r="E60" s="10" t="s">
        <v>21</v>
      </c>
      <c r="F60" s="10" t="s">
        <v>17</v>
      </c>
      <c r="G60" s="6">
        <v>0</v>
      </c>
      <c r="H60" s="6">
        <v>0</v>
      </c>
      <c r="I60" s="6">
        <v>0</v>
      </c>
      <c r="J60" s="6">
        <v>0</v>
      </c>
      <c r="K60" s="13">
        <v>0</v>
      </c>
      <c r="L60" s="13">
        <v>0</v>
      </c>
      <c r="M60" s="8">
        <v>0</v>
      </c>
      <c r="N60" s="8">
        <v>0</v>
      </c>
    </row>
    <row r="61" spans="1:14" x14ac:dyDescent="0.25">
      <c r="A61" s="10" t="s">
        <v>1746</v>
      </c>
      <c r="B61" s="10">
        <v>83251</v>
      </c>
      <c r="C61" s="10" t="s">
        <v>1083</v>
      </c>
      <c r="D61" s="10" t="s">
        <v>1747</v>
      </c>
      <c r="E61" s="10" t="s">
        <v>22</v>
      </c>
      <c r="F61" s="10" t="s">
        <v>17</v>
      </c>
      <c r="G61" s="6">
        <v>21</v>
      </c>
      <c r="H61" s="6">
        <v>21</v>
      </c>
      <c r="I61" s="6">
        <v>21</v>
      </c>
      <c r="J61" s="6">
        <v>0</v>
      </c>
      <c r="K61" s="13">
        <v>332.51400000000001</v>
      </c>
      <c r="L61" s="13">
        <v>332.51400000000001</v>
      </c>
      <c r="M61" s="8">
        <v>2073.9553520700001</v>
      </c>
      <c r="N61" s="8">
        <v>2073.9553520700001</v>
      </c>
    </row>
    <row r="62" spans="1:14" x14ac:dyDescent="0.25">
      <c r="A62" s="10" t="s">
        <v>1748</v>
      </c>
      <c r="B62" s="10">
        <v>83251</v>
      </c>
      <c r="C62" s="10" t="s">
        <v>1083</v>
      </c>
      <c r="D62" s="10" t="s">
        <v>1749</v>
      </c>
      <c r="E62" s="10" t="s">
        <v>22</v>
      </c>
      <c r="F62" s="10" t="s">
        <v>17</v>
      </c>
      <c r="G62" s="6">
        <v>120</v>
      </c>
      <c r="H62" s="6">
        <v>120</v>
      </c>
      <c r="I62" s="6">
        <v>120</v>
      </c>
      <c r="J62" s="6">
        <v>0</v>
      </c>
      <c r="K62" s="13">
        <v>1900.08</v>
      </c>
      <c r="L62" s="13">
        <v>1900.08</v>
      </c>
      <c r="M62" s="8">
        <v>11855.973440399999</v>
      </c>
      <c r="N62" s="8">
        <v>11855.973440399999</v>
      </c>
    </row>
    <row r="63" spans="1:14" x14ac:dyDescent="0.25">
      <c r="A63" s="10" t="s">
        <v>1750</v>
      </c>
      <c r="B63" s="10">
        <v>84901</v>
      </c>
      <c r="C63" s="10" t="s">
        <v>1177</v>
      </c>
      <c r="D63" s="10" t="s">
        <v>1751</v>
      </c>
      <c r="E63" s="10" t="s">
        <v>21</v>
      </c>
      <c r="F63" s="10" t="s">
        <v>17</v>
      </c>
      <c r="G63" s="6">
        <v>78</v>
      </c>
      <c r="H63" s="6">
        <v>78</v>
      </c>
      <c r="I63" s="6">
        <v>0</v>
      </c>
      <c r="J63" s="6">
        <v>78</v>
      </c>
      <c r="K63" s="13">
        <v>2859.48</v>
      </c>
      <c r="L63" s="13">
        <v>0</v>
      </c>
      <c r="M63" s="8">
        <v>12394.352147580001</v>
      </c>
      <c r="N63" s="8">
        <v>0</v>
      </c>
    </row>
    <row r="64" spans="1:14" x14ac:dyDescent="0.25">
      <c r="A64" s="10" t="s">
        <v>1752</v>
      </c>
      <c r="B64" s="10">
        <v>84911</v>
      </c>
      <c r="C64" s="10" t="s">
        <v>1182</v>
      </c>
      <c r="D64" s="10" t="s">
        <v>1753</v>
      </c>
      <c r="E64" s="10" t="s">
        <v>21</v>
      </c>
      <c r="F64" s="10" t="s">
        <v>17</v>
      </c>
      <c r="G64" s="6">
        <v>0</v>
      </c>
      <c r="H64" s="6">
        <v>0</v>
      </c>
      <c r="I64" s="6">
        <v>0</v>
      </c>
      <c r="J64" s="6">
        <v>0</v>
      </c>
      <c r="K64" s="13">
        <v>0</v>
      </c>
      <c r="L64" s="13">
        <v>0</v>
      </c>
      <c r="M64" s="8">
        <v>0</v>
      </c>
      <c r="N64" s="8">
        <v>0</v>
      </c>
    </row>
    <row r="65" spans="1:14" x14ac:dyDescent="0.25">
      <c r="A65" s="10" t="s">
        <v>1754</v>
      </c>
      <c r="B65" s="10">
        <v>84941</v>
      </c>
      <c r="C65" s="10" t="s">
        <v>1222</v>
      </c>
      <c r="D65" s="10" t="s">
        <v>1755</v>
      </c>
      <c r="E65" s="10" t="s">
        <v>21</v>
      </c>
      <c r="F65" s="10" t="s">
        <v>17</v>
      </c>
      <c r="G65" s="6">
        <v>30</v>
      </c>
      <c r="H65" s="6">
        <v>22</v>
      </c>
      <c r="I65" s="6">
        <v>30</v>
      </c>
      <c r="J65" s="6">
        <v>0</v>
      </c>
      <c r="K65" s="13">
        <v>672.75</v>
      </c>
      <c r="L65" s="13">
        <v>672.75</v>
      </c>
      <c r="M65" s="8">
        <v>2775.6740937</v>
      </c>
      <c r="N65" s="8">
        <v>2775.6740937</v>
      </c>
    </row>
    <row r="66" spans="1:14" x14ac:dyDescent="0.25">
      <c r="A66" s="10" t="s">
        <v>1756</v>
      </c>
      <c r="B66" s="10">
        <v>84946</v>
      </c>
      <c r="C66" s="10" t="s">
        <v>1757</v>
      </c>
      <c r="D66" s="10" t="s">
        <v>1758</v>
      </c>
      <c r="E66" s="10" t="s">
        <v>21</v>
      </c>
      <c r="F66" s="10" t="s">
        <v>17</v>
      </c>
      <c r="G66" s="6">
        <v>6</v>
      </c>
      <c r="H66" s="6">
        <v>6</v>
      </c>
      <c r="I66" s="6">
        <v>4</v>
      </c>
      <c r="J66" s="6">
        <v>2</v>
      </c>
      <c r="K66" s="13">
        <v>239.73</v>
      </c>
      <c r="L66" s="13">
        <v>159.82</v>
      </c>
      <c r="M66" s="8">
        <v>942.13977702</v>
      </c>
      <c r="N66" s="8">
        <v>628.09318468000004</v>
      </c>
    </row>
    <row r="67" spans="1:14" x14ac:dyDescent="0.25">
      <c r="A67" s="10" t="s">
        <v>1759</v>
      </c>
      <c r="B67" s="10">
        <v>84946</v>
      </c>
      <c r="C67" s="10" t="s">
        <v>1757</v>
      </c>
      <c r="D67" s="10" t="s">
        <v>1760</v>
      </c>
      <c r="E67" s="10" t="s">
        <v>21</v>
      </c>
      <c r="F67" s="10" t="s">
        <v>17</v>
      </c>
      <c r="G67" s="6">
        <v>2</v>
      </c>
      <c r="H67" s="6">
        <v>3</v>
      </c>
      <c r="I67" s="6">
        <v>2</v>
      </c>
      <c r="J67" s="6">
        <v>0</v>
      </c>
      <c r="K67" s="13">
        <v>79.91</v>
      </c>
      <c r="L67" s="13">
        <v>79.91</v>
      </c>
      <c r="M67" s="8">
        <v>276.56702858</v>
      </c>
      <c r="N67" s="8">
        <v>276.56702858</v>
      </c>
    </row>
    <row r="68" spans="1:14" x14ac:dyDescent="0.25">
      <c r="A68" s="10" t="s">
        <v>1761</v>
      </c>
      <c r="B68" s="10">
        <v>84946</v>
      </c>
      <c r="C68" s="10" t="s">
        <v>1757</v>
      </c>
      <c r="D68" s="10" t="s">
        <v>1762</v>
      </c>
      <c r="E68" s="10" t="s">
        <v>21</v>
      </c>
      <c r="F68" s="10" t="s">
        <v>17</v>
      </c>
      <c r="G68" s="6">
        <v>27</v>
      </c>
      <c r="H68" s="6">
        <v>27</v>
      </c>
      <c r="I68" s="6">
        <v>27</v>
      </c>
      <c r="J68" s="6">
        <v>0</v>
      </c>
      <c r="K68" s="13">
        <v>1078.7850000000001</v>
      </c>
      <c r="L68" s="13">
        <v>1078.7850000000001</v>
      </c>
      <c r="M68" s="8">
        <v>4350.3289965900003</v>
      </c>
      <c r="N68" s="8">
        <v>4350.3289965900003</v>
      </c>
    </row>
    <row r="69" spans="1:14" x14ac:dyDescent="0.25">
      <c r="A69" s="10" t="s">
        <v>1763</v>
      </c>
      <c r="B69" s="10">
        <v>84946</v>
      </c>
      <c r="C69" s="10" t="s">
        <v>1757</v>
      </c>
      <c r="D69" s="10" t="s">
        <v>1764</v>
      </c>
      <c r="E69" s="10" t="s">
        <v>21</v>
      </c>
      <c r="F69" s="10" t="s">
        <v>17</v>
      </c>
      <c r="G69" s="6">
        <v>0</v>
      </c>
      <c r="H69" s="6">
        <v>0</v>
      </c>
      <c r="I69" s="6">
        <v>0</v>
      </c>
      <c r="J69" s="6">
        <v>0</v>
      </c>
      <c r="K69" s="13">
        <v>0</v>
      </c>
      <c r="L69" s="13">
        <v>0</v>
      </c>
      <c r="M69" s="8">
        <v>0</v>
      </c>
      <c r="N69" s="8">
        <v>0</v>
      </c>
    </row>
    <row r="70" spans="1:14" x14ac:dyDescent="0.25">
      <c r="A70" s="10" t="s">
        <v>1765</v>
      </c>
      <c r="B70" s="10">
        <v>85315</v>
      </c>
      <c r="C70" s="10" t="s">
        <v>1294</v>
      </c>
      <c r="D70" s="10" t="s">
        <v>1766</v>
      </c>
      <c r="E70" s="10" t="s">
        <v>22</v>
      </c>
      <c r="F70" s="10" t="s">
        <v>17</v>
      </c>
      <c r="G70" s="6">
        <v>1</v>
      </c>
      <c r="H70" s="6">
        <v>1</v>
      </c>
      <c r="I70" s="6">
        <v>0</v>
      </c>
      <c r="J70" s="6">
        <v>1</v>
      </c>
      <c r="K70" s="13">
        <v>14.625</v>
      </c>
      <c r="L70" s="13">
        <v>0</v>
      </c>
      <c r="M70" s="8">
        <v>92.257231579999996</v>
      </c>
      <c r="N70" s="8">
        <v>0</v>
      </c>
    </row>
    <row r="71" spans="1:14" x14ac:dyDescent="0.25">
      <c r="A71" s="10" t="s">
        <v>1767</v>
      </c>
      <c r="B71" s="10">
        <v>85524</v>
      </c>
      <c r="C71" s="10" t="s">
        <v>1340</v>
      </c>
      <c r="D71" s="10" t="s">
        <v>1768</v>
      </c>
      <c r="E71" s="10" t="s">
        <v>22</v>
      </c>
      <c r="F71" s="10" t="s">
        <v>17</v>
      </c>
      <c r="G71" s="6">
        <v>42</v>
      </c>
      <c r="H71" s="6">
        <v>42</v>
      </c>
      <c r="I71" s="6">
        <v>0</v>
      </c>
      <c r="J71" s="6">
        <v>42</v>
      </c>
      <c r="K71" s="13">
        <v>941.85</v>
      </c>
      <c r="L71" s="13">
        <v>0</v>
      </c>
      <c r="M71" s="8">
        <v>5760.1970416200002</v>
      </c>
      <c r="N71" s="8">
        <v>0</v>
      </c>
    </row>
    <row r="72" spans="1:14" x14ac:dyDescent="0.25">
      <c r="A72" s="16" t="s">
        <v>1938</v>
      </c>
      <c r="G72" s="17">
        <f t="shared" ref="G72:N72" si="0">SUM(G4:G71)</f>
        <v>2563</v>
      </c>
      <c r="H72" s="17">
        <f t="shared" si="0"/>
        <v>2913</v>
      </c>
      <c r="I72" s="17">
        <f t="shared" si="0"/>
        <v>1758</v>
      </c>
      <c r="J72" s="17">
        <f t="shared" si="0"/>
        <v>805</v>
      </c>
      <c r="K72" s="18">
        <f t="shared" si="0"/>
        <v>95701.273999999976</v>
      </c>
      <c r="L72" s="18">
        <f t="shared" si="0"/>
        <v>63530.022000000012</v>
      </c>
      <c r="M72" s="19">
        <f t="shared" si="0"/>
        <v>349359.84023979004</v>
      </c>
      <c r="N72" s="19">
        <f t="shared" si="0"/>
        <v>233380.66376632999</v>
      </c>
    </row>
  </sheetData>
  <autoFilter ref="A3:N7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Resumo</vt:lpstr>
      <vt:lpstr>Base Completa</vt:lpstr>
      <vt:lpstr>Fora de Linha</vt:lpstr>
      <vt:lpstr>Em Linha</vt:lpstr>
      <vt:lpstr>Gerson</vt:lpstr>
      <vt:lpstr>Eliane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Natália Felipe Quirino</cp:lastModifiedBy>
  <cp:revision>0</cp:revision>
  <dcterms:created xsi:type="dcterms:W3CDTF">2026-09-22T14:33:00Z</dcterms:created>
  <dcterms:modified xsi:type="dcterms:W3CDTF">2026-09-23T14:35:25Z</dcterms:modified>
  <dc:language>en-US</dc:language>
</cp:coreProperties>
</file>