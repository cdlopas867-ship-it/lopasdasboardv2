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742EFFEE-39CB-45DA-8FB0-FC2461BC6EE7}" xr6:coauthVersionLast="47" xr6:coauthVersionMax="47" xr10:uidLastSave="{00000000-0000-0000-0000-000000000000}"/>
  <bookViews>
    <workbookView xWindow="-120" yWindow="-120" windowWidth="20730" windowHeight="11040" xr2:uid="{4B7E122B-5CCA-487C-811B-4847F82C123C}"/>
  </bookViews>
  <sheets>
    <sheet name="saidas cd 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0" i="1" l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</calcChain>
</file>

<file path=xl/sharedStrings.xml><?xml version="1.0" encoding="utf-8"?>
<sst xmlns="http://schemas.openxmlformats.org/spreadsheetml/2006/main" count="587" uniqueCount="25">
  <si>
    <t/>
  </si>
  <si>
    <t>Mês</t>
  </si>
  <si>
    <t>Agosto</t>
  </si>
  <si>
    <t>Motivo</t>
  </si>
  <si>
    <t>Toelada</t>
  </si>
  <si>
    <t>Faturado</t>
  </si>
  <si>
    <t>Avaria</t>
  </si>
  <si>
    <t>Devolução</t>
  </si>
  <si>
    <t>Erro Produção</t>
  </si>
  <si>
    <t>Fora de Linha</t>
  </si>
  <si>
    <t>Total Geral</t>
  </si>
  <si>
    <t>NFe</t>
  </si>
  <si>
    <t>Data Emissão</t>
  </si>
  <si>
    <t>Qtd Volumes</t>
  </si>
  <si>
    <t>Peso Liquido</t>
  </si>
  <si>
    <t>Tanelada</t>
  </si>
  <si>
    <t>Valor Liquido</t>
  </si>
  <si>
    <t>Maio</t>
  </si>
  <si>
    <t>Desenvolvimento</t>
  </si>
  <si>
    <t>Junho</t>
  </si>
  <si>
    <t>Erro Cadastro Focco</t>
  </si>
  <si>
    <t>Produto descasado</t>
  </si>
  <si>
    <t>Carga Teste</t>
  </si>
  <si>
    <t>Julho</t>
  </si>
  <si>
    <t>devolução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</si>
</sst>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1" applyFont="1" applyBorder="1" applyAlignment="1">
      <alignment horizontal="center"/>
    </xf>
    <xf numFmtId="44" fontId="0" fillId="0" borderId="0" xfId="1" applyFont="1" applyBorder="1"/>
    <xf numFmtId="44" fontId="0" fillId="0" borderId="0" xfId="1" applyFont="1"/>
    <xf numFmtId="44" fontId="0" fillId="0" borderId="0" xfId="1" applyFont="1" applyAlignment="1">
      <alignment horizontal="center"/>
    </xf>
    <xf numFmtId="0" fontId="0" fillId="0" borderId="0" xfId="0" pivotButton="1" applyAlignment="1">
      <alignment horizontal="center"/>
    </xf>
  </cellXfs>
  <cellStyles count="2">
    <cellStyle name="Moeda" xfId="1" builtinId="4"/>
    <cellStyle name="Normal" xfId="0" builtinId="0"/>
  </cellStyles>
  <dxfs count="18">
    <dxf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</dxf>
    <dxf>
      <numFmt numFmtId="34" formatCode="_-&quot;R$&quot;\ * #,##0.00_-;\-&quot;R$&quot;\ * #,##0.00_-;_-&quot;R$&quot;\ * &quot;-&quot;??_-;_-@_-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P/Downloads/Gerenciamento%20CD%20(26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braga" refreshedDate="46288.361271180554" createdVersion="5" refreshedVersion="5" minRefreshableVersion="3" recordCount="284" xr:uid="{75CB1FA2-1777-4161-9DF5-6810D4055DEF}">
  <cacheSource type="worksheet">
    <worksheetSource name="Tabela6" r:id="rId2"/>
  </cacheSource>
  <cacheFields count="8">
    <cacheField name="NFe" numFmtId="0">
      <sharedItems containsSemiMixedTypes="0" containsString="0" containsNumber="1" containsInteger="1" minValue="96905" maxValue="188320"/>
    </cacheField>
    <cacheField name="Data Emissão" numFmtId="14">
      <sharedItems containsSemiMixedTypes="0" containsNonDate="0" containsDate="1" containsString="0" minDate="2026-05-04T00:00:00" maxDate="2026-08-19T00:00:00"/>
    </cacheField>
    <cacheField name="Mês" numFmtId="14">
      <sharedItems count="4">
        <s v="Maio"/>
        <s v="Junho"/>
        <s v="Julho"/>
        <s v="Agosto"/>
      </sharedItems>
    </cacheField>
    <cacheField name="Qtd Volumes" numFmtId="0">
      <sharedItems containsSemiMixedTypes="0" containsString="0" containsNumber="1" containsInteger="1" minValue="1" maxValue="350"/>
    </cacheField>
    <cacheField name="Motivo" numFmtId="0">
      <sharedItems count="8">
        <s v="Avaria"/>
        <s v="Erro Produção"/>
        <s v="Desenvolvimento"/>
        <s v="Erro Cadastro Focco"/>
        <s v="Devolução"/>
        <s v="Produto descasado"/>
        <s v="Carga Teste"/>
        <s v="Fora de Linha"/>
      </sharedItems>
    </cacheField>
    <cacheField name="Peso Liquido" numFmtId="4">
      <sharedItems containsSemiMixedTypes="0" containsString="0" containsNumber="1" minValue="2.496" maxValue="16805.936000000002"/>
    </cacheField>
    <cacheField name="Tanelada" numFmtId="4">
      <sharedItems containsSemiMixedTypes="0" containsString="0" containsNumber="1" minValue="2.496E-3" maxValue="16.805936000000003"/>
    </cacheField>
    <cacheField name="Valor Liquido" numFmtId="44">
      <sharedItems containsSemiMixedTypes="0" containsString="0" containsNumber="1" minValue="15.34" maxValue="58915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">
  <r>
    <n v="96905"/>
    <d v="2026-05-04T00:00:00"/>
    <x v="0"/>
    <n v="24"/>
    <x v="0"/>
    <n v="1325.9590000000001"/>
    <n v="1.3259590000000001"/>
    <n v="4902.01"/>
  </r>
  <r>
    <n v="96913"/>
    <d v="2026-05-04T00:00:00"/>
    <x v="0"/>
    <n v="23"/>
    <x v="0"/>
    <n v="1174.626"/>
    <n v="1.1746259999999999"/>
    <n v="4207.54"/>
  </r>
  <r>
    <n v="97006"/>
    <d v="2026-05-04T00:00:00"/>
    <x v="0"/>
    <n v="1"/>
    <x v="0"/>
    <n v="43.241"/>
    <n v="4.3241000000000002E-2"/>
    <n v="172.85"/>
  </r>
  <r>
    <n v="97395"/>
    <d v="2026-05-04T00:00:00"/>
    <x v="0"/>
    <n v="23"/>
    <x v="0"/>
    <n v="930.09299999999996"/>
    <n v="0.93009299999999995"/>
    <n v="3544.1"/>
  </r>
  <r>
    <n v="97396"/>
    <d v="2026-05-04T00:00:00"/>
    <x v="0"/>
    <n v="2"/>
    <x v="0"/>
    <n v="55.281999999999996"/>
    <n v="5.5281999999999998E-2"/>
    <n v="259.22000000000003"/>
  </r>
  <r>
    <n v="99025"/>
    <d v="2026-05-05T00:00:00"/>
    <x v="0"/>
    <n v="8"/>
    <x v="0"/>
    <n v="112.339"/>
    <n v="0.11233899999999999"/>
    <n v="679.3"/>
  </r>
  <r>
    <n v="99196"/>
    <d v="2026-05-05T00:00:00"/>
    <x v="0"/>
    <n v="4"/>
    <x v="1"/>
    <n v="183.28"/>
    <n v="0.18328"/>
    <n v="534.76"/>
  </r>
  <r>
    <n v="99838"/>
    <d v="2026-05-06T00:00:00"/>
    <x v="0"/>
    <n v="2"/>
    <x v="1"/>
    <n v="111.83199999999999"/>
    <n v="0.11183199999999999"/>
    <n v="392.69"/>
  </r>
  <r>
    <n v="100140"/>
    <d v="2026-05-06T00:00:00"/>
    <x v="0"/>
    <n v="6"/>
    <x v="0"/>
    <n v="83.36"/>
    <n v="8.3360000000000004E-2"/>
    <n v="659.26"/>
  </r>
  <r>
    <n v="101666"/>
    <d v="2026-05-07T00:00:00"/>
    <x v="0"/>
    <n v="48"/>
    <x v="0"/>
    <n v="2425.1999999999998"/>
    <n v="2.4251999999999998"/>
    <n v="6627.12"/>
  </r>
  <r>
    <n v="102086"/>
    <d v="2026-05-08T00:00:00"/>
    <x v="0"/>
    <n v="8"/>
    <x v="2"/>
    <n v="404.99"/>
    <n v="0.40499000000000002"/>
    <n v="1555.17"/>
  </r>
  <r>
    <n v="106968"/>
    <d v="2026-05-12T00:00:00"/>
    <x v="0"/>
    <n v="48"/>
    <x v="1"/>
    <n v="1567.68"/>
    <n v="1.56768"/>
    <n v="6714.72"/>
  </r>
  <r>
    <n v="106968"/>
    <d v="2026-05-13T00:00:00"/>
    <x v="0"/>
    <n v="48"/>
    <x v="1"/>
    <n v="1567.68"/>
    <n v="1.56768"/>
    <n v="6714.72"/>
  </r>
  <r>
    <n v="107841"/>
    <d v="2026-05-14T00:00:00"/>
    <x v="0"/>
    <n v="15"/>
    <x v="0"/>
    <n v="756.97299999999996"/>
    <n v="0.75697300000000001"/>
    <n v="2694.21"/>
  </r>
  <r>
    <n v="107840"/>
    <d v="2026-05-14T00:00:00"/>
    <x v="0"/>
    <n v="22"/>
    <x v="0"/>
    <n v="1064.9269999999999"/>
    <n v="1.064927"/>
    <n v="3643.73"/>
  </r>
  <r>
    <n v="108994"/>
    <d v="2026-05-15T00:00:00"/>
    <x v="0"/>
    <n v="9"/>
    <x v="0"/>
    <n v="172.37899999999999"/>
    <n v="0.172379"/>
    <n v="1473"/>
  </r>
  <r>
    <n v="109558"/>
    <d v="2026-05-16T00:00:00"/>
    <x v="0"/>
    <n v="14"/>
    <x v="0"/>
    <n v="683.17700000000002"/>
    <n v="0.68317700000000003"/>
    <n v="2485.5700000000002"/>
  </r>
  <r>
    <n v="109557"/>
    <d v="2026-05-16T00:00:00"/>
    <x v="0"/>
    <n v="14"/>
    <x v="0"/>
    <n v="480.31400000000002"/>
    <n v="0.48031400000000002"/>
    <n v="1853.7"/>
  </r>
  <r>
    <n v="109556"/>
    <d v="2026-05-16T00:00:00"/>
    <x v="0"/>
    <n v="19"/>
    <x v="0"/>
    <n v="853.35500000000002"/>
    <n v="0.85335499999999997"/>
    <n v="3006.03"/>
  </r>
  <r>
    <n v="109981"/>
    <d v="2026-05-18T00:00:00"/>
    <x v="0"/>
    <n v="4"/>
    <x v="0"/>
    <n v="60.994999999999997"/>
    <n v="6.0995000000000001E-2"/>
    <n v="469.14"/>
  </r>
  <r>
    <n v="111426"/>
    <d v="2026-05-19T00:00:00"/>
    <x v="0"/>
    <n v="21"/>
    <x v="0"/>
    <n v="873.11800000000005"/>
    <n v="0.87311800000000006"/>
    <n v="3467.85"/>
  </r>
  <r>
    <n v="112927"/>
    <d v="2026-05-20T00:00:00"/>
    <x v="0"/>
    <n v="11"/>
    <x v="0"/>
    <n v="202.54400000000001"/>
    <n v="0.202544"/>
    <n v="1762.89"/>
  </r>
  <r>
    <n v="113905"/>
    <d v="2026-05-21T00:00:00"/>
    <x v="0"/>
    <n v="14"/>
    <x v="0"/>
    <n v="614.03200000000004"/>
    <n v="0.61403200000000002"/>
    <n v="2403.8000000000002"/>
  </r>
  <r>
    <n v="113948"/>
    <d v="2026-05-21T00:00:00"/>
    <x v="0"/>
    <n v="2"/>
    <x v="0"/>
    <n v="65.323999999999998"/>
    <n v="6.5323999999999993E-2"/>
    <n v="221.21"/>
  </r>
  <r>
    <n v="114195"/>
    <d v="2026-05-21T00:00:00"/>
    <x v="0"/>
    <n v="7"/>
    <x v="0"/>
    <n v="117.262"/>
    <n v="0.11726200000000001"/>
    <n v="892.3"/>
  </r>
  <r>
    <n v="114446"/>
    <d v="2026-05-22T00:00:00"/>
    <x v="0"/>
    <n v="18"/>
    <x v="0"/>
    <n v="1024.8109999999999"/>
    <n v="1.0248109999999999"/>
    <n v="3604.47"/>
  </r>
  <r>
    <n v="115456"/>
    <d v="2026-05-25T00:00:00"/>
    <x v="0"/>
    <n v="21"/>
    <x v="0"/>
    <n v="1023.333"/>
    <n v="1.023333"/>
    <n v="4042"/>
  </r>
  <r>
    <n v="116047"/>
    <d v="2026-05-25T00:00:00"/>
    <x v="0"/>
    <n v="11"/>
    <x v="0"/>
    <n v="351.20400000000001"/>
    <n v="0.35120400000000002"/>
    <n v="1336.07"/>
  </r>
  <r>
    <n v="116180"/>
    <d v="2026-05-25T00:00:00"/>
    <x v="0"/>
    <n v="19"/>
    <x v="0"/>
    <n v="800.08199999999999"/>
    <n v="0.80008199999999996"/>
    <n v="3159.8"/>
  </r>
  <r>
    <n v="117507"/>
    <d v="2026-05-26T00:00:00"/>
    <x v="0"/>
    <n v="11"/>
    <x v="0"/>
    <n v="358.05200000000002"/>
    <n v="0.35805200000000004"/>
    <n v="1324.34"/>
  </r>
  <r>
    <n v="117527"/>
    <d v="2026-05-26T00:00:00"/>
    <x v="0"/>
    <n v="1"/>
    <x v="0"/>
    <n v="38.512"/>
    <n v="3.8511999999999998E-2"/>
    <n v="169.48"/>
  </r>
  <r>
    <n v="117533"/>
    <d v="2026-05-26T00:00:00"/>
    <x v="0"/>
    <n v="17"/>
    <x v="0"/>
    <n v="896.81899999999996"/>
    <n v="0.89681899999999992"/>
    <n v="3164.9"/>
  </r>
  <r>
    <n v="117534"/>
    <d v="2026-05-26T00:00:00"/>
    <x v="0"/>
    <n v="8"/>
    <x v="0"/>
    <n v="348.35899999999998"/>
    <n v="0.34835899999999997"/>
    <n v="1384.9"/>
  </r>
  <r>
    <n v="117536"/>
    <d v="2026-05-26T00:00:00"/>
    <x v="0"/>
    <n v="2"/>
    <x v="0"/>
    <n v="51.722999999999999"/>
    <n v="5.1722999999999998E-2"/>
    <n v="197.85"/>
  </r>
  <r>
    <n v="118657"/>
    <d v="2026-05-27T00:00:00"/>
    <x v="0"/>
    <n v="1"/>
    <x v="0"/>
    <n v="26.324999999999999"/>
    <n v="2.6324999999999998E-2"/>
    <n v="133.74"/>
  </r>
  <r>
    <n v="118458"/>
    <d v="2026-05-27T00:00:00"/>
    <x v="0"/>
    <n v="13"/>
    <x v="0"/>
    <n v="687.26599999999996"/>
    <n v="0.68726599999999993"/>
    <n v="2607.5300000000002"/>
  </r>
  <r>
    <n v="118457"/>
    <d v="2026-05-27T00:00:00"/>
    <x v="0"/>
    <n v="19"/>
    <x v="0"/>
    <n v="1007.33"/>
    <n v="1.0073300000000001"/>
    <n v="3495.65"/>
  </r>
  <r>
    <n v="118431"/>
    <d v="2026-05-27T00:00:00"/>
    <x v="0"/>
    <n v="18"/>
    <x v="0"/>
    <n v="787.71100000000001"/>
    <n v="0.78771100000000005"/>
    <n v="2993.74"/>
  </r>
  <r>
    <n v="120042"/>
    <d v="2026-05-29T00:00:00"/>
    <x v="0"/>
    <n v="16"/>
    <x v="1"/>
    <n v="993.71199999999999"/>
    <n v="0.99371200000000004"/>
    <n v="3162.64"/>
  </r>
  <r>
    <n v="120536"/>
    <d v="2026-05-29T00:00:00"/>
    <x v="0"/>
    <n v="19"/>
    <x v="0"/>
    <n v="272.17899999999997"/>
    <n v="0.27217899999999995"/>
    <n v="2035.03"/>
  </r>
  <r>
    <n v="120525"/>
    <d v="2026-05-29T00:00:00"/>
    <x v="0"/>
    <n v="16"/>
    <x v="0"/>
    <n v="896.58500000000004"/>
    <n v="0.89658500000000008"/>
    <n v="3199.47"/>
  </r>
  <r>
    <n v="120505"/>
    <d v="2026-05-29T00:00:00"/>
    <x v="0"/>
    <n v="21"/>
    <x v="0"/>
    <n v="689.58900000000006"/>
    <n v="0.68958900000000001"/>
    <n v="2908.03"/>
  </r>
  <r>
    <n v="120504"/>
    <d v="2026-05-29T00:00:00"/>
    <x v="0"/>
    <n v="3"/>
    <x v="0"/>
    <n v="213"/>
    <n v="0.21299999999999999"/>
    <n v="691.53"/>
  </r>
  <r>
    <n v="120503"/>
    <d v="2026-05-29T00:00:00"/>
    <x v="0"/>
    <n v="20"/>
    <x v="0"/>
    <n v="927.81"/>
    <n v="0.92780999999999991"/>
    <n v="3508.39"/>
  </r>
  <r>
    <n v="120405"/>
    <d v="2026-05-29T00:00:00"/>
    <x v="0"/>
    <n v="1"/>
    <x v="0"/>
    <n v="71.174999999999997"/>
    <n v="7.1175000000000002E-2"/>
    <n v="230.51"/>
  </r>
  <r>
    <n v="120404"/>
    <d v="2026-05-29T00:00:00"/>
    <x v="0"/>
    <n v="19"/>
    <x v="0"/>
    <n v="1056.4449999999999"/>
    <n v="1.0564449999999999"/>
    <n v="3581.98"/>
  </r>
  <r>
    <n v="120368"/>
    <d v="2026-05-29T00:00:00"/>
    <x v="0"/>
    <n v="28"/>
    <x v="0"/>
    <n v="1411.7819999999999"/>
    <n v="1.4117819999999999"/>
    <n v="4693.3500000000004"/>
  </r>
  <r>
    <n v="122548"/>
    <d v="2026-06-01T00:00:00"/>
    <x v="1"/>
    <n v="89"/>
    <x v="1"/>
    <n v="3598.53"/>
    <n v="3.5985300000000002"/>
    <n v="11849.34"/>
  </r>
  <r>
    <n v="122843"/>
    <d v="2026-06-01T00:00:00"/>
    <x v="1"/>
    <n v="10"/>
    <x v="0"/>
    <n v="139.47999999999999"/>
    <n v="0.13947999999999999"/>
    <n v="1089.99"/>
  </r>
  <r>
    <n v="123444"/>
    <d v="2026-06-02T00:00:00"/>
    <x v="1"/>
    <n v="84"/>
    <x v="3"/>
    <n v="1575"/>
    <n v="1.575"/>
    <n v="5961.48"/>
  </r>
  <r>
    <n v="124308"/>
    <d v="2026-06-03T00:00:00"/>
    <x v="1"/>
    <n v="17"/>
    <x v="0"/>
    <n v="851.37400000000002"/>
    <n v="0.85137400000000008"/>
    <n v="2964.8"/>
  </r>
  <r>
    <n v="124309"/>
    <d v="2026-06-03T00:00:00"/>
    <x v="1"/>
    <n v="1"/>
    <x v="0"/>
    <n v="14.625"/>
    <n v="1.4625000000000001E-2"/>
    <n v="91.4"/>
  </r>
  <r>
    <n v="125234"/>
    <d v="2026-06-05T00:00:00"/>
    <x v="1"/>
    <n v="19"/>
    <x v="0"/>
    <n v="872.74599999999998"/>
    <n v="0.87274600000000002"/>
    <n v="3399.58"/>
  </r>
  <r>
    <n v="126543"/>
    <d v="2026-06-08T00:00:00"/>
    <x v="1"/>
    <n v="14"/>
    <x v="0"/>
    <n v="535.24400000000003"/>
    <n v="0.53524400000000005"/>
    <n v="2053.39"/>
  </r>
  <r>
    <n v="126594"/>
    <d v="2026-06-08T00:00:00"/>
    <x v="1"/>
    <n v="19"/>
    <x v="0"/>
    <n v="218.69"/>
    <n v="0.21869"/>
    <n v="1182.83"/>
  </r>
  <r>
    <n v="128172"/>
    <d v="2026-06-09T00:00:00"/>
    <x v="1"/>
    <n v="4"/>
    <x v="0"/>
    <n v="247.45400000000001"/>
    <n v="0.24745400000000001"/>
    <n v="1007.63"/>
  </r>
  <r>
    <n v="128287"/>
    <d v="2026-06-09T00:00:00"/>
    <x v="1"/>
    <n v="3"/>
    <x v="0"/>
    <n v="66.903999999999996"/>
    <n v="6.6903999999999991E-2"/>
    <n v="548.57000000000005"/>
  </r>
  <r>
    <n v="128772"/>
    <d v="2026-06-09T00:00:00"/>
    <x v="1"/>
    <n v="7"/>
    <x v="4"/>
    <n v="454.738"/>
    <n v="0.45473799999999998"/>
    <n v="1618.53"/>
  </r>
  <r>
    <n v="129030"/>
    <d v="2026-06-09T00:00:00"/>
    <x v="1"/>
    <n v="9"/>
    <x v="4"/>
    <n v="548.82500000000005"/>
    <n v="0.54882500000000001"/>
    <n v="1789.47"/>
  </r>
  <r>
    <n v="129176"/>
    <d v="2026-06-09T00:00:00"/>
    <x v="1"/>
    <n v="9"/>
    <x v="4"/>
    <n v="465.42599999999999"/>
    <n v="0.46542600000000001"/>
    <n v="1718.85"/>
  </r>
  <r>
    <n v="129181"/>
    <d v="2026-06-09T00:00:00"/>
    <x v="1"/>
    <n v="2"/>
    <x v="4"/>
    <n v="95.94"/>
    <n v="9.5939999999999998E-2"/>
    <n v="435.15"/>
  </r>
  <r>
    <n v="129546"/>
    <d v="2026-06-10T00:00:00"/>
    <x v="1"/>
    <n v="15"/>
    <x v="0"/>
    <n v="517.08299999999997"/>
    <n v="0.51708299999999996"/>
    <n v="1781.37"/>
  </r>
  <r>
    <n v="129652"/>
    <d v="2026-06-10T00:00:00"/>
    <x v="1"/>
    <n v="10"/>
    <x v="4"/>
    <n v="608.73500000000001"/>
    <n v="0.60873500000000003"/>
    <n v="2146.29"/>
  </r>
  <r>
    <n v="129735"/>
    <d v="2026-06-10T00:00:00"/>
    <x v="1"/>
    <n v="9"/>
    <x v="4"/>
    <n v="381.065"/>
    <n v="0.38106499999999999"/>
    <n v="1527.24"/>
  </r>
  <r>
    <n v="129739"/>
    <d v="2026-06-10T00:00:00"/>
    <x v="1"/>
    <n v="1"/>
    <x v="4"/>
    <n v="53.625"/>
    <n v="5.3624999999999999E-2"/>
    <n v="176.3"/>
  </r>
  <r>
    <n v="129746"/>
    <d v="2026-06-10T00:00:00"/>
    <x v="1"/>
    <n v="12"/>
    <x v="4"/>
    <n v="592.61099999999999"/>
    <n v="0.592611"/>
    <n v="2058.25"/>
  </r>
  <r>
    <n v="130447"/>
    <d v="2026-06-10T00:00:00"/>
    <x v="1"/>
    <n v="10"/>
    <x v="4"/>
    <n v="227.905"/>
    <n v="0.227905"/>
    <n v="955.26"/>
  </r>
  <r>
    <n v="130645"/>
    <d v="2026-06-10T00:00:00"/>
    <x v="1"/>
    <n v="7"/>
    <x v="4"/>
    <n v="417.786"/>
    <n v="0.41778599999999999"/>
    <n v="1526.79"/>
  </r>
  <r>
    <n v="130646"/>
    <d v="2026-06-10T00:00:00"/>
    <x v="1"/>
    <n v="1"/>
    <x v="4"/>
    <n v="17.696000000000002"/>
    <n v="1.7696E-2"/>
    <n v="79.12"/>
  </r>
  <r>
    <n v="130705"/>
    <d v="2026-06-11T00:00:00"/>
    <x v="1"/>
    <n v="5"/>
    <x v="4"/>
    <n v="319.262"/>
    <n v="0.31926199999999999"/>
    <n v="1065.77"/>
  </r>
  <r>
    <n v="130793"/>
    <d v="2026-06-11T00:00:00"/>
    <x v="1"/>
    <n v="2"/>
    <x v="4"/>
    <n v="88.626000000000005"/>
    <n v="8.862600000000001E-2"/>
    <n v="302.58999999999997"/>
  </r>
  <r>
    <n v="130806"/>
    <d v="2026-06-11T00:00:00"/>
    <x v="1"/>
    <n v="17"/>
    <x v="0"/>
    <n v="690.13800000000003"/>
    <n v="0.69013800000000003"/>
    <n v="2431.5"/>
  </r>
  <r>
    <n v="131301"/>
    <d v="2026-06-11T00:00:00"/>
    <x v="1"/>
    <n v="8"/>
    <x v="4"/>
    <n v="478.67899999999997"/>
    <n v="0.47867899999999997"/>
    <n v="1709.34"/>
  </r>
  <r>
    <n v="131586"/>
    <d v="2026-06-11T00:00:00"/>
    <x v="1"/>
    <n v="12"/>
    <x v="4"/>
    <n v="591.65800000000002"/>
    <n v="0.59165800000000002"/>
    <n v="2243.4299999999998"/>
  </r>
  <r>
    <n v="131587"/>
    <d v="2026-06-11T00:00:00"/>
    <x v="1"/>
    <n v="1"/>
    <x v="4"/>
    <n v="49.92"/>
    <n v="4.9919999999999999E-2"/>
    <n v="162.76"/>
  </r>
  <r>
    <n v="131588"/>
    <d v="2026-06-11T00:00:00"/>
    <x v="1"/>
    <n v="6"/>
    <x v="4"/>
    <n v="381.76400000000001"/>
    <n v="0.38176399999999999"/>
    <n v="1415.46"/>
  </r>
  <r>
    <n v="131589"/>
    <d v="2026-06-11T00:00:00"/>
    <x v="1"/>
    <n v="2"/>
    <x v="4"/>
    <n v="33.344000000000001"/>
    <n v="3.3343999999999999E-2"/>
    <n v="91.7"/>
  </r>
  <r>
    <n v="132133"/>
    <d v="2026-06-12T00:00:00"/>
    <x v="1"/>
    <n v="1"/>
    <x v="4"/>
    <n v="49.38"/>
    <n v="4.938E-2"/>
    <n v="150.01"/>
  </r>
  <r>
    <n v="132135"/>
    <d v="2026-06-12T00:00:00"/>
    <x v="1"/>
    <n v="12"/>
    <x v="4"/>
    <n v="464.16300000000001"/>
    <n v="0.46416299999999999"/>
    <n v="1666.02"/>
  </r>
  <r>
    <n v="132136"/>
    <d v="2026-06-12T00:00:00"/>
    <x v="1"/>
    <n v="1"/>
    <x v="0"/>
    <n v="38.020000000000003"/>
    <n v="3.8020000000000005E-2"/>
    <n v="157.47"/>
  </r>
  <r>
    <n v="132569"/>
    <d v="2026-06-12T00:00:00"/>
    <x v="1"/>
    <n v="13"/>
    <x v="4"/>
    <n v="777.86099999999999"/>
    <n v="0.77786100000000002"/>
    <n v="2801.79"/>
  </r>
  <r>
    <n v="132835"/>
    <d v="2026-06-12T00:00:00"/>
    <x v="1"/>
    <n v="16"/>
    <x v="4"/>
    <n v="721.29100000000005"/>
    <n v="0.72129100000000002"/>
    <n v="2419.4899999999998"/>
  </r>
  <r>
    <n v="132952"/>
    <d v="2026-06-12T00:00:00"/>
    <x v="1"/>
    <n v="1"/>
    <x v="4"/>
    <n v="15.834"/>
    <n v="1.5834000000000001E-2"/>
    <n v="96.62"/>
  </r>
  <r>
    <n v="132951"/>
    <d v="2026-06-12T00:00:00"/>
    <x v="1"/>
    <n v="17"/>
    <x v="4"/>
    <n v="629.13599999999997"/>
    <n v="0.62913599999999992"/>
    <n v="2528.9899999999998"/>
  </r>
  <r>
    <n v="132854"/>
    <d v="2026-06-12T00:00:00"/>
    <x v="1"/>
    <n v="8"/>
    <x v="4"/>
    <n v="466.83600000000001"/>
    <n v="0.46683600000000003"/>
    <n v="1684.08"/>
  </r>
  <r>
    <n v="133150"/>
    <d v="2026-06-13T00:00:00"/>
    <x v="1"/>
    <n v="17"/>
    <x v="4"/>
    <n v="653.51099999999997"/>
    <n v="0.65351099999999995"/>
    <n v="2539.4899999999998"/>
  </r>
  <r>
    <n v="133151"/>
    <d v="2026-06-13T00:00:00"/>
    <x v="1"/>
    <n v="1"/>
    <x v="4"/>
    <n v="49.725000000000001"/>
    <n v="4.9724999999999998E-2"/>
    <n v="201.4"/>
  </r>
  <r>
    <n v="133152"/>
    <d v="2026-06-13T00:00:00"/>
    <x v="1"/>
    <n v="18"/>
    <x v="4"/>
    <n v="843.75400000000002"/>
    <n v="0.843754"/>
    <n v="2943.8"/>
  </r>
  <r>
    <n v="133153"/>
    <d v="2026-06-13T00:00:00"/>
    <x v="1"/>
    <n v="8"/>
    <x v="4"/>
    <n v="448.92899999999997"/>
    <n v="0.44892899999999997"/>
    <n v="1731.93"/>
  </r>
  <r>
    <n v="133154"/>
    <d v="2026-06-13T00:00:00"/>
    <x v="1"/>
    <n v="13"/>
    <x v="4"/>
    <n v="512.98400000000004"/>
    <n v="0.512984"/>
    <n v="2246.04"/>
  </r>
  <r>
    <n v="133155"/>
    <d v="2026-06-13T00:00:00"/>
    <x v="1"/>
    <n v="14"/>
    <x v="4"/>
    <n v="746.06799999999998"/>
    <n v="0.74606799999999995"/>
    <n v="2583.52"/>
  </r>
  <r>
    <n v="133225"/>
    <d v="2026-06-15T00:00:00"/>
    <x v="1"/>
    <n v="9"/>
    <x v="0"/>
    <n v="468.86799999999999"/>
    <n v="0.46886800000000001"/>
    <n v="1591.06"/>
  </r>
  <r>
    <n v="133226"/>
    <d v="2026-06-15T00:00:00"/>
    <x v="1"/>
    <n v="2"/>
    <x v="0"/>
    <n v="38.414000000000001"/>
    <n v="3.8414000000000004E-2"/>
    <n v="234.65"/>
  </r>
  <r>
    <n v="133485"/>
    <d v="2026-06-15T00:00:00"/>
    <x v="1"/>
    <n v="1"/>
    <x v="0"/>
    <n v="34.222000000000001"/>
    <n v="3.4222000000000002E-2"/>
    <n v="135.25"/>
  </r>
  <r>
    <n v="133932"/>
    <d v="2026-06-15T00:00:00"/>
    <x v="1"/>
    <n v="11"/>
    <x v="4"/>
    <n v="423.77800000000002"/>
    <n v="0.42377800000000004"/>
    <n v="1601.03"/>
  </r>
  <r>
    <n v="133969"/>
    <d v="2026-06-15T00:00:00"/>
    <x v="1"/>
    <n v="20"/>
    <x v="4"/>
    <n v="842.69799999999998"/>
    <n v="0.84269799999999995"/>
    <n v="3216.27"/>
  </r>
  <r>
    <n v="134260"/>
    <d v="2026-06-15T00:00:00"/>
    <x v="1"/>
    <n v="1"/>
    <x v="4"/>
    <n v="13.64"/>
    <n v="1.3640000000000001E-2"/>
    <n v="89.08"/>
  </r>
  <r>
    <n v="134259"/>
    <d v="2026-06-15T00:00:00"/>
    <x v="1"/>
    <n v="10"/>
    <x v="4"/>
    <n v="282.00799999999998"/>
    <n v="0.28200799999999998"/>
    <n v="1110.5899999999999"/>
  </r>
  <r>
    <n v="134402"/>
    <d v="2026-06-15T00:00:00"/>
    <x v="1"/>
    <n v="17"/>
    <x v="4"/>
    <n v="835.22799999999995"/>
    <n v="0.83522799999999997"/>
    <n v="2939.37"/>
  </r>
  <r>
    <n v="134412"/>
    <d v="2026-06-15T00:00:00"/>
    <x v="1"/>
    <n v="19"/>
    <x v="4"/>
    <n v="221.89099999999999"/>
    <n v="0.221891"/>
    <n v="1317.97"/>
  </r>
  <r>
    <n v="134453"/>
    <d v="2026-06-15T00:00:00"/>
    <x v="1"/>
    <n v="28"/>
    <x v="4"/>
    <n v="319.91000000000003"/>
    <n v="0.31991000000000003"/>
    <n v="1800.64"/>
  </r>
  <r>
    <n v="134454"/>
    <d v="2026-06-15T00:00:00"/>
    <x v="1"/>
    <n v="3"/>
    <x v="4"/>
    <n v="34.53"/>
    <n v="3.4529999999999998E-2"/>
    <n v="196.77"/>
  </r>
  <r>
    <n v="134455"/>
    <d v="2026-06-15T00:00:00"/>
    <x v="1"/>
    <n v="14"/>
    <x v="4"/>
    <n v="161.13999999999999"/>
    <n v="0.16113999999999998"/>
    <n v="909.59"/>
  </r>
  <r>
    <n v="134456"/>
    <d v="2026-06-15T00:00:00"/>
    <x v="1"/>
    <n v="18"/>
    <x v="4"/>
    <n v="1146.3030000000001"/>
    <n v="1.1463030000000001"/>
    <n v="3830.35"/>
  </r>
  <r>
    <n v="134503"/>
    <d v="2026-06-15T00:00:00"/>
    <x v="1"/>
    <n v="9"/>
    <x v="5"/>
    <n v="329.05799999999999"/>
    <n v="0.32905800000000002"/>
    <n v="1432.53"/>
  </r>
  <r>
    <n v="134903"/>
    <d v="2026-06-16T00:00:00"/>
    <x v="1"/>
    <n v="8"/>
    <x v="4"/>
    <n v="111.753"/>
    <n v="0.11175300000000001"/>
    <n v="727.47"/>
  </r>
  <r>
    <n v="135250"/>
    <d v="2026-06-16T00:00:00"/>
    <x v="1"/>
    <n v="24"/>
    <x v="4"/>
    <n v="587.62099999999998"/>
    <n v="0.58762099999999995"/>
    <n v="3033.74"/>
  </r>
  <r>
    <n v="135921"/>
    <d v="2026-06-16T00:00:00"/>
    <x v="1"/>
    <n v="13"/>
    <x v="4"/>
    <n v="762.005"/>
    <n v="0.76200500000000004"/>
    <n v="2655.41"/>
  </r>
  <r>
    <n v="135031"/>
    <d v="2026-06-17T00:00:00"/>
    <x v="1"/>
    <n v="16"/>
    <x v="4"/>
    <n v="1060.6959999999999"/>
    <n v="1.0606959999999999"/>
    <n v="3609.75"/>
  </r>
  <r>
    <n v="137020"/>
    <d v="2026-06-17T00:00:00"/>
    <x v="1"/>
    <n v="12"/>
    <x v="4"/>
    <n v="546.95299999999997"/>
    <n v="0.54695300000000002"/>
    <n v="1966.69"/>
  </r>
  <r>
    <n v="136870"/>
    <d v="2026-06-17T00:00:00"/>
    <x v="1"/>
    <n v="18"/>
    <x v="4"/>
    <n v="1054.5840000000001"/>
    <n v="1.054584"/>
    <n v="3349.82"/>
  </r>
  <r>
    <n v="136869"/>
    <d v="2026-06-17T00:00:00"/>
    <x v="1"/>
    <n v="21"/>
    <x v="4"/>
    <n v="473.084"/>
    <n v="0.473084"/>
    <n v="2575.23"/>
  </r>
  <r>
    <n v="137090"/>
    <d v="2026-06-17T00:00:00"/>
    <x v="1"/>
    <n v="50"/>
    <x v="4"/>
    <n v="573.91999999999996"/>
    <n v="0.57391999999999999"/>
    <n v="3230.69"/>
  </r>
  <r>
    <n v="137091"/>
    <d v="2026-06-17T00:00:00"/>
    <x v="1"/>
    <n v="18"/>
    <x v="4"/>
    <n v="263.59199999999998"/>
    <n v="0.26359199999999999"/>
    <n v="263.59199999999998"/>
  </r>
  <r>
    <n v="137158"/>
    <d v="2026-06-17T00:00:00"/>
    <x v="1"/>
    <n v="11"/>
    <x v="4"/>
    <n v="4.758"/>
    <n v="4.7580000000000001E-3"/>
    <n v="37.25"/>
  </r>
  <r>
    <n v="138511"/>
    <d v="2026-06-19T00:00:00"/>
    <x v="1"/>
    <n v="9"/>
    <x v="0"/>
    <n v="259.12900000000002"/>
    <n v="0.259129"/>
    <n v="851.27"/>
  </r>
  <r>
    <n v="138525"/>
    <d v="2026-06-19T00:00:00"/>
    <x v="1"/>
    <n v="18"/>
    <x v="4"/>
    <n v="726.48299999999995"/>
    <n v="0.72648299999999999"/>
    <n v="3348.98"/>
  </r>
  <r>
    <n v="138801"/>
    <d v="2026-06-19T00:00:00"/>
    <x v="1"/>
    <n v="8"/>
    <x v="6"/>
    <n v="387.24"/>
    <n v="0.38724000000000003"/>
    <n v="1481.85"/>
  </r>
  <r>
    <n v="139239"/>
    <d v="2026-06-19T00:00:00"/>
    <x v="1"/>
    <n v="2"/>
    <x v="4"/>
    <n v="49.959000000000003"/>
    <n v="4.9959000000000003E-2"/>
    <n v="514.41999999999996"/>
  </r>
  <r>
    <n v="139560"/>
    <d v="2026-06-22T00:00:00"/>
    <x v="1"/>
    <n v="9"/>
    <x v="0"/>
    <n v="446.45"/>
    <n v="0.44645000000000001"/>
    <n v="1600.77"/>
  </r>
  <r>
    <n v="139729"/>
    <d v="2026-06-22T00:00:00"/>
    <x v="1"/>
    <n v="16"/>
    <x v="4"/>
    <n v="843.971"/>
    <n v="0.84397100000000003"/>
    <n v="3033.8"/>
  </r>
  <r>
    <n v="139827"/>
    <d v="2026-06-22T00:00:00"/>
    <x v="1"/>
    <n v="16"/>
    <x v="4"/>
    <n v="776.60799999999995"/>
    <n v="0.77660799999999997"/>
    <n v="2762.94"/>
  </r>
  <r>
    <n v="139915"/>
    <d v="2026-06-22T00:00:00"/>
    <x v="1"/>
    <n v="11"/>
    <x v="4"/>
    <n v="584.02499999999998"/>
    <n v="0.58402500000000002"/>
    <n v="2385.21"/>
  </r>
  <r>
    <n v="140832"/>
    <d v="2026-06-23T00:00:00"/>
    <x v="1"/>
    <n v="2"/>
    <x v="4"/>
    <n v="75.12"/>
    <n v="7.5120000000000006E-2"/>
    <n v="244.53"/>
  </r>
  <r>
    <n v="141334"/>
    <d v="2026-06-23T00:00:00"/>
    <x v="1"/>
    <n v="240"/>
    <x v="1"/>
    <n v="5264.88"/>
    <n v="5.2648799999999998"/>
    <n v="28958.400000000001"/>
  </r>
  <r>
    <n v="141343"/>
    <d v="2026-06-23T00:00:00"/>
    <x v="1"/>
    <n v="4"/>
    <x v="1"/>
    <n v="198.9"/>
    <n v="0.19889999999999999"/>
    <n v="746.95"/>
  </r>
  <r>
    <n v="141960"/>
    <d v="2026-06-23T00:00:00"/>
    <x v="1"/>
    <n v="171"/>
    <x v="4"/>
    <n v="1404.4690000000001"/>
    <n v="1.404469"/>
    <n v="7909.53"/>
  </r>
  <r>
    <n v="141961"/>
    <d v="2026-06-23T00:00:00"/>
    <x v="1"/>
    <n v="6"/>
    <x v="4"/>
    <n v="57.5"/>
    <n v="5.7500000000000002E-2"/>
    <n v="296.39999999999998"/>
  </r>
  <r>
    <n v="142125"/>
    <d v="2026-06-24T00:00:00"/>
    <x v="1"/>
    <n v="2"/>
    <x v="2"/>
    <n v="71.721000000000004"/>
    <n v="7.1721000000000007E-2"/>
    <n v="409.52"/>
  </r>
  <r>
    <n v="142270"/>
    <d v="2026-06-24T00:00:00"/>
    <x v="1"/>
    <n v="19"/>
    <x v="0"/>
    <n v="827.197"/>
    <n v="0.82719699999999996"/>
    <n v="2991.58"/>
  </r>
  <r>
    <n v="143173"/>
    <d v="2026-06-25T00:00:00"/>
    <x v="1"/>
    <n v="11"/>
    <x v="0"/>
    <n v="377.47399999999999"/>
    <n v="0.37747399999999998"/>
    <n v="1458.43"/>
  </r>
  <r>
    <n v="143504"/>
    <d v="2026-06-25T00:00:00"/>
    <x v="1"/>
    <n v="201"/>
    <x v="4"/>
    <n v="2157.3780000000002"/>
    <n v="2.157378"/>
    <n v="12355.45"/>
  </r>
  <r>
    <n v="143517"/>
    <d v="2026-06-25T00:00:00"/>
    <x v="1"/>
    <n v="6"/>
    <x v="4"/>
    <n v="115.242"/>
    <n v="0.11524200000000001"/>
    <n v="703.94"/>
  </r>
  <r>
    <n v="143578"/>
    <d v="2026-06-26T00:00:00"/>
    <x v="1"/>
    <n v="26"/>
    <x v="4"/>
    <n v="1227.3869999999999"/>
    <n v="1.227387"/>
    <n v="4931.0600000000004"/>
  </r>
  <r>
    <n v="143518"/>
    <d v="2026-06-25T00:00:00"/>
    <x v="1"/>
    <n v="32"/>
    <x v="4"/>
    <n v="1466.7550000000001"/>
    <n v="1.466755"/>
    <n v="5405.7"/>
  </r>
  <r>
    <n v="143695"/>
    <d v="2026-06-26T00:00:00"/>
    <x v="1"/>
    <n v="20"/>
    <x v="4"/>
    <n v="1056.1479999999999"/>
    <n v="1.0561479999999999"/>
    <n v="3470"/>
  </r>
  <r>
    <n v="143809"/>
    <d v="2026-06-26T00:00:00"/>
    <x v="1"/>
    <n v="4"/>
    <x v="0"/>
    <n v="251.59399999999999"/>
    <n v="0.25159399999999998"/>
    <n v="845.38"/>
  </r>
  <r>
    <n v="146902"/>
    <d v="2026-06-30T00:00:00"/>
    <x v="1"/>
    <n v="24"/>
    <x v="0"/>
    <n v="1241.212"/>
    <n v="1.241212"/>
    <n v="4269.53"/>
  </r>
  <r>
    <n v="147189"/>
    <d v="2026-06-30T00:00:00"/>
    <x v="1"/>
    <n v="10"/>
    <x v="0"/>
    <n v="134.822"/>
    <n v="0.134822"/>
    <n v="877.11"/>
  </r>
  <r>
    <n v="147786"/>
    <d v="2026-07-01T00:00:00"/>
    <x v="2"/>
    <n v="13"/>
    <x v="0"/>
    <n v="510.82"/>
    <n v="0.51081999999999994"/>
    <n v="1969.29"/>
  </r>
  <r>
    <n v="148011"/>
    <d v="2026-07-01T00:00:00"/>
    <x v="2"/>
    <n v="6"/>
    <x v="0"/>
    <n v="74.45"/>
    <n v="7.4450000000000002E-2"/>
    <n v="698.11"/>
  </r>
  <r>
    <n v="148365"/>
    <d v="2026-07-02T00:00:00"/>
    <x v="2"/>
    <n v="8"/>
    <x v="0"/>
    <n v="358.89100000000002"/>
    <n v="0.35889100000000002"/>
    <n v="1180.99"/>
  </r>
  <r>
    <n v="149271"/>
    <d v="2026-07-03T00:00:00"/>
    <x v="2"/>
    <n v="8"/>
    <x v="0"/>
    <n v="415.35300000000001"/>
    <n v="0.41535300000000003"/>
    <n v="1380.74"/>
  </r>
  <r>
    <n v="150616"/>
    <d v="2026-07-06T00:00:00"/>
    <x v="2"/>
    <n v="11"/>
    <x v="4"/>
    <n v="539.81100000000004"/>
    <n v="0.53981100000000004"/>
    <n v="1972.77"/>
  </r>
  <r>
    <n v="150876"/>
    <d v="2026-07-06T00:00:00"/>
    <x v="2"/>
    <n v="27"/>
    <x v="4"/>
    <n v="1133.26"/>
    <n v="1.1332599999999999"/>
    <n v="4088.94"/>
  </r>
  <r>
    <n v="150877"/>
    <d v="2026-07-06T00:00:00"/>
    <x v="2"/>
    <n v="1"/>
    <x v="4"/>
    <n v="38.512"/>
    <n v="3.8511999999999998E-2"/>
    <n v="168.68"/>
  </r>
  <r>
    <n v="152095"/>
    <d v="2026-07-07T00:00:00"/>
    <x v="2"/>
    <n v="18"/>
    <x v="0"/>
    <n v="876.96199999999999"/>
    <n v="0.87696200000000002"/>
    <n v="3124"/>
  </r>
  <r>
    <n v="152897"/>
    <d v="2026-07-07T00:00:00"/>
    <x v="2"/>
    <n v="31"/>
    <x v="4"/>
    <n v="858.15499999999997"/>
    <n v="0.858155"/>
    <n v="3683.83"/>
  </r>
  <r>
    <n v="153112"/>
    <d v="2026-07-08T00:00:00"/>
    <x v="2"/>
    <n v="8"/>
    <x v="0"/>
    <n v="357.24299999999999"/>
    <n v="0.35724299999999998"/>
    <n v="1293.32"/>
  </r>
  <r>
    <n v="154390"/>
    <d v="2026-07-09T00:00:00"/>
    <x v="2"/>
    <n v="13"/>
    <x v="0"/>
    <n v="635.06299999999999"/>
    <n v="0.63506299999999993"/>
    <n v="2555.54"/>
  </r>
  <r>
    <n v="154394"/>
    <d v="2026-07-09T00:00:00"/>
    <x v="2"/>
    <n v="5"/>
    <x v="4"/>
    <n v="321.65100000000001"/>
    <n v="0.32165100000000002"/>
    <n v="1051.49"/>
  </r>
  <r>
    <n v="154399"/>
    <d v="2026-07-09T00:00:00"/>
    <x v="2"/>
    <n v="6"/>
    <x v="4"/>
    <n v="75.462000000000003"/>
    <n v="7.5462000000000001E-2"/>
    <n v="606.6"/>
  </r>
  <r>
    <n v="155596"/>
    <d v="2026-07-10T00:00:00"/>
    <x v="2"/>
    <n v="4"/>
    <x v="0"/>
    <n v="255.839"/>
    <n v="0.25583899999999998"/>
    <n v="940.64"/>
  </r>
  <r>
    <n v="155626"/>
    <d v="2026-07-10T00:00:00"/>
    <x v="2"/>
    <n v="9"/>
    <x v="0"/>
    <n v="128.309"/>
    <n v="0.12830900000000001"/>
    <n v="980.11"/>
  </r>
  <r>
    <n v="157004"/>
    <d v="2026-07-10T00:00:00"/>
    <x v="2"/>
    <n v="16"/>
    <x v="7"/>
    <n v="765.71199999999999"/>
    <n v="0.76571199999999995"/>
    <n v="3521.33"/>
  </r>
  <r>
    <n v="157005"/>
    <d v="2026-07-10T00:00:00"/>
    <x v="2"/>
    <n v="22"/>
    <x v="7"/>
    <n v="1034.528"/>
    <n v="1.0345280000000001"/>
    <n v="3175.48"/>
  </r>
  <r>
    <n v="157006"/>
    <d v="2026-07-10T00:00:00"/>
    <x v="2"/>
    <n v="10"/>
    <x v="7"/>
    <n v="589.67999999999995"/>
    <n v="0.58967999999999998"/>
    <n v="2864.76"/>
  </r>
  <r>
    <n v="157007"/>
    <d v="2026-07-10T00:00:00"/>
    <x v="2"/>
    <n v="14"/>
    <x v="7"/>
    <n v="825.55200000000002"/>
    <n v="0.82555200000000006"/>
    <n v="4010.66"/>
  </r>
  <r>
    <n v="157008"/>
    <d v="2026-07-10T00:00:00"/>
    <x v="2"/>
    <n v="12"/>
    <x v="7"/>
    <n v="664.56"/>
    <n v="0.66455999999999993"/>
    <n v="2050.75"/>
  </r>
  <r>
    <n v="157356"/>
    <d v="2026-07-13T00:00:00"/>
    <x v="2"/>
    <n v="6"/>
    <x v="0"/>
    <n v="268.72500000000002"/>
    <n v="0.26872500000000005"/>
    <n v="896.18"/>
  </r>
  <r>
    <n v="157693"/>
    <d v="2026-07-13T00:00:00"/>
    <x v="2"/>
    <n v="24"/>
    <x v="7"/>
    <n v="1128.576"/>
    <n v="1.128576"/>
    <n v="3464.16"/>
  </r>
  <r>
    <n v="158003"/>
    <d v="2026-07-13T00:00:00"/>
    <x v="2"/>
    <n v="16"/>
    <x v="4"/>
    <n v="888.81600000000003"/>
    <n v="0.88881600000000005"/>
    <n v="3421.07"/>
  </r>
  <r>
    <n v="158107"/>
    <d v="2026-07-13T00:00:00"/>
    <x v="2"/>
    <n v="25"/>
    <x v="4"/>
    <n v="1297.433"/>
    <n v="1.2974330000000001"/>
    <n v="4465.75"/>
  </r>
  <r>
    <n v="158655"/>
    <d v="2026-07-13T00:00:00"/>
    <x v="2"/>
    <n v="14"/>
    <x v="4"/>
    <n v="717.11"/>
    <n v="0.71711000000000003"/>
    <n v="2874.46"/>
  </r>
  <r>
    <n v="158777"/>
    <d v="2026-07-14T00:00:00"/>
    <x v="2"/>
    <n v="25"/>
    <x v="4"/>
    <n v="959.21500000000003"/>
    <n v="0.95921500000000004"/>
    <n v="3816.15"/>
  </r>
  <r>
    <n v="159093"/>
    <d v="2026-07-14T00:00:00"/>
    <x v="2"/>
    <n v="18"/>
    <x v="4"/>
    <n v="951.38499999999999"/>
    <n v="0.95138500000000004"/>
    <n v="3186.34"/>
  </r>
  <r>
    <n v="159096"/>
    <d v="2026-07-14T00:00:00"/>
    <x v="2"/>
    <n v="17"/>
    <x v="4"/>
    <n v="1054.0450000000001"/>
    <n v="1.0540450000000001"/>
    <n v="3578.97"/>
  </r>
  <r>
    <n v="159114"/>
    <d v="2026-07-14T00:00:00"/>
    <x v="2"/>
    <n v="10"/>
    <x v="0"/>
    <n v="510.47"/>
    <n v="0.51046999999999998"/>
    <n v="1802.6"/>
  </r>
  <r>
    <n v="159744"/>
    <d v="2026-07-15T00:00:00"/>
    <x v="2"/>
    <n v="2"/>
    <x v="4"/>
    <n v="23.02"/>
    <n v="2.3019999999999999E-2"/>
    <n v="125.58"/>
  </r>
  <r>
    <n v="159778"/>
    <d v="2026-07-15T00:00:00"/>
    <x v="2"/>
    <n v="32"/>
    <x v="4"/>
    <n v="1681.798"/>
    <n v="1.6817979999999999"/>
    <n v="6089.72"/>
  </r>
  <r>
    <n v="160017"/>
    <d v="2026-07-15T00:00:00"/>
    <x v="2"/>
    <n v="11"/>
    <x v="4"/>
    <n v="716.96400000000006"/>
    <n v="0.71696400000000005"/>
    <n v="2595.2800000000002"/>
  </r>
  <r>
    <n v="160018"/>
    <d v="2026-07-15T00:00:00"/>
    <x v="2"/>
    <n v="17"/>
    <x v="4"/>
    <n v="1035.633"/>
    <n v="1.035633"/>
    <n v="3448.92"/>
  </r>
  <r>
    <n v="160065"/>
    <d v="2026-07-15T00:00:00"/>
    <x v="2"/>
    <n v="14"/>
    <x v="4"/>
    <n v="505.19099999999997"/>
    <n v="0.50519099999999995"/>
    <n v="2020.15"/>
  </r>
  <r>
    <n v="160396"/>
    <d v="2026-07-15T00:00:00"/>
    <x v="2"/>
    <n v="5"/>
    <x v="0"/>
    <n v="70.415000000000006"/>
    <n v="7.0415000000000005E-2"/>
    <n v="393.35"/>
  </r>
  <r>
    <n v="160327"/>
    <d v="2026-07-15T00:00:00"/>
    <x v="2"/>
    <n v="10"/>
    <x v="4"/>
    <n v="115.1"/>
    <n v="0.11509999999999999"/>
    <n v="632.96"/>
  </r>
  <r>
    <n v="160401"/>
    <d v="2026-07-15T00:00:00"/>
    <x v="2"/>
    <n v="2"/>
    <x v="4"/>
    <n v="32.994"/>
    <n v="3.2994000000000002E-2"/>
    <n v="267.43"/>
  </r>
  <r>
    <n v="161133"/>
    <d v="2026-07-16T00:00:00"/>
    <x v="2"/>
    <n v="11"/>
    <x v="0"/>
    <n v="360.63099999999997"/>
    <n v="0.36063099999999998"/>
    <n v="1444.33"/>
  </r>
  <r>
    <n v="162244"/>
    <d v="2026-07-17T00:00:00"/>
    <x v="2"/>
    <n v="8"/>
    <x v="4"/>
    <n v="476.529"/>
    <n v="0.47652899999999998"/>
    <n v="1676.62"/>
  </r>
  <r>
    <n v="162303"/>
    <d v="2026-07-17T00:00:00"/>
    <x v="2"/>
    <n v="13"/>
    <x v="4"/>
    <n v="754.82899999999995"/>
    <n v="0.75482899999999997"/>
    <n v="2676.42"/>
  </r>
  <r>
    <n v="162474"/>
    <d v="2026-07-17T00:00:00"/>
    <x v="2"/>
    <n v="16"/>
    <x v="0"/>
    <n v="969.47500000000002"/>
    <n v="0.96947499999999998"/>
    <n v="3206.56"/>
  </r>
  <r>
    <n v="162528"/>
    <d v="2026-07-17T00:00:00"/>
    <x v="2"/>
    <n v="17"/>
    <x v="4"/>
    <n v="423.524"/>
    <n v="0.42352400000000001"/>
    <n v="2396.7600000000002"/>
  </r>
  <r>
    <n v="162546"/>
    <d v="2026-07-17T00:00:00"/>
    <x v="2"/>
    <n v="1"/>
    <x v="4"/>
    <n v="38.512"/>
    <n v="3.8511999999999998E-2"/>
    <n v="168.68"/>
  </r>
  <r>
    <n v="163047"/>
    <d v="2026-07-17T00:00:00"/>
    <x v="2"/>
    <n v="1"/>
    <x v="4"/>
    <n v="38.512"/>
    <n v="3.8511999999999998E-2"/>
    <n v="167.62"/>
  </r>
  <r>
    <n v="163763"/>
    <d v="2026-07-20T00:00:00"/>
    <x v="2"/>
    <n v="19"/>
    <x v="0"/>
    <n v="760.36500000000001"/>
    <n v="0.76036499999999996"/>
    <n v="3212.94"/>
  </r>
  <r>
    <n v="163768"/>
    <d v="2026-07-20T00:00:00"/>
    <x v="2"/>
    <n v="10"/>
    <x v="4"/>
    <n v="467.17399999999998"/>
    <n v="0.46717399999999998"/>
    <n v="2099.13"/>
  </r>
  <r>
    <n v="163946"/>
    <d v="2026-07-20T00:00:00"/>
    <x v="2"/>
    <n v="18"/>
    <x v="4"/>
    <n v="762.32"/>
    <n v="0.76232"/>
    <n v="2823.06"/>
  </r>
  <r>
    <n v="163951"/>
    <d v="2026-07-20T00:00:00"/>
    <x v="2"/>
    <n v="12"/>
    <x v="4"/>
    <n v="597.57299999999998"/>
    <n v="0.59757300000000002"/>
    <n v="1857.08"/>
  </r>
  <r>
    <n v="164107"/>
    <d v="2026-07-20T00:00:00"/>
    <x v="2"/>
    <n v="9"/>
    <x v="4"/>
    <n v="122.751"/>
    <n v="0.122751"/>
    <n v="869.99"/>
  </r>
  <r>
    <n v="164108"/>
    <d v="2026-07-20T00:00:00"/>
    <x v="2"/>
    <n v="13"/>
    <x v="4"/>
    <n v="149.63"/>
    <n v="0.14962999999999999"/>
    <n v="986.21"/>
  </r>
  <r>
    <n v="164326"/>
    <d v="2026-07-20T00:00:00"/>
    <x v="2"/>
    <n v="12"/>
    <x v="4"/>
    <n v="597.57299999999998"/>
    <n v="0.59757300000000002"/>
    <n v="1858.42"/>
  </r>
  <r>
    <n v="164349"/>
    <d v="2026-07-20T00:00:00"/>
    <x v="2"/>
    <n v="3"/>
    <x v="0"/>
    <n v="2.496"/>
    <n v="2.496E-3"/>
    <n v="21.39"/>
  </r>
  <r>
    <n v="165100"/>
    <d v="2026-07-20T00:00:00"/>
    <x v="2"/>
    <n v="47"/>
    <x v="7"/>
    <n v="1251.9390000000001"/>
    <n v="1.2519390000000001"/>
    <n v="7282.51"/>
  </r>
  <r>
    <n v="165101"/>
    <d v="2026-07-20T00:00:00"/>
    <x v="2"/>
    <n v="17"/>
    <x v="7"/>
    <n v="1150.3050000000001"/>
    <n v="1.1503050000000001"/>
    <n v="3585.05"/>
  </r>
  <r>
    <n v="165114"/>
    <d v="2026-07-20T00:00:00"/>
    <x v="2"/>
    <n v="18"/>
    <x v="7"/>
    <n v="766.92600000000004"/>
    <n v="0.766926"/>
    <n v="2665.82"/>
  </r>
  <r>
    <n v="165174"/>
    <d v="2026-07-21T00:00:00"/>
    <x v="2"/>
    <n v="20"/>
    <x v="7"/>
    <n v="1072.5"/>
    <n v="1.0725"/>
    <n v="3549.06"/>
  </r>
  <r>
    <n v="165357"/>
    <d v="2026-07-21T00:00:00"/>
    <x v="2"/>
    <n v="19"/>
    <x v="7"/>
    <n v="224.88399999999999"/>
    <n v="0.22488399999999997"/>
    <n v="912.1"/>
  </r>
  <r>
    <n v="165359"/>
    <d v="2026-07-21T00:00:00"/>
    <x v="2"/>
    <n v="9"/>
    <x v="7"/>
    <n v="323.62200000000001"/>
    <n v="0.32362200000000002"/>
    <n v="1396.56"/>
  </r>
  <r>
    <n v="165553"/>
    <d v="2026-07-21T00:00:00"/>
    <x v="2"/>
    <n v="6"/>
    <x v="7"/>
    <n v="215.74799999999999"/>
    <n v="0.215748"/>
    <n v="939.92"/>
  </r>
  <r>
    <n v="165612"/>
    <d v="2026-07-21T00:00:00"/>
    <x v="2"/>
    <n v="20"/>
    <x v="7"/>
    <n v="1043.24"/>
    <n v="1.0432399999999999"/>
    <n v="3437.92"/>
  </r>
  <r>
    <n v="165895"/>
    <d v="2026-07-21T00:00:00"/>
    <x v="2"/>
    <n v="13"/>
    <x v="0"/>
    <n v="465.21800000000002"/>
    <n v="0.46521800000000002"/>
    <n v="1763.54"/>
  </r>
  <r>
    <n v="166891"/>
    <d v="2026-07-22T00:00:00"/>
    <x v="2"/>
    <n v="19"/>
    <x v="4"/>
    <n v="539.00199999999995"/>
    <n v="0.53900199999999998"/>
    <n v="2815.2"/>
  </r>
  <r>
    <n v="166892"/>
    <d v="2026-07-22T00:00:00"/>
    <x v="2"/>
    <n v="6"/>
    <x v="0"/>
    <n v="295.52199999999999"/>
    <n v="0.29552200000000001"/>
    <n v="1078.8499999999999"/>
  </r>
  <r>
    <n v="167389"/>
    <d v="2026-07-22T00:00:00"/>
    <x v="2"/>
    <n v="15"/>
    <x v="4"/>
    <n v="507.79899999999998"/>
    <n v="0.507799"/>
    <n v="2591.9499999999998"/>
  </r>
  <r>
    <n v="167501"/>
    <d v="2026-07-22T00:00:00"/>
    <x v="2"/>
    <n v="19"/>
    <x v="4"/>
    <n v="402.12099999999998"/>
    <n v="0.40212100000000001"/>
    <n v="2533.46"/>
  </r>
  <r>
    <n v="167524"/>
    <d v="2026-07-22T00:00:00"/>
    <x v="2"/>
    <n v="14"/>
    <x v="4"/>
    <n v="931.60900000000004"/>
    <n v="0.93160900000000002"/>
    <n v="3554.15"/>
  </r>
  <r>
    <n v="167841"/>
    <d v="2026-07-23T00:00:00"/>
    <x v="2"/>
    <n v="21"/>
    <x v="4"/>
    <n v="258.66399999999999"/>
    <n v="0.25866400000000001"/>
    <n v="1527.13"/>
  </r>
  <r>
    <n v="167847"/>
    <d v="2026-07-23T00:00:00"/>
    <x v="2"/>
    <n v="1"/>
    <x v="4"/>
    <n v="3.9"/>
    <n v="3.8999999999999998E-3"/>
    <n v="15.34"/>
  </r>
  <r>
    <n v="167935"/>
    <d v="2026-07-23T00:00:00"/>
    <x v="2"/>
    <n v="5"/>
    <x v="0"/>
    <n v="229.36500000000001"/>
    <n v="0.22936500000000001"/>
    <n v="1031.03"/>
  </r>
  <r>
    <n v="167936"/>
    <d v="2026-07-23T00:00:00"/>
    <x v="2"/>
    <n v="2"/>
    <x v="4"/>
    <n v="36.171999999999997"/>
    <n v="3.6171999999999996E-2"/>
    <n v="253.68"/>
  </r>
  <r>
    <n v="168809"/>
    <d v="2026-07-24T00:00:00"/>
    <x v="2"/>
    <n v="10"/>
    <x v="0"/>
    <n v="410.21899999999999"/>
    <n v="0.410219"/>
    <n v="1658.66"/>
  </r>
  <r>
    <n v="169093"/>
    <d v="2026-07-24T00:00:00"/>
    <x v="2"/>
    <n v="1"/>
    <x v="0"/>
    <n v="28.08"/>
    <n v="2.8079999999999997E-2"/>
    <n v="90.88"/>
  </r>
  <r>
    <n v="169129"/>
    <d v="2026-07-24T00:00:00"/>
    <x v="2"/>
    <n v="11"/>
    <x v="7"/>
    <n v="293.00700000000001"/>
    <n v="0.29300700000000002"/>
    <n v="1688.25"/>
  </r>
  <r>
    <n v="169130"/>
    <d v="2026-07-24T00:00:00"/>
    <x v="2"/>
    <n v="10"/>
    <x v="7"/>
    <n v="400.33"/>
    <n v="0.40032999999999996"/>
    <n v="1863.8"/>
  </r>
  <r>
    <n v="169131"/>
    <d v="2026-07-24T00:00:00"/>
    <x v="2"/>
    <n v="40"/>
    <x v="7"/>
    <n v="1772.52"/>
    <n v="1.7725199999999999"/>
    <n v="5953.84"/>
  </r>
  <r>
    <n v="169132"/>
    <d v="2026-07-24T00:00:00"/>
    <x v="2"/>
    <n v="6"/>
    <x v="7"/>
    <n v="82.88"/>
    <n v="8.2879999999999995E-2"/>
    <n v="456.27"/>
  </r>
  <r>
    <n v="169770"/>
    <d v="2026-07-27T00:00:00"/>
    <x v="2"/>
    <n v="21"/>
    <x v="4"/>
    <n v="1050.693"/>
    <n v="1.0506929999999999"/>
    <n v="3903.11"/>
  </r>
  <r>
    <n v="169862"/>
    <d v="2026-07-27T00:00:00"/>
    <x v="2"/>
    <n v="25"/>
    <x v="4"/>
    <n v="1208.4760000000001"/>
    <n v="1.2084760000000001"/>
    <n v="4943.71"/>
  </r>
  <r>
    <n v="170016"/>
    <d v="2026-07-27T00:00:00"/>
    <x v="2"/>
    <n v="83"/>
    <x v="7"/>
    <n v="744.51"/>
    <n v="0.74451000000000001"/>
    <n v="7178.79"/>
  </r>
  <r>
    <n v="170116"/>
    <d v="2026-07-27T00:00:00"/>
    <x v="2"/>
    <n v="17"/>
    <x v="4"/>
    <n v="938.88499999999999"/>
    <n v="0.93888499999999997"/>
    <n v="3498.63"/>
  </r>
  <r>
    <n v="170374"/>
    <d v="2026-07-27T00:00:00"/>
    <x v="2"/>
    <n v="11"/>
    <x v="0"/>
    <n v="546.95299999999997"/>
    <n v="0.54695300000000002"/>
    <n v="1915.7"/>
  </r>
  <r>
    <n v="170758"/>
    <d v="2026-07-27T00:00:00"/>
    <x v="2"/>
    <n v="5"/>
    <x v="0"/>
    <n v="86.287000000000006"/>
    <n v="8.6287000000000003E-2"/>
    <n v="645.04999999999995"/>
  </r>
  <r>
    <n v="170759"/>
    <d v="2026-07-27T00:00:00"/>
    <x v="2"/>
    <n v="7"/>
    <x v="4"/>
    <n v="53.625"/>
    <n v="5.3624999999999999E-2"/>
    <n v="195.38"/>
  </r>
  <r>
    <n v="171274"/>
    <d v="2026-07-28T00:00:00"/>
    <x v="2"/>
    <n v="14"/>
    <x v="0"/>
    <n v="515.48199999999997"/>
    <n v="0.515482"/>
    <n v="1774.92"/>
  </r>
  <r>
    <n v="171377"/>
    <d v="2026-07-28T00:00:00"/>
    <x v="2"/>
    <n v="130"/>
    <x v="7"/>
    <n v="4792.924"/>
    <n v="4.7929240000000002"/>
    <n v="20155.54"/>
  </r>
  <r>
    <n v="171386"/>
    <d v="2026-07-28T00:00:00"/>
    <x v="2"/>
    <n v="57"/>
    <x v="7"/>
    <n v="1083.7750000000001"/>
    <n v="1.0837750000000002"/>
    <n v="3932.74"/>
  </r>
  <r>
    <n v="171387"/>
    <d v="2026-07-28T00:00:00"/>
    <x v="2"/>
    <n v="9"/>
    <x v="0"/>
    <n v="419.78699999999998"/>
    <n v="0.41978699999999997"/>
    <n v="1554.63"/>
  </r>
  <r>
    <n v="171794"/>
    <d v="2026-07-28T00:00:00"/>
    <x v="2"/>
    <n v="20"/>
    <x v="4"/>
    <n v="1162.796"/>
    <n v="1.1627959999999999"/>
    <n v="4394.92"/>
  </r>
  <r>
    <n v="171913"/>
    <d v="2026-07-28T00:00:00"/>
    <x v="2"/>
    <n v="14"/>
    <x v="0"/>
    <n v="161.13999999999999"/>
    <n v="0.16113999999999998"/>
    <n v="1002.83"/>
  </r>
  <r>
    <n v="172947"/>
    <d v="2026-07-30T00:00:00"/>
    <x v="2"/>
    <n v="10"/>
    <x v="0"/>
    <n v="165.495"/>
    <n v="0.165495"/>
    <n v="1236.72"/>
  </r>
  <r>
    <n v="173274"/>
    <d v="2026-07-30T00:00:00"/>
    <x v="2"/>
    <n v="173"/>
    <x v="7"/>
    <n v="8895.9580000000005"/>
    <n v="8.8959580000000003"/>
    <n v="34216.29"/>
  </r>
  <r>
    <n v="173294"/>
    <d v="2026-07-30T00:00:00"/>
    <x v="2"/>
    <n v="166"/>
    <x v="7"/>
    <n v="7098.8609999999999"/>
    <n v="7.0988610000000003"/>
    <n v="25690.42"/>
  </r>
  <r>
    <n v="173304"/>
    <d v="2026-07-30T00:00:00"/>
    <x v="2"/>
    <n v="350"/>
    <x v="7"/>
    <n v="16805.936000000002"/>
    <n v="16.805936000000003"/>
    <n v="58915.1"/>
  </r>
  <r>
    <n v="173815"/>
    <d v="2026-07-30T00:00:00"/>
    <x v="2"/>
    <n v="154"/>
    <x v="7"/>
    <n v="6474.0079999999998"/>
    <n v="6.4740079999999995"/>
    <n v="21359.29"/>
  </r>
  <r>
    <n v="171490"/>
    <d v="2026-07-28T00:00:00"/>
    <x v="2"/>
    <n v="54"/>
    <x v="7"/>
    <n v="2289.7809999999999"/>
    <n v="2.2897810000000001"/>
    <n v="8630.64"/>
  </r>
  <r>
    <n v="174350"/>
    <d v="2026-07-31T00:00:00"/>
    <x v="2"/>
    <n v="6"/>
    <x v="4"/>
    <n v="301.42399999999998"/>
    <n v="0.30142399999999997"/>
    <n v="1113.97"/>
  </r>
  <r>
    <n v="174497"/>
    <d v="2026-07-31T00:00:00"/>
    <x v="2"/>
    <n v="11"/>
    <x v="4"/>
    <n v="602.72400000000005"/>
    <n v="0.60272400000000004"/>
    <n v="2179.21"/>
  </r>
  <r>
    <n v="174502"/>
    <d v="2026-07-31T00:00:00"/>
    <x v="2"/>
    <n v="1"/>
    <x v="4"/>
    <n v="66.787000000000006"/>
    <n v="6.6787000000000013E-2"/>
    <n v="218.9"/>
  </r>
  <r>
    <n v="175431"/>
    <d v="2026-08-03T00:00:00"/>
    <x v="3"/>
    <n v="17"/>
    <x v="0"/>
    <n v="617.87599999999998"/>
    <n v="0.61787599999999998"/>
    <n v="2247.42"/>
  </r>
  <r>
    <n v="175748"/>
    <d v="2026-08-03T00:00:00"/>
    <x v="3"/>
    <n v="186"/>
    <x v="7"/>
    <n v="7281.2749999999996"/>
    <n v="7.2812749999999999"/>
    <n v="22591.64"/>
  </r>
  <r>
    <n v="176102"/>
    <d v="2026-08-03T00:00:00"/>
    <x v="3"/>
    <n v="46"/>
    <x v="7"/>
    <n v="2373.288"/>
    <n v="2.3732880000000001"/>
    <n v="9055.01"/>
  </r>
  <r>
    <n v="176125"/>
    <d v="2026-08-04T00:00:00"/>
    <x v="3"/>
    <n v="19"/>
    <x v="0"/>
    <n v="826.20500000000004"/>
    <n v="0.82620500000000008"/>
    <n v="4107.91"/>
  </r>
  <r>
    <n v="176554"/>
    <d v="2026-08-04T00:00:00"/>
    <x v="3"/>
    <n v="14"/>
    <x v="4"/>
    <n v="880.077"/>
    <n v="0.880077"/>
    <n v="3592.6"/>
  </r>
  <r>
    <n v="176572"/>
    <d v="2026-08-04T00:00:00"/>
    <x v="3"/>
    <n v="14"/>
    <x v="4"/>
    <n v="891.38699999999994"/>
    <n v="0.89138699999999993"/>
    <n v="3938.73"/>
  </r>
  <r>
    <n v="176767"/>
    <d v="2026-08-04T00:00:00"/>
    <x v="3"/>
    <n v="11"/>
    <x v="4"/>
    <n v="445.53500000000003"/>
    <n v="0.44553500000000001"/>
    <n v="1750.18"/>
  </r>
  <r>
    <n v="176806"/>
    <d v="2026-08-04T00:00:00"/>
    <x v="3"/>
    <n v="1"/>
    <x v="4"/>
    <n v="6.1230000000000002"/>
    <n v="6.123E-3"/>
    <n v="46.81"/>
  </r>
  <r>
    <n v="177117"/>
    <d v="2026-08-05T00:00:00"/>
    <x v="3"/>
    <n v="10"/>
    <x v="0"/>
    <n v="389.56"/>
    <n v="0.38956000000000002"/>
    <n v="1292.43"/>
  </r>
  <r>
    <n v="177426"/>
    <d v="2026-08-05T00:00:00"/>
    <x v="3"/>
    <n v="5"/>
    <x v="4"/>
    <n v="57.55"/>
    <n v="5.7549999999999997E-2"/>
    <n v="328.33"/>
  </r>
  <r>
    <n v="178091"/>
    <d v="2026-08-06T00:00:00"/>
    <x v="3"/>
    <n v="10"/>
    <x v="0"/>
    <n v="348.51100000000002"/>
    <n v="0.34851100000000002"/>
    <n v="1410.31"/>
  </r>
  <r>
    <n v="178092"/>
    <d v="2026-08-06T00:00:00"/>
    <x v="3"/>
    <n v="1"/>
    <x v="0"/>
    <n v="38.020000000000003"/>
    <n v="3.8020000000000005E-2"/>
    <n v="157.47"/>
  </r>
  <r>
    <n v="178689"/>
    <d v="2026-08-06T00:00:00"/>
    <x v="3"/>
    <n v="1"/>
    <x v="4"/>
    <n v="19.986999999999998"/>
    <n v="1.9986999999999998E-2"/>
    <n v="157.11000000000001"/>
  </r>
  <r>
    <n v="178745"/>
    <d v="2026-08-06T00:00:00"/>
    <x v="3"/>
    <n v="19"/>
    <x v="7"/>
    <n v="805.82799999999997"/>
    <n v="0.80582799999999999"/>
    <n v="3630.35"/>
  </r>
  <r>
    <n v="179259"/>
    <d v="2026-08-07T00:00:00"/>
    <x v="3"/>
    <n v="12"/>
    <x v="0"/>
    <n v="650.85"/>
    <n v="0.65085000000000004"/>
    <n v="2348.65"/>
  </r>
  <r>
    <n v="180892"/>
    <d v="2026-08-10T00:00:00"/>
    <x v="3"/>
    <n v="10"/>
    <x v="0"/>
    <n v="463.31799999999998"/>
    <n v="0.46331800000000001"/>
    <n v="1677.51"/>
  </r>
  <r>
    <n v="180902"/>
    <d v="2026-08-10T00:00:00"/>
    <x v="3"/>
    <n v="14"/>
    <x v="4"/>
    <n v="851.56200000000001"/>
    <n v="0.85156200000000004"/>
    <n v="3244.56"/>
  </r>
  <r>
    <n v="180907"/>
    <d v="2026-08-10T00:00:00"/>
    <x v="3"/>
    <n v="17"/>
    <x v="4"/>
    <n v="483.05"/>
    <n v="0.48305000000000003"/>
    <n v="2494.35"/>
  </r>
  <r>
    <n v="180916"/>
    <d v="2026-08-10T00:00:00"/>
    <x v="3"/>
    <n v="5"/>
    <x v="4"/>
    <n v="232.95599999999999"/>
    <n v="0.232956"/>
    <n v="928.41"/>
  </r>
  <r>
    <n v="180932"/>
    <d v="2026-08-10T00:00:00"/>
    <x v="3"/>
    <n v="8"/>
    <x v="4"/>
    <n v="489.74099999999999"/>
    <n v="0.48974099999999998"/>
    <n v="1663.95"/>
  </r>
  <r>
    <n v="182538"/>
    <d v="2026-08-11T00:00:00"/>
    <x v="3"/>
    <n v="10"/>
    <x v="4"/>
    <n v="665.43499999999995"/>
    <n v="0.665435"/>
    <n v="2638"/>
  </r>
  <r>
    <n v="182541"/>
    <d v="2026-08-11T00:00:00"/>
    <x v="3"/>
    <n v="8"/>
    <x v="4"/>
    <n v="488.17700000000002"/>
    <n v="0.48817700000000003"/>
    <n v="1792.56"/>
  </r>
  <r>
    <n v="182574"/>
    <d v="2026-08-11T00:00:00"/>
    <x v="3"/>
    <n v="13"/>
    <x v="4"/>
    <n v="694.41600000000005"/>
    <n v="0.69441600000000003"/>
    <n v="3172.64"/>
  </r>
  <r>
    <n v="182542"/>
    <d v="2026-08-11T00:00:00"/>
    <x v="3"/>
    <n v="12"/>
    <x v="4"/>
    <n v="676.04600000000005"/>
    <n v="0.67604600000000004"/>
    <n v="3003.57"/>
  </r>
  <r>
    <n v="182617"/>
    <d v="2026-08-11T00:00:00"/>
    <x v="3"/>
    <n v="11"/>
    <x v="0"/>
    <n v="614.202"/>
    <n v="0.61420200000000003"/>
    <n v="2025.16"/>
  </r>
  <r>
    <n v="182694"/>
    <d v="2026-08-11T00:00:00"/>
    <x v="3"/>
    <n v="10"/>
    <x v="4"/>
    <n v="402.94499999999999"/>
    <n v="0.402945"/>
    <n v="1416.63"/>
  </r>
  <r>
    <n v="182727"/>
    <d v="2026-08-11T00:00:00"/>
    <x v="3"/>
    <n v="14"/>
    <x v="4"/>
    <n v="906.15499999999997"/>
    <n v="0.90615499999999993"/>
    <n v="3880.82"/>
  </r>
  <r>
    <n v="182739"/>
    <d v="2026-08-11T00:00:00"/>
    <x v="3"/>
    <n v="18"/>
    <x v="4"/>
    <n v="1233.1289999999999"/>
    <n v="1.2331289999999999"/>
    <n v="4651.12"/>
  </r>
  <r>
    <n v="182738"/>
    <d v="2026-08-11T00:00:00"/>
    <x v="3"/>
    <n v="14"/>
    <x v="4"/>
    <n v="719.69200000000001"/>
    <n v="0.719692"/>
    <n v="3104.84"/>
  </r>
  <r>
    <n v="184811"/>
    <d v="2026-08-13T00:00:00"/>
    <x v="3"/>
    <n v="77"/>
    <x v="1"/>
    <n v="3866.17"/>
    <n v="3.8661699999999999"/>
    <n v="13256.17"/>
  </r>
  <r>
    <n v="184829"/>
    <d v="2026-08-13T00:00:00"/>
    <x v="3"/>
    <n v="14"/>
    <x v="0"/>
    <n v="660.52200000000005"/>
    <n v="0.66052200000000005"/>
    <n v="2641.24"/>
  </r>
  <r>
    <n v="184861"/>
    <d v="2026-08-13T00:00:00"/>
    <x v="3"/>
    <n v="20"/>
    <x v="4"/>
    <n v="1122.8979999999999"/>
    <n v="1.122898"/>
    <n v="4195.43"/>
  </r>
  <r>
    <n v="184845"/>
    <d v="2026-08-13T00:00:00"/>
    <x v="3"/>
    <n v="20"/>
    <x v="4"/>
    <n v="963.53099999999995"/>
    <n v="0.96353099999999992"/>
    <n v="3876.96"/>
  </r>
  <r>
    <n v="184851"/>
    <d v="2026-08-13T00:00:00"/>
    <x v="3"/>
    <n v="1"/>
    <x v="4"/>
    <n v="13.308"/>
    <n v="1.3308E-2"/>
    <n v="100.97"/>
  </r>
  <r>
    <n v="185648"/>
    <d v="2026-08-14T00:00:00"/>
    <x v="3"/>
    <n v="35"/>
    <x v="4"/>
    <n v="402.85"/>
    <n v="0.40285000000000004"/>
    <n v="2241.9499999999998"/>
  </r>
  <r>
    <n v="185726"/>
    <d v="2026-08-14T00:00:00"/>
    <x v="3"/>
    <n v="7"/>
    <x v="4"/>
    <n v="49.412999999999997"/>
    <n v="4.9412999999999999E-2"/>
    <n v="317.38"/>
  </r>
  <r>
    <n v="185791"/>
    <d v="2026-08-14T00:00:00"/>
    <x v="3"/>
    <n v="7"/>
    <x v="0"/>
    <n v="123.70699999999999"/>
    <n v="0.123707"/>
    <n v="888.98"/>
  </r>
  <r>
    <n v="185792"/>
    <d v="2026-08-14T00:00:00"/>
    <x v="3"/>
    <n v="11"/>
    <x v="7"/>
    <n v="41.832999999999998"/>
    <n v="4.1832999999999995E-2"/>
    <n v="357.65"/>
  </r>
  <r>
    <n v="186513"/>
    <d v="2026-08-17T00:00:00"/>
    <x v="3"/>
    <n v="3"/>
    <x v="4"/>
    <n v="165.262"/>
    <n v="0.16526199999999999"/>
    <n v="691.48"/>
  </r>
  <r>
    <n v="186514"/>
    <d v="2026-08-17T00:00:00"/>
    <x v="3"/>
    <n v="1"/>
    <x v="4"/>
    <n v="12.675000000000001"/>
    <n v="1.2675000000000001E-2"/>
    <n v="43.24"/>
  </r>
  <r>
    <n v="186706"/>
    <d v="2026-08-17T00:00:00"/>
    <x v="3"/>
    <n v="20"/>
    <x v="4"/>
    <n v="906.42899999999997"/>
    <n v="0.90642899999999993"/>
    <n v="3415.24"/>
  </r>
  <r>
    <n v="187153"/>
    <d v="2026-08-17T00:00:00"/>
    <x v="3"/>
    <n v="19"/>
    <x v="4"/>
    <n v="1076.0609999999999"/>
    <n v="1.0760609999999999"/>
    <n v="4045.01"/>
  </r>
  <r>
    <n v="187552"/>
    <d v="2026-08-17T00:00:00"/>
    <x v="3"/>
    <n v="15"/>
    <x v="4"/>
    <n v="917.31799999999998"/>
    <n v="0.91731799999999997"/>
    <n v="3432.78"/>
  </r>
  <r>
    <n v="187545"/>
    <d v="2026-08-17T00:00:00"/>
    <x v="3"/>
    <n v="15"/>
    <x v="4"/>
    <n v="717.10400000000004"/>
    <n v="0.71710400000000007"/>
    <n v="2799.26"/>
  </r>
  <r>
    <n v="188093"/>
    <d v="2026-08-18T00:00:00"/>
    <x v="3"/>
    <n v="1"/>
    <x v="4"/>
    <n v="44.85"/>
    <n v="4.4850000000000001E-2"/>
    <n v="220.72"/>
  </r>
  <r>
    <n v="188316"/>
    <d v="2026-08-18T00:00:00"/>
    <x v="3"/>
    <n v="21"/>
    <x v="0"/>
    <n v="832.58900000000006"/>
    <n v="0.83258900000000002"/>
    <n v="3183.11"/>
  </r>
  <r>
    <n v="188320"/>
    <d v="2026-08-18T00:00:00"/>
    <x v="3"/>
    <n v="4"/>
    <x v="4"/>
    <n v="202.75"/>
    <n v="0.20275000000000001"/>
    <n v="726.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2AB2A-0632-4695-A2AD-C090B879A58F}" name="Tabela dinâmica2" cacheId="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rowHeaderCaption="Motivo">
  <location ref="D4:F9" firstHeaderRow="0" firstDataRow="1" firstDataCol="1" rowPageCount="1" colPageCount="1"/>
  <pivotFields count="8">
    <pivotField showAll="0"/>
    <pivotField numFmtId="14" showAll="0"/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name="Qtd Volumes2" showAll="0" defaultSubtotal="0"/>
    <pivotField axis="axisRow" showAll="0">
      <items count="9">
        <item x="0"/>
        <item x="6"/>
        <item x="2"/>
        <item x="4"/>
        <item x="3"/>
        <item x="1"/>
        <item x="7"/>
        <item x="5"/>
        <item t="default"/>
      </items>
    </pivotField>
    <pivotField numFmtId="4" showAll="0"/>
    <pivotField dataField="1" numFmtId="4" showAll="0"/>
    <pivotField dataField="1" numFmtId="44" showAll="0"/>
  </pivotFields>
  <rowFields count="1">
    <field x="4"/>
  </rowFields>
  <rowItems count="5">
    <i>
      <x/>
    </i>
    <i>
      <x v="3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Toelada" fld="6" baseField="0" baseItem="0" numFmtId="4"/>
    <dataField name="Faturado" fld="7" baseField="0" baseItem="0" numFmtId="44"/>
  </dataFields>
  <formats count="8"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4" type="button" dataOnly="0" labelOnly="1" outline="0" axis="axisRow" fieldPosition="0"/>
    </format>
    <format dxfId="15">
      <pivotArea dataOnly="0" labelOnly="1" fieldPosition="0">
        <references count="1">
          <reference field="4" count="3">
            <x v="0"/>
            <x v="3"/>
            <x v="6"/>
          </reference>
        </references>
      </pivotArea>
    </format>
    <format dxfId="16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3E2CC7-A2A8-4987-A6CC-C576E1372A6B}" name="Tabela6" displayName="Tabela6" ref="B16:I300" totalsRowShown="0" headerRowDxfId="9" dataDxfId="8">
  <autoFilter ref="B16:I300" xr:uid="{B43E2CC7-A2A8-4987-A6CC-C576E1372A6B}"/>
  <sortState xmlns:xlrd2="http://schemas.microsoft.com/office/spreadsheetml/2017/richdata2" ref="B17:I94">
    <sortCondition ref="C3:C81"/>
  </sortState>
  <tableColumns count="8">
    <tableColumn id="1" xr3:uid="{83DE5F84-674F-4650-BA3B-1D231FF13717}" name="NFe" dataDxfId="7"/>
    <tableColumn id="6" xr3:uid="{4B39CF28-2FAA-4CB8-AF60-11BB2BC1C751}" name="Data Emissão" dataDxfId="6"/>
    <tableColumn id="7" xr3:uid="{B9FFDE00-66BE-42AF-9EE4-070DA67FE8D7}" name="Mês" dataDxfId="5"/>
    <tableColumn id="2" xr3:uid="{4CFA6F28-D83F-4974-A525-0043D9DA902C}" name="Qtd Volumes" dataDxfId="4"/>
    <tableColumn id="8" xr3:uid="{841D398F-6E06-40C7-A417-4EF7E22C06AC}" name="Motivo" dataDxfId="3"/>
    <tableColumn id="3" xr3:uid="{5947CF57-8124-4FEF-8839-440A92B58CB2}" name="Peso Liquido" dataDxfId="2"/>
    <tableColumn id="4" xr3:uid="{883C593B-EAF6-4ADA-AE29-208B626DEC55}" name="Tanelada" dataDxfId="1">
      <calculatedColumnFormula>Tabela6[[#This Row],[Peso Liquido]]/1000</calculatedColumnFormula>
    </tableColumn>
    <tableColumn id="5" xr3:uid="{6367AF85-4523-4CBC-B84F-3966C3A1933D}" name="Valor Liquido" dataDxfId="0" dataCellStyle="Moed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BE41D-7D2E-4AB7-BDCD-908D8405CABD}">
  <dimension ref="A1:I301"/>
  <sheetViews>
    <sheetView tabSelected="1" workbookViewId="0">
      <selection activeCell="B4" sqref="B4"/>
    </sheetView>
  </sheetViews>
  <sheetFormatPr defaultRowHeight="15" x14ac:dyDescent="0.25"/>
  <sheetData>
    <row r="1" spans="1:9" x14ac:dyDescent="0.25">
      <c r="A1" s="1" t="s">
        <v>0</v>
      </c>
      <c r="B1" s="2"/>
    </row>
    <row r="2" spans="1:9" x14ac:dyDescent="0.25">
      <c r="B2" s="2"/>
      <c r="D2" s="14" t="s">
        <v>1</v>
      </c>
      <c r="E2" s="2" t="s">
        <v>2</v>
      </c>
    </row>
    <row r="3" spans="1:9" x14ac:dyDescent="0.25">
      <c r="B3" s="2"/>
    </row>
    <row r="4" spans="1:9" x14ac:dyDescent="0.25">
      <c r="B4" s="2"/>
      <c r="D4" s="14" t="s">
        <v>3</v>
      </c>
      <c r="E4" s="14" t="s">
        <v>4</v>
      </c>
      <c r="F4" s="2" t="s">
        <v>5</v>
      </c>
      <c r="H4" s="2"/>
    </row>
    <row r="5" spans="1:9" x14ac:dyDescent="0.25">
      <c r="B5" s="2"/>
      <c r="D5" s="2" t="s">
        <v>6</v>
      </c>
      <c r="E5" s="3">
        <v>5.5653600000000001</v>
      </c>
      <c r="F5" s="4">
        <v>21980.189999999995</v>
      </c>
      <c r="H5" s="5"/>
    </row>
    <row r="6" spans="1:9" x14ac:dyDescent="0.25">
      <c r="B6" s="2"/>
      <c r="D6" s="2" t="s">
        <v>7</v>
      </c>
      <c r="E6" s="3">
        <v>16.738412000000004</v>
      </c>
      <c r="F6" s="4">
        <v>67912.34</v>
      </c>
      <c r="H6" s="5"/>
    </row>
    <row r="7" spans="1:9" x14ac:dyDescent="0.25">
      <c r="B7" s="2"/>
      <c r="D7" s="2" t="s">
        <v>8</v>
      </c>
      <c r="E7" s="3">
        <v>3.8661699999999999</v>
      </c>
      <c r="F7" s="4">
        <v>13256.17</v>
      </c>
      <c r="H7" s="5"/>
    </row>
    <row r="8" spans="1:9" x14ac:dyDescent="0.25">
      <c r="B8" s="2"/>
      <c r="D8" s="2" t="s">
        <v>9</v>
      </c>
      <c r="E8" s="3">
        <v>10.502224</v>
      </c>
      <c r="F8" s="4">
        <v>35634.65</v>
      </c>
      <c r="H8" s="5"/>
    </row>
    <row r="9" spans="1:9" x14ac:dyDescent="0.25">
      <c r="B9" s="2"/>
      <c r="D9" s="2" t="s">
        <v>10</v>
      </c>
      <c r="E9" s="3">
        <v>36.672166000000004</v>
      </c>
      <c r="F9" s="4">
        <v>138783.35</v>
      </c>
    </row>
    <row r="10" spans="1:9" x14ac:dyDescent="0.25">
      <c r="B10" s="2"/>
    </row>
    <row r="11" spans="1:9" x14ac:dyDescent="0.25">
      <c r="B11" s="2"/>
    </row>
    <row r="12" spans="1:9" x14ac:dyDescent="0.25">
      <c r="B12" s="2"/>
    </row>
    <row r="13" spans="1:9" x14ac:dyDescent="0.25">
      <c r="B13" s="2"/>
    </row>
    <row r="14" spans="1:9" x14ac:dyDescent="0.25">
      <c r="B14" s="2"/>
      <c r="D14" s="6"/>
      <c r="E14" s="7"/>
      <c r="F14" s="3"/>
      <c r="G14" s="5"/>
      <c r="H14" s="5"/>
    </row>
    <row r="15" spans="1:9" x14ac:dyDescent="0.25">
      <c r="B15" s="2"/>
      <c r="D15" s="6"/>
      <c r="E15" s="7"/>
      <c r="F15" s="3"/>
      <c r="G15" s="5"/>
      <c r="H15" s="5"/>
    </row>
    <row r="16" spans="1:9" x14ac:dyDescent="0.25">
      <c r="B16" s="8" t="s">
        <v>11</v>
      </c>
      <c r="C16" s="8" t="s">
        <v>12</v>
      </c>
      <c r="D16" s="8" t="s">
        <v>1</v>
      </c>
      <c r="E16" s="8" t="s">
        <v>13</v>
      </c>
      <c r="F16" s="8" t="s">
        <v>3</v>
      </c>
      <c r="G16" s="8" t="s">
        <v>14</v>
      </c>
      <c r="H16" s="8" t="s">
        <v>15</v>
      </c>
      <c r="I16" s="8" t="s">
        <v>16</v>
      </c>
    </row>
    <row r="17" spans="2:9" x14ac:dyDescent="0.25">
      <c r="B17" s="2">
        <v>96905</v>
      </c>
      <c r="C17" s="9">
        <v>46146</v>
      </c>
      <c r="D17" s="9" t="s">
        <v>17</v>
      </c>
      <c r="E17" s="2">
        <v>24</v>
      </c>
      <c r="F17" s="2" t="s">
        <v>6</v>
      </c>
      <c r="G17" s="3">
        <v>1325.9590000000001</v>
      </c>
      <c r="H17" s="3">
        <f>Tabela6[[#This Row],[Peso Liquido]]/1000</f>
        <v>1.3259590000000001</v>
      </c>
      <c r="I17" s="10">
        <v>4902.01</v>
      </c>
    </row>
    <row r="18" spans="2:9" x14ac:dyDescent="0.25">
      <c r="B18" s="2">
        <v>96913</v>
      </c>
      <c r="C18" s="9">
        <v>46146</v>
      </c>
      <c r="D18" s="9" t="s">
        <v>17</v>
      </c>
      <c r="E18" s="2">
        <v>23</v>
      </c>
      <c r="F18" s="2" t="s">
        <v>6</v>
      </c>
      <c r="G18" s="3">
        <v>1174.626</v>
      </c>
      <c r="H18" s="3">
        <f>Tabela6[[#This Row],[Peso Liquido]]/1000</f>
        <v>1.1746259999999999</v>
      </c>
      <c r="I18" s="10">
        <v>4207.54</v>
      </c>
    </row>
    <row r="19" spans="2:9" x14ac:dyDescent="0.25">
      <c r="B19" s="2">
        <v>97006</v>
      </c>
      <c r="C19" s="9">
        <v>46146</v>
      </c>
      <c r="D19" s="9" t="s">
        <v>17</v>
      </c>
      <c r="E19" s="2">
        <v>1</v>
      </c>
      <c r="F19" s="2" t="s">
        <v>6</v>
      </c>
      <c r="G19" s="3">
        <v>43.241</v>
      </c>
      <c r="H19" s="3">
        <f>Tabela6[[#This Row],[Peso Liquido]]/1000</f>
        <v>4.3241000000000002E-2</v>
      </c>
      <c r="I19" s="10">
        <v>172.85</v>
      </c>
    </row>
    <row r="20" spans="2:9" x14ac:dyDescent="0.25">
      <c r="B20" s="2">
        <v>97395</v>
      </c>
      <c r="C20" s="9">
        <v>46146</v>
      </c>
      <c r="D20" s="9" t="s">
        <v>17</v>
      </c>
      <c r="E20" s="2">
        <v>23</v>
      </c>
      <c r="F20" s="2" t="s">
        <v>6</v>
      </c>
      <c r="G20" s="3">
        <v>930.09299999999996</v>
      </c>
      <c r="H20" s="3">
        <f>Tabela6[[#This Row],[Peso Liquido]]/1000</f>
        <v>0.93009299999999995</v>
      </c>
      <c r="I20" s="10">
        <v>3544.1</v>
      </c>
    </row>
    <row r="21" spans="2:9" x14ac:dyDescent="0.25">
      <c r="B21" s="2">
        <v>97396</v>
      </c>
      <c r="C21" s="9">
        <v>46146</v>
      </c>
      <c r="D21" s="9" t="s">
        <v>17</v>
      </c>
      <c r="E21" s="2">
        <v>2</v>
      </c>
      <c r="F21" s="2" t="s">
        <v>6</v>
      </c>
      <c r="G21" s="3">
        <v>55.281999999999996</v>
      </c>
      <c r="H21" s="3">
        <f>Tabela6[[#This Row],[Peso Liquido]]/1000</f>
        <v>5.5281999999999998E-2</v>
      </c>
      <c r="I21" s="10">
        <v>259.22000000000003</v>
      </c>
    </row>
    <row r="22" spans="2:9" x14ac:dyDescent="0.25">
      <c r="B22" s="2">
        <v>99025</v>
      </c>
      <c r="C22" s="9">
        <v>46147</v>
      </c>
      <c r="D22" s="9" t="s">
        <v>17</v>
      </c>
      <c r="E22" s="2">
        <v>8</v>
      </c>
      <c r="F22" s="2" t="s">
        <v>6</v>
      </c>
      <c r="G22" s="3">
        <v>112.339</v>
      </c>
      <c r="H22" s="3">
        <f>Tabela6[[#This Row],[Peso Liquido]]/1000</f>
        <v>0.11233899999999999</v>
      </c>
      <c r="I22" s="11">
        <v>679.3</v>
      </c>
    </row>
    <row r="23" spans="2:9" x14ac:dyDescent="0.25">
      <c r="B23" s="2">
        <v>99196</v>
      </c>
      <c r="C23" s="9">
        <v>46147</v>
      </c>
      <c r="D23" s="9" t="s">
        <v>17</v>
      </c>
      <c r="E23" s="2">
        <v>4</v>
      </c>
      <c r="F23" s="2" t="s">
        <v>8</v>
      </c>
      <c r="G23" s="3">
        <v>183.28</v>
      </c>
      <c r="H23" s="3">
        <f>Tabela6[[#This Row],[Peso Liquido]]/1000</f>
        <v>0.18328</v>
      </c>
      <c r="I23" s="11">
        <v>534.76</v>
      </c>
    </row>
    <row r="24" spans="2:9" x14ac:dyDescent="0.25">
      <c r="B24" s="2">
        <v>99838</v>
      </c>
      <c r="C24" s="9">
        <v>46148</v>
      </c>
      <c r="D24" s="9" t="s">
        <v>17</v>
      </c>
      <c r="E24" s="2">
        <v>2</v>
      </c>
      <c r="F24" s="2" t="s">
        <v>8</v>
      </c>
      <c r="G24" s="3">
        <v>111.83199999999999</v>
      </c>
      <c r="H24" s="3">
        <f>Tabela6[[#This Row],[Peso Liquido]]/1000</f>
        <v>0.11183199999999999</v>
      </c>
      <c r="I24" s="11">
        <v>392.69</v>
      </c>
    </row>
    <row r="25" spans="2:9" x14ac:dyDescent="0.25">
      <c r="B25" s="2">
        <v>100140</v>
      </c>
      <c r="C25" s="9">
        <v>46148</v>
      </c>
      <c r="D25" s="9" t="s">
        <v>17</v>
      </c>
      <c r="E25" s="2">
        <v>6</v>
      </c>
      <c r="F25" s="2" t="s">
        <v>6</v>
      </c>
      <c r="G25" s="3">
        <v>83.36</v>
      </c>
      <c r="H25" s="3">
        <f>Tabela6[[#This Row],[Peso Liquido]]/1000</f>
        <v>8.3360000000000004E-2</v>
      </c>
      <c r="I25" s="11">
        <v>659.26</v>
      </c>
    </row>
    <row r="26" spans="2:9" x14ac:dyDescent="0.25">
      <c r="B26" s="2">
        <v>101666</v>
      </c>
      <c r="C26" s="9">
        <v>46149</v>
      </c>
      <c r="D26" s="9" t="s">
        <v>17</v>
      </c>
      <c r="E26" s="2">
        <v>48</v>
      </c>
      <c r="F26" s="2" t="s">
        <v>6</v>
      </c>
      <c r="G26" s="3">
        <v>2425.1999999999998</v>
      </c>
      <c r="H26" s="3">
        <f>Tabela6[[#This Row],[Peso Liquido]]/1000</f>
        <v>2.4251999999999998</v>
      </c>
      <c r="I26" s="10">
        <v>6627.12</v>
      </c>
    </row>
    <row r="27" spans="2:9" x14ac:dyDescent="0.25">
      <c r="B27" s="2">
        <v>102086</v>
      </c>
      <c r="C27" s="9">
        <v>46150</v>
      </c>
      <c r="D27" s="9" t="s">
        <v>17</v>
      </c>
      <c r="E27" s="2">
        <v>8</v>
      </c>
      <c r="F27" s="2" t="s">
        <v>18</v>
      </c>
      <c r="G27" s="3">
        <v>404.99</v>
      </c>
      <c r="H27" s="3">
        <f>Tabela6[[#This Row],[Peso Liquido]]/1000</f>
        <v>0.40499000000000002</v>
      </c>
      <c r="I27" s="11">
        <v>1555.17</v>
      </c>
    </row>
    <row r="28" spans="2:9" x14ac:dyDescent="0.25">
      <c r="B28" s="2">
        <v>106968</v>
      </c>
      <c r="C28" s="9">
        <v>46154</v>
      </c>
      <c r="D28" s="9" t="s">
        <v>17</v>
      </c>
      <c r="E28" s="2">
        <v>48</v>
      </c>
      <c r="F28" s="2" t="s">
        <v>8</v>
      </c>
      <c r="G28" s="3">
        <v>1567.68</v>
      </c>
      <c r="H28" s="3">
        <f>Tabela6[[#This Row],[Peso Liquido]]/1000</f>
        <v>1.56768</v>
      </c>
      <c r="I28" s="11">
        <v>6714.72</v>
      </c>
    </row>
    <row r="29" spans="2:9" x14ac:dyDescent="0.25">
      <c r="B29" s="2">
        <v>106968</v>
      </c>
      <c r="C29" s="9">
        <v>46155</v>
      </c>
      <c r="D29" s="9" t="s">
        <v>17</v>
      </c>
      <c r="E29" s="2">
        <v>48</v>
      </c>
      <c r="F29" s="2" t="s">
        <v>8</v>
      </c>
      <c r="G29" s="3">
        <v>1567.68</v>
      </c>
      <c r="H29" s="3">
        <f>Tabela6[[#This Row],[Peso Liquido]]/1000</f>
        <v>1.56768</v>
      </c>
      <c r="I29" s="11">
        <v>6714.72</v>
      </c>
    </row>
    <row r="30" spans="2:9" x14ac:dyDescent="0.25">
      <c r="B30" s="2">
        <v>107841</v>
      </c>
      <c r="C30" s="9">
        <v>46156</v>
      </c>
      <c r="D30" s="9" t="s">
        <v>17</v>
      </c>
      <c r="E30" s="2">
        <v>15</v>
      </c>
      <c r="F30" s="2" t="s">
        <v>6</v>
      </c>
      <c r="G30" s="3">
        <v>756.97299999999996</v>
      </c>
      <c r="H30" s="3">
        <f>Tabela6[[#This Row],[Peso Liquido]]/1000</f>
        <v>0.75697300000000001</v>
      </c>
      <c r="I30" s="11">
        <v>2694.21</v>
      </c>
    </row>
    <row r="31" spans="2:9" x14ac:dyDescent="0.25">
      <c r="B31" s="2">
        <v>107840</v>
      </c>
      <c r="C31" s="9">
        <v>46156</v>
      </c>
      <c r="D31" s="9" t="s">
        <v>17</v>
      </c>
      <c r="E31" s="2">
        <v>22</v>
      </c>
      <c r="F31" s="2" t="s">
        <v>6</v>
      </c>
      <c r="G31" s="3">
        <v>1064.9269999999999</v>
      </c>
      <c r="H31" s="3">
        <f>Tabela6[[#This Row],[Peso Liquido]]/1000</f>
        <v>1.064927</v>
      </c>
      <c r="I31" s="11">
        <v>3643.73</v>
      </c>
    </row>
    <row r="32" spans="2:9" x14ac:dyDescent="0.25">
      <c r="B32" s="2">
        <v>108994</v>
      </c>
      <c r="C32" s="9">
        <v>46157</v>
      </c>
      <c r="D32" s="9" t="s">
        <v>17</v>
      </c>
      <c r="E32" s="2">
        <v>9</v>
      </c>
      <c r="F32" s="2" t="s">
        <v>6</v>
      </c>
      <c r="G32" s="3">
        <v>172.37899999999999</v>
      </c>
      <c r="H32" s="3">
        <f>Tabela6[[#This Row],[Peso Liquido]]/1000</f>
        <v>0.172379</v>
      </c>
      <c r="I32" s="10">
        <v>1473</v>
      </c>
    </row>
    <row r="33" spans="2:9" x14ac:dyDescent="0.25">
      <c r="B33" s="2">
        <v>109558</v>
      </c>
      <c r="C33" s="9">
        <v>46158</v>
      </c>
      <c r="D33" s="9" t="s">
        <v>17</v>
      </c>
      <c r="E33" s="2">
        <v>14</v>
      </c>
      <c r="F33" s="2" t="s">
        <v>6</v>
      </c>
      <c r="G33" s="3">
        <v>683.17700000000002</v>
      </c>
      <c r="H33" s="3">
        <f>Tabela6[[#This Row],[Peso Liquido]]/1000</f>
        <v>0.68317700000000003</v>
      </c>
      <c r="I33" s="10">
        <v>2485.5700000000002</v>
      </c>
    </row>
    <row r="34" spans="2:9" x14ac:dyDescent="0.25">
      <c r="B34" s="2">
        <v>109557</v>
      </c>
      <c r="C34" s="9">
        <v>46158</v>
      </c>
      <c r="D34" s="9" t="s">
        <v>17</v>
      </c>
      <c r="E34" s="2">
        <v>14</v>
      </c>
      <c r="F34" s="2" t="s">
        <v>6</v>
      </c>
      <c r="G34" s="3">
        <v>480.31400000000002</v>
      </c>
      <c r="H34" s="3">
        <f>Tabela6[[#This Row],[Peso Liquido]]/1000</f>
        <v>0.48031400000000002</v>
      </c>
      <c r="I34" s="10">
        <v>1853.7</v>
      </c>
    </row>
    <row r="35" spans="2:9" x14ac:dyDescent="0.25">
      <c r="B35" s="2">
        <v>109556</v>
      </c>
      <c r="C35" s="9">
        <v>46158</v>
      </c>
      <c r="D35" s="9" t="s">
        <v>17</v>
      </c>
      <c r="E35" s="2">
        <v>19</v>
      </c>
      <c r="F35" s="2" t="s">
        <v>6</v>
      </c>
      <c r="G35" s="3">
        <v>853.35500000000002</v>
      </c>
      <c r="H35" s="3">
        <f>Tabela6[[#This Row],[Peso Liquido]]/1000</f>
        <v>0.85335499999999997</v>
      </c>
      <c r="I35" s="10">
        <v>3006.03</v>
      </c>
    </row>
    <row r="36" spans="2:9" x14ac:dyDescent="0.25">
      <c r="B36" s="2">
        <v>109981</v>
      </c>
      <c r="C36" s="9">
        <v>46160</v>
      </c>
      <c r="D36" s="9" t="s">
        <v>17</v>
      </c>
      <c r="E36" s="2">
        <v>4</v>
      </c>
      <c r="F36" s="2" t="s">
        <v>6</v>
      </c>
      <c r="G36" s="3">
        <v>60.994999999999997</v>
      </c>
      <c r="H36" s="3">
        <f>Tabela6[[#This Row],[Peso Liquido]]/1000</f>
        <v>6.0995000000000001E-2</v>
      </c>
      <c r="I36" s="10">
        <v>469.14</v>
      </c>
    </row>
    <row r="37" spans="2:9" x14ac:dyDescent="0.25">
      <c r="B37" s="2">
        <v>111426</v>
      </c>
      <c r="C37" s="9">
        <v>46161</v>
      </c>
      <c r="D37" s="9" t="s">
        <v>17</v>
      </c>
      <c r="E37" s="2">
        <v>21</v>
      </c>
      <c r="F37" s="2" t="s">
        <v>6</v>
      </c>
      <c r="G37" s="3">
        <v>873.11800000000005</v>
      </c>
      <c r="H37" s="3">
        <f>Tabela6[[#This Row],[Peso Liquido]]/1000</f>
        <v>0.87311800000000006</v>
      </c>
      <c r="I37" s="10">
        <v>3467.85</v>
      </c>
    </row>
    <row r="38" spans="2:9" x14ac:dyDescent="0.25">
      <c r="B38" s="2">
        <v>112927</v>
      </c>
      <c r="C38" s="9">
        <v>46162</v>
      </c>
      <c r="D38" s="9" t="s">
        <v>17</v>
      </c>
      <c r="E38" s="2">
        <v>11</v>
      </c>
      <c r="F38" s="2" t="s">
        <v>6</v>
      </c>
      <c r="G38" s="3">
        <v>202.54400000000001</v>
      </c>
      <c r="H38" s="3">
        <f>Tabela6[[#This Row],[Peso Liquido]]/1000</f>
        <v>0.202544</v>
      </c>
      <c r="I38" s="10">
        <v>1762.89</v>
      </c>
    </row>
    <row r="39" spans="2:9" x14ac:dyDescent="0.25">
      <c r="B39" s="2">
        <v>113905</v>
      </c>
      <c r="C39" s="9">
        <v>46163</v>
      </c>
      <c r="D39" s="9" t="s">
        <v>17</v>
      </c>
      <c r="E39" s="2">
        <v>14</v>
      </c>
      <c r="F39" s="2" t="s">
        <v>6</v>
      </c>
      <c r="G39" s="3">
        <v>614.03200000000004</v>
      </c>
      <c r="H39" s="3">
        <f>Tabela6[[#This Row],[Peso Liquido]]/1000</f>
        <v>0.61403200000000002</v>
      </c>
      <c r="I39" s="10">
        <v>2403.8000000000002</v>
      </c>
    </row>
    <row r="40" spans="2:9" x14ac:dyDescent="0.25">
      <c r="B40" s="2">
        <v>113948</v>
      </c>
      <c r="C40" s="9">
        <v>46163</v>
      </c>
      <c r="D40" s="9" t="s">
        <v>17</v>
      </c>
      <c r="E40" s="2">
        <v>2</v>
      </c>
      <c r="F40" s="2" t="s">
        <v>6</v>
      </c>
      <c r="G40" s="3">
        <v>65.323999999999998</v>
      </c>
      <c r="H40" s="3">
        <f>Tabela6[[#This Row],[Peso Liquido]]/1000</f>
        <v>6.5323999999999993E-2</v>
      </c>
      <c r="I40" s="10">
        <v>221.21</v>
      </c>
    </row>
    <row r="41" spans="2:9" x14ac:dyDescent="0.25">
      <c r="B41" s="2">
        <v>114195</v>
      </c>
      <c r="C41" s="9">
        <v>46163</v>
      </c>
      <c r="D41" s="9" t="s">
        <v>17</v>
      </c>
      <c r="E41" s="2">
        <v>7</v>
      </c>
      <c r="F41" s="2" t="s">
        <v>6</v>
      </c>
      <c r="G41" s="3">
        <v>117.262</v>
      </c>
      <c r="H41" s="3">
        <f>Tabela6[[#This Row],[Peso Liquido]]/1000</f>
        <v>0.11726200000000001</v>
      </c>
      <c r="I41" s="10">
        <v>892.3</v>
      </c>
    </row>
    <row r="42" spans="2:9" x14ac:dyDescent="0.25">
      <c r="B42" s="2">
        <v>114446</v>
      </c>
      <c r="C42" s="9">
        <v>46164</v>
      </c>
      <c r="D42" s="9" t="s">
        <v>17</v>
      </c>
      <c r="E42" s="2">
        <v>18</v>
      </c>
      <c r="F42" s="2" t="s">
        <v>6</v>
      </c>
      <c r="G42" s="3">
        <v>1024.8109999999999</v>
      </c>
      <c r="H42" s="3">
        <f>Tabela6[[#This Row],[Peso Liquido]]/1000</f>
        <v>1.0248109999999999</v>
      </c>
      <c r="I42" s="10">
        <v>3604.47</v>
      </c>
    </row>
    <row r="43" spans="2:9" x14ac:dyDescent="0.25">
      <c r="B43" s="2">
        <v>115456</v>
      </c>
      <c r="C43" s="9">
        <v>46167</v>
      </c>
      <c r="D43" s="9" t="s">
        <v>17</v>
      </c>
      <c r="E43" s="2">
        <v>21</v>
      </c>
      <c r="F43" s="2" t="s">
        <v>6</v>
      </c>
      <c r="G43" s="3">
        <v>1023.333</v>
      </c>
      <c r="H43" s="3">
        <f>Tabela6[[#This Row],[Peso Liquido]]/1000</f>
        <v>1.023333</v>
      </c>
      <c r="I43" s="10">
        <v>4042</v>
      </c>
    </row>
    <row r="44" spans="2:9" x14ac:dyDescent="0.25">
      <c r="B44" s="2">
        <v>116047</v>
      </c>
      <c r="C44" s="9">
        <v>46167</v>
      </c>
      <c r="D44" s="9" t="s">
        <v>17</v>
      </c>
      <c r="E44" s="2">
        <v>11</v>
      </c>
      <c r="F44" s="2" t="s">
        <v>6</v>
      </c>
      <c r="G44" s="3">
        <v>351.20400000000001</v>
      </c>
      <c r="H44" s="3">
        <f>Tabela6[[#This Row],[Peso Liquido]]/1000</f>
        <v>0.35120400000000002</v>
      </c>
      <c r="I44" s="10">
        <v>1336.07</v>
      </c>
    </row>
    <row r="45" spans="2:9" x14ac:dyDescent="0.25">
      <c r="B45" s="2">
        <v>116180</v>
      </c>
      <c r="C45" s="9">
        <v>46167</v>
      </c>
      <c r="D45" s="9" t="s">
        <v>17</v>
      </c>
      <c r="E45" s="2">
        <v>19</v>
      </c>
      <c r="F45" s="2" t="s">
        <v>6</v>
      </c>
      <c r="G45" s="3">
        <v>800.08199999999999</v>
      </c>
      <c r="H45" s="3">
        <f>Tabela6[[#This Row],[Peso Liquido]]/1000</f>
        <v>0.80008199999999996</v>
      </c>
      <c r="I45" s="10">
        <v>3159.8</v>
      </c>
    </row>
    <row r="46" spans="2:9" x14ac:dyDescent="0.25">
      <c r="B46" s="2">
        <v>117507</v>
      </c>
      <c r="C46" s="9">
        <v>46168</v>
      </c>
      <c r="D46" s="9" t="s">
        <v>17</v>
      </c>
      <c r="E46" s="2">
        <v>11</v>
      </c>
      <c r="F46" s="2" t="s">
        <v>6</v>
      </c>
      <c r="G46" s="3">
        <v>358.05200000000002</v>
      </c>
      <c r="H46" s="3">
        <f>Tabela6[[#This Row],[Peso Liquido]]/1000</f>
        <v>0.35805200000000004</v>
      </c>
      <c r="I46" s="10">
        <v>1324.34</v>
      </c>
    </row>
    <row r="47" spans="2:9" x14ac:dyDescent="0.25">
      <c r="B47" s="2">
        <v>117527</v>
      </c>
      <c r="C47" s="9">
        <v>46168</v>
      </c>
      <c r="D47" s="9" t="s">
        <v>17</v>
      </c>
      <c r="E47" s="2">
        <v>1</v>
      </c>
      <c r="F47" s="2" t="s">
        <v>6</v>
      </c>
      <c r="G47" s="3">
        <v>38.512</v>
      </c>
      <c r="H47" s="3">
        <f>Tabela6[[#This Row],[Peso Liquido]]/1000</f>
        <v>3.8511999999999998E-2</v>
      </c>
      <c r="I47" s="10">
        <v>169.48</v>
      </c>
    </row>
    <row r="48" spans="2:9" x14ac:dyDescent="0.25">
      <c r="B48" s="2">
        <v>117533</v>
      </c>
      <c r="C48" s="9">
        <v>46168</v>
      </c>
      <c r="D48" s="9" t="s">
        <v>17</v>
      </c>
      <c r="E48" s="2">
        <v>17</v>
      </c>
      <c r="F48" s="2" t="s">
        <v>6</v>
      </c>
      <c r="G48" s="3">
        <v>896.81899999999996</v>
      </c>
      <c r="H48" s="3">
        <f>Tabela6[[#This Row],[Peso Liquido]]/1000</f>
        <v>0.89681899999999992</v>
      </c>
      <c r="I48" s="10">
        <v>3164.9</v>
      </c>
    </row>
    <row r="49" spans="2:9" x14ac:dyDescent="0.25">
      <c r="B49" s="2">
        <v>117534</v>
      </c>
      <c r="C49" s="9">
        <v>46168</v>
      </c>
      <c r="D49" s="9" t="s">
        <v>17</v>
      </c>
      <c r="E49" s="2">
        <v>8</v>
      </c>
      <c r="F49" s="2" t="s">
        <v>6</v>
      </c>
      <c r="G49" s="3">
        <v>348.35899999999998</v>
      </c>
      <c r="H49" s="3">
        <f>Tabela6[[#This Row],[Peso Liquido]]/1000</f>
        <v>0.34835899999999997</v>
      </c>
      <c r="I49" s="10">
        <v>1384.9</v>
      </c>
    </row>
    <row r="50" spans="2:9" x14ac:dyDescent="0.25">
      <c r="B50" s="2">
        <v>117536</v>
      </c>
      <c r="C50" s="9">
        <v>46168</v>
      </c>
      <c r="D50" s="9" t="s">
        <v>17</v>
      </c>
      <c r="E50" s="2">
        <v>2</v>
      </c>
      <c r="F50" s="2" t="s">
        <v>6</v>
      </c>
      <c r="G50" s="3">
        <v>51.722999999999999</v>
      </c>
      <c r="H50" s="3">
        <f>Tabela6[[#This Row],[Peso Liquido]]/1000</f>
        <v>5.1722999999999998E-2</v>
      </c>
      <c r="I50" s="10">
        <v>197.85</v>
      </c>
    </row>
    <row r="51" spans="2:9" x14ac:dyDescent="0.25">
      <c r="B51" s="2">
        <v>118657</v>
      </c>
      <c r="C51" s="9">
        <v>46169</v>
      </c>
      <c r="D51" s="9" t="s">
        <v>17</v>
      </c>
      <c r="E51" s="2">
        <v>1</v>
      </c>
      <c r="F51" s="2" t="s">
        <v>6</v>
      </c>
      <c r="G51" s="3">
        <v>26.324999999999999</v>
      </c>
      <c r="H51" s="3">
        <f>Tabela6[[#This Row],[Peso Liquido]]/1000</f>
        <v>2.6324999999999998E-2</v>
      </c>
      <c r="I51" s="10">
        <v>133.74</v>
      </c>
    </row>
    <row r="52" spans="2:9" x14ac:dyDescent="0.25">
      <c r="B52" s="2">
        <v>118458</v>
      </c>
      <c r="C52" s="9">
        <v>46169</v>
      </c>
      <c r="D52" s="9" t="s">
        <v>17</v>
      </c>
      <c r="E52" s="2">
        <v>13</v>
      </c>
      <c r="F52" s="2" t="s">
        <v>6</v>
      </c>
      <c r="G52" s="3">
        <v>687.26599999999996</v>
      </c>
      <c r="H52" s="3">
        <f>Tabela6[[#This Row],[Peso Liquido]]/1000</f>
        <v>0.68726599999999993</v>
      </c>
      <c r="I52" s="10">
        <v>2607.5300000000002</v>
      </c>
    </row>
    <row r="53" spans="2:9" x14ac:dyDescent="0.25">
      <c r="B53" s="2">
        <v>118457</v>
      </c>
      <c r="C53" s="9">
        <v>46169</v>
      </c>
      <c r="D53" s="9" t="s">
        <v>17</v>
      </c>
      <c r="E53" s="2">
        <v>19</v>
      </c>
      <c r="F53" s="2" t="s">
        <v>6</v>
      </c>
      <c r="G53" s="3">
        <v>1007.33</v>
      </c>
      <c r="H53" s="3">
        <f>Tabela6[[#This Row],[Peso Liquido]]/1000</f>
        <v>1.0073300000000001</v>
      </c>
      <c r="I53" s="10">
        <v>3495.65</v>
      </c>
    </row>
    <row r="54" spans="2:9" x14ac:dyDescent="0.25">
      <c r="B54" s="2">
        <v>118431</v>
      </c>
      <c r="C54" s="9">
        <v>46169</v>
      </c>
      <c r="D54" s="9" t="s">
        <v>17</v>
      </c>
      <c r="E54" s="2">
        <v>18</v>
      </c>
      <c r="F54" s="2" t="s">
        <v>6</v>
      </c>
      <c r="G54" s="3">
        <v>787.71100000000001</v>
      </c>
      <c r="H54" s="3">
        <f>Tabela6[[#This Row],[Peso Liquido]]/1000</f>
        <v>0.78771100000000005</v>
      </c>
      <c r="I54" s="10">
        <v>2993.74</v>
      </c>
    </row>
    <row r="55" spans="2:9" x14ac:dyDescent="0.25">
      <c r="B55" s="2">
        <v>120042</v>
      </c>
      <c r="C55" s="9">
        <v>46171</v>
      </c>
      <c r="D55" s="9" t="s">
        <v>17</v>
      </c>
      <c r="E55" s="2">
        <v>16</v>
      </c>
      <c r="F55" s="2" t="s">
        <v>8</v>
      </c>
      <c r="G55" s="3">
        <v>993.71199999999999</v>
      </c>
      <c r="H55" s="3">
        <f>Tabela6[[#This Row],[Peso Liquido]]/1000</f>
        <v>0.99371200000000004</v>
      </c>
      <c r="I55" s="10">
        <v>3162.64</v>
      </c>
    </row>
    <row r="56" spans="2:9" x14ac:dyDescent="0.25">
      <c r="B56" s="2">
        <v>120536</v>
      </c>
      <c r="C56" s="9">
        <v>46171</v>
      </c>
      <c r="D56" s="9" t="s">
        <v>17</v>
      </c>
      <c r="E56" s="2">
        <v>19</v>
      </c>
      <c r="F56" s="2" t="s">
        <v>6</v>
      </c>
      <c r="G56" s="3">
        <v>272.17899999999997</v>
      </c>
      <c r="H56" s="3">
        <f>Tabela6[[#This Row],[Peso Liquido]]/1000</f>
        <v>0.27217899999999995</v>
      </c>
      <c r="I56" s="10">
        <v>2035.03</v>
      </c>
    </row>
    <row r="57" spans="2:9" x14ac:dyDescent="0.25">
      <c r="B57" s="2">
        <v>120525</v>
      </c>
      <c r="C57" s="9">
        <v>46171</v>
      </c>
      <c r="D57" s="9" t="s">
        <v>17</v>
      </c>
      <c r="E57" s="2">
        <v>16</v>
      </c>
      <c r="F57" s="2" t="s">
        <v>6</v>
      </c>
      <c r="G57" s="3">
        <v>896.58500000000004</v>
      </c>
      <c r="H57" s="3">
        <f>Tabela6[[#This Row],[Peso Liquido]]/1000</f>
        <v>0.89658500000000008</v>
      </c>
      <c r="I57" s="10">
        <v>3199.47</v>
      </c>
    </row>
    <row r="58" spans="2:9" x14ac:dyDescent="0.25">
      <c r="B58" s="2">
        <v>120505</v>
      </c>
      <c r="C58" s="9">
        <v>46171</v>
      </c>
      <c r="D58" s="9" t="s">
        <v>17</v>
      </c>
      <c r="E58" s="2">
        <v>21</v>
      </c>
      <c r="F58" s="2" t="s">
        <v>6</v>
      </c>
      <c r="G58" s="3">
        <v>689.58900000000006</v>
      </c>
      <c r="H58" s="3">
        <f>Tabela6[[#This Row],[Peso Liquido]]/1000</f>
        <v>0.68958900000000001</v>
      </c>
      <c r="I58" s="10">
        <v>2908.03</v>
      </c>
    </row>
    <row r="59" spans="2:9" x14ac:dyDescent="0.25">
      <c r="B59" s="2">
        <v>120504</v>
      </c>
      <c r="C59" s="9">
        <v>46171</v>
      </c>
      <c r="D59" s="9" t="s">
        <v>17</v>
      </c>
      <c r="E59" s="2">
        <v>3</v>
      </c>
      <c r="F59" s="2" t="s">
        <v>6</v>
      </c>
      <c r="G59" s="3">
        <v>213</v>
      </c>
      <c r="H59" s="3">
        <f>Tabela6[[#This Row],[Peso Liquido]]/1000</f>
        <v>0.21299999999999999</v>
      </c>
      <c r="I59" s="10">
        <v>691.53</v>
      </c>
    </row>
    <row r="60" spans="2:9" x14ac:dyDescent="0.25">
      <c r="B60" s="2">
        <v>120503</v>
      </c>
      <c r="C60" s="9">
        <v>46171</v>
      </c>
      <c r="D60" s="9" t="s">
        <v>17</v>
      </c>
      <c r="E60" s="2">
        <v>20</v>
      </c>
      <c r="F60" s="2" t="s">
        <v>6</v>
      </c>
      <c r="G60" s="3">
        <v>927.81</v>
      </c>
      <c r="H60" s="3">
        <f>Tabela6[[#This Row],[Peso Liquido]]/1000</f>
        <v>0.92780999999999991</v>
      </c>
      <c r="I60" s="10">
        <v>3508.39</v>
      </c>
    </row>
    <row r="61" spans="2:9" x14ac:dyDescent="0.25">
      <c r="B61" s="2">
        <v>120405</v>
      </c>
      <c r="C61" s="9">
        <v>46171</v>
      </c>
      <c r="D61" s="9" t="s">
        <v>17</v>
      </c>
      <c r="E61" s="2">
        <v>1</v>
      </c>
      <c r="F61" s="2" t="s">
        <v>6</v>
      </c>
      <c r="G61" s="3">
        <v>71.174999999999997</v>
      </c>
      <c r="H61" s="3">
        <f>Tabela6[[#This Row],[Peso Liquido]]/1000</f>
        <v>7.1175000000000002E-2</v>
      </c>
      <c r="I61" s="10">
        <v>230.51</v>
      </c>
    </row>
    <row r="62" spans="2:9" x14ac:dyDescent="0.25">
      <c r="B62" s="2">
        <v>120404</v>
      </c>
      <c r="C62" s="9">
        <v>46171</v>
      </c>
      <c r="D62" s="9" t="s">
        <v>17</v>
      </c>
      <c r="E62" s="2">
        <v>19</v>
      </c>
      <c r="F62" s="2" t="s">
        <v>6</v>
      </c>
      <c r="G62" s="3">
        <v>1056.4449999999999</v>
      </c>
      <c r="H62" s="3">
        <f>Tabela6[[#This Row],[Peso Liquido]]/1000</f>
        <v>1.0564449999999999</v>
      </c>
      <c r="I62" s="10">
        <v>3581.98</v>
      </c>
    </row>
    <row r="63" spans="2:9" x14ac:dyDescent="0.25">
      <c r="B63" s="2">
        <v>120368</v>
      </c>
      <c r="C63" s="9">
        <v>46171</v>
      </c>
      <c r="D63" s="9" t="s">
        <v>17</v>
      </c>
      <c r="E63" s="2">
        <v>28</v>
      </c>
      <c r="F63" s="2" t="s">
        <v>6</v>
      </c>
      <c r="G63" s="3">
        <v>1411.7819999999999</v>
      </c>
      <c r="H63" s="3">
        <f>Tabela6[[#This Row],[Peso Liquido]]/1000</f>
        <v>1.4117819999999999</v>
      </c>
      <c r="I63" s="10">
        <v>4693.3500000000004</v>
      </c>
    </row>
    <row r="64" spans="2:9" x14ac:dyDescent="0.25">
      <c r="B64" s="2">
        <v>122548</v>
      </c>
      <c r="C64" s="9">
        <v>46174</v>
      </c>
      <c r="D64" s="9" t="s">
        <v>19</v>
      </c>
      <c r="E64" s="2">
        <v>89</v>
      </c>
      <c r="F64" s="2" t="s">
        <v>8</v>
      </c>
      <c r="G64" s="3">
        <v>3598.53</v>
      </c>
      <c r="H64" s="3">
        <f>Tabela6[[#This Row],[Peso Liquido]]/1000</f>
        <v>3.5985300000000002</v>
      </c>
      <c r="I64" s="10">
        <v>11849.34</v>
      </c>
    </row>
    <row r="65" spans="2:9" x14ac:dyDescent="0.25">
      <c r="B65" s="2">
        <v>122843</v>
      </c>
      <c r="C65" s="9">
        <v>46174</v>
      </c>
      <c r="D65" s="9" t="s">
        <v>19</v>
      </c>
      <c r="E65" s="2">
        <v>10</v>
      </c>
      <c r="F65" s="2" t="s">
        <v>6</v>
      </c>
      <c r="G65" s="3">
        <v>139.47999999999999</v>
      </c>
      <c r="H65" s="3">
        <f>Tabela6[[#This Row],[Peso Liquido]]/1000</f>
        <v>0.13947999999999999</v>
      </c>
      <c r="I65" s="10">
        <v>1089.99</v>
      </c>
    </row>
    <row r="66" spans="2:9" x14ac:dyDescent="0.25">
      <c r="B66" s="2">
        <v>123444</v>
      </c>
      <c r="C66" s="9">
        <v>46175</v>
      </c>
      <c r="D66" s="9" t="s">
        <v>19</v>
      </c>
      <c r="E66" s="2">
        <v>84</v>
      </c>
      <c r="F66" s="2" t="s">
        <v>20</v>
      </c>
      <c r="G66" s="3">
        <v>1575</v>
      </c>
      <c r="H66" s="3">
        <f>Tabela6[[#This Row],[Peso Liquido]]/1000</f>
        <v>1.575</v>
      </c>
      <c r="I66" s="10">
        <v>5961.48</v>
      </c>
    </row>
    <row r="67" spans="2:9" x14ac:dyDescent="0.25">
      <c r="B67" s="2">
        <v>124308</v>
      </c>
      <c r="C67" s="9">
        <v>46176</v>
      </c>
      <c r="D67" s="9" t="s">
        <v>19</v>
      </c>
      <c r="E67" s="2">
        <v>17</v>
      </c>
      <c r="F67" s="2" t="s">
        <v>6</v>
      </c>
      <c r="G67" s="3">
        <v>851.37400000000002</v>
      </c>
      <c r="H67" s="3">
        <f>Tabela6[[#This Row],[Peso Liquido]]/1000</f>
        <v>0.85137400000000008</v>
      </c>
      <c r="I67" s="10">
        <v>2964.8</v>
      </c>
    </row>
    <row r="68" spans="2:9" x14ac:dyDescent="0.25">
      <c r="B68" s="2">
        <v>124309</v>
      </c>
      <c r="C68" s="9">
        <v>46176</v>
      </c>
      <c r="D68" s="9" t="s">
        <v>19</v>
      </c>
      <c r="E68" s="2">
        <v>1</v>
      </c>
      <c r="F68" s="2" t="s">
        <v>6</v>
      </c>
      <c r="G68" s="3">
        <v>14.625</v>
      </c>
      <c r="H68" s="3">
        <f>Tabela6[[#This Row],[Peso Liquido]]/1000</f>
        <v>1.4625000000000001E-2</v>
      </c>
      <c r="I68" s="10">
        <v>91.4</v>
      </c>
    </row>
    <row r="69" spans="2:9" x14ac:dyDescent="0.25">
      <c r="B69" s="2">
        <v>125234</v>
      </c>
      <c r="C69" s="9">
        <v>46178</v>
      </c>
      <c r="D69" s="9" t="s">
        <v>19</v>
      </c>
      <c r="E69" s="2">
        <v>19</v>
      </c>
      <c r="F69" s="2" t="s">
        <v>6</v>
      </c>
      <c r="G69" s="3">
        <v>872.74599999999998</v>
      </c>
      <c r="H69" s="3">
        <f>Tabela6[[#This Row],[Peso Liquido]]/1000</f>
        <v>0.87274600000000002</v>
      </c>
      <c r="I69" s="10">
        <v>3399.58</v>
      </c>
    </row>
    <row r="70" spans="2:9" x14ac:dyDescent="0.25">
      <c r="B70" s="2">
        <v>126543</v>
      </c>
      <c r="C70" s="9">
        <v>46181</v>
      </c>
      <c r="D70" s="9" t="s">
        <v>19</v>
      </c>
      <c r="E70" s="2">
        <v>14</v>
      </c>
      <c r="F70" s="2" t="s">
        <v>6</v>
      </c>
      <c r="G70" s="3">
        <v>535.24400000000003</v>
      </c>
      <c r="H70" s="3">
        <f>Tabela6[[#This Row],[Peso Liquido]]/1000</f>
        <v>0.53524400000000005</v>
      </c>
      <c r="I70" s="10">
        <v>2053.39</v>
      </c>
    </row>
    <row r="71" spans="2:9" x14ac:dyDescent="0.25">
      <c r="B71" s="2">
        <v>126594</v>
      </c>
      <c r="C71" s="9">
        <v>46181</v>
      </c>
      <c r="D71" s="9" t="s">
        <v>19</v>
      </c>
      <c r="E71" s="2">
        <v>19</v>
      </c>
      <c r="F71" s="2" t="s">
        <v>6</v>
      </c>
      <c r="G71" s="3">
        <v>218.69</v>
      </c>
      <c r="H71" s="3">
        <f>Tabela6[[#This Row],[Peso Liquido]]/1000</f>
        <v>0.21869</v>
      </c>
      <c r="I71" s="10">
        <v>1182.83</v>
      </c>
    </row>
    <row r="72" spans="2:9" x14ac:dyDescent="0.25">
      <c r="B72" s="2">
        <v>128172</v>
      </c>
      <c r="C72" s="9">
        <v>46182</v>
      </c>
      <c r="D72" s="9" t="s">
        <v>19</v>
      </c>
      <c r="E72" s="2">
        <v>4</v>
      </c>
      <c r="F72" s="2" t="s">
        <v>6</v>
      </c>
      <c r="G72" s="3">
        <v>247.45400000000001</v>
      </c>
      <c r="H72" s="3">
        <f>Tabela6[[#This Row],[Peso Liquido]]/1000</f>
        <v>0.24745400000000001</v>
      </c>
      <c r="I72" s="10">
        <v>1007.63</v>
      </c>
    </row>
    <row r="73" spans="2:9" x14ac:dyDescent="0.25">
      <c r="B73" s="2">
        <v>128287</v>
      </c>
      <c r="C73" s="9">
        <v>46182</v>
      </c>
      <c r="D73" s="9" t="s">
        <v>19</v>
      </c>
      <c r="E73" s="2">
        <v>3</v>
      </c>
      <c r="F73" s="2" t="s">
        <v>6</v>
      </c>
      <c r="G73" s="3">
        <v>66.903999999999996</v>
      </c>
      <c r="H73" s="3">
        <f>Tabela6[[#This Row],[Peso Liquido]]/1000</f>
        <v>6.6903999999999991E-2</v>
      </c>
      <c r="I73" s="10">
        <v>548.57000000000005</v>
      </c>
    </row>
    <row r="74" spans="2:9" x14ac:dyDescent="0.25">
      <c r="B74" s="2">
        <v>128772</v>
      </c>
      <c r="C74" s="9">
        <v>46182</v>
      </c>
      <c r="D74" s="9" t="s">
        <v>19</v>
      </c>
      <c r="E74" s="2">
        <v>7</v>
      </c>
      <c r="F74" s="2" t="s">
        <v>7</v>
      </c>
      <c r="G74" s="3">
        <v>454.738</v>
      </c>
      <c r="H74" s="3">
        <f>Tabela6[[#This Row],[Peso Liquido]]/1000</f>
        <v>0.45473799999999998</v>
      </c>
      <c r="I74" s="10">
        <v>1618.53</v>
      </c>
    </row>
    <row r="75" spans="2:9" x14ac:dyDescent="0.25">
      <c r="B75" s="2">
        <v>129030</v>
      </c>
      <c r="C75" s="9">
        <v>46182</v>
      </c>
      <c r="D75" s="9" t="s">
        <v>19</v>
      </c>
      <c r="E75" s="2">
        <v>9</v>
      </c>
      <c r="F75" s="2" t="s">
        <v>7</v>
      </c>
      <c r="G75" s="3">
        <v>548.82500000000005</v>
      </c>
      <c r="H75" s="3">
        <f>Tabela6[[#This Row],[Peso Liquido]]/1000</f>
        <v>0.54882500000000001</v>
      </c>
      <c r="I75" s="10">
        <v>1789.47</v>
      </c>
    </row>
    <row r="76" spans="2:9" x14ac:dyDescent="0.25">
      <c r="B76" s="2">
        <v>129176</v>
      </c>
      <c r="C76" s="9">
        <v>46182</v>
      </c>
      <c r="D76" s="9" t="s">
        <v>19</v>
      </c>
      <c r="E76" s="2">
        <v>9</v>
      </c>
      <c r="F76" s="2" t="s">
        <v>7</v>
      </c>
      <c r="G76" s="3">
        <v>465.42599999999999</v>
      </c>
      <c r="H76" s="3">
        <f>Tabela6[[#This Row],[Peso Liquido]]/1000</f>
        <v>0.46542600000000001</v>
      </c>
      <c r="I76" s="10">
        <v>1718.85</v>
      </c>
    </row>
    <row r="77" spans="2:9" x14ac:dyDescent="0.25">
      <c r="B77" s="2">
        <v>129181</v>
      </c>
      <c r="C77" s="9">
        <v>46182</v>
      </c>
      <c r="D77" s="9" t="s">
        <v>19</v>
      </c>
      <c r="E77" s="2">
        <v>2</v>
      </c>
      <c r="F77" s="2" t="s">
        <v>7</v>
      </c>
      <c r="G77" s="3">
        <v>95.94</v>
      </c>
      <c r="H77" s="3">
        <f>Tabela6[[#This Row],[Peso Liquido]]/1000</f>
        <v>9.5939999999999998E-2</v>
      </c>
      <c r="I77" s="10">
        <v>435.15</v>
      </c>
    </row>
    <row r="78" spans="2:9" x14ac:dyDescent="0.25">
      <c r="B78" s="2">
        <v>129546</v>
      </c>
      <c r="C78" s="9">
        <v>46183</v>
      </c>
      <c r="D78" s="9" t="s">
        <v>19</v>
      </c>
      <c r="E78" s="2">
        <v>15</v>
      </c>
      <c r="F78" s="2" t="s">
        <v>6</v>
      </c>
      <c r="G78" s="3">
        <v>517.08299999999997</v>
      </c>
      <c r="H78" s="3">
        <f>Tabela6[[#This Row],[Peso Liquido]]/1000</f>
        <v>0.51708299999999996</v>
      </c>
      <c r="I78" s="10">
        <v>1781.37</v>
      </c>
    </row>
    <row r="79" spans="2:9" x14ac:dyDescent="0.25">
      <c r="B79" s="2">
        <v>129652</v>
      </c>
      <c r="C79" s="9">
        <v>46183</v>
      </c>
      <c r="D79" s="9" t="s">
        <v>19</v>
      </c>
      <c r="E79" s="2">
        <v>10</v>
      </c>
      <c r="F79" s="2" t="s">
        <v>7</v>
      </c>
      <c r="G79" s="3">
        <v>608.73500000000001</v>
      </c>
      <c r="H79" s="3">
        <f>Tabela6[[#This Row],[Peso Liquido]]/1000</f>
        <v>0.60873500000000003</v>
      </c>
      <c r="I79" s="10">
        <v>2146.29</v>
      </c>
    </row>
    <row r="80" spans="2:9" x14ac:dyDescent="0.25">
      <c r="B80" s="2">
        <v>129735</v>
      </c>
      <c r="C80" s="9">
        <v>46183</v>
      </c>
      <c r="D80" s="9" t="s">
        <v>19</v>
      </c>
      <c r="E80" s="2">
        <v>9</v>
      </c>
      <c r="F80" s="2" t="s">
        <v>7</v>
      </c>
      <c r="G80" s="3">
        <v>381.065</v>
      </c>
      <c r="H80" s="3">
        <f>Tabela6[[#This Row],[Peso Liquido]]/1000</f>
        <v>0.38106499999999999</v>
      </c>
      <c r="I80" s="10">
        <v>1527.24</v>
      </c>
    </row>
    <row r="81" spans="2:9" x14ac:dyDescent="0.25">
      <c r="B81" s="2">
        <v>129739</v>
      </c>
      <c r="C81" s="9">
        <v>46183</v>
      </c>
      <c r="D81" s="9" t="s">
        <v>19</v>
      </c>
      <c r="E81" s="2">
        <v>1</v>
      </c>
      <c r="F81" s="2" t="s">
        <v>7</v>
      </c>
      <c r="G81" s="3">
        <v>53.625</v>
      </c>
      <c r="H81" s="3">
        <f>Tabela6[[#This Row],[Peso Liquido]]/1000</f>
        <v>5.3624999999999999E-2</v>
      </c>
      <c r="I81" s="10">
        <v>176.3</v>
      </c>
    </row>
    <row r="82" spans="2:9" x14ac:dyDescent="0.25">
      <c r="B82" s="2">
        <v>129746</v>
      </c>
      <c r="C82" s="9">
        <v>46183</v>
      </c>
      <c r="D82" s="9" t="s">
        <v>19</v>
      </c>
      <c r="E82" s="2">
        <v>12</v>
      </c>
      <c r="F82" s="2" t="s">
        <v>7</v>
      </c>
      <c r="G82" s="3">
        <v>592.61099999999999</v>
      </c>
      <c r="H82" s="3">
        <f>Tabela6[[#This Row],[Peso Liquido]]/1000</f>
        <v>0.592611</v>
      </c>
      <c r="I82" s="10">
        <v>2058.25</v>
      </c>
    </row>
    <row r="83" spans="2:9" x14ac:dyDescent="0.25">
      <c r="B83" s="2">
        <v>130447</v>
      </c>
      <c r="C83" s="9">
        <v>46183</v>
      </c>
      <c r="D83" s="9" t="s">
        <v>19</v>
      </c>
      <c r="E83" s="2">
        <v>10</v>
      </c>
      <c r="F83" s="2" t="s">
        <v>7</v>
      </c>
      <c r="G83" s="3">
        <v>227.905</v>
      </c>
      <c r="H83" s="3">
        <f>Tabela6[[#This Row],[Peso Liquido]]/1000</f>
        <v>0.227905</v>
      </c>
      <c r="I83" s="10">
        <v>955.26</v>
      </c>
    </row>
    <row r="84" spans="2:9" x14ac:dyDescent="0.25">
      <c r="B84" s="2">
        <v>130645</v>
      </c>
      <c r="C84" s="9">
        <v>46183</v>
      </c>
      <c r="D84" s="9" t="s">
        <v>19</v>
      </c>
      <c r="E84" s="2">
        <v>7</v>
      </c>
      <c r="F84" s="2" t="s">
        <v>7</v>
      </c>
      <c r="G84" s="3">
        <v>417.786</v>
      </c>
      <c r="H84" s="3">
        <f>Tabela6[[#This Row],[Peso Liquido]]/1000</f>
        <v>0.41778599999999999</v>
      </c>
      <c r="I84" s="10">
        <v>1526.79</v>
      </c>
    </row>
    <row r="85" spans="2:9" x14ac:dyDescent="0.25">
      <c r="B85" s="2">
        <v>130646</v>
      </c>
      <c r="C85" s="9">
        <v>46183</v>
      </c>
      <c r="D85" s="9" t="s">
        <v>19</v>
      </c>
      <c r="E85" s="2">
        <v>1</v>
      </c>
      <c r="F85" s="2" t="s">
        <v>7</v>
      </c>
      <c r="G85" s="3">
        <v>17.696000000000002</v>
      </c>
      <c r="H85" s="3">
        <f>Tabela6[[#This Row],[Peso Liquido]]/1000</f>
        <v>1.7696E-2</v>
      </c>
      <c r="I85" s="10">
        <v>79.12</v>
      </c>
    </row>
    <row r="86" spans="2:9" x14ac:dyDescent="0.25">
      <c r="B86" s="2">
        <v>130705</v>
      </c>
      <c r="C86" s="9">
        <v>46184</v>
      </c>
      <c r="D86" s="9" t="s">
        <v>19</v>
      </c>
      <c r="E86" s="2">
        <v>5</v>
      </c>
      <c r="F86" s="2" t="s">
        <v>7</v>
      </c>
      <c r="G86" s="3">
        <v>319.262</v>
      </c>
      <c r="H86" s="3">
        <f>Tabela6[[#This Row],[Peso Liquido]]/1000</f>
        <v>0.31926199999999999</v>
      </c>
      <c r="I86" s="10">
        <v>1065.77</v>
      </c>
    </row>
    <row r="87" spans="2:9" x14ac:dyDescent="0.25">
      <c r="B87" s="2">
        <v>130793</v>
      </c>
      <c r="C87" s="9">
        <v>46184</v>
      </c>
      <c r="D87" s="9" t="s">
        <v>19</v>
      </c>
      <c r="E87" s="2">
        <v>2</v>
      </c>
      <c r="F87" s="2" t="s">
        <v>7</v>
      </c>
      <c r="G87" s="3">
        <v>88.626000000000005</v>
      </c>
      <c r="H87" s="3">
        <f>Tabela6[[#This Row],[Peso Liquido]]/1000</f>
        <v>8.862600000000001E-2</v>
      </c>
      <c r="I87" s="10">
        <v>302.58999999999997</v>
      </c>
    </row>
    <row r="88" spans="2:9" x14ac:dyDescent="0.25">
      <c r="B88" s="2">
        <v>130806</v>
      </c>
      <c r="C88" s="9">
        <v>46184</v>
      </c>
      <c r="D88" s="9" t="s">
        <v>19</v>
      </c>
      <c r="E88" s="2">
        <v>17</v>
      </c>
      <c r="F88" s="2" t="s">
        <v>6</v>
      </c>
      <c r="G88" s="3">
        <v>690.13800000000003</v>
      </c>
      <c r="H88" s="3">
        <f>Tabela6[[#This Row],[Peso Liquido]]/1000</f>
        <v>0.69013800000000003</v>
      </c>
      <c r="I88" s="10">
        <v>2431.5</v>
      </c>
    </row>
    <row r="89" spans="2:9" x14ac:dyDescent="0.25">
      <c r="B89" s="2">
        <v>131301</v>
      </c>
      <c r="C89" s="9">
        <v>46184</v>
      </c>
      <c r="D89" s="9" t="s">
        <v>19</v>
      </c>
      <c r="E89" s="2">
        <v>8</v>
      </c>
      <c r="F89" s="2" t="s">
        <v>7</v>
      </c>
      <c r="G89" s="3">
        <v>478.67899999999997</v>
      </c>
      <c r="H89" s="3">
        <f>Tabela6[[#This Row],[Peso Liquido]]/1000</f>
        <v>0.47867899999999997</v>
      </c>
      <c r="I89" s="10">
        <v>1709.34</v>
      </c>
    </row>
    <row r="90" spans="2:9" x14ac:dyDescent="0.25">
      <c r="B90" s="2">
        <v>131586</v>
      </c>
      <c r="C90" s="9">
        <v>46184</v>
      </c>
      <c r="D90" s="9" t="s">
        <v>19</v>
      </c>
      <c r="E90" s="2">
        <v>12</v>
      </c>
      <c r="F90" s="2" t="s">
        <v>7</v>
      </c>
      <c r="G90" s="3">
        <v>591.65800000000002</v>
      </c>
      <c r="H90" s="3">
        <f>Tabela6[[#This Row],[Peso Liquido]]/1000</f>
        <v>0.59165800000000002</v>
      </c>
      <c r="I90" s="10">
        <v>2243.4299999999998</v>
      </c>
    </row>
    <row r="91" spans="2:9" x14ac:dyDescent="0.25">
      <c r="B91" s="2">
        <v>131587</v>
      </c>
      <c r="C91" s="9">
        <v>46184</v>
      </c>
      <c r="D91" s="9" t="s">
        <v>19</v>
      </c>
      <c r="E91" s="2">
        <v>1</v>
      </c>
      <c r="F91" s="2" t="s">
        <v>7</v>
      </c>
      <c r="G91" s="3">
        <v>49.92</v>
      </c>
      <c r="H91" s="3">
        <f>Tabela6[[#This Row],[Peso Liquido]]/1000</f>
        <v>4.9919999999999999E-2</v>
      </c>
      <c r="I91" s="10">
        <v>162.76</v>
      </c>
    </row>
    <row r="92" spans="2:9" x14ac:dyDescent="0.25">
      <c r="B92" s="2">
        <v>131588</v>
      </c>
      <c r="C92" s="9">
        <v>46184</v>
      </c>
      <c r="D92" s="9" t="s">
        <v>19</v>
      </c>
      <c r="E92" s="2">
        <v>6</v>
      </c>
      <c r="F92" s="2" t="s">
        <v>7</v>
      </c>
      <c r="G92" s="3">
        <v>381.76400000000001</v>
      </c>
      <c r="H92" s="3">
        <f>Tabela6[[#This Row],[Peso Liquido]]/1000</f>
        <v>0.38176399999999999</v>
      </c>
      <c r="I92" s="10">
        <v>1415.46</v>
      </c>
    </row>
    <row r="93" spans="2:9" x14ac:dyDescent="0.25">
      <c r="B93" s="2">
        <v>131589</v>
      </c>
      <c r="C93" s="9">
        <v>46184</v>
      </c>
      <c r="D93" s="9" t="s">
        <v>19</v>
      </c>
      <c r="E93" s="2">
        <v>2</v>
      </c>
      <c r="F93" s="2" t="s">
        <v>7</v>
      </c>
      <c r="G93" s="3">
        <v>33.344000000000001</v>
      </c>
      <c r="H93" s="3">
        <f>Tabela6[[#This Row],[Peso Liquido]]/1000</f>
        <v>3.3343999999999999E-2</v>
      </c>
      <c r="I93" s="10">
        <v>91.7</v>
      </c>
    </row>
    <row r="94" spans="2:9" x14ac:dyDescent="0.25">
      <c r="B94" s="2">
        <v>132133</v>
      </c>
      <c r="C94" s="9">
        <v>46185</v>
      </c>
      <c r="D94" s="9" t="s">
        <v>19</v>
      </c>
      <c r="E94" s="2">
        <v>1</v>
      </c>
      <c r="F94" s="2" t="s">
        <v>7</v>
      </c>
      <c r="G94" s="3">
        <v>49.38</v>
      </c>
      <c r="H94" s="3">
        <f>Tabela6[[#This Row],[Peso Liquido]]/1000</f>
        <v>4.938E-2</v>
      </c>
      <c r="I94" s="10">
        <v>150.01</v>
      </c>
    </row>
    <row r="95" spans="2:9" x14ac:dyDescent="0.25">
      <c r="B95" s="2">
        <v>132135</v>
      </c>
      <c r="C95" s="9">
        <v>46185</v>
      </c>
      <c r="D95" s="9" t="s">
        <v>19</v>
      </c>
      <c r="E95" s="2">
        <v>12</v>
      </c>
      <c r="F95" s="2" t="s">
        <v>7</v>
      </c>
      <c r="G95" s="3">
        <v>464.16300000000001</v>
      </c>
      <c r="H95" s="3">
        <f>Tabela6[[#This Row],[Peso Liquido]]/1000</f>
        <v>0.46416299999999999</v>
      </c>
      <c r="I95" s="10">
        <v>1666.02</v>
      </c>
    </row>
    <row r="96" spans="2:9" x14ac:dyDescent="0.25">
      <c r="B96" s="2">
        <v>132136</v>
      </c>
      <c r="C96" s="9">
        <v>46185</v>
      </c>
      <c r="D96" s="9" t="s">
        <v>19</v>
      </c>
      <c r="E96" s="2">
        <v>1</v>
      </c>
      <c r="F96" s="2" t="s">
        <v>6</v>
      </c>
      <c r="G96" s="3">
        <v>38.020000000000003</v>
      </c>
      <c r="H96" s="3">
        <f>Tabela6[[#This Row],[Peso Liquido]]/1000</f>
        <v>3.8020000000000005E-2</v>
      </c>
      <c r="I96" s="10">
        <v>157.47</v>
      </c>
    </row>
    <row r="97" spans="2:9" x14ac:dyDescent="0.25">
      <c r="B97" s="2">
        <v>132569</v>
      </c>
      <c r="C97" s="9">
        <v>46185</v>
      </c>
      <c r="D97" s="9" t="s">
        <v>19</v>
      </c>
      <c r="E97" s="2">
        <v>13</v>
      </c>
      <c r="F97" s="2" t="s">
        <v>7</v>
      </c>
      <c r="G97" s="3">
        <v>777.86099999999999</v>
      </c>
      <c r="H97" s="3">
        <f>Tabela6[[#This Row],[Peso Liquido]]/1000</f>
        <v>0.77786100000000002</v>
      </c>
      <c r="I97" s="10">
        <v>2801.79</v>
      </c>
    </row>
    <row r="98" spans="2:9" x14ac:dyDescent="0.25">
      <c r="B98" s="2">
        <v>132835</v>
      </c>
      <c r="C98" s="9">
        <v>46185</v>
      </c>
      <c r="D98" s="9" t="s">
        <v>19</v>
      </c>
      <c r="E98" s="2">
        <v>16</v>
      </c>
      <c r="F98" s="2" t="s">
        <v>7</v>
      </c>
      <c r="G98" s="3">
        <v>721.29100000000005</v>
      </c>
      <c r="H98" s="3">
        <f>Tabela6[[#This Row],[Peso Liquido]]/1000</f>
        <v>0.72129100000000002</v>
      </c>
      <c r="I98" s="10">
        <v>2419.4899999999998</v>
      </c>
    </row>
    <row r="99" spans="2:9" x14ac:dyDescent="0.25">
      <c r="B99" s="2">
        <v>132952</v>
      </c>
      <c r="C99" s="9">
        <v>46185</v>
      </c>
      <c r="D99" s="9" t="s">
        <v>19</v>
      </c>
      <c r="E99" s="2">
        <v>1</v>
      </c>
      <c r="F99" s="2" t="s">
        <v>7</v>
      </c>
      <c r="G99" s="3">
        <v>15.834</v>
      </c>
      <c r="H99" s="3">
        <f>Tabela6[[#This Row],[Peso Liquido]]/1000</f>
        <v>1.5834000000000001E-2</v>
      </c>
      <c r="I99" s="10">
        <v>96.62</v>
      </c>
    </row>
    <row r="100" spans="2:9" x14ac:dyDescent="0.25">
      <c r="B100" s="2">
        <v>132951</v>
      </c>
      <c r="C100" s="9">
        <v>46185</v>
      </c>
      <c r="D100" s="9" t="s">
        <v>19</v>
      </c>
      <c r="E100" s="2">
        <v>17</v>
      </c>
      <c r="F100" s="2" t="s">
        <v>7</v>
      </c>
      <c r="G100" s="3">
        <v>629.13599999999997</v>
      </c>
      <c r="H100" s="3">
        <f>Tabela6[[#This Row],[Peso Liquido]]/1000</f>
        <v>0.62913599999999992</v>
      </c>
      <c r="I100" s="10">
        <v>2528.9899999999998</v>
      </c>
    </row>
    <row r="101" spans="2:9" x14ac:dyDescent="0.25">
      <c r="B101" s="2">
        <v>132854</v>
      </c>
      <c r="C101" s="9">
        <v>46185</v>
      </c>
      <c r="D101" s="9" t="s">
        <v>19</v>
      </c>
      <c r="E101" s="2">
        <v>8</v>
      </c>
      <c r="F101" s="2" t="s">
        <v>7</v>
      </c>
      <c r="G101" s="3">
        <v>466.83600000000001</v>
      </c>
      <c r="H101" s="3">
        <f>Tabela6[[#This Row],[Peso Liquido]]/1000</f>
        <v>0.46683600000000003</v>
      </c>
      <c r="I101" s="10">
        <v>1684.08</v>
      </c>
    </row>
    <row r="102" spans="2:9" x14ac:dyDescent="0.25">
      <c r="B102" s="2">
        <v>133150</v>
      </c>
      <c r="C102" s="9">
        <v>46186</v>
      </c>
      <c r="D102" s="9" t="s">
        <v>19</v>
      </c>
      <c r="E102" s="2">
        <v>17</v>
      </c>
      <c r="F102" s="2" t="s">
        <v>7</v>
      </c>
      <c r="G102" s="3">
        <v>653.51099999999997</v>
      </c>
      <c r="H102" s="3">
        <f>Tabela6[[#This Row],[Peso Liquido]]/1000</f>
        <v>0.65351099999999995</v>
      </c>
      <c r="I102" s="10">
        <v>2539.4899999999998</v>
      </c>
    </row>
    <row r="103" spans="2:9" x14ac:dyDescent="0.25">
      <c r="B103" s="2">
        <v>133151</v>
      </c>
      <c r="C103" s="9">
        <v>46186</v>
      </c>
      <c r="D103" s="9" t="s">
        <v>19</v>
      </c>
      <c r="E103" s="2">
        <v>1</v>
      </c>
      <c r="F103" s="2" t="s">
        <v>7</v>
      </c>
      <c r="G103" s="3">
        <v>49.725000000000001</v>
      </c>
      <c r="H103" s="3">
        <f>Tabela6[[#This Row],[Peso Liquido]]/1000</f>
        <v>4.9724999999999998E-2</v>
      </c>
      <c r="I103" s="10">
        <v>201.4</v>
      </c>
    </row>
    <row r="104" spans="2:9" x14ac:dyDescent="0.25">
      <c r="B104" s="2">
        <v>133152</v>
      </c>
      <c r="C104" s="9">
        <v>46186</v>
      </c>
      <c r="D104" s="9" t="s">
        <v>19</v>
      </c>
      <c r="E104" s="2">
        <v>18</v>
      </c>
      <c r="F104" s="2" t="s">
        <v>7</v>
      </c>
      <c r="G104" s="3">
        <v>843.75400000000002</v>
      </c>
      <c r="H104" s="3">
        <f>Tabela6[[#This Row],[Peso Liquido]]/1000</f>
        <v>0.843754</v>
      </c>
      <c r="I104" s="10">
        <v>2943.8</v>
      </c>
    </row>
    <row r="105" spans="2:9" x14ac:dyDescent="0.25">
      <c r="B105" s="2">
        <v>133153</v>
      </c>
      <c r="C105" s="9">
        <v>46186</v>
      </c>
      <c r="D105" s="9" t="s">
        <v>19</v>
      </c>
      <c r="E105" s="2">
        <v>8</v>
      </c>
      <c r="F105" s="2" t="s">
        <v>7</v>
      </c>
      <c r="G105" s="3">
        <v>448.92899999999997</v>
      </c>
      <c r="H105" s="3">
        <f>Tabela6[[#This Row],[Peso Liquido]]/1000</f>
        <v>0.44892899999999997</v>
      </c>
      <c r="I105" s="10">
        <v>1731.93</v>
      </c>
    </row>
    <row r="106" spans="2:9" x14ac:dyDescent="0.25">
      <c r="B106" s="2">
        <v>133154</v>
      </c>
      <c r="C106" s="9">
        <v>46186</v>
      </c>
      <c r="D106" s="9" t="s">
        <v>19</v>
      </c>
      <c r="E106" s="2">
        <v>13</v>
      </c>
      <c r="F106" s="2" t="s">
        <v>7</v>
      </c>
      <c r="G106" s="3">
        <v>512.98400000000004</v>
      </c>
      <c r="H106" s="3">
        <f>Tabela6[[#This Row],[Peso Liquido]]/1000</f>
        <v>0.512984</v>
      </c>
      <c r="I106" s="10">
        <v>2246.04</v>
      </c>
    </row>
    <row r="107" spans="2:9" x14ac:dyDescent="0.25">
      <c r="B107" s="2">
        <v>133155</v>
      </c>
      <c r="C107" s="9">
        <v>46186</v>
      </c>
      <c r="D107" s="9" t="s">
        <v>19</v>
      </c>
      <c r="E107" s="2">
        <v>14</v>
      </c>
      <c r="F107" s="2" t="s">
        <v>7</v>
      </c>
      <c r="G107" s="3">
        <v>746.06799999999998</v>
      </c>
      <c r="H107" s="3">
        <f>Tabela6[[#This Row],[Peso Liquido]]/1000</f>
        <v>0.74606799999999995</v>
      </c>
      <c r="I107" s="10">
        <v>2583.52</v>
      </c>
    </row>
    <row r="108" spans="2:9" x14ac:dyDescent="0.25">
      <c r="B108" s="2">
        <v>133225</v>
      </c>
      <c r="C108" s="9">
        <v>46188</v>
      </c>
      <c r="D108" s="9" t="s">
        <v>19</v>
      </c>
      <c r="E108" s="2">
        <v>9</v>
      </c>
      <c r="F108" s="2" t="s">
        <v>6</v>
      </c>
      <c r="G108" s="3">
        <v>468.86799999999999</v>
      </c>
      <c r="H108" s="3">
        <f>Tabela6[[#This Row],[Peso Liquido]]/1000</f>
        <v>0.46886800000000001</v>
      </c>
      <c r="I108" s="10">
        <v>1591.06</v>
      </c>
    </row>
    <row r="109" spans="2:9" x14ac:dyDescent="0.25">
      <c r="B109" s="2">
        <v>133226</v>
      </c>
      <c r="C109" s="9">
        <v>46188</v>
      </c>
      <c r="D109" s="9" t="s">
        <v>19</v>
      </c>
      <c r="E109" s="2">
        <v>2</v>
      </c>
      <c r="F109" s="2" t="s">
        <v>6</v>
      </c>
      <c r="G109" s="3">
        <v>38.414000000000001</v>
      </c>
      <c r="H109" s="3">
        <f>Tabela6[[#This Row],[Peso Liquido]]/1000</f>
        <v>3.8414000000000004E-2</v>
      </c>
      <c r="I109" s="10">
        <v>234.65</v>
      </c>
    </row>
    <row r="110" spans="2:9" x14ac:dyDescent="0.25">
      <c r="B110" s="2">
        <v>133485</v>
      </c>
      <c r="C110" s="9">
        <v>46188</v>
      </c>
      <c r="D110" s="9" t="s">
        <v>19</v>
      </c>
      <c r="E110" s="2">
        <v>1</v>
      </c>
      <c r="F110" s="2" t="s">
        <v>6</v>
      </c>
      <c r="G110" s="3">
        <v>34.222000000000001</v>
      </c>
      <c r="H110" s="3">
        <f>Tabela6[[#This Row],[Peso Liquido]]/1000</f>
        <v>3.4222000000000002E-2</v>
      </c>
      <c r="I110" s="10">
        <v>135.25</v>
      </c>
    </row>
    <row r="111" spans="2:9" x14ac:dyDescent="0.25">
      <c r="B111" s="2">
        <v>133932</v>
      </c>
      <c r="C111" s="9">
        <v>46188</v>
      </c>
      <c r="D111" s="9" t="s">
        <v>19</v>
      </c>
      <c r="E111" s="2">
        <v>11</v>
      </c>
      <c r="F111" s="2" t="s">
        <v>7</v>
      </c>
      <c r="G111" s="3">
        <v>423.77800000000002</v>
      </c>
      <c r="H111" s="3">
        <f>Tabela6[[#This Row],[Peso Liquido]]/1000</f>
        <v>0.42377800000000004</v>
      </c>
      <c r="I111" s="10">
        <v>1601.03</v>
      </c>
    </row>
    <row r="112" spans="2:9" x14ac:dyDescent="0.25">
      <c r="B112" s="2">
        <v>133969</v>
      </c>
      <c r="C112" s="9">
        <v>46188</v>
      </c>
      <c r="D112" s="9" t="s">
        <v>19</v>
      </c>
      <c r="E112" s="2">
        <v>20</v>
      </c>
      <c r="F112" s="2" t="s">
        <v>7</v>
      </c>
      <c r="G112" s="3">
        <v>842.69799999999998</v>
      </c>
      <c r="H112" s="3">
        <f>Tabela6[[#This Row],[Peso Liquido]]/1000</f>
        <v>0.84269799999999995</v>
      </c>
      <c r="I112" s="10">
        <v>3216.27</v>
      </c>
    </row>
    <row r="113" spans="2:9" x14ac:dyDescent="0.25">
      <c r="B113" s="2">
        <v>134260</v>
      </c>
      <c r="C113" s="9">
        <v>46188</v>
      </c>
      <c r="D113" s="9" t="s">
        <v>19</v>
      </c>
      <c r="E113" s="2">
        <v>1</v>
      </c>
      <c r="F113" s="2" t="s">
        <v>7</v>
      </c>
      <c r="G113" s="3">
        <v>13.64</v>
      </c>
      <c r="H113" s="3">
        <f>Tabela6[[#This Row],[Peso Liquido]]/1000</f>
        <v>1.3640000000000001E-2</v>
      </c>
      <c r="I113" s="10">
        <v>89.08</v>
      </c>
    </row>
    <row r="114" spans="2:9" x14ac:dyDescent="0.25">
      <c r="B114" s="2">
        <v>134259</v>
      </c>
      <c r="C114" s="9">
        <v>46188</v>
      </c>
      <c r="D114" s="9" t="s">
        <v>19</v>
      </c>
      <c r="E114" s="2">
        <v>10</v>
      </c>
      <c r="F114" s="2" t="s">
        <v>7</v>
      </c>
      <c r="G114" s="3">
        <v>282.00799999999998</v>
      </c>
      <c r="H114" s="3">
        <f>Tabela6[[#This Row],[Peso Liquido]]/1000</f>
        <v>0.28200799999999998</v>
      </c>
      <c r="I114" s="10">
        <v>1110.5899999999999</v>
      </c>
    </row>
    <row r="115" spans="2:9" x14ac:dyDescent="0.25">
      <c r="B115" s="2">
        <v>134402</v>
      </c>
      <c r="C115" s="9">
        <v>46188</v>
      </c>
      <c r="D115" s="9" t="s">
        <v>19</v>
      </c>
      <c r="E115" s="2">
        <v>17</v>
      </c>
      <c r="F115" s="2" t="s">
        <v>7</v>
      </c>
      <c r="G115" s="3">
        <v>835.22799999999995</v>
      </c>
      <c r="H115" s="3">
        <f>Tabela6[[#This Row],[Peso Liquido]]/1000</f>
        <v>0.83522799999999997</v>
      </c>
      <c r="I115" s="10">
        <v>2939.37</v>
      </c>
    </row>
    <row r="116" spans="2:9" x14ac:dyDescent="0.25">
      <c r="B116" s="2">
        <v>134412</v>
      </c>
      <c r="C116" s="9">
        <v>46188</v>
      </c>
      <c r="D116" s="9" t="s">
        <v>19</v>
      </c>
      <c r="E116" s="2">
        <v>19</v>
      </c>
      <c r="F116" s="2" t="s">
        <v>7</v>
      </c>
      <c r="G116" s="3">
        <v>221.89099999999999</v>
      </c>
      <c r="H116" s="3">
        <f>Tabela6[[#This Row],[Peso Liquido]]/1000</f>
        <v>0.221891</v>
      </c>
      <c r="I116" s="10">
        <v>1317.97</v>
      </c>
    </row>
    <row r="117" spans="2:9" x14ac:dyDescent="0.25">
      <c r="B117" s="2">
        <v>134453</v>
      </c>
      <c r="C117" s="9">
        <v>46188</v>
      </c>
      <c r="D117" s="9" t="s">
        <v>19</v>
      </c>
      <c r="E117" s="2">
        <v>28</v>
      </c>
      <c r="F117" s="2" t="s">
        <v>7</v>
      </c>
      <c r="G117" s="3">
        <v>319.91000000000003</v>
      </c>
      <c r="H117" s="3">
        <f>Tabela6[[#This Row],[Peso Liquido]]/1000</f>
        <v>0.31991000000000003</v>
      </c>
      <c r="I117" s="10">
        <v>1800.64</v>
      </c>
    </row>
    <row r="118" spans="2:9" x14ac:dyDescent="0.25">
      <c r="B118" s="2">
        <v>134454</v>
      </c>
      <c r="C118" s="9">
        <v>46188</v>
      </c>
      <c r="D118" s="9" t="s">
        <v>19</v>
      </c>
      <c r="E118" s="2">
        <v>3</v>
      </c>
      <c r="F118" s="2" t="s">
        <v>7</v>
      </c>
      <c r="G118" s="3">
        <v>34.53</v>
      </c>
      <c r="H118" s="3">
        <f>Tabela6[[#This Row],[Peso Liquido]]/1000</f>
        <v>3.4529999999999998E-2</v>
      </c>
      <c r="I118" s="10">
        <v>196.77</v>
      </c>
    </row>
    <row r="119" spans="2:9" x14ac:dyDescent="0.25">
      <c r="B119" s="2">
        <v>134455</v>
      </c>
      <c r="C119" s="9">
        <v>46188</v>
      </c>
      <c r="D119" s="9" t="s">
        <v>19</v>
      </c>
      <c r="E119" s="2">
        <v>14</v>
      </c>
      <c r="F119" s="2" t="s">
        <v>7</v>
      </c>
      <c r="G119" s="3">
        <v>161.13999999999999</v>
      </c>
      <c r="H119" s="3">
        <f>Tabela6[[#This Row],[Peso Liquido]]/1000</f>
        <v>0.16113999999999998</v>
      </c>
      <c r="I119" s="10">
        <v>909.59</v>
      </c>
    </row>
    <row r="120" spans="2:9" x14ac:dyDescent="0.25">
      <c r="B120" s="2">
        <v>134456</v>
      </c>
      <c r="C120" s="9">
        <v>46188</v>
      </c>
      <c r="D120" s="9" t="s">
        <v>19</v>
      </c>
      <c r="E120" s="2">
        <v>18</v>
      </c>
      <c r="F120" s="2" t="s">
        <v>7</v>
      </c>
      <c r="G120" s="3">
        <v>1146.3030000000001</v>
      </c>
      <c r="H120" s="3">
        <f>Tabela6[[#This Row],[Peso Liquido]]/1000</f>
        <v>1.1463030000000001</v>
      </c>
      <c r="I120" s="10">
        <v>3830.35</v>
      </c>
    </row>
    <row r="121" spans="2:9" x14ac:dyDescent="0.25">
      <c r="B121" s="2">
        <v>134503</v>
      </c>
      <c r="C121" s="9">
        <v>46188</v>
      </c>
      <c r="D121" s="9" t="s">
        <v>19</v>
      </c>
      <c r="E121" s="2">
        <v>9</v>
      </c>
      <c r="F121" s="2" t="s">
        <v>21</v>
      </c>
      <c r="G121" s="3">
        <v>329.05799999999999</v>
      </c>
      <c r="H121" s="3">
        <f>Tabela6[[#This Row],[Peso Liquido]]/1000</f>
        <v>0.32905800000000002</v>
      </c>
      <c r="I121" s="10">
        <v>1432.53</v>
      </c>
    </row>
    <row r="122" spans="2:9" x14ac:dyDescent="0.25">
      <c r="B122" s="2">
        <v>134903</v>
      </c>
      <c r="C122" s="9">
        <v>46189</v>
      </c>
      <c r="D122" s="9" t="s">
        <v>19</v>
      </c>
      <c r="E122" s="2">
        <v>8</v>
      </c>
      <c r="F122" s="2" t="s">
        <v>7</v>
      </c>
      <c r="G122" s="3">
        <v>111.753</v>
      </c>
      <c r="H122" s="3">
        <f>Tabela6[[#This Row],[Peso Liquido]]/1000</f>
        <v>0.11175300000000001</v>
      </c>
      <c r="I122" s="10">
        <v>727.47</v>
      </c>
    </row>
    <row r="123" spans="2:9" x14ac:dyDescent="0.25">
      <c r="B123" s="2">
        <v>135250</v>
      </c>
      <c r="C123" s="9">
        <v>46189</v>
      </c>
      <c r="D123" s="9" t="s">
        <v>19</v>
      </c>
      <c r="E123" s="2">
        <v>24</v>
      </c>
      <c r="F123" s="2" t="s">
        <v>7</v>
      </c>
      <c r="G123" s="3">
        <v>587.62099999999998</v>
      </c>
      <c r="H123" s="3">
        <f>Tabela6[[#This Row],[Peso Liquido]]/1000</f>
        <v>0.58762099999999995</v>
      </c>
      <c r="I123" s="10">
        <v>3033.74</v>
      </c>
    </row>
    <row r="124" spans="2:9" x14ac:dyDescent="0.25">
      <c r="B124" s="2">
        <v>135921</v>
      </c>
      <c r="C124" s="9">
        <v>46189</v>
      </c>
      <c r="D124" s="9" t="s">
        <v>19</v>
      </c>
      <c r="E124" s="2">
        <v>13</v>
      </c>
      <c r="F124" s="2" t="s">
        <v>7</v>
      </c>
      <c r="G124" s="3">
        <v>762.005</v>
      </c>
      <c r="H124" s="3">
        <f>Tabela6[[#This Row],[Peso Liquido]]/1000</f>
        <v>0.76200500000000004</v>
      </c>
      <c r="I124" s="10">
        <v>2655.41</v>
      </c>
    </row>
    <row r="125" spans="2:9" x14ac:dyDescent="0.25">
      <c r="B125" s="2">
        <v>135031</v>
      </c>
      <c r="C125" s="9">
        <v>46190</v>
      </c>
      <c r="D125" s="9" t="s">
        <v>19</v>
      </c>
      <c r="E125" s="2">
        <v>16</v>
      </c>
      <c r="F125" s="2" t="s">
        <v>7</v>
      </c>
      <c r="G125" s="3">
        <v>1060.6959999999999</v>
      </c>
      <c r="H125" s="3">
        <f>Tabela6[[#This Row],[Peso Liquido]]/1000</f>
        <v>1.0606959999999999</v>
      </c>
      <c r="I125" s="10">
        <v>3609.75</v>
      </c>
    </row>
    <row r="126" spans="2:9" x14ac:dyDescent="0.25">
      <c r="B126" s="2">
        <v>137020</v>
      </c>
      <c r="C126" s="9">
        <v>46190</v>
      </c>
      <c r="D126" s="9" t="s">
        <v>19</v>
      </c>
      <c r="E126" s="2">
        <v>12</v>
      </c>
      <c r="F126" s="2" t="s">
        <v>7</v>
      </c>
      <c r="G126" s="3">
        <v>546.95299999999997</v>
      </c>
      <c r="H126" s="3">
        <f>Tabela6[[#This Row],[Peso Liquido]]/1000</f>
        <v>0.54695300000000002</v>
      </c>
      <c r="I126" s="10">
        <v>1966.69</v>
      </c>
    </row>
    <row r="127" spans="2:9" x14ac:dyDescent="0.25">
      <c r="B127" s="2">
        <v>136870</v>
      </c>
      <c r="C127" s="9">
        <v>46190</v>
      </c>
      <c r="D127" s="9" t="s">
        <v>19</v>
      </c>
      <c r="E127" s="2">
        <v>18</v>
      </c>
      <c r="F127" s="2" t="s">
        <v>7</v>
      </c>
      <c r="G127" s="3">
        <v>1054.5840000000001</v>
      </c>
      <c r="H127" s="3">
        <f>Tabela6[[#This Row],[Peso Liquido]]/1000</f>
        <v>1.054584</v>
      </c>
      <c r="I127" s="10">
        <v>3349.82</v>
      </c>
    </row>
    <row r="128" spans="2:9" x14ac:dyDescent="0.25">
      <c r="B128" s="2">
        <v>136869</v>
      </c>
      <c r="C128" s="9">
        <v>46190</v>
      </c>
      <c r="D128" s="9" t="s">
        <v>19</v>
      </c>
      <c r="E128" s="2">
        <v>21</v>
      </c>
      <c r="F128" s="2" t="s">
        <v>7</v>
      </c>
      <c r="G128" s="3">
        <v>473.084</v>
      </c>
      <c r="H128" s="3">
        <f>Tabela6[[#This Row],[Peso Liquido]]/1000</f>
        <v>0.473084</v>
      </c>
      <c r="I128" s="10">
        <v>2575.23</v>
      </c>
    </row>
    <row r="129" spans="2:9" x14ac:dyDescent="0.25">
      <c r="B129" s="2">
        <v>137090</v>
      </c>
      <c r="C129" s="9">
        <v>46190</v>
      </c>
      <c r="D129" s="9" t="s">
        <v>19</v>
      </c>
      <c r="E129" s="2">
        <v>50</v>
      </c>
      <c r="F129" s="2" t="s">
        <v>7</v>
      </c>
      <c r="G129" s="3">
        <v>573.91999999999996</v>
      </c>
      <c r="H129" s="3">
        <f>Tabela6[[#This Row],[Peso Liquido]]/1000</f>
        <v>0.57391999999999999</v>
      </c>
      <c r="I129" s="10">
        <v>3230.69</v>
      </c>
    </row>
    <row r="130" spans="2:9" x14ac:dyDescent="0.25">
      <c r="B130" s="2">
        <v>137091</v>
      </c>
      <c r="C130" s="9">
        <v>46190</v>
      </c>
      <c r="D130" s="9" t="s">
        <v>19</v>
      </c>
      <c r="E130" s="2">
        <v>18</v>
      </c>
      <c r="F130" s="2" t="s">
        <v>7</v>
      </c>
      <c r="G130" s="3">
        <v>263.59199999999998</v>
      </c>
      <c r="H130" s="3">
        <f>Tabela6[[#This Row],[Peso Liquido]]/1000</f>
        <v>0.26359199999999999</v>
      </c>
      <c r="I130" s="10">
        <v>263.59199999999998</v>
      </c>
    </row>
    <row r="131" spans="2:9" x14ac:dyDescent="0.25">
      <c r="B131" s="2">
        <v>137158</v>
      </c>
      <c r="C131" s="9">
        <v>46190</v>
      </c>
      <c r="D131" s="9" t="s">
        <v>19</v>
      </c>
      <c r="E131" s="2">
        <v>11</v>
      </c>
      <c r="F131" s="2" t="s">
        <v>7</v>
      </c>
      <c r="G131" s="3">
        <v>4.758</v>
      </c>
      <c r="H131" s="3">
        <f>Tabela6[[#This Row],[Peso Liquido]]/1000</f>
        <v>4.7580000000000001E-3</v>
      </c>
      <c r="I131" s="10">
        <v>37.25</v>
      </c>
    </row>
    <row r="132" spans="2:9" x14ac:dyDescent="0.25">
      <c r="B132" s="2">
        <v>138511</v>
      </c>
      <c r="C132" s="9">
        <v>46192</v>
      </c>
      <c r="D132" s="9" t="s">
        <v>19</v>
      </c>
      <c r="E132" s="2">
        <v>9</v>
      </c>
      <c r="F132" s="2" t="s">
        <v>6</v>
      </c>
      <c r="G132" s="3">
        <v>259.12900000000002</v>
      </c>
      <c r="H132" s="3">
        <f>Tabela6[[#This Row],[Peso Liquido]]/1000</f>
        <v>0.259129</v>
      </c>
      <c r="I132" s="10">
        <v>851.27</v>
      </c>
    </row>
    <row r="133" spans="2:9" x14ac:dyDescent="0.25">
      <c r="B133" s="2">
        <v>138525</v>
      </c>
      <c r="C133" s="9">
        <v>46192</v>
      </c>
      <c r="D133" s="9" t="s">
        <v>19</v>
      </c>
      <c r="E133" s="2">
        <v>18</v>
      </c>
      <c r="F133" s="2" t="s">
        <v>7</v>
      </c>
      <c r="G133" s="3">
        <v>726.48299999999995</v>
      </c>
      <c r="H133" s="3">
        <f>Tabela6[[#This Row],[Peso Liquido]]/1000</f>
        <v>0.72648299999999999</v>
      </c>
      <c r="I133" s="10">
        <v>3348.98</v>
      </c>
    </row>
    <row r="134" spans="2:9" x14ac:dyDescent="0.25">
      <c r="B134" s="2">
        <v>138801</v>
      </c>
      <c r="C134" s="9">
        <v>46192</v>
      </c>
      <c r="D134" s="9" t="s">
        <v>19</v>
      </c>
      <c r="E134" s="2">
        <v>8</v>
      </c>
      <c r="F134" s="2" t="s">
        <v>22</v>
      </c>
      <c r="G134" s="3">
        <v>387.24</v>
      </c>
      <c r="H134" s="3">
        <f>Tabela6[[#This Row],[Peso Liquido]]/1000</f>
        <v>0.38724000000000003</v>
      </c>
      <c r="I134" s="10">
        <v>1481.85</v>
      </c>
    </row>
    <row r="135" spans="2:9" x14ac:dyDescent="0.25">
      <c r="B135" s="2">
        <v>139239</v>
      </c>
      <c r="C135" s="9">
        <v>46192</v>
      </c>
      <c r="D135" s="9" t="s">
        <v>19</v>
      </c>
      <c r="E135" s="2">
        <v>2</v>
      </c>
      <c r="F135" s="2" t="s">
        <v>7</v>
      </c>
      <c r="G135" s="3">
        <v>49.959000000000003</v>
      </c>
      <c r="H135" s="3">
        <f>Tabela6[[#This Row],[Peso Liquido]]/1000</f>
        <v>4.9959000000000003E-2</v>
      </c>
      <c r="I135" s="10">
        <v>514.41999999999996</v>
      </c>
    </row>
    <row r="136" spans="2:9" x14ac:dyDescent="0.25">
      <c r="B136" s="2">
        <v>139560</v>
      </c>
      <c r="C136" s="9">
        <v>46195</v>
      </c>
      <c r="D136" s="9" t="s">
        <v>19</v>
      </c>
      <c r="E136" s="2">
        <v>9</v>
      </c>
      <c r="F136" s="2" t="s">
        <v>6</v>
      </c>
      <c r="G136" s="3">
        <v>446.45</v>
      </c>
      <c r="H136" s="3">
        <f>Tabela6[[#This Row],[Peso Liquido]]/1000</f>
        <v>0.44645000000000001</v>
      </c>
      <c r="I136" s="10">
        <v>1600.77</v>
      </c>
    </row>
    <row r="137" spans="2:9" x14ac:dyDescent="0.25">
      <c r="B137" s="2">
        <v>139729</v>
      </c>
      <c r="C137" s="9">
        <v>46195</v>
      </c>
      <c r="D137" s="9" t="s">
        <v>19</v>
      </c>
      <c r="E137" s="2">
        <v>16</v>
      </c>
      <c r="F137" s="2" t="s">
        <v>7</v>
      </c>
      <c r="G137" s="3">
        <v>843.971</v>
      </c>
      <c r="H137" s="3">
        <f>Tabela6[[#This Row],[Peso Liquido]]/1000</f>
        <v>0.84397100000000003</v>
      </c>
      <c r="I137" s="10">
        <v>3033.8</v>
      </c>
    </row>
    <row r="138" spans="2:9" x14ac:dyDescent="0.25">
      <c r="B138" s="2">
        <v>139827</v>
      </c>
      <c r="C138" s="9">
        <v>46195</v>
      </c>
      <c r="D138" s="9" t="s">
        <v>19</v>
      </c>
      <c r="E138" s="2">
        <v>16</v>
      </c>
      <c r="F138" s="2" t="s">
        <v>7</v>
      </c>
      <c r="G138" s="3">
        <v>776.60799999999995</v>
      </c>
      <c r="H138" s="3">
        <f>Tabela6[[#This Row],[Peso Liquido]]/1000</f>
        <v>0.77660799999999997</v>
      </c>
      <c r="I138" s="10">
        <v>2762.94</v>
      </c>
    </row>
    <row r="139" spans="2:9" x14ac:dyDescent="0.25">
      <c r="B139" s="2">
        <v>139915</v>
      </c>
      <c r="C139" s="9">
        <v>46195</v>
      </c>
      <c r="D139" s="9" t="s">
        <v>19</v>
      </c>
      <c r="E139" s="2">
        <v>11</v>
      </c>
      <c r="F139" s="2" t="s">
        <v>7</v>
      </c>
      <c r="G139" s="3">
        <v>584.02499999999998</v>
      </c>
      <c r="H139" s="3">
        <f>Tabela6[[#This Row],[Peso Liquido]]/1000</f>
        <v>0.58402500000000002</v>
      </c>
      <c r="I139" s="10">
        <v>2385.21</v>
      </c>
    </row>
    <row r="140" spans="2:9" x14ac:dyDescent="0.25">
      <c r="B140" s="2">
        <v>140832</v>
      </c>
      <c r="C140" s="9">
        <v>46196</v>
      </c>
      <c r="D140" s="9" t="s">
        <v>19</v>
      </c>
      <c r="E140" s="2">
        <v>2</v>
      </c>
      <c r="F140" s="2" t="s">
        <v>7</v>
      </c>
      <c r="G140" s="3">
        <v>75.12</v>
      </c>
      <c r="H140" s="3">
        <f>Tabela6[[#This Row],[Peso Liquido]]/1000</f>
        <v>7.5120000000000006E-2</v>
      </c>
      <c r="I140" s="10">
        <v>244.53</v>
      </c>
    </row>
    <row r="141" spans="2:9" x14ac:dyDescent="0.25">
      <c r="B141" s="2">
        <v>141334</v>
      </c>
      <c r="C141" s="9">
        <v>46196</v>
      </c>
      <c r="D141" s="9" t="s">
        <v>19</v>
      </c>
      <c r="E141" s="2">
        <v>240</v>
      </c>
      <c r="F141" s="2" t="s">
        <v>8</v>
      </c>
      <c r="G141" s="3">
        <v>5264.88</v>
      </c>
      <c r="H141" s="3">
        <f>Tabela6[[#This Row],[Peso Liquido]]/1000</f>
        <v>5.2648799999999998</v>
      </c>
      <c r="I141" s="10">
        <v>28958.400000000001</v>
      </c>
    </row>
    <row r="142" spans="2:9" x14ac:dyDescent="0.25">
      <c r="B142" s="2">
        <v>141343</v>
      </c>
      <c r="C142" s="9">
        <v>46196</v>
      </c>
      <c r="D142" s="9" t="s">
        <v>19</v>
      </c>
      <c r="E142" s="2">
        <v>4</v>
      </c>
      <c r="F142" s="2" t="s">
        <v>8</v>
      </c>
      <c r="G142" s="3">
        <v>198.9</v>
      </c>
      <c r="H142" s="3">
        <f>Tabela6[[#This Row],[Peso Liquido]]/1000</f>
        <v>0.19889999999999999</v>
      </c>
      <c r="I142" s="10">
        <v>746.95</v>
      </c>
    </row>
    <row r="143" spans="2:9" x14ac:dyDescent="0.25">
      <c r="B143" s="2">
        <v>141960</v>
      </c>
      <c r="C143" s="9">
        <v>46196</v>
      </c>
      <c r="D143" s="9" t="s">
        <v>19</v>
      </c>
      <c r="E143" s="2">
        <v>171</v>
      </c>
      <c r="F143" s="2" t="s">
        <v>7</v>
      </c>
      <c r="G143" s="3">
        <v>1404.4690000000001</v>
      </c>
      <c r="H143" s="3">
        <f>Tabela6[[#This Row],[Peso Liquido]]/1000</f>
        <v>1.404469</v>
      </c>
      <c r="I143" s="10">
        <v>7909.53</v>
      </c>
    </row>
    <row r="144" spans="2:9" x14ac:dyDescent="0.25">
      <c r="B144" s="2">
        <v>141961</v>
      </c>
      <c r="C144" s="9">
        <v>46196</v>
      </c>
      <c r="D144" s="9" t="s">
        <v>19</v>
      </c>
      <c r="E144" s="2">
        <v>6</v>
      </c>
      <c r="F144" s="2" t="s">
        <v>7</v>
      </c>
      <c r="G144" s="3">
        <v>57.5</v>
      </c>
      <c r="H144" s="3">
        <f>Tabela6[[#This Row],[Peso Liquido]]/1000</f>
        <v>5.7500000000000002E-2</v>
      </c>
      <c r="I144" s="10">
        <v>296.39999999999998</v>
      </c>
    </row>
    <row r="145" spans="2:9" x14ac:dyDescent="0.25">
      <c r="B145" s="2">
        <v>142125</v>
      </c>
      <c r="C145" s="9">
        <v>46197</v>
      </c>
      <c r="D145" s="9" t="s">
        <v>19</v>
      </c>
      <c r="E145" s="2">
        <v>2</v>
      </c>
      <c r="F145" s="2" t="s">
        <v>18</v>
      </c>
      <c r="G145" s="3">
        <v>71.721000000000004</v>
      </c>
      <c r="H145" s="3">
        <f>Tabela6[[#This Row],[Peso Liquido]]/1000</f>
        <v>7.1721000000000007E-2</v>
      </c>
      <c r="I145" s="10">
        <v>409.52</v>
      </c>
    </row>
    <row r="146" spans="2:9" x14ac:dyDescent="0.25">
      <c r="B146" s="2">
        <v>142270</v>
      </c>
      <c r="C146" s="9">
        <v>46197</v>
      </c>
      <c r="D146" s="9" t="s">
        <v>19</v>
      </c>
      <c r="E146" s="2">
        <v>19</v>
      </c>
      <c r="F146" s="2" t="s">
        <v>6</v>
      </c>
      <c r="G146" s="3">
        <v>827.197</v>
      </c>
      <c r="H146" s="3">
        <f>Tabela6[[#This Row],[Peso Liquido]]/1000</f>
        <v>0.82719699999999996</v>
      </c>
      <c r="I146" s="10">
        <v>2991.58</v>
      </c>
    </row>
    <row r="147" spans="2:9" x14ac:dyDescent="0.25">
      <c r="B147" s="2">
        <v>143173</v>
      </c>
      <c r="C147" s="9">
        <v>46198</v>
      </c>
      <c r="D147" s="9" t="s">
        <v>19</v>
      </c>
      <c r="E147" s="2">
        <v>11</v>
      </c>
      <c r="F147" s="2" t="s">
        <v>6</v>
      </c>
      <c r="G147" s="3">
        <v>377.47399999999999</v>
      </c>
      <c r="H147" s="3">
        <f>Tabela6[[#This Row],[Peso Liquido]]/1000</f>
        <v>0.37747399999999998</v>
      </c>
      <c r="I147" s="10">
        <v>1458.43</v>
      </c>
    </row>
    <row r="148" spans="2:9" x14ac:dyDescent="0.25">
      <c r="B148" s="2">
        <v>143504</v>
      </c>
      <c r="C148" s="9">
        <v>46198</v>
      </c>
      <c r="D148" s="9" t="s">
        <v>19</v>
      </c>
      <c r="E148" s="2">
        <v>201</v>
      </c>
      <c r="F148" s="2" t="s">
        <v>7</v>
      </c>
      <c r="G148" s="3">
        <v>2157.3780000000002</v>
      </c>
      <c r="H148" s="3">
        <f>Tabela6[[#This Row],[Peso Liquido]]/1000</f>
        <v>2.157378</v>
      </c>
      <c r="I148" s="10">
        <v>12355.45</v>
      </c>
    </row>
    <row r="149" spans="2:9" x14ac:dyDescent="0.25">
      <c r="B149" s="2">
        <v>143517</v>
      </c>
      <c r="C149" s="9">
        <v>46198</v>
      </c>
      <c r="D149" s="9" t="s">
        <v>19</v>
      </c>
      <c r="E149" s="2">
        <v>6</v>
      </c>
      <c r="F149" s="2" t="s">
        <v>7</v>
      </c>
      <c r="G149" s="3">
        <v>115.242</v>
      </c>
      <c r="H149" s="3">
        <f>Tabela6[[#This Row],[Peso Liquido]]/1000</f>
        <v>0.11524200000000001</v>
      </c>
      <c r="I149" s="10">
        <v>703.94</v>
      </c>
    </row>
    <row r="150" spans="2:9" x14ac:dyDescent="0.25">
      <c r="B150" s="2">
        <v>143578</v>
      </c>
      <c r="C150" s="9">
        <v>46199</v>
      </c>
      <c r="D150" s="9" t="s">
        <v>19</v>
      </c>
      <c r="E150" s="2">
        <v>26</v>
      </c>
      <c r="F150" s="2" t="s">
        <v>7</v>
      </c>
      <c r="G150" s="3">
        <v>1227.3869999999999</v>
      </c>
      <c r="H150" s="3">
        <f>Tabela6[[#This Row],[Peso Liquido]]/1000</f>
        <v>1.227387</v>
      </c>
      <c r="I150" s="10">
        <v>4931.0600000000004</v>
      </c>
    </row>
    <row r="151" spans="2:9" x14ac:dyDescent="0.25">
      <c r="B151" s="2">
        <v>143518</v>
      </c>
      <c r="C151" s="9">
        <v>46198</v>
      </c>
      <c r="D151" s="9" t="s">
        <v>19</v>
      </c>
      <c r="E151" s="2">
        <v>32</v>
      </c>
      <c r="F151" s="2" t="s">
        <v>7</v>
      </c>
      <c r="G151" s="3">
        <v>1466.7550000000001</v>
      </c>
      <c r="H151" s="3">
        <f>Tabela6[[#This Row],[Peso Liquido]]/1000</f>
        <v>1.466755</v>
      </c>
      <c r="I151" s="10">
        <v>5405.7</v>
      </c>
    </row>
    <row r="152" spans="2:9" x14ac:dyDescent="0.25">
      <c r="B152" s="2">
        <v>143695</v>
      </c>
      <c r="C152" s="9">
        <v>46199</v>
      </c>
      <c r="D152" s="9" t="s">
        <v>19</v>
      </c>
      <c r="E152" s="2">
        <v>20</v>
      </c>
      <c r="F152" s="2" t="s">
        <v>7</v>
      </c>
      <c r="G152" s="3">
        <v>1056.1479999999999</v>
      </c>
      <c r="H152" s="3">
        <f>Tabela6[[#This Row],[Peso Liquido]]/1000</f>
        <v>1.0561479999999999</v>
      </c>
      <c r="I152" s="10">
        <v>3470</v>
      </c>
    </row>
    <row r="153" spans="2:9" x14ac:dyDescent="0.25">
      <c r="B153" s="2">
        <v>143809</v>
      </c>
      <c r="C153" s="9">
        <v>46199</v>
      </c>
      <c r="D153" s="9" t="s">
        <v>19</v>
      </c>
      <c r="E153" s="2">
        <v>4</v>
      </c>
      <c r="F153" s="2" t="s">
        <v>6</v>
      </c>
      <c r="G153" s="3">
        <v>251.59399999999999</v>
      </c>
      <c r="H153" s="3">
        <f>Tabela6[[#This Row],[Peso Liquido]]/1000</f>
        <v>0.25159399999999998</v>
      </c>
      <c r="I153" s="10">
        <v>845.38</v>
      </c>
    </row>
    <row r="154" spans="2:9" x14ac:dyDescent="0.25">
      <c r="B154" s="2">
        <v>146902</v>
      </c>
      <c r="C154" s="9">
        <v>46203</v>
      </c>
      <c r="D154" s="9" t="s">
        <v>19</v>
      </c>
      <c r="E154" s="2">
        <v>24</v>
      </c>
      <c r="F154" s="2" t="s">
        <v>6</v>
      </c>
      <c r="G154" s="3">
        <v>1241.212</v>
      </c>
      <c r="H154" s="3">
        <f>Tabela6[[#This Row],[Peso Liquido]]/1000</f>
        <v>1.241212</v>
      </c>
      <c r="I154" s="10">
        <v>4269.53</v>
      </c>
    </row>
    <row r="155" spans="2:9" x14ac:dyDescent="0.25">
      <c r="B155" s="2">
        <v>147189</v>
      </c>
      <c r="C155" s="9">
        <v>46203</v>
      </c>
      <c r="D155" s="9" t="s">
        <v>19</v>
      </c>
      <c r="E155" s="2">
        <v>10</v>
      </c>
      <c r="F155" s="2" t="s">
        <v>6</v>
      </c>
      <c r="G155" s="3">
        <v>134.822</v>
      </c>
      <c r="H155" s="3">
        <f>Tabela6[[#This Row],[Peso Liquido]]/1000</f>
        <v>0.134822</v>
      </c>
      <c r="I155" s="10">
        <v>877.11</v>
      </c>
    </row>
    <row r="156" spans="2:9" x14ac:dyDescent="0.25">
      <c r="B156" s="2">
        <v>147786</v>
      </c>
      <c r="C156" s="9">
        <v>46204</v>
      </c>
      <c r="D156" s="9" t="s">
        <v>23</v>
      </c>
      <c r="E156" s="2">
        <v>13</v>
      </c>
      <c r="F156" s="2" t="s">
        <v>6</v>
      </c>
      <c r="G156" s="3">
        <v>510.82</v>
      </c>
      <c r="H156" s="3">
        <f>Tabela6[[#This Row],[Peso Liquido]]/1000</f>
        <v>0.51081999999999994</v>
      </c>
      <c r="I156" s="10">
        <v>1969.29</v>
      </c>
    </row>
    <row r="157" spans="2:9" x14ac:dyDescent="0.25">
      <c r="B157" s="2">
        <v>148011</v>
      </c>
      <c r="C157" s="9">
        <v>46204</v>
      </c>
      <c r="D157" s="9" t="s">
        <v>23</v>
      </c>
      <c r="E157" s="2">
        <v>6</v>
      </c>
      <c r="F157" s="2" t="s">
        <v>6</v>
      </c>
      <c r="G157" s="3">
        <v>74.45</v>
      </c>
      <c r="H157" s="3">
        <f>Tabela6[[#This Row],[Peso Liquido]]/1000</f>
        <v>7.4450000000000002E-2</v>
      </c>
      <c r="I157" s="10">
        <v>698.11</v>
      </c>
    </row>
    <row r="158" spans="2:9" x14ac:dyDescent="0.25">
      <c r="B158" s="2">
        <v>148365</v>
      </c>
      <c r="C158" s="9">
        <v>46205</v>
      </c>
      <c r="D158" s="9" t="s">
        <v>23</v>
      </c>
      <c r="E158" s="2">
        <v>8</v>
      </c>
      <c r="F158" s="2" t="s">
        <v>6</v>
      </c>
      <c r="G158" s="3">
        <v>358.89100000000002</v>
      </c>
      <c r="H158" s="3">
        <f>Tabela6[[#This Row],[Peso Liquido]]/1000</f>
        <v>0.35889100000000002</v>
      </c>
      <c r="I158" s="10">
        <v>1180.99</v>
      </c>
    </row>
    <row r="159" spans="2:9" x14ac:dyDescent="0.25">
      <c r="B159" s="2">
        <v>149271</v>
      </c>
      <c r="C159" s="9">
        <v>46206</v>
      </c>
      <c r="D159" s="9" t="s">
        <v>23</v>
      </c>
      <c r="E159" s="2">
        <v>8</v>
      </c>
      <c r="F159" s="2" t="s">
        <v>6</v>
      </c>
      <c r="G159" s="3">
        <v>415.35300000000001</v>
      </c>
      <c r="H159" s="3">
        <f>Tabela6[[#This Row],[Peso Liquido]]/1000</f>
        <v>0.41535300000000003</v>
      </c>
      <c r="I159" s="10">
        <v>1380.74</v>
      </c>
    </row>
    <row r="160" spans="2:9" x14ac:dyDescent="0.25">
      <c r="B160" s="2">
        <v>150616</v>
      </c>
      <c r="C160" s="9">
        <v>46209</v>
      </c>
      <c r="D160" s="9" t="s">
        <v>23</v>
      </c>
      <c r="E160" s="2">
        <v>11</v>
      </c>
      <c r="F160" s="2" t="s">
        <v>7</v>
      </c>
      <c r="G160" s="3">
        <v>539.81100000000004</v>
      </c>
      <c r="H160" s="3">
        <f>Tabela6[[#This Row],[Peso Liquido]]/1000</f>
        <v>0.53981100000000004</v>
      </c>
      <c r="I160" s="10">
        <v>1972.77</v>
      </c>
    </row>
    <row r="161" spans="2:9" x14ac:dyDescent="0.25">
      <c r="B161" s="2">
        <v>150876</v>
      </c>
      <c r="C161" s="9">
        <v>46209</v>
      </c>
      <c r="D161" s="9" t="s">
        <v>23</v>
      </c>
      <c r="E161" s="2">
        <v>27</v>
      </c>
      <c r="F161" s="2" t="s">
        <v>7</v>
      </c>
      <c r="G161" s="3">
        <v>1133.26</v>
      </c>
      <c r="H161" s="3">
        <f>Tabela6[[#This Row],[Peso Liquido]]/1000</f>
        <v>1.1332599999999999</v>
      </c>
      <c r="I161" s="10">
        <v>4088.94</v>
      </c>
    </row>
    <row r="162" spans="2:9" x14ac:dyDescent="0.25">
      <c r="B162" s="2">
        <v>150877</v>
      </c>
      <c r="C162" s="9">
        <v>46209</v>
      </c>
      <c r="D162" s="9" t="s">
        <v>23</v>
      </c>
      <c r="E162" s="2">
        <v>1</v>
      </c>
      <c r="F162" s="2" t="s">
        <v>7</v>
      </c>
      <c r="G162" s="3">
        <v>38.512</v>
      </c>
      <c r="H162" s="3">
        <f>Tabela6[[#This Row],[Peso Liquido]]/1000</f>
        <v>3.8511999999999998E-2</v>
      </c>
      <c r="I162" s="10">
        <v>168.68</v>
      </c>
    </row>
    <row r="163" spans="2:9" x14ac:dyDescent="0.25">
      <c r="B163" s="2">
        <v>152095</v>
      </c>
      <c r="C163" s="9">
        <v>46210</v>
      </c>
      <c r="D163" s="9" t="s">
        <v>23</v>
      </c>
      <c r="E163" s="2">
        <v>18</v>
      </c>
      <c r="F163" s="2" t="s">
        <v>6</v>
      </c>
      <c r="G163" s="3">
        <v>876.96199999999999</v>
      </c>
      <c r="H163" s="3">
        <f>Tabela6[[#This Row],[Peso Liquido]]/1000</f>
        <v>0.87696200000000002</v>
      </c>
      <c r="I163" s="10">
        <v>3124</v>
      </c>
    </row>
    <row r="164" spans="2:9" x14ac:dyDescent="0.25">
      <c r="B164" s="2">
        <v>152897</v>
      </c>
      <c r="C164" s="9">
        <v>46210</v>
      </c>
      <c r="D164" s="9" t="s">
        <v>23</v>
      </c>
      <c r="E164" s="2">
        <v>31</v>
      </c>
      <c r="F164" s="2" t="s">
        <v>7</v>
      </c>
      <c r="G164" s="3">
        <v>858.15499999999997</v>
      </c>
      <c r="H164" s="3">
        <f>Tabela6[[#This Row],[Peso Liquido]]/1000</f>
        <v>0.858155</v>
      </c>
      <c r="I164" s="10">
        <v>3683.83</v>
      </c>
    </row>
    <row r="165" spans="2:9" x14ac:dyDescent="0.25">
      <c r="B165" s="2">
        <v>153112</v>
      </c>
      <c r="C165" s="9">
        <v>46211</v>
      </c>
      <c r="D165" s="9" t="s">
        <v>23</v>
      </c>
      <c r="E165" s="2">
        <v>8</v>
      </c>
      <c r="F165" s="2" t="s">
        <v>6</v>
      </c>
      <c r="G165" s="3">
        <v>357.24299999999999</v>
      </c>
      <c r="H165" s="3">
        <f>Tabela6[[#This Row],[Peso Liquido]]/1000</f>
        <v>0.35724299999999998</v>
      </c>
      <c r="I165" s="10">
        <v>1293.32</v>
      </c>
    </row>
    <row r="166" spans="2:9" x14ac:dyDescent="0.25">
      <c r="B166" s="2">
        <v>154390</v>
      </c>
      <c r="C166" s="9">
        <v>46212</v>
      </c>
      <c r="D166" s="9" t="s">
        <v>23</v>
      </c>
      <c r="E166" s="2">
        <v>13</v>
      </c>
      <c r="F166" s="2" t="s">
        <v>6</v>
      </c>
      <c r="G166" s="3">
        <v>635.06299999999999</v>
      </c>
      <c r="H166" s="3">
        <f>Tabela6[[#This Row],[Peso Liquido]]/1000</f>
        <v>0.63506299999999993</v>
      </c>
      <c r="I166" s="10">
        <v>2555.54</v>
      </c>
    </row>
    <row r="167" spans="2:9" x14ac:dyDescent="0.25">
      <c r="B167" s="2">
        <v>154394</v>
      </c>
      <c r="C167" s="9">
        <v>46212</v>
      </c>
      <c r="D167" s="9" t="s">
        <v>23</v>
      </c>
      <c r="E167" s="2">
        <v>5</v>
      </c>
      <c r="F167" s="2" t="s">
        <v>7</v>
      </c>
      <c r="G167" s="3">
        <v>321.65100000000001</v>
      </c>
      <c r="H167" s="3">
        <f>Tabela6[[#This Row],[Peso Liquido]]/1000</f>
        <v>0.32165100000000002</v>
      </c>
      <c r="I167" s="10">
        <v>1051.49</v>
      </c>
    </row>
    <row r="168" spans="2:9" x14ac:dyDescent="0.25">
      <c r="B168" s="2">
        <v>154399</v>
      </c>
      <c r="C168" s="9">
        <v>46212</v>
      </c>
      <c r="D168" s="9" t="s">
        <v>23</v>
      </c>
      <c r="E168" s="2">
        <v>6</v>
      </c>
      <c r="F168" s="2" t="s">
        <v>7</v>
      </c>
      <c r="G168" s="3">
        <v>75.462000000000003</v>
      </c>
      <c r="H168" s="3">
        <f>Tabela6[[#This Row],[Peso Liquido]]/1000</f>
        <v>7.5462000000000001E-2</v>
      </c>
      <c r="I168" s="10">
        <v>606.6</v>
      </c>
    </row>
    <row r="169" spans="2:9" x14ac:dyDescent="0.25">
      <c r="B169" s="2">
        <v>155596</v>
      </c>
      <c r="C169" s="9">
        <v>46213</v>
      </c>
      <c r="D169" s="9" t="s">
        <v>23</v>
      </c>
      <c r="E169" s="2">
        <v>4</v>
      </c>
      <c r="F169" s="2" t="s">
        <v>6</v>
      </c>
      <c r="G169" s="3">
        <v>255.839</v>
      </c>
      <c r="H169" s="3">
        <f>Tabela6[[#This Row],[Peso Liquido]]/1000</f>
        <v>0.25583899999999998</v>
      </c>
      <c r="I169" s="10">
        <v>940.64</v>
      </c>
    </row>
    <row r="170" spans="2:9" x14ac:dyDescent="0.25">
      <c r="B170" s="2">
        <v>155626</v>
      </c>
      <c r="C170" s="9">
        <v>46213</v>
      </c>
      <c r="D170" s="9" t="s">
        <v>23</v>
      </c>
      <c r="E170" s="2">
        <v>9</v>
      </c>
      <c r="F170" s="2" t="s">
        <v>6</v>
      </c>
      <c r="G170" s="3">
        <v>128.309</v>
      </c>
      <c r="H170" s="3">
        <f>Tabela6[[#This Row],[Peso Liquido]]/1000</f>
        <v>0.12830900000000001</v>
      </c>
      <c r="I170" s="10">
        <v>980.11</v>
      </c>
    </row>
    <row r="171" spans="2:9" x14ac:dyDescent="0.25">
      <c r="B171" s="2">
        <v>157004</v>
      </c>
      <c r="C171" s="9">
        <v>46213</v>
      </c>
      <c r="D171" s="9" t="s">
        <v>23</v>
      </c>
      <c r="E171" s="2">
        <v>16</v>
      </c>
      <c r="F171" s="2" t="s">
        <v>9</v>
      </c>
      <c r="G171" s="3">
        <v>765.71199999999999</v>
      </c>
      <c r="H171" s="3">
        <f>Tabela6[[#This Row],[Peso Liquido]]/1000</f>
        <v>0.76571199999999995</v>
      </c>
      <c r="I171" s="10">
        <v>3521.33</v>
      </c>
    </row>
    <row r="172" spans="2:9" x14ac:dyDescent="0.25">
      <c r="B172" s="2">
        <v>157005</v>
      </c>
      <c r="C172" s="9">
        <v>46213</v>
      </c>
      <c r="D172" s="9" t="s">
        <v>23</v>
      </c>
      <c r="E172" s="2">
        <v>22</v>
      </c>
      <c r="F172" s="2" t="s">
        <v>9</v>
      </c>
      <c r="G172" s="3">
        <v>1034.528</v>
      </c>
      <c r="H172" s="3">
        <f>Tabela6[[#This Row],[Peso Liquido]]/1000</f>
        <v>1.0345280000000001</v>
      </c>
      <c r="I172" s="10">
        <v>3175.48</v>
      </c>
    </row>
    <row r="173" spans="2:9" x14ac:dyDescent="0.25">
      <c r="B173" s="2">
        <v>157006</v>
      </c>
      <c r="C173" s="9">
        <v>46213</v>
      </c>
      <c r="D173" s="9" t="s">
        <v>23</v>
      </c>
      <c r="E173" s="2">
        <v>10</v>
      </c>
      <c r="F173" s="2" t="s">
        <v>9</v>
      </c>
      <c r="G173" s="3">
        <v>589.67999999999995</v>
      </c>
      <c r="H173" s="3">
        <f>Tabela6[[#This Row],[Peso Liquido]]/1000</f>
        <v>0.58967999999999998</v>
      </c>
      <c r="I173" s="10">
        <v>2864.76</v>
      </c>
    </row>
    <row r="174" spans="2:9" x14ac:dyDescent="0.25">
      <c r="B174" s="2">
        <v>157007</v>
      </c>
      <c r="C174" s="9">
        <v>46213</v>
      </c>
      <c r="D174" s="9" t="s">
        <v>23</v>
      </c>
      <c r="E174" s="2">
        <v>14</v>
      </c>
      <c r="F174" s="2" t="s">
        <v>9</v>
      </c>
      <c r="G174" s="3">
        <v>825.55200000000002</v>
      </c>
      <c r="H174" s="3">
        <f>Tabela6[[#This Row],[Peso Liquido]]/1000</f>
        <v>0.82555200000000006</v>
      </c>
      <c r="I174" s="10">
        <v>4010.66</v>
      </c>
    </row>
    <row r="175" spans="2:9" x14ac:dyDescent="0.25">
      <c r="B175" s="2">
        <v>157008</v>
      </c>
      <c r="C175" s="9">
        <v>46213</v>
      </c>
      <c r="D175" s="9" t="s">
        <v>23</v>
      </c>
      <c r="E175" s="2">
        <v>12</v>
      </c>
      <c r="F175" s="2" t="s">
        <v>9</v>
      </c>
      <c r="G175" s="3">
        <v>664.56</v>
      </c>
      <c r="H175" s="3">
        <f>Tabela6[[#This Row],[Peso Liquido]]/1000</f>
        <v>0.66455999999999993</v>
      </c>
      <c r="I175" s="10">
        <v>2050.75</v>
      </c>
    </row>
    <row r="176" spans="2:9" x14ac:dyDescent="0.25">
      <c r="B176" s="2">
        <v>157356</v>
      </c>
      <c r="C176" s="9">
        <v>46216</v>
      </c>
      <c r="D176" s="9" t="s">
        <v>23</v>
      </c>
      <c r="E176" s="2">
        <v>6</v>
      </c>
      <c r="F176" s="2" t="s">
        <v>6</v>
      </c>
      <c r="G176" s="3">
        <v>268.72500000000002</v>
      </c>
      <c r="H176" s="3">
        <f>Tabela6[[#This Row],[Peso Liquido]]/1000</f>
        <v>0.26872500000000005</v>
      </c>
      <c r="I176" s="10">
        <v>896.18</v>
      </c>
    </row>
    <row r="177" spans="2:9" x14ac:dyDescent="0.25">
      <c r="B177" s="2">
        <v>157693</v>
      </c>
      <c r="C177" s="9">
        <v>46216</v>
      </c>
      <c r="D177" s="9" t="s">
        <v>23</v>
      </c>
      <c r="E177" s="2">
        <v>24</v>
      </c>
      <c r="F177" s="2" t="s">
        <v>9</v>
      </c>
      <c r="G177" s="3">
        <v>1128.576</v>
      </c>
      <c r="H177" s="3">
        <f>Tabela6[[#This Row],[Peso Liquido]]/1000</f>
        <v>1.128576</v>
      </c>
      <c r="I177" s="10">
        <v>3464.16</v>
      </c>
    </row>
    <row r="178" spans="2:9" x14ac:dyDescent="0.25">
      <c r="B178" s="2">
        <v>158003</v>
      </c>
      <c r="C178" s="9">
        <v>46216</v>
      </c>
      <c r="D178" s="9" t="s">
        <v>23</v>
      </c>
      <c r="E178" s="2">
        <v>16</v>
      </c>
      <c r="F178" s="2" t="s">
        <v>7</v>
      </c>
      <c r="G178" s="3">
        <v>888.81600000000003</v>
      </c>
      <c r="H178" s="3">
        <f>Tabela6[[#This Row],[Peso Liquido]]/1000</f>
        <v>0.88881600000000005</v>
      </c>
      <c r="I178" s="10">
        <v>3421.07</v>
      </c>
    </row>
    <row r="179" spans="2:9" x14ac:dyDescent="0.25">
      <c r="B179" s="2">
        <v>158107</v>
      </c>
      <c r="C179" s="9">
        <v>46216</v>
      </c>
      <c r="D179" s="9" t="s">
        <v>23</v>
      </c>
      <c r="E179" s="2">
        <v>25</v>
      </c>
      <c r="F179" s="2" t="s">
        <v>7</v>
      </c>
      <c r="G179" s="3">
        <v>1297.433</v>
      </c>
      <c r="H179" s="3">
        <f>Tabela6[[#This Row],[Peso Liquido]]/1000</f>
        <v>1.2974330000000001</v>
      </c>
      <c r="I179" s="10">
        <v>4465.75</v>
      </c>
    </row>
    <row r="180" spans="2:9" x14ac:dyDescent="0.25">
      <c r="B180" s="2">
        <v>158655</v>
      </c>
      <c r="C180" s="9">
        <v>46216</v>
      </c>
      <c r="D180" s="9" t="s">
        <v>23</v>
      </c>
      <c r="E180" s="2">
        <v>14</v>
      </c>
      <c r="F180" s="2" t="s">
        <v>7</v>
      </c>
      <c r="G180" s="3">
        <v>717.11</v>
      </c>
      <c r="H180" s="3">
        <f>Tabela6[[#This Row],[Peso Liquido]]/1000</f>
        <v>0.71711000000000003</v>
      </c>
      <c r="I180" s="10">
        <v>2874.46</v>
      </c>
    </row>
    <row r="181" spans="2:9" x14ac:dyDescent="0.25">
      <c r="B181" s="2">
        <v>158777</v>
      </c>
      <c r="C181" s="9">
        <v>46217</v>
      </c>
      <c r="D181" s="9" t="s">
        <v>23</v>
      </c>
      <c r="E181" s="2">
        <v>25</v>
      </c>
      <c r="F181" s="2" t="s">
        <v>7</v>
      </c>
      <c r="G181" s="3">
        <v>959.21500000000003</v>
      </c>
      <c r="H181" s="3">
        <f>Tabela6[[#This Row],[Peso Liquido]]/1000</f>
        <v>0.95921500000000004</v>
      </c>
      <c r="I181" s="10">
        <v>3816.15</v>
      </c>
    </row>
    <row r="182" spans="2:9" x14ac:dyDescent="0.25">
      <c r="B182" s="2">
        <v>159093</v>
      </c>
      <c r="C182" s="9">
        <v>46217</v>
      </c>
      <c r="D182" s="9" t="s">
        <v>23</v>
      </c>
      <c r="E182" s="2">
        <v>18</v>
      </c>
      <c r="F182" s="2" t="s">
        <v>7</v>
      </c>
      <c r="G182" s="3">
        <v>951.38499999999999</v>
      </c>
      <c r="H182" s="3">
        <f>Tabela6[[#This Row],[Peso Liquido]]/1000</f>
        <v>0.95138500000000004</v>
      </c>
      <c r="I182" s="10">
        <v>3186.34</v>
      </c>
    </row>
    <row r="183" spans="2:9" x14ac:dyDescent="0.25">
      <c r="B183" s="2">
        <v>159096</v>
      </c>
      <c r="C183" s="9">
        <v>46217</v>
      </c>
      <c r="D183" s="9" t="s">
        <v>23</v>
      </c>
      <c r="E183" s="2">
        <v>17</v>
      </c>
      <c r="F183" s="2" t="s">
        <v>7</v>
      </c>
      <c r="G183" s="3">
        <v>1054.0450000000001</v>
      </c>
      <c r="H183" s="3">
        <f>Tabela6[[#This Row],[Peso Liquido]]/1000</f>
        <v>1.0540450000000001</v>
      </c>
      <c r="I183" s="10">
        <v>3578.97</v>
      </c>
    </row>
    <row r="184" spans="2:9" x14ac:dyDescent="0.25">
      <c r="B184" s="2">
        <v>159114</v>
      </c>
      <c r="C184" s="9">
        <v>46217</v>
      </c>
      <c r="D184" s="9" t="s">
        <v>23</v>
      </c>
      <c r="E184" s="2">
        <v>10</v>
      </c>
      <c r="F184" s="2" t="s">
        <v>6</v>
      </c>
      <c r="G184" s="3">
        <v>510.47</v>
      </c>
      <c r="H184" s="3">
        <f>Tabela6[[#This Row],[Peso Liquido]]/1000</f>
        <v>0.51046999999999998</v>
      </c>
      <c r="I184" s="10">
        <v>1802.6</v>
      </c>
    </row>
    <row r="185" spans="2:9" x14ac:dyDescent="0.25">
      <c r="B185" s="2">
        <v>159744</v>
      </c>
      <c r="C185" s="9">
        <v>46218</v>
      </c>
      <c r="D185" s="9" t="s">
        <v>23</v>
      </c>
      <c r="E185" s="2">
        <v>2</v>
      </c>
      <c r="F185" s="2" t="s">
        <v>7</v>
      </c>
      <c r="G185" s="3">
        <v>23.02</v>
      </c>
      <c r="H185" s="3">
        <f>Tabela6[[#This Row],[Peso Liquido]]/1000</f>
        <v>2.3019999999999999E-2</v>
      </c>
      <c r="I185" s="11">
        <v>125.58</v>
      </c>
    </row>
    <row r="186" spans="2:9" x14ac:dyDescent="0.25">
      <c r="B186" s="2">
        <v>159778</v>
      </c>
      <c r="C186" s="9">
        <v>46218</v>
      </c>
      <c r="D186" s="9" t="s">
        <v>23</v>
      </c>
      <c r="E186" s="2">
        <v>32</v>
      </c>
      <c r="F186" s="2" t="s">
        <v>7</v>
      </c>
      <c r="G186" s="3">
        <v>1681.798</v>
      </c>
      <c r="H186" s="3">
        <f>Tabela6[[#This Row],[Peso Liquido]]/1000</f>
        <v>1.6817979999999999</v>
      </c>
      <c r="I186" s="11">
        <v>6089.72</v>
      </c>
    </row>
    <row r="187" spans="2:9" x14ac:dyDescent="0.25">
      <c r="B187" s="2">
        <v>160017</v>
      </c>
      <c r="C187" s="9">
        <v>46218</v>
      </c>
      <c r="D187" s="9" t="s">
        <v>23</v>
      </c>
      <c r="E187" s="2">
        <v>11</v>
      </c>
      <c r="F187" s="2" t="s">
        <v>7</v>
      </c>
      <c r="G187" s="3">
        <v>716.96400000000006</v>
      </c>
      <c r="H187" s="3">
        <f>Tabela6[[#This Row],[Peso Liquido]]/1000</f>
        <v>0.71696400000000005</v>
      </c>
      <c r="I187" s="11">
        <v>2595.2800000000002</v>
      </c>
    </row>
    <row r="188" spans="2:9" x14ac:dyDescent="0.25">
      <c r="B188" s="2">
        <v>160018</v>
      </c>
      <c r="C188" s="9">
        <v>46218</v>
      </c>
      <c r="D188" s="9" t="s">
        <v>23</v>
      </c>
      <c r="E188" s="2">
        <v>17</v>
      </c>
      <c r="F188" s="2" t="s">
        <v>7</v>
      </c>
      <c r="G188" s="3">
        <v>1035.633</v>
      </c>
      <c r="H188" s="3">
        <f>Tabela6[[#This Row],[Peso Liquido]]/1000</f>
        <v>1.035633</v>
      </c>
      <c r="I188" s="11">
        <v>3448.92</v>
      </c>
    </row>
    <row r="189" spans="2:9" x14ac:dyDescent="0.25">
      <c r="B189" s="2">
        <v>160065</v>
      </c>
      <c r="C189" s="9">
        <v>46218</v>
      </c>
      <c r="D189" s="9" t="s">
        <v>23</v>
      </c>
      <c r="E189" s="2">
        <v>14</v>
      </c>
      <c r="F189" s="2" t="s">
        <v>7</v>
      </c>
      <c r="G189" s="3">
        <v>505.19099999999997</v>
      </c>
      <c r="H189" s="3">
        <f>Tabela6[[#This Row],[Peso Liquido]]/1000</f>
        <v>0.50519099999999995</v>
      </c>
      <c r="I189" s="11">
        <v>2020.15</v>
      </c>
    </row>
    <row r="190" spans="2:9" x14ac:dyDescent="0.25">
      <c r="B190" s="2">
        <v>160396</v>
      </c>
      <c r="C190" s="9">
        <v>46218</v>
      </c>
      <c r="D190" s="9" t="s">
        <v>23</v>
      </c>
      <c r="E190" s="2">
        <v>5</v>
      </c>
      <c r="F190" s="2" t="s">
        <v>6</v>
      </c>
      <c r="G190" s="3">
        <v>70.415000000000006</v>
      </c>
      <c r="H190" s="3">
        <f>Tabela6[[#This Row],[Peso Liquido]]/1000</f>
        <v>7.0415000000000005E-2</v>
      </c>
      <c r="I190" s="11">
        <v>393.35</v>
      </c>
    </row>
    <row r="191" spans="2:9" x14ac:dyDescent="0.25">
      <c r="B191" s="2">
        <v>160327</v>
      </c>
      <c r="C191" s="9">
        <v>46218</v>
      </c>
      <c r="D191" s="9" t="s">
        <v>23</v>
      </c>
      <c r="E191" s="2">
        <v>10</v>
      </c>
      <c r="F191" s="2" t="s">
        <v>7</v>
      </c>
      <c r="G191" s="3">
        <v>115.1</v>
      </c>
      <c r="H191" s="3">
        <f>Tabela6[[#This Row],[Peso Liquido]]/1000</f>
        <v>0.11509999999999999</v>
      </c>
      <c r="I191" s="11">
        <v>632.96</v>
      </c>
    </row>
    <row r="192" spans="2:9" x14ac:dyDescent="0.25">
      <c r="B192" s="2">
        <v>160401</v>
      </c>
      <c r="C192" s="9">
        <v>46218</v>
      </c>
      <c r="D192" s="9" t="s">
        <v>23</v>
      </c>
      <c r="E192" s="2">
        <v>2</v>
      </c>
      <c r="F192" s="2" t="s">
        <v>7</v>
      </c>
      <c r="G192" s="3">
        <v>32.994</v>
      </c>
      <c r="H192" s="3">
        <f>Tabela6[[#This Row],[Peso Liquido]]/1000</f>
        <v>3.2994000000000002E-2</v>
      </c>
      <c r="I192" s="11">
        <v>267.43</v>
      </c>
    </row>
    <row r="193" spans="2:9" x14ac:dyDescent="0.25">
      <c r="B193" s="2">
        <v>161133</v>
      </c>
      <c r="C193" s="9">
        <v>46219</v>
      </c>
      <c r="D193" s="9" t="s">
        <v>23</v>
      </c>
      <c r="E193" s="2">
        <v>11</v>
      </c>
      <c r="F193" s="2" t="s">
        <v>6</v>
      </c>
      <c r="G193" s="3">
        <v>360.63099999999997</v>
      </c>
      <c r="H193" s="3">
        <f>Tabela6[[#This Row],[Peso Liquido]]/1000</f>
        <v>0.36063099999999998</v>
      </c>
      <c r="I193" s="11">
        <v>1444.33</v>
      </c>
    </row>
    <row r="194" spans="2:9" x14ac:dyDescent="0.25">
      <c r="B194" s="2">
        <v>162244</v>
      </c>
      <c r="C194" s="9">
        <v>46220</v>
      </c>
      <c r="D194" s="9" t="s">
        <v>23</v>
      </c>
      <c r="E194" s="2">
        <v>8</v>
      </c>
      <c r="F194" s="2" t="s">
        <v>7</v>
      </c>
      <c r="G194" s="3">
        <v>476.529</v>
      </c>
      <c r="H194" s="3">
        <f>Tabela6[[#This Row],[Peso Liquido]]/1000</f>
        <v>0.47652899999999998</v>
      </c>
      <c r="I194" s="11">
        <v>1676.62</v>
      </c>
    </row>
    <row r="195" spans="2:9" x14ac:dyDescent="0.25">
      <c r="B195" s="2">
        <v>162303</v>
      </c>
      <c r="C195" s="9">
        <v>46220</v>
      </c>
      <c r="D195" s="9" t="s">
        <v>23</v>
      </c>
      <c r="E195" s="2">
        <v>13</v>
      </c>
      <c r="F195" s="2" t="s">
        <v>7</v>
      </c>
      <c r="G195" s="3">
        <v>754.82899999999995</v>
      </c>
      <c r="H195" s="3">
        <f>Tabela6[[#This Row],[Peso Liquido]]/1000</f>
        <v>0.75482899999999997</v>
      </c>
      <c r="I195" s="11">
        <v>2676.42</v>
      </c>
    </row>
    <row r="196" spans="2:9" x14ac:dyDescent="0.25">
      <c r="B196" s="2">
        <v>162474</v>
      </c>
      <c r="C196" s="9">
        <v>46220</v>
      </c>
      <c r="D196" s="9" t="s">
        <v>23</v>
      </c>
      <c r="E196" s="2">
        <v>16</v>
      </c>
      <c r="F196" s="2" t="s">
        <v>6</v>
      </c>
      <c r="G196" s="3">
        <v>969.47500000000002</v>
      </c>
      <c r="H196" s="3">
        <f>Tabela6[[#This Row],[Peso Liquido]]/1000</f>
        <v>0.96947499999999998</v>
      </c>
      <c r="I196" s="11">
        <v>3206.56</v>
      </c>
    </row>
    <row r="197" spans="2:9" x14ac:dyDescent="0.25">
      <c r="B197" s="2">
        <v>162528</v>
      </c>
      <c r="C197" s="9">
        <v>46220</v>
      </c>
      <c r="D197" s="9" t="s">
        <v>23</v>
      </c>
      <c r="E197" s="2">
        <v>17</v>
      </c>
      <c r="F197" s="2" t="s">
        <v>7</v>
      </c>
      <c r="G197" s="3">
        <v>423.524</v>
      </c>
      <c r="H197" s="3">
        <f>Tabela6[[#This Row],[Peso Liquido]]/1000</f>
        <v>0.42352400000000001</v>
      </c>
      <c r="I197" s="11">
        <v>2396.7600000000002</v>
      </c>
    </row>
    <row r="198" spans="2:9" x14ac:dyDescent="0.25">
      <c r="B198" s="2">
        <v>162546</v>
      </c>
      <c r="C198" s="9">
        <v>46220</v>
      </c>
      <c r="D198" s="9" t="s">
        <v>23</v>
      </c>
      <c r="E198" s="2">
        <v>1</v>
      </c>
      <c r="F198" s="2" t="s">
        <v>7</v>
      </c>
      <c r="G198" s="3">
        <v>38.512</v>
      </c>
      <c r="H198" s="3">
        <f>Tabela6[[#This Row],[Peso Liquido]]/1000</f>
        <v>3.8511999999999998E-2</v>
      </c>
      <c r="I198" s="11">
        <v>168.68</v>
      </c>
    </row>
    <row r="199" spans="2:9" x14ac:dyDescent="0.25">
      <c r="B199" s="2">
        <v>163047</v>
      </c>
      <c r="C199" s="9">
        <v>46220</v>
      </c>
      <c r="D199" s="9" t="s">
        <v>23</v>
      </c>
      <c r="E199" s="2">
        <v>1</v>
      </c>
      <c r="F199" s="2" t="s">
        <v>7</v>
      </c>
      <c r="G199" s="3">
        <v>38.512</v>
      </c>
      <c r="H199" s="3">
        <f>Tabela6[[#This Row],[Peso Liquido]]/1000</f>
        <v>3.8511999999999998E-2</v>
      </c>
      <c r="I199" s="11">
        <v>167.62</v>
      </c>
    </row>
    <row r="200" spans="2:9" x14ac:dyDescent="0.25">
      <c r="B200" s="2">
        <v>163763</v>
      </c>
      <c r="C200" s="9">
        <v>46223</v>
      </c>
      <c r="D200" s="9" t="s">
        <v>23</v>
      </c>
      <c r="E200" s="2">
        <v>19</v>
      </c>
      <c r="F200" s="2" t="s">
        <v>6</v>
      </c>
      <c r="G200" s="3">
        <v>760.36500000000001</v>
      </c>
      <c r="H200" s="3">
        <f>Tabela6[[#This Row],[Peso Liquido]]/1000</f>
        <v>0.76036499999999996</v>
      </c>
      <c r="I200" s="11">
        <v>3212.94</v>
      </c>
    </row>
    <row r="201" spans="2:9" x14ac:dyDescent="0.25">
      <c r="B201" s="2">
        <v>163768</v>
      </c>
      <c r="C201" s="9">
        <v>46223</v>
      </c>
      <c r="D201" s="9" t="s">
        <v>23</v>
      </c>
      <c r="E201" s="2">
        <v>10</v>
      </c>
      <c r="F201" s="2" t="s">
        <v>7</v>
      </c>
      <c r="G201" s="3">
        <v>467.17399999999998</v>
      </c>
      <c r="H201" s="3">
        <f>Tabela6[[#This Row],[Peso Liquido]]/1000</f>
        <v>0.46717399999999998</v>
      </c>
      <c r="I201" s="11">
        <v>2099.13</v>
      </c>
    </row>
    <row r="202" spans="2:9" x14ac:dyDescent="0.25">
      <c r="B202" s="2">
        <v>163946</v>
      </c>
      <c r="C202" s="9">
        <v>46223</v>
      </c>
      <c r="D202" s="9" t="s">
        <v>23</v>
      </c>
      <c r="E202" s="2">
        <v>18</v>
      </c>
      <c r="F202" s="2" t="s">
        <v>7</v>
      </c>
      <c r="G202" s="3">
        <v>762.32</v>
      </c>
      <c r="H202" s="3">
        <f>Tabela6[[#This Row],[Peso Liquido]]/1000</f>
        <v>0.76232</v>
      </c>
      <c r="I202" s="11">
        <v>2823.06</v>
      </c>
    </row>
    <row r="203" spans="2:9" x14ac:dyDescent="0.25">
      <c r="B203" s="2">
        <v>163951</v>
      </c>
      <c r="C203" s="9">
        <v>46223</v>
      </c>
      <c r="D203" s="9" t="s">
        <v>23</v>
      </c>
      <c r="E203" s="2">
        <v>12</v>
      </c>
      <c r="F203" s="2" t="s">
        <v>7</v>
      </c>
      <c r="G203" s="3">
        <v>597.57299999999998</v>
      </c>
      <c r="H203" s="3">
        <f>Tabela6[[#This Row],[Peso Liquido]]/1000</f>
        <v>0.59757300000000002</v>
      </c>
      <c r="I203" s="11">
        <v>1857.08</v>
      </c>
    </row>
    <row r="204" spans="2:9" x14ac:dyDescent="0.25">
      <c r="B204" s="2">
        <v>164107</v>
      </c>
      <c r="C204" s="9">
        <v>46223</v>
      </c>
      <c r="D204" s="9" t="s">
        <v>23</v>
      </c>
      <c r="E204" s="2">
        <v>9</v>
      </c>
      <c r="F204" s="2" t="s">
        <v>7</v>
      </c>
      <c r="G204" s="3">
        <v>122.751</v>
      </c>
      <c r="H204" s="3">
        <f>Tabela6[[#This Row],[Peso Liquido]]/1000</f>
        <v>0.122751</v>
      </c>
      <c r="I204" s="11">
        <v>869.99</v>
      </c>
    </row>
    <row r="205" spans="2:9" x14ac:dyDescent="0.25">
      <c r="B205" s="2">
        <v>164108</v>
      </c>
      <c r="C205" s="9">
        <v>46223</v>
      </c>
      <c r="D205" s="9" t="s">
        <v>23</v>
      </c>
      <c r="E205" s="2">
        <v>13</v>
      </c>
      <c r="F205" s="2" t="s">
        <v>7</v>
      </c>
      <c r="G205" s="3">
        <v>149.63</v>
      </c>
      <c r="H205" s="3">
        <f>Tabela6[[#This Row],[Peso Liquido]]/1000</f>
        <v>0.14962999999999999</v>
      </c>
      <c r="I205" s="11">
        <v>986.21</v>
      </c>
    </row>
    <row r="206" spans="2:9" x14ac:dyDescent="0.25">
      <c r="B206" s="2">
        <v>164326</v>
      </c>
      <c r="C206" s="9">
        <v>46223</v>
      </c>
      <c r="D206" s="9" t="s">
        <v>23</v>
      </c>
      <c r="E206" s="2">
        <v>12</v>
      </c>
      <c r="F206" s="2" t="s">
        <v>7</v>
      </c>
      <c r="G206" s="3">
        <v>597.57299999999998</v>
      </c>
      <c r="H206" s="3">
        <f>Tabela6[[#This Row],[Peso Liquido]]/1000</f>
        <v>0.59757300000000002</v>
      </c>
      <c r="I206" s="11">
        <v>1858.42</v>
      </c>
    </row>
    <row r="207" spans="2:9" x14ac:dyDescent="0.25">
      <c r="B207" s="2">
        <v>164349</v>
      </c>
      <c r="C207" s="9">
        <v>46223</v>
      </c>
      <c r="D207" s="9" t="s">
        <v>23</v>
      </c>
      <c r="E207" s="2">
        <v>3</v>
      </c>
      <c r="F207" s="2" t="s">
        <v>6</v>
      </c>
      <c r="G207" s="3">
        <v>2.496</v>
      </c>
      <c r="H207" s="3">
        <f>Tabela6[[#This Row],[Peso Liquido]]/1000</f>
        <v>2.496E-3</v>
      </c>
      <c r="I207" s="11">
        <v>21.39</v>
      </c>
    </row>
    <row r="208" spans="2:9" x14ac:dyDescent="0.25">
      <c r="B208" s="2">
        <v>165100</v>
      </c>
      <c r="C208" s="9">
        <v>46223</v>
      </c>
      <c r="D208" s="9" t="s">
        <v>23</v>
      </c>
      <c r="E208" s="2">
        <v>47</v>
      </c>
      <c r="F208" s="2" t="s">
        <v>9</v>
      </c>
      <c r="G208" s="3">
        <v>1251.9390000000001</v>
      </c>
      <c r="H208" s="3">
        <f>Tabela6[[#This Row],[Peso Liquido]]/1000</f>
        <v>1.2519390000000001</v>
      </c>
      <c r="I208" s="11">
        <v>7282.51</v>
      </c>
    </row>
    <row r="209" spans="2:9" x14ac:dyDescent="0.25">
      <c r="B209" s="2">
        <v>165101</v>
      </c>
      <c r="C209" s="9">
        <v>46223</v>
      </c>
      <c r="D209" s="9" t="s">
        <v>23</v>
      </c>
      <c r="E209" s="2">
        <v>17</v>
      </c>
      <c r="F209" s="2" t="s">
        <v>9</v>
      </c>
      <c r="G209" s="3">
        <v>1150.3050000000001</v>
      </c>
      <c r="H209" s="3">
        <f>Tabela6[[#This Row],[Peso Liquido]]/1000</f>
        <v>1.1503050000000001</v>
      </c>
      <c r="I209" s="11">
        <v>3585.05</v>
      </c>
    </row>
    <row r="210" spans="2:9" x14ac:dyDescent="0.25">
      <c r="B210" s="2">
        <v>165114</v>
      </c>
      <c r="C210" s="9">
        <v>46223</v>
      </c>
      <c r="D210" s="9" t="s">
        <v>23</v>
      </c>
      <c r="E210" s="2">
        <v>18</v>
      </c>
      <c r="F210" s="2" t="s">
        <v>9</v>
      </c>
      <c r="G210" s="3">
        <v>766.92600000000004</v>
      </c>
      <c r="H210" s="3">
        <f>Tabela6[[#This Row],[Peso Liquido]]/1000</f>
        <v>0.766926</v>
      </c>
      <c r="I210" s="11">
        <v>2665.82</v>
      </c>
    </row>
    <row r="211" spans="2:9" x14ac:dyDescent="0.25">
      <c r="B211" s="2">
        <v>165174</v>
      </c>
      <c r="C211" s="9">
        <v>46224</v>
      </c>
      <c r="D211" s="9" t="s">
        <v>23</v>
      </c>
      <c r="E211" s="2">
        <v>20</v>
      </c>
      <c r="F211" s="2" t="s">
        <v>9</v>
      </c>
      <c r="G211" s="3">
        <v>1072.5</v>
      </c>
      <c r="H211" s="3">
        <f>Tabela6[[#This Row],[Peso Liquido]]/1000</f>
        <v>1.0725</v>
      </c>
      <c r="I211" s="11">
        <v>3549.06</v>
      </c>
    </row>
    <row r="212" spans="2:9" x14ac:dyDescent="0.25">
      <c r="B212" s="2">
        <v>165357</v>
      </c>
      <c r="C212" s="9">
        <v>46224</v>
      </c>
      <c r="D212" s="9" t="s">
        <v>23</v>
      </c>
      <c r="E212" s="2">
        <v>19</v>
      </c>
      <c r="F212" s="2" t="s">
        <v>9</v>
      </c>
      <c r="G212" s="3">
        <v>224.88399999999999</v>
      </c>
      <c r="H212" s="3">
        <f>Tabela6[[#This Row],[Peso Liquido]]/1000</f>
        <v>0.22488399999999997</v>
      </c>
      <c r="I212" s="11">
        <v>912.1</v>
      </c>
    </row>
    <row r="213" spans="2:9" x14ac:dyDescent="0.25">
      <c r="B213" s="2">
        <v>165359</v>
      </c>
      <c r="C213" s="9">
        <v>46224</v>
      </c>
      <c r="D213" s="9" t="s">
        <v>23</v>
      </c>
      <c r="E213" s="2">
        <v>9</v>
      </c>
      <c r="F213" s="2" t="s">
        <v>9</v>
      </c>
      <c r="G213" s="3">
        <v>323.62200000000001</v>
      </c>
      <c r="H213" s="3">
        <f>Tabela6[[#This Row],[Peso Liquido]]/1000</f>
        <v>0.32362200000000002</v>
      </c>
      <c r="I213" s="11">
        <v>1396.56</v>
      </c>
    </row>
    <row r="214" spans="2:9" x14ac:dyDescent="0.25">
      <c r="B214" s="2">
        <v>165553</v>
      </c>
      <c r="C214" s="9">
        <v>46224</v>
      </c>
      <c r="D214" s="9" t="s">
        <v>23</v>
      </c>
      <c r="E214" s="2">
        <v>6</v>
      </c>
      <c r="F214" s="2" t="s">
        <v>9</v>
      </c>
      <c r="G214" s="3">
        <v>215.74799999999999</v>
      </c>
      <c r="H214" s="3">
        <f>Tabela6[[#This Row],[Peso Liquido]]/1000</f>
        <v>0.215748</v>
      </c>
      <c r="I214" s="11">
        <v>939.92</v>
      </c>
    </row>
    <row r="215" spans="2:9" x14ac:dyDescent="0.25">
      <c r="B215" s="2">
        <v>165612</v>
      </c>
      <c r="C215" s="9">
        <v>46224</v>
      </c>
      <c r="D215" s="9" t="s">
        <v>23</v>
      </c>
      <c r="E215" s="2">
        <v>20</v>
      </c>
      <c r="F215" s="2" t="s">
        <v>9</v>
      </c>
      <c r="G215" s="3">
        <v>1043.24</v>
      </c>
      <c r="H215" s="3">
        <f>Tabela6[[#This Row],[Peso Liquido]]/1000</f>
        <v>1.0432399999999999</v>
      </c>
      <c r="I215" s="11">
        <v>3437.92</v>
      </c>
    </row>
    <row r="216" spans="2:9" x14ac:dyDescent="0.25">
      <c r="B216" s="2">
        <v>165895</v>
      </c>
      <c r="C216" s="9">
        <v>46224</v>
      </c>
      <c r="D216" s="9" t="s">
        <v>23</v>
      </c>
      <c r="E216" s="2">
        <v>13</v>
      </c>
      <c r="F216" s="2" t="s">
        <v>6</v>
      </c>
      <c r="G216" s="3">
        <v>465.21800000000002</v>
      </c>
      <c r="H216" s="3">
        <f>Tabela6[[#This Row],[Peso Liquido]]/1000</f>
        <v>0.46521800000000002</v>
      </c>
      <c r="I216" s="11">
        <v>1763.54</v>
      </c>
    </row>
    <row r="217" spans="2:9" x14ac:dyDescent="0.25">
      <c r="B217" s="2">
        <v>166891</v>
      </c>
      <c r="C217" s="9">
        <v>46225</v>
      </c>
      <c r="D217" s="9" t="s">
        <v>23</v>
      </c>
      <c r="E217" s="2">
        <v>19</v>
      </c>
      <c r="F217" s="2" t="s">
        <v>7</v>
      </c>
      <c r="G217" s="3">
        <v>539.00199999999995</v>
      </c>
      <c r="H217" s="3">
        <f>Tabela6[[#This Row],[Peso Liquido]]/1000</f>
        <v>0.53900199999999998</v>
      </c>
      <c r="I217" s="11">
        <v>2815.2</v>
      </c>
    </row>
    <row r="218" spans="2:9" x14ac:dyDescent="0.25">
      <c r="B218" s="2">
        <v>166892</v>
      </c>
      <c r="C218" s="9">
        <v>46225</v>
      </c>
      <c r="D218" s="9" t="s">
        <v>23</v>
      </c>
      <c r="E218" s="2">
        <v>6</v>
      </c>
      <c r="F218" s="2" t="s">
        <v>6</v>
      </c>
      <c r="G218" s="3">
        <v>295.52199999999999</v>
      </c>
      <c r="H218" s="3">
        <f>Tabela6[[#This Row],[Peso Liquido]]/1000</f>
        <v>0.29552200000000001</v>
      </c>
      <c r="I218" s="11">
        <v>1078.8499999999999</v>
      </c>
    </row>
    <row r="219" spans="2:9" x14ac:dyDescent="0.25">
      <c r="B219" s="2">
        <v>167389</v>
      </c>
      <c r="C219" s="9">
        <v>46225</v>
      </c>
      <c r="D219" s="9" t="s">
        <v>23</v>
      </c>
      <c r="E219" s="2">
        <v>15</v>
      </c>
      <c r="F219" s="2" t="s">
        <v>7</v>
      </c>
      <c r="G219" s="3">
        <v>507.79899999999998</v>
      </c>
      <c r="H219" s="3">
        <f>Tabela6[[#This Row],[Peso Liquido]]/1000</f>
        <v>0.507799</v>
      </c>
      <c r="I219" s="11">
        <v>2591.9499999999998</v>
      </c>
    </row>
    <row r="220" spans="2:9" x14ac:dyDescent="0.25">
      <c r="B220" s="2">
        <v>167501</v>
      </c>
      <c r="C220" s="9">
        <v>46225</v>
      </c>
      <c r="D220" s="9" t="s">
        <v>23</v>
      </c>
      <c r="E220" s="2">
        <v>19</v>
      </c>
      <c r="F220" s="2" t="s">
        <v>7</v>
      </c>
      <c r="G220" s="3">
        <v>402.12099999999998</v>
      </c>
      <c r="H220" s="3">
        <f>Tabela6[[#This Row],[Peso Liquido]]/1000</f>
        <v>0.40212100000000001</v>
      </c>
      <c r="I220" s="11">
        <v>2533.46</v>
      </c>
    </row>
    <row r="221" spans="2:9" x14ac:dyDescent="0.25">
      <c r="B221" s="2">
        <v>167524</v>
      </c>
      <c r="C221" s="9">
        <v>46225</v>
      </c>
      <c r="D221" s="9" t="s">
        <v>23</v>
      </c>
      <c r="E221" s="2">
        <v>14</v>
      </c>
      <c r="F221" s="2" t="s">
        <v>7</v>
      </c>
      <c r="G221" s="3">
        <v>931.60900000000004</v>
      </c>
      <c r="H221" s="3">
        <f>Tabela6[[#This Row],[Peso Liquido]]/1000</f>
        <v>0.93160900000000002</v>
      </c>
      <c r="I221" s="10">
        <v>3554.15</v>
      </c>
    </row>
    <row r="222" spans="2:9" x14ac:dyDescent="0.25">
      <c r="B222" s="2">
        <v>167841</v>
      </c>
      <c r="C222" s="9">
        <v>46226</v>
      </c>
      <c r="D222" s="9" t="s">
        <v>23</v>
      </c>
      <c r="E222" s="2">
        <v>21</v>
      </c>
      <c r="F222" s="2" t="s">
        <v>7</v>
      </c>
      <c r="G222" s="3">
        <v>258.66399999999999</v>
      </c>
      <c r="H222" s="3">
        <f>Tabela6[[#This Row],[Peso Liquido]]/1000</f>
        <v>0.25866400000000001</v>
      </c>
      <c r="I222" s="10">
        <v>1527.13</v>
      </c>
    </row>
    <row r="223" spans="2:9" x14ac:dyDescent="0.25">
      <c r="B223" s="2">
        <v>167847</v>
      </c>
      <c r="C223" s="9">
        <v>46226</v>
      </c>
      <c r="D223" s="9" t="s">
        <v>23</v>
      </c>
      <c r="E223" s="2">
        <v>1</v>
      </c>
      <c r="F223" s="2" t="s">
        <v>7</v>
      </c>
      <c r="G223" s="3">
        <v>3.9</v>
      </c>
      <c r="H223" s="3">
        <f>Tabela6[[#This Row],[Peso Liquido]]/1000</f>
        <v>3.8999999999999998E-3</v>
      </c>
      <c r="I223" s="10">
        <v>15.34</v>
      </c>
    </row>
    <row r="224" spans="2:9" x14ac:dyDescent="0.25">
      <c r="B224" s="2">
        <v>167935</v>
      </c>
      <c r="C224" s="9">
        <v>46226</v>
      </c>
      <c r="D224" s="9" t="s">
        <v>23</v>
      </c>
      <c r="E224" s="2">
        <v>5</v>
      </c>
      <c r="F224" s="2" t="s">
        <v>6</v>
      </c>
      <c r="G224" s="3">
        <v>229.36500000000001</v>
      </c>
      <c r="H224" s="3">
        <f>Tabela6[[#This Row],[Peso Liquido]]/1000</f>
        <v>0.22936500000000001</v>
      </c>
      <c r="I224" s="10">
        <v>1031.03</v>
      </c>
    </row>
    <row r="225" spans="2:9" x14ac:dyDescent="0.25">
      <c r="B225" s="2">
        <v>167936</v>
      </c>
      <c r="C225" s="9">
        <v>46226</v>
      </c>
      <c r="D225" s="9" t="s">
        <v>23</v>
      </c>
      <c r="E225" s="2">
        <v>2</v>
      </c>
      <c r="F225" s="2" t="s">
        <v>7</v>
      </c>
      <c r="G225" s="3">
        <v>36.171999999999997</v>
      </c>
      <c r="H225" s="3">
        <f>Tabela6[[#This Row],[Peso Liquido]]/1000</f>
        <v>3.6171999999999996E-2</v>
      </c>
      <c r="I225" s="10">
        <v>253.68</v>
      </c>
    </row>
    <row r="226" spans="2:9" x14ac:dyDescent="0.25">
      <c r="B226" s="2">
        <v>168809</v>
      </c>
      <c r="C226" s="9">
        <v>46227</v>
      </c>
      <c r="D226" s="9" t="s">
        <v>23</v>
      </c>
      <c r="E226" s="2">
        <v>10</v>
      </c>
      <c r="F226" s="2" t="s">
        <v>6</v>
      </c>
      <c r="G226" s="3">
        <v>410.21899999999999</v>
      </c>
      <c r="H226" s="3">
        <f>Tabela6[[#This Row],[Peso Liquido]]/1000</f>
        <v>0.410219</v>
      </c>
      <c r="I226" s="10">
        <v>1658.66</v>
      </c>
    </row>
    <row r="227" spans="2:9" x14ac:dyDescent="0.25">
      <c r="B227" s="2">
        <v>169093</v>
      </c>
      <c r="C227" s="9">
        <v>46227</v>
      </c>
      <c r="D227" s="9" t="s">
        <v>23</v>
      </c>
      <c r="E227" s="2">
        <v>1</v>
      </c>
      <c r="F227" s="2" t="s">
        <v>6</v>
      </c>
      <c r="G227" s="3">
        <v>28.08</v>
      </c>
      <c r="H227" s="3">
        <f>Tabela6[[#This Row],[Peso Liquido]]/1000</f>
        <v>2.8079999999999997E-2</v>
      </c>
      <c r="I227" s="10">
        <v>90.88</v>
      </c>
    </row>
    <row r="228" spans="2:9" x14ac:dyDescent="0.25">
      <c r="B228" s="2">
        <v>169129</v>
      </c>
      <c r="C228" s="9">
        <v>46227</v>
      </c>
      <c r="D228" s="9" t="s">
        <v>23</v>
      </c>
      <c r="E228" s="2">
        <v>11</v>
      </c>
      <c r="F228" s="2" t="s">
        <v>9</v>
      </c>
      <c r="G228" s="3">
        <v>293.00700000000001</v>
      </c>
      <c r="H228" s="3">
        <f>Tabela6[[#This Row],[Peso Liquido]]/1000</f>
        <v>0.29300700000000002</v>
      </c>
      <c r="I228" s="10">
        <v>1688.25</v>
      </c>
    </row>
    <row r="229" spans="2:9" x14ac:dyDescent="0.25">
      <c r="B229" s="2">
        <v>169130</v>
      </c>
      <c r="C229" s="9">
        <v>46227</v>
      </c>
      <c r="D229" s="9" t="s">
        <v>23</v>
      </c>
      <c r="E229" s="2">
        <v>10</v>
      </c>
      <c r="F229" s="2" t="s">
        <v>9</v>
      </c>
      <c r="G229" s="3">
        <v>400.33</v>
      </c>
      <c r="H229" s="3">
        <f>Tabela6[[#This Row],[Peso Liquido]]/1000</f>
        <v>0.40032999999999996</v>
      </c>
      <c r="I229" s="10">
        <v>1863.8</v>
      </c>
    </row>
    <row r="230" spans="2:9" x14ac:dyDescent="0.25">
      <c r="B230" s="2">
        <v>169131</v>
      </c>
      <c r="C230" s="9">
        <v>46227</v>
      </c>
      <c r="D230" s="9" t="s">
        <v>23</v>
      </c>
      <c r="E230" s="2">
        <v>40</v>
      </c>
      <c r="F230" s="2" t="s">
        <v>9</v>
      </c>
      <c r="G230" s="3">
        <v>1772.52</v>
      </c>
      <c r="H230" s="3">
        <f>Tabela6[[#This Row],[Peso Liquido]]/1000</f>
        <v>1.7725199999999999</v>
      </c>
      <c r="I230" s="10">
        <v>5953.84</v>
      </c>
    </row>
    <row r="231" spans="2:9" x14ac:dyDescent="0.25">
      <c r="B231" s="2">
        <v>169132</v>
      </c>
      <c r="C231" s="9">
        <v>46227</v>
      </c>
      <c r="D231" s="9" t="s">
        <v>23</v>
      </c>
      <c r="E231" s="2">
        <v>6</v>
      </c>
      <c r="F231" s="2" t="s">
        <v>9</v>
      </c>
      <c r="G231" s="3">
        <v>82.88</v>
      </c>
      <c r="H231" s="3">
        <f>Tabela6[[#This Row],[Peso Liquido]]/1000</f>
        <v>8.2879999999999995E-2</v>
      </c>
      <c r="I231" s="10">
        <v>456.27</v>
      </c>
    </row>
    <row r="232" spans="2:9" x14ac:dyDescent="0.25">
      <c r="B232" s="2">
        <v>169770</v>
      </c>
      <c r="C232" s="9">
        <v>46230</v>
      </c>
      <c r="D232" s="9" t="s">
        <v>23</v>
      </c>
      <c r="E232" s="2">
        <v>21</v>
      </c>
      <c r="F232" s="2" t="s">
        <v>7</v>
      </c>
      <c r="G232" s="3">
        <v>1050.693</v>
      </c>
      <c r="H232" s="3">
        <f>Tabela6[[#This Row],[Peso Liquido]]/1000</f>
        <v>1.0506929999999999</v>
      </c>
      <c r="I232" s="10">
        <v>3903.11</v>
      </c>
    </row>
    <row r="233" spans="2:9" x14ac:dyDescent="0.25">
      <c r="B233" s="2">
        <v>169862</v>
      </c>
      <c r="C233" s="9">
        <v>46230</v>
      </c>
      <c r="D233" s="9" t="s">
        <v>23</v>
      </c>
      <c r="E233" s="2">
        <v>25</v>
      </c>
      <c r="F233" s="2" t="s">
        <v>7</v>
      </c>
      <c r="G233" s="3">
        <v>1208.4760000000001</v>
      </c>
      <c r="H233" s="3">
        <f>Tabela6[[#This Row],[Peso Liquido]]/1000</f>
        <v>1.2084760000000001</v>
      </c>
      <c r="I233" s="10">
        <v>4943.71</v>
      </c>
    </row>
    <row r="234" spans="2:9" x14ac:dyDescent="0.25">
      <c r="B234" s="2">
        <v>170016</v>
      </c>
      <c r="C234" s="9">
        <v>46230</v>
      </c>
      <c r="D234" s="9" t="s">
        <v>23</v>
      </c>
      <c r="E234" s="2">
        <v>83</v>
      </c>
      <c r="F234" s="2" t="s">
        <v>9</v>
      </c>
      <c r="G234" s="3">
        <v>744.51</v>
      </c>
      <c r="H234" s="3">
        <f>Tabela6[[#This Row],[Peso Liquido]]/1000</f>
        <v>0.74451000000000001</v>
      </c>
      <c r="I234" s="10">
        <v>7178.79</v>
      </c>
    </row>
    <row r="235" spans="2:9" x14ac:dyDescent="0.25">
      <c r="B235" s="2">
        <v>170116</v>
      </c>
      <c r="C235" s="9">
        <v>46230</v>
      </c>
      <c r="D235" s="9" t="s">
        <v>23</v>
      </c>
      <c r="E235" s="2">
        <v>17</v>
      </c>
      <c r="F235" s="2" t="s">
        <v>24</v>
      </c>
      <c r="G235" s="3">
        <v>938.88499999999999</v>
      </c>
      <c r="H235" s="3">
        <f>Tabela6[[#This Row],[Peso Liquido]]/1000</f>
        <v>0.93888499999999997</v>
      </c>
      <c r="I235" s="10">
        <v>3498.63</v>
      </c>
    </row>
    <row r="236" spans="2:9" x14ac:dyDescent="0.25">
      <c r="B236" s="2">
        <v>170374</v>
      </c>
      <c r="C236" s="9">
        <v>46230</v>
      </c>
      <c r="D236" s="9" t="s">
        <v>23</v>
      </c>
      <c r="E236" s="2">
        <v>11</v>
      </c>
      <c r="F236" s="2" t="s">
        <v>6</v>
      </c>
      <c r="G236" s="3">
        <v>546.95299999999997</v>
      </c>
      <c r="H236" s="3">
        <f>Tabela6[[#This Row],[Peso Liquido]]/1000</f>
        <v>0.54695300000000002</v>
      </c>
      <c r="I236" s="10">
        <v>1915.7</v>
      </c>
    </row>
    <row r="237" spans="2:9" x14ac:dyDescent="0.25">
      <c r="B237" s="2">
        <v>170758</v>
      </c>
      <c r="C237" s="9">
        <v>46230</v>
      </c>
      <c r="D237" s="9" t="s">
        <v>23</v>
      </c>
      <c r="E237" s="2">
        <v>5</v>
      </c>
      <c r="F237" s="2" t="s">
        <v>6</v>
      </c>
      <c r="G237" s="3">
        <v>86.287000000000006</v>
      </c>
      <c r="H237" s="3">
        <f>Tabela6[[#This Row],[Peso Liquido]]/1000</f>
        <v>8.6287000000000003E-2</v>
      </c>
      <c r="I237" s="10">
        <v>645.04999999999995</v>
      </c>
    </row>
    <row r="238" spans="2:9" x14ac:dyDescent="0.25">
      <c r="B238" s="2">
        <v>170759</v>
      </c>
      <c r="C238" s="9">
        <v>46230</v>
      </c>
      <c r="D238" s="9" t="s">
        <v>23</v>
      </c>
      <c r="E238" s="2">
        <v>7</v>
      </c>
      <c r="F238" s="2" t="s">
        <v>7</v>
      </c>
      <c r="G238" s="3">
        <v>53.625</v>
      </c>
      <c r="H238" s="3">
        <f>Tabela6[[#This Row],[Peso Liquido]]/1000</f>
        <v>5.3624999999999999E-2</v>
      </c>
      <c r="I238" s="10">
        <v>195.38</v>
      </c>
    </row>
    <row r="239" spans="2:9" x14ac:dyDescent="0.25">
      <c r="B239" s="2">
        <v>171274</v>
      </c>
      <c r="C239" s="9">
        <v>46231</v>
      </c>
      <c r="D239" s="9" t="s">
        <v>23</v>
      </c>
      <c r="E239" s="2">
        <v>14</v>
      </c>
      <c r="F239" s="2" t="s">
        <v>6</v>
      </c>
      <c r="G239" s="3">
        <v>515.48199999999997</v>
      </c>
      <c r="H239" s="3">
        <f>Tabela6[[#This Row],[Peso Liquido]]/1000</f>
        <v>0.515482</v>
      </c>
      <c r="I239" s="10">
        <v>1774.92</v>
      </c>
    </row>
    <row r="240" spans="2:9" x14ac:dyDescent="0.25">
      <c r="B240" s="2">
        <v>171377</v>
      </c>
      <c r="C240" s="9">
        <v>46231</v>
      </c>
      <c r="D240" s="9" t="s">
        <v>23</v>
      </c>
      <c r="E240" s="2">
        <v>130</v>
      </c>
      <c r="F240" s="2" t="s">
        <v>9</v>
      </c>
      <c r="G240" s="3">
        <v>4792.924</v>
      </c>
      <c r="H240" s="3">
        <f>Tabela6[[#This Row],[Peso Liquido]]/1000</f>
        <v>4.7929240000000002</v>
      </c>
      <c r="I240" s="10">
        <v>20155.54</v>
      </c>
    </row>
    <row r="241" spans="2:9" x14ac:dyDescent="0.25">
      <c r="B241" s="2">
        <v>171386</v>
      </c>
      <c r="C241" s="9">
        <v>46231</v>
      </c>
      <c r="D241" s="9" t="s">
        <v>23</v>
      </c>
      <c r="E241" s="2">
        <v>57</v>
      </c>
      <c r="F241" s="2" t="s">
        <v>9</v>
      </c>
      <c r="G241" s="3">
        <v>1083.7750000000001</v>
      </c>
      <c r="H241" s="3">
        <f>Tabela6[[#This Row],[Peso Liquido]]/1000</f>
        <v>1.0837750000000002</v>
      </c>
      <c r="I241" s="10">
        <v>3932.74</v>
      </c>
    </row>
    <row r="242" spans="2:9" x14ac:dyDescent="0.25">
      <c r="B242" s="2">
        <v>171387</v>
      </c>
      <c r="C242" s="9">
        <v>46231</v>
      </c>
      <c r="D242" s="9" t="s">
        <v>23</v>
      </c>
      <c r="E242" s="2">
        <v>9</v>
      </c>
      <c r="F242" s="2" t="s">
        <v>6</v>
      </c>
      <c r="G242" s="3">
        <v>419.78699999999998</v>
      </c>
      <c r="H242" s="3">
        <f>Tabela6[[#This Row],[Peso Liquido]]/1000</f>
        <v>0.41978699999999997</v>
      </c>
      <c r="I242" s="10">
        <v>1554.63</v>
      </c>
    </row>
    <row r="243" spans="2:9" x14ac:dyDescent="0.25">
      <c r="B243" s="2">
        <v>171794</v>
      </c>
      <c r="C243" s="9">
        <v>46231</v>
      </c>
      <c r="D243" s="9" t="s">
        <v>23</v>
      </c>
      <c r="E243" s="2">
        <v>20</v>
      </c>
      <c r="F243" s="2" t="s">
        <v>7</v>
      </c>
      <c r="G243" s="3">
        <v>1162.796</v>
      </c>
      <c r="H243" s="3">
        <f>Tabela6[[#This Row],[Peso Liquido]]/1000</f>
        <v>1.1627959999999999</v>
      </c>
      <c r="I243" s="10">
        <v>4394.92</v>
      </c>
    </row>
    <row r="244" spans="2:9" x14ac:dyDescent="0.25">
      <c r="B244" s="2">
        <v>171913</v>
      </c>
      <c r="C244" s="9">
        <v>46231</v>
      </c>
      <c r="D244" s="9" t="s">
        <v>23</v>
      </c>
      <c r="E244" s="2">
        <v>14</v>
      </c>
      <c r="F244" s="2" t="s">
        <v>6</v>
      </c>
      <c r="G244" s="3">
        <v>161.13999999999999</v>
      </c>
      <c r="H244" s="3">
        <f>Tabela6[[#This Row],[Peso Liquido]]/1000</f>
        <v>0.16113999999999998</v>
      </c>
      <c r="I244" s="10">
        <v>1002.83</v>
      </c>
    </row>
    <row r="245" spans="2:9" x14ac:dyDescent="0.25">
      <c r="B245" s="2">
        <v>172947</v>
      </c>
      <c r="C245" s="9">
        <v>46233</v>
      </c>
      <c r="D245" s="9" t="s">
        <v>23</v>
      </c>
      <c r="E245" s="2">
        <v>10</v>
      </c>
      <c r="F245" s="2" t="s">
        <v>6</v>
      </c>
      <c r="G245" s="3">
        <v>165.495</v>
      </c>
      <c r="H245" s="3">
        <f>Tabela6[[#This Row],[Peso Liquido]]/1000</f>
        <v>0.165495</v>
      </c>
      <c r="I245" s="10">
        <v>1236.72</v>
      </c>
    </row>
    <row r="246" spans="2:9" x14ac:dyDescent="0.25">
      <c r="B246" s="2">
        <v>173274</v>
      </c>
      <c r="C246" s="9">
        <v>46233</v>
      </c>
      <c r="D246" s="9" t="s">
        <v>23</v>
      </c>
      <c r="E246" s="2">
        <v>173</v>
      </c>
      <c r="F246" s="2" t="s">
        <v>9</v>
      </c>
      <c r="G246" s="3">
        <v>8895.9580000000005</v>
      </c>
      <c r="H246" s="3">
        <f>Tabela6[[#This Row],[Peso Liquido]]/1000</f>
        <v>8.8959580000000003</v>
      </c>
      <c r="I246" s="10">
        <v>34216.29</v>
      </c>
    </row>
    <row r="247" spans="2:9" x14ac:dyDescent="0.25">
      <c r="B247" s="2">
        <v>173294</v>
      </c>
      <c r="C247" s="9">
        <v>46233</v>
      </c>
      <c r="D247" s="9" t="s">
        <v>23</v>
      </c>
      <c r="E247" s="2">
        <v>166</v>
      </c>
      <c r="F247" s="2" t="s">
        <v>9</v>
      </c>
      <c r="G247" s="3">
        <v>7098.8609999999999</v>
      </c>
      <c r="H247" s="3">
        <f>Tabela6[[#This Row],[Peso Liquido]]/1000</f>
        <v>7.0988610000000003</v>
      </c>
      <c r="I247" s="10">
        <v>25690.42</v>
      </c>
    </row>
    <row r="248" spans="2:9" x14ac:dyDescent="0.25">
      <c r="B248" s="2">
        <v>173304</v>
      </c>
      <c r="C248" s="9">
        <v>46233</v>
      </c>
      <c r="D248" s="9" t="s">
        <v>23</v>
      </c>
      <c r="E248" s="2">
        <v>350</v>
      </c>
      <c r="F248" s="2" t="s">
        <v>9</v>
      </c>
      <c r="G248" s="3">
        <v>16805.936000000002</v>
      </c>
      <c r="H248" s="3">
        <f>Tabela6[[#This Row],[Peso Liquido]]/1000</f>
        <v>16.805936000000003</v>
      </c>
      <c r="I248" s="10">
        <v>58915.1</v>
      </c>
    </row>
    <row r="249" spans="2:9" x14ac:dyDescent="0.25">
      <c r="B249" s="2">
        <v>173815</v>
      </c>
      <c r="C249" s="9">
        <v>46233</v>
      </c>
      <c r="D249" s="9" t="s">
        <v>23</v>
      </c>
      <c r="E249" s="2">
        <v>154</v>
      </c>
      <c r="F249" s="2" t="s">
        <v>9</v>
      </c>
      <c r="G249" s="3">
        <v>6474.0079999999998</v>
      </c>
      <c r="H249" s="3">
        <f>Tabela6[[#This Row],[Peso Liquido]]/1000</f>
        <v>6.4740079999999995</v>
      </c>
      <c r="I249" s="10">
        <v>21359.29</v>
      </c>
    </row>
    <row r="250" spans="2:9" x14ac:dyDescent="0.25">
      <c r="B250" s="2">
        <v>171490</v>
      </c>
      <c r="C250" s="9">
        <v>46231</v>
      </c>
      <c r="D250" s="9" t="s">
        <v>23</v>
      </c>
      <c r="E250" s="2">
        <v>54</v>
      </c>
      <c r="F250" s="2" t="s">
        <v>9</v>
      </c>
      <c r="G250" s="3">
        <v>2289.7809999999999</v>
      </c>
      <c r="H250" s="3">
        <f>Tabela6[[#This Row],[Peso Liquido]]/1000</f>
        <v>2.2897810000000001</v>
      </c>
      <c r="I250" s="10">
        <v>8630.64</v>
      </c>
    </row>
    <row r="251" spans="2:9" x14ac:dyDescent="0.25">
      <c r="B251" s="2">
        <v>174350</v>
      </c>
      <c r="C251" s="9">
        <v>46234</v>
      </c>
      <c r="D251" s="9" t="s">
        <v>23</v>
      </c>
      <c r="E251" s="2">
        <v>6</v>
      </c>
      <c r="F251" s="2" t="s">
        <v>7</v>
      </c>
      <c r="G251" s="3">
        <v>301.42399999999998</v>
      </c>
      <c r="H251" s="3">
        <f>Tabela6[[#This Row],[Peso Liquido]]/1000</f>
        <v>0.30142399999999997</v>
      </c>
      <c r="I251" s="10">
        <v>1113.97</v>
      </c>
    </row>
    <row r="252" spans="2:9" x14ac:dyDescent="0.25">
      <c r="B252" s="2">
        <v>174497</v>
      </c>
      <c r="C252" s="9">
        <v>46234</v>
      </c>
      <c r="D252" s="9" t="s">
        <v>23</v>
      </c>
      <c r="E252" s="2">
        <v>11</v>
      </c>
      <c r="F252" s="2" t="s">
        <v>7</v>
      </c>
      <c r="G252" s="3">
        <v>602.72400000000005</v>
      </c>
      <c r="H252" s="3">
        <f>Tabela6[[#This Row],[Peso Liquido]]/1000</f>
        <v>0.60272400000000004</v>
      </c>
      <c r="I252" s="10">
        <v>2179.21</v>
      </c>
    </row>
    <row r="253" spans="2:9" x14ac:dyDescent="0.25">
      <c r="B253" s="2">
        <v>174502</v>
      </c>
      <c r="C253" s="9">
        <v>46234</v>
      </c>
      <c r="D253" s="9" t="s">
        <v>23</v>
      </c>
      <c r="E253" s="2">
        <v>1</v>
      </c>
      <c r="F253" s="2" t="s">
        <v>7</v>
      </c>
      <c r="G253" s="3">
        <v>66.787000000000006</v>
      </c>
      <c r="H253" s="3">
        <f>Tabela6[[#This Row],[Peso Liquido]]/1000</f>
        <v>6.6787000000000013E-2</v>
      </c>
      <c r="I253" s="10">
        <v>218.9</v>
      </c>
    </row>
    <row r="254" spans="2:9" x14ac:dyDescent="0.25">
      <c r="B254" s="2">
        <v>175431</v>
      </c>
      <c r="C254" s="9">
        <v>46237</v>
      </c>
      <c r="D254" s="9" t="s">
        <v>2</v>
      </c>
      <c r="E254" s="2">
        <v>17</v>
      </c>
      <c r="F254" s="2" t="s">
        <v>6</v>
      </c>
      <c r="G254" s="3">
        <v>617.87599999999998</v>
      </c>
      <c r="H254" s="3">
        <f>Tabela6[[#This Row],[Peso Liquido]]/1000</f>
        <v>0.61787599999999998</v>
      </c>
      <c r="I254" s="10">
        <v>2247.42</v>
      </c>
    </row>
    <row r="255" spans="2:9" x14ac:dyDescent="0.25">
      <c r="B255" s="2">
        <v>175748</v>
      </c>
      <c r="C255" s="9">
        <v>46237</v>
      </c>
      <c r="D255" s="9" t="s">
        <v>2</v>
      </c>
      <c r="E255" s="2">
        <v>186</v>
      </c>
      <c r="F255" s="2" t="s">
        <v>9</v>
      </c>
      <c r="G255" s="3">
        <v>7281.2749999999996</v>
      </c>
      <c r="H255" s="3">
        <f>Tabela6[[#This Row],[Peso Liquido]]/1000</f>
        <v>7.2812749999999999</v>
      </c>
      <c r="I255" s="10">
        <v>22591.64</v>
      </c>
    </row>
    <row r="256" spans="2:9" x14ac:dyDescent="0.25">
      <c r="B256" s="2">
        <v>176102</v>
      </c>
      <c r="C256" s="9">
        <v>46237</v>
      </c>
      <c r="D256" s="9" t="s">
        <v>2</v>
      </c>
      <c r="E256" s="2">
        <v>46</v>
      </c>
      <c r="F256" s="2" t="s">
        <v>9</v>
      </c>
      <c r="G256" s="3">
        <v>2373.288</v>
      </c>
      <c r="H256" s="3">
        <f>Tabela6[[#This Row],[Peso Liquido]]/1000</f>
        <v>2.3732880000000001</v>
      </c>
      <c r="I256" s="10">
        <v>9055.01</v>
      </c>
    </row>
    <row r="257" spans="2:9" x14ac:dyDescent="0.25">
      <c r="B257" s="2">
        <v>176125</v>
      </c>
      <c r="C257" s="9">
        <v>46238</v>
      </c>
      <c r="D257" s="9" t="s">
        <v>2</v>
      </c>
      <c r="E257" s="2">
        <v>19</v>
      </c>
      <c r="F257" s="2" t="s">
        <v>6</v>
      </c>
      <c r="G257" s="3">
        <v>826.20500000000004</v>
      </c>
      <c r="H257" s="3">
        <f>Tabela6[[#This Row],[Peso Liquido]]/1000</f>
        <v>0.82620500000000008</v>
      </c>
      <c r="I257" s="10">
        <v>4107.91</v>
      </c>
    </row>
    <row r="258" spans="2:9" x14ac:dyDescent="0.25">
      <c r="B258" s="2">
        <v>176554</v>
      </c>
      <c r="C258" s="9">
        <v>46238</v>
      </c>
      <c r="D258" s="9" t="s">
        <v>2</v>
      </c>
      <c r="E258" s="2">
        <v>14</v>
      </c>
      <c r="F258" s="2" t="s">
        <v>7</v>
      </c>
      <c r="G258" s="3">
        <v>880.077</v>
      </c>
      <c r="H258" s="3">
        <f>Tabela6[[#This Row],[Peso Liquido]]/1000</f>
        <v>0.880077</v>
      </c>
      <c r="I258" s="10">
        <v>3592.6</v>
      </c>
    </row>
    <row r="259" spans="2:9" x14ac:dyDescent="0.25">
      <c r="B259" s="2">
        <v>176572</v>
      </c>
      <c r="C259" s="9">
        <v>46238</v>
      </c>
      <c r="D259" s="9" t="s">
        <v>2</v>
      </c>
      <c r="E259" s="2">
        <v>14</v>
      </c>
      <c r="F259" s="2" t="s">
        <v>7</v>
      </c>
      <c r="G259" s="3">
        <v>891.38699999999994</v>
      </c>
      <c r="H259" s="3">
        <f>Tabela6[[#This Row],[Peso Liquido]]/1000</f>
        <v>0.89138699999999993</v>
      </c>
      <c r="I259" s="10">
        <v>3938.73</v>
      </c>
    </row>
    <row r="260" spans="2:9" x14ac:dyDescent="0.25">
      <c r="B260" s="2">
        <v>176767</v>
      </c>
      <c r="C260" s="9">
        <v>46238</v>
      </c>
      <c r="D260" s="9" t="s">
        <v>2</v>
      </c>
      <c r="E260" s="2">
        <v>11</v>
      </c>
      <c r="F260" s="2" t="s">
        <v>7</v>
      </c>
      <c r="G260" s="3">
        <v>445.53500000000003</v>
      </c>
      <c r="H260" s="3">
        <f>Tabela6[[#This Row],[Peso Liquido]]/1000</f>
        <v>0.44553500000000001</v>
      </c>
      <c r="I260" s="10">
        <v>1750.18</v>
      </c>
    </row>
    <row r="261" spans="2:9" x14ac:dyDescent="0.25">
      <c r="B261" s="2">
        <v>176806</v>
      </c>
      <c r="C261" s="9">
        <v>46238</v>
      </c>
      <c r="D261" s="9" t="s">
        <v>2</v>
      </c>
      <c r="E261" s="2">
        <v>1</v>
      </c>
      <c r="F261" s="2" t="s">
        <v>7</v>
      </c>
      <c r="G261" s="3">
        <v>6.1230000000000002</v>
      </c>
      <c r="H261" s="3">
        <f>Tabela6[[#This Row],[Peso Liquido]]/1000</f>
        <v>6.123E-3</v>
      </c>
      <c r="I261" s="10">
        <v>46.81</v>
      </c>
    </row>
    <row r="262" spans="2:9" x14ac:dyDescent="0.25">
      <c r="B262" s="2">
        <v>177117</v>
      </c>
      <c r="C262" s="9">
        <v>46239</v>
      </c>
      <c r="D262" s="9" t="s">
        <v>2</v>
      </c>
      <c r="E262" s="2">
        <v>10</v>
      </c>
      <c r="F262" s="2" t="s">
        <v>6</v>
      </c>
      <c r="G262" s="3">
        <v>389.56</v>
      </c>
      <c r="H262" s="3">
        <f>Tabela6[[#This Row],[Peso Liquido]]/1000</f>
        <v>0.38956000000000002</v>
      </c>
      <c r="I262" s="10">
        <v>1292.43</v>
      </c>
    </row>
    <row r="263" spans="2:9" x14ac:dyDescent="0.25">
      <c r="B263" s="2">
        <v>177426</v>
      </c>
      <c r="C263" s="9">
        <v>46239</v>
      </c>
      <c r="D263" s="9" t="s">
        <v>2</v>
      </c>
      <c r="E263" s="2">
        <v>5</v>
      </c>
      <c r="F263" s="2" t="s">
        <v>7</v>
      </c>
      <c r="G263" s="3">
        <v>57.55</v>
      </c>
      <c r="H263" s="3">
        <f>Tabela6[[#This Row],[Peso Liquido]]/1000</f>
        <v>5.7549999999999997E-2</v>
      </c>
      <c r="I263" s="10">
        <v>328.33</v>
      </c>
    </row>
    <row r="264" spans="2:9" x14ac:dyDescent="0.25">
      <c r="B264" s="2">
        <v>178091</v>
      </c>
      <c r="C264" s="9">
        <v>46240</v>
      </c>
      <c r="D264" s="9" t="s">
        <v>2</v>
      </c>
      <c r="E264" s="2">
        <v>10</v>
      </c>
      <c r="F264" s="2" t="s">
        <v>6</v>
      </c>
      <c r="G264" s="3">
        <v>348.51100000000002</v>
      </c>
      <c r="H264" s="3">
        <f>Tabela6[[#This Row],[Peso Liquido]]/1000</f>
        <v>0.34851100000000002</v>
      </c>
      <c r="I264" s="10">
        <v>1410.31</v>
      </c>
    </row>
    <row r="265" spans="2:9" x14ac:dyDescent="0.25">
      <c r="B265" s="2">
        <v>178092</v>
      </c>
      <c r="C265" s="9">
        <v>46240</v>
      </c>
      <c r="D265" s="9" t="s">
        <v>2</v>
      </c>
      <c r="E265" s="2">
        <v>1</v>
      </c>
      <c r="F265" s="2" t="s">
        <v>6</v>
      </c>
      <c r="G265" s="3">
        <v>38.020000000000003</v>
      </c>
      <c r="H265" s="3">
        <f>Tabela6[[#This Row],[Peso Liquido]]/1000</f>
        <v>3.8020000000000005E-2</v>
      </c>
      <c r="I265" s="10">
        <v>157.47</v>
      </c>
    </row>
    <row r="266" spans="2:9" x14ac:dyDescent="0.25">
      <c r="B266" s="2">
        <v>178689</v>
      </c>
      <c r="C266" s="9">
        <v>46240</v>
      </c>
      <c r="D266" s="9" t="s">
        <v>2</v>
      </c>
      <c r="E266" s="2">
        <v>1</v>
      </c>
      <c r="F266" s="2" t="s">
        <v>7</v>
      </c>
      <c r="G266" s="3">
        <v>19.986999999999998</v>
      </c>
      <c r="H266" s="3">
        <f>Tabela6[[#This Row],[Peso Liquido]]/1000</f>
        <v>1.9986999999999998E-2</v>
      </c>
      <c r="I266" s="10">
        <v>157.11000000000001</v>
      </c>
    </row>
    <row r="267" spans="2:9" x14ac:dyDescent="0.25">
      <c r="B267" s="2">
        <v>178745</v>
      </c>
      <c r="C267" s="9">
        <v>46240</v>
      </c>
      <c r="D267" s="9" t="s">
        <v>2</v>
      </c>
      <c r="E267" s="2">
        <v>19</v>
      </c>
      <c r="F267" s="2" t="s">
        <v>9</v>
      </c>
      <c r="G267" s="3">
        <v>805.82799999999997</v>
      </c>
      <c r="H267" s="3">
        <f>Tabela6[[#This Row],[Peso Liquido]]/1000</f>
        <v>0.80582799999999999</v>
      </c>
      <c r="I267" s="10">
        <v>3630.35</v>
      </c>
    </row>
    <row r="268" spans="2:9" x14ac:dyDescent="0.25">
      <c r="B268" s="2">
        <v>179259</v>
      </c>
      <c r="C268" s="9">
        <v>46241</v>
      </c>
      <c r="D268" s="9" t="s">
        <v>2</v>
      </c>
      <c r="E268" s="2">
        <v>12</v>
      </c>
      <c r="F268" s="2" t="s">
        <v>6</v>
      </c>
      <c r="G268" s="3">
        <v>650.85</v>
      </c>
      <c r="H268" s="3">
        <f>Tabela6[[#This Row],[Peso Liquido]]/1000</f>
        <v>0.65085000000000004</v>
      </c>
      <c r="I268" s="12">
        <v>2348.65</v>
      </c>
    </row>
    <row r="269" spans="2:9" x14ac:dyDescent="0.25">
      <c r="B269" s="2">
        <v>180892</v>
      </c>
      <c r="C269" s="9">
        <v>46244</v>
      </c>
      <c r="D269" s="9" t="s">
        <v>2</v>
      </c>
      <c r="E269" s="2">
        <v>10</v>
      </c>
      <c r="F269" s="2" t="s">
        <v>6</v>
      </c>
      <c r="G269" s="3">
        <v>463.31799999999998</v>
      </c>
      <c r="H269" s="3">
        <f>Tabela6[[#This Row],[Peso Liquido]]/1000</f>
        <v>0.46331800000000001</v>
      </c>
      <c r="I269" s="12">
        <v>1677.51</v>
      </c>
    </row>
    <row r="270" spans="2:9" x14ac:dyDescent="0.25">
      <c r="B270" s="2">
        <v>180902</v>
      </c>
      <c r="C270" s="9">
        <v>46244</v>
      </c>
      <c r="D270" s="9" t="s">
        <v>2</v>
      </c>
      <c r="E270" s="2">
        <v>14</v>
      </c>
      <c r="F270" s="2" t="s">
        <v>7</v>
      </c>
      <c r="G270" s="3">
        <v>851.56200000000001</v>
      </c>
      <c r="H270" s="3">
        <f>Tabela6[[#This Row],[Peso Liquido]]/1000</f>
        <v>0.85156200000000004</v>
      </c>
      <c r="I270" s="12">
        <v>3244.56</v>
      </c>
    </row>
    <row r="271" spans="2:9" x14ac:dyDescent="0.25">
      <c r="B271" s="2">
        <v>180907</v>
      </c>
      <c r="C271" s="9">
        <v>46244</v>
      </c>
      <c r="D271" s="9" t="s">
        <v>2</v>
      </c>
      <c r="E271" s="2">
        <v>17</v>
      </c>
      <c r="F271" s="2" t="s">
        <v>7</v>
      </c>
      <c r="G271" s="3">
        <v>483.05</v>
      </c>
      <c r="H271" s="3">
        <f>Tabela6[[#This Row],[Peso Liquido]]/1000</f>
        <v>0.48305000000000003</v>
      </c>
      <c r="I271" s="12">
        <v>2494.35</v>
      </c>
    </row>
    <row r="272" spans="2:9" x14ac:dyDescent="0.25">
      <c r="B272" s="2">
        <v>180916</v>
      </c>
      <c r="C272" s="9">
        <v>46244</v>
      </c>
      <c r="D272" s="9" t="s">
        <v>2</v>
      </c>
      <c r="E272" s="2">
        <v>5</v>
      </c>
      <c r="F272" s="2" t="s">
        <v>7</v>
      </c>
      <c r="G272" s="3">
        <v>232.95599999999999</v>
      </c>
      <c r="H272" s="3">
        <f>Tabela6[[#This Row],[Peso Liquido]]/1000</f>
        <v>0.232956</v>
      </c>
      <c r="I272" s="12">
        <v>928.41</v>
      </c>
    </row>
    <row r="273" spans="2:9" x14ac:dyDescent="0.25">
      <c r="B273" s="2">
        <v>180932</v>
      </c>
      <c r="C273" s="9">
        <v>46244</v>
      </c>
      <c r="D273" s="9" t="s">
        <v>2</v>
      </c>
      <c r="E273" s="2">
        <v>8</v>
      </c>
      <c r="F273" s="2" t="s">
        <v>7</v>
      </c>
      <c r="G273" s="3">
        <v>489.74099999999999</v>
      </c>
      <c r="H273" s="3">
        <f>Tabela6[[#This Row],[Peso Liquido]]/1000</f>
        <v>0.48974099999999998</v>
      </c>
      <c r="I273" s="12">
        <v>1663.95</v>
      </c>
    </row>
    <row r="274" spans="2:9" x14ac:dyDescent="0.25">
      <c r="B274" s="2">
        <v>182538</v>
      </c>
      <c r="C274" s="9">
        <v>46245</v>
      </c>
      <c r="D274" s="9" t="s">
        <v>2</v>
      </c>
      <c r="E274" s="2">
        <v>10</v>
      </c>
      <c r="F274" s="2" t="s">
        <v>7</v>
      </c>
      <c r="G274" s="3">
        <v>665.43499999999995</v>
      </c>
      <c r="H274" s="3">
        <f>Tabela6[[#This Row],[Peso Liquido]]/1000</f>
        <v>0.665435</v>
      </c>
      <c r="I274" s="13">
        <v>2638</v>
      </c>
    </row>
    <row r="275" spans="2:9" x14ac:dyDescent="0.25">
      <c r="B275" s="2">
        <v>182541</v>
      </c>
      <c r="C275" s="9">
        <v>46245</v>
      </c>
      <c r="D275" s="9" t="s">
        <v>2</v>
      </c>
      <c r="E275" s="2">
        <v>8</v>
      </c>
      <c r="F275" s="2" t="s">
        <v>7</v>
      </c>
      <c r="G275" s="3">
        <v>488.17700000000002</v>
      </c>
      <c r="H275" s="3">
        <f>Tabela6[[#This Row],[Peso Liquido]]/1000</f>
        <v>0.48817700000000003</v>
      </c>
      <c r="I275" s="12">
        <v>1792.56</v>
      </c>
    </row>
    <row r="276" spans="2:9" x14ac:dyDescent="0.25">
      <c r="B276" s="2">
        <v>182574</v>
      </c>
      <c r="C276" s="9">
        <v>46245</v>
      </c>
      <c r="D276" s="9" t="s">
        <v>2</v>
      </c>
      <c r="E276" s="2">
        <v>13</v>
      </c>
      <c r="F276" s="2" t="s">
        <v>7</v>
      </c>
      <c r="G276" s="3">
        <v>694.41600000000005</v>
      </c>
      <c r="H276" s="3">
        <f>Tabela6[[#This Row],[Peso Liquido]]/1000</f>
        <v>0.69441600000000003</v>
      </c>
      <c r="I276" s="12">
        <v>3172.64</v>
      </c>
    </row>
    <row r="277" spans="2:9" x14ac:dyDescent="0.25">
      <c r="B277" s="2">
        <v>182542</v>
      </c>
      <c r="C277" s="9">
        <v>46245</v>
      </c>
      <c r="D277" s="9" t="s">
        <v>2</v>
      </c>
      <c r="E277" s="2">
        <v>12</v>
      </c>
      <c r="F277" s="2" t="s">
        <v>7</v>
      </c>
      <c r="G277" s="3">
        <v>676.04600000000005</v>
      </c>
      <c r="H277" s="3">
        <f>Tabela6[[#This Row],[Peso Liquido]]/1000</f>
        <v>0.67604600000000004</v>
      </c>
      <c r="I277" s="12">
        <v>3003.57</v>
      </c>
    </row>
    <row r="278" spans="2:9" x14ac:dyDescent="0.25">
      <c r="B278" s="2">
        <v>182617</v>
      </c>
      <c r="C278" s="9">
        <v>46245</v>
      </c>
      <c r="D278" s="9" t="s">
        <v>2</v>
      </c>
      <c r="E278" s="2">
        <v>11</v>
      </c>
      <c r="F278" s="2" t="s">
        <v>6</v>
      </c>
      <c r="G278" s="3">
        <v>614.202</v>
      </c>
      <c r="H278" s="3">
        <f>Tabela6[[#This Row],[Peso Liquido]]/1000</f>
        <v>0.61420200000000003</v>
      </c>
      <c r="I278" s="12">
        <v>2025.16</v>
      </c>
    </row>
    <row r="279" spans="2:9" x14ac:dyDescent="0.25">
      <c r="B279" s="2">
        <v>182694</v>
      </c>
      <c r="C279" s="9">
        <v>46245</v>
      </c>
      <c r="D279" s="9" t="s">
        <v>2</v>
      </c>
      <c r="E279" s="2">
        <v>10</v>
      </c>
      <c r="F279" s="2" t="s">
        <v>7</v>
      </c>
      <c r="G279" s="3">
        <v>402.94499999999999</v>
      </c>
      <c r="H279" s="3">
        <f>Tabela6[[#This Row],[Peso Liquido]]/1000</f>
        <v>0.402945</v>
      </c>
      <c r="I279" s="12">
        <v>1416.63</v>
      </c>
    </row>
    <row r="280" spans="2:9" x14ac:dyDescent="0.25">
      <c r="B280" s="2">
        <v>182727</v>
      </c>
      <c r="C280" s="9">
        <v>46245</v>
      </c>
      <c r="D280" s="9" t="s">
        <v>2</v>
      </c>
      <c r="E280" s="2">
        <v>14</v>
      </c>
      <c r="F280" s="2" t="s">
        <v>7</v>
      </c>
      <c r="G280" s="3">
        <v>906.15499999999997</v>
      </c>
      <c r="H280" s="3">
        <f>Tabela6[[#This Row],[Peso Liquido]]/1000</f>
        <v>0.90615499999999993</v>
      </c>
      <c r="I280" s="12">
        <v>3880.82</v>
      </c>
    </row>
    <row r="281" spans="2:9" x14ac:dyDescent="0.25">
      <c r="B281" s="2">
        <v>182739</v>
      </c>
      <c r="C281" s="9">
        <v>46245</v>
      </c>
      <c r="D281" s="9" t="s">
        <v>2</v>
      </c>
      <c r="E281" s="2">
        <v>18</v>
      </c>
      <c r="F281" s="2" t="s">
        <v>7</v>
      </c>
      <c r="G281" s="3">
        <v>1233.1289999999999</v>
      </c>
      <c r="H281" s="3">
        <f>Tabela6[[#This Row],[Peso Liquido]]/1000</f>
        <v>1.2331289999999999</v>
      </c>
      <c r="I281" s="12">
        <v>4651.12</v>
      </c>
    </row>
    <row r="282" spans="2:9" x14ac:dyDescent="0.25">
      <c r="B282" s="2">
        <v>182738</v>
      </c>
      <c r="C282" s="9">
        <v>46245</v>
      </c>
      <c r="D282" s="9" t="s">
        <v>2</v>
      </c>
      <c r="E282" s="2">
        <v>14</v>
      </c>
      <c r="F282" s="2" t="s">
        <v>7</v>
      </c>
      <c r="G282" s="3">
        <v>719.69200000000001</v>
      </c>
      <c r="H282" s="3">
        <f>Tabela6[[#This Row],[Peso Liquido]]/1000</f>
        <v>0.719692</v>
      </c>
      <c r="I282" s="12">
        <v>3104.84</v>
      </c>
    </row>
    <row r="283" spans="2:9" x14ac:dyDescent="0.25">
      <c r="B283" s="2">
        <v>184811</v>
      </c>
      <c r="C283" s="9">
        <v>46247</v>
      </c>
      <c r="D283" s="9" t="s">
        <v>2</v>
      </c>
      <c r="E283" s="2">
        <v>77</v>
      </c>
      <c r="F283" s="2" t="s">
        <v>8</v>
      </c>
      <c r="G283" s="3">
        <v>3866.17</v>
      </c>
      <c r="H283" s="3">
        <f>Tabela6[[#This Row],[Peso Liquido]]/1000</f>
        <v>3.8661699999999999</v>
      </c>
      <c r="I283" s="12">
        <v>13256.17</v>
      </c>
    </row>
    <row r="284" spans="2:9" x14ac:dyDescent="0.25">
      <c r="B284" s="2">
        <v>184829</v>
      </c>
      <c r="C284" s="9">
        <v>46247</v>
      </c>
      <c r="D284" s="9" t="s">
        <v>2</v>
      </c>
      <c r="E284" s="2">
        <v>14</v>
      </c>
      <c r="F284" s="2" t="s">
        <v>6</v>
      </c>
      <c r="G284" s="3">
        <v>660.52200000000005</v>
      </c>
      <c r="H284" s="3">
        <f>Tabela6[[#This Row],[Peso Liquido]]/1000</f>
        <v>0.66052200000000005</v>
      </c>
      <c r="I284" s="12">
        <v>2641.24</v>
      </c>
    </row>
    <row r="285" spans="2:9" x14ac:dyDescent="0.25">
      <c r="B285" s="2">
        <v>184861</v>
      </c>
      <c r="C285" s="9">
        <v>46247</v>
      </c>
      <c r="D285" s="9" t="s">
        <v>2</v>
      </c>
      <c r="E285" s="2">
        <v>20</v>
      </c>
      <c r="F285" s="2" t="s">
        <v>7</v>
      </c>
      <c r="G285" s="3">
        <v>1122.8979999999999</v>
      </c>
      <c r="H285" s="3">
        <f>Tabela6[[#This Row],[Peso Liquido]]/1000</f>
        <v>1.122898</v>
      </c>
      <c r="I285" s="12">
        <v>4195.43</v>
      </c>
    </row>
    <row r="286" spans="2:9" x14ac:dyDescent="0.25">
      <c r="B286" s="2">
        <v>184845</v>
      </c>
      <c r="C286" s="9">
        <v>46247</v>
      </c>
      <c r="D286" s="9" t="s">
        <v>2</v>
      </c>
      <c r="E286" s="2">
        <v>20</v>
      </c>
      <c r="F286" t="s">
        <v>7</v>
      </c>
      <c r="G286" s="3">
        <v>963.53099999999995</v>
      </c>
      <c r="H286" s="3">
        <f>Tabela6[[#This Row],[Peso Liquido]]/1000</f>
        <v>0.96353099999999992</v>
      </c>
      <c r="I286" s="12">
        <v>3876.96</v>
      </c>
    </row>
    <row r="287" spans="2:9" x14ac:dyDescent="0.25">
      <c r="B287" s="2">
        <v>184851</v>
      </c>
      <c r="C287" s="9">
        <v>46247</v>
      </c>
      <c r="D287" s="9" t="s">
        <v>2</v>
      </c>
      <c r="E287" s="2">
        <v>1</v>
      </c>
      <c r="F287" s="2" t="s">
        <v>7</v>
      </c>
      <c r="G287" s="3">
        <v>13.308</v>
      </c>
      <c r="H287" s="3">
        <f>Tabela6[[#This Row],[Peso Liquido]]/1000</f>
        <v>1.3308E-2</v>
      </c>
      <c r="I287" s="12">
        <v>100.97</v>
      </c>
    </row>
    <row r="288" spans="2:9" x14ac:dyDescent="0.25">
      <c r="B288" s="2">
        <v>185648</v>
      </c>
      <c r="C288" s="9">
        <v>46248</v>
      </c>
      <c r="D288" s="9" t="s">
        <v>2</v>
      </c>
      <c r="E288" s="2">
        <v>35</v>
      </c>
      <c r="F288" s="2" t="s">
        <v>7</v>
      </c>
      <c r="G288" s="3">
        <v>402.85</v>
      </c>
      <c r="H288" s="3">
        <f>Tabela6[[#This Row],[Peso Liquido]]/1000</f>
        <v>0.40285000000000004</v>
      </c>
      <c r="I288" s="12">
        <v>2241.9499999999998</v>
      </c>
    </row>
    <row r="289" spans="2:9" x14ac:dyDescent="0.25">
      <c r="B289" s="2">
        <v>185726</v>
      </c>
      <c r="C289" s="9">
        <v>46248</v>
      </c>
      <c r="D289" s="9" t="s">
        <v>2</v>
      </c>
      <c r="E289" s="2">
        <v>7</v>
      </c>
      <c r="F289" s="2" t="s">
        <v>7</v>
      </c>
      <c r="G289" s="3">
        <v>49.412999999999997</v>
      </c>
      <c r="H289" s="3">
        <f>Tabela6[[#This Row],[Peso Liquido]]/1000</f>
        <v>4.9412999999999999E-2</v>
      </c>
      <c r="I289" s="12">
        <v>317.38</v>
      </c>
    </row>
    <row r="290" spans="2:9" x14ac:dyDescent="0.25">
      <c r="B290" s="2">
        <v>185791</v>
      </c>
      <c r="C290" s="9">
        <v>46248</v>
      </c>
      <c r="D290" s="9" t="s">
        <v>2</v>
      </c>
      <c r="E290" s="2">
        <v>7</v>
      </c>
      <c r="F290" s="2" t="s">
        <v>6</v>
      </c>
      <c r="G290" s="3">
        <v>123.70699999999999</v>
      </c>
      <c r="H290" s="3">
        <f>Tabela6[[#This Row],[Peso Liquido]]/1000</f>
        <v>0.123707</v>
      </c>
      <c r="I290" s="12">
        <v>888.98</v>
      </c>
    </row>
    <row r="291" spans="2:9" x14ac:dyDescent="0.25">
      <c r="B291" s="2">
        <v>185792</v>
      </c>
      <c r="C291" s="9">
        <v>46248</v>
      </c>
      <c r="D291" s="9" t="s">
        <v>2</v>
      </c>
      <c r="E291" s="2">
        <v>11</v>
      </c>
      <c r="F291" s="2" t="s">
        <v>9</v>
      </c>
      <c r="G291" s="3">
        <v>41.832999999999998</v>
      </c>
      <c r="H291" s="3">
        <f>Tabela6[[#This Row],[Peso Liquido]]/1000</f>
        <v>4.1832999999999995E-2</v>
      </c>
      <c r="I291" s="12">
        <v>357.65</v>
      </c>
    </row>
    <row r="292" spans="2:9" x14ac:dyDescent="0.25">
      <c r="B292" s="2">
        <v>186513</v>
      </c>
      <c r="C292" s="9">
        <v>46251</v>
      </c>
      <c r="D292" s="9" t="s">
        <v>2</v>
      </c>
      <c r="E292" s="2">
        <v>3</v>
      </c>
      <c r="F292" s="2" t="s">
        <v>7</v>
      </c>
      <c r="G292" s="3">
        <v>165.262</v>
      </c>
      <c r="H292" s="3">
        <f>Tabela6[[#This Row],[Peso Liquido]]/1000</f>
        <v>0.16526199999999999</v>
      </c>
      <c r="I292" s="12">
        <v>691.48</v>
      </c>
    </row>
    <row r="293" spans="2:9" x14ac:dyDescent="0.25">
      <c r="B293" s="2">
        <v>186514</v>
      </c>
      <c r="C293" s="9">
        <v>46251</v>
      </c>
      <c r="D293" s="9" t="s">
        <v>2</v>
      </c>
      <c r="E293" s="2">
        <v>1</v>
      </c>
      <c r="F293" s="2" t="s">
        <v>7</v>
      </c>
      <c r="G293" s="3">
        <v>12.675000000000001</v>
      </c>
      <c r="H293" s="3">
        <f>Tabela6[[#This Row],[Peso Liquido]]/1000</f>
        <v>1.2675000000000001E-2</v>
      </c>
      <c r="I293" s="12">
        <v>43.24</v>
      </c>
    </row>
    <row r="294" spans="2:9" x14ac:dyDescent="0.25">
      <c r="B294" s="2">
        <v>186706</v>
      </c>
      <c r="C294" s="9">
        <v>46251</v>
      </c>
      <c r="D294" s="9" t="s">
        <v>2</v>
      </c>
      <c r="E294" s="2">
        <v>20</v>
      </c>
      <c r="F294" s="2" t="s">
        <v>7</v>
      </c>
      <c r="G294" s="3">
        <v>906.42899999999997</v>
      </c>
      <c r="H294" s="3">
        <f>Tabela6[[#This Row],[Peso Liquido]]/1000</f>
        <v>0.90642899999999993</v>
      </c>
      <c r="I294" s="12">
        <v>3415.24</v>
      </c>
    </row>
    <row r="295" spans="2:9" x14ac:dyDescent="0.25">
      <c r="B295" s="2">
        <v>187153</v>
      </c>
      <c r="C295" s="9">
        <v>46251</v>
      </c>
      <c r="D295" s="9" t="s">
        <v>2</v>
      </c>
      <c r="E295" s="2">
        <v>19</v>
      </c>
      <c r="F295" s="2" t="s">
        <v>7</v>
      </c>
      <c r="G295" s="3">
        <v>1076.0609999999999</v>
      </c>
      <c r="H295" s="3">
        <f>Tabela6[[#This Row],[Peso Liquido]]/1000</f>
        <v>1.0760609999999999</v>
      </c>
      <c r="I295" s="12">
        <v>4045.01</v>
      </c>
    </row>
    <row r="296" spans="2:9" x14ac:dyDescent="0.25">
      <c r="B296" s="2">
        <v>187552</v>
      </c>
      <c r="C296" s="9">
        <v>46251</v>
      </c>
      <c r="D296" s="9" t="s">
        <v>2</v>
      </c>
      <c r="E296" s="2">
        <v>15</v>
      </c>
      <c r="F296" s="2" t="s">
        <v>7</v>
      </c>
      <c r="G296" s="3">
        <v>917.31799999999998</v>
      </c>
      <c r="H296" s="3">
        <f>Tabela6[[#This Row],[Peso Liquido]]/1000</f>
        <v>0.91731799999999997</v>
      </c>
      <c r="I296" s="12">
        <v>3432.78</v>
      </c>
    </row>
    <row r="297" spans="2:9" x14ac:dyDescent="0.25">
      <c r="B297" s="2">
        <v>187545</v>
      </c>
      <c r="C297" s="9">
        <v>46251</v>
      </c>
      <c r="D297" s="9" t="s">
        <v>2</v>
      </c>
      <c r="E297" s="2">
        <v>15</v>
      </c>
      <c r="F297" s="2" t="s">
        <v>7</v>
      </c>
      <c r="G297" s="3">
        <v>717.10400000000004</v>
      </c>
      <c r="H297" s="3">
        <f>Tabela6[[#This Row],[Peso Liquido]]/1000</f>
        <v>0.71710400000000007</v>
      </c>
      <c r="I297" s="12">
        <v>2799.26</v>
      </c>
    </row>
    <row r="298" spans="2:9" x14ac:dyDescent="0.25">
      <c r="B298" s="2">
        <v>188093</v>
      </c>
      <c r="C298" s="9">
        <v>46252</v>
      </c>
      <c r="D298" s="9" t="s">
        <v>2</v>
      </c>
      <c r="E298" s="2">
        <v>1</v>
      </c>
      <c r="F298" s="2" t="s">
        <v>7</v>
      </c>
      <c r="G298" s="3">
        <v>44.85</v>
      </c>
      <c r="H298" s="3">
        <f>Tabela6[[#This Row],[Peso Liquido]]/1000</f>
        <v>4.4850000000000001E-2</v>
      </c>
      <c r="I298" s="12">
        <v>220.72</v>
      </c>
    </row>
    <row r="299" spans="2:9" x14ac:dyDescent="0.25">
      <c r="B299" s="2">
        <v>188316</v>
      </c>
      <c r="C299" s="9">
        <v>46252</v>
      </c>
      <c r="D299" s="9" t="s">
        <v>2</v>
      </c>
      <c r="E299" s="2">
        <v>21</v>
      </c>
      <c r="F299" s="2" t="s">
        <v>6</v>
      </c>
      <c r="G299" s="3">
        <v>832.58900000000006</v>
      </c>
      <c r="H299" s="3">
        <f>Tabela6[[#This Row],[Peso Liquido]]/1000</f>
        <v>0.83258900000000002</v>
      </c>
      <c r="I299" s="12">
        <v>3183.11</v>
      </c>
    </row>
    <row r="300" spans="2:9" x14ac:dyDescent="0.25">
      <c r="B300" s="2">
        <v>188320</v>
      </c>
      <c r="C300" s="9">
        <v>46252</v>
      </c>
      <c r="D300" s="9" t="s">
        <v>2</v>
      </c>
      <c r="E300" s="2">
        <v>4</v>
      </c>
      <c r="F300" s="2" t="s">
        <v>7</v>
      </c>
      <c r="G300" s="3">
        <v>202.75</v>
      </c>
      <c r="H300" s="3">
        <f>Tabela6[[#This Row],[Peso Liquido]]/1000</f>
        <v>0.20275000000000001</v>
      </c>
      <c r="I300" s="12">
        <v>726.71</v>
      </c>
    </row>
    <row r="301" spans="2:9" x14ac:dyDescent="0.25">
      <c r="B301" s="2"/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saidas cd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Felipe Quirino</dc:creator>
  <cp:lastModifiedBy>Natália Felipe Quirino</cp:lastModifiedBy>
  <dcterms:created xsi:type="dcterms:W3CDTF">2026-09-23T14:33:58Z</dcterms:created>
  <dcterms:modified xsi:type="dcterms:W3CDTF">2026-09-23T14:34:15Z</dcterms:modified>
</cp:coreProperties>
</file>